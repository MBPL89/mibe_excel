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hidePivotFieldList="1"/>
  <mc:AlternateContent xmlns:mc="http://schemas.openxmlformats.org/markup-compatibility/2006">
    <mc:Choice Requires="x15">
      <x15ac:absPath xmlns:x15ac="http://schemas.microsoft.com/office/spreadsheetml/2010/11/ac" url="/Users/biagiopalese/Desktop/e_6_b/"/>
    </mc:Choice>
  </mc:AlternateContent>
  <xr:revisionPtr revIDLastSave="0" documentId="13_ncr:1_{C3B7EE40-F91F-6240-B468-EBBE200BFA87}" xr6:coauthVersionLast="45" xr6:coauthVersionMax="45" xr10:uidLastSave="{00000000-0000-0000-0000-000000000000}"/>
  <bookViews>
    <workbookView xWindow="0" yWindow="460" windowWidth="33600" windowHeight="19680" tabRatio="500" xr2:uid="{00000000-000D-0000-FFFF-FFFF00000000}"/>
  </bookViews>
  <sheets>
    <sheet name="Pizza Sales Calculations" sheetId="3" r:id="rId1"/>
    <sheet name="Parameters" sheetId="2" r:id="rId2"/>
  </sheets>
  <calcPr calcId="191029" iterate="1" iterateDelta="9.9999999999999995E-7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2" i="3" l="1"/>
  <c r="R3" i="3"/>
  <c r="R4" i="3"/>
  <c r="R5" i="3"/>
  <c r="R12" i="3"/>
  <c r="R13" i="3"/>
  <c r="R15" i="3"/>
  <c r="R16" i="3"/>
  <c r="R21" i="3"/>
  <c r="R23" i="3"/>
  <c r="R27" i="3"/>
  <c r="R29" i="3"/>
  <c r="R30" i="3"/>
  <c r="R32" i="3"/>
  <c r="R34" i="3"/>
  <c r="R36" i="3"/>
  <c r="R47" i="3"/>
  <c r="R48" i="3"/>
  <c r="R50" i="3"/>
  <c r="R54" i="3"/>
  <c r="R57" i="3"/>
  <c r="R58" i="3"/>
  <c r="R59" i="3"/>
  <c r="R62" i="3"/>
  <c r="R66" i="3"/>
  <c r="R67" i="3"/>
  <c r="R68" i="3"/>
  <c r="R71" i="3"/>
  <c r="R72" i="3"/>
  <c r="R73" i="3"/>
  <c r="R74" i="3"/>
  <c r="R76" i="3"/>
  <c r="R77" i="3"/>
  <c r="R81" i="3"/>
  <c r="R85" i="3"/>
  <c r="R86" i="3"/>
  <c r="R88" i="3"/>
  <c r="R90" i="3"/>
  <c r="R92" i="3"/>
  <c r="R93" i="3"/>
  <c r="R97" i="3"/>
  <c r="R100" i="3"/>
  <c r="R102" i="3"/>
  <c r="R103" i="3"/>
  <c r="R104" i="3"/>
  <c r="R105" i="3"/>
  <c r="R108" i="3"/>
  <c r="R111" i="3"/>
  <c r="R112" i="3"/>
  <c r="R113" i="3"/>
  <c r="R114" i="3"/>
  <c r="R115" i="3"/>
  <c r="R116" i="3"/>
  <c r="R118" i="3"/>
  <c r="R120" i="3"/>
  <c r="R121" i="3"/>
  <c r="R122" i="3"/>
  <c r="R123" i="3"/>
  <c r="R124" i="3"/>
  <c r="R125" i="3"/>
  <c r="R127" i="3"/>
  <c r="R128" i="3"/>
  <c r="R129" i="3"/>
  <c r="R130" i="3"/>
  <c r="R131" i="3"/>
  <c r="R132" i="3"/>
  <c r="R134" i="3"/>
  <c r="R136" i="3"/>
  <c r="R138" i="3"/>
  <c r="R140" i="3"/>
  <c r="R141" i="3"/>
  <c r="R142" i="3"/>
  <c r="R144" i="3"/>
  <c r="R145" i="3"/>
  <c r="R146" i="3"/>
  <c r="R148" i="3"/>
  <c r="R149" i="3"/>
  <c r="R150" i="3"/>
  <c r="R153" i="3"/>
  <c r="R155" i="3"/>
  <c r="R156" i="3"/>
  <c r="R159" i="3"/>
  <c r="R161" i="3"/>
  <c r="R162" i="3"/>
  <c r="R163" i="3"/>
  <c r="R164" i="3"/>
  <c r="R168" i="3"/>
  <c r="R169" i="3"/>
  <c r="R171" i="3"/>
  <c r="R173" i="3"/>
  <c r="R175" i="3"/>
  <c r="R176" i="3"/>
  <c r="R177" i="3"/>
  <c r="R180" i="3"/>
  <c r="R181" i="3"/>
  <c r="R182" i="3"/>
  <c r="R186" i="3"/>
  <c r="R187" i="3"/>
  <c r="R188" i="3"/>
  <c r="R191" i="3"/>
  <c r="R192" i="3"/>
  <c r="R194" i="3"/>
  <c r="R196" i="3"/>
  <c r="R197" i="3"/>
  <c r="R199" i="3"/>
  <c r="R204" i="3"/>
  <c r="R205" i="3"/>
  <c r="R207" i="3"/>
  <c r="R209" i="3"/>
  <c r="R211" i="3"/>
  <c r="R212" i="3"/>
  <c r="R213" i="3"/>
  <c r="R217" i="3"/>
  <c r="R220" i="3"/>
  <c r="R222" i="3"/>
  <c r="R223" i="3"/>
  <c r="R224" i="3"/>
  <c r="R225" i="3"/>
  <c r="R226" i="3"/>
  <c r="R227" i="3"/>
  <c r="R232" i="3"/>
  <c r="R233" i="3"/>
  <c r="R234" i="3"/>
  <c r="R237" i="3"/>
  <c r="R238" i="3"/>
  <c r="R239" i="3"/>
  <c r="R240" i="3"/>
  <c r="R243" i="3"/>
  <c r="R245" i="3"/>
  <c r="R246" i="3"/>
  <c r="R247" i="3"/>
  <c r="R250" i="3"/>
  <c r="R255" i="3"/>
  <c r="R257" i="3"/>
  <c r="R259" i="3"/>
  <c r="R261" i="3"/>
  <c r="R262" i="3"/>
  <c r="R265" i="3"/>
  <c r="R266" i="3"/>
  <c r="R267" i="3"/>
  <c r="R270" i="3"/>
  <c r="R271" i="3"/>
  <c r="R273" i="3"/>
  <c r="R274" i="3"/>
  <c r="R276" i="3"/>
  <c r="R278" i="3"/>
  <c r="R279" i="3"/>
  <c r="R280" i="3"/>
  <c r="R284" i="3"/>
  <c r="R289" i="3"/>
  <c r="R291" i="3"/>
  <c r="R293" i="3"/>
  <c r="R294" i="3"/>
  <c r="R298" i="3"/>
  <c r="R299" i="3"/>
  <c r="R300" i="3"/>
  <c r="R302" i="3"/>
  <c r="R303" i="3"/>
  <c r="R306" i="3"/>
  <c r="R307" i="3"/>
  <c r="R309" i="3"/>
  <c r="R310" i="3"/>
  <c r="R312" i="3"/>
  <c r="R313" i="3"/>
  <c r="R314" i="3"/>
  <c r="R315" i="3"/>
  <c r="R316" i="3"/>
  <c r="R317" i="3"/>
  <c r="R318" i="3"/>
  <c r="R319" i="3"/>
  <c r="R321" i="3"/>
  <c r="R323" i="3"/>
  <c r="R324" i="3"/>
  <c r="R325" i="3"/>
  <c r="R327" i="3"/>
  <c r="R328" i="3"/>
  <c r="R329" i="3"/>
  <c r="R332" i="3"/>
  <c r="R333" i="3"/>
  <c r="R334" i="3"/>
  <c r="R338" i="3"/>
  <c r="R340" i="3"/>
  <c r="R341" i="3"/>
  <c r="R344" i="3"/>
  <c r="R346" i="3"/>
  <c r="R347" i="3"/>
  <c r="R349" i="3"/>
  <c r="R350" i="3"/>
  <c r="R351" i="3"/>
  <c r="R352" i="3"/>
  <c r="R364" i="3"/>
  <c r="R366" i="3"/>
  <c r="R371" i="3"/>
  <c r="R373" i="3"/>
  <c r="R375" i="3"/>
  <c r="R376" i="3"/>
  <c r="R380" i="3"/>
  <c r="R381" i="3"/>
  <c r="R386" i="3"/>
  <c r="R387" i="3"/>
  <c r="R388" i="3"/>
  <c r="R389" i="3"/>
  <c r="R392" i="3"/>
  <c r="R395" i="3"/>
  <c r="R396" i="3"/>
  <c r="R397" i="3"/>
  <c r="R402" i="3"/>
  <c r="R403" i="3"/>
  <c r="R404" i="3"/>
  <c r="R405" i="3"/>
  <c r="R413" i="3"/>
  <c r="R415" i="3"/>
  <c r="R419" i="3"/>
  <c r="R420" i="3"/>
  <c r="R421" i="3"/>
  <c r="R422" i="3"/>
  <c r="R425" i="3"/>
  <c r="R426" i="3"/>
  <c r="R427" i="3"/>
  <c r="R429" i="3"/>
  <c r="R430" i="3"/>
  <c r="R433" i="3"/>
  <c r="R434" i="3"/>
  <c r="R435" i="3"/>
  <c r="R437" i="3"/>
  <c r="R438" i="3"/>
  <c r="R439" i="3"/>
  <c r="R440" i="3"/>
  <c r="R441" i="3"/>
  <c r="R443" i="3"/>
  <c r="R445" i="3"/>
  <c r="R446" i="3"/>
  <c r="R449" i="3"/>
  <c r="R453" i="3"/>
  <c r="R454" i="3"/>
  <c r="R456" i="3"/>
  <c r="R459" i="3"/>
  <c r="R461" i="3"/>
  <c r="R463" i="3"/>
  <c r="R464" i="3"/>
  <c r="R467" i="3"/>
  <c r="R468" i="3"/>
  <c r="R469" i="3"/>
  <c r="R474" i="3"/>
  <c r="R477" i="3"/>
  <c r="R478" i="3"/>
  <c r="R479" i="3"/>
  <c r="R480" i="3"/>
  <c r="R482" i="3"/>
  <c r="R483" i="3"/>
  <c r="R487" i="3"/>
  <c r="R489" i="3"/>
  <c r="R494" i="3"/>
  <c r="R497" i="3"/>
  <c r="R501" i="3"/>
  <c r="R502" i="3"/>
  <c r="R503" i="3"/>
  <c r="R505" i="3"/>
  <c r="R507" i="3"/>
  <c r="R508" i="3"/>
  <c r="R511" i="3"/>
  <c r="R514" i="3"/>
  <c r="R516" i="3"/>
  <c r="R517" i="3"/>
  <c r="R518" i="3"/>
  <c r="R519" i="3"/>
  <c r="R520" i="3"/>
  <c r="R521" i="3"/>
  <c r="R523" i="3"/>
  <c r="R526" i="3"/>
  <c r="R527" i="3"/>
  <c r="R529" i="3"/>
  <c r="R530" i="3"/>
  <c r="R534" i="3"/>
  <c r="R535" i="3"/>
  <c r="R537" i="3"/>
  <c r="R538" i="3"/>
  <c r="R543" i="3"/>
  <c r="R544" i="3"/>
  <c r="R547" i="3"/>
  <c r="R553" i="3"/>
  <c r="R557" i="3"/>
  <c r="R559" i="3"/>
  <c r="R560" i="3"/>
  <c r="R562" i="3"/>
  <c r="R563" i="3"/>
  <c r="R566" i="3"/>
  <c r="R567" i="3"/>
  <c r="R570" i="3"/>
  <c r="R571" i="3"/>
  <c r="R573" i="3"/>
  <c r="R576" i="3"/>
  <c r="R577" i="3"/>
  <c r="R580" i="3"/>
  <c r="R582" i="3"/>
  <c r="R583" i="3"/>
  <c r="R586" i="3"/>
  <c r="R589" i="3"/>
  <c r="R593" i="3"/>
  <c r="R597" i="3"/>
  <c r="R599" i="3"/>
  <c r="R600" i="3"/>
  <c r="R602" i="3"/>
  <c r="R605" i="3"/>
  <c r="R607" i="3"/>
  <c r="R609" i="3"/>
  <c r="R610" i="3"/>
  <c r="R611" i="3"/>
  <c r="R616" i="3"/>
  <c r="R617" i="3"/>
  <c r="R619" i="3"/>
  <c r="R621" i="3"/>
  <c r="R622" i="3"/>
  <c r="R623" i="3"/>
  <c r="R624" i="3"/>
  <c r="R626" i="3"/>
  <c r="R628" i="3"/>
  <c r="R633" i="3"/>
  <c r="R635" i="3"/>
  <c r="R636" i="3"/>
  <c r="R637" i="3"/>
  <c r="R638" i="3"/>
  <c r="R639" i="3"/>
  <c r="R640" i="3"/>
  <c r="R641" i="3"/>
  <c r="R642" i="3"/>
  <c r="R646" i="3"/>
  <c r="R647" i="3"/>
  <c r="R649" i="3"/>
  <c r="R651" i="3"/>
  <c r="R653" i="3"/>
  <c r="R655" i="3"/>
  <c r="R656" i="3"/>
  <c r="R657" i="3"/>
  <c r="R658" i="3"/>
  <c r="R659" i="3"/>
  <c r="R662" i="3"/>
  <c r="R670" i="3"/>
  <c r="R671" i="3"/>
  <c r="R673" i="3"/>
  <c r="R675" i="3"/>
  <c r="R677" i="3"/>
  <c r="R679" i="3"/>
  <c r="R680" i="3"/>
  <c r="R682" i="3"/>
  <c r="R683" i="3"/>
  <c r="R685" i="3"/>
  <c r="R691" i="3"/>
  <c r="R697" i="3"/>
  <c r="R702" i="3"/>
  <c r="R703" i="3"/>
  <c r="R705" i="3"/>
  <c r="R706" i="3"/>
  <c r="R708" i="3"/>
  <c r="R710" i="3"/>
  <c r="R712" i="3"/>
  <c r="R713" i="3"/>
  <c r="R714" i="3"/>
  <c r="R716" i="3"/>
  <c r="R717" i="3"/>
  <c r="R718" i="3"/>
  <c r="R719" i="3"/>
  <c r="R722" i="3"/>
  <c r="R724" i="3"/>
  <c r="R726" i="3"/>
  <c r="R727" i="3"/>
  <c r="R728" i="3"/>
  <c r="R730" i="3"/>
  <c r="R733" i="3"/>
  <c r="R734" i="3"/>
  <c r="R737" i="3"/>
  <c r="R738" i="3"/>
  <c r="R745" i="3"/>
  <c r="R746" i="3"/>
  <c r="R748" i="3"/>
  <c r="R750" i="3"/>
  <c r="R751" i="3"/>
  <c r="R752" i="3"/>
  <c r="R754" i="3"/>
  <c r="R755" i="3"/>
  <c r="R756" i="3"/>
  <c r="R757" i="3"/>
  <c r="R758" i="3"/>
  <c r="R759" i="3"/>
  <c r="R761" i="3"/>
  <c r="R763" i="3"/>
  <c r="R767" i="3"/>
  <c r="R769" i="3"/>
  <c r="R770" i="3"/>
  <c r="R771" i="3"/>
  <c r="R772" i="3"/>
  <c r="R773" i="3"/>
  <c r="R774" i="3"/>
  <c r="R777" i="3"/>
  <c r="R782" i="3"/>
  <c r="R783" i="3"/>
  <c r="R789" i="3"/>
  <c r="R792" i="3"/>
  <c r="R793" i="3"/>
  <c r="R796" i="3"/>
  <c r="R798" i="3"/>
  <c r="R799" i="3"/>
  <c r="R801" i="3"/>
  <c r="R802" i="3"/>
  <c r="R803" i="3"/>
  <c r="R804" i="3"/>
  <c r="R805" i="3"/>
  <c r="R806" i="3"/>
  <c r="R807" i="3"/>
  <c r="R809" i="3"/>
  <c r="R811" i="3"/>
  <c r="R813" i="3"/>
  <c r="R814" i="3"/>
  <c r="R816" i="3"/>
  <c r="R822" i="3"/>
  <c r="R823" i="3"/>
  <c r="R825" i="3"/>
  <c r="R828" i="3"/>
  <c r="R830" i="3"/>
  <c r="R834" i="3"/>
  <c r="R835" i="3"/>
  <c r="R837" i="3"/>
  <c r="R838" i="3"/>
  <c r="R842" i="3"/>
  <c r="R843" i="3"/>
  <c r="R845" i="3"/>
  <c r="R846" i="3"/>
  <c r="R849" i="3"/>
  <c r="R850" i="3"/>
  <c r="R859" i="3"/>
  <c r="R860" i="3"/>
  <c r="R861" i="3"/>
  <c r="R863" i="3"/>
  <c r="R865" i="3"/>
  <c r="R869" i="3"/>
  <c r="R870" i="3"/>
  <c r="R872" i="3"/>
  <c r="R875" i="3"/>
  <c r="R877" i="3"/>
  <c r="R879" i="3"/>
  <c r="R880" i="3"/>
  <c r="R882" i="3"/>
  <c r="R886" i="3"/>
  <c r="R889" i="3"/>
  <c r="R892" i="3"/>
  <c r="R893" i="3"/>
  <c r="R897" i="3"/>
  <c r="R898" i="3"/>
  <c r="R900" i="3"/>
  <c r="R902" i="3"/>
  <c r="R906" i="3"/>
  <c r="R907" i="3"/>
  <c r="R908" i="3"/>
  <c r="R910" i="3"/>
  <c r="R912" i="3"/>
  <c r="R913" i="3"/>
  <c r="R914" i="3"/>
  <c r="R915" i="3"/>
  <c r="R916" i="3"/>
  <c r="R921" i="3"/>
  <c r="R925" i="3"/>
  <c r="R926" i="3"/>
  <c r="R931" i="3"/>
  <c r="R934" i="3"/>
  <c r="R935" i="3"/>
  <c r="R936" i="3"/>
  <c r="R938" i="3"/>
  <c r="R941" i="3"/>
  <c r="R942" i="3"/>
  <c r="R945" i="3"/>
  <c r="R950" i="3"/>
  <c r="R952" i="3"/>
  <c r="R953" i="3"/>
  <c r="R955" i="3"/>
  <c r="R957" i="3"/>
  <c r="R958" i="3"/>
  <c r="R960" i="3"/>
  <c r="R968" i="3"/>
  <c r="R974" i="3"/>
  <c r="R979" i="3"/>
  <c r="R981" i="3"/>
  <c r="R983" i="3"/>
  <c r="R984" i="3"/>
  <c r="R986" i="3"/>
  <c r="R990" i="3"/>
  <c r="R991" i="3"/>
  <c r="R993" i="3"/>
  <c r="R994" i="3"/>
  <c r="R996" i="3"/>
  <c r="R997" i="3"/>
  <c r="R998" i="3"/>
  <c r="R1002" i="3"/>
  <c r="R1004" i="3"/>
  <c r="R1005" i="3"/>
  <c r="R1008" i="3"/>
  <c r="R1009" i="3"/>
  <c r="R1012" i="3"/>
  <c r="R1015" i="3"/>
  <c r="R1016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3" i="3"/>
  <c r="R1036" i="3"/>
  <c r="R1039" i="3"/>
  <c r="R1041" i="3"/>
  <c r="R1043" i="3"/>
  <c r="R1044" i="3"/>
  <c r="R1049" i="3"/>
  <c r="R1052" i="3"/>
  <c r="R1054" i="3"/>
  <c r="R1060" i="3"/>
  <c r="R1061" i="3"/>
  <c r="R1063" i="3"/>
  <c r="R1064" i="3"/>
  <c r="R1066" i="3"/>
  <c r="R1067" i="3"/>
  <c r="R1072" i="3"/>
  <c r="R1074" i="3"/>
  <c r="R1075" i="3"/>
  <c r="R1078" i="3"/>
  <c r="R1082" i="3"/>
  <c r="R1085" i="3"/>
  <c r="R1086" i="3"/>
  <c r="R1088" i="3"/>
  <c r="R1090" i="3"/>
  <c r="R1095" i="3"/>
  <c r="R1096" i="3"/>
  <c r="R1097" i="3"/>
  <c r="R1100" i="3"/>
  <c r="R1101" i="3"/>
  <c r="R1108" i="3"/>
  <c r="R1109" i="3"/>
  <c r="R1112" i="3"/>
  <c r="R1114" i="3"/>
  <c r="R1115" i="3"/>
  <c r="R1116" i="3"/>
  <c r="R1118" i="3"/>
  <c r="R1119" i="3"/>
  <c r="R1121" i="3"/>
  <c r="R1123" i="3"/>
  <c r="R1126" i="3"/>
  <c r="R1127" i="3"/>
  <c r="R1129" i="3"/>
  <c r="R1130" i="3"/>
  <c r="R1132" i="3"/>
  <c r="R1138" i="3"/>
  <c r="R1143" i="3"/>
  <c r="R1144" i="3"/>
  <c r="R1146" i="3"/>
  <c r="R1148" i="3"/>
  <c r="R1149" i="3"/>
  <c r="R1151" i="3"/>
  <c r="R1152" i="3"/>
  <c r="R1153" i="3"/>
  <c r="R1154" i="3"/>
  <c r="R1157" i="3"/>
  <c r="R1158" i="3"/>
  <c r="R1159" i="3"/>
  <c r="R1161" i="3"/>
  <c r="R1163" i="3"/>
  <c r="R1167" i="3"/>
  <c r="R1170" i="3"/>
  <c r="R1171" i="3"/>
  <c r="R1174" i="3"/>
  <c r="R1175" i="3"/>
  <c r="R1177" i="3"/>
  <c r="R1178" i="3"/>
  <c r="R1179" i="3"/>
  <c r="R1181" i="3"/>
  <c r="R1183" i="3"/>
  <c r="R1185" i="3"/>
  <c r="R1188" i="3"/>
  <c r="R1189" i="3"/>
  <c r="R1190" i="3"/>
  <c r="R1192" i="3"/>
  <c r="R1193" i="3"/>
  <c r="R1194" i="3"/>
  <c r="R1195" i="3"/>
  <c r="R1197" i="3"/>
  <c r="R1201" i="3"/>
  <c r="R1205" i="3"/>
  <c r="R1206" i="3"/>
  <c r="R1208" i="3"/>
  <c r="R1209" i="3"/>
  <c r="R1211" i="3"/>
  <c r="R1216" i="3"/>
  <c r="R1217" i="3"/>
  <c r="R1218" i="3"/>
  <c r="R1221" i="3"/>
  <c r="R1227" i="3"/>
  <c r="R1230" i="3"/>
  <c r="R1231" i="3"/>
  <c r="R1233" i="3"/>
  <c r="R1236" i="3"/>
  <c r="R1237" i="3"/>
  <c r="R1241" i="3"/>
  <c r="R1243" i="3"/>
  <c r="R1244" i="3"/>
  <c r="R1245" i="3"/>
  <c r="R1248" i="3"/>
  <c r="R1249" i="3"/>
  <c r="R1250" i="3"/>
  <c r="R1251" i="3"/>
  <c r="R1252" i="3"/>
  <c r="R1253" i="3"/>
  <c r="R1257" i="3"/>
  <c r="R1262" i="3"/>
  <c r="R1263" i="3"/>
  <c r="R1264" i="3"/>
  <c r="R1266" i="3"/>
  <c r="R1267" i="3"/>
  <c r="R1268" i="3"/>
  <c r="R1269" i="3"/>
  <c r="R1270" i="3"/>
  <c r="R1271" i="3"/>
  <c r="R1277" i="3"/>
  <c r="R1278" i="3"/>
  <c r="R1280" i="3"/>
  <c r="R1281" i="3"/>
  <c r="R1285" i="3"/>
  <c r="R1288" i="3"/>
  <c r="R1289" i="3"/>
  <c r="R1290" i="3"/>
  <c r="R1292" i="3"/>
  <c r="R1294" i="3"/>
  <c r="R1299" i="3"/>
  <c r="R1303" i="3"/>
  <c r="R1304" i="3"/>
  <c r="R1306" i="3"/>
  <c r="R1307" i="3"/>
  <c r="R1308" i="3"/>
  <c r="R1310" i="3"/>
  <c r="R1312" i="3"/>
  <c r="R1313" i="3"/>
  <c r="R1315" i="3"/>
  <c r="R1317" i="3"/>
  <c r="R1319" i="3"/>
  <c r="R1320" i="3"/>
  <c r="R1322" i="3"/>
  <c r="R1323" i="3"/>
  <c r="R1326" i="3"/>
  <c r="R1332" i="3"/>
  <c r="R1337" i="3"/>
  <c r="R1338" i="3"/>
  <c r="R1340" i="3"/>
  <c r="R1341" i="3"/>
  <c r="R1342" i="3"/>
  <c r="R1349" i="3"/>
  <c r="R1350" i="3"/>
  <c r="R1351" i="3"/>
  <c r="R1352" i="3"/>
  <c r="R1355" i="3"/>
  <c r="R1356" i="3"/>
  <c r="R1357" i="3"/>
  <c r="R1358" i="3"/>
  <c r="R1364" i="3"/>
  <c r="R1365" i="3"/>
  <c r="R1366" i="3"/>
  <c r="R1368" i="3"/>
  <c r="R1373" i="3"/>
  <c r="R1375" i="3"/>
  <c r="R1376" i="3"/>
  <c r="R1377" i="3"/>
  <c r="R1380" i="3"/>
  <c r="R1381" i="3"/>
  <c r="R1382" i="3"/>
  <c r="R1385" i="3"/>
  <c r="R1389" i="3"/>
  <c r="R1390" i="3"/>
  <c r="R1391" i="3"/>
  <c r="R1392" i="3"/>
  <c r="R1393" i="3"/>
  <c r="R1398" i="3"/>
  <c r="R1399" i="3"/>
  <c r="R1402" i="3"/>
  <c r="R1403" i="3"/>
  <c r="R1405" i="3"/>
  <c r="R1407" i="3"/>
  <c r="R1410" i="3"/>
  <c r="R1413" i="3"/>
  <c r="R1417" i="3"/>
  <c r="R1418" i="3"/>
  <c r="R1421" i="3"/>
  <c r="R1423" i="3"/>
  <c r="R1426" i="3"/>
  <c r="R1428" i="3"/>
  <c r="R1429" i="3"/>
  <c r="R1430" i="3"/>
  <c r="R1432" i="3"/>
  <c r="R1435" i="3"/>
  <c r="R1437" i="3"/>
  <c r="R1438" i="3"/>
  <c r="R1439" i="3"/>
  <c r="R1441" i="3"/>
  <c r="R1442" i="3"/>
  <c r="R1444" i="3"/>
  <c r="R1445" i="3"/>
  <c r="R1448" i="3"/>
  <c r="R1449" i="3"/>
  <c r="R1450" i="3"/>
  <c r="R1456" i="3"/>
  <c r="R1458" i="3"/>
  <c r="R1462" i="3"/>
  <c r="R1465" i="3"/>
  <c r="R1466" i="3"/>
  <c r="R1467" i="3"/>
  <c r="R1469" i="3"/>
  <c r="R1470" i="3"/>
  <c r="R1471" i="3"/>
  <c r="R1472" i="3"/>
  <c r="R1474" i="3"/>
  <c r="R1475" i="3"/>
  <c r="R1476" i="3"/>
  <c r="R1477" i="3"/>
  <c r="R1478" i="3"/>
  <c r="R1483" i="3"/>
  <c r="R1486" i="3"/>
  <c r="R1487" i="3"/>
  <c r="R1490" i="3"/>
  <c r="R1491" i="3"/>
  <c r="R1492" i="3"/>
  <c r="R1495" i="3"/>
  <c r="R1499" i="3"/>
  <c r="L6" i="3" l="1"/>
  <c r="B36" i="2"/>
  <c r="B38" i="2" s="1"/>
  <c r="B40" i="2" s="1"/>
  <c r="B39" i="2"/>
  <c r="B29" i="2"/>
  <c r="L5" i="3"/>
  <c r="L7" i="3"/>
  <c r="L8" i="3"/>
  <c r="L9" i="3"/>
  <c r="L10" i="3"/>
  <c r="L14" i="3"/>
  <c r="L17" i="3"/>
  <c r="L18" i="3"/>
  <c r="L20" i="3"/>
  <c r="L21" i="3"/>
  <c r="L22" i="3"/>
  <c r="L24" i="3"/>
  <c r="L26" i="3"/>
  <c r="L28" i="3"/>
  <c r="L29" i="3"/>
  <c r="L31" i="3"/>
  <c r="L33" i="3"/>
  <c r="L35" i="3"/>
  <c r="L38" i="3"/>
  <c r="L40" i="3"/>
  <c r="L41" i="3"/>
  <c r="L43" i="3"/>
  <c r="L44" i="3"/>
  <c r="L45" i="3"/>
  <c r="L49" i="3"/>
  <c r="L51" i="3"/>
  <c r="L52" i="3"/>
  <c r="L53" i="3"/>
  <c r="L54" i="3"/>
  <c r="L55" i="3"/>
  <c r="L56" i="3"/>
  <c r="L58" i="3"/>
  <c r="L60" i="3"/>
  <c r="L61" i="3"/>
  <c r="L63" i="3"/>
  <c r="L64" i="3"/>
  <c r="L66" i="3"/>
  <c r="L67" i="3"/>
  <c r="L70" i="3"/>
  <c r="L73" i="3"/>
  <c r="L75" i="3"/>
  <c r="L78" i="3"/>
  <c r="L80" i="3"/>
  <c r="L81" i="3"/>
  <c r="L82" i="3"/>
  <c r="L83" i="3"/>
  <c r="L85" i="3"/>
  <c r="L87" i="3"/>
  <c r="L89" i="3"/>
  <c r="L93" i="3"/>
  <c r="L94" i="3"/>
  <c r="L96" i="3"/>
  <c r="L98" i="3"/>
  <c r="L99" i="3"/>
  <c r="L101" i="3"/>
  <c r="L106" i="3"/>
  <c r="L109" i="3"/>
  <c r="L110" i="3"/>
  <c r="L111" i="3"/>
  <c r="L112" i="3"/>
  <c r="L113" i="3"/>
  <c r="L115" i="3"/>
  <c r="L119" i="3"/>
  <c r="L120" i="3"/>
  <c r="L126" i="3"/>
  <c r="L129" i="3"/>
  <c r="L135" i="3"/>
  <c r="L136" i="3"/>
  <c r="L137" i="3"/>
  <c r="L139" i="3"/>
  <c r="L152" i="3"/>
  <c r="L157" i="3"/>
  <c r="L160" i="3"/>
  <c r="L161" i="3"/>
  <c r="L165" i="3"/>
  <c r="L166" i="3"/>
  <c r="L169" i="3"/>
  <c r="L170" i="3"/>
  <c r="L173" i="3"/>
  <c r="L174" i="3"/>
  <c r="L180" i="3"/>
  <c r="L182" i="3"/>
  <c r="L184" i="3"/>
  <c r="L185" i="3"/>
  <c r="L187" i="3"/>
  <c r="L190" i="3"/>
  <c r="L191" i="3"/>
  <c r="L193" i="3"/>
  <c r="L194" i="3"/>
  <c r="L195" i="3"/>
  <c r="L198" i="3"/>
  <c r="L201" i="3"/>
  <c r="L203" i="3"/>
  <c r="L205" i="3"/>
  <c r="L207" i="3"/>
  <c r="L209" i="3"/>
  <c r="L210" i="3"/>
  <c r="L212" i="3"/>
  <c r="L213" i="3"/>
  <c r="L215" i="3"/>
  <c r="L216" i="3"/>
  <c r="L218" i="3"/>
  <c r="L219" i="3"/>
  <c r="L221" i="3"/>
  <c r="L223" i="3"/>
  <c r="L224" i="3"/>
  <c r="L226" i="3"/>
  <c r="L230" i="3"/>
  <c r="L231" i="3"/>
  <c r="L235" i="3"/>
  <c r="L236" i="3"/>
  <c r="L237" i="3"/>
  <c r="L242" i="3"/>
  <c r="L243" i="3"/>
  <c r="L244" i="3"/>
  <c r="L246" i="3"/>
  <c r="L249" i="3"/>
  <c r="L252" i="3"/>
  <c r="L253" i="3"/>
  <c r="L254" i="3"/>
  <c r="L261" i="3"/>
  <c r="L264" i="3"/>
  <c r="L266" i="3"/>
  <c r="L268" i="3"/>
  <c r="L269" i="3"/>
  <c r="L270" i="3"/>
  <c r="L272" i="3"/>
  <c r="L275" i="3"/>
  <c r="L277" i="3"/>
  <c r="L278" i="3"/>
  <c r="L282" i="3"/>
  <c r="L284" i="3"/>
  <c r="L285" i="3"/>
  <c r="L292" i="3"/>
  <c r="L295" i="3"/>
  <c r="L296" i="3"/>
  <c r="L298" i="3"/>
  <c r="L300" i="3"/>
  <c r="L301" i="3"/>
  <c r="L302" i="3"/>
  <c r="L304" i="3"/>
  <c r="L308" i="3"/>
  <c r="L309" i="3"/>
  <c r="L310" i="3"/>
  <c r="L311" i="3"/>
  <c r="L313" i="3"/>
  <c r="L318" i="3"/>
  <c r="L320" i="3"/>
  <c r="L321" i="3"/>
  <c r="L323" i="3"/>
  <c r="L324" i="3"/>
  <c r="L326" i="3"/>
  <c r="L327" i="3"/>
  <c r="L330" i="3"/>
  <c r="L331" i="3"/>
  <c r="L335" i="3"/>
  <c r="L337" i="3"/>
  <c r="L338" i="3"/>
  <c r="L339" i="3"/>
  <c r="L344" i="3"/>
  <c r="L345" i="3"/>
  <c r="L347" i="3"/>
  <c r="L350" i="3"/>
  <c r="L351" i="3"/>
  <c r="L353" i="3"/>
  <c r="L354" i="3"/>
  <c r="L356" i="3"/>
  <c r="L357" i="3"/>
  <c r="L360" i="3"/>
  <c r="L362" i="3"/>
  <c r="L365" i="3"/>
  <c r="L367" i="3"/>
  <c r="L369" i="3"/>
  <c r="L371" i="3"/>
  <c r="L375" i="3"/>
  <c r="L377" i="3"/>
  <c r="L378" i="3"/>
  <c r="L379" i="3"/>
  <c r="L380" i="3"/>
  <c r="L385" i="3"/>
  <c r="L386" i="3"/>
  <c r="L388" i="3"/>
  <c r="L392" i="3"/>
  <c r="L393" i="3"/>
  <c r="L398" i="3"/>
  <c r="L399" i="3"/>
  <c r="L401" i="3"/>
  <c r="L404" i="3"/>
  <c r="L406" i="3"/>
  <c r="L407" i="3"/>
  <c r="L408" i="3"/>
  <c r="L409" i="3"/>
  <c r="L410" i="3"/>
  <c r="L411" i="3"/>
  <c r="L412" i="3"/>
  <c r="L418" i="3"/>
  <c r="L421" i="3"/>
  <c r="L427" i="3"/>
  <c r="L428" i="3"/>
  <c r="L432" i="3"/>
  <c r="L433" i="3"/>
  <c r="L436" i="3"/>
  <c r="L437" i="3"/>
  <c r="L442" i="3"/>
  <c r="L444" i="3"/>
  <c r="L447" i="3"/>
  <c r="L448" i="3"/>
  <c r="L452" i="3"/>
  <c r="L454" i="3"/>
  <c r="L455" i="3"/>
  <c r="L457" i="3"/>
  <c r="L458" i="3"/>
  <c r="L460" i="3"/>
  <c r="L462" i="3"/>
  <c r="L463" i="3"/>
  <c r="L470" i="3"/>
  <c r="L471" i="3"/>
  <c r="L472" i="3"/>
  <c r="L473" i="3"/>
  <c r="L474" i="3"/>
  <c r="L475" i="3"/>
  <c r="L476" i="3"/>
  <c r="L481" i="3"/>
  <c r="L482" i="3"/>
  <c r="L483" i="3"/>
  <c r="L484" i="3"/>
  <c r="L485" i="3"/>
  <c r="L486" i="3"/>
  <c r="L488" i="3"/>
  <c r="L489" i="3"/>
  <c r="L490" i="3"/>
  <c r="L492" i="3"/>
  <c r="L495" i="3"/>
  <c r="L496" i="3"/>
  <c r="L499" i="3"/>
  <c r="L500" i="3"/>
  <c r="L501" i="3"/>
  <c r="L504" i="3"/>
  <c r="L506" i="3"/>
  <c r="L509" i="3"/>
  <c r="L511" i="3"/>
  <c r="L512" i="3"/>
  <c r="L513" i="3"/>
  <c r="L514" i="3"/>
  <c r="L515" i="3"/>
  <c r="L516" i="3"/>
  <c r="L517" i="3"/>
  <c r="L522" i="3"/>
  <c r="L523" i="3"/>
  <c r="L524" i="3"/>
  <c r="L528" i="3"/>
  <c r="L530" i="3"/>
  <c r="L532" i="3"/>
  <c r="L533" i="3"/>
  <c r="L539" i="3"/>
  <c r="L542" i="3"/>
  <c r="L545" i="3"/>
  <c r="L546" i="3"/>
  <c r="L547" i="3"/>
  <c r="L548" i="3"/>
  <c r="L549" i="3"/>
  <c r="L550" i="3"/>
  <c r="L551" i="3"/>
  <c r="L552" i="3"/>
  <c r="L555" i="3"/>
  <c r="L556" i="3"/>
  <c r="L561" i="3"/>
  <c r="L564" i="3"/>
  <c r="L565" i="3"/>
  <c r="L568" i="3"/>
  <c r="L569" i="3"/>
  <c r="L572" i="3"/>
  <c r="L574" i="3"/>
  <c r="L575" i="3"/>
  <c r="L577" i="3"/>
  <c r="L578" i="3"/>
  <c r="L579" i="3"/>
  <c r="L581" i="3"/>
  <c r="L583" i="3"/>
  <c r="L584" i="3"/>
  <c r="L585" i="3"/>
  <c r="L588" i="3"/>
  <c r="L589" i="3"/>
  <c r="L590" i="3"/>
  <c r="L591" i="3"/>
  <c r="L592" i="3"/>
  <c r="L596" i="3"/>
  <c r="L597" i="3"/>
  <c r="L598" i="3"/>
  <c r="L600" i="3"/>
  <c r="L604" i="3"/>
  <c r="L608" i="3"/>
  <c r="L609" i="3"/>
  <c r="L613" i="3"/>
  <c r="L614" i="3"/>
  <c r="L615" i="3"/>
  <c r="L618" i="3"/>
  <c r="L620" i="3"/>
  <c r="L622" i="3"/>
  <c r="L624" i="3"/>
  <c r="L627" i="3"/>
  <c r="L630" i="3"/>
  <c r="L631" i="3"/>
  <c r="L632" i="3"/>
  <c r="L633" i="3"/>
  <c r="L637" i="3"/>
  <c r="L638" i="3"/>
  <c r="L639" i="3"/>
  <c r="L640" i="3"/>
  <c r="L641" i="3"/>
  <c r="L642" i="3"/>
  <c r="L644" i="3"/>
  <c r="L645" i="3"/>
  <c r="L648" i="3"/>
  <c r="L655" i="3"/>
  <c r="L657" i="3"/>
  <c r="L658" i="3"/>
  <c r="L660" i="3"/>
  <c r="L661" i="3"/>
  <c r="L663" i="3"/>
  <c r="L664" i="3"/>
  <c r="L666" i="3"/>
  <c r="L667" i="3"/>
  <c r="L669" i="3"/>
  <c r="L672" i="3"/>
  <c r="L674" i="3"/>
  <c r="L676" i="3"/>
  <c r="L681" i="3"/>
  <c r="L684" i="3"/>
  <c r="L686" i="3"/>
  <c r="L687" i="3"/>
  <c r="L689" i="3"/>
  <c r="L692" i="3"/>
  <c r="L693" i="3"/>
  <c r="L694" i="3"/>
  <c r="L695" i="3"/>
  <c r="L696" i="3"/>
  <c r="L697" i="3"/>
  <c r="L699" i="3"/>
  <c r="L701" i="3"/>
  <c r="L709" i="3"/>
  <c r="L711" i="3"/>
  <c r="L712" i="3"/>
  <c r="L715" i="3"/>
  <c r="L716" i="3"/>
  <c r="L718" i="3"/>
  <c r="L721" i="3"/>
  <c r="L723" i="3"/>
  <c r="L724" i="3"/>
  <c r="L727" i="3"/>
  <c r="L728" i="3"/>
  <c r="L732" i="3"/>
  <c r="L735" i="3"/>
  <c r="L739" i="3"/>
  <c r="L740" i="3"/>
  <c r="L741" i="3"/>
  <c r="L743" i="3"/>
  <c r="L744" i="3"/>
  <c r="L745" i="3"/>
  <c r="L746" i="3"/>
  <c r="L750" i="3"/>
  <c r="L753" i="3"/>
  <c r="L755" i="3"/>
  <c r="L756" i="3"/>
  <c r="L759" i="3"/>
  <c r="L760" i="3"/>
  <c r="L762" i="3"/>
  <c r="L765" i="3"/>
  <c r="L766" i="3"/>
  <c r="L768" i="3"/>
  <c r="L769" i="3"/>
  <c r="L771" i="3"/>
  <c r="L778" i="3"/>
  <c r="L779" i="3"/>
  <c r="L781" i="3"/>
  <c r="L784" i="3"/>
  <c r="L785" i="3"/>
  <c r="L786" i="3"/>
  <c r="L787" i="3"/>
  <c r="L788" i="3"/>
  <c r="L789" i="3"/>
  <c r="L790" i="3"/>
  <c r="L795" i="3"/>
  <c r="L796" i="3"/>
  <c r="L797" i="3"/>
  <c r="L799" i="3"/>
  <c r="L800" i="3"/>
  <c r="L808" i="3"/>
  <c r="L810" i="3"/>
  <c r="L811" i="3"/>
  <c r="L818" i="3"/>
  <c r="L821" i="3"/>
  <c r="L826" i="3"/>
  <c r="L831" i="3"/>
  <c r="L832" i="3"/>
  <c r="L835" i="3"/>
  <c r="L836" i="3"/>
  <c r="L839" i="3"/>
  <c r="L840" i="3"/>
  <c r="L841" i="3"/>
  <c r="L843" i="3"/>
  <c r="L844" i="3"/>
  <c r="L845" i="3"/>
  <c r="L848" i="3"/>
  <c r="L853" i="3"/>
  <c r="L854" i="3"/>
  <c r="L855" i="3"/>
  <c r="L858" i="3"/>
  <c r="L859" i="3"/>
  <c r="L861" i="3"/>
  <c r="L862" i="3"/>
  <c r="L863" i="3"/>
  <c r="L864" i="3"/>
  <c r="L865" i="3"/>
  <c r="L866" i="3"/>
  <c r="L867" i="3"/>
  <c r="L873" i="3"/>
  <c r="L877" i="3"/>
  <c r="L881" i="3"/>
  <c r="L883" i="3"/>
  <c r="L884" i="3"/>
  <c r="L886" i="3"/>
  <c r="L887" i="3"/>
  <c r="L888" i="3"/>
  <c r="L889" i="3"/>
  <c r="L890" i="3"/>
  <c r="L891" i="3"/>
  <c r="L895" i="3"/>
  <c r="L896" i="3"/>
  <c r="L898" i="3"/>
  <c r="L899" i="3"/>
  <c r="L900" i="3"/>
  <c r="L901" i="3"/>
  <c r="L903" i="3"/>
  <c r="L904" i="3"/>
  <c r="L905" i="3"/>
  <c r="L909" i="3"/>
  <c r="L911" i="3"/>
  <c r="L917" i="3"/>
  <c r="L920" i="3"/>
  <c r="L922" i="3"/>
  <c r="L923" i="3"/>
  <c r="L924" i="3"/>
  <c r="L925" i="3"/>
  <c r="L928" i="3"/>
  <c r="L930" i="3"/>
  <c r="L931" i="3"/>
  <c r="L932" i="3"/>
  <c r="L937" i="3"/>
  <c r="L938" i="3"/>
  <c r="L940" i="3"/>
  <c r="L943" i="3"/>
  <c r="L944" i="3"/>
  <c r="L945" i="3"/>
  <c r="L947" i="3"/>
  <c r="L948" i="3"/>
  <c r="L949" i="3"/>
  <c r="L951" i="3"/>
  <c r="L957" i="3"/>
  <c r="L959" i="3"/>
  <c r="L961" i="3"/>
  <c r="L962" i="3"/>
  <c r="L963" i="3"/>
  <c r="L964" i="3"/>
  <c r="L969" i="3"/>
  <c r="L972" i="3"/>
  <c r="L973" i="3"/>
  <c r="L975" i="3"/>
  <c r="L976" i="3"/>
  <c r="L977" i="3"/>
  <c r="L980" i="3"/>
  <c r="L981" i="3"/>
  <c r="L985" i="3"/>
  <c r="L986" i="3"/>
  <c r="L987" i="3"/>
  <c r="L988" i="3"/>
  <c r="L989" i="3"/>
  <c r="L990" i="3"/>
  <c r="L992" i="3"/>
  <c r="L993" i="3"/>
  <c r="L996" i="3"/>
  <c r="L997" i="3"/>
  <c r="L998" i="3"/>
  <c r="L999" i="3"/>
  <c r="L1001" i="3"/>
  <c r="L1002" i="3"/>
  <c r="L1003" i="3"/>
  <c r="L1004" i="3"/>
  <c r="L1007" i="3"/>
  <c r="L1010" i="3"/>
  <c r="L1011" i="3"/>
  <c r="L1014" i="3"/>
  <c r="L1017" i="3"/>
  <c r="L1018" i="3"/>
  <c r="L1022" i="3"/>
  <c r="L1023" i="3"/>
  <c r="L1025" i="3"/>
  <c r="L1026" i="3"/>
  <c r="L1028" i="3"/>
  <c r="L1032" i="3"/>
  <c r="L1035" i="3"/>
  <c r="L1037" i="3"/>
  <c r="L1040" i="3"/>
  <c r="L1043" i="3"/>
  <c r="L1045" i="3"/>
  <c r="L1047" i="3"/>
  <c r="L1048" i="3"/>
  <c r="L1051" i="3"/>
  <c r="L1053" i="3"/>
  <c r="L1055" i="3"/>
  <c r="L1059" i="3"/>
  <c r="L1062" i="3"/>
  <c r="L1068" i="3"/>
  <c r="L1070" i="3"/>
  <c r="L1071" i="3"/>
  <c r="L1073" i="3"/>
  <c r="L1077" i="3"/>
  <c r="L1078" i="3"/>
  <c r="L1081" i="3"/>
  <c r="L1087" i="3"/>
  <c r="L1089" i="3"/>
  <c r="L1091" i="3"/>
  <c r="L1092" i="3"/>
  <c r="L1093" i="3"/>
  <c r="L1094" i="3"/>
  <c r="L1105" i="3"/>
  <c r="L1106" i="3"/>
  <c r="L1108" i="3"/>
  <c r="L1109" i="3"/>
  <c r="L1110" i="3"/>
  <c r="L1112" i="3"/>
  <c r="L1117" i="3"/>
  <c r="L1123" i="3"/>
  <c r="L1124" i="3"/>
  <c r="L1125" i="3"/>
  <c r="L1128" i="3"/>
  <c r="L1130" i="3"/>
  <c r="L1133" i="3"/>
  <c r="L1134" i="3"/>
  <c r="L1135" i="3"/>
  <c r="L1136" i="3"/>
  <c r="L1137" i="3"/>
  <c r="L1139" i="3"/>
  <c r="L1140" i="3"/>
  <c r="L1142" i="3"/>
  <c r="L1146" i="3"/>
  <c r="L1147" i="3"/>
  <c r="L1150" i="3"/>
  <c r="L1153" i="3"/>
  <c r="L1154" i="3"/>
  <c r="L1155" i="3"/>
  <c r="L1160" i="3"/>
  <c r="L1162" i="3"/>
  <c r="L1164" i="3"/>
  <c r="L1165" i="3"/>
  <c r="L1169" i="3"/>
  <c r="L1171" i="3"/>
  <c r="L1172" i="3"/>
  <c r="L1173" i="3"/>
  <c r="L1175" i="3"/>
  <c r="L1176" i="3"/>
  <c r="L1178" i="3"/>
  <c r="L1182" i="3"/>
  <c r="L1183" i="3"/>
  <c r="L1186" i="3"/>
  <c r="L1187" i="3"/>
  <c r="L1191" i="3"/>
  <c r="L1192" i="3"/>
  <c r="L1193" i="3"/>
  <c r="L1196" i="3"/>
  <c r="L1197" i="3"/>
  <c r="L1199" i="3"/>
  <c r="L1203" i="3"/>
  <c r="L1204" i="3"/>
  <c r="L1207" i="3"/>
  <c r="L1210" i="3"/>
  <c r="L1212" i="3"/>
  <c r="L1214" i="3"/>
  <c r="L1215" i="3"/>
  <c r="L1217" i="3"/>
  <c r="L1220" i="3"/>
  <c r="L1221" i="3"/>
  <c r="L1222" i="3"/>
  <c r="L1223" i="3"/>
  <c r="L1224" i="3"/>
  <c r="L1225" i="3"/>
  <c r="L1228" i="3"/>
  <c r="L1230" i="3"/>
  <c r="L1235" i="3"/>
  <c r="L1237" i="3"/>
  <c r="L1241" i="3"/>
  <c r="L1245" i="3"/>
  <c r="L1247" i="3"/>
  <c r="L1250" i="3"/>
  <c r="L1251" i="3"/>
  <c r="L1254" i="3"/>
  <c r="L1255" i="3"/>
  <c r="L1256" i="3"/>
  <c r="L1259" i="3"/>
  <c r="L1260" i="3"/>
  <c r="L1261" i="3"/>
  <c r="L1265" i="3"/>
  <c r="L1266" i="3"/>
  <c r="L1272" i="3"/>
  <c r="L1273" i="3"/>
  <c r="L1274" i="3"/>
  <c r="L1277" i="3"/>
  <c r="L1282" i="3"/>
  <c r="L1284" i="3"/>
  <c r="L1287" i="3"/>
  <c r="L1288" i="3"/>
  <c r="L1293" i="3"/>
  <c r="L1302" i="3"/>
  <c r="L1309" i="3"/>
  <c r="L1314" i="3"/>
  <c r="L1316" i="3"/>
  <c r="L1318" i="3"/>
  <c r="L1324" i="3"/>
  <c r="L1325" i="3"/>
  <c r="L1326" i="3"/>
  <c r="L1327" i="3"/>
  <c r="L1328" i="3"/>
  <c r="L1329" i="3"/>
  <c r="L1331" i="3"/>
  <c r="L1333" i="3"/>
  <c r="L1336" i="3"/>
  <c r="L1337" i="3"/>
  <c r="L1339" i="3"/>
  <c r="L1342" i="3"/>
  <c r="L1343" i="3"/>
  <c r="L1344" i="3"/>
  <c r="L1346" i="3"/>
  <c r="L1347" i="3"/>
  <c r="L1349" i="3"/>
  <c r="L1352" i="3"/>
  <c r="L1353" i="3"/>
  <c r="L1354" i="3"/>
  <c r="L1355" i="3"/>
  <c r="L1359" i="3"/>
  <c r="L1360" i="3"/>
  <c r="L1361" i="3"/>
  <c r="L1362" i="3"/>
  <c r="L1363" i="3"/>
  <c r="L1367" i="3"/>
  <c r="L1369" i="3"/>
  <c r="L1371" i="3"/>
  <c r="L1372" i="3"/>
  <c r="L1379" i="3"/>
  <c r="L1383" i="3"/>
  <c r="L1386" i="3"/>
  <c r="L1387" i="3"/>
  <c r="L1388" i="3"/>
  <c r="L1389" i="3"/>
  <c r="L1390" i="3"/>
  <c r="L1394" i="3"/>
  <c r="L1395" i="3"/>
  <c r="L1397" i="3"/>
  <c r="L1398" i="3"/>
  <c r="L1400" i="3"/>
  <c r="L1401" i="3"/>
  <c r="L1402" i="3"/>
  <c r="L1403" i="3"/>
  <c r="L1404" i="3"/>
  <c r="L1406" i="3"/>
  <c r="L1407" i="3"/>
  <c r="L1408" i="3"/>
  <c r="L1411" i="3"/>
  <c r="L1414" i="3"/>
  <c r="L1416" i="3"/>
  <c r="L1420" i="3"/>
  <c r="L1424" i="3"/>
  <c r="L1427" i="3"/>
  <c r="L1431" i="3"/>
  <c r="L1433" i="3"/>
  <c r="L1436" i="3"/>
  <c r="L1437" i="3"/>
  <c r="L1439" i="3"/>
  <c r="L1440" i="3"/>
  <c r="L1445" i="3"/>
  <c r="L1446" i="3"/>
  <c r="L1449" i="3"/>
  <c r="L1450" i="3"/>
  <c r="L1451" i="3"/>
  <c r="L1453" i="3"/>
  <c r="L1455" i="3"/>
  <c r="L1459" i="3"/>
  <c r="L1461" i="3"/>
  <c r="L1468" i="3"/>
  <c r="L1471" i="3"/>
  <c r="L1473" i="3"/>
  <c r="L1475" i="3"/>
  <c r="L1479" i="3"/>
  <c r="L1480" i="3"/>
  <c r="L1482" i="3"/>
  <c r="L1485" i="3"/>
  <c r="L1488" i="3"/>
  <c r="L1491" i="3"/>
  <c r="L1492" i="3"/>
  <c r="L1493" i="3"/>
  <c r="L1494" i="3"/>
  <c r="L1496" i="3"/>
  <c r="L1497" i="3"/>
  <c r="L1498" i="3"/>
  <c r="B14" i="2"/>
  <c r="B17" i="2" s="1"/>
  <c r="L4" i="3"/>
  <c r="L11" i="3"/>
  <c r="L19" i="3"/>
  <c r="L25" i="3"/>
  <c r="L27" i="3"/>
  <c r="L37" i="3"/>
  <c r="L39" i="3"/>
  <c r="L42" i="3"/>
  <c r="L46" i="3"/>
  <c r="L59" i="3"/>
  <c r="L65" i="3"/>
  <c r="L69" i="3"/>
  <c r="L72" i="3"/>
  <c r="L74" i="3"/>
  <c r="L79" i="3"/>
  <c r="L84" i="3"/>
  <c r="L90" i="3"/>
  <c r="L91" i="3"/>
  <c r="L92" i="3"/>
  <c r="L95" i="3"/>
  <c r="L107" i="3"/>
  <c r="L116" i="3"/>
  <c r="L117" i="3"/>
  <c r="L122" i="3"/>
  <c r="L123" i="3"/>
  <c r="L124" i="3"/>
  <c r="L128" i="3"/>
  <c r="L131" i="3"/>
  <c r="L133" i="3"/>
  <c r="L141" i="3"/>
  <c r="L143" i="3"/>
  <c r="L146" i="3"/>
  <c r="L147" i="3"/>
  <c r="L148" i="3"/>
  <c r="L150" i="3"/>
  <c r="L151" i="3"/>
  <c r="L154" i="3"/>
  <c r="L155" i="3"/>
  <c r="L158" i="3"/>
  <c r="L167" i="3"/>
  <c r="L172" i="3"/>
  <c r="L178" i="3"/>
  <c r="L179" i="3"/>
  <c r="L181" i="3"/>
  <c r="L183" i="3"/>
  <c r="L189" i="3"/>
  <c r="L196" i="3"/>
  <c r="L200" i="3"/>
  <c r="L202" i="3"/>
  <c r="L206" i="3"/>
  <c r="L208" i="3"/>
  <c r="L214" i="3"/>
  <c r="L222" i="3"/>
  <c r="L225" i="3"/>
  <c r="L227" i="3"/>
  <c r="L228" i="3"/>
  <c r="L229" i="3"/>
  <c r="L232" i="3"/>
  <c r="L233" i="3"/>
  <c r="L234" i="3"/>
  <c r="L239" i="3"/>
  <c r="L240" i="3"/>
  <c r="L241" i="3"/>
  <c r="L248" i="3"/>
  <c r="R248" i="3" s="1"/>
  <c r="L251" i="3"/>
  <c r="L256" i="3"/>
  <c r="L257" i="3"/>
  <c r="L258" i="3"/>
  <c r="L259" i="3"/>
  <c r="L260" i="3"/>
  <c r="L263" i="3"/>
  <c r="L280" i="3"/>
  <c r="L281" i="3"/>
  <c r="L283" i="3"/>
  <c r="R283" i="3" s="1"/>
  <c r="L286" i="3"/>
  <c r="L287" i="3"/>
  <c r="R287" i="3" s="1"/>
  <c r="L288" i="3"/>
  <c r="L289" i="3"/>
  <c r="L290" i="3"/>
  <c r="R290" i="3" s="1"/>
  <c r="L291" i="3"/>
  <c r="L293" i="3"/>
  <c r="L294" i="3"/>
  <c r="L297" i="3"/>
  <c r="L303" i="3"/>
  <c r="L305" i="3"/>
  <c r="L315" i="3"/>
  <c r="L319" i="3"/>
  <c r="L322" i="3"/>
  <c r="R322" i="3" s="1"/>
  <c r="L336" i="3"/>
  <c r="L342" i="3"/>
  <c r="R342" i="3" s="1"/>
  <c r="L343" i="3"/>
  <c r="R343" i="3" s="1"/>
  <c r="L348" i="3"/>
  <c r="R348" i="3" s="1"/>
  <c r="L349" i="3"/>
  <c r="L352" i="3"/>
  <c r="L355" i="3"/>
  <c r="L358" i="3"/>
  <c r="L359" i="3"/>
  <c r="L361" i="3"/>
  <c r="R361" i="3" s="1"/>
  <c r="L363" i="3"/>
  <c r="R363" i="3" s="1"/>
  <c r="L368" i="3"/>
  <c r="R368" i="3" s="1"/>
  <c r="L370" i="3"/>
  <c r="R370" i="3" s="1"/>
  <c r="L372" i="3"/>
  <c r="R372" i="3" s="1"/>
  <c r="L374" i="3"/>
  <c r="R374" i="3" s="1"/>
  <c r="L381" i="3"/>
  <c r="L382" i="3"/>
  <c r="R382" i="3" s="1"/>
  <c r="L383" i="3"/>
  <c r="L384" i="3"/>
  <c r="L387" i="3"/>
  <c r="L390" i="3"/>
  <c r="L391" i="3"/>
  <c r="R391" i="3" s="1"/>
  <c r="L394" i="3"/>
  <c r="R394" i="3" s="1"/>
  <c r="L396" i="3"/>
  <c r="L400" i="3"/>
  <c r="R400" i="3" s="1"/>
  <c r="L402" i="3"/>
  <c r="L405" i="3"/>
  <c r="L413" i="3"/>
  <c r="L414" i="3"/>
  <c r="R414" i="3" s="1"/>
  <c r="L416" i="3"/>
  <c r="L417" i="3"/>
  <c r="L420" i="3"/>
  <c r="L423" i="3"/>
  <c r="L424" i="3"/>
  <c r="R424" i="3" s="1"/>
  <c r="L430" i="3"/>
  <c r="L431" i="3"/>
  <c r="R431" i="3" s="1"/>
  <c r="L441" i="3"/>
  <c r="L443" i="3"/>
  <c r="L445" i="3"/>
  <c r="L450" i="3"/>
  <c r="R450" i="3" s="1"/>
  <c r="L451" i="3"/>
  <c r="R451" i="3" s="1"/>
  <c r="L461" i="3"/>
  <c r="L464" i="3"/>
  <c r="L465" i="3"/>
  <c r="L466" i="3"/>
  <c r="L480" i="3"/>
  <c r="L491" i="3"/>
  <c r="R491" i="3" s="1"/>
  <c r="L493" i="3"/>
  <c r="R493" i="3" s="1"/>
  <c r="L497" i="3"/>
  <c r="L498" i="3"/>
  <c r="R498" i="3" s="1"/>
  <c r="L502" i="3"/>
  <c r="L505" i="3"/>
  <c r="L508" i="3"/>
  <c r="L510" i="3"/>
  <c r="L525" i="3"/>
  <c r="L531" i="3"/>
  <c r="L536" i="3"/>
  <c r="L540" i="3"/>
  <c r="R540" i="3" s="1"/>
  <c r="L541" i="3"/>
  <c r="R541" i="3" s="1"/>
  <c r="L553" i="3"/>
  <c r="L554" i="3"/>
  <c r="R554" i="3" s="1"/>
  <c r="L557" i="3"/>
  <c r="L558" i="3"/>
  <c r="R558" i="3" s="1"/>
  <c r="L560" i="3"/>
  <c r="L562" i="3"/>
  <c r="L566" i="3"/>
  <c r="L587" i="3"/>
  <c r="L594" i="3"/>
  <c r="L595" i="3"/>
  <c r="L601" i="3"/>
  <c r="R601" i="3" s="1"/>
  <c r="L602" i="3"/>
  <c r="L603" i="3"/>
  <c r="R603" i="3" s="1"/>
  <c r="L605" i="3"/>
  <c r="L606" i="3"/>
  <c r="R606" i="3" s="1"/>
  <c r="L607" i="3"/>
  <c r="L611" i="3"/>
  <c r="L612" i="3"/>
  <c r="R612" i="3" s="1"/>
  <c r="L625" i="3"/>
  <c r="L626" i="3"/>
  <c r="L629" i="3"/>
  <c r="L634" i="3"/>
  <c r="L643" i="3"/>
  <c r="R643" i="3" s="1"/>
  <c r="L646" i="3"/>
  <c r="L650" i="3"/>
  <c r="R650" i="3" s="1"/>
  <c r="L652" i="3"/>
  <c r="R652" i="3" s="1"/>
  <c r="L654" i="3"/>
  <c r="R654" i="3" s="1"/>
  <c r="L656" i="3"/>
  <c r="L665" i="3"/>
  <c r="R665" i="3" s="1"/>
  <c r="L668" i="3"/>
  <c r="R668" i="3" s="1"/>
  <c r="L670" i="3"/>
  <c r="L673" i="3"/>
  <c r="L678" i="3"/>
  <c r="L680" i="3"/>
  <c r="L682" i="3"/>
  <c r="L683" i="3"/>
  <c r="L688" i="3"/>
  <c r="R688" i="3" s="1"/>
  <c r="L690" i="3"/>
  <c r="R690" i="3" s="1"/>
  <c r="L691" i="3"/>
  <c r="L698" i="3"/>
  <c r="R698" i="3" s="1"/>
  <c r="L700" i="3"/>
  <c r="R700" i="3" s="1"/>
  <c r="L704" i="3"/>
  <c r="R704" i="3" s="1"/>
  <c r="L705" i="3"/>
  <c r="L706" i="3"/>
  <c r="L707" i="3"/>
  <c r="R707" i="3" s="1"/>
  <c r="L713" i="3"/>
  <c r="L717" i="3"/>
  <c r="L720" i="3"/>
  <c r="R720" i="3" s="1"/>
  <c r="L725" i="3"/>
  <c r="R725" i="3" s="1"/>
  <c r="L729" i="3"/>
  <c r="R729" i="3" s="1"/>
  <c r="L731" i="3"/>
  <c r="R731" i="3" s="1"/>
  <c r="L734" i="3"/>
  <c r="L736" i="3"/>
  <c r="R736" i="3" s="1"/>
  <c r="L742" i="3"/>
  <c r="R742" i="3" s="1"/>
  <c r="L747" i="3"/>
  <c r="R747" i="3" s="1"/>
  <c r="L749" i="3"/>
  <c r="R749" i="3" s="1"/>
  <c r="L754" i="3"/>
  <c r="L763" i="3"/>
  <c r="L764" i="3"/>
  <c r="R764" i="3" s="1"/>
  <c r="L767" i="3"/>
  <c r="L773" i="3"/>
  <c r="L775" i="3"/>
  <c r="R775" i="3" s="1"/>
  <c r="L776" i="3"/>
  <c r="R776" i="3" s="1"/>
  <c r="L780" i="3"/>
  <c r="R780" i="3" s="1"/>
  <c r="L783" i="3"/>
  <c r="L791" i="3"/>
  <c r="R791" i="3" s="1"/>
  <c r="L794" i="3"/>
  <c r="R794" i="3" s="1"/>
  <c r="L798" i="3"/>
  <c r="L802" i="3"/>
  <c r="L803" i="3"/>
  <c r="L804" i="3"/>
  <c r="L812" i="3"/>
  <c r="R812" i="3" s="1"/>
  <c r="L815" i="3"/>
  <c r="R815" i="3" s="1"/>
  <c r="L817" i="3"/>
  <c r="R817" i="3" s="1"/>
  <c r="L819" i="3"/>
  <c r="R819" i="3" s="1"/>
  <c r="L820" i="3"/>
  <c r="R820" i="3" s="1"/>
  <c r="L824" i="3"/>
  <c r="R824" i="3" s="1"/>
  <c r="L827" i="3"/>
  <c r="R827" i="3" s="1"/>
  <c r="L829" i="3"/>
  <c r="R829" i="3" s="1"/>
  <c r="L830" i="3"/>
  <c r="L833" i="3"/>
  <c r="R833" i="3" s="1"/>
  <c r="L834" i="3"/>
  <c r="L847" i="3"/>
  <c r="R847" i="3" s="1"/>
  <c r="L849" i="3"/>
  <c r="L850" i="3"/>
  <c r="L851" i="3"/>
  <c r="R851" i="3" s="1"/>
  <c r="L852" i="3"/>
  <c r="R852" i="3" s="1"/>
  <c r="L856" i="3"/>
  <c r="R856" i="3" s="1"/>
  <c r="L857" i="3"/>
  <c r="R857" i="3" s="1"/>
  <c r="L860" i="3"/>
  <c r="L868" i="3"/>
  <c r="R868" i="3" s="1"/>
  <c r="L871" i="3"/>
  <c r="R871" i="3" s="1"/>
  <c r="L872" i="3"/>
  <c r="L874" i="3"/>
  <c r="R874" i="3" s="1"/>
  <c r="L876" i="3"/>
  <c r="R876" i="3" s="1"/>
  <c r="L878" i="3"/>
  <c r="R878" i="3" s="1"/>
  <c r="L879" i="3"/>
  <c r="L885" i="3"/>
  <c r="R885" i="3" s="1"/>
  <c r="L894" i="3"/>
  <c r="R894" i="3" s="1"/>
  <c r="L912" i="3"/>
  <c r="L918" i="3"/>
  <c r="R918" i="3" s="1"/>
  <c r="L919" i="3"/>
  <c r="R919" i="3" s="1"/>
  <c r="L926" i="3"/>
  <c r="L927" i="3"/>
  <c r="R927" i="3" s="1"/>
  <c r="L929" i="3"/>
  <c r="R929" i="3" s="1"/>
  <c r="L933" i="3"/>
  <c r="R933" i="3" s="1"/>
  <c r="L934" i="3"/>
  <c r="L939" i="3"/>
  <c r="R939" i="3" s="1"/>
  <c r="L942" i="3"/>
  <c r="L946" i="3"/>
  <c r="R946" i="3" s="1"/>
  <c r="L950" i="3"/>
  <c r="L952" i="3"/>
  <c r="L953" i="3"/>
  <c r="L954" i="3"/>
  <c r="R954" i="3" s="1"/>
  <c r="L956" i="3"/>
  <c r="R956" i="3" s="1"/>
  <c r="L960" i="3"/>
  <c r="L965" i="3"/>
  <c r="R965" i="3" s="1"/>
  <c r="L966" i="3"/>
  <c r="R966" i="3" s="1"/>
  <c r="L967" i="3"/>
  <c r="R967" i="3" s="1"/>
  <c r="L970" i="3"/>
  <c r="R970" i="3" s="1"/>
  <c r="L971" i="3"/>
  <c r="R971" i="3" s="1"/>
  <c r="L978" i="3"/>
  <c r="R978" i="3" s="1"/>
  <c r="L979" i="3"/>
  <c r="L982" i="3"/>
  <c r="R982" i="3" s="1"/>
  <c r="L984" i="3"/>
  <c r="L995" i="3"/>
  <c r="R995" i="3" s="1"/>
  <c r="L1000" i="3"/>
  <c r="R1000" i="3" s="1"/>
  <c r="L1005" i="3"/>
  <c r="L1006" i="3"/>
  <c r="R1006" i="3" s="1"/>
  <c r="L1009" i="3"/>
  <c r="L1013" i="3"/>
  <c r="R1013" i="3" s="1"/>
  <c r="L1015" i="3"/>
  <c r="L1019" i="3"/>
  <c r="L1020" i="3"/>
  <c r="L1021" i="3"/>
  <c r="L1031" i="3"/>
  <c r="L1033" i="3"/>
  <c r="L1034" i="3"/>
  <c r="R1034" i="3" s="1"/>
  <c r="L1036" i="3"/>
  <c r="L1038" i="3"/>
  <c r="R1038" i="3" s="1"/>
  <c r="L1042" i="3"/>
  <c r="R1042" i="3" s="1"/>
  <c r="L1044" i="3"/>
  <c r="L1046" i="3"/>
  <c r="R1046" i="3" s="1"/>
  <c r="L1050" i="3"/>
  <c r="R1050" i="3" s="1"/>
  <c r="L1056" i="3"/>
  <c r="R1056" i="3" s="1"/>
  <c r="L1057" i="3"/>
  <c r="R1057" i="3" s="1"/>
  <c r="L1058" i="3"/>
  <c r="R1058" i="3" s="1"/>
  <c r="L1063" i="3"/>
  <c r="L1064" i="3"/>
  <c r="L1065" i="3"/>
  <c r="R1065" i="3" s="1"/>
  <c r="L1066" i="3"/>
  <c r="L1069" i="3"/>
  <c r="R1069" i="3" s="1"/>
  <c r="L1072" i="3"/>
  <c r="L1076" i="3"/>
  <c r="R1076" i="3" s="1"/>
  <c r="L1079" i="3"/>
  <c r="R1079" i="3" s="1"/>
  <c r="L1080" i="3"/>
  <c r="R1080" i="3" s="1"/>
  <c r="L1083" i="3"/>
  <c r="R1083" i="3" s="1"/>
  <c r="L1084" i="3"/>
  <c r="R1084" i="3" s="1"/>
  <c r="L1090" i="3"/>
  <c r="L1097" i="3"/>
  <c r="L1098" i="3"/>
  <c r="R1098" i="3" s="1"/>
  <c r="L1099" i="3"/>
  <c r="R1099" i="3" s="1"/>
  <c r="L1102" i="3"/>
  <c r="R1102" i="3" s="1"/>
  <c r="L1103" i="3"/>
  <c r="R1103" i="3" s="1"/>
  <c r="L1104" i="3"/>
  <c r="R1104" i="3" s="1"/>
  <c r="L1107" i="3"/>
  <c r="R1107" i="3" s="1"/>
  <c r="L1111" i="3"/>
  <c r="R1111" i="3" s="1"/>
  <c r="L1113" i="3"/>
  <c r="R1113" i="3" s="1"/>
  <c r="L1115" i="3"/>
  <c r="L1120" i="3"/>
  <c r="R1120" i="3" s="1"/>
  <c r="L1122" i="3"/>
  <c r="R1122" i="3" s="1"/>
  <c r="L1127" i="3"/>
  <c r="L1129" i="3"/>
  <c r="L1131" i="3"/>
  <c r="R1131" i="3" s="1"/>
  <c r="L1138" i="3"/>
  <c r="L1141" i="3"/>
  <c r="R1141" i="3" s="1"/>
  <c r="L1145" i="3"/>
  <c r="R1145" i="3" s="1"/>
  <c r="L1148" i="3"/>
  <c r="L1151" i="3"/>
  <c r="L1152" i="3"/>
  <c r="L1156" i="3"/>
  <c r="R1156" i="3" s="1"/>
  <c r="L1158" i="3"/>
  <c r="L1159" i="3"/>
  <c r="L1166" i="3"/>
  <c r="R1166" i="3" s="1"/>
  <c r="L1167" i="3"/>
  <c r="L1168" i="3"/>
  <c r="R1168" i="3" s="1"/>
  <c r="L1174" i="3"/>
  <c r="L1179" i="3"/>
  <c r="L1180" i="3"/>
  <c r="R1180" i="3" s="1"/>
  <c r="L1184" i="3"/>
  <c r="R1184" i="3" s="1"/>
  <c r="L1189" i="3"/>
  <c r="L1190" i="3"/>
  <c r="L1194" i="3"/>
  <c r="L1195" i="3"/>
  <c r="L1198" i="3"/>
  <c r="R1198" i="3" s="1"/>
  <c r="L1200" i="3"/>
  <c r="R1200" i="3" s="1"/>
  <c r="L1202" i="3"/>
  <c r="R1202" i="3" s="1"/>
  <c r="L1213" i="3"/>
  <c r="R1213" i="3" s="1"/>
  <c r="L1219" i="3"/>
  <c r="R1219" i="3" s="1"/>
  <c r="L1226" i="3"/>
  <c r="R1226" i="3" s="1"/>
  <c r="L1227" i="3"/>
  <c r="L1229" i="3"/>
  <c r="R1229" i="3" s="1"/>
  <c r="L1231" i="3"/>
  <c r="L1232" i="3"/>
  <c r="R1232" i="3" s="1"/>
  <c r="L1233" i="3"/>
  <c r="L1234" i="3"/>
  <c r="R1234" i="3" s="1"/>
  <c r="L1236" i="3"/>
  <c r="L1238" i="3"/>
  <c r="R1238" i="3" s="1"/>
  <c r="L1239" i="3"/>
  <c r="R1239" i="3" s="1"/>
  <c r="L1240" i="3"/>
  <c r="R1240" i="3" s="1"/>
  <c r="L1242" i="3"/>
  <c r="R1242" i="3" s="1"/>
  <c r="L1244" i="3"/>
  <c r="L1246" i="3"/>
  <c r="R1246" i="3" s="1"/>
  <c r="L1248" i="3"/>
  <c r="L1253" i="3"/>
  <c r="L1258" i="3"/>
  <c r="R1258" i="3" s="1"/>
  <c r="L1262" i="3"/>
  <c r="L1263" i="3"/>
  <c r="L1271" i="3"/>
  <c r="L1275" i="3"/>
  <c r="R1275" i="3" s="1"/>
  <c r="L1276" i="3"/>
  <c r="R1276" i="3" s="1"/>
  <c r="L1279" i="3"/>
  <c r="R1279" i="3" s="1"/>
  <c r="L1280" i="3"/>
  <c r="L1283" i="3"/>
  <c r="R1283" i="3" s="1"/>
  <c r="L1285" i="3"/>
  <c r="L1286" i="3"/>
  <c r="R1286" i="3" s="1"/>
  <c r="L1291" i="3"/>
  <c r="R1291" i="3" s="1"/>
  <c r="L1292" i="3"/>
  <c r="L1295" i="3"/>
  <c r="R1295" i="3" s="1"/>
  <c r="L1296" i="3"/>
  <c r="R1296" i="3" s="1"/>
  <c r="L1297" i="3"/>
  <c r="R1297" i="3" s="1"/>
  <c r="L1298" i="3"/>
  <c r="R1298" i="3" s="1"/>
  <c r="L1299" i="3"/>
  <c r="L1300" i="3"/>
  <c r="R1300" i="3" s="1"/>
  <c r="L1301" i="3"/>
  <c r="R1301" i="3" s="1"/>
  <c r="L1305" i="3"/>
  <c r="R1305" i="3" s="1"/>
  <c r="L1308" i="3"/>
  <c r="L1311" i="3"/>
  <c r="R1311" i="3" s="1"/>
  <c r="L1317" i="3"/>
  <c r="L1321" i="3"/>
  <c r="R1321" i="3" s="1"/>
  <c r="L1323" i="3"/>
  <c r="L1330" i="3"/>
  <c r="R1330" i="3" s="1"/>
  <c r="L1334" i="3"/>
  <c r="R1334" i="3" s="1"/>
  <c r="L1335" i="3"/>
  <c r="R1335" i="3" s="1"/>
  <c r="L1338" i="3"/>
  <c r="L1345" i="3"/>
  <c r="R1345" i="3" s="1"/>
  <c r="L1348" i="3"/>
  <c r="R1348" i="3" s="1"/>
  <c r="L1357" i="3"/>
  <c r="L1358" i="3"/>
  <c r="L1366" i="3"/>
  <c r="L1368" i="3"/>
  <c r="L1370" i="3"/>
  <c r="R1370" i="3" s="1"/>
  <c r="L1373" i="3"/>
  <c r="L1374" i="3"/>
  <c r="R1374" i="3" s="1"/>
  <c r="L1376" i="3"/>
  <c r="L1378" i="3"/>
  <c r="R1378" i="3" s="1"/>
  <c r="L1380" i="3"/>
  <c r="L1382" i="3"/>
  <c r="L1384" i="3"/>
  <c r="R1384" i="3" s="1"/>
  <c r="L1393" i="3"/>
  <c r="L1396" i="3"/>
  <c r="R1396" i="3" s="1"/>
  <c r="L1399" i="3"/>
  <c r="L1409" i="3"/>
  <c r="R1409" i="3" s="1"/>
  <c r="L1412" i="3"/>
  <c r="R1412" i="3" s="1"/>
  <c r="L1415" i="3"/>
  <c r="R1415" i="3" s="1"/>
  <c r="L1419" i="3"/>
  <c r="R1419" i="3" s="1"/>
  <c r="L1421" i="3"/>
  <c r="L1422" i="3"/>
  <c r="R1422" i="3" s="1"/>
  <c r="L1425" i="3"/>
  <c r="R1425" i="3" s="1"/>
  <c r="L1429" i="3"/>
  <c r="L1430" i="3"/>
  <c r="L1434" i="3"/>
  <c r="R1434" i="3" s="1"/>
  <c r="L1443" i="3"/>
  <c r="R1443" i="3" s="1"/>
  <c r="L1447" i="3"/>
  <c r="R1447" i="3" s="1"/>
  <c r="L1448" i="3"/>
  <c r="L1452" i="3"/>
  <c r="R1452" i="3" s="1"/>
  <c r="L1454" i="3"/>
  <c r="R1454" i="3" s="1"/>
  <c r="L1457" i="3"/>
  <c r="R1457" i="3" s="1"/>
  <c r="L1460" i="3"/>
  <c r="R1460" i="3" s="1"/>
  <c r="L1463" i="3"/>
  <c r="R1463" i="3" s="1"/>
  <c r="L1464" i="3"/>
  <c r="R1464" i="3" s="1"/>
  <c r="L1466" i="3"/>
  <c r="L1474" i="3"/>
  <c r="L1481" i="3"/>
  <c r="R1481" i="3" s="1"/>
  <c r="L1484" i="3"/>
  <c r="R1484" i="3" s="1"/>
  <c r="L1489" i="3"/>
  <c r="R1489" i="3" s="1"/>
  <c r="L1499" i="3"/>
  <c r="L1500" i="3"/>
  <c r="R1500" i="3" s="1"/>
  <c r="L1501" i="3"/>
  <c r="R1501" i="3" s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2" i="3"/>
  <c r="L30" i="3"/>
  <c r="L32" i="3"/>
  <c r="L34" i="3"/>
  <c r="L36" i="3"/>
  <c r="L47" i="3"/>
  <c r="L48" i="3"/>
  <c r="L50" i="3"/>
  <c r="L57" i="3"/>
  <c r="L62" i="3"/>
  <c r="L68" i="3"/>
  <c r="L71" i="3"/>
  <c r="L76" i="3"/>
  <c r="L77" i="3"/>
  <c r="L86" i="3"/>
  <c r="L88" i="3"/>
  <c r="L97" i="3"/>
  <c r="L100" i="3"/>
  <c r="L102" i="3"/>
  <c r="L103" i="3"/>
  <c r="L104" i="3"/>
  <c r="L105" i="3"/>
  <c r="L108" i="3"/>
  <c r="L114" i="3"/>
  <c r="L118" i="3"/>
  <c r="L121" i="3"/>
  <c r="L125" i="3"/>
  <c r="L127" i="3"/>
  <c r="L130" i="3"/>
  <c r="L132" i="3"/>
  <c r="L134" i="3"/>
  <c r="L138" i="3"/>
  <c r="L140" i="3"/>
  <c r="L142" i="3"/>
  <c r="L144" i="3"/>
  <c r="L145" i="3"/>
  <c r="L149" i="3"/>
  <c r="L153" i="3"/>
  <c r="L156" i="3"/>
  <c r="L159" i="3"/>
  <c r="L162" i="3"/>
  <c r="L163" i="3"/>
  <c r="L164" i="3"/>
  <c r="L168" i="3"/>
  <c r="L171" i="3"/>
  <c r="L175" i="3"/>
  <c r="L176" i="3"/>
  <c r="L177" i="3"/>
  <c r="L186" i="3"/>
  <c r="L188" i="3"/>
  <c r="L192" i="3"/>
  <c r="L197" i="3"/>
  <c r="L199" i="3"/>
  <c r="L204" i="3"/>
  <c r="L211" i="3"/>
  <c r="L217" i="3"/>
  <c r="L220" i="3"/>
  <c r="L238" i="3"/>
  <c r="L245" i="3"/>
  <c r="L247" i="3"/>
  <c r="L250" i="3"/>
  <c r="L255" i="3"/>
  <c r="L262" i="3"/>
  <c r="L265" i="3"/>
  <c r="L267" i="3"/>
  <c r="L271" i="3"/>
  <c r="L273" i="3"/>
  <c r="L274" i="3"/>
  <c r="L276" i="3"/>
  <c r="L279" i="3"/>
  <c r="L299" i="3"/>
  <c r="L306" i="3"/>
  <c r="L307" i="3"/>
  <c r="L312" i="3"/>
  <c r="L314" i="3"/>
  <c r="L316" i="3"/>
  <c r="L317" i="3"/>
  <c r="L325" i="3"/>
  <c r="L328" i="3"/>
  <c r="L329" i="3"/>
  <c r="L332" i="3"/>
  <c r="L333" i="3"/>
  <c r="L334" i="3"/>
  <c r="L340" i="3"/>
  <c r="L341" i="3"/>
  <c r="L346" i="3"/>
  <c r="L364" i="3"/>
  <c r="L366" i="3"/>
  <c r="L373" i="3"/>
  <c r="L376" i="3"/>
  <c r="L389" i="3"/>
  <c r="L395" i="3"/>
  <c r="L397" i="3"/>
  <c r="L403" i="3"/>
  <c r="L415" i="3"/>
  <c r="L419" i="3"/>
  <c r="L422" i="3"/>
  <c r="L425" i="3"/>
  <c r="L426" i="3"/>
  <c r="L429" i="3"/>
  <c r="L434" i="3"/>
  <c r="L435" i="3"/>
  <c r="L438" i="3"/>
  <c r="L439" i="3"/>
  <c r="L440" i="3"/>
  <c r="L446" i="3"/>
  <c r="L449" i="3"/>
  <c r="L453" i="3"/>
  <c r="L456" i="3"/>
  <c r="L459" i="3"/>
  <c r="L467" i="3"/>
  <c r="L468" i="3"/>
  <c r="L469" i="3"/>
  <c r="L477" i="3"/>
  <c r="L478" i="3"/>
  <c r="L479" i="3"/>
  <c r="L487" i="3"/>
  <c r="L494" i="3"/>
  <c r="L503" i="3"/>
  <c r="L507" i="3"/>
  <c r="L518" i="3"/>
  <c r="L519" i="3"/>
  <c r="L520" i="3"/>
  <c r="L521" i="3"/>
  <c r="L526" i="3"/>
  <c r="L527" i="3"/>
  <c r="L529" i="3"/>
  <c r="L534" i="3"/>
  <c r="L535" i="3"/>
  <c r="L537" i="3"/>
  <c r="L538" i="3"/>
  <c r="L543" i="3"/>
  <c r="L544" i="3"/>
  <c r="L559" i="3"/>
  <c r="L563" i="3"/>
  <c r="L567" i="3"/>
  <c r="L570" i="3"/>
  <c r="L571" i="3"/>
  <c r="L573" i="3"/>
  <c r="L576" i="3"/>
  <c r="L580" i="3"/>
  <c r="L582" i="3"/>
  <c r="L586" i="3"/>
  <c r="L593" i="3"/>
  <c r="L599" i="3"/>
  <c r="L610" i="3"/>
  <c r="L616" i="3"/>
  <c r="L617" i="3"/>
  <c r="L619" i="3"/>
  <c r="L621" i="3"/>
  <c r="L623" i="3"/>
  <c r="L628" i="3"/>
  <c r="L635" i="3"/>
  <c r="L636" i="3"/>
  <c r="L647" i="3"/>
  <c r="L649" i="3"/>
  <c r="L651" i="3"/>
  <c r="L653" i="3"/>
  <c r="L659" i="3"/>
  <c r="L662" i="3"/>
  <c r="L671" i="3"/>
  <c r="L675" i="3"/>
  <c r="L677" i="3"/>
  <c r="L679" i="3"/>
  <c r="L685" i="3"/>
  <c r="L702" i="3"/>
  <c r="L703" i="3"/>
  <c r="L708" i="3"/>
  <c r="L710" i="3"/>
  <c r="L714" i="3"/>
  <c r="L719" i="3"/>
  <c r="L722" i="3"/>
  <c r="L726" i="3"/>
  <c r="L730" i="3"/>
  <c r="L733" i="3"/>
  <c r="L737" i="3"/>
  <c r="L738" i="3"/>
  <c r="L748" i="3"/>
  <c r="L751" i="3"/>
  <c r="L752" i="3"/>
  <c r="L757" i="3"/>
  <c r="L758" i="3"/>
  <c r="L761" i="3"/>
  <c r="L770" i="3"/>
  <c r="L772" i="3"/>
  <c r="L774" i="3"/>
  <c r="L777" i="3"/>
  <c r="L782" i="3"/>
  <c r="L792" i="3"/>
  <c r="L793" i="3"/>
  <c r="L801" i="3"/>
  <c r="L805" i="3"/>
  <c r="L806" i="3"/>
  <c r="L807" i="3"/>
  <c r="L809" i="3"/>
  <c r="L813" i="3"/>
  <c r="L814" i="3"/>
  <c r="L816" i="3"/>
  <c r="L822" i="3"/>
  <c r="L823" i="3"/>
  <c r="L825" i="3"/>
  <c r="L828" i="3"/>
  <c r="L837" i="3"/>
  <c r="L838" i="3"/>
  <c r="L842" i="3"/>
  <c r="L846" i="3"/>
  <c r="L869" i="3"/>
  <c r="L870" i="3"/>
  <c r="L875" i="3"/>
  <c r="L880" i="3"/>
  <c r="L882" i="3"/>
  <c r="L892" i="3"/>
  <c r="L893" i="3"/>
  <c r="L897" i="3"/>
  <c r="L902" i="3"/>
  <c r="L906" i="3"/>
  <c r="L907" i="3"/>
  <c r="L908" i="3"/>
  <c r="L910" i="3"/>
  <c r="L913" i="3"/>
  <c r="L914" i="3"/>
  <c r="L915" i="3"/>
  <c r="L916" i="3"/>
  <c r="L921" i="3"/>
  <c r="L935" i="3"/>
  <c r="L936" i="3"/>
  <c r="L941" i="3"/>
  <c r="L955" i="3"/>
  <c r="L958" i="3"/>
  <c r="L968" i="3"/>
  <c r="L974" i="3"/>
  <c r="L983" i="3"/>
  <c r="L991" i="3"/>
  <c r="L994" i="3"/>
  <c r="L1008" i="3"/>
  <c r="L1012" i="3"/>
  <c r="L1016" i="3"/>
  <c r="L1024" i="3"/>
  <c r="L1027" i="3"/>
  <c r="L1029" i="3"/>
  <c r="L1030" i="3"/>
  <c r="L1039" i="3"/>
  <c r="L1041" i="3"/>
  <c r="L1049" i="3"/>
  <c r="L1052" i="3"/>
  <c r="L1054" i="3"/>
  <c r="L1060" i="3"/>
  <c r="L1061" i="3"/>
  <c r="L1067" i="3"/>
  <c r="L1074" i="3"/>
  <c r="L1075" i="3"/>
  <c r="L1082" i="3"/>
  <c r="L1085" i="3"/>
  <c r="L1086" i="3"/>
  <c r="L1088" i="3"/>
  <c r="L1095" i="3"/>
  <c r="L1096" i="3"/>
  <c r="L1100" i="3"/>
  <c r="L1101" i="3"/>
  <c r="L1114" i="3"/>
  <c r="L1116" i="3"/>
  <c r="L1118" i="3"/>
  <c r="L1119" i="3"/>
  <c r="L1121" i="3"/>
  <c r="L1126" i="3"/>
  <c r="L1132" i="3"/>
  <c r="L1143" i="3"/>
  <c r="L1144" i="3"/>
  <c r="L1149" i="3"/>
  <c r="L1157" i="3"/>
  <c r="L1161" i="3"/>
  <c r="L1163" i="3"/>
  <c r="L1170" i="3"/>
  <c r="L1177" i="3"/>
  <c r="L1181" i="3"/>
  <c r="L1185" i="3"/>
  <c r="L1188" i="3"/>
  <c r="L1201" i="3"/>
  <c r="L1205" i="3"/>
  <c r="L1206" i="3"/>
  <c r="L1208" i="3"/>
  <c r="L1209" i="3"/>
  <c r="L1211" i="3"/>
  <c r="L1216" i="3"/>
  <c r="L1218" i="3"/>
  <c r="L1243" i="3"/>
  <c r="L1249" i="3"/>
  <c r="L1252" i="3"/>
  <c r="L1257" i="3"/>
  <c r="L1264" i="3"/>
  <c r="L1267" i="3"/>
  <c r="L1268" i="3"/>
  <c r="L1269" i="3"/>
  <c r="L1270" i="3"/>
  <c r="L1278" i="3"/>
  <c r="L1281" i="3"/>
  <c r="L1289" i="3"/>
  <c r="L1290" i="3"/>
  <c r="L1294" i="3"/>
  <c r="L1303" i="3"/>
  <c r="L1304" i="3"/>
  <c r="L1306" i="3"/>
  <c r="L1307" i="3"/>
  <c r="L1310" i="3"/>
  <c r="L1312" i="3"/>
  <c r="L1313" i="3"/>
  <c r="L1315" i="3"/>
  <c r="L1319" i="3"/>
  <c r="L1320" i="3"/>
  <c r="L1322" i="3"/>
  <c r="L1332" i="3"/>
  <c r="L1340" i="3"/>
  <c r="L1341" i="3"/>
  <c r="L1350" i="3"/>
  <c r="L1351" i="3"/>
  <c r="L1356" i="3"/>
  <c r="L1364" i="3"/>
  <c r="L1365" i="3"/>
  <c r="L1375" i="3"/>
  <c r="L1377" i="3"/>
  <c r="L1381" i="3"/>
  <c r="L1385" i="3"/>
  <c r="L1391" i="3"/>
  <c r="L1392" i="3"/>
  <c r="L1405" i="3"/>
  <c r="L1410" i="3"/>
  <c r="L1413" i="3"/>
  <c r="L1417" i="3"/>
  <c r="L1418" i="3"/>
  <c r="L1423" i="3"/>
  <c r="L1426" i="3"/>
  <c r="L1428" i="3"/>
  <c r="L1432" i="3"/>
  <c r="L1435" i="3"/>
  <c r="L1438" i="3"/>
  <c r="L1441" i="3"/>
  <c r="L1442" i="3"/>
  <c r="L1444" i="3"/>
  <c r="L1456" i="3"/>
  <c r="L1458" i="3"/>
  <c r="L1462" i="3"/>
  <c r="L1465" i="3"/>
  <c r="L1467" i="3"/>
  <c r="L1469" i="3"/>
  <c r="L1470" i="3"/>
  <c r="L1472" i="3"/>
  <c r="L1476" i="3"/>
  <c r="L1477" i="3"/>
  <c r="L1478" i="3"/>
  <c r="L1483" i="3"/>
  <c r="L1486" i="3"/>
  <c r="L1487" i="3"/>
  <c r="L1490" i="3"/>
  <c r="L1495" i="3"/>
  <c r="L12" i="3"/>
  <c r="L2" i="3"/>
  <c r="L3" i="3"/>
  <c r="L13" i="3"/>
  <c r="L15" i="3"/>
  <c r="L16" i="3"/>
  <c r="L23" i="3"/>
  <c r="B30" i="2"/>
  <c r="R229" i="3" l="1"/>
  <c r="R183" i="3"/>
  <c r="R147" i="3"/>
  <c r="R107" i="3"/>
  <c r="R46" i="3"/>
  <c r="R258" i="3"/>
  <c r="R228" i="3"/>
  <c r="R95" i="3"/>
  <c r="R42" i="3"/>
  <c r="R179" i="3"/>
  <c r="R143" i="3"/>
  <c r="R39" i="3"/>
  <c r="R256" i="3"/>
  <c r="R178" i="3"/>
  <c r="R91" i="3"/>
  <c r="R37" i="3"/>
  <c r="R336" i="3"/>
  <c r="R288" i="3"/>
  <c r="R251" i="3"/>
  <c r="R172" i="3"/>
  <c r="R133" i="3"/>
  <c r="R214" i="3"/>
  <c r="R167" i="3"/>
  <c r="R84" i="3"/>
  <c r="R25" i="3"/>
  <c r="R286" i="3"/>
  <c r="R241" i="3"/>
  <c r="R208" i="3"/>
  <c r="R158" i="3"/>
  <c r="R79" i="3"/>
  <c r="R19" i="3"/>
  <c r="R206" i="3"/>
  <c r="R11" i="3"/>
  <c r="R634" i="3"/>
  <c r="R595" i="3"/>
  <c r="R536" i="3"/>
  <c r="R466" i="3"/>
  <c r="R423" i="3"/>
  <c r="R390" i="3"/>
  <c r="R359" i="3"/>
  <c r="R305" i="3"/>
  <c r="R281" i="3"/>
  <c r="R202" i="3"/>
  <c r="R154" i="3"/>
  <c r="R678" i="3"/>
  <c r="R629" i="3"/>
  <c r="R594" i="3"/>
  <c r="R531" i="3"/>
  <c r="R465" i="3"/>
  <c r="R358" i="3"/>
  <c r="R200" i="3"/>
  <c r="R151" i="3"/>
  <c r="R69" i="3"/>
  <c r="R587" i="3"/>
  <c r="R525" i="3"/>
  <c r="R417" i="3"/>
  <c r="R384" i="3"/>
  <c r="R355" i="3"/>
  <c r="R297" i="3"/>
  <c r="R263" i="3"/>
  <c r="R117" i="3"/>
  <c r="R65" i="3"/>
  <c r="R625" i="3"/>
  <c r="R510" i="3"/>
  <c r="R416" i="3"/>
  <c r="R383" i="3"/>
  <c r="R260" i="3"/>
  <c r="R189" i="3"/>
  <c r="R1479" i="3"/>
  <c r="R1446" i="3"/>
  <c r="R1414" i="3"/>
  <c r="R1395" i="3"/>
  <c r="R1367" i="3"/>
  <c r="R1346" i="3"/>
  <c r="R1282" i="3"/>
  <c r="R1254" i="3"/>
  <c r="R1223" i="3"/>
  <c r="R1199" i="3"/>
  <c r="R1150" i="3"/>
  <c r="R1128" i="3"/>
  <c r="R1093" i="3"/>
  <c r="R1062" i="3"/>
  <c r="R1032" i="3"/>
  <c r="R988" i="3"/>
  <c r="R964" i="3"/>
  <c r="R943" i="3"/>
  <c r="R920" i="3"/>
  <c r="R895" i="3"/>
  <c r="R867" i="3"/>
  <c r="R848" i="3"/>
  <c r="R821" i="3"/>
  <c r="R788" i="3"/>
  <c r="R765" i="3"/>
  <c r="R741" i="3"/>
  <c r="R715" i="3"/>
  <c r="R689" i="3"/>
  <c r="R663" i="3"/>
  <c r="R615" i="3"/>
  <c r="R590" i="3"/>
  <c r="R572" i="3"/>
  <c r="R548" i="3"/>
  <c r="R522" i="3"/>
  <c r="R500" i="3"/>
  <c r="R458" i="3"/>
  <c r="R432" i="3"/>
  <c r="R377" i="3"/>
  <c r="R326" i="3"/>
  <c r="R275" i="3"/>
  <c r="R221" i="3"/>
  <c r="R201" i="3"/>
  <c r="R174" i="3"/>
  <c r="R106" i="3"/>
  <c r="R40" i="3"/>
  <c r="R18" i="3"/>
  <c r="R1498" i="3"/>
  <c r="R1411" i="3"/>
  <c r="R1394" i="3"/>
  <c r="R1363" i="3"/>
  <c r="R1344" i="3"/>
  <c r="R1325" i="3"/>
  <c r="R1222" i="3"/>
  <c r="R1173" i="3"/>
  <c r="R1147" i="3"/>
  <c r="R1125" i="3"/>
  <c r="R1092" i="3"/>
  <c r="R1059" i="3"/>
  <c r="R1003" i="3"/>
  <c r="R987" i="3"/>
  <c r="R963" i="3"/>
  <c r="R940" i="3"/>
  <c r="R917" i="3"/>
  <c r="R891" i="3"/>
  <c r="R866" i="3"/>
  <c r="R818" i="3"/>
  <c r="R787" i="3"/>
  <c r="R762" i="3"/>
  <c r="R740" i="3"/>
  <c r="R687" i="3"/>
  <c r="R661" i="3"/>
  <c r="R614" i="3"/>
  <c r="R569" i="3"/>
  <c r="R499" i="3"/>
  <c r="R481" i="3"/>
  <c r="R457" i="3"/>
  <c r="R428" i="3"/>
  <c r="R401" i="3"/>
  <c r="R301" i="3"/>
  <c r="R272" i="3"/>
  <c r="R244" i="3"/>
  <c r="R219" i="3"/>
  <c r="R198" i="3"/>
  <c r="R135" i="3"/>
  <c r="R101" i="3"/>
  <c r="R80" i="3"/>
  <c r="R56" i="3"/>
  <c r="R38" i="3"/>
  <c r="R17" i="3"/>
  <c r="R1497" i="3"/>
  <c r="R1473" i="3"/>
  <c r="R1440" i="3"/>
  <c r="R1408" i="3"/>
  <c r="R1362" i="3"/>
  <c r="R1343" i="3"/>
  <c r="R1324" i="3"/>
  <c r="R1274" i="3"/>
  <c r="R1196" i="3"/>
  <c r="R1172" i="3"/>
  <c r="R1124" i="3"/>
  <c r="R1091" i="3"/>
  <c r="R1055" i="3"/>
  <c r="R962" i="3"/>
  <c r="R911" i="3"/>
  <c r="R890" i="3"/>
  <c r="R844" i="3"/>
  <c r="R786" i="3"/>
  <c r="R760" i="3"/>
  <c r="R739" i="3"/>
  <c r="R711" i="3"/>
  <c r="R686" i="3"/>
  <c r="R660" i="3"/>
  <c r="R613" i="3"/>
  <c r="R588" i="3"/>
  <c r="R568" i="3"/>
  <c r="R546" i="3"/>
  <c r="R496" i="3"/>
  <c r="R476" i="3"/>
  <c r="R455" i="3"/>
  <c r="R399" i="3"/>
  <c r="R218" i="3"/>
  <c r="R195" i="3"/>
  <c r="R170" i="3"/>
  <c r="R99" i="3"/>
  <c r="R78" i="3"/>
  <c r="R55" i="3"/>
  <c r="R35" i="3"/>
  <c r="R14" i="3"/>
  <c r="R1496" i="3"/>
  <c r="R1361" i="3"/>
  <c r="R1318" i="3"/>
  <c r="R1273" i="3"/>
  <c r="R1247" i="3"/>
  <c r="R1220" i="3"/>
  <c r="R1142" i="3"/>
  <c r="R1089" i="3"/>
  <c r="R1053" i="3"/>
  <c r="R1001" i="3"/>
  <c r="R985" i="3"/>
  <c r="R961" i="3"/>
  <c r="R937" i="3"/>
  <c r="R909" i="3"/>
  <c r="R864" i="3"/>
  <c r="R810" i="3"/>
  <c r="R785" i="3"/>
  <c r="R735" i="3"/>
  <c r="R709" i="3"/>
  <c r="R684" i="3"/>
  <c r="R585" i="3"/>
  <c r="R565" i="3"/>
  <c r="R545" i="3"/>
  <c r="R515" i="3"/>
  <c r="R495" i="3"/>
  <c r="R475" i="3"/>
  <c r="R398" i="3"/>
  <c r="R369" i="3"/>
  <c r="R345" i="3"/>
  <c r="R269" i="3"/>
  <c r="R242" i="3"/>
  <c r="R216" i="3"/>
  <c r="R126" i="3"/>
  <c r="R98" i="3"/>
  <c r="R75" i="3"/>
  <c r="R33" i="3"/>
  <c r="R10" i="3"/>
  <c r="R1494" i="3"/>
  <c r="R1468" i="3"/>
  <c r="R1406" i="3"/>
  <c r="R1388" i="3"/>
  <c r="R1360" i="3"/>
  <c r="R1339" i="3"/>
  <c r="R1316" i="3"/>
  <c r="R1272" i="3"/>
  <c r="R1169" i="3"/>
  <c r="R1140" i="3"/>
  <c r="R1117" i="3"/>
  <c r="R1087" i="3"/>
  <c r="R1051" i="3"/>
  <c r="R999" i="3"/>
  <c r="R959" i="3"/>
  <c r="R932" i="3"/>
  <c r="R905" i="3"/>
  <c r="R888" i="3"/>
  <c r="R841" i="3"/>
  <c r="R808" i="3"/>
  <c r="R784" i="3"/>
  <c r="R732" i="3"/>
  <c r="R701" i="3"/>
  <c r="R681" i="3"/>
  <c r="R632" i="3"/>
  <c r="R608" i="3"/>
  <c r="R584" i="3"/>
  <c r="R564" i="3"/>
  <c r="R542" i="3"/>
  <c r="R492" i="3"/>
  <c r="R452" i="3"/>
  <c r="R418" i="3"/>
  <c r="R393" i="3"/>
  <c r="R367" i="3"/>
  <c r="R320" i="3"/>
  <c r="R296" i="3"/>
  <c r="R268" i="3"/>
  <c r="R215" i="3"/>
  <c r="R193" i="3"/>
  <c r="R166" i="3"/>
  <c r="R96" i="3"/>
  <c r="R53" i="3"/>
  <c r="R31" i="3"/>
  <c r="R9" i="3"/>
  <c r="R1493" i="3"/>
  <c r="R1461" i="3"/>
  <c r="R1436" i="3"/>
  <c r="R1404" i="3"/>
  <c r="R1387" i="3"/>
  <c r="R1359" i="3"/>
  <c r="R1314" i="3"/>
  <c r="R1215" i="3"/>
  <c r="R1191" i="3"/>
  <c r="R1165" i="3"/>
  <c r="R1139" i="3"/>
  <c r="R1081" i="3"/>
  <c r="R1048" i="3"/>
  <c r="R980" i="3"/>
  <c r="R904" i="3"/>
  <c r="R887" i="3"/>
  <c r="R862" i="3"/>
  <c r="R840" i="3"/>
  <c r="R800" i="3"/>
  <c r="R781" i="3"/>
  <c r="R699" i="3"/>
  <c r="R676" i="3"/>
  <c r="R631" i="3"/>
  <c r="R604" i="3"/>
  <c r="R561" i="3"/>
  <c r="R539" i="3"/>
  <c r="R513" i="3"/>
  <c r="R490" i="3"/>
  <c r="R473" i="3"/>
  <c r="R448" i="3"/>
  <c r="R412" i="3"/>
  <c r="R365" i="3"/>
  <c r="R339" i="3"/>
  <c r="R295" i="3"/>
  <c r="R236" i="3"/>
  <c r="R165" i="3"/>
  <c r="R119" i="3"/>
  <c r="R94" i="3"/>
  <c r="R70" i="3"/>
  <c r="R52" i="3"/>
  <c r="R8" i="3"/>
  <c r="R1459" i="3"/>
  <c r="R1433" i="3"/>
  <c r="R1386" i="3"/>
  <c r="R1336" i="3"/>
  <c r="R1309" i="3"/>
  <c r="R1265" i="3"/>
  <c r="R1214" i="3"/>
  <c r="R1187" i="3"/>
  <c r="R1164" i="3"/>
  <c r="R1137" i="3"/>
  <c r="R1110" i="3"/>
  <c r="R1047" i="3"/>
  <c r="R1018" i="3"/>
  <c r="R977" i="3"/>
  <c r="R951" i="3"/>
  <c r="R930" i="3"/>
  <c r="R903" i="3"/>
  <c r="R839" i="3"/>
  <c r="R779" i="3"/>
  <c r="R753" i="3"/>
  <c r="R674" i="3"/>
  <c r="R648" i="3"/>
  <c r="R630" i="3"/>
  <c r="R581" i="3"/>
  <c r="R556" i="3"/>
  <c r="R533" i="3"/>
  <c r="R512" i="3"/>
  <c r="R472" i="3"/>
  <c r="R447" i="3"/>
  <c r="R411" i="3"/>
  <c r="R362" i="3"/>
  <c r="R292" i="3"/>
  <c r="R264" i="3"/>
  <c r="R235" i="3"/>
  <c r="R190" i="3"/>
  <c r="R51" i="3"/>
  <c r="R28" i="3"/>
  <c r="R7" i="3"/>
  <c r="R1455" i="3"/>
  <c r="R1431" i="3"/>
  <c r="R1383" i="3"/>
  <c r="R1354" i="3"/>
  <c r="R1333" i="3"/>
  <c r="R1302" i="3"/>
  <c r="R1261" i="3"/>
  <c r="R1235" i="3"/>
  <c r="R1212" i="3"/>
  <c r="R1186" i="3"/>
  <c r="R1162" i="3"/>
  <c r="R1136" i="3"/>
  <c r="R1077" i="3"/>
  <c r="R1045" i="3"/>
  <c r="R1017" i="3"/>
  <c r="R976" i="3"/>
  <c r="R949" i="3"/>
  <c r="R928" i="3"/>
  <c r="R901" i="3"/>
  <c r="R884" i="3"/>
  <c r="R836" i="3"/>
  <c r="R797" i="3"/>
  <c r="R778" i="3"/>
  <c r="R696" i="3"/>
  <c r="R672" i="3"/>
  <c r="R645" i="3"/>
  <c r="R627" i="3"/>
  <c r="R598" i="3"/>
  <c r="R579" i="3"/>
  <c r="R555" i="3"/>
  <c r="R532" i="3"/>
  <c r="R488" i="3"/>
  <c r="R471" i="3"/>
  <c r="R444" i="3"/>
  <c r="R410" i="3"/>
  <c r="R360" i="3"/>
  <c r="R337" i="3"/>
  <c r="R311" i="3"/>
  <c r="R285" i="3"/>
  <c r="R231" i="3"/>
  <c r="R210" i="3"/>
  <c r="R160" i="3"/>
  <c r="R89" i="3"/>
  <c r="R49" i="3"/>
  <c r="R26" i="3"/>
  <c r="R1488" i="3"/>
  <c r="R1453" i="3"/>
  <c r="R1427" i="3"/>
  <c r="R1401" i="3"/>
  <c r="R1379" i="3"/>
  <c r="R1353" i="3"/>
  <c r="R1331" i="3"/>
  <c r="R1293" i="3"/>
  <c r="R1260" i="3"/>
  <c r="R1210" i="3"/>
  <c r="R1160" i="3"/>
  <c r="R1135" i="3"/>
  <c r="R1073" i="3"/>
  <c r="R1014" i="3"/>
  <c r="R975" i="3"/>
  <c r="R948" i="3"/>
  <c r="R883" i="3"/>
  <c r="R858" i="3"/>
  <c r="R723" i="3"/>
  <c r="R695" i="3"/>
  <c r="R669" i="3"/>
  <c r="R644" i="3"/>
  <c r="R578" i="3"/>
  <c r="R552" i="3"/>
  <c r="R509" i="3"/>
  <c r="R486" i="3"/>
  <c r="R470" i="3"/>
  <c r="R442" i="3"/>
  <c r="R409" i="3"/>
  <c r="R385" i="3"/>
  <c r="R357" i="3"/>
  <c r="R335" i="3"/>
  <c r="R254" i="3"/>
  <c r="R230" i="3"/>
  <c r="R185" i="3"/>
  <c r="R157" i="3"/>
  <c r="R87" i="3"/>
  <c r="R64" i="3"/>
  <c r="R45" i="3"/>
  <c r="R24" i="3"/>
  <c r="R1485" i="3"/>
  <c r="R1451" i="3"/>
  <c r="R1424" i="3"/>
  <c r="R1400" i="3"/>
  <c r="R1372" i="3"/>
  <c r="R1329" i="3"/>
  <c r="R1259" i="3"/>
  <c r="R1228" i="3"/>
  <c r="R1207" i="3"/>
  <c r="R1182" i="3"/>
  <c r="R1155" i="3"/>
  <c r="R1134" i="3"/>
  <c r="R1106" i="3"/>
  <c r="R1071" i="3"/>
  <c r="R1040" i="3"/>
  <c r="R1011" i="3"/>
  <c r="R992" i="3"/>
  <c r="R973" i="3"/>
  <c r="R947" i="3"/>
  <c r="R924" i="3"/>
  <c r="R899" i="3"/>
  <c r="R881" i="3"/>
  <c r="R855" i="3"/>
  <c r="R832" i="3"/>
  <c r="R795" i="3"/>
  <c r="R721" i="3"/>
  <c r="R694" i="3"/>
  <c r="R667" i="3"/>
  <c r="R596" i="3"/>
  <c r="R551" i="3"/>
  <c r="R528" i="3"/>
  <c r="R506" i="3"/>
  <c r="R485" i="3"/>
  <c r="R408" i="3"/>
  <c r="R356" i="3"/>
  <c r="R331" i="3"/>
  <c r="R282" i="3"/>
  <c r="R253" i="3"/>
  <c r="R184" i="3"/>
  <c r="R152" i="3"/>
  <c r="R63" i="3"/>
  <c r="R44" i="3"/>
  <c r="R22" i="3"/>
  <c r="R1482" i="3"/>
  <c r="R1420" i="3"/>
  <c r="R1371" i="3"/>
  <c r="R1328" i="3"/>
  <c r="R1287" i="3"/>
  <c r="R1256" i="3"/>
  <c r="R1225" i="3"/>
  <c r="R1204" i="3"/>
  <c r="R1133" i="3"/>
  <c r="R1105" i="3"/>
  <c r="R1070" i="3"/>
  <c r="R1037" i="3"/>
  <c r="R1010" i="3"/>
  <c r="R972" i="3"/>
  <c r="R923" i="3"/>
  <c r="R854" i="3"/>
  <c r="R831" i="3"/>
  <c r="R790" i="3"/>
  <c r="R768" i="3"/>
  <c r="R744" i="3"/>
  <c r="R693" i="3"/>
  <c r="R666" i="3"/>
  <c r="R620" i="3"/>
  <c r="R592" i="3"/>
  <c r="R575" i="3"/>
  <c r="R550" i="3"/>
  <c r="R524" i="3"/>
  <c r="R504" i="3"/>
  <c r="R484" i="3"/>
  <c r="R462" i="3"/>
  <c r="R436" i="3"/>
  <c r="R407" i="3"/>
  <c r="R379" i="3"/>
  <c r="R354" i="3"/>
  <c r="R330" i="3"/>
  <c r="R308" i="3"/>
  <c r="R252" i="3"/>
  <c r="R139" i="3"/>
  <c r="R110" i="3"/>
  <c r="R83" i="3"/>
  <c r="R61" i="3"/>
  <c r="R43" i="3"/>
  <c r="R1480" i="3"/>
  <c r="R1416" i="3"/>
  <c r="R1397" i="3"/>
  <c r="R1369" i="3"/>
  <c r="R1347" i="3"/>
  <c r="R1327" i="3"/>
  <c r="R1284" i="3"/>
  <c r="R1255" i="3"/>
  <c r="R1224" i="3"/>
  <c r="R1203" i="3"/>
  <c r="R1176" i="3"/>
  <c r="R1094" i="3"/>
  <c r="R1068" i="3"/>
  <c r="R1035" i="3"/>
  <c r="R1007" i="3"/>
  <c r="R989" i="3"/>
  <c r="R969" i="3"/>
  <c r="R944" i="3"/>
  <c r="R922" i="3"/>
  <c r="R896" i="3"/>
  <c r="R873" i="3"/>
  <c r="R853" i="3"/>
  <c r="R826" i="3"/>
  <c r="R766" i="3"/>
  <c r="R743" i="3"/>
  <c r="R692" i="3"/>
  <c r="R664" i="3"/>
  <c r="R618" i="3"/>
  <c r="R591" i="3"/>
  <c r="R574" i="3"/>
  <c r="R549" i="3"/>
  <c r="R460" i="3"/>
  <c r="R406" i="3"/>
  <c r="R378" i="3"/>
  <c r="R353" i="3"/>
  <c r="R304" i="3"/>
  <c r="R277" i="3"/>
  <c r="R249" i="3"/>
  <c r="R203" i="3"/>
  <c r="R137" i="3"/>
  <c r="R109" i="3"/>
  <c r="R82" i="3"/>
  <c r="R60" i="3"/>
  <c r="R41" i="3"/>
  <c r="R20" i="3"/>
  <c r="R6" i="3"/>
</calcChain>
</file>

<file path=xl/sharedStrings.xml><?xml version="1.0" encoding="utf-8"?>
<sst xmlns="http://schemas.openxmlformats.org/spreadsheetml/2006/main" count="1995" uniqueCount="63">
  <si>
    <t>Delivery</t>
  </si>
  <si>
    <t>Small</t>
  </si>
  <si>
    <t>Medium</t>
  </si>
  <si>
    <t>Avg Price</t>
  </si>
  <si>
    <t>Avg Weight (lbs)</t>
  </si>
  <si>
    <t>Price</t>
  </si>
  <si>
    <t>Payload capacity (pounds)</t>
  </si>
  <si>
    <t>Max speed (mph)</t>
  </si>
  <si>
    <t>Operating range (miles)</t>
  </si>
  <si>
    <t>Pizza size</t>
  </si>
  <si>
    <t>Hourly wage (considering SS, Medicare)</t>
  </si>
  <si>
    <t>Non-Owned auto insurance and meals / h</t>
  </si>
  <si>
    <t>Flight time autonomy (min)</t>
  </si>
  <si>
    <t xml:space="preserve">Drone Characteristics </t>
  </si>
  <si>
    <t>(http://drones.specout.com/l/1125/DJI-Matrice-600-Pro-M600-Pro)</t>
  </si>
  <si>
    <t xml:space="preserve">Traditional delivery economics </t>
  </si>
  <si>
    <t>(http://www.pizzatoday.com/departments/back-office/cost-of-delivery/)</t>
  </si>
  <si>
    <t>Average time to deliver drone / h</t>
  </si>
  <si>
    <t>Alternative (http://drones.specout.com/l/111/Yuneec-Flying-Eyes-HX3)</t>
  </si>
  <si>
    <t>Pizza drone</t>
  </si>
  <si>
    <t>Hourly wage drone operator</t>
  </si>
  <si>
    <t>Number of drones per operator</t>
  </si>
  <si>
    <t>Maintenance per year</t>
  </si>
  <si>
    <t>Delivery cost charged to customer</t>
  </si>
  <si>
    <t>Years drone depreciation</t>
  </si>
  <si>
    <t>Maximum drone deliveries per hour</t>
  </si>
  <si>
    <t>Avg speed (mph)</t>
  </si>
  <si>
    <t>Cost per minute</t>
  </si>
  <si>
    <t>Working hours per day</t>
  </si>
  <si>
    <t>Electricity per minute</t>
  </si>
  <si>
    <t>Drone elegible number of deliveries</t>
  </si>
  <si>
    <t>Avg distance delivery for drone elegible deliveries</t>
  </si>
  <si>
    <t>Cost per minute operator + electricity</t>
  </si>
  <si>
    <t>Cost drone per minute</t>
  </si>
  <si>
    <t>Total cost drone per minute</t>
  </si>
  <si>
    <t>Large</t>
  </si>
  <si>
    <t>Average orders per day</t>
  </si>
  <si>
    <t>% Total order elegible for drone delivery</t>
  </si>
  <si>
    <t>Avg cost drone delivery</t>
  </si>
  <si>
    <t>OrderNumber</t>
  </si>
  <si>
    <t>OrderPlace</t>
  </si>
  <si>
    <t>OrderReady</t>
  </si>
  <si>
    <t>DeliveryZipCode</t>
  </si>
  <si>
    <t>DeliveryDistance</t>
  </si>
  <si>
    <t>OrderDelivery</t>
  </si>
  <si>
    <t>TotalPrice(NoTaxes)</t>
  </si>
  <si>
    <t>ItemOrdered1</t>
  </si>
  <si>
    <t>ItemOrdered2</t>
  </si>
  <si>
    <t>ItemOrdered3</t>
  </si>
  <si>
    <t>DeliveryDuration</t>
  </si>
  <si>
    <t>NumberofItemsOrdered</t>
  </si>
  <si>
    <t>WeightItem1</t>
  </si>
  <si>
    <t>WeightItem2</t>
  </si>
  <si>
    <t>WeightItem3</t>
  </si>
  <si>
    <t>TotalWeightOrder</t>
  </si>
  <si>
    <t>DroneRange</t>
  </si>
  <si>
    <t>CostTraditionalDelivery</t>
  </si>
  <si>
    <t>DroneDeliveryDuration</t>
  </si>
  <si>
    <t xml:space="preserve"> CostDroneDelivery </t>
  </si>
  <si>
    <t>PriceItem1</t>
  </si>
  <si>
    <t>PriceItem2</t>
  </si>
  <si>
    <t>PriceItem3</t>
  </si>
  <si>
    <t>Avg cost traditional delivery (drone eligible)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</si>
</sst>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[$-F400]h:mm:ss\ AM/PM"/>
    <numFmt numFmtId="166" formatCode="0.00000"/>
    <numFmt numFmtId="167" formatCode="_(&quot;$&quot;* #,##0.0000_);_(&quot;$&quot;* \(#,##0.0000\);_(&quot;$&quot;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4" fillId="0" borderId="0" xfId="0" applyFont="1"/>
    <xf numFmtId="0" fontId="0" fillId="0" borderId="0" xfId="0" applyFont="1"/>
    <xf numFmtId="44" fontId="0" fillId="0" borderId="0" xfId="1" applyFont="1"/>
    <xf numFmtId="164" fontId="0" fillId="0" borderId="0" xfId="1" applyNumberFormat="1" applyFont="1"/>
    <xf numFmtId="2" fontId="0" fillId="0" borderId="0" xfId="0" applyNumberFormat="1"/>
    <xf numFmtId="0" fontId="0" fillId="0" borderId="0" xfId="0" applyNumberFormat="1"/>
    <xf numFmtId="1" fontId="0" fillId="0" borderId="0" xfId="0" applyNumberFormat="1"/>
    <xf numFmtId="4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1" applyNumberFormat="1" applyFont="1"/>
    <xf numFmtId="167" fontId="0" fillId="0" borderId="0" xfId="0" applyNumberFormat="1"/>
    <xf numFmtId="0" fontId="0" fillId="2" borderId="0" xfId="0" applyFill="1"/>
    <xf numFmtId="9" fontId="0" fillId="2" borderId="0" xfId="2" applyFont="1" applyFill="1"/>
    <xf numFmtId="44" fontId="0" fillId="2" borderId="0" xfId="1" applyFont="1" applyFill="1"/>
    <xf numFmtId="0" fontId="5" fillId="0" borderId="0" xfId="0" applyFont="1"/>
  </cellXfs>
  <cellStyles count="5">
    <cellStyle name="Currency" xfId="1" builtinId="4"/>
    <cellStyle name="Currency 2" xfId="4" xr:uid="{989F4DAB-D48A-4C42-A03D-23CEC662C39E}"/>
    <cellStyle name="Normal" xfId="0" builtinId="0"/>
    <cellStyle name="Percent" xfId="2" builtinId="5"/>
    <cellStyle name="Percent 2" xfId="3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paDron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3001"/>
  <sheetViews>
    <sheetView tabSelected="1" zoomScale="87" workbookViewId="0"/>
  </sheetViews>
  <sheetFormatPr baseColWidth="10" defaultRowHeight="16" x14ac:dyDescent="0.2"/>
  <cols>
    <col min="1" max="1" width="14.83203125" bestFit="1" customWidth="1"/>
    <col min="2" max="2" width="11.83203125" style="1" bestFit="1" customWidth="1"/>
    <col min="3" max="3" width="13" style="10" bestFit="1" customWidth="1"/>
    <col min="4" max="6" width="15" bestFit="1" customWidth="1"/>
    <col min="7" max="7" width="9.33203125" bestFit="1" customWidth="1"/>
    <col min="8" max="8" width="17.33203125" bestFit="1" customWidth="1"/>
    <col min="9" max="9" width="17.83203125" bestFit="1" customWidth="1"/>
    <col min="10" max="10" width="14.83203125" style="10" bestFit="1" customWidth="1"/>
    <col min="11" max="11" width="20.83203125" style="4" bestFit="1" customWidth="1"/>
    <col min="12" max="12" width="18.1640625" style="7" bestFit="1" customWidth="1"/>
    <col min="13" max="13" width="25.1640625" bestFit="1" customWidth="1"/>
    <col min="14" max="16" width="14" bestFit="1" customWidth="1"/>
    <col min="17" max="17" width="19.1640625" bestFit="1" customWidth="1"/>
    <col min="18" max="18" width="24.5" bestFit="1" customWidth="1"/>
    <col min="19" max="19" width="13.5" bestFit="1" customWidth="1"/>
    <col min="20" max="20" width="24.5" bestFit="1" customWidth="1"/>
    <col min="21" max="21" width="20.83203125" bestFit="1" customWidth="1"/>
    <col min="22" max="24" width="11.5" bestFit="1" customWidth="1"/>
  </cols>
  <sheetData>
    <row r="1" spans="1:24" ht="19" x14ac:dyDescent="0.25">
      <c r="A1" s="17" t="s">
        <v>39</v>
      </c>
      <c r="B1" s="17" t="s">
        <v>40</v>
      </c>
      <c r="C1" s="17" t="s">
        <v>41</v>
      </c>
      <c r="D1" s="17" t="s">
        <v>46</v>
      </c>
      <c r="E1" s="17" t="s">
        <v>47</v>
      </c>
      <c r="F1" s="17" t="s">
        <v>48</v>
      </c>
      <c r="G1" s="17" t="s">
        <v>0</v>
      </c>
      <c r="H1" s="17" t="s">
        <v>42</v>
      </c>
      <c r="I1" s="17" t="s">
        <v>43</v>
      </c>
      <c r="J1" s="17" t="s">
        <v>44</v>
      </c>
      <c r="K1" s="17" t="s">
        <v>45</v>
      </c>
      <c r="L1" s="17" t="s">
        <v>49</v>
      </c>
      <c r="M1" s="17" t="s">
        <v>50</v>
      </c>
      <c r="N1" s="17" t="s">
        <v>51</v>
      </c>
      <c r="O1" s="17" t="s">
        <v>52</v>
      </c>
      <c r="P1" s="17" t="s">
        <v>53</v>
      </c>
      <c r="Q1" s="17" t="s">
        <v>54</v>
      </c>
      <c r="R1" s="17" t="s">
        <v>56</v>
      </c>
      <c r="S1" s="17" t="s">
        <v>55</v>
      </c>
      <c r="T1" s="17" t="s">
        <v>57</v>
      </c>
      <c r="U1" s="17" t="s">
        <v>58</v>
      </c>
      <c r="V1" s="17" t="s">
        <v>59</v>
      </c>
      <c r="W1" s="17" t="s">
        <v>60</v>
      </c>
      <c r="X1" s="17" t="s">
        <v>61</v>
      </c>
    </row>
    <row r="2" spans="1:24" x14ac:dyDescent="0.2">
      <c r="A2">
        <v>1</v>
      </c>
      <c r="B2" s="1">
        <v>42370.517604166664</v>
      </c>
      <c r="C2" s="1">
        <v>42370.528009259258</v>
      </c>
      <c r="D2" t="s">
        <v>1</v>
      </c>
      <c r="E2" t="s">
        <v>2</v>
      </c>
      <c r="G2" t="b">
        <v>0</v>
      </c>
      <c r="H2">
        <v>70803</v>
      </c>
      <c r="I2" s="6">
        <v>0</v>
      </c>
      <c r="J2" s="1">
        <v>42370.530069444445</v>
      </c>
      <c r="K2">
        <v>19.579999999999998</v>
      </c>
      <c r="L2" s="6">
        <f>('Pizza Sales Calculations'!$J2-'Pizza Sales Calculations'!$C2)*24*60</f>
        <v>2.9666666686534882</v>
      </c>
      <c r="M2">
        <f>COUNTA('Pizza Sales Calculations'!$D2:$F2)</f>
        <v>2</v>
      </c>
      <c r="R2" s="9">
        <f>IF('Pizza Sales Calculations'!$G2=TRUE, Parameters!$B$17*'Pizza Sales Calculations'!$L2*2, 0)</f>
        <v>0</v>
      </c>
      <c r="T2" s="6"/>
      <c r="U2" s="9"/>
    </row>
    <row r="3" spans="1:24" x14ac:dyDescent="0.2">
      <c r="A3">
        <v>2</v>
      </c>
      <c r="B3" s="1">
        <v>42370.523356481484</v>
      </c>
      <c r="C3" s="1">
        <v>42370.533761574072</v>
      </c>
      <c r="D3" t="s">
        <v>35</v>
      </c>
      <c r="G3" t="b">
        <v>0</v>
      </c>
      <c r="H3">
        <v>70804</v>
      </c>
      <c r="I3" s="6">
        <v>0</v>
      </c>
      <c r="J3" s="1">
        <v>42370.535821759258</v>
      </c>
      <c r="K3">
        <v>15.35</v>
      </c>
      <c r="L3" s="6">
        <f>('Pizza Sales Calculations'!$J3-'Pizza Sales Calculations'!$C3)*24*60</f>
        <v>2.9666666686534882</v>
      </c>
      <c r="M3">
        <f>COUNTA('Pizza Sales Calculations'!$D3:$F3)</f>
        <v>1</v>
      </c>
      <c r="R3" s="9">
        <f>IF('Pizza Sales Calculations'!$G3=TRUE, Parameters!$B$17*'Pizza Sales Calculations'!$L3*2, 0)</f>
        <v>0</v>
      </c>
      <c r="T3" s="6"/>
      <c r="U3" s="9"/>
    </row>
    <row r="4" spans="1:24" x14ac:dyDescent="0.2">
      <c r="A4">
        <v>3</v>
      </c>
      <c r="B4" s="1">
        <v>42370.527002314811</v>
      </c>
      <c r="C4" s="1">
        <v>42370.537407407406</v>
      </c>
      <c r="D4" t="s">
        <v>1</v>
      </c>
      <c r="E4" t="s">
        <v>2</v>
      </c>
      <c r="G4" t="b">
        <v>0</v>
      </c>
      <c r="H4">
        <v>70804</v>
      </c>
      <c r="I4" s="6">
        <v>0</v>
      </c>
      <c r="J4" s="1">
        <v>42370.539479166669</v>
      </c>
      <c r="K4">
        <v>19.579999999999998</v>
      </c>
      <c r="L4" s="6">
        <f>('Pizza Sales Calculations'!$J4-'Pizza Sales Calculations'!$C4)*24*60</f>
        <v>2.9833333392161876</v>
      </c>
      <c r="M4">
        <f>COUNTA('Pizza Sales Calculations'!$D4:$F4)</f>
        <v>2</v>
      </c>
      <c r="R4" s="9">
        <f>IF('Pizza Sales Calculations'!$G4=TRUE, Parameters!$B$17*'Pizza Sales Calculations'!$L4*2, 0)</f>
        <v>0</v>
      </c>
      <c r="T4" s="6"/>
      <c r="U4" s="9"/>
    </row>
    <row r="5" spans="1:24" x14ac:dyDescent="0.2">
      <c r="A5">
        <v>4</v>
      </c>
      <c r="B5" s="1">
        <v>42370.492893518516</v>
      </c>
      <c r="C5" s="1">
        <v>42370.503310185188</v>
      </c>
      <c r="D5" t="s">
        <v>1</v>
      </c>
      <c r="G5" t="b">
        <v>0</v>
      </c>
      <c r="H5">
        <v>70806</v>
      </c>
      <c r="I5" s="6">
        <v>0</v>
      </c>
      <c r="J5" s="1">
        <v>42370.505393518521</v>
      </c>
      <c r="K5">
        <v>7.99</v>
      </c>
      <c r="L5" s="6">
        <f>('Pizza Sales Calculations'!$J5-'Pizza Sales Calculations'!$C5)*24*60</f>
        <v>2.9999999993015081</v>
      </c>
      <c r="M5">
        <f>COUNTA('Pizza Sales Calculations'!$D5:$F5)</f>
        <v>1</v>
      </c>
      <c r="R5" s="9">
        <f>IF('Pizza Sales Calculations'!$G5=TRUE, Parameters!$B$17*'Pizza Sales Calculations'!$L5*2, 0)</f>
        <v>0</v>
      </c>
      <c r="T5" s="6"/>
      <c r="U5" s="9"/>
    </row>
    <row r="6" spans="1:24" x14ac:dyDescent="0.2">
      <c r="A6">
        <v>5</v>
      </c>
      <c r="B6" s="1">
        <v>42370.450856481482</v>
      </c>
      <c r="C6" s="1">
        <v>42370.461273148147</v>
      </c>
      <c r="D6" t="s">
        <v>2</v>
      </c>
      <c r="G6" t="b">
        <v>1</v>
      </c>
      <c r="H6">
        <v>70805</v>
      </c>
      <c r="I6" s="6">
        <v>2.47933232917446</v>
      </c>
      <c r="J6" s="1">
        <v>42370.469872685186</v>
      </c>
      <c r="K6">
        <v>11.59</v>
      </c>
      <c r="L6" s="6">
        <f>('Pizza Sales Calculations'!$J6-'Pizza Sales Calculations'!$C6)*24*60</f>
        <v>12.383333336329088</v>
      </c>
      <c r="M6">
        <f>COUNTA('Pizza Sales Calculations'!$D6:$F6)</f>
        <v>1</v>
      </c>
      <c r="R6" s="9">
        <f>IF('Pizza Sales Calculations'!$G6=TRUE, Parameters!$B$17*'Pizza Sales Calculations'!$L6*2, 0)</f>
        <v>3.5086111119599082</v>
      </c>
      <c r="T6" s="6"/>
      <c r="U6" s="9"/>
    </row>
    <row r="7" spans="1:24" x14ac:dyDescent="0.2">
      <c r="A7">
        <v>6</v>
      </c>
      <c r="B7" s="1">
        <v>42370.521307870367</v>
      </c>
      <c r="C7" s="1">
        <v>42370.531712962962</v>
      </c>
      <c r="D7" t="s">
        <v>1</v>
      </c>
      <c r="G7" t="b">
        <v>1</v>
      </c>
      <c r="H7">
        <v>70803</v>
      </c>
      <c r="I7" s="6">
        <v>2.3576022999170898</v>
      </c>
      <c r="J7" s="1">
        <v>42370.539895833332</v>
      </c>
      <c r="K7">
        <v>7.99</v>
      </c>
      <c r="L7" s="6">
        <f>('Pizza Sales Calculations'!$J7-'Pizza Sales Calculations'!$C7)*24*60</f>
        <v>11.783333332277834</v>
      </c>
      <c r="M7">
        <f>COUNTA('Pizza Sales Calculations'!$D7:$F7)</f>
        <v>1</v>
      </c>
      <c r="R7" s="9">
        <f>IF('Pizza Sales Calculations'!$G7=TRUE, Parameters!$B$17*'Pizza Sales Calculations'!$L7*2, 0)</f>
        <v>3.3386111108120531</v>
      </c>
      <c r="T7" s="6"/>
      <c r="U7" s="9"/>
    </row>
    <row r="8" spans="1:24" x14ac:dyDescent="0.2">
      <c r="A8">
        <v>7</v>
      </c>
      <c r="B8" s="1">
        <v>42370.523032407407</v>
      </c>
      <c r="C8" s="1">
        <v>42370.533437500002</v>
      </c>
      <c r="D8" t="s">
        <v>2</v>
      </c>
      <c r="G8" t="b">
        <v>1</v>
      </c>
      <c r="H8">
        <v>70807</v>
      </c>
      <c r="I8" s="6">
        <v>2.0571562895913802</v>
      </c>
      <c r="J8" s="1">
        <v>42370.540578703702</v>
      </c>
      <c r="K8">
        <v>11.59</v>
      </c>
      <c r="L8" s="6">
        <f>('Pizza Sales Calculations'!$J8-'Pizza Sales Calculations'!$C8)*24*60</f>
        <v>10.283333327388391</v>
      </c>
      <c r="M8">
        <f>COUNTA('Pizza Sales Calculations'!$D8:$F8)</f>
        <v>1</v>
      </c>
      <c r="R8" s="9">
        <f>IF('Pizza Sales Calculations'!$G8=TRUE, Parameters!$B$17*'Pizza Sales Calculations'!$L8*2, 0)</f>
        <v>2.9136111094267108</v>
      </c>
      <c r="T8" s="6"/>
      <c r="U8" s="9"/>
    </row>
    <row r="9" spans="1:24" x14ac:dyDescent="0.2">
      <c r="A9">
        <v>8</v>
      </c>
      <c r="B9" s="1">
        <v>42370.55740740741</v>
      </c>
      <c r="C9" s="1">
        <v>42370.567812499998</v>
      </c>
      <c r="D9" t="s">
        <v>1</v>
      </c>
      <c r="E9" t="s">
        <v>2</v>
      </c>
      <c r="G9" t="b">
        <v>1</v>
      </c>
      <c r="H9">
        <v>70804</v>
      </c>
      <c r="I9" s="6">
        <v>4.8175174510815202</v>
      </c>
      <c r="J9" s="1">
        <v>42370.584537037037</v>
      </c>
      <c r="K9">
        <v>19.579999999999998</v>
      </c>
      <c r="L9" s="6">
        <f>('Pizza Sales Calculations'!$J9-'Pizza Sales Calculations'!$C9)*24*60</f>
        <v>24.083333336748183</v>
      </c>
      <c r="M9">
        <f>COUNTA('Pizza Sales Calculations'!$D9:$F9)</f>
        <v>2</v>
      </c>
      <c r="R9" s="9">
        <f>IF('Pizza Sales Calculations'!$G9=TRUE, Parameters!$B$17*'Pizza Sales Calculations'!$L9*2, 0)</f>
        <v>6.8236111120786518</v>
      </c>
      <c r="T9" s="6"/>
      <c r="U9" s="9"/>
    </row>
    <row r="10" spans="1:24" x14ac:dyDescent="0.2">
      <c r="A10">
        <v>9</v>
      </c>
      <c r="B10" s="1">
        <v>42370.488449074073</v>
      </c>
      <c r="C10" s="1">
        <v>42370.498865740738</v>
      </c>
      <c r="D10" t="s">
        <v>1</v>
      </c>
      <c r="E10" t="s">
        <v>2</v>
      </c>
      <c r="G10" t="b">
        <v>1</v>
      </c>
      <c r="H10">
        <v>70803</v>
      </c>
      <c r="I10" s="6">
        <v>3.1066756345474298</v>
      </c>
      <c r="J10" s="1">
        <v>42370.509652777779</v>
      </c>
      <c r="K10">
        <v>19.579999999999998</v>
      </c>
      <c r="L10" s="6">
        <f>('Pizza Sales Calculations'!$J10-'Pizza Sales Calculations'!$C10)*24*60</f>
        <v>15.533333339262754</v>
      </c>
      <c r="M10">
        <f>COUNTA('Pizza Sales Calculations'!$D10:$F10)</f>
        <v>2</v>
      </c>
      <c r="R10" s="9">
        <f>IF('Pizza Sales Calculations'!$G10=TRUE, Parameters!$B$17*'Pizza Sales Calculations'!$L10*2, 0)</f>
        <v>4.4011111127911136</v>
      </c>
      <c r="T10" s="6"/>
      <c r="U10" s="9"/>
    </row>
    <row r="11" spans="1:24" x14ac:dyDescent="0.2">
      <c r="A11">
        <v>10</v>
      </c>
      <c r="B11" s="1">
        <v>42370.434803240743</v>
      </c>
      <c r="C11" s="1">
        <v>42370.445208333331</v>
      </c>
      <c r="D11" t="s">
        <v>2</v>
      </c>
      <c r="G11" t="b">
        <v>1</v>
      </c>
      <c r="H11">
        <v>70804</v>
      </c>
      <c r="I11" s="6">
        <v>4.5560160201321196</v>
      </c>
      <c r="J11" s="1">
        <v>42370.461018518516</v>
      </c>
      <c r="K11">
        <v>11.59</v>
      </c>
      <c r="L11" s="6">
        <f>('Pizza Sales Calculations'!$J11-'Pizza Sales Calculations'!$C11)*24*60</f>
        <v>22.766666666138917</v>
      </c>
      <c r="M11">
        <f>COUNTA('Pizza Sales Calculations'!$D11:$F11)</f>
        <v>1</v>
      </c>
      <c r="R11" s="9">
        <f>IF('Pizza Sales Calculations'!$G11=TRUE, Parameters!$B$17*'Pizza Sales Calculations'!$L11*2, 0)</f>
        <v>6.4505555554060265</v>
      </c>
      <c r="T11" s="6"/>
      <c r="U11" s="9"/>
    </row>
    <row r="12" spans="1:24" x14ac:dyDescent="0.2">
      <c r="A12">
        <v>11</v>
      </c>
      <c r="B12" s="1">
        <v>42370.513784722221</v>
      </c>
      <c r="C12" s="1">
        <v>42370.524189814816</v>
      </c>
      <c r="D12" t="s">
        <v>2</v>
      </c>
      <c r="G12" t="b">
        <v>0</v>
      </c>
      <c r="H12">
        <v>70804</v>
      </c>
      <c r="I12" s="6">
        <v>0</v>
      </c>
      <c r="J12" s="1">
        <v>42370.526273148149</v>
      </c>
      <c r="K12">
        <v>11.59</v>
      </c>
      <c r="L12" s="6">
        <f>('Pizza Sales Calculations'!$J12-'Pizza Sales Calculations'!$C12)*24*60</f>
        <v>2.9999999993015081</v>
      </c>
      <c r="M12">
        <f>COUNTA('Pizza Sales Calculations'!$D12:$F12)</f>
        <v>1</v>
      </c>
      <c r="R12" s="9">
        <f>IF('Pizza Sales Calculations'!$G12=TRUE, Parameters!$B$17*'Pizza Sales Calculations'!$L12*2, 0)</f>
        <v>0</v>
      </c>
      <c r="T12" s="6"/>
      <c r="U12" s="9"/>
    </row>
    <row r="13" spans="1:24" x14ac:dyDescent="0.2">
      <c r="A13">
        <v>12</v>
      </c>
      <c r="B13" s="1">
        <v>42370.523229166669</v>
      </c>
      <c r="C13" s="1">
        <v>42370.533668981479</v>
      </c>
      <c r="D13" t="s">
        <v>1</v>
      </c>
      <c r="E13" t="s">
        <v>35</v>
      </c>
      <c r="G13" t="b">
        <v>0</v>
      </c>
      <c r="H13">
        <v>70805</v>
      </c>
      <c r="I13" s="6">
        <v>0</v>
      </c>
      <c r="J13" s="1">
        <v>42370.535740740743</v>
      </c>
      <c r="K13">
        <v>23.34</v>
      </c>
      <c r="L13" s="6">
        <f>('Pizza Sales Calculations'!$J13-'Pizza Sales Calculations'!$C13)*24*60</f>
        <v>2.9833333392161876</v>
      </c>
      <c r="M13">
        <f>COUNTA('Pizza Sales Calculations'!$D13:$F13)</f>
        <v>2</v>
      </c>
      <c r="R13" s="9">
        <f>IF('Pizza Sales Calculations'!$G13=TRUE, Parameters!$B$17*'Pizza Sales Calculations'!$L13*2, 0)</f>
        <v>0</v>
      </c>
      <c r="T13" s="6"/>
      <c r="U13" s="9"/>
    </row>
    <row r="14" spans="1:24" x14ac:dyDescent="0.2">
      <c r="A14">
        <v>13</v>
      </c>
      <c r="B14" s="1">
        <v>42370.482499999998</v>
      </c>
      <c r="C14" s="1">
        <v>42370.492905092593</v>
      </c>
      <c r="D14" t="s">
        <v>1</v>
      </c>
      <c r="E14" t="s">
        <v>2</v>
      </c>
      <c r="G14" t="b">
        <v>1</v>
      </c>
      <c r="H14">
        <v>70806</v>
      </c>
      <c r="I14" s="6">
        <v>3.1092623645255801</v>
      </c>
      <c r="J14" s="1">
        <v>42370.503692129627</v>
      </c>
      <c r="K14">
        <v>19.579999999999998</v>
      </c>
      <c r="L14" s="6">
        <f>('Pizza Sales Calculations'!$J14-'Pizza Sales Calculations'!$C14)*24*60</f>
        <v>15.533333328785375</v>
      </c>
      <c r="M14">
        <f>COUNTA('Pizza Sales Calculations'!$D14:$F14)</f>
        <v>2</v>
      </c>
      <c r="R14" s="9">
        <f>IF('Pizza Sales Calculations'!$G14=TRUE, Parameters!$B$17*'Pizza Sales Calculations'!$L14*2, 0)</f>
        <v>4.4011111098225228</v>
      </c>
      <c r="T14" s="6"/>
      <c r="U14" s="9"/>
    </row>
    <row r="15" spans="1:24" x14ac:dyDescent="0.2">
      <c r="A15">
        <v>14</v>
      </c>
      <c r="B15" s="1">
        <v>42370.510266203702</v>
      </c>
      <c r="C15" s="1">
        <v>42370.520682870374</v>
      </c>
      <c r="D15" t="s">
        <v>1</v>
      </c>
      <c r="G15" t="b">
        <v>0</v>
      </c>
      <c r="H15">
        <v>70804</v>
      </c>
      <c r="I15" s="6">
        <v>0</v>
      </c>
      <c r="J15" s="1">
        <v>42370.522766203707</v>
      </c>
      <c r="K15">
        <v>7.99</v>
      </c>
      <c r="L15" s="6">
        <f>('Pizza Sales Calculations'!$J15-'Pizza Sales Calculations'!$C15)*24*60</f>
        <v>2.9999999993015081</v>
      </c>
      <c r="M15">
        <f>COUNTA('Pizza Sales Calculations'!$D15:$F15)</f>
        <v>1</v>
      </c>
      <c r="R15" s="9">
        <f>IF('Pizza Sales Calculations'!$G15=TRUE, Parameters!$B$17*'Pizza Sales Calculations'!$L15*2, 0)</f>
        <v>0</v>
      </c>
      <c r="T15" s="6"/>
      <c r="U15" s="9"/>
    </row>
    <row r="16" spans="1:24" x14ac:dyDescent="0.2">
      <c r="A16">
        <v>15</v>
      </c>
      <c r="B16" s="1">
        <v>42370.528958333336</v>
      </c>
      <c r="C16" s="1">
        <v>42370.539363425924</v>
      </c>
      <c r="D16" t="s">
        <v>2</v>
      </c>
      <c r="G16" t="b">
        <v>0</v>
      </c>
      <c r="H16">
        <v>70803</v>
      </c>
      <c r="I16" s="6">
        <v>0</v>
      </c>
      <c r="J16" s="1">
        <v>42370.541435185187</v>
      </c>
      <c r="K16">
        <v>11.59</v>
      </c>
      <c r="L16" s="6">
        <f>('Pizza Sales Calculations'!$J16-'Pizza Sales Calculations'!$C16)*24*60</f>
        <v>2.9833333392161876</v>
      </c>
      <c r="M16">
        <f>COUNTA('Pizza Sales Calculations'!$D16:$F16)</f>
        <v>1</v>
      </c>
      <c r="R16" s="9">
        <f>IF('Pizza Sales Calculations'!$G16=TRUE, Parameters!$B$17*'Pizza Sales Calculations'!$L16*2, 0)</f>
        <v>0</v>
      </c>
      <c r="T16" s="6"/>
      <c r="U16" s="9"/>
    </row>
    <row r="17" spans="1:21" x14ac:dyDescent="0.2">
      <c r="A17">
        <v>16</v>
      </c>
      <c r="B17" s="1">
        <v>42370.496898148151</v>
      </c>
      <c r="C17" s="1">
        <v>42370.507314814815</v>
      </c>
      <c r="D17" t="s">
        <v>1</v>
      </c>
      <c r="E17" t="s">
        <v>2</v>
      </c>
      <c r="G17" t="b">
        <v>1</v>
      </c>
      <c r="H17">
        <v>70806</v>
      </c>
      <c r="I17" s="6">
        <v>3.4135036809386099</v>
      </c>
      <c r="J17" s="1">
        <v>42370.519166666665</v>
      </c>
      <c r="K17">
        <v>19.579999999999998</v>
      </c>
      <c r="L17" s="6">
        <f>('Pizza Sales Calculations'!$J17-'Pizza Sales Calculations'!$C17)*24*60</f>
        <v>17.066666664322838</v>
      </c>
      <c r="M17">
        <f>COUNTA('Pizza Sales Calculations'!$D17:$F17)</f>
        <v>2</v>
      </c>
      <c r="R17" s="9">
        <f>IF('Pizza Sales Calculations'!$G17=TRUE, Parameters!$B$17*'Pizza Sales Calculations'!$L17*2, 0)</f>
        <v>4.8355555548914708</v>
      </c>
      <c r="T17" s="6"/>
      <c r="U17" s="9"/>
    </row>
    <row r="18" spans="1:21" x14ac:dyDescent="0.2">
      <c r="A18">
        <v>17</v>
      </c>
      <c r="B18" s="1">
        <v>42370.57603009259</v>
      </c>
      <c r="C18" s="1">
        <v>42370.586435185185</v>
      </c>
      <c r="D18" t="s">
        <v>2</v>
      </c>
      <c r="G18" t="b">
        <v>1</v>
      </c>
      <c r="H18">
        <v>70806</v>
      </c>
      <c r="I18" s="6">
        <v>2.5641446436778601</v>
      </c>
      <c r="J18" s="1">
        <v>42370.595335648148</v>
      </c>
      <c r="K18">
        <v>11.59</v>
      </c>
      <c r="L18" s="6">
        <f>('Pizza Sales Calculations'!$J18-'Pizza Sales Calculations'!$C18)*24*60</f>
        <v>12.816666666185483</v>
      </c>
      <c r="M18">
        <f>COUNTA('Pizza Sales Calculations'!$D18:$F18)</f>
        <v>1</v>
      </c>
      <c r="R18" s="9">
        <f>IF('Pizza Sales Calculations'!$G18=TRUE, Parameters!$B$17*'Pizza Sales Calculations'!$L18*2, 0)</f>
        <v>3.6313888887525536</v>
      </c>
      <c r="T18" s="6"/>
      <c r="U18" s="9"/>
    </row>
    <row r="19" spans="1:21" x14ac:dyDescent="0.2">
      <c r="A19">
        <v>18</v>
      </c>
      <c r="B19" s="1">
        <v>42370.52</v>
      </c>
      <c r="C19" s="1">
        <v>42370.530416666668</v>
      </c>
      <c r="D19" t="s">
        <v>2</v>
      </c>
      <c r="G19" t="b">
        <v>1</v>
      </c>
      <c r="H19">
        <v>70803</v>
      </c>
      <c r="I19" s="6">
        <v>4.4542171598828899</v>
      </c>
      <c r="J19" s="1">
        <v>42370.54587962963</v>
      </c>
      <c r="K19">
        <v>11.59</v>
      </c>
      <c r="L19" s="6">
        <f>('Pizza Sales Calculations'!$J19-'Pizza Sales Calculations'!$C19)*24*60</f>
        <v>22.266666664509103</v>
      </c>
      <c r="M19">
        <f>COUNTA('Pizza Sales Calculations'!$D19:$F19)</f>
        <v>1</v>
      </c>
      <c r="R19" s="9">
        <f>IF('Pizza Sales Calculations'!$G19=TRUE, Parameters!$B$17*'Pizza Sales Calculations'!$L19*2, 0)</f>
        <v>6.3088888882775791</v>
      </c>
      <c r="T19" s="6"/>
      <c r="U19" s="9"/>
    </row>
    <row r="20" spans="1:21" x14ac:dyDescent="0.2">
      <c r="A20">
        <v>19</v>
      </c>
      <c r="B20" s="1">
        <v>42370.531377314815</v>
      </c>
      <c r="C20" s="1">
        <v>42370.541770833333</v>
      </c>
      <c r="D20" t="s">
        <v>35</v>
      </c>
      <c r="G20" t="b">
        <v>1</v>
      </c>
      <c r="H20">
        <v>70803</v>
      </c>
      <c r="I20" s="6">
        <v>4.1472807620025902</v>
      </c>
      <c r="J20" s="1">
        <v>42370.556168981479</v>
      </c>
      <c r="K20">
        <v>15.35</v>
      </c>
      <c r="L20" s="6">
        <f>('Pizza Sales Calculations'!$J20-'Pizza Sales Calculations'!$C20)*24*60</f>
        <v>20.733333328971639</v>
      </c>
      <c r="M20">
        <f>COUNTA('Pizza Sales Calculations'!$D20:$F20)</f>
        <v>1</v>
      </c>
      <c r="R20" s="9">
        <f>IF('Pizza Sales Calculations'!$G20=TRUE, Parameters!$B$17*'Pizza Sales Calculations'!$L20*2, 0)</f>
        <v>5.8744444432086311</v>
      </c>
      <c r="T20" s="6"/>
      <c r="U20" s="9"/>
    </row>
    <row r="21" spans="1:21" x14ac:dyDescent="0.2">
      <c r="A21">
        <v>20</v>
      </c>
      <c r="B21" s="1">
        <v>42370.49428240741</v>
      </c>
      <c r="C21" s="1">
        <v>42370.504699074074</v>
      </c>
      <c r="D21" t="s">
        <v>35</v>
      </c>
      <c r="G21" t="b">
        <v>0</v>
      </c>
      <c r="H21">
        <v>70807</v>
      </c>
      <c r="I21" s="6">
        <v>0</v>
      </c>
      <c r="J21" s="1">
        <v>42370.506793981483</v>
      </c>
      <c r="K21">
        <v>15.35</v>
      </c>
      <c r="L21" s="6">
        <f>('Pizza Sales Calculations'!$J21-'Pizza Sales Calculations'!$C21)*24*60</f>
        <v>3.0166666698642075</v>
      </c>
      <c r="M21">
        <f>COUNTA('Pizza Sales Calculations'!$D21:$F21)</f>
        <v>1</v>
      </c>
      <c r="R21" s="9">
        <f>IF('Pizza Sales Calculations'!$G21=TRUE, Parameters!$B$17*'Pizza Sales Calculations'!$L21*2, 0)</f>
        <v>0</v>
      </c>
      <c r="T21" s="6"/>
      <c r="U21" s="9"/>
    </row>
    <row r="22" spans="1:21" x14ac:dyDescent="0.2">
      <c r="A22">
        <v>21</v>
      </c>
      <c r="B22" s="1">
        <v>42370.430752314816</v>
      </c>
      <c r="C22" s="1">
        <v>42370.441157407404</v>
      </c>
      <c r="D22" t="s">
        <v>2</v>
      </c>
      <c r="G22" t="b">
        <v>1</v>
      </c>
      <c r="H22">
        <v>70804</v>
      </c>
      <c r="I22" s="6">
        <v>2.0976294495055101</v>
      </c>
      <c r="J22" s="1">
        <v>42370.448437500003</v>
      </c>
      <c r="K22">
        <v>11.59</v>
      </c>
      <c r="L22" s="6">
        <f>('Pizza Sales Calculations'!$J22-'Pizza Sales Calculations'!$C22)*24*60</f>
        <v>10.483333342708647</v>
      </c>
      <c r="M22">
        <f>COUNTA('Pizza Sales Calculations'!$D22:$F22)</f>
        <v>1</v>
      </c>
      <c r="R22" s="9">
        <f>IF('Pizza Sales Calculations'!$G22=TRUE, Parameters!$B$17*'Pizza Sales Calculations'!$L22*2, 0)</f>
        <v>2.9702777804341167</v>
      </c>
      <c r="T22" s="6"/>
      <c r="U22" s="9"/>
    </row>
    <row r="23" spans="1:21" x14ac:dyDescent="0.2">
      <c r="A23">
        <v>22</v>
      </c>
      <c r="B23" s="1">
        <v>42370.425821759258</v>
      </c>
      <c r="C23" s="1">
        <v>42370.436249999999</v>
      </c>
      <c r="D23" t="s">
        <v>1</v>
      </c>
      <c r="G23" t="b">
        <v>0</v>
      </c>
      <c r="H23">
        <v>70805</v>
      </c>
      <c r="I23" s="6">
        <v>0</v>
      </c>
      <c r="J23" s="1">
        <v>42370.438344907408</v>
      </c>
      <c r="K23">
        <v>7.99</v>
      </c>
      <c r="L23" s="6">
        <f>('Pizza Sales Calculations'!$J23-'Pizza Sales Calculations'!$C23)*24*60</f>
        <v>3.0166666698642075</v>
      </c>
      <c r="M23">
        <f>COUNTA('Pizza Sales Calculations'!$D23:$F23)</f>
        <v>1</v>
      </c>
      <c r="R23" s="9">
        <f>IF('Pizza Sales Calculations'!$G23=TRUE, Parameters!$B$17*'Pizza Sales Calculations'!$L23*2, 0)</f>
        <v>0</v>
      </c>
      <c r="T23" s="6"/>
      <c r="U23" s="9"/>
    </row>
    <row r="24" spans="1:21" x14ac:dyDescent="0.2">
      <c r="A24">
        <v>23</v>
      </c>
      <c r="B24" s="1">
        <v>42370.528402777774</v>
      </c>
      <c r="C24" s="1">
        <v>42370.538819444446</v>
      </c>
      <c r="D24" t="s">
        <v>35</v>
      </c>
      <c r="G24" t="b">
        <v>1</v>
      </c>
      <c r="H24">
        <v>70805</v>
      </c>
      <c r="I24" s="6">
        <v>2.5751772916617801</v>
      </c>
      <c r="J24" s="1">
        <v>42370.547754629632</v>
      </c>
      <c r="K24">
        <v>15.35</v>
      </c>
      <c r="L24" s="6">
        <f>('Pizza Sales Calculations'!$J24-'Pizza Sales Calculations'!$C24)*24*60</f>
        <v>12.866666667396203</v>
      </c>
      <c r="M24">
        <f>COUNTA('Pizza Sales Calculations'!$D24:$F24)</f>
        <v>1</v>
      </c>
      <c r="R24" s="9">
        <f>IF('Pizza Sales Calculations'!$G24=TRUE, Parameters!$B$17*'Pizza Sales Calculations'!$L24*2, 0)</f>
        <v>3.6455555557622574</v>
      </c>
      <c r="T24" s="6"/>
      <c r="U24" s="9"/>
    </row>
    <row r="25" spans="1:21" x14ac:dyDescent="0.2">
      <c r="A25">
        <v>24</v>
      </c>
      <c r="B25" s="1">
        <v>42370.525324074071</v>
      </c>
      <c r="C25" s="1">
        <v>42370.535717592589</v>
      </c>
      <c r="D25" t="s">
        <v>2</v>
      </c>
      <c r="G25" t="b">
        <v>1</v>
      </c>
      <c r="H25">
        <v>70804</v>
      </c>
      <c r="I25" s="6">
        <v>4.1683095170733999</v>
      </c>
      <c r="J25" s="1">
        <v>42370.550185185188</v>
      </c>
      <c r="K25">
        <v>11.59</v>
      </c>
      <c r="L25" s="6">
        <f>('Pizza Sales Calculations'!$J25-'Pizza Sales Calculations'!$C25)*24*60</f>
        <v>20.833333341870457</v>
      </c>
      <c r="M25">
        <f>COUNTA('Pizza Sales Calculations'!$D25:$F25)</f>
        <v>1</v>
      </c>
      <c r="R25" s="9">
        <f>IF('Pizza Sales Calculations'!$G25=TRUE, Parameters!$B$17*'Pizza Sales Calculations'!$L25*2, 0)</f>
        <v>5.9027777801966295</v>
      </c>
      <c r="T25" s="6"/>
      <c r="U25" s="9"/>
    </row>
    <row r="26" spans="1:21" x14ac:dyDescent="0.2">
      <c r="A26">
        <v>25</v>
      </c>
      <c r="B26" s="1">
        <v>42370.438831018517</v>
      </c>
      <c r="C26" s="1">
        <v>42370.449259259258</v>
      </c>
      <c r="D26" t="s">
        <v>2</v>
      </c>
      <c r="E26" t="s">
        <v>35</v>
      </c>
      <c r="G26" t="b">
        <v>1</v>
      </c>
      <c r="H26">
        <v>70804</v>
      </c>
      <c r="I26" s="6">
        <v>1.96784533268511</v>
      </c>
      <c r="J26" s="1">
        <v>42370.456087962964</v>
      </c>
      <c r="K26">
        <v>25.94</v>
      </c>
      <c r="L26" s="6">
        <f>('Pizza Sales Calculations'!$J26-'Pizza Sales Calculations'!$C26)*24*60</f>
        <v>9.8333333374466747</v>
      </c>
      <c r="M26">
        <f>COUNTA('Pizza Sales Calculations'!$D26:$F26)</f>
        <v>2</v>
      </c>
      <c r="R26" s="9">
        <f>IF('Pizza Sales Calculations'!$G26=TRUE, Parameters!$B$17*'Pizza Sales Calculations'!$L26*2, 0)</f>
        <v>2.7861111122765578</v>
      </c>
      <c r="T26" s="6"/>
      <c r="U26" s="9"/>
    </row>
    <row r="27" spans="1:21" x14ac:dyDescent="0.2">
      <c r="A27">
        <v>26</v>
      </c>
      <c r="B27" s="1">
        <v>42370.471377314818</v>
      </c>
      <c r="C27" s="1">
        <v>42370.481805555559</v>
      </c>
      <c r="D27" t="s">
        <v>1</v>
      </c>
      <c r="E27" t="s">
        <v>35</v>
      </c>
      <c r="G27" t="b">
        <v>0</v>
      </c>
      <c r="H27">
        <v>70807</v>
      </c>
      <c r="I27" s="6">
        <v>0</v>
      </c>
      <c r="J27" s="1">
        <v>42370.483865740738</v>
      </c>
      <c r="K27">
        <v>23.34</v>
      </c>
      <c r="L27" s="6">
        <f>('Pizza Sales Calculations'!$J27-'Pizza Sales Calculations'!$C27)*24*60</f>
        <v>2.9666666581761092</v>
      </c>
      <c r="M27">
        <f>COUNTA('Pizza Sales Calculations'!$D27:$F27)</f>
        <v>2</v>
      </c>
      <c r="R27" s="9">
        <f>IF('Pizza Sales Calculations'!$G27=TRUE, Parameters!$B$17*'Pizza Sales Calculations'!$L27*2, 0)</f>
        <v>0</v>
      </c>
      <c r="T27" s="6"/>
      <c r="U27" s="9"/>
    </row>
    <row r="28" spans="1:21" x14ac:dyDescent="0.2">
      <c r="A28">
        <v>27</v>
      </c>
      <c r="B28" s="1">
        <v>42371.522881944446</v>
      </c>
      <c r="C28" s="1">
        <v>42371.533263888887</v>
      </c>
      <c r="D28" t="s">
        <v>1</v>
      </c>
      <c r="E28" t="s">
        <v>2</v>
      </c>
      <c r="G28" t="b">
        <v>1</v>
      </c>
      <c r="H28">
        <v>70806</v>
      </c>
      <c r="I28" s="6">
        <v>3.61264885489445</v>
      </c>
      <c r="J28" s="1">
        <v>42371.545798611114</v>
      </c>
      <c r="K28">
        <v>19.579999999999998</v>
      </c>
      <c r="L28" s="6">
        <f>('Pizza Sales Calculations'!$J28-'Pizza Sales Calculations'!$C28)*24*60</f>
        <v>18.050000007497147</v>
      </c>
      <c r="M28">
        <f>COUNTA('Pizza Sales Calculations'!$D28:$F28)</f>
        <v>2</v>
      </c>
      <c r="R28" s="9">
        <f>IF('Pizza Sales Calculations'!$G28=TRUE, Parameters!$B$17*'Pizza Sales Calculations'!$L28*2, 0)</f>
        <v>5.1141666687908582</v>
      </c>
      <c r="T28" s="6"/>
      <c r="U28" s="9"/>
    </row>
    <row r="29" spans="1:21" x14ac:dyDescent="0.2">
      <c r="A29">
        <v>28</v>
      </c>
      <c r="B29" s="1">
        <v>42371.508171296293</v>
      </c>
      <c r="C29" s="1">
        <v>42371.518564814818</v>
      </c>
      <c r="D29" t="s">
        <v>1</v>
      </c>
      <c r="G29" t="b">
        <v>0</v>
      </c>
      <c r="H29">
        <v>70803</v>
      </c>
      <c r="I29" s="6">
        <v>0</v>
      </c>
      <c r="J29" s="1">
        <v>42371.520648148151</v>
      </c>
      <c r="K29">
        <v>7.99</v>
      </c>
      <c r="L29" s="6">
        <f>('Pizza Sales Calculations'!$J29-'Pizza Sales Calculations'!$C29)*24*60</f>
        <v>2.9999999993015081</v>
      </c>
      <c r="M29">
        <f>COUNTA('Pizza Sales Calculations'!$D29:$F29)</f>
        <v>1</v>
      </c>
      <c r="R29" s="9">
        <f>IF('Pizza Sales Calculations'!$G29=TRUE, Parameters!$B$17*'Pizza Sales Calculations'!$L29*2, 0)</f>
        <v>0</v>
      </c>
      <c r="T29" s="6"/>
      <c r="U29" s="9"/>
    </row>
    <row r="30" spans="1:21" x14ac:dyDescent="0.2">
      <c r="A30">
        <v>29</v>
      </c>
      <c r="B30" s="1">
        <v>42371.458506944444</v>
      </c>
      <c r="C30" s="1">
        <v>42371.468923611108</v>
      </c>
      <c r="D30" t="s">
        <v>35</v>
      </c>
      <c r="G30" t="b">
        <v>0</v>
      </c>
      <c r="H30">
        <v>70805</v>
      </c>
      <c r="I30" s="6">
        <v>0</v>
      </c>
      <c r="J30" s="1">
        <v>42371.470995370371</v>
      </c>
      <c r="K30">
        <v>15.35</v>
      </c>
      <c r="L30" s="6">
        <f>('Pizza Sales Calculations'!$J30-'Pizza Sales Calculations'!$C30)*24*60</f>
        <v>2.9833333392161876</v>
      </c>
      <c r="M30">
        <f>COUNTA('Pizza Sales Calculations'!$D30:$F30)</f>
        <v>1</v>
      </c>
      <c r="R30" s="9">
        <f>IF('Pizza Sales Calculations'!$G30=TRUE, Parameters!$B$17*'Pizza Sales Calculations'!$L30*2, 0)</f>
        <v>0</v>
      </c>
      <c r="T30" s="6"/>
      <c r="U30" s="9"/>
    </row>
    <row r="31" spans="1:21" x14ac:dyDescent="0.2">
      <c r="A31">
        <v>30</v>
      </c>
      <c r="B31" s="1">
        <v>42371.548993055556</v>
      </c>
      <c r="C31" s="1">
        <v>42371.55940972222</v>
      </c>
      <c r="D31" t="s">
        <v>2</v>
      </c>
      <c r="G31" t="b">
        <v>1</v>
      </c>
      <c r="H31">
        <v>70805</v>
      </c>
      <c r="I31" s="6">
        <v>2.9869999056655501</v>
      </c>
      <c r="J31" s="1">
        <v>42371.569780092592</v>
      </c>
      <c r="K31">
        <v>11.59</v>
      </c>
      <c r="L31" s="6">
        <f>('Pizza Sales Calculations'!$J31-'Pizza Sales Calculations'!$C31)*24*60</f>
        <v>14.933333335211501</v>
      </c>
      <c r="M31">
        <f>COUNTA('Pizza Sales Calculations'!$D31:$F31)</f>
        <v>1</v>
      </c>
      <c r="R31" s="9">
        <f>IF('Pizza Sales Calculations'!$G31=TRUE, Parameters!$B$17*'Pizza Sales Calculations'!$L31*2, 0)</f>
        <v>4.2311111116432585</v>
      </c>
      <c r="T31" s="6"/>
      <c r="U31" s="9"/>
    </row>
    <row r="32" spans="1:21" x14ac:dyDescent="0.2">
      <c r="A32">
        <v>31</v>
      </c>
      <c r="B32" s="1">
        <v>42371.512812499997</v>
      </c>
      <c r="C32" s="1">
        <v>42371.523240740738</v>
      </c>
      <c r="D32" t="s">
        <v>35</v>
      </c>
      <c r="G32" t="b">
        <v>0</v>
      </c>
      <c r="H32">
        <v>70804</v>
      </c>
      <c r="I32" s="6">
        <v>0</v>
      </c>
      <c r="J32" s="1">
        <v>42371.525289351855</v>
      </c>
      <c r="K32">
        <v>15.35</v>
      </c>
      <c r="L32" s="6">
        <f>('Pizza Sales Calculations'!$J32-'Pizza Sales Calculations'!$C32)*24*60</f>
        <v>2.9500000085681677</v>
      </c>
      <c r="M32">
        <f>COUNTA('Pizza Sales Calculations'!$D32:$F32)</f>
        <v>1</v>
      </c>
      <c r="R32" s="9">
        <f>IF('Pizza Sales Calculations'!$G32=TRUE, Parameters!$B$17*'Pizza Sales Calculations'!$L32*2, 0)</f>
        <v>0</v>
      </c>
      <c r="T32" s="6"/>
      <c r="U32" s="9"/>
    </row>
    <row r="33" spans="1:21" x14ac:dyDescent="0.2">
      <c r="A33">
        <v>32</v>
      </c>
      <c r="B33" s="1">
        <v>42371.5234837963</v>
      </c>
      <c r="C33" s="1">
        <v>42371.533900462964</v>
      </c>
      <c r="D33" t="s">
        <v>2</v>
      </c>
      <c r="G33" t="b">
        <v>1</v>
      </c>
      <c r="H33">
        <v>70805</v>
      </c>
      <c r="I33" s="6">
        <v>1.875019619431</v>
      </c>
      <c r="J33" s="1">
        <v>42371.540405092594</v>
      </c>
      <c r="K33">
        <v>11.59</v>
      </c>
      <c r="L33" s="6">
        <f>('Pizza Sales Calculations'!$J33-'Pizza Sales Calculations'!$C33)*24*60</f>
        <v>9.3666666664648801</v>
      </c>
      <c r="M33">
        <f>COUNTA('Pizza Sales Calculations'!$D33:$F33)</f>
        <v>1</v>
      </c>
      <c r="R33" s="9">
        <f>IF('Pizza Sales Calculations'!$G33=TRUE, Parameters!$B$17*'Pizza Sales Calculations'!$L33*2, 0)</f>
        <v>2.653888888831716</v>
      </c>
      <c r="T33" s="6"/>
      <c r="U33" s="9"/>
    </row>
    <row r="34" spans="1:21" x14ac:dyDescent="0.2">
      <c r="A34">
        <v>33</v>
      </c>
      <c r="B34" s="1">
        <v>42371.431226851855</v>
      </c>
      <c r="C34" s="1">
        <v>42371.441643518519</v>
      </c>
      <c r="D34" t="s">
        <v>35</v>
      </c>
      <c r="G34" t="b">
        <v>0</v>
      </c>
      <c r="H34">
        <v>70804</v>
      </c>
      <c r="I34" s="6">
        <v>0</v>
      </c>
      <c r="J34" s="1">
        <v>42371.443715277775</v>
      </c>
      <c r="K34">
        <v>15.35</v>
      </c>
      <c r="L34" s="6">
        <f>('Pizza Sales Calculations'!$J34-'Pizza Sales Calculations'!$C34)*24*60</f>
        <v>2.9833333287388086</v>
      </c>
      <c r="M34">
        <f>COUNTA('Pizza Sales Calculations'!$D34:$F34)</f>
        <v>1</v>
      </c>
      <c r="R34" s="9">
        <f>IF('Pizza Sales Calculations'!$G34=TRUE, Parameters!$B$17*'Pizza Sales Calculations'!$L34*2, 0)</f>
        <v>0</v>
      </c>
      <c r="T34" s="6"/>
      <c r="U34" s="9"/>
    </row>
    <row r="35" spans="1:21" x14ac:dyDescent="0.2">
      <c r="A35">
        <v>34</v>
      </c>
      <c r="B35" s="1">
        <v>42371.466307870367</v>
      </c>
      <c r="C35" s="1">
        <v>42371.476712962962</v>
      </c>
      <c r="D35" t="s">
        <v>1</v>
      </c>
      <c r="E35" t="s">
        <v>2</v>
      </c>
      <c r="G35" t="b">
        <v>1</v>
      </c>
      <c r="H35">
        <v>70803</v>
      </c>
      <c r="I35" s="6">
        <v>2.6679713212832201</v>
      </c>
      <c r="J35" s="1">
        <v>42371.485972222225</v>
      </c>
      <c r="K35">
        <v>19.579999999999998</v>
      </c>
      <c r="L35" s="6">
        <f>('Pizza Sales Calculations'!$J35-'Pizza Sales Calculations'!$C35)*24*60</f>
        <v>13.333333338377997</v>
      </c>
      <c r="M35">
        <f>COUNTA('Pizza Sales Calculations'!$D35:$F35)</f>
        <v>2</v>
      </c>
      <c r="R35" s="9">
        <f>IF('Pizza Sales Calculations'!$G35=TRUE, Parameters!$B$17*'Pizza Sales Calculations'!$L35*2, 0)</f>
        <v>3.7777777792070992</v>
      </c>
      <c r="T35" s="6"/>
      <c r="U35" s="9"/>
    </row>
    <row r="36" spans="1:21" x14ac:dyDescent="0.2">
      <c r="A36">
        <v>35</v>
      </c>
      <c r="B36" s="1">
        <v>42371.537372685183</v>
      </c>
      <c r="C36" s="1">
        <v>42371.547766203701</v>
      </c>
      <c r="D36" t="s">
        <v>2</v>
      </c>
      <c r="G36" t="b">
        <v>0</v>
      </c>
      <c r="H36">
        <v>70806</v>
      </c>
      <c r="I36" s="6">
        <v>0</v>
      </c>
      <c r="J36" s="1">
        <v>42371.549837962964</v>
      </c>
      <c r="K36">
        <v>11.59</v>
      </c>
      <c r="L36" s="6">
        <f>('Pizza Sales Calculations'!$J36-'Pizza Sales Calculations'!$C36)*24*60</f>
        <v>2.9833333392161876</v>
      </c>
      <c r="M36">
        <f>COUNTA('Pizza Sales Calculations'!$D36:$F36)</f>
        <v>1</v>
      </c>
      <c r="R36" s="9">
        <f>IF('Pizza Sales Calculations'!$G36=TRUE, Parameters!$B$17*'Pizza Sales Calculations'!$L36*2, 0)</f>
        <v>0</v>
      </c>
      <c r="T36" s="6"/>
      <c r="U36" s="9"/>
    </row>
    <row r="37" spans="1:21" x14ac:dyDescent="0.2">
      <c r="A37">
        <v>36</v>
      </c>
      <c r="B37" s="1">
        <v>42371.47960648148</v>
      </c>
      <c r="C37" s="1">
        <v>42371.490023148152</v>
      </c>
      <c r="D37" t="s">
        <v>35</v>
      </c>
      <c r="G37" t="b">
        <v>1</v>
      </c>
      <c r="H37">
        <v>70805</v>
      </c>
      <c r="I37" s="6">
        <v>3.9470079157879798</v>
      </c>
      <c r="J37" s="1">
        <v>42371.50372685185</v>
      </c>
      <c r="K37">
        <v>15.35</v>
      </c>
      <c r="L37" s="6">
        <f>('Pizza Sales Calculations'!$J37-'Pizza Sales Calculations'!$C37)*24*60</f>
        <v>19.73333332571201</v>
      </c>
      <c r="M37">
        <f>COUNTA('Pizza Sales Calculations'!$D37:$F37)</f>
        <v>1</v>
      </c>
      <c r="R37" s="9">
        <f>IF('Pizza Sales Calculations'!$G37=TRUE, Parameters!$B$17*'Pizza Sales Calculations'!$L37*2, 0)</f>
        <v>5.5911111089517362</v>
      </c>
      <c r="T37" s="6"/>
      <c r="U37" s="9"/>
    </row>
    <row r="38" spans="1:21" x14ac:dyDescent="0.2">
      <c r="A38">
        <v>37</v>
      </c>
      <c r="B38" s="1">
        <v>42371.539953703701</v>
      </c>
      <c r="C38" s="1">
        <v>42371.550370370373</v>
      </c>
      <c r="D38" t="s">
        <v>1</v>
      </c>
      <c r="G38" t="b">
        <v>1</v>
      </c>
      <c r="H38">
        <v>70805</v>
      </c>
      <c r="I38" s="6">
        <v>2.2604540765060799</v>
      </c>
      <c r="J38" s="1">
        <v>42371.558217592596</v>
      </c>
      <c r="K38">
        <v>7.99</v>
      </c>
      <c r="L38" s="6">
        <f>('Pizza Sales Calculations'!$J38-'Pizza Sales Calculations'!$C38)*24*60</f>
        <v>11.300000001210719</v>
      </c>
      <c r="M38">
        <f>COUNTA('Pizza Sales Calculations'!$D38:$F38)</f>
        <v>1</v>
      </c>
      <c r="R38" s="9">
        <f>IF('Pizza Sales Calculations'!$G38=TRUE, Parameters!$B$17*'Pizza Sales Calculations'!$L38*2, 0)</f>
        <v>3.2016666670097038</v>
      </c>
      <c r="T38" s="6"/>
      <c r="U38" s="9"/>
    </row>
    <row r="39" spans="1:21" x14ac:dyDescent="0.2">
      <c r="A39">
        <v>38</v>
      </c>
      <c r="B39" s="1">
        <v>42371.466249999998</v>
      </c>
      <c r="C39" s="1">
        <v>42371.476666666669</v>
      </c>
      <c r="D39" t="s">
        <v>2</v>
      </c>
      <c r="G39" t="b">
        <v>1</v>
      </c>
      <c r="H39">
        <v>70807</v>
      </c>
      <c r="I39" s="6">
        <v>3.8581374440793201</v>
      </c>
      <c r="J39" s="1">
        <v>42371.490057870367</v>
      </c>
      <c r="K39">
        <v>11.59</v>
      </c>
      <c r="L39" s="6">
        <f>('Pizza Sales Calculations'!$J39-'Pizza Sales Calculations'!$C39)*24*60</f>
        <v>19.283333325292915</v>
      </c>
      <c r="M39">
        <f>COUNTA('Pizza Sales Calculations'!$D39:$F39)</f>
        <v>1</v>
      </c>
      <c r="R39" s="9">
        <f>IF('Pizza Sales Calculations'!$G39=TRUE, Parameters!$B$17*'Pizza Sales Calculations'!$L39*2, 0)</f>
        <v>5.4636111088329926</v>
      </c>
      <c r="T39" s="6"/>
      <c r="U39" s="9"/>
    </row>
    <row r="40" spans="1:21" x14ac:dyDescent="0.2">
      <c r="A40">
        <v>39</v>
      </c>
      <c r="B40" s="1">
        <v>42371.514270833337</v>
      </c>
      <c r="C40" s="1">
        <v>42371.524664351855</v>
      </c>
      <c r="D40" t="s">
        <v>35</v>
      </c>
      <c r="G40" t="b">
        <v>1</v>
      </c>
      <c r="H40">
        <v>70805</v>
      </c>
      <c r="I40" s="6">
        <v>2.3749016245181398</v>
      </c>
      <c r="J40" s="1">
        <v>42371.532905092594</v>
      </c>
      <c r="K40">
        <v>15.35</v>
      </c>
      <c r="L40" s="6">
        <f>('Pizza Sales Calculations'!$J40-'Pizza Sales Calculations'!$C40)*24*60</f>
        <v>11.866666664136574</v>
      </c>
      <c r="M40">
        <f>COUNTA('Pizza Sales Calculations'!$D40:$F40)</f>
        <v>1</v>
      </c>
      <c r="R40" s="9">
        <f>IF('Pizza Sales Calculations'!$G40=TRUE, Parameters!$B$17*'Pizza Sales Calculations'!$L40*2, 0)</f>
        <v>3.3622222215053625</v>
      </c>
      <c r="T40" s="6"/>
      <c r="U40" s="9"/>
    </row>
    <row r="41" spans="1:21" x14ac:dyDescent="0.2">
      <c r="A41">
        <v>40</v>
      </c>
      <c r="B41" s="1">
        <v>42371.472094907411</v>
      </c>
      <c r="C41" s="1">
        <v>42371.482511574075</v>
      </c>
      <c r="D41" t="s">
        <v>1</v>
      </c>
      <c r="E41" t="s">
        <v>35</v>
      </c>
      <c r="G41" t="b">
        <v>1</v>
      </c>
      <c r="H41">
        <v>70805</v>
      </c>
      <c r="I41" s="6">
        <v>2.8217373515651301</v>
      </c>
      <c r="J41" s="1">
        <v>42371.492303240739</v>
      </c>
      <c r="K41">
        <v>23.34</v>
      </c>
      <c r="L41" s="6">
        <f>('Pizza Sales Calculations'!$J41-'Pizza Sales Calculations'!$C41)*24*60</f>
        <v>14.09999999566935</v>
      </c>
      <c r="M41">
        <f>COUNTA('Pizza Sales Calculations'!$D41:$F41)</f>
        <v>2</v>
      </c>
      <c r="R41" s="9">
        <f>IF('Pizza Sales Calculations'!$G41=TRUE, Parameters!$B$17*'Pizza Sales Calculations'!$L41*2, 0)</f>
        <v>3.9949999987729825</v>
      </c>
      <c r="T41" s="6"/>
      <c r="U41" s="9"/>
    </row>
    <row r="42" spans="1:21" x14ac:dyDescent="0.2">
      <c r="A42">
        <v>41</v>
      </c>
      <c r="B42" s="1">
        <v>42371.466643518521</v>
      </c>
      <c r="C42" s="1">
        <v>42371.477060185185</v>
      </c>
      <c r="D42" t="s">
        <v>2</v>
      </c>
      <c r="G42" t="b">
        <v>1</v>
      </c>
      <c r="H42">
        <v>70803</v>
      </c>
      <c r="I42" s="6">
        <v>3.22539413462383</v>
      </c>
      <c r="J42" s="1">
        <v>42371.488252314812</v>
      </c>
      <c r="K42">
        <v>11.59</v>
      </c>
      <c r="L42" s="6">
        <f>('Pizza Sales Calculations'!$J42-'Pizza Sales Calculations'!$C42)*24*60</f>
        <v>16.116666662273929</v>
      </c>
      <c r="M42">
        <f>COUNTA('Pizza Sales Calculations'!$D42:$F42)</f>
        <v>1</v>
      </c>
      <c r="R42" s="9">
        <f>IF('Pizza Sales Calculations'!$G42=TRUE, Parameters!$B$17*'Pizza Sales Calculations'!$L42*2, 0)</f>
        <v>4.5663888876442797</v>
      </c>
      <c r="T42" s="6"/>
      <c r="U42" s="9"/>
    </row>
    <row r="43" spans="1:21" x14ac:dyDescent="0.2">
      <c r="A43">
        <v>42</v>
      </c>
      <c r="B43" s="1">
        <v>42371.541608796295</v>
      </c>
      <c r="C43" s="1">
        <v>42371.552025462966</v>
      </c>
      <c r="D43" t="s">
        <v>1</v>
      </c>
      <c r="G43" t="b">
        <v>1</v>
      </c>
      <c r="H43">
        <v>70807</v>
      </c>
      <c r="I43" s="6">
        <v>1.8333815959319999</v>
      </c>
      <c r="J43" s="1">
        <v>42371.558391203704</v>
      </c>
      <c r="K43">
        <v>7.99</v>
      </c>
      <c r="L43" s="6">
        <f>('Pizza Sales Calculations'!$J43-'Pizza Sales Calculations'!$C43)*24*60</f>
        <v>9.1666666616220027</v>
      </c>
      <c r="M43">
        <f>COUNTA('Pizza Sales Calculations'!$D43:$F43)</f>
        <v>1</v>
      </c>
      <c r="R43" s="9">
        <f>IF('Pizza Sales Calculations'!$G43=TRUE, Parameters!$B$17*'Pizza Sales Calculations'!$L43*2, 0)</f>
        <v>2.5972222207929008</v>
      </c>
      <c r="T43" s="6"/>
      <c r="U43" s="9"/>
    </row>
    <row r="44" spans="1:21" x14ac:dyDescent="0.2">
      <c r="A44">
        <v>43</v>
      </c>
      <c r="B44" s="1">
        <v>42371.468391203707</v>
      </c>
      <c r="C44" s="1">
        <v>42371.478807870371</v>
      </c>
      <c r="D44" t="s">
        <v>1</v>
      </c>
      <c r="E44" t="s">
        <v>2</v>
      </c>
      <c r="G44" t="b">
        <v>1</v>
      </c>
      <c r="H44">
        <v>70804</v>
      </c>
      <c r="I44" s="6">
        <v>2.1957366118683299</v>
      </c>
      <c r="J44" s="1">
        <v>42371.48642361111</v>
      </c>
      <c r="K44">
        <v>19.579999999999998</v>
      </c>
      <c r="L44" s="6">
        <f>('Pizza Sales Calculations'!$J44-'Pizza Sales Calculations'!$C44)*24*60</f>
        <v>10.966666663298383</v>
      </c>
      <c r="M44">
        <f>COUNTA('Pizza Sales Calculations'!$D44:$F44)</f>
        <v>2</v>
      </c>
      <c r="R44" s="9">
        <f>IF('Pizza Sales Calculations'!$G44=TRUE, Parameters!$B$17*'Pizza Sales Calculations'!$L44*2, 0)</f>
        <v>3.1072222212678753</v>
      </c>
      <c r="T44" s="6"/>
      <c r="U44" s="9"/>
    </row>
    <row r="45" spans="1:21" x14ac:dyDescent="0.2">
      <c r="A45">
        <v>44</v>
      </c>
      <c r="B45" s="1">
        <v>42371.474039351851</v>
      </c>
      <c r="C45" s="1">
        <v>42371.484432870369</v>
      </c>
      <c r="D45" t="s">
        <v>2</v>
      </c>
      <c r="G45" t="b">
        <v>1</v>
      </c>
      <c r="H45">
        <v>70803</v>
      </c>
      <c r="I45" s="6">
        <v>2.03458661524511</v>
      </c>
      <c r="J45" s="1">
        <v>42371.491493055553</v>
      </c>
      <c r="K45">
        <v>11.59</v>
      </c>
      <c r="L45" s="6">
        <f>('Pizza Sales Calculations'!$J45-'Pizza Sales Calculations'!$C45)*24*60</f>
        <v>10.166666664881632</v>
      </c>
      <c r="M45">
        <f>COUNTA('Pizza Sales Calculations'!$D45:$F45)</f>
        <v>1</v>
      </c>
      <c r="R45" s="9">
        <f>IF('Pizza Sales Calculations'!$G45=TRUE, Parameters!$B$17*'Pizza Sales Calculations'!$L45*2, 0)</f>
        <v>2.8805555550497957</v>
      </c>
      <c r="T45" s="6"/>
      <c r="U45" s="9"/>
    </row>
    <row r="46" spans="1:21" x14ac:dyDescent="0.2">
      <c r="A46">
        <v>45</v>
      </c>
      <c r="B46" s="1">
        <v>42371.489502314813</v>
      </c>
      <c r="C46" s="1">
        <v>42371.499930555554</v>
      </c>
      <c r="D46" t="s">
        <v>35</v>
      </c>
      <c r="G46" t="b">
        <v>1</v>
      </c>
      <c r="H46">
        <v>70806</v>
      </c>
      <c r="I46" s="6">
        <v>3.2053033793644801</v>
      </c>
      <c r="J46" s="1">
        <v>42371.511053240742</v>
      </c>
      <c r="K46">
        <v>15.35</v>
      </c>
      <c r="L46" s="6">
        <f>('Pizza Sales Calculations'!$J46-'Pizza Sales Calculations'!$C46)*24*60</f>
        <v>16.016666670329869</v>
      </c>
      <c r="M46">
        <f>COUNTA('Pizza Sales Calculations'!$D46:$F46)</f>
        <v>1</v>
      </c>
      <c r="R46" s="9">
        <f>IF('Pizza Sales Calculations'!$G46=TRUE, Parameters!$B$17*'Pizza Sales Calculations'!$L46*2, 0)</f>
        <v>4.5380555565934628</v>
      </c>
      <c r="T46" s="6"/>
      <c r="U46" s="9"/>
    </row>
    <row r="47" spans="1:21" x14ac:dyDescent="0.2">
      <c r="A47">
        <v>46</v>
      </c>
      <c r="B47" s="1">
        <v>42371.459155092591</v>
      </c>
      <c r="C47" s="1">
        <v>42371.469571759262</v>
      </c>
      <c r="D47" t="s">
        <v>35</v>
      </c>
      <c r="G47" t="b">
        <v>0</v>
      </c>
      <c r="H47">
        <v>70806</v>
      </c>
      <c r="I47" s="6">
        <v>0</v>
      </c>
      <c r="J47" s="1">
        <v>42371.471655092595</v>
      </c>
      <c r="K47">
        <v>15.35</v>
      </c>
      <c r="L47" s="6">
        <f>('Pizza Sales Calculations'!$J47-'Pizza Sales Calculations'!$C47)*24*60</f>
        <v>2.9999999993015081</v>
      </c>
      <c r="M47">
        <f>COUNTA('Pizza Sales Calculations'!$D47:$F47)</f>
        <v>1</v>
      </c>
      <c r="R47" s="9">
        <f>IF('Pizza Sales Calculations'!$G47=TRUE, Parameters!$B$17*'Pizza Sales Calculations'!$L47*2, 0)</f>
        <v>0</v>
      </c>
      <c r="T47" s="6"/>
      <c r="U47" s="9"/>
    </row>
    <row r="48" spans="1:21" x14ac:dyDescent="0.2">
      <c r="A48">
        <v>47</v>
      </c>
      <c r="B48" s="1">
        <v>42371.52857638889</v>
      </c>
      <c r="C48" s="1">
        <v>42371.538981481484</v>
      </c>
      <c r="D48" t="s">
        <v>35</v>
      </c>
      <c r="G48" t="b">
        <v>0</v>
      </c>
      <c r="H48">
        <v>70805</v>
      </c>
      <c r="I48" s="6">
        <v>0</v>
      </c>
      <c r="J48" s="1">
        <v>42371.541041666664</v>
      </c>
      <c r="K48">
        <v>15.35</v>
      </c>
      <c r="L48" s="6">
        <f>('Pizza Sales Calculations'!$J48-'Pizza Sales Calculations'!$C48)*24*60</f>
        <v>2.9666666581761092</v>
      </c>
      <c r="M48">
        <f>COUNTA('Pizza Sales Calculations'!$D48:$F48)</f>
        <v>1</v>
      </c>
      <c r="R48" s="9">
        <f>IF('Pizza Sales Calculations'!$G48=TRUE, Parameters!$B$17*'Pizza Sales Calculations'!$L48*2, 0)</f>
        <v>0</v>
      </c>
      <c r="T48" s="6"/>
      <c r="U48" s="9"/>
    </row>
    <row r="49" spans="1:21" x14ac:dyDescent="0.2">
      <c r="A49">
        <v>48</v>
      </c>
      <c r="B49" s="1">
        <v>42371.466284722221</v>
      </c>
      <c r="C49" s="1">
        <v>42371.476712962962</v>
      </c>
      <c r="D49" t="s">
        <v>2</v>
      </c>
      <c r="G49" t="b">
        <v>1</v>
      </c>
      <c r="H49">
        <v>70806</v>
      </c>
      <c r="I49" s="6">
        <v>2.7278589041508998</v>
      </c>
      <c r="J49" s="1">
        <v>42371.486180555556</v>
      </c>
      <c r="K49">
        <v>11.59</v>
      </c>
      <c r="L49" s="6">
        <f>('Pizza Sales Calculations'!$J49-'Pizza Sales Calculations'!$C49)*24*60</f>
        <v>13.633333335164934</v>
      </c>
      <c r="M49">
        <f>COUNTA('Pizza Sales Calculations'!$D49:$F49)</f>
        <v>1</v>
      </c>
      <c r="R49" s="9">
        <f>IF('Pizza Sales Calculations'!$G49=TRUE, Parameters!$B$17*'Pizza Sales Calculations'!$L49*2, 0)</f>
        <v>3.8627777782967314</v>
      </c>
      <c r="T49" s="6"/>
      <c r="U49" s="9"/>
    </row>
    <row r="50" spans="1:21" x14ac:dyDescent="0.2">
      <c r="A50">
        <v>49</v>
      </c>
      <c r="B50" s="1">
        <v>42371.580428240741</v>
      </c>
      <c r="C50" s="1">
        <v>42371.590810185182</v>
      </c>
      <c r="D50" t="s">
        <v>2</v>
      </c>
      <c r="G50" t="b">
        <v>0</v>
      </c>
      <c r="H50">
        <v>70804</v>
      </c>
      <c r="I50" s="6">
        <v>0</v>
      </c>
      <c r="J50" s="1">
        <v>42371.592881944445</v>
      </c>
      <c r="K50">
        <v>11.59</v>
      </c>
      <c r="L50" s="6">
        <f>('Pizza Sales Calculations'!$J50-'Pizza Sales Calculations'!$C50)*24*60</f>
        <v>2.9833333392161876</v>
      </c>
      <c r="M50">
        <f>COUNTA('Pizza Sales Calculations'!$D50:$F50)</f>
        <v>1</v>
      </c>
      <c r="R50" s="9">
        <f>IF('Pizza Sales Calculations'!$G50=TRUE, Parameters!$B$17*'Pizza Sales Calculations'!$L50*2, 0)</f>
        <v>0</v>
      </c>
      <c r="T50" s="6"/>
      <c r="U50" s="9"/>
    </row>
    <row r="51" spans="1:21" x14ac:dyDescent="0.2">
      <c r="A51">
        <v>50</v>
      </c>
      <c r="B51" s="1">
        <v>42371.571620370371</v>
      </c>
      <c r="C51" s="1">
        <v>42371.582025462965</v>
      </c>
      <c r="D51" t="s">
        <v>2</v>
      </c>
      <c r="G51" t="b">
        <v>1</v>
      </c>
      <c r="H51">
        <v>70804</v>
      </c>
      <c r="I51" s="6">
        <v>2.9843168107281</v>
      </c>
      <c r="J51" s="1">
        <v>42371.59238425926</v>
      </c>
      <c r="K51">
        <v>11.59</v>
      </c>
      <c r="L51" s="6">
        <f>('Pizza Sales Calculations'!$J51-'Pizza Sales Calculations'!$C51)*24*60</f>
        <v>14.916666664648801</v>
      </c>
      <c r="M51">
        <f>COUNTA('Pizza Sales Calculations'!$D51:$F51)</f>
        <v>1</v>
      </c>
      <c r="R51" s="9">
        <f>IF('Pizza Sales Calculations'!$G51=TRUE, Parameters!$B$17*'Pizza Sales Calculations'!$L51*2, 0)</f>
        <v>4.2263888883171603</v>
      </c>
      <c r="T51" s="6"/>
      <c r="U51" s="9"/>
    </row>
    <row r="52" spans="1:21" x14ac:dyDescent="0.2">
      <c r="A52">
        <v>51</v>
      </c>
      <c r="B52" s="1">
        <v>42371.4690162037</v>
      </c>
      <c r="C52" s="1">
        <v>42371.479409722226</v>
      </c>
      <c r="D52" t="s">
        <v>2</v>
      </c>
      <c r="E52" t="s">
        <v>35</v>
      </c>
      <c r="G52" t="b">
        <v>1</v>
      </c>
      <c r="H52">
        <v>70805</v>
      </c>
      <c r="I52" s="6">
        <v>3.1715635740238399</v>
      </c>
      <c r="J52" s="1">
        <v>42371.490416666667</v>
      </c>
      <c r="K52">
        <v>25.94</v>
      </c>
      <c r="L52" s="6">
        <f>('Pizza Sales Calculations'!$J52-'Pizza Sales Calculations'!$C52)*24*60</f>
        <v>15.849999996135011</v>
      </c>
      <c r="M52">
        <f>COUNTA('Pizza Sales Calculations'!$D52:$F52)</f>
        <v>2</v>
      </c>
      <c r="R52" s="9">
        <f>IF('Pizza Sales Calculations'!$G52=TRUE, Parameters!$B$17*'Pizza Sales Calculations'!$L52*2, 0)</f>
        <v>4.4908333322382532</v>
      </c>
      <c r="T52" s="6"/>
      <c r="U52" s="9"/>
    </row>
    <row r="53" spans="1:21" x14ac:dyDescent="0.2">
      <c r="A53">
        <v>52</v>
      </c>
      <c r="B53" s="1">
        <v>42371.503101851849</v>
      </c>
      <c r="C53" s="1">
        <v>42371.51353009259</v>
      </c>
      <c r="D53" t="s">
        <v>35</v>
      </c>
      <c r="G53" t="b">
        <v>1</v>
      </c>
      <c r="H53">
        <v>70805</v>
      </c>
      <c r="I53" s="6">
        <v>4.0929925502637703</v>
      </c>
      <c r="J53" s="1">
        <v>42371.527731481481</v>
      </c>
      <c r="K53">
        <v>15.35</v>
      </c>
      <c r="L53" s="6">
        <f>('Pizza Sales Calculations'!$J53-'Pizza Sales Calculations'!$C53)*24*60</f>
        <v>20.450000002747402</v>
      </c>
      <c r="M53">
        <f>COUNTA('Pizza Sales Calculations'!$D53:$F53)</f>
        <v>1</v>
      </c>
      <c r="R53" s="9">
        <f>IF('Pizza Sales Calculations'!$G53=TRUE, Parameters!$B$17*'Pizza Sales Calculations'!$L53*2, 0)</f>
        <v>5.7941666674450971</v>
      </c>
      <c r="T53" s="6"/>
      <c r="U53" s="9"/>
    </row>
    <row r="54" spans="1:21" x14ac:dyDescent="0.2">
      <c r="A54">
        <v>53</v>
      </c>
      <c r="B54" s="1">
        <v>42371.436608796299</v>
      </c>
      <c r="C54" s="1">
        <v>42371.447013888886</v>
      </c>
      <c r="D54" t="s">
        <v>1</v>
      </c>
      <c r="E54" t="s">
        <v>2</v>
      </c>
      <c r="G54" t="b">
        <v>0</v>
      </c>
      <c r="H54">
        <v>70803</v>
      </c>
      <c r="I54" s="6">
        <v>0</v>
      </c>
      <c r="J54" s="1">
        <v>42371.449108796296</v>
      </c>
      <c r="K54">
        <v>19.579999999999998</v>
      </c>
      <c r="L54" s="6">
        <f>('Pizza Sales Calculations'!$J54-'Pizza Sales Calculations'!$C54)*24*60</f>
        <v>3.0166666698642075</v>
      </c>
      <c r="M54">
        <f>COUNTA('Pizza Sales Calculations'!$D54:$F54)</f>
        <v>2</v>
      </c>
      <c r="R54" s="9">
        <f>IF('Pizza Sales Calculations'!$G54=TRUE, Parameters!$B$17*'Pizza Sales Calculations'!$L54*2, 0)</f>
        <v>0</v>
      </c>
      <c r="T54" s="6"/>
      <c r="U54" s="9"/>
    </row>
    <row r="55" spans="1:21" x14ac:dyDescent="0.2">
      <c r="A55">
        <v>54</v>
      </c>
      <c r="B55" s="1">
        <v>42371.482118055559</v>
      </c>
      <c r="C55" s="1">
        <v>42371.492534722223</v>
      </c>
      <c r="D55" t="s">
        <v>35</v>
      </c>
      <c r="G55" t="b">
        <v>1</v>
      </c>
      <c r="H55">
        <v>70804</v>
      </c>
      <c r="I55" s="6">
        <v>2.9103330012913098</v>
      </c>
      <c r="J55" s="1">
        <v>42371.502638888887</v>
      </c>
      <c r="K55">
        <v>15.35</v>
      </c>
      <c r="L55" s="6">
        <f>('Pizza Sales Calculations'!$J55-'Pizza Sales Calculations'!$C55)*24*60</f>
        <v>14.549999996088445</v>
      </c>
      <c r="M55">
        <f>COUNTA('Pizza Sales Calculations'!$D55:$F55)</f>
        <v>1</v>
      </c>
      <c r="R55" s="9">
        <f>IF('Pizza Sales Calculations'!$G55=TRUE, Parameters!$B$17*'Pizza Sales Calculations'!$L55*2, 0)</f>
        <v>4.1224999988917261</v>
      </c>
      <c r="T55" s="6"/>
      <c r="U55" s="9"/>
    </row>
    <row r="56" spans="1:21" x14ac:dyDescent="0.2">
      <c r="A56">
        <v>55</v>
      </c>
      <c r="B56" s="1">
        <v>42371.495405092595</v>
      </c>
      <c r="C56" s="1">
        <v>42371.505833333336</v>
      </c>
      <c r="D56" t="s">
        <v>2</v>
      </c>
      <c r="G56" t="b">
        <v>1</v>
      </c>
      <c r="H56">
        <v>70804</v>
      </c>
      <c r="I56" s="6">
        <v>1.1108593723642599</v>
      </c>
      <c r="J56" s="1">
        <v>42371.509687500002</v>
      </c>
      <c r="K56">
        <v>11.59</v>
      </c>
      <c r="L56" s="6">
        <f>('Pizza Sales Calculations'!$J56-'Pizza Sales Calculations'!$C56)*24*60</f>
        <v>5.549999998183921</v>
      </c>
      <c r="M56">
        <f>COUNTA('Pizza Sales Calculations'!$D56:$F56)</f>
        <v>1</v>
      </c>
      <c r="R56" s="9">
        <f>IF('Pizza Sales Calculations'!$G56=TRUE, Parameters!$B$17*'Pizza Sales Calculations'!$L56*2, 0)</f>
        <v>1.5724999994854443</v>
      </c>
      <c r="T56" s="6"/>
      <c r="U56" s="9"/>
    </row>
    <row r="57" spans="1:21" x14ac:dyDescent="0.2">
      <c r="A57">
        <v>56</v>
      </c>
      <c r="B57" s="1">
        <v>42371.523217592592</v>
      </c>
      <c r="C57" s="1">
        <v>42371.53361111111</v>
      </c>
      <c r="D57" t="s">
        <v>35</v>
      </c>
      <c r="G57" t="b">
        <v>0</v>
      </c>
      <c r="H57">
        <v>70806</v>
      </c>
      <c r="I57" s="6">
        <v>0</v>
      </c>
      <c r="J57" s="1">
        <v>42371.535682870373</v>
      </c>
      <c r="K57">
        <v>15.35</v>
      </c>
      <c r="L57" s="6">
        <f>('Pizza Sales Calculations'!$J57-'Pizza Sales Calculations'!$C57)*24*60</f>
        <v>2.9833333392161876</v>
      </c>
      <c r="M57">
        <f>COUNTA('Pizza Sales Calculations'!$D57:$F57)</f>
        <v>1</v>
      </c>
      <c r="R57" s="9">
        <f>IF('Pizza Sales Calculations'!$G57=TRUE, Parameters!$B$17*'Pizza Sales Calculations'!$L57*2, 0)</f>
        <v>0</v>
      </c>
      <c r="T57" s="6"/>
      <c r="U57" s="9"/>
    </row>
    <row r="58" spans="1:21" x14ac:dyDescent="0.2">
      <c r="A58">
        <v>57</v>
      </c>
      <c r="B58" s="1">
        <v>42371.515879629631</v>
      </c>
      <c r="C58" s="1">
        <v>42371.526273148149</v>
      </c>
      <c r="D58" t="s">
        <v>1</v>
      </c>
      <c r="E58" t="s">
        <v>2</v>
      </c>
      <c r="G58" t="b">
        <v>0</v>
      </c>
      <c r="H58">
        <v>70806</v>
      </c>
      <c r="I58" s="6">
        <v>0</v>
      </c>
      <c r="J58" s="1">
        <v>42371.528344907405</v>
      </c>
      <c r="K58">
        <v>19.579999999999998</v>
      </c>
      <c r="L58" s="6">
        <f>('Pizza Sales Calculations'!$J58-'Pizza Sales Calculations'!$C58)*24*60</f>
        <v>2.9833333287388086</v>
      </c>
      <c r="M58">
        <f>COUNTA('Pizza Sales Calculations'!$D58:$F58)</f>
        <v>2</v>
      </c>
      <c r="R58" s="9">
        <f>IF('Pizza Sales Calculations'!$G58=TRUE, Parameters!$B$17*'Pizza Sales Calculations'!$L58*2, 0)</f>
        <v>0</v>
      </c>
      <c r="T58" s="6"/>
      <c r="U58" s="9"/>
    </row>
    <row r="59" spans="1:21" x14ac:dyDescent="0.2">
      <c r="A59">
        <v>58</v>
      </c>
      <c r="B59" s="1">
        <v>42371.476840277777</v>
      </c>
      <c r="C59" s="1">
        <v>42371.487256944441</v>
      </c>
      <c r="D59" t="s">
        <v>35</v>
      </c>
      <c r="G59" t="b">
        <v>0</v>
      </c>
      <c r="H59">
        <v>70805</v>
      </c>
      <c r="I59" s="6">
        <v>0</v>
      </c>
      <c r="J59" s="1">
        <v>42371.489340277774</v>
      </c>
      <c r="K59">
        <v>15.35</v>
      </c>
      <c r="L59" s="6">
        <f>('Pizza Sales Calculations'!$J59-'Pizza Sales Calculations'!$C59)*24*60</f>
        <v>2.9999999993015081</v>
      </c>
      <c r="M59">
        <f>COUNTA('Pizza Sales Calculations'!$D59:$F59)</f>
        <v>1</v>
      </c>
      <c r="R59" s="9">
        <f>IF('Pizza Sales Calculations'!$G59=TRUE, Parameters!$B$17*'Pizza Sales Calculations'!$L59*2, 0)</f>
        <v>0</v>
      </c>
      <c r="T59" s="6"/>
      <c r="U59" s="9"/>
    </row>
    <row r="60" spans="1:21" x14ac:dyDescent="0.2">
      <c r="A60">
        <v>59</v>
      </c>
      <c r="B60" s="1">
        <v>42371.471342592595</v>
      </c>
      <c r="C60" s="1">
        <v>42371.481747685182</v>
      </c>
      <c r="D60" t="s">
        <v>1</v>
      </c>
      <c r="E60" t="s">
        <v>2</v>
      </c>
      <c r="G60" t="b">
        <v>1</v>
      </c>
      <c r="H60">
        <v>70804</v>
      </c>
      <c r="I60" s="6">
        <v>3.1454836643385198</v>
      </c>
      <c r="J60" s="1">
        <v>42371.492662037039</v>
      </c>
      <c r="K60">
        <v>19.579999999999998</v>
      </c>
      <c r="L60" s="6">
        <f>('Pizza Sales Calculations'!$J60-'Pizza Sales Calculations'!$C60)*24*60</f>
        <v>15.716666673542932</v>
      </c>
      <c r="M60">
        <f>COUNTA('Pizza Sales Calculations'!$D60:$F60)</f>
        <v>2</v>
      </c>
      <c r="R60" s="9">
        <f>IF('Pizza Sales Calculations'!$G60=TRUE, Parameters!$B$17*'Pizza Sales Calculations'!$L60*2, 0)</f>
        <v>4.4530555575038306</v>
      </c>
      <c r="T60" s="6"/>
      <c r="U60" s="9"/>
    </row>
    <row r="61" spans="1:21" x14ac:dyDescent="0.2">
      <c r="A61">
        <v>60</v>
      </c>
      <c r="B61" s="1">
        <v>42371.458136574074</v>
      </c>
      <c r="C61" s="1">
        <v>42371.468518518515</v>
      </c>
      <c r="D61" t="s">
        <v>2</v>
      </c>
      <c r="G61" t="b">
        <v>1</v>
      </c>
      <c r="H61">
        <v>70807</v>
      </c>
      <c r="I61" s="6">
        <v>3.16189765547839</v>
      </c>
      <c r="J61" s="1">
        <v>42371.479490740741</v>
      </c>
      <c r="K61">
        <v>11.59</v>
      </c>
      <c r="L61" s="6">
        <f>('Pizza Sales Calculations'!$J61-'Pizza Sales Calculations'!$C61)*24*60</f>
        <v>15.800000005401671</v>
      </c>
      <c r="M61">
        <f>COUNTA('Pizza Sales Calculations'!$D61:$F61)</f>
        <v>1</v>
      </c>
      <c r="R61" s="9">
        <f>IF('Pizza Sales Calculations'!$G61=TRUE, Parameters!$B$17*'Pizza Sales Calculations'!$L61*2, 0)</f>
        <v>4.4766666681971401</v>
      </c>
      <c r="T61" s="6"/>
      <c r="U61" s="9"/>
    </row>
    <row r="62" spans="1:21" x14ac:dyDescent="0.2">
      <c r="A62">
        <v>61</v>
      </c>
      <c r="B62" s="1">
        <v>42371.489085648151</v>
      </c>
      <c r="C62" s="1">
        <v>42371.499513888892</v>
      </c>
      <c r="D62" t="s">
        <v>1</v>
      </c>
      <c r="G62" t="b">
        <v>0</v>
      </c>
      <c r="H62">
        <v>70804</v>
      </c>
      <c r="I62" s="6">
        <v>0</v>
      </c>
      <c r="J62" s="1">
        <v>42371.501585648148</v>
      </c>
      <c r="K62">
        <v>7.99</v>
      </c>
      <c r="L62" s="6">
        <f>('Pizza Sales Calculations'!$J62-'Pizza Sales Calculations'!$C62)*24*60</f>
        <v>2.9833333287388086</v>
      </c>
      <c r="M62">
        <f>COUNTA('Pizza Sales Calculations'!$D62:$F62)</f>
        <v>1</v>
      </c>
      <c r="R62" s="9">
        <f>IF('Pizza Sales Calculations'!$G62=TRUE, Parameters!$B$17*'Pizza Sales Calculations'!$L62*2, 0)</f>
        <v>0</v>
      </c>
      <c r="T62" s="6"/>
      <c r="U62" s="9"/>
    </row>
    <row r="63" spans="1:21" x14ac:dyDescent="0.2">
      <c r="A63">
        <v>62</v>
      </c>
      <c r="B63" s="1">
        <v>42371.538634259261</v>
      </c>
      <c r="C63" s="1">
        <v>42371.549039351848</v>
      </c>
      <c r="D63" t="s">
        <v>2</v>
      </c>
      <c r="G63" t="b">
        <v>1</v>
      </c>
      <c r="H63">
        <v>70804</v>
      </c>
      <c r="I63" s="6">
        <v>2.0121791223967902</v>
      </c>
      <c r="J63" s="1">
        <v>42371.556018518517</v>
      </c>
      <c r="K63">
        <v>11.59</v>
      </c>
      <c r="L63" s="6">
        <f>('Pizza Sales Calculations'!$J63-'Pizza Sales Calculations'!$C63)*24*60</f>
        <v>10.050000002374873</v>
      </c>
      <c r="M63">
        <f>COUNTA('Pizza Sales Calculations'!$D63:$F63)</f>
        <v>1</v>
      </c>
      <c r="R63" s="9">
        <f>IF('Pizza Sales Calculations'!$G63=TRUE, Parameters!$B$17*'Pizza Sales Calculations'!$L63*2, 0)</f>
        <v>2.8475000006728806</v>
      </c>
      <c r="T63" s="6"/>
      <c r="U63" s="9"/>
    </row>
    <row r="64" spans="1:21" x14ac:dyDescent="0.2">
      <c r="A64">
        <v>63</v>
      </c>
      <c r="B64" s="1">
        <v>42371.492476851854</v>
      </c>
      <c r="C64" s="1">
        <v>42371.502870370372</v>
      </c>
      <c r="D64" t="s">
        <v>1</v>
      </c>
      <c r="E64" t="s">
        <v>2</v>
      </c>
      <c r="G64" t="b">
        <v>1</v>
      </c>
      <c r="H64">
        <v>70808</v>
      </c>
      <c r="I64" s="6">
        <v>4.9794773192476196</v>
      </c>
      <c r="J64" s="1">
        <v>42371.520150462966</v>
      </c>
      <c r="K64">
        <v>19.579999999999998</v>
      </c>
      <c r="L64" s="6">
        <f>('Pizza Sales Calculations'!$J64-'Pizza Sales Calculations'!$C64)*24*60</f>
        <v>24.883333335164934</v>
      </c>
      <c r="M64">
        <f>COUNTA('Pizza Sales Calculations'!$D64:$F64)</f>
        <v>2</v>
      </c>
      <c r="R64" s="9">
        <f>IF('Pizza Sales Calculations'!$G64=TRUE, Parameters!$B$17*'Pizza Sales Calculations'!$L64*2, 0)</f>
        <v>7.0502777782967314</v>
      </c>
      <c r="T64" s="6"/>
      <c r="U64" s="9"/>
    </row>
    <row r="65" spans="1:21" x14ac:dyDescent="0.2">
      <c r="A65">
        <v>64</v>
      </c>
      <c r="B65" s="1">
        <v>42371.432881944442</v>
      </c>
      <c r="C65" s="1">
        <v>42371.443298611113</v>
      </c>
      <c r="D65" t="s">
        <v>35</v>
      </c>
      <c r="G65" t="b">
        <v>1</v>
      </c>
      <c r="H65">
        <v>70804</v>
      </c>
      <c r="I65" s="6">
        <v>4.4351197318016498</v>
      </c>
      <c r="J65" s="1">
        <v>42371.458692129629</v>
      </c>
      <c r="K65">
        <v>15.35</v>
      </c>
      <c r="L65" s="6">
        <f>('Pizza Sales Calculations'!$J65-'Pizza Sales Calculations'!$C65)*24*60</f>
        <v>22.166666662087664</v>
      </c>
      <c r="M65">
        <f>COUNTA('Pizza Sales Calculations'!$D65:$F65)</f>
        <v>1</v>
      </c>
      <c r="R65" s="9">
        <f>IF('Pizza Sales Calculations'!$G65=TRUE, Parameters!$B$17*'Pizza Sales Calculations'!$L65*2, 0)</f>
        <v>6.2805555542581715</v>
      </c>
      <c r="T65" s="6"/>
      <c r="U65" s="9"/>
    </row>
    <row r="66" spans="1:21" x14ac:dyDescent="0.2">
      <c r="A66">
        <v>65</v>
      </c>
      <c r="B66" s="1">
        <v>42371.52202546296</v>
      </c>
      <c r="C66" s="1">
        <v>42371.532453703701</v>
      </c>
      <c r="D66" t="s">
        <v>1</v>
      </c>
      <c r="E66" t="s">
        <v>2</v>
      </c>
      <c r="G66" t="b">
        <v>0</v>
      </c>
      <c r="H66">
        <v>70805</v>
      </c>
      <c r="I66" s="6">
        <v>0</v>
      </c>
      <c r="J66" s="1">
        <v>42371.534537037034</v>
      </c>
      <c r="K66">
        <v>19.579999999999998</v>
      </c>
      <c r="L66" s="6">
        <f>('Pizza Sales Calculations'!$J66-'Pizza Sales Calculations'!$C66)*24*60</f>
        <v>2.9999999993015081</v>
      </c>
      <c r="M66">
        <f>COUNTA('Pizza Sales Calculations'!$D66:$F66)</f>
        <v>2</v>
      </c>
      <c r="R66" s="9">
        <f>IF('Pizza Sales Calculations'!$G66=TRUE, Parameters!$B$17*'Pizza Sales Calculations'!$L66*2, 0)</f>
        <v>0</v>
      </c>
      <c r="T66" s="6"/>
      <c r="U66" s="9"/>
    </row>
    <row r="67" spans="1:21" x14ac:dyDescent="0.2">
      <c r="A67">
        <v>66</v>
      </c>
      <c r="B67" s="1">
        <v>42371.608865740738</v>
      </c>
      <c r="C67" s="1">
        <v>42371.619270833333</v>
      </c>
      <c r="D67" t="s">
        <v>35</v>
      </c>
      <c r="G67" t="b">
        <v>0</v>
      </c>
      <c r="H67">
        <v>70804</v>
      </c>
      <c r="I67" s="6">
        <v>0</v>
      </c>
      <c r="J67" s="1">
        <v>42371.621354166666</v>
      </c>
      <c r="K67">
        <v>15.35</v>
      </c>
      <c r="L67" s="6">
        <f>('Pizza Sales Calculations'!$J67-'Pizza Sales Calculations'!$C67)*24*60</f>
        <v>2.9999999993015081</v>
      </c>
      <c r="M67">
        <f>COUNTA('Pizza Sales Calculations'!$D67:$F67)</f>
        <v>1</v>
      </c>
      <c r="R67" s="9">
        <f>IF('Pizza Sales Calculations'!$G67=TRUE, Parameters!$B$17*'Pizza Sales Calculations'!$L67*2, 0)</f>
        <v>0</v>
      </c>
      <c r="T67" s="6"/>
      <c r="U67" s="9"/>
    </row>
    <row r="68" spans="1:21" x14ac:dyDescent="0.2">
      <c r="A68">
        <v>67</v>
      </c>
      <c r="B68" s="1">
        <v>42371.549641203703</v>
      </c>
      <c r="C68" s="1">
        <v>42371.560069444444</v>
      </c>
      <c r="D68" t="s">
        <v>35</v>
      </c>
      <c r="G68" t="b">
        <v>0</v>
      </c>
      <c r="H68">
        <v>70807</v>
      </c>
      <c r="I68" s="6">
        <v>0</v>
      </c>
      <c r="J68" s="1">
        <v>42371.562141203707</v>
      </c>
      <c r="K68">
        <v>15.35</v>
      </c>
      <c r="L68" s="6">
        <f>('Pizza Sales Calculations'!$J68-'Pizza Sales Calculations'!$C68)*24*60</f>
        <v>2.9833333392161876</v>
      </c>
      <c r="M68">
        <f>COUNTA('Pizza Sales Calculations'!$D68:$F68)</f>
        <v>1</v>
      </c>
      <c r="R68" s="9">
        <f>IF('Pizza Sales Calculations'!$G68=TRUE, Parameters!$B$17*'Pizza Sales Calculations'!$L68*2, 0)</f>
        <v>0</v>
      </c>
      <c r="T68" s="6"/>
      <c r="U68" s="9"/>
    </row>
    <row r="69" spans="1:21" x14ac:dyDescent="0.2">
      <c r="A69">
        <v>68</v>
      </c>
      <c r="B69" s="1">
        <v>42371.577314814815</v>
      </c>
      <c r="C69" s="1">
        <v>42371.587719907409</v>
      </c>
      <c r="D69" t="s">
        <v>1</v>
      </c>
      <c r="E69" t="s">
        <v>2</v>
      </c>
      <c r="G69" t="b">
        <v>1</v>
      </c>
      <c r="H69">
        <v>70805</v>
      </c>
      <c r="I69" s="6">
        <v>4.1676380545183198</v>
      </c>
      <c r="J69" s="1">
        <v>42371.602187500001</v>
      </c>
      <c r="K69">
        <v>19.579999999999998</v>
      </c>
      <c r="L69" s="6">
        <f>('Pizza Sales Calculations'!$J69-'Pizza Sales Calculations'!$C69)*24*60</f>
        <v>20.833333331393078</v>
      </c>
      <c r="M69">
        <f>COUNTA('Pizza Sales Calculations'!$D69:$F69)</f>
        <v>2</v>
      </c>
      <c r="R69" s="9">
        <f>IF('Pizza Sales Calculations'!$G69=TRUE, Parameters!$B$17*'Pizza Sales Calculations'!$L69*2, 0)</f>
        <v>5.9027777772280388</v>
      </c>
      <c r="T69" s="6"/>
      <c r="U69" s="9"/>
    </row>
    <row r="70" spans="1:21" x14ac:dyDescent="0.2">
      <c r="A70">
        <v>69</v>
      </c>
      <c r="B70" s="1">
        <v>42371.461423611108</v>
      </c>
      <c r="C70" s="1">
        <v>42371.471828703703</v>
      </c>
      <c r="D70" t="s">
        <v>35</v>
      </c>
      <c r="G70" t="b">
        <v>1</v>
      </c>
      <c r="H70">
        <v>70805</v>
      </c>
      <c r="I70" s="6">
        <v>3.9637533894297401</v>
      </c>
      <c r="J70" s="1">
        <v>42371.485590277778</v>
      </c>
      <c r="K70">
        <v>15.35</v>
      </c>
      <c r="L70" s="6">
        <f>('Pizza Sales Calculations'!$J70-'Pizza Sales Calculations'!$C70)*24*60</f>
        <v>19.816666668048128</v>
      </c>
      <c r="M70">
        <f>COUNTA('Pizza Sales Calculations'!$D70:$F70)</f>
        <v>1</v>
      </c>
      <c r="R70" s="9">
        <f>IF('Pizza Sales Calculations'!$G70=TRUE, Parameters!$B$17*'Pizza Sales Calculations'!$L70*2, 0)</f>
        <v>5.6147222226136364</v>
      </c>
      <c r="T70" s="6"/>
      <c r="U70" s="9"/>
    </row>
    <row r="71" spans="1:21" x14ac:dyDescent="0.2">
      <c r="A71">
        <v>70</v>
      </c>
      <c r="B71" s="1">
        <v>42371.439398148148</v>
      </c>
      <c r="C71" s="1">
        <v>42371.449814814812</v>
      </c>
      <c r="D71" t="s">
        <v>1</v>
      </c>
      <c r="E71" t="s">
        <v>2</v>
      </c>
      <c r="G71" t="b">
        <v>0</v>
      </c>
      <c r="H71">
        <v>70805</v>
      </c>
      <c r="I71" s="6">
        <v>0</v>
      </c>
      <c r="J71" s="1">
        <v>42371.451874999999</v>
      </c>
      <c r="K71">
        <v>19.579999999999998</v>
      </c>
      <c r="L71" s="6">
        <f>('Pizza Sales Calculations'!$J71-'Pizza Sales Calculations'!$C71)*24*60</f>
        <v>2.9666666686534882</v>
      </c>
      <c r="M71">
        <f>COUNTA('Pizza Sales Calculations'!$D71:$F71)</f>
        <v>2</v>
      </c>
      <c r="R71" s="9">
        <f>IF('Pizza Sales Calculations'!$G71=TRUE, Parameters!$B$17*'Pizza Sales Calculations'!$L71*2, 0)</f>
        <v>0</v>
      </c>
      <c r="T71" s="6"/>
      <c r="U71" s="9"/>
    </row>
    <row r="72" spans="1:21" x14ac:dyDescent="0.2">
      <c r="A72">
        <v>71</v>
      </c>
      <c r="B72" s="1">
        <v>42371.525185185186</v>
      </c>
      <c r="C72" s="1">
        <v>42371.535590277781</v>
      </c>
      <c r="D72" t="s">
        <v>2</v>
      </c>
      <c r="E72" t="s">
        <v>35</v>
      </c>
      <c r="G72" t="b">
        <v>0</v>
      </c>
      <c r="H72">
        <v>70804</v>
      </c>
      <c r="I72" s="6">
        <v>0</v>
      </c>
      <c r="J72" s="1">
        <v>42371.53765046296</v>
      </c>
      <c r="K72">
        <v>25.94</v>
      </c>
      <c r="L72" s="6">
        <f>('Pizza Sales Calculations'!$J72-'Pizza Sales Calculations'!$C72)*24*60</f>
        <v>2.9666666581761092</v>
      </c>
      <c r="M72">
        <f>COUNTA('Pizza Sales Calculations'!$D72:$F72)</f>
        <v>2</v>
      </c>
      <c r="R72" s="9">
        <f>IF('Pizza Sales Calculations'!$G72=TRUE, Parameters!$B$17*'Pizza Sales Calculations'!$L72*2, 0)</f>
        <v>0</v>
      </c>
      <c r="T72" s="6"/>
      <c r="U72" s="9"/>
    </row>
    <row r="73" spans="1:21" x14ac:dyDescent="0.2">
      <c r="A73">
        <v>72</v>
      </c>
      <c r="B73" s="1">
        <v>42371.520219907405</v>
      </c>
      <c r="C73" s="1">
        <v>42371.530659722222</v>
      </c>
      <c r="D73" t="s">
        <v>1</v>
      </c>
      <c r="E73" t="s">
        <v>2</v>
      </c>
      <c r="G73" t="b">
        <v>0</v>
      </c>
      <c r="H73">
        <v>70804</v>
      </c>
      <c r="I73" s="6">
        <v>0</v>
      </c>
      <c r="J73" s="1">
        <v>42371.532719907409</v>
      </c>
      <c r="K73">
        <v>19.579999999999998</v>
      </c>
      <c r="L73" s="6">
        <f>('Pizza Sales Calculations'!$J73-'Pizza Sales Calculations'!$C73)*24*60</f>
        <v>2.9666666686534882</v>
      </c>
      <c r="M73">
        <f>COUNTA('Pizza Sales Calculations'!$D73:$F73)</f>
        <v>2</v>
      </c>
      <c r="R73" s="9">
        <f>IF('Pizza Sales Calculations'!$G73=TRUE, Parameters!$B$17*'Pizza Sales Calculations'!$L73*2, 0)</f>
        <v>0</v>
      </c>
      <c r="T73" s="6"/>
      <c r="U73" s="9"/>
    </row>
    <row r="74" spans="1:21" x14ac:dyDescent="0.2">
      <c r="A74">
        <v>73</v>
      </c>
      <c r="B74" s="1">
        <v>42371.510370370372</v>
      </c>
      <c r="C74" s="1">
        <v>42371.520775462966</v>
      </c>
      <c r="D74" t="s">
        <v>1</v>
      </c>
      <c r="G74" t="b">
        <v>0</v>
      </c>
      <c r="H74">
        <v>70805</v>
      </c>
      <c r="I74" s="6">
        <v>0</v>
      </c>
      <c r="J74" s="1">
        <v>42371.522858796299</v>
      </c>
      <c r="K74">
        <v>7.99</v>
      </c>
      <c r="L74" s="6">
        <f>('Pizza Sales Calculations'!$J74-'Pizza Sales Calculations'!$C74)*24*60</f>
        <v>2.9999999993015081</v>
      </c>
      <c r="M74">
        <f>COUNTA('Pizza Sales Calculations'!$D74:$F74)</f>
        <v>1</v>
      </c>
      <c r="R74" s="9">
        <f>IF('Pizza Sales Calculations'!$G74=TRUE, Parameters!$B$17*'Pizza Sales Calculations'!$L74*2, 0)</f>
        <v>0</v>
      </c>
      <c r="T74" s="6"/>
      <c r="U74" s="9"/>
    </row>
    <row r="75" spans="1:21" x14ac:dyDescent="0.2">
      <c r="A75">
        <v>74</v>
      </c>
      <c r="B75" s="1">
        <v>42371.507581018515</v>
      </c>
      <c r="C75" s="1">
        <v>42371.517974537041</v>
      </c>
      <c r="D75" t="s">
        <v>35</v>
      </c>
      <c r="G75" t="b">
        <v>1</v>
      </c>
      <c r="H75">
        <v>70806</v>
      </c>
      <c r="I75" s="6">
        <v>5.2816256178522396</v>
      </c>
      <c r="J75" s="1">
        <v>42371.536307870374</v>
      </c>
      <c r="K75">
        <v>15.35</v>
      </c>
      <c r="L75" s="6">
        <f>('Pizza Sales Calculations'!$J75-'Pizza Sales Calculations'!$C75)*24*60</f>
        <v>26.400000000139698</v>
      </c>
      <c r="M75">
        <f>COUNTA('Pizza Sales Calculations'!$D75:$F75)</f>
        <v>1</v>
      </c>
      <c r="R75" s="9">
        <f>IF('Pizza Sales Calculations'!$G75=TRUE, Parameters!$B$17*'Pizza Sales Calculations'!$L75*2, 0)</f>
        <v>7.4800000000395812</v>
      </c>
      <c r="T75" s="6"/>
      <c r="U75" s="9"/>
    </row>
    <row r="76" spans="1:21" x14ac:dyDescent="0.2">
      <c r="A76">
        <v>75</v>
      </c>
      <c r="B76" s="1">
        <v>42371.432905092595</v>
      </c>
      <c r="C76" s="1">
        <v>42371.443298611113</v>
      </c>
      <c r="D76" t="s">
        <v>35</v>
      </c>
      <c r="G76" t="b">
        <v>0</v>
      </c>
      <c r="H76">
        <v>70804</v>
      </c>
      <c r="I76" s="6">
        <v>0</v>
      </c>
      <c r="J76" s="1">
        <v>42371.445370370369</v>
      </c>
      <c r="K76">
        <v>15.35</v>
      </c>
      <c r="L76" s="6">
        <f>('Pizza Sales Calculations'!$J76-'Pizza Sales Calculations'!$C76)*24*60</f>
        <v>2.9833333287388086</v>
      </c>
      <c r="M76">
        <f>COUNTA('Pizza Sales Calculations'!$D76:$F76)</f>
        <v>1</v>
      </c>
      <c r="R76" s="9">
        <f>IF('Pizza Sales Calculations'!$G76=TRUE, Parameters!$B$17*'Pizza Sales Calculations'!$L76*2, 0)</f>
        <v>0</v>
      </c>
      <c r="T76" s="6"/>
      <c r="U76" s="9"/>
    </row>
    <row r="77" spans="1:21" x14ac:dyDescent="0.2">
      <c r="A77">
        <v>76</v>
      </c>
      <c r="B77" s="1">
        <v>42371.516979166663</v>
      </c>
      <c r="C77" s="1">
        <v>42371.527384259258</v>
      </c>
      <c r="D77" t="s">
        <v>35</v>
      </c>
      <c r="G77" t="b">
        <v>0</v>
      </c>
      <c r="H77">
        <v>70805</v>
      </c>
      <c r="I77" s="6">
        <v>0</v>
      </c>
      <c r="J77" s="1">
        <v>42371.529456018521</v>
      </c>
      <c r="K77">
        <v>15.35</v>
      </c>
      <c r="L77" s="6">
        <f>('Pizza Sales Calculations'!$J77-'Pizza Sales Calculations'!$C77)*24*60</f>
        <v>2.9833333392161876</v>
      </c>
      <c r="M77">
        <f>COUNTA('Pizza Sales Calculations'!$D77:$F77)</f>
        <v>1</v>
      </c>
      <c r="R77" s="9">
        <f>IF('Pizza Sales Calculations'!$G77=TRUE, Parameters!$B$17*'Pizza Sales Calculations'!$L77*2, 0)</f>
        <v>0</v>
      </c>
      <c r="T77" s="6"/>
      <c r="U77" s="9"/>
    </row>
    <row r="78" spans="1:21" x14ac:dyDescent="0.2">
      <c r="A78">
        <v>77</v>
      </c>
      <c r="B78" s="1">
        <v>42371.478437500002</v>
      </c>
      <c r="C78" s="1">
        <v>42371.488854166666</v>
      </c>
      <c r="D78" t="s">
        <v>1</v>
      </c>
      <c r="G78" t="b">
        <v>1</v>
      </c>
      <c r="H78">
        <v>70804</v>
      </c>
      <c r="I78" s="6">
        <v>3.2452102868854298</v>
      </c>
      <c r="J78" s="1">
        <v>42371.500115740739</v>
      </c>
      <c r="K78">
        <v>7.99</v>
      </c>
      <c r="L78" s="6">
        <f>('Pizza Sales Calculations'!$J78-'Pizza Sales Calculations'!$C78)*24*60</f>
        <v>16.216666664695367</v>
      </c>
      <c r="M78">
        <f>COUNTA('Pizza Sales Calculations'!$D78:$F78)</f>
        <v>1</v>
      </c>
      <c r="R78" s="9">
        <f>IF('Pizza Sales Calculations'!$G78=TRUE, Parameters!$B$17*'Pizza Sales Calculations'!$L78*2, 0)</f>
        <v>4.5947222216636874</v>
      </c>
      <c r="T78" s="6"/>
      <c r="U78" s="9"/>
    </row>
    <row r="79" spans="1:21" x14ac:dyDescent="0.2">
      <c r="A79">
        <v>78</v>
      </c>
      <c r="B79" s="1">
        <v>42371.440185185187</v>
      </c>
      <c r="C79" s="1">
        <v>42371.450578703705</v>
      </c>
      <c r="D79" t="s">
        <v>2</v>
      </c>
      <c r="G79" t="b">
        <v>1</v>
      </c>
      <c r="H79">
        <v>70805</v>
      </c>
      <c r="I79" s="6">
        <v>3.6901531344721499</v>
      </c>
      <c r="J79" s="1">
        <v>42371.463391203702</v>
      </c>
      <c r="K79">
        <v>11.59</v>
      </c>
      <c r="L79" s="6">
        <f>('Pizza Sales Calculations'!$J79-'Pizza Sales Calculations'!$C79)*24*60</f>
        <v>18.449999996228144</v>
      </c>
      <c r="M79">
        <f>COUNTA('Pizza Sales Calculations'!$D79:$F79)</f>
        <v>1</v>
      </c>
      <c r="R79" s="9">
        <f>IF('Pizza Sales Calculations'!$G79=TRUE, Parameters!$B$17*'Pizza Sales Calculations'!$L79*2, 0)</f>
        <v>5.2274999989313073</v>
      </c>
      <c r="T79" s="6"/>
      <c r="U79" s="9"/>
    </row>
    <row r="80" spans="1:21" x14ac:dyDescent="0.2">
      <c r="A80">
        <v>79</v>
      </c>
      <c r="B80" s="1">
        <v>42371.515555555554</v>
      </c>
      <c r="C80" s="1">
        <v>42371.525949074072</v>
      </c>
      <c r="D80" t="s">
        <v>1</v>
      </c>
      <c r="G80" t="b">
        <v>1</v>
      </c>
      <c r="H80">
        <v>70804</v>
      </c>
      <c r="I80" s="6">
        <v>4.2130091769347002</v>
      </c>
      <c r="J80" s="1">
        <v>42371.540567129632</v>
      </c>
      <c r="K80">
        <v>7.99</v>
      </c>
      <c r="L80" s="6">
        <f>('Pizza Sales Calculations'!$J80-'Pizza Sales Calculations'!$C80)*24*60</f>
        <v>21.050000006798655</v>
      </c>
      <c r="M80">
        <f>COUNTA('Pizza Sales Calculations'!$D80:$F80)</f>
        <v>1</v>
      </c>
      <c r="R80" s="9">
        <f>IF('Pizza Sales Calculations'!$G80=TRUE, Parameters!$B$17*'Pizza Sales Calculations'!$L80*2, 0)</f>
        <v>5.9641666685929522</v>
      </c>
      <c r="T80" s="6"/>
      <c r="U80" s="9"/>
    </row>
    <row r="81" spans="1:21" x14ac:dyDescent="0.2">
      <c r="A81">
        <v>80</v>
      </c>
      <c r="B81" s="1">
        <v>42371.587280092594</v>
      </c>
      <c r="C81" s="1">
        <v>42371.597685185188</v>
      </c>
      <c r="D81" t="s">
        <v>35</v>
      </c>
      <c r="G81" t="b">
        <v>0</v>
      </c>
      <c r="H81">
        <v>70805</v>
      </c>
      <c r="I81" s="6">
        <v>0</v>
      </c>
      <c r="J81" s="1">
        <v>42371.599768518521</v>
      </c>
      <c r="K81">
        <v>15.35</v>
      </c>
      <c r="L81" s="6">
        <f>('Pizza Sales Calculations'!$J81-'Pizza Sales Calculations'!$C81)*24*60</f>
        <v>2.9999999993015081</v>
      </c>
      <c r="M81">
        <f>COUNTA('Pizza Sales Calculations'!$D81:$F81)</f>
        <v>1</v>
      </c>
      <c r="R81" s="9">
        <f>IF('Pizza Sales Calculations'!$G81=TRUE, Parameters!$B$17*'Pizza Sales Calculations'!$L81*2, 0)</f>
        <v>0</v>
      </c>
      <c r="T81" s="6"/>
      <c r="U81" s="9"/>
    </row>
    <row r="82" spans="1:21" x14ac:dyDescent="0.2">
      <c r="A82">
        <v>81</v>
      </c>
      <c r="B82" s="1">
        <v>42371.469953703701</v>
      </c>
      <c r="C82" s="1">
        <v>42371.480370370373</v>
      </c>
      <c r="D82" t="s">
        <v>1</v>
      </c>
      <c r="E82" t="s">
        <v>35</v>
      </c>
      <c r="G82" t="b">
        <v>1</v>
      </c>
      <c r="H82">
        <v>70803</v>
      </c>
      <c r="I82" s="6">
        <v>2.9900452108273599</v>
      </c>
      <c r="J82" s="1">
        <v>42371.490752314814</v>
      </c>
      <c r="K82">
        <v>23.34</v>
      </c>
      <c r="L82" s="6">
        <f>('Pizza Sales Calculations'!$J82-'Pizza Sales Calculations'!$C82)*24*60</f>
        <v>14.949999995296821</v>
      </c>
      <c r="M82">
        <f>COUNTA('Pizza Sales Calculations'!$D82:$F82)</f>
        <v>2</v>
      </c>
      <c r="R82" s="9">
        <f>IF('Pizza Sales Calculations'!$G82=TRUE, Parameters!$B$17*'Pizza Sales Calculations'!$L82*2, 0)</f>
        <v>4.2358333320007659</v>
      </c>
      <c r="T82" s="6"/>
      <c r="U82" s="9"/>
    </row>
    <row r="83" spans="1:21" x14ac:dyDescent="0.2">
      <c r="A83">
        <v>82</v>
      </c>
      <c r="B83" s="1">
        <v>42371.489212962966</v>
      </c>
      <c r="C83" s="1">
        <v>42371.49962962963</v>
      </c>
      <c r="D83" t="s">
        <v>1</v>
      </c>
      <c r="E83" t="s">
        <v>35</v>
      </c>
      <c r="G83" t="b">
        <v>1</v>
      </c>
      <c r="H83">
        <v>70804</v>
      </c>
      <c r="I83" s="6">
        <v>1.66198992874833</v>
      </c>
      <c r="J83" s="1">
        <v>42371.505393518521</v>
      </c>
      <c r="K83">
        <v>23.34</v>
      </c>
      <c r="L83" s="6">
        <f>('Pizza Sales Calculations'!$J83-'Pizza Sales Calculations'!$C83)*24*60</f>
        <v>8.3000000019092113</v>
      </c>
      <c r="M83">
        <f>COUNTA('Pizza Sales Calculations'!$D83:$F83)</f>
        <v>2</v>
      </c>
      <c r="R83" s="9">
        <f>IF('Pizza Sales Calculations'!$G83=TRUE, Parameters!$B$17*'Pizza Sales Calculations'!$L83*2, 0)</f>
        <v>2.3516666672076099</v>
      </c>
      <c r="T83" s="6"/>
      <c r="U83" s="9"/>
    </row>
    <row r="84" spans="1:21" x14ac:dyDescent="0.2">
      <c r="A84">
        <v>83</v>
      </c>
      <c r="B84" s="1">
        <v>42371.478194444448</v>
      </c>
      <c r="C84" s="1">
        <v>42371.488599537035</v>
      </c>
      <c r="D84" t="s">
        <v>1</v>
      </c>
      <c r="G84" t="b">
        <v>1</v>
      </c>
      <c r="H84">
        <v>70805</v>
      </c>
      <c r="I84" s="6">
        <v>3.6148077105632699</v>
      </c>
      <c r="J84" s="1">
        <v>42371.501145833332</v>
      </c>
      <c r="K84">
        <v>7.99</v>
      </c>
      <c r="L84" s="6">
        <f>('Pizza Sales Calculations'!$J84-'Pizza Sales Calculations'!$C84)*24*60</f>
        <v>18.066666667582467</v>
      </c>
      <c r="M84">
        <f>COUNTA('Pizza Sales Calculations'!$D84:$F84)</f>
        <v>1</v>
      </c>
      <c r="R84" s="9">
        <f>IF('Pizza Sales Calculations'!$G84=TRUE, Parameters!$B$17*'Pizza Sales Calculations'!$L84*2, 0)</f>
        <v>5.1188888891483657</v>
      </c>
      <c r="T84" s="6"/>
      <c r="U84" s="9"/>
    </row>
    <row r="85" spans="1:21" x14ac:dyDescent="0.2">
      <c r="A85">
        <v>84</v>
      </c>
      <c r="B85" s="1">
        <v>42371.487175925926</v>
      </c>
      <c r="C85" s="1">
        <v>42371.497581018521</v>
      </c>
      <c r="D85" t="s">
        <v>35</v>
      </c>
      <c r="G85" t="b">
        <v>0</v>
      </c>
      <c r="H85">
        <v>70805</v>
      </c>
      <c r="I85" s="6">
        <v>0</v>
      </c>
      <c r="J85" s="1">
        <v>42371.499652777777</v>
      </c>
      <c r="K85">
        <v>15.35</v>
      </c>
      <c r="L85" s="6">
        <f>('Pizza Sales Calculations'!$J85-'Pizza Sales Calculations'!$C85)*24*60</f>
        <v>2.9833333287388086</v>
      </c>
      <c r="M85">
        <f>COUNTA('Pizza Sales Calculations'!$D85:$F85)</f>
        <v>1</v>
      </c>
      <c r="R85" s="9">
        <f>IF('Pizza Sales Calculations'!$G85=TRUE, Parameters!$B$17*'Pizza Sales Calculations'!$L85*2, 0)</f>
        <v>0</v>
      </c>
      <c r="T85" s="6"/>
      <c r="U85" s="9"/>
    </row>
    <row r="86" spans="1:21" x14ac:dyDescent="0.2">
      <c r="A86">
        <v>85</v>
      </c>
      <c r="B86" s="1">
        <v>42371.500347222223</v>
      </c>
      <c r="C86" s="1">
        <v>42371.510752314818</v>
      </c>
      <c r="D86" t="s">
        <v>2</v>
      </c>
      <c r="G86" t="b">
        <v>0</v>
      </c>
      <c r="H86">
        <v>70804</v>
      </c>
      <c r="I86" s="6">
        <v>0</v>
      </c>
      <c r="J86" s="1">
        <v>42371.51284722222</v>
      </c>
      <c r="K86">
        <v>11.59</v>
      </c>
      <c r="L86" s="6">
        <f>('Pizza Sales Calculations'!$J86-'Pizza Sales Calculations'!$C86)*24*60</f>
        <v>3.0166666593868285</v>
      </c>
      <c r="M86">
        <f>COUNTA('Pizza Sales Calculations'!$D86:$F86)</f>
        <v>1</v>
      </c>
      <c r="R86" s="9">
        <f>IF('Pizza Sales Calculations'!$G86=TRUE, Parameters!$B$17*'Pizza Sales Calculations'!$L86*2, 0)</f>
        <v>0</v>
      </c>
      <c r="T86" s="6"/>
      <c r="U86" s="9"/>
    </row>
    <row r="87" spans="1:21" x14ac:dyDescent="0.2">
      <c r="A87">
        <v>86</v>
      </c>
      <c r="B87" s="1">
        <v>42371.524467592593</v>
      </c>
      <c r="C87" s="1">
        <v>42371.534884259258</v>
      </c>
      <c r="D87" t="s">
        <v>1</v>
      </c>
      <c r="G87" t="b">
        <v>1</v>
      </c>
      <c r="H87">
        <v>70806</v>
      </c>
      <c r="I87" s="6">
        <v>1.6360924162659201</v>
      </c>
      <c r="J87" s="1">
        <v>42371.540555555555</v>
      </c>
      <c r="K87">
        <v>7.99</v>
      </c>
      <c r="L87" s="6">
        <f>('Pizza Sales Calculations'!$J87-'Pizza Sales Calculations'!$C87)*24*60</f>
        <v>8.1666666688397527</v>
      </c>
      <c r="M87">
        <f>COUNTA('Pizza Sales Calculations'!$D87:$F87)</f>
        <v>1</v>
      </c>
      <c r="R87" s="9">
        <f>IF('Pizza Sales Calculations'!$G87=TRUE, Parameters!$B$17*'Pizza Sales Calculations'!$L87*2, 0)</f>
        <v>2.3138888895045966</v>
      </c>
      <c r="T87" s="6"/>
      <c r="U87" s="9"/>
    </row>
    <row r="88" spans="1:21" x14ac:dyDescent="0.2">
      <c r="A88">
        <v>87</v>
      </c>
      <c r="B88" s="1">
        <v>42371.441041666665</v>
      </c>
      <c r="C88" s="1">
        <v>42371.45144675926</v>
      </c>
      <c r="D88" t="s">
        <v>1</v>
      </c>
      <c r="G88" t="b">
        <v>0</v>
      </c>
      <c r="H88">
        <v>70803</v>
      </c>
      <c r="I88" s="6">
        <v>0</v>
      </c>
      <c r="J88" s="1">
        <v>42371.453530092593</v>
      </c>
      <c r="K88">
        <v>7.99</v>
      </c>
      <c r="L88" s="6">
        <f>('Pizza Sales Calculations'!$J88-'Pizza Sales Calculations'!$C88)*24*60</f>
        <v>2.9999999993015081</v>
      </c>
      <c r="M88">
        <f>COUNTA('Pizza Sales Calculations'!$D88:$F88)</f>
        <v>1</v>
      </c>
      <c r="R88" s="9">
        <f>IF('Pizza Sales Calculations'!$G88=TRUE, Parameters!$B$17*'Pizza Sales Calculations'!$L88*2, 0)</f>
        <v>0</v>
      </c>
      <c r="T88" s="6"/>
      <c r="U88" s="9"/>
    </row>
    <row r="89" spans="1:21" x14ac:dyDescent="0.2">
      <c r="A89">
        <v>88</v>
      </c>
      <c r="B89" s="1">
        <v>42371.517048611109</v>
      </c>
      <c r="C89" s="1">
        <v>42371.527442129627</v>
      </c>
      <c r="D89" t="s">
        <v>35</v>
      </c>
      <c r="G89" t="b">
        <v>1</v>
      </c>
      <c r="H89">
        <v>70803</v>
      </c>
      <c r="I89" s="6">
        <v>2.61156704355637</v>
      </c>
      <c r="J89" s="1">
        <v>42371.536504629628</v>
      </c>
      <c r="K89">
        <v>15.35</v>
      </c>
      <c r="L89" s="6">
        <f>('Pizza Sales Calculations'!$J89-'Pizza Sales Calculations'!$C89)*24*60</f>
        <v>13.050000001676381</v>
      </c>
      <c r="M89">
        <f>COUNTA('Pizza Sales Calculations'!$D89:$F89)</f>
        <v>1</v>
      </c>
      <c r="R89" s="9">
        <f>IF('Pizza Sales Calculations'!$G89=TRUE, Parameters!$B$17*'Pizza Sales Calculations'!$L89*2, 0)</f>
        <v>3.6975000004749745</v>
      </c>
      <c r="T89" s="6"/>
      <c r="U89" s="9"/>
    </row>
    <row r="90" spans="1:21" x14ac:dyDescent="0.2">
      <c r="A90">
        <v>89</v>
      </c>
      <c r="B90" s="1">
        <v>42371.535497685189</v>
      </c>
      <c r="C90" s="1">
        <v>42371.545902777776</v>
      </c>
      <c r="D90" t="s">
        <v>35</v>
      </c>
      <c r="G90" t="b">
        <v>0</v>
      </c>
      <c r="H90">
        <v>70804</v>
      </c>
      <c r="I90" s="6">
        <v>0</v>
      </c>
      <c r="J90" s="1">
        <v>42371.547974537039</v>
      </c>
      <c r="K90">
        <v>15.35</v>
      </c>
      <c r="L90" s="6">
        <f>('Pizza Sales Calculations'!$J90-'Pizza Sales Calculations'!$C90)*24*60</f>
        <v>2.9833333392161876</v>
      </c>
      <c r="M90">
        <f>COUNTA('Pizza Sales Calculations'!$D90:$F90)</f>
        <v>1</v>
      </c>
      <c r="R90" s="9">
        <f>IF('Pizza Sales Calculations'!$G90=TRUE, Parameters!$B$17*'Pizza Sales Calculations'!$L90*2, 0)</f>
        <v>0</v>
      </c>
      <c r="T90" s="6"/>
      <c r="U90" s="9"/>
    </row>
    <row r="91" spans="1:21" x14ac:dyDescent="0.2">
      <c r="A91">
        <v>90</v>
      </c>
      <c r="B91" s="1">
        <v>42371.522650462961</v>
      </c>
      <c r="C91" s="1">
        <v>42371.533043981479</v>
      </c>
      <c r="D91" t="s">
        <v>35</v>
      </c>
      <c r="G91" t="b">
        <v>1</v>
      </c>
      <c r="H91">
        <v>70806</v>
      </c>
      <c r="I91" s="6">
        <v>3.8017957407167602</v>
      </c>
      <c r="J91" s="1">
        <v>42371.546238425923</v>
      </c>
      <c r="K91">
        <v>15.35</v>
      </c>
      <c r="L91" s="6">
        <f>('Pizza Sales Calculations'!$J91-'Pizza Sales Calculations'!$C91)*24*60</f>
        <v>18.999999999068677</v>
      </c>
      <c r="M91">
        <f>COUNTA('Pizza Sales Calculations'!$D91:$F91)</f>
        <v>1</v>
      </c>
      <c r="R91" s="9">
        <f>IF('Pizza Sales Calculations'!$G91=TRUE, Parameters!$B$17*'Pizza Sales Calculations'!$L91*2, 0)</f>
        <v>5.3833333330694586</v>
      </c>
      <c r="T91" s="6"/>
      <c r="U91" s="9"/>
    </row>
    <row r="92" spans="1:21" x14ac:dyDescent="0.2">
      <c r="A92">
        <v>91</v>
      </c>
      <c r="B92" s="1">
        <v>42371.529502314814</v>
      </c>
      <c r="C92" s="1">
        <v>42371.539930555555</v>
      </c>
      <c r="D92" t="s">
        <v>2</v>
      </c>
      <c r="G92" t="b">
        <v>0</v>
      </c>
      <c r="H92">
        <v>70803</v>
      </c>
      <c r="I92" s="6">
        <v>0</v>
      </c>
      <c r="J92" s="1">
        <v>42371.541990740741</v>
      </c>
      <c r="K92">
        <v>11.59</v>
      </c>
      <c r="L92" s="6">
        <f>('Pizza Sales Calculations'!$J92-'Pizza Sales Calculations'!$C92)*24*60</f>
        <v>2.9666666686534882</v>
      </c>
      <c r="M92">
        <f>COUNTA('Pizza Sales Calculations'!$D92:$F92)</f>
        <v>1</v>
      </c>
      <c r="R92" s="9">
        <f>IF('Pizza Sales Calculations'!$G92=TRUE, Parameters!$B$17*'Pizza Sales Calculations'!$L92*2, 0)</f>
        <v>0</v>
      </c>
      <c r="T92" s="6"/>
      <c r="U92" s="9"/>
    </row>
    <row r="93" spans="1:21" x14ac:dyDescent="0.2">
      <c r="A93">
        <v>92</v>
      </c>
      <c r="B93" s="1">
        <v>42371.521018518521</v>
      </c>
      <c r="C93" s="1">
        <v>42371.531412037039</v>
      </c>
      <c r="D93" t="s">
        <v>2</v>
      </c>
      <c r="G93" t="b">
        <v>0</v>
      </c>
      <c r="H93">
        <v>70805</v>
      </c>
      <c r="I93" s="6">
        <v>0</v>
      </c>
      <c r="J93" s="1">
        <v>42371.533506944441</v>
      </c>
      <c r="K93">
        <v>11.59</v>
      </c>
      <c r="L93" s="6">
        <f>('Pizza Sales Calculations'!$J93-'Pizza Sales Calculations'!$C93)*24*60</f>
        <v>3.0166666593868285</v>
      </c>
      <c r="M93">
        <f>COUNTA('Pizza Sales Calculations'!$D93:$F93)</f>
        <v>1</v>
      </c>
      <c r="R93" s="9">
        <f>IF('Pizza Sales Calculations'!$G93=TRUE, Parameters!$B$17*'Pizza Sales Calculations'!$L93*2, 0)</f>
        <v>0</v>
      </c>
      <c r="T93" s="6"/>
      <c r="U93" s="9"/>
    </row>
    <row r="94" spans="1:21" x14ac:dyDescent="0.2">
      <c r="A94">
        <v>93</v>
      </c>
      <c r="B94" s="1">
        <v>42371.520289351851</v>
      </c>
      <c r="C94" s="1">
        <v>42371.530694444446</v>
      </c>
      <c r="D94" t="s">
        <v>1</v>
      </c>
      <c r="E94" t="s">
        <v>35</v>
      </c>
      <c r="G94" t="b">
        <v>1</v>
      </c>
      <c r="H94">
        <v>70805</v>
      </c>
      <c r="I94" s="6">
        <v>1.9446467356885899</v>
      </c>
      <c r="J94" s="1">
        <v>42371.537442129629</v>
      </c>
      <c r="K94">
        <v>23.34</v>
      </c>
      <c r="L94" s="6">
        <f>('Pizza Sales Calculations'!$J94-'Pizza Sales Calculations'!$C94)*24*60</f>
        <v>9.7166666644625366</v>
      </c>
      <c r="M94">
        <f>COUNTA('Pizza Sales Calculations'!$D94:$F94)</f>
        <v>2</v>
      </c>
      <c r="R94" s="9">
        <f>IF('Pizza Sales Calculations'!$G94=TRUE, Parameters!$B$17*'Pizza Sales Calculations'!$L94*2, 0)</f>
        <v>2.753055554931052</v>
      </c>
      <c r="T94" s="6"/>
      <c r="U94" s="9"/>
    </row>
    <row r="95" spans="1:21" x14ac:dyDescent="0.2">
      <c r="A95">
        <v>94</v>
      </c>
      <c r="B95" s="1">
        <v>42371.505254629628</v>
      </c>
      <c r="C95" s="1">
        <v>42371.515659722223</v>
      </c>
      <c r="D95" t="s">
        <v>2</v>
      </c>
      <c r="E95" t="s">
        <v>35</v>
      </c>
      <c r="G95" t="b">
        <v>1</v>
      </c>
      <c r="H95">
        <v>70803</v>
      </c>
      <c r="I95" s="6">
        <v>4.30305311328787</v>
      </c>
      <c r="J95" s="1">
        <v>42371.530590277776</v>
      </c>
      <c r="K95">
        <v>25.94</v>
      </c>
      <c r="L95" s="6">
        <f>('Pizza Sales Calculations'!$J95-'Pizza Sales Calculations'!$C95)*24*60</f>
        <v>21.499999996740371</v>
      </c>
      <c r="M95">
        <f>COUNTA('Pizza Sales Calculations'!$D95:$F95)</f>
        <v>2</v>
      </c>
      <c r="R95" s="9">
        <f>IF('Pizza Sales Calculations'!$G95=TRUE, Parameters!$B$17*'Pizza Sales Calculations'!$L95*2, 0)</f>
        <v>6.0916666657431051</v>
      </c>
      <c r="T95" s="6"/>
      <c r="U95" s="9"/>
    </row>
    <row r="96" spans="1:21" x14ac:dyDescent="0.2">
      <c r="A96">
        <v>95</v>
      </c>
      <c r="B96" s="1">
        <v>42371.505891203706</v>
      </c>
      <c r="C96" s="1">
        <v>42371.516296296293</v>
      </c>
      <c r="D96" t="s">
        <v>35</v>
      </c>
      <c r="G96" t="b">
        <v>1</v>
      </c>
      <c r="H96">
        <v>70805</v>
      </c>
      <c r="I96" s="6">
        <v>1.27555800301977</v>
      </c>
      <c r="J96" s="1">
        <v>42371.52071759259</v>
      </c>
      <c r="K96">
        <v>15.35</v>
      </c>
      <c r="L96" s="6">
        <f>('Pizza Sales Calculations'!$J96-'Pizza Sales Calculations'!$C96)*24*60</f>
        <v>6.366666667163372</v>
      </c>
      <c r="M96">
        <f>COUNTA('Pizza Sales Calculations'!$D96:$F96)</f>
        <v>1</v>
      </c>
      <c r="R96" s="9">
        <f>IF('Pizza Sales Calculations'!$G96=TRUE, Parameters!$B$17*'Pizza Sales Calculations'!$L96*2, 0)</f>
        <v>1.8038888890296221</v>
      </c>
      <c r="T96" s="6"/>
      <c r="U96" s="9"/>
    </row>
    <row r="97" spans="1:21" x14ac:dyDescent="0.2">
      <c r="A97">
        <v>96</v>
      </c>
      <c r="B97" s="1">
        <v>42371.435335648152</v>
      </c>
      <c r="C97" s="1">
        <v>42371.445763888885</v>
      </c>
      <c r="D97" t="s">
        <v>1</v>
      </c>
      <c r="E97" t="s">
        <v>2</v>
      </c>
      <c r="G97" t="b">
        <v>0</v>
      </c>
      <c r="H97">
        <v>70805</v>
      </c>
      <c r="I97" s="6">
        <v>0</v>
      </c>
      <c r="J97" s="1">
        <v>42371.447847222225</v>
      </c>
      <c r="K97">
        <v>19.579999999999998</v>
      </c>
      <c r="L97" s="6">
        <f>('Pizza Sales Calculations'!$J97-'Pizza Sales Calculations'!$C97)*24*60</f>
        <v>3.000000009778887</v>
      </c>
      <c r="M97">
        <f>COUNTA('Pizza Sales Calculations'!$D97:$F97)</f>
        <v>2</v>
      </c>
      <c r="R97" s="9">
        <f>IF('Pizza Sales Calculations'!$G97=TRUE, Parameters!$B$17*'Pizza Sales Calculations'!$L97*2, 0)</f>
        <v>0</v>
      </c>
      <c r="T97" s="6"/>
      <c r="U97" s="9"/>
    </row>
    <row r="98" spans="1:21" x14ac:dyDescent="0.2">
      <c r="A98">
        <v>97</v>
      </c>
      <c r="B98" s="1">
        <v>42371.571539351855</v>
      </c>
      <c r="C98" s="1">
        <v>42371.581932870373</v>
      </c>
      <c r="D98" t="s">
        <v>1</v>
      </c>
      <c r="G98" t="b">
        <v>1</v>
      </c>
      <c r="H98">
        <v>70805</v>
      </c>
      <c r="I98" s="6">
        <v>1.9521653025424599</v>
      </c>
      <c r="J98" s="1">
        <v>42371.588703703703</v>
      </c>
      <c r="K98">
        <v>7.99</v>
      </c>
      <c r="L98" s="6">
        <f>('Pizza Sales Calculations'!$J98-'Pizza Sales Calculations'!$C98)*24*60</f>
        <v>9.7499999951105565</v>
      </c>
      <c r="M98">
        <f>COUNTA('Pizza Sales Calculations'!$D98:$F98)</f>
        <v>1</v>
      </c>
      <c r="R98" s="9">
        <f>IF('Pizza Sales Calculations'!$G98=TRUE, Parameters!$B$17*'Pizza Sales Calculations'!$L98*2, 0)</f>
        <v>2.7624999986146577</v>
      </c>
      <c r="T98" s="6"/>
      <c r="U98" s="9"/>
    </row>
    <row r="99" spans="1:21" x14ac:dyDescent="0.2">
      <c r="A99">
        <v>98</v>
      </c>
      <c r="B99" s="1">
        <v>42371.541145833333</v>
      </c>
      <c r="C99" s="1">
        <v>42371.551550925928</v>
      </c>
      <c r="D99" t="s">
        <v>1</v>
      </c>
      <c r="E99" t="s">
        <v>35</v>
      </c>
      <c r="G99" t="b">
        <v>1</v>
      </c>
      <c r="H99">
        <v>70806</v>
      </c>
      <c r="I99" s="6">
        <v>1.51116225638167</v>
      </c>
      <c r="J99" s="1">
        <v>42371.556793981479</v>
      </c>
      <c r="K99">
        <v>23.34</v>
      </c>
      <c r="L99" s="6">
        <f>('Pizza Sales Calculations'!$J99-'Pizza Sales Calculations'!$C99)*24*60</f>
        <v>7.5499999942258</v>
      </c>
      <c r="M99">
        <f>COUNTA('Pizza Sales Calculations'!$D99:$F99)</f>
        <v>2</v>
      </c>
      <c r="R99" s="9">
        <f>IF('Pizza Sales Calculations'!$G99=TRUE, Parameters!$B$17*'Pizza Sales Calculations'!$L99*2, 0)</f>
        <v>2.1391666650306433</v>
      </c>
      <c r="T99" s="6"/>
      <c r="U99" s="9"/>
    </row>
    <row r="100" spans="1:21" x14ac:dyDescent="0.2">
      <c r="A100">
        <v>99</v>
      </c>
      <c r="B100" s="1">
        <v>42371.464317129627</v>
      </c>
      <c r="C100" s="1">
        <v>42371.474733796298</v>
      </c>
      <c r="D100" t="s">
        <v>2</v>
      </c>
      <c r="G100" t="b">
        <v>0</v>
      </c>
      <c r="H100">
        <v>70803</v>
      </c>
      <c r="I100" s="6">
        <v>0</v>
      </c>
      <c r="J100" s="1">
        <v>42371.476817129631</v>
      </c>
      <c r="K100">
        <v>11.59</v>
      </c>
      <c r="L100" s="6">
        <f>('Pizza Sales Calculations'!$J100-'Pizza Sales Calculations'!$C100)*24*60</f>
        <v>2.9999999993015081</v>
      </c>
      <c r="M100">
        <f>COUNTA('Pizza Sales Calculations'!$D100:$F100)</f>
        <v>1</v>
      </c>
      <c r="R100" s="9">
        <f>IF('Pizza Sales Calculations'!$G100=TRUE, Parameters!$B$17*'Pizza Sales Calculations'!$L100*2, 0)</f>
        <v>0</v>
      </c>
      <c r="T100" s="6"/>
      <c r="U100" s="9"/>
    </row>
    <row r="101" spans="1:21" x14ac:dyDescent="0.2">
      <c r="A101">
        <v>100</v>
      </c>
      <c r="B101" s="1">
        <v>42371.563888888886</v>
      </c>
      <c r="C101" s="1">
        <v>42371.574328703704</v>
      </c>
      <c r="D101" t="s">
        <v>1</v>
      </c>
      <c r="E101" t="s">
        <v>35</v>
      </c>
      <c r="G101" t="b">
        <v>1</v>
      </c>
      <c r="H101">
        <v>70806</v>
      </c>
      <c r="I101" s="6">
        <v>2.7029597315183702</v>
      </c>
      <c r="J101" s="1">
        <v>42371.583703703705</v>
      </c>
      <c r="K101">
        <v>23.34</v>
      </c>
      <c r="L101" s="6">
        <f>('Pizza Sales Calculations'!$J101-'Pizza Sales Calculations'!$C101)*24*60</f>
        <v>13.500000002095476</v>
      </c>
      <c r="M101">
        <f>COUNTA('Pizza Sales Calculations'!$D101:$F101)</f>
        <v>2</v>
      </c>
      <c r="R101" s="9">
        <f>IF('Pizza Sales Calculations'!$G101=TRUE, Parameters!$B$17*'Pizza Sales Calculations'!$L101*2, 0)</f>
        <v>3.8250000005937181</v>
      </c>
      <c r="T101" s="6"/>
      <c r="U101" s="9"/>
    </row>
    <row r="102" spans="1:21" x14ac:dyDescent="0.2">
      <c r="A102">
        <v>101</v>
      </c>
      <c r="B102" s="1">
        <v>42371.508611111109</v>
      </c>
      <c r="C102" s="1">
        <v>42371.519016203703</v>
      </c>
      <c r="D102" t="s">
        <v>2</v>
      </c>
      <c r="G102" t="b">
        <v>0</v>
      </c>
      <c r="H102">
        <v>70805</v>
      </c>
      <c r="I102" s="6">
        <v>0</v>
      </c>
      <c r="J102" s="1">
        <v>42371.521122685182</v>
      </c>
      <c r="K102">
        <v>11.59</v>
      </c>
      <c r="L102" s="6">
        <f>('Pizza Sales Calculations'!$J102-'Pizza Sales Calculations'!$C102)*24*60</f>
        <v>3.033333329949528</v>
      </c>
      <c r="M102">
        <f>COUNTA('Pizza Sales Calculations'!$D102:$F102)</f>
        <v>1</v>
      </c>
      <c r="R102" s="9">
        <f>IF('Pizza Sales Calculations'!$G102=TRUE, Parameters!$B$17*'Pizza Sales Calculations'!$L102*2, 0)</f>
        <v>0</v>
      </c>
      <c r="T102" s="6"/>
      <c r="U102" s="9"/>
    </row>
    <row r="103" spans="1:21" x14ac:dyDescent="0.2">
      <c r="A103">
        <v>102</v>
      </c>
      <c r="B103" s="1">
        <v>42371.532175925924</v>
      </c>
      <c r="C103" s="1">
        <v>42371.542604166665</v>
      </c>
      <c r="D103" t="s">
        <v>1</v>
      </c>
      <c r="G103" t="b">
        <v>0</v>
      </c>
      <c r="H103">
        <v>70804</v>
      </c>
      <c r="I103" s="6">
        <v>0</v>
      </c>
      <c r="J103" s="1">
        <v>42371.544699074075</v>
      </c>
      <c r="K103">
        <v>7.99</v>
      </c>
      <c r="L103" s="6">
        <f>('Pizza Sales Calculations'!$J103-'Pizza Sales Calculations'!$C103)*24*60</f>
        <v>3.0166666698642075</v>
      </c>
      <c r="M103">
        <f>COUNTA('Pizza Sales Calculations'!$D103:$F103)</f>
        <v>1</v>
      </c>
      <c r="R103" s="9">
        <f>IF('Pizza Sales Calculations'!$G103=TRUE, Parameters!$B$17*'Pizza Sales Calculations'!$L103*2, 0)</f>
        <v>0</v>
      </c>
      <c r="T103" s="6"/>
      <c r="U103" s="9"/>
    </row>
    <row r="104" spans="1:21" x14ac:dyDescent="0.2">
      <c r="A104">
        <v>103</v>
      </c>
      <c r="B104" s="1">
        <v>42371.561018518521</v>
      </c>
      <c r="C104" s="1">
        <v>42371.571412037039</v>
      </c>
      <c r="D104" t="s">
        <v>35</v>
      </c>
      <c r="G104" t="b">
        <v>0</v>
      </c>
      <c r="H104">
        <v>70805</v>
      </c>
      <c r="I104" s="6">
        <v>0</v>
      </c>
      <c r="J104" s="1">
        <v>42371.573483796295</v>
      </c>
      <c r="K104">
        <v>15.35</v>
      </c>
      <c r="L104" s="6">
        <f>('Pizza Sales Calculations'!$J104-'Pizza Sales Calculations'!$C104)*24*60</f>
        <v>2.9833333287388086</v>
      </c>
      <c r="M104">
        <f>COUNTA('Pizza Sales Calculations'!$D104:$F104)</f>
        <v>1</v>
      </c>
      <c r="R104" s="9">
        <f>IF('Pizza Sales Calculations'!$G104=TRUE, Parameters!$B$17*'Pizza Sales Calculations'!$L104*2, 0)</f>
        <v>0</v>
      </c>
      <c r="T104" s="6"/>
      <c r="U104" s="9"/>
    </row>
    <row r="105" spans="1:21" x14ac:dyDescent="0.2">
      <c r="A105">
        <v>104</v>
      </c>
      <c r="B105" s="1">
        <v>42371.501122685186</v>
      </c>
      <c r="C105" s="1">
        <v>42371.51153935185</v>
      </c>
      <c r="D105" t="s">
        <v>35</v>
      </c>
      <c r="G105" t="b">
        <v>0</v>
      </c>
      <c r="H105">
        <v>70804</v>
      </c>
      <c r="I105" s="6">
        <v>0</v>
      </c>
      <c r="J105" s="1">
        <v>42371.513622685183</v>
      </c>
      <c r="K105">
        <v>15.35</v>
      </c>
      <c r="L105" s="6">
        <f>('Pizza Sales Calculations'!$J105-'Pizza Sales Calculations'!$C105)*24*60</f>
        <v>2.9999999993015081</v>
      </c>
      <c r="M105">
        <f>COUNTA('Pizza Sales Calculations'!$D105:$F105)</f>
        <v>1</v>
      </c>
      <c r="R105" s="9">
        <f>IF('Pizza Sales Calculations'!$G105=TRUE, Parameters!$B$17*'Pizza Sales Calculations'!$L105*2, 0)</f>
        <v>0</v>
      </c>
      <c r="T105" s="6"/>
      <c r="U105" s="9"/>
    </row>
    <row r="106" spans="1:21" x14ac:dyDescent="0.2">
      <c r="A106">
        <v>105</v>
      </c>
      <c r="B106" s="1">
        <v>42371.517743055556</v>
      </c>
      <c r="C106" s="1">
        <v>42371.52815972222</v>
      </c>
      <c r="D106" t="s">
        <v>2</v>
      </c>
      <c r="E106" t="s">
        <v>35</v>
      </c>
      <c r="G106" t="b">
        <v>1</v>
      </c>
      <c r="H106">
        <v>70804</v>
      </c>
      <c r="I106" s="6">
        <v>2.0144241087889201</v>
      </c>
      <c r="J106" s="1">
        <v>42371.535150462965</v>
      </c>
      <c r="K106">
        <v>25.94</v>
      </c>
      <c r="L106" s="6">
        <f>('Pizza Sales Calculations'!$J106-'Pizza Sales Calculations'!$C106)*24*60</f>
        <v>10.066666672937572</v>
      </c>
      <c r="M106">
        <f>COUNTA('Pizza Sales Calculations'!$D106:$F106)</f>
        <v>2</v>
      </c>
      <c r="R106" s="9">
        <f>IF('Pizza Sales Calculations'!$G106=TRUE, Parameters!$B$17*'Pizza Sales Calculations'!$L106*2, 0)</f>
        <v>2.8522222239989787</v>
      </c>
      <c r="T106" s="6"/>
      <c r="U106" s="9"/>
    </row>
    <row r="107" spans="1:21" x14ac:dyDescent="0.2">
      <c r="A107">
        <v>106</v>
      </c>
      <c r="B107" s="1">
        <v>42371.555289351854</v>
      </c>
      <c r="C107" s="1">
        <v>42371.565694444442</v>
      </c>
      <c r="D107" t="s">
        <v>2</v>
      </c>
      <c r="G107" t="b">
        <v>1</v>
      </c>
      <c r="H107">
        <v>70806</v>
      </c>
      <c r="I107" s="6">
        <v>4.8291407259795802</v>
      </c>
      <c r="J107" s="1">
        <v>42371.582453703704</v>
      </c>
      <c r="K107">
        <v>11.59</v>
      </c>
      <c r="L107" s="6">
        <f>('Pizza Sales Calculations'!$J107-'Pizza Sales Calculations'!$C107)*24*60</f>
        <v>24.133333337958902</v>
      </c>
      <c r="M107">
        <f>COUNTA('Pizza Sales Calculations'!$D107:$F107)</f>
        <v>1</v>
      </c>
      <c r="R107" s="9">
        <f>IF('Pizza Sales Calculations'!$G107=TRUE, Parameters!$B$17*'Pizza Sales Calculations'!$L107*2, 0)</f>
        <v>6.8377777790883556</v>
      </c>
      <c r="T107" s="6"/>
      <c r="U107" s="9"/>
    </row>
    <row r="108" spans="1:21" x14ac:dyDescent="0.2">
      <c r="A108">
        <v>107</v>
      </c>
      <c r="B108" s="1">
        <v>42371.519120370373</v>
      </c>
      <c r="C108" s="1">
        <v>42371.529513888891</v>
      </c>
      <c r="D108" t="s">
        <v>1</v>
      </c>
      <c r="E108" t="s">
        <v>2</v>
      </c>
      <c r="G108" t="b">
        <v>0</v>
      </c>
      <c r="H108">
        <v>70805</v>
      </c>
      <c r="I108" s="6">
        <v>0</v>
      </c>
      <c r="J108" s="1">
        <v>42371.531585648147</v>
      </c>
      <c r="K108">
        <v>19.579999999999998</v>
      </c>
      <c r="L108" s="6">
        <f>('Pizza Sales Calculations'!$J108-'Pizza Sales Calculations'!$C108)*24*60</f>
        <v>2.9833333287388086</v>
      </c>
      <c r="M108">
        <f>COUNTA('Pizza Sales Calculations'!$D108:$F108)</f>
        <v>2</v>
      </c>
      <c r="R108" s="9">
        <f>IF('Pizza Sales Calculations'!$G108=TRUE, Parameters!$B$17*'Pizza Sales Calculations'!$L108*2, 0)</f>
        <v>0</v>
      </c>
      <c r="T108" s="6"/>
      <c r="U108" s="9"/>
    </row>
    <row r="109" spans="1:21" x14ac:dyDescent="0.2">
      <c r="A109">
        <v>108</v>
      </c>
      <c r="B109" s="1">
        <v>42371.510277777779</v>
      </c>
      <c r="C109" s="1">
        <v>42371.520694444444</v>
      </c>
      <c r="D109" t="s">
        <v>35</v>
      </c>
      <c r="G109" t="b">
        <v>1</v>
      </c>
      <c r="H109">
        <v>70803</v>
      </c>
      <c r="I109" s="6">
        <v>2.81108373995183</v>
      </c>
      <c r="J109" s="1">
        <v>42371.530451388891</v>
      </c>
      <c r="K109">
        <v>15.35</v>
      </c>
      <c r="L109" s="6">
        <f>('Pizza Sales Calculations'!$J109-'Pizza Sales Calculations'!$C109)*24*60</f>
        <v>14.05000000493601</v>
      </c>
      <c r="M109">
        <f>COUNTA('Pizza Sales Calculations'!$D109:$F109)</f>
        <v>1</v>
      </c>
      <c r="R109" s="9">
        <f>IF('Pizza Sales Calculations'!$G109=TRUE, Parameters!$B$17*'Pizza Sales Calculations'!$L109*2, 0)</f>
        <v>3.9808333347318694</v>
      </c>
      <c r="T109" s="6"/>
      <c r="U109" s="9"/>
    </row>
    <row r="110" spans="1:21" x14ac:dyDescent="0.2">
      <c r="A110">
        <v>109</v>
      </c>
      <c r="B110" s="1">
        <v>42371.485636574071</v>
      </c>
      <c r="C110" s="1">
        <v>42371.496030092596</v>
      </c>
      <c r="D110" t="s">
        <v>2</v>
      </c>
      <c r="G110" t="b">
        <v>1</v>
      </c>
      <c r="H110">
        <v>70804</v>
      </c>
      <c r="I110" s="6">
        <v>2.18108777301003</v>
      </c>
      <c r="J110" s="1">
        <v>42371.503599537034</v>
      </c>
      <c r="K110">
        <v>11.59</v>
      </c>
      <c r="L110" s="6">
        <f>('Pizza Sales Calculations'!$J110-'Pizza Sales Calculations'!$C110)*24*60</f>
        <v>10.899999991524965</v>
      </c>
      <c r="M110">
        <f>COUNTA('Pizza Sales Calculations'!$D110:$F110)</f>
        <v>1</v>
      </c>
      <c r="R110" s="9">
        <f>IF('Pizza Sales Calculations'!$G110=TRUE, Parameters!$B$17*'Pizza Sales Calculations'!$L110*2, 0)</f>
        <v>3.0883333309320733</v>
      </c>
      <c r="T110" s="6"/>
      <c r="U110" s="9"/>
    </row>
    <row r="111" spans="1:21" x14ac:dyDescent="0.2">
      <c r="A111">
        <v>110</v>
      </c>
      <c r="B111" s="1">
        <v>42371.542766203704</v>
      </c>
      <c r="C111" s="1">
        <v>42371.553171296298</v>
      </c>
      <c r="D111" t="s">
        <v>35</v>
      </c>
      <c r="G111" t="b">
        <v>0</v>
      </c>
      <c r="H111">
        <v>70806</v>
      </c>
      <c r="I111" s="6">
        <v>0</v>
      </c>
      <c r="J111" s="1">
        <v>42371.555243055554</v>
      </c>
      <c r="K111">
        <v>15.35</v>
      </c>
      <c r="L111" s="6">
        <f>('Pizza Sales Calculations'!$J111-'Pizza Sales Calculations'!$C111)*24*60</f>
        <v>2.9833333287388086</v>
      </c>
      <c r="M111">
        <f>COUNTA('Pizza Sales Calculations'!$D111:$F111)</f>
        <v>1</v>
      </c>
      <c r="R111" s="9">
        <f>IF('Pizza Sales Calculations'!$G111=TRUE, Parameters!$B$17*'Pizza Sales Calculations'!$L111*2, 0)</f>
        <v>0</v>
      </c>
      <c r="T111" s="6"/>
      <c r="U111" s="9"/>
    </row>
    <row r="112" spans="1:21" x14ac:dyDescent="0.2">
      <c r="A112">
        <v>111</v>
      </c>
      <c r="B112" s="1">
        <v>42371.516377314816</v>
      </c>
      <c r="C112" s="1">
        <v>42371.526782407411</v>
      </c>
      <c r="D112" t="s">
        <v>1</v>
      </c>
      <c r="G112" t="b">
        <v>0</v>
      </c>
      <c r="H112">
        <v>70804</v>
      </c>
      <c r="I112" s="6">
        <v>0</v>
      </c>
      <c r="J112" s="1">
        <v>42371.528865740744</v>
      </c>
      <c r="K112">
        <v>7.99</v>
      </c>
      <c r="L112" s="6">
        <f>('Pizza Sales Calculations'!$J112-'Pizza Sales Calculations'!$C112)*24*60</f>
        <v>2.9999999993015081</v>
      </c>
      <c r="M112">
        <f>COUNTA('Pizza Sales Calculations'!$D112:$F112)</f>
        <v>1</v>
      </c>
      <c r="R112" s="9">
        <f>IF('Pizza Sales Calculations'!$G112=TRUE, Parameters!$B$17*'Pizza Sales Calculations'!$L112*2, 0)</f>
        <v>0</v>
      </c>
      <c r="T112" s="6"/>
      <c r="U112" s="9"/>
    </row>
    <row r="113" spans="1:21" x14ac:dyDescent="0.2">
      <c r="A113">
        <v>112</v>
      </c>
      <c r="B113" s="1">
        <v>42371.622534722221</v>
      </c>
      <c r="C113" s="1">
        <v>42371.632951388892</v>
      </c>
      <c r="D113" t="s">
        <v>2</v>
      </c>
      <c r="G113" t="b">
        <v>0</v>
      </c>
      <c r="H113">
        <v>70808</v>
      </c>
      <c r="I113" s="6">
        <v>0</v>
      </c>
      <c r="J113" s="1">
        <v>42371.635046296295</v>
      </c>
      <c r="K113">
        <v>11.59</v>
      </c>
      <c r="L113" s="6">
        <f>('Pizza Sales Calculations'!$J113-'Pizza Sales Calculations'!$C113)*24*60</f>
        <v>3.0166666593868285</v>
      </c>
      <c r="M113">
        <f>COUNTA('Pizza Sales Calculations'!$D113:$F113)</f>
        <v>1</v>
      </c>
      <c r="R113" s="9">
        <f>IF('Pizza Sales Calculations'!$G113=TRUE, Parameters!$B$17*'Pizza Sales Calculations'!$L113*2, 0)</f>
        <v>0</v>
      </c>
      <c r="T113" s="6"/>
      <c r="U113" s="9"/>
    </row>
    <row r="114" spans="1:21" x14ac:dyDescent="0.2">
      <c r="A114">
        <v>113</v>
      </c>
      <c r="B114" s="1">
        <v>42371.524328703701</v>
      </c>
      <c r="C114" s="1">
        <v>42371.534733796296</v>
      </c>
      <c r="D114" t="s">
        <v>1</v>
      </c>
      <c r="E114" t="s">
        <v>2</v>
      </c>
      <c r="F114" t="s">
        <v>35</v>
      </c>
      <c r="G114" t="b">
        <v>0</v>
      </c>
      <c r="H114">
        <v>70804</v>
      </c>
      <c r="I114" s="6">
        <v>0</v>
      </c>
      <c r="J114" s="1">
        <v>42371.536793981482</v>
      </c>
      <c r="K114">
        <v>33.93</v>
      </c>
      <c r="L114" s="6">
        <f>('Pizza Sales Calculations'!$J114-'Pizza Sales Calculations'!$C114)*24*60</f>
        <v>2.9666666686534882</v>
      </c>
      <c r="M114">
        <f>COUNTA('Pizza Sales Calculations'!$D114:$F114)</f>
        <v>3</v>
      </c>
      <c r="R114" s="9">
        <f>IF('Pizza Sales Calculations'!$G114=TRUE, Parameters!$B$17*'Pizza Sales Calculations'!$L114*2, 0)</f>
        <v>0</v>
      </c>
      <c r="T114" s="6"/>
      <c r="U114" s="9"/>
    </row>
    <row r="115" spans="1:21" x14ac:dyDescent="0.2">
      <c r="A115">
        <v>114</v>
      </c>
      <c r="B115" s="1">
        <v>42371.430405092593</v>
      </c>
      <c r="C115" s="1">
        <v>42371.440833333334</v>
      </c>
      <c r="D115" t="s">
        <v>2</v>
      </c>
      <c r="E115" t="s">
        <v>35</v>
      </c>
      <c r="G115" t="b">
        <v>0</v>
      </c>
      <c r="H115">
        <v>70806</v>
      </c>
      <c r="I115" s="6">
        <v>0</v>
      </c>
      <c r="J115" s="1">
        <v>42371.442939814813</v>
      </c>
      <c r="K115">
        <v>25.94</v>
      </c>
      <c r="L115" s="6">
        <f>('Pizza Sales Calculations'!$J115-'Pizza Sales Calculations'!$C115)*24*60</f>
        <v>3.033333329949528</v>
      </c>
      <c r="M115">
        <f>COUNTA('Pizza Sales Calculations'!$D115:$F115)</f>
        <v>2</v>
      </c>
      <c r="R115" s="9">
        <f>IF('Pizza Sales Calculations'!$G115=TRUE, Parameters!$B$17*'Pizza Sales Calculations'!$L115*2, 0)</f>
        <v>0</v>
      </c>
      <c r="T115" s="6"/>
      <c r="U115" s="9"/>
    </row>
    <row r="116" spans="1:21" x14ac:dyDescent="0.2">
      <c r="A116">
        <v>115</v>
      </c>
      <c r="B116" s="1">
        <v>42371.597546296296</v>
      </c>
      <c r="C116" s="1">
        <v>42371.60796296296</v>
      </c>
      <c r="D116" t="s">
        <v>1</v>
      </c>
      <c r="E116" t="s">
        <v>35</v>
      </c>
      <c r="G116" t="b">
        <v>0</v>
      </c>
      <c r="H116">
        <v>70806</v>
      </c>
      <c r="I116" s="6">
        <v>0</v>
      </c>
      <c r="J116" s="1">
        <v>42371.610034722224</v>
      </c>
      <c r="K116">
        <v>23.34</v>
      </c>
      <c r="L116" s="6">
        <f>('Pizza Sales Calculations'!$J116-'Pizza Sales Calculations'!$C116)*24*60</f>
        <v>2.9833333392161876</v>
      </c>
      <c r="M116">
        <f>COUNTA('Pizza Sales Calculations'!$D116:$F116)</f>
        <v>2</v>
      </c>
      <c r="R116" s="9">
        <f>IF('Pizza Sales Calculations'!$G116=TRUE, Parameters!$B$17*'Pizza Sales Calculations'!$L116*2, 0)</f>
        <v>0</v>
      </c>
      <c r="T116" s="6"/>
      <c r="U116" s="9"/>
    </row>
    <row r="117" spans="1:21" x14ac:dyDescent="0.2">
      <c r="A117">
        <v>116</v>
      </c>
      <c r="B117" s="1">
        <v>42371.557546296295</v>
      </c>
      <c r="C117" s="1">
        <v>42371.56795138889</v>
      </c>
      <c r="D117" t="s">
        <v>2</v>
      </c>
      <c r="G117" t="b">
        <v>1</v>
      </c>
      <c r="H117">
        <v>70805</v>
      </c>
      <c r="I117" s="6">
        <v>3.6605432160921998</v>
      </c>
      <c r="J117" s="1">
        <v>42371.580659722225</v>
      </c>
      <c r="K117">
        <v>11.59</v>
      </c>
      <c r="L117" s="6">
        <f>('Pizza Sales Calculations'!$J117-'Pizza Sales Calculations'!$C117)*24*60</f>
        <v>18.300000003073364</v>
      </c>
      <c r="M117">
        <f>COUNTA('Pizza Sales Calculations'!$D117:$F117)</f>
        <v>1</v>
      </c>
      <c r="R117" s="9">
        <f>IF('Pizza Sales Calculations'!$G117=TRUE, Parameters!$B$17*'Pizza Sales Calculations'!$L117*2, 0)</f>
        <v>5.1850000008707866</v>
      </c>
      <c r="T117" s="6"/>
      <c r="U117" s="9"/>
    </row>
    <row r="118" spans="1:21" x14ac:dyDescent="0.2">
      <c r="A118">
        <v>117</v>
      </c>
      <c r="B118" s="1">
        <v>42371.463425925926</v>
      </c>
      <c r="C118" s="1">
        <v>42371.473819444444</v>
      </c>
      <c r="D118" t="s">
        <v>35</v>
      </c>
      <c r="G118" t="b">
        <v>0</v>
      </c>
      <c r="H118">
        <v>70803</v>
      </c>
      <c r="I118" s="6">
        <v>0</v>
      </c>
      <c r="J118" s="1">
        <v>42371.475914351853</v>
      </c>
      <c r="K118">
        <v>15.35</v>
      </c>
      <c r="L118" s="6">
        <f>('Pizza Sales Calculations'!$J118-'Pizza Sales Calculations'!$C118)*24*60</f>
        <v>3.0166666698642075</v>
      </c>
      <c r="M118">
        <f>COUNTA('Pizza Sales Calculations'!$D118:$F118)</f>
        <v>1</v>
      </c>
      <c r="R118" s="9">
        <f>IF('Pizza Sales Calculations'!$G118=TRUE, Parameters!$B$17*'Pizza Sales Calculations'!$L118*2, 0)</f>
        <v>0</v>
      </c>
      <c r="T118" s="6"/>
      <c r="U118" s="9"/>
    </row>
    <row r="119" spans="1:21" x14ac:dyDescent="0.2">
      <c r="A119">
        <v>118</v>
      </c>
      <c r="B119" s="1">
        <v>42371.492013888892</v>
      </c>
      <c r="C119" s="1">
        <v>42371.502418981479</v>
      </c>
      <c r="D119" t="s">
        <v>1</v>
      </c>
      <c r="E119" t="s">
        <v>2</v>
      </c>
      <c r="G119" t="b">
        <v>1</v>
      </c>
      <c r="H119">
        <v>70806</v>
      </c>
      <c r="I119" s="6">
        <v>2.3817587826888902</v>
      </c>
      <c r="J119" s="1">
        <v>42371.510682870372</v>
      </c>
      <c r="K119">
        <v>19.579999999999998</v>
      </c>
      <c r="L119" s="6">
        <f>('Pizza Sales Calculations'!$J119-'Pizza Sales Calculations'!$C119)*24*60</f>
        <v>11.900000005261973</v>
      </c>
      <c r="M119">
        <f>COUNTA('Pizza Sales Calculations'!$D119:$F119)</f>
        <v>2</v>
      </c>
      <c r="R119" s="9">
        <f>IF('Pizza Sales Calculations'!$G119=TRUE, Parameters!$B$17*'Pizza Sales Calculations'!$L119*2, 0)</f>
        <v>3.3716666681575589</v>
      </c>
      <c r="T119" s="6"/>
      <c r="U119" s="9"/>
    </row>
    <row r="120" spans="1:21" x14ac:dyDescent="0.2">
      <c r="A120">
        <v>119</v>
      </c>
      <c r="B120" s="1">
        <v>42371.475173611114</v>
      </c>
      <c r="C120" s="1">
        <v>42371.485590277778</v>
      </c>
      <c r="D120" t="s">
        <v>2</v>
      </c>
      <c r="G120" t="b">
        <v>0</v>
      </c>
      <c r="H120">
        <v>70806</v>
      </c>
      <c r="I120" s="6">
        <v>0</v>
      </c>
      <c r="J120" s="1">
        <v>42371.487673611111</v>
      </c>
      <c r="K120">
        <v>11.59</v>
      </c>
      <c r="L120" s="6">
        <f>('Pizza Sales Calculations'!$J120-'Pizza Sales Calculations'!$C120)*24*60</f>
        <v>2.9999999993015081</v>
      </c>
      <c r="M120">
        <f>COUNTA('Pizza Sales Calculations'!$D120:$F120)</f>
        <v>1</v>
      </c>
      <c r="R120" s="9">
        <f>IF('Pizza Sales Calculations'!$G120=TRUE, Parameters!$B$17*'Pizza Sales Calculations'!$L120*2, 0)</f>
        <v>0</v>
      </c>
      <c r="T120" s="6"/>
      <c r="U120" s="9"/>
    </row>
    <row r="121" spans="1:21" x14ac:dyDescent="0.2">
      <c r="A121">
        <v>120</v>
      </c>
      <c r="B121" s="1">
        <v>42371.535092592596</v>
      </c>
      <c r="C121" s="1">
        <v>42371.545486111114</v>
      </c>
      <c r="D121" t="s">
        <v>1</v>
      </c>
      <c r="G121" t="b">
        <v>0</v>
      </c>
      <c r="H121">
        <v>70804</v>
      </c>
      <c r="I121" s="6">
        <v>0</v>
      </c>
      <c r="J121" s="1">
        <v>42371.547546296293</v>
      </c>
      <c r="K121">
        <v>7.99</v>
      </c>
      <c r="L121" s="6">
        <f>('Pizza Sales Calculations'!$J121-'Pizza Sales Calculations'!$C121)*24*60</f>
        <v>2.9666666581761092</v>
      </c>
      <c r="M121">
        <f>COUNTA('Pizza Sales Calculations'!$D121:$F121)</f>
        <v>1</v>
      </c>
      <c r="R121" s="9">
        <f>IF('Pizza Sales Calculations'!$G121=TRUE, Parameters!$B$17*'Pizza Sales Calculations'!$L121*2, 0)</f>
        <v>0</v>
      </c>
      <c r="T121" s="6"/>
      <c r="U121" s="9"/>
    </row>
    <row r="122" spans="1:21" x14ac:dyDescent="0.2">
      <c r="A122">
        <v>121</v>
      </c>
      <c r="B122" s="1">
        <v>42371.482986111114</v>
      </c>
      <c r="C122" s="1">
        <v>42371.493402777778</v>
      </c>
      <c r="D122" t="s">
        <v>1</v>
      </c>
      <c r="E122" t="s">
        <v>35</v>
      </c>
      <c r="G122" t="b">
        <v>0</v>
      </c>
      <c r="H122">
        <v>70804</v>
      </c>
      <c r="I122" s="6">
        <v>0</v>
      </c>
      <c r="J122" s="1">
        <v>42371.495486111111</v>
      </c>
      <c r="K122">
        <v>23.34</v>
      </c>
      <c r="L122" s="6">
        <f>('Pizza Sales Calculations'!$J122-'Pizza Sales Calculations'!$C122)*24*60</f>
        <v>2.9999999993015081</v>
      </c>
      <c r="M122">
        <f>COUNTA('Pizza Sales Calculations'!$D122:$F122)</f>
        <v>2</v>
      </c>
      <c r="R122" s="9">
        <f>IF('Pizza Sales Calculations'!$G122=TRUE, Parameters!$B$17*'Pizza Sales Calculations'!$L122*2, 0)</f>
        <v>0</v>
      </c>
      <c r="T122" s="6"/>
      <c r="U122" s="9"/>
    </row>
    <row r="123" spans="1:21" x14ac:dyDescent="0.2">
      <c r="A123">
        <v>122</v>
      </c>
      <c r="B123" s="1">
        <v>42371.520405092589</v>
      </c>
      <c r="C123" s="1">
        <v>42371.530810185184</v>
      </c>
      <c r="D123" t="s">
        <v>35</v>
      </c>
      <c r="G123" t="b">
        <v>0</v>
      </c>
      <c r="H123">
        <v>70804</v>
      </c>
      <c r="I123" s="6">
        <v>0</v>
      </c>
      <c r="J123" s="1">
        <v>42371.532893518517</v>
      </c>
      <c r="K123">
        <v>15.35</v>
      </c>
      <c r="L123" s="6">
        <f>('Pizza Sales Calculations'!$J123-'Pizza Sales Calculations'!$C123)*24*60</f>
        <v>2.9999999993015081</v>
      </c>
      <c r="M123">
        <f>COUNTA('Pizza Sales Calculations'!$D123:$F123)</f>
        <v>1</v>
      </c>
      <c r="R123" s="9">
        <f>IF('Pizza Sales Calculations'!$G123=TRUE, Parameters!$B$17*'Pizza Sales Calculations'!$L123*2, 0)</f>
        <v>0</v>
      </c>
      <c r="T123" s="6"/>
      <c r="U123" s="9"/>
    </row>
    <row r="124" spans="1:21" x14ac:dyDescent="0.2">
      <c r="A124">
        <v>123</v>
      </c>
      <c r="B124" s="1">
        <v>42371.538090277776</v>
      </c>
      <c r="C124" s="1">
        <v>42371.548506944448</v>
      </c>
      <c r="D124" t="s">
        <v>1</v>
      </c>
      <c r="G124" t="b">
        <v>0</v>
      </c>
      <c r="H124">
        <v>70807</v>
      </c>
      <c r="I124" s="6">
        <v>0</v>
      </c>
      <c r="J124" s="1">
        <v>42371.55059027778</v>
      </c>
      <c r="K124">
        <v>7.99</v>
      </c>
      <c r="L124" s="6">
        <f>('Pizza Sales Calculations'!$J124-'Pizza Sales Calculations'!$C124)*24*60</f>
        <v>2.9999999993015081</v>
      </c>
      <c r="M124">
        <f>COUNTA('Pizza Sales Calculations'!$D124:$F124)</f>
        <v>1</v>
      </c>
      <c r="R124" s="9">
        <f>IF('Pizza Sales Calculations'!$G124=TRUE, Parameters!$B$17*'Pizza Sales Calculations'!$L124*2, 0)</f>
        <v>0</v>
      </c>
      <c r="T124" s="6"/>
      <c r="U124" s="9"/>
    </row>
    <row r="125" spans="1:21" x14ac:dyDescent="0.2">
      <c r="A125">
        <v>124</v>
      </c>
      <c r="B125" s="1">
        <v>42371.526377314818</v>
      </c>
      <c r="C125" s="1">
        <v>42371.536793981482</v>
      </c>
      <c r="D125" t="s">
        <v>2</v>
      </c>
      <c r="G125" t="b">
        <v>0</v>
      </c>
      <c r="H125">
        <v>70804</v>
      </c>
      <c r="I125" s="6">
        <v>0</v>
      </c>
      <c r="J125" s="1">
        <v>42371.538865740738</v>
      </c>
      <c r="K125">
        <v>11.59</v>
      </c>
      <c r="L125" s="6">
        <f>('Pizza Sales Calculations'!$J125-'Pizza Sales Calculations'!$C125)*24*60</f>
        <v>2.9833333287388086</v>
      </c>
      <c r="M125">
        <f>COUNTA('Pizza Sales Calculations'!$D125:$F125)</f>
        <v>1</v>
      </c>
      <c r="R125" s="9">
        <f>IF('Pizza Sales Calculations'!$G125=TRUE, Parameters!$B$17*'Pizza Sales Calculations'!$L125*2, 0)</f>
        <v>0</v>
      </c>
      <c r="T125" s="6"/>
      <c r="U125" s="9"/>
    </row>
    <row r="126" spans="1:21" x14ac:dyDescent="0.2">
      <c r="A126">
        <v>125</v>
      </c>
      <c r="B126" s="1">
        <v>42371.453634259262</v>
      </c>
      <c r="C126" s="1">
        <v>42371.464050925926</v>
      </c>
      <c r="D126" t="s">
        <v>1</v>
      </c>
      <c r="G126" t="b">
        <v>1</v>
      </c>
      <c r="H126">
        <v>70804</v>
      </c>
      <c r="I126" s="6">
        <v>2.54203449480941</v>
      </c>
      <c r="J126" s="1">
        <v>42371.472870370373</v>
      </c>
      <c r="K126">
        <v>7.99</v>
      </c>
      <c r="L126" s="6">
        <f>('Pizza Sales Calculations'!$J126-'Pizza Sales Calculations'!$C126)*24*60</f>
        <v>12.700000003678724</v>
      </c>
      <c r="M126">
        <f>COUNTA('Pizza Sales Calculations'!$D126:$F126)</f>
        <v>1</v>
      </c>
      <c r="R126" s="9">
        <f>IF('Pizza Sales Calculations'!$G126=TRUE, Parameters!$B$17*'Pizza Sales Calculations'!$L126*2, 0)</f>
        <v>3.5983333343756385</v>
      </c>
      <c r="T126" s="6"/>
      <c r="U126" s="9"/>
    </row>
    <row r="127" spans="1:21" x14ac:dyDescent="0.2">
      <c r="A127">
        <v>126</v>
      </c>
      <c r="B127" s="1">
        <v>42371.519004629627</v>
      </c>
      <c r="C127" s="1">
        <v>42371.529421296298</v>
      </c>
      <c r="D127" t="s">
        <v>1</v>
      </c>
      <c r="G127" t="b">
        <v>0</v>
      </c>
      <c r="H127">
        <v>70806</v>
      </c>
      <c r="I127" s="6">
        <v>0</v>
      </c>
      <c r="J127" s="1">
        <v>42371.531481481485</v>
      </c>
      <c r="K127">
        <v>7.99</v>
      </c>
      <c r="L127" s="6">
        <f>('Pizza Sales Calculations'!$J127-'Pizza Sales Calculations'!$C127)*24*60</f>
        <v>2.9666666686534882</v>
      </c>
      <c r="M127">
        <f>COUNTA('Pizza Sales Calculations'!$D127:$F127)</f>
        <v>1</v>
      </c>
      <c r="R127" s="9">
        <f>IF('Pizza Sales Calculations'!$G127=TRUE, Parameters!$B$17*'Pizza Sales Calculations'!$L127*2, 0)</f>
        <v>0</v>
      </c>
      <c r="T127" s="6"/>
      <c r="U127" s="9"/>
    </row>
    <row r="128" spans="1:21" x14ac:dyDescent="0.2">
      <c r="A128">
        <v>127</v>
      </c>
      <c r="B128" s="1">
        <v>42371.525405092594</v>
      </c>
      <c r="C128" s="1">
        <v>42371.535821759258</v>
      </c>
      <c r="D128" t="s">
        <v>1</v>
      </c>
      <c r="E128" t="s">
        <v>2</v>
      </c>
      <c r="G128" t="b">
        <v>0</v>
      </c>
      <c r="H128">
        <v>70806</v>
      </c>
      <c r="I128" s="6">
        <v>0</v>
      </c>
      <c r="J128" s="1">
        <v>42371.537905092591</v>
      </c>
      <c r="K128">
        <v>19.579999999999998</v>
      </c>
      <c r="L128" s="6">
        <f>('Pizza Sales Calculations'!$J128-'Pizza Sales Calculations'!$C128)*24*60</f>
        <v>2.9999999993015081</v>
      </c>
      <c r="M128">
        <f>COUNTA('Pizza Sales Calculations'!$D128:$F128)</f>
        <v>2</v>
      </c>
      <c r="R128" s="9">
        <f>IF('Pizza Sales Calculations'!$G128=TRUE, Parameters!$B$17*'Pizza Sales Calculations'!$L128*2, 0)</f>
        <v>0</v>
      </c>
      <c r="T128" s="6"/>
      <c r="U128" s="9"/>
    </row>
    <row r="129" spans="1:21" x14ac:dyDescent="0.2">
      <c r="A129">
        <v>128</v>
      </c>
      <c r="B129" s="1">
        <v>42371.499641203707</v>
      </c>
      <c r="C129" s="1">
        <v>42371.510034722225</v>
      </c>
      <c r="D129" t="s">
        <v>1</v>
      </c>
      <c r="E129" t="s">
        <v>35</v>
      </c>
      <c r="G129" t="b">
        <v>0</v>
      </c>
      <c r="H129">
        <v>70805</v>
      </c>
      <c r="I129" s="6">
        <v>0</v>
      </c>
      <c r="J129" s="1">
        <v>42371.512118055558</v>
      </c>
      <c r="K129">
        <v>23.34</v>
      </c>
      <c r="L129" s="6">
        <f>('Pizza Sales Calculations'!$J129-'Pizza Sales Calculations'!$C129)*24*60</f>
        <v>2.9999999993015081</v>
      </c>
      <c r="M129">
        <f>COUNTA('Pizza Sales Calculations'!$D129:$F129)</f>
        <v>2</v>
      </c>
      <c r="R129" s="9">
        <f>IF('Pizza Sales Calculations'!$G129=TRUE, Parameters!$B$17*'Pizza Sales Calculations'!$L129*2, 0)</f>
        <v>0</v>
      </c>
      <c r="T129" s="6"/>
      <c r="U129" s="9"/>
    </row>
    <row r="130" spans="1:21" x14ac:dyDescent="0.2">
      <c r="A130">
        <v>129</v>
      </c>
      <c r="B130" s="1">
        <v>42371.486342592594</v>
      </c>
      <c r="C130" s="1">
        <v>42371.496770833335</v>
      </c>
      <c r="D130" t="s">
        <v>2</v>
      </c>
      <c r="G130" t="b">
        <v>0</v>
      </c>
      <c r="H130">
        <v>70806</v>
      </c>
      <c r="I130" s="6">
        <v>0</v>
      </c>
      <c r="J130" s="1">
        <v>42371.498842592591</v>
      </c>
      <c r="K130">
        <v>11.59</v>
      </c>
      <c r="L130" s="6">
        <f>('Pizza Sales Calculations'!$J130-'Pizza Sales Calculations'!$C130)*24*60</f>
        <v>2.9833333287388086</v>
      </c>
      <c r="M130">
        <f>COUNTA('Pizza Sales Calculations'!$D130:$F130)</f>
        <v>1</v>
      </c>
      <c r="R130" s="9">
        <f>IF('Pizza Sales Calculations'!$G130=TRUE, Parameters!$B$17*'Pizza Sales Calculations'!$L130*2, 0)</f>
        <v>0</v>
      </c>
      <c r="T130" s="6"/>
      <c r="U130" s="9"/>
    </row>
    <row r="131" spans="1:21" x14ac:dyDescent="0.2">
      <c r="A131">
        <v>130</v>
      </c>
      <c r="B131" s="1">
        <v>42371.595729166664</v>
      </c>
      <c r="C131" s="1">
        <v>42371.606168981481</v>
      </c>
      <c r="D131" t="s">
        <v>2</v>
      </c>
      <c r="G131" t="b">
        <v>0</v>
      </c>
      <c r="H131">
        <v>70806</v>
      </c>
      <c r="I131" s="6">
        <v>0</v>
      </c>
      <c r="J131" s="1">
        <v>42371.608240740738</v>
      </c>
      <c r="K131">
        <v>11.59</v>
      </c>
      <c r="L131" s="6">
        <f>('Pizza Sales Calculations'!$J131-'Pizza Sales Calculations'!$C131)*24*60</f>
        <v>2.9833333287388086</v>
      </c>
      <c r="M131">
        <f>COUNTA('Pizza Sales Calculations'!$D131:$F131)</f>
        <v>1</v>
      </c>
      <c r="R131" s="9">
        <f>IF('Pizza Sales Calculations'!$G131=TRUE, Parameters!$B$17*'Pizza Sales Calculations'!$L131*2, 0)</f>
        <v>0</v>
      </c>
      <c r="T131" s="6"/>
      <c r="U131" s="9"/>
    </row>
    <row r="132" spans="1:21" x14ac:dyDescent="0.2">
      <c r="A132">
        <v>131</v>
      </c>
      <c r="B132" s="1">
        <v>42371.45957175926</v>
      </c>
      <c r="C132" s="1">
        <v>42371.469988425924</v>
      </c>
      <c r="D132" t="s">
        <v>35</v>
      </c>
      <c r="G132" t="b">
        <v>0</v>
      </c>
      <c r="H132">
        <v>70805</v>
      </c>
      <c r="I132" s="6">
        <v>0</v>
      </c>
      <c r="J132" s="1">
        <v>42371.472083333334</v>
      </c>
      <c r="K132">
        <v>15.35</v>
      </c>
      <c r="L132" s="6">
        <f>('Pizza Sales Calculations'!$J132-'Pizza Sales Calculations'!$C132)*24*60</f>
        <v>3.0166666698642075</v>
      </c>
      <c r="M132">
        <f>COUNTA('Pizza Sales Calculations'!$D132:$F132)</f>
        <v>1</v>
      </c>
      <c r="R132" s="9">
        <f>IF('Pizza Sales Calculations'!$G132=TRUE, Parameters!$B$17*'Pizza Sales Calculations'!$L132*2, 0)</f>
        <v>0</v>
      </c>
      <c r="T132" s="6"/>
      <c r="U132" s="9"/>
    </row>
    <row r="133" spans="1:21" x14ac:dyDescent="0.2">
      <c r="A133">
        <v>132</v>
      </c>
      <c r="B133" s="1">
        <v>42371.430231481485</v>
      </c>
      <c r="C133" s="1">
        <v>42371.440636574072</v>
      </c>
      <c r="D133" t="s">
        <v>1</v>
      </c>
      <c r="E133" t="s">
        <v>2</v>
      </c>
      <c r="G133" t="b">
        <v>1</v>
      </c>
      <c r="H133">
        <v>70804</v>
      </c>
      <c r="I133" s="6">
        <v>4.3883984947077002</v>
      </c>
      <c r="J133" s="1">
        <v>42371.455868055556</v>
      </c>
      <c r="K133">
        <v>19.579999999999998</v>
      </c>
      <c r="L133" s="6">
        <f>('Pizza Sales Calculations'!$J133-'Pizza Sales Calculations'!$C133)*24*60</f>
        <v>21.933333337074146</v>
      </c>
      <c r="M133">
        <f>COUNTA('Pizza Sales Calculations'!$D133:$F133)</f>
        <v>2</v>
      </c>
      <c r="R133" s="9">
        <f>IF('Pizza Sales Calculations'!$G133=TRUE, Parameters!$B$17*'Pizza Sales Calculations'!$L133*2, 0)</f>
        <v>6.2144444455043413</v>
      </c>
      <c r="T133" s="6"/>
      <c r="U133" s="9"/>
    </row>
    <row r="134" spans="1:21" x14ac:dyDescent="0.2">
      <c r="A134">
        <v>133</v>
      </c>
      <c r="B134" s="1">
        <v>42372.519641203704</v>
      </c>
      <c r="C134" s="1">
        <v>42372.530046296299</v>
      </c>
      <c r="D134" t="s">
        <v>1</v>
      </c>
      <c r="E134" t="s">
        <v>35</v>
      </c>
      <c r="G134" t="b">
        <v>0</v>
      </c>
      <c r="H134">
        <v>70803</v>
      </c>
      <c r="I134" s="6">
        <v>0</v>
      </c>
      <c r="J134" s="1">
        <v>42372.532118055555</v>
      </c>
      <c r="K134">
        <v>23.34</v>
      </c>
      <c r="L134" s="6">
        <f>('Pizza Sales Calculations'!$J134-'Pizza Sales Calculations'!$C134)*24*60</f>
        <v>2.9833333287388086</v>
      </c>
      <c r="M134">
        <f>COUNTA('Pizza Sales Calculations'!$D134:$F134)</f>
        <v>2</v>
      </c>
      <c r="R134" s="9">
        <f>IF('Pizza Sales Calculations'!$G134=TRUE, Parameters!$B$17*'Pizza Sales Calculations'!$L134*2, 0)</f>
        <v>0</v>
      </c>
      <c r="T134" s="6"/>
      <c r="U134" s="9"/>
    </row>
    <row r="135" spans="1:21" x14ac:dyDescent="0.2">
      <c r="A135">
        <v>134</v>
      </c>
      <c r="B135" s="1">
        <v>42372.442893518521</v>
      </c>
      <c r="C135" s="1">
        <v>42372.453298611108</v>
      </c>
      <c r="D135" t="s">
        <v>1</v>
      </c>
      <c r="E135" t="s">
        <v>35</v>
      </c>
      <c r="G135" t="b">
        <v>1</v>
      </c>
      <c r="H135">
        <v>70803</v>
      </c>
      <c r="I135" s="6">
        <v>2.5566475421332999</v>
      </c>
      <c r="J135" s="1">
        <v>42372.462164351855</v>
      </c>
      <c r="K135">
        <v>23.34</v>
      </c>
      <c r="L135" s="6">
        <f>('Pizza Sales Calculations'!$J135-'Pizza Sales Calculations'!$C135)*24*60</f>
        <v>12.766666675452143</v>
      </c>
      <c r="M135">
        <f>COUNTA('Pizza Sales Calculations'!$D135:$F135)</f>
        <v>2</v>
      </c>
      <c r="R135" s="9">
        <f>IF('Pizza Sales Calculations'!$G135=TRUE, Parameters!$B$17*'Pizza Sales Calculations'!$L135*2, 0)</f>
        <v>3.6172222247114405</v>
      </c>
      <c r="T135" s="6"/>
      <c r="U135" s="9"/>
    </row>
    <row r="136" spans="1:21" x14ac:dyDescent="0.2">
      <c r="A136">
        <v>135</v>
      </c>
      <c r="B136" s="1">
        <v>42372.512303240743</v>
      </c>
      <c r="C136" s="1">
        <v>42372.522719907407</v>
      </c>
      <c r="D136" t="s">
        <v>2</v>
      </c>
      <c r="G136" t="b">
        <v>0</v>
      </c>
      <c r="H136">
        <v>70805</v>
      </c>
      <c r="I136" s="6">
        <v>0</v>
      </c>
      <c r="J136" s="1">
        <v>42372.52480324074</v>
      </c>
      <c r="K136">
        <v>11.59</v>
      </c>
      <c r="L136" s="6">
        <f>('Pizza Sales Calculations'!$J136-'Pizza Sales Calculations'!$C136)*24*60</f>
        <v>2.9999999993015081</v>
      </c>
      <c r="M136">
        <f>COUNTA('Pizza Sales Calculations'!$D136:$F136)</f>
        <v>1</v>
      </c>
      <c r="R136" s="9">
        <f>IF('Pizza Sales Calculations'!$G136=TRUE, Parameters!$B$17*'Pizza Sales Calculations'!$L136*2, 0)</f>
        <v>0</v>
      </c>
      <c r="T136" s="6"/>
      <c r="U136" s="9"/>
    </row>
    <row r="137" spans="1:21" x14ac:dyDescent="0.2">
      <c r="A137">
        <v>136</v>
      </c>
      <c r="B137" s="1">
        <v>42372.527858796297</v>
      </c>
      <c r="C137" s="1">
        <v>42372.538275462961</v>
      </c>
      <c r="D137" t="s">
        <v>1</v>
      </c>
      <c r="G137" t="b">
        <v>1</v>
      </c>
      <c r="H137">
        <v>70805</v>
      </c>
      <c r="I137" s="6">
        <v>3.0481702857387698</v>
      </c>
      <c r="J137" s="1">
        <v>42372.548854166664</v>
      </c>
      <c r="K137">
        <v>7.99</v>
      </c>
      <c r="L137" s="6">
        <f>('Pizza Sales Calculations'!$J137-'Pizza Sales Calculations'!$C137)*24*60</f>
        <v>15.233333331998438</v>
      </c>
      <c r="M137">
        <f>COUNTA('Pizza Sales Calculations'!$D137:$F137)</f>
        <v>1</v>
      </c>
      <c r="R137" s="9">
        <f>IF('Pizza Sales Calculations'!$G137=TRUE, Parameters!$B$17*'Pizza Sales Calculations'!$L137*2, 0)</f>
        <v>4.3161111107328907</v>
      </c>
      <c r="T137" s="6"/>
      <c r="U137" s="9"/>
    </row>
    <row r="138" spans="1:21" x14ac:dyDescent="0.2">
      <c r="A138">
        <v>137</v>
      </c>
      <c r="B138" s="1">
        <v>42372.519247685188</v>
      </c>
      <c r="C138" s="1">
        <v>42372.529652777775</v>
      </c>
      <c r="D138" t="s">
        <v>1</v>
      </c>
      <c r="E138" t="s">
        <v>35</v>
      </c>
      <c r="G138" t="b">
        <v>0</v>
      </c>
      <c r="H138">
        <v>70803</v>
      </c>
      <c r="I138" s="6">
        <v>0</v>
      </c>
      <c r="J138" s="1">
        <v>42372.531747685185</v>
      </c>
      <c r="K138">
        <v>23.34</v>
      </c>
      <c r="L138" s="6">
        <f>('Pizza Sales Calculations'!$J138-'Pizza Sales Calculations'!$C138)*24*60</f>
        <v>3.0166666698642075</v>
      </c>
      <c r="M138">
        <f>COUNTA('Pizza Sales Calculations'!$D138:$F138)</f>
        <v>2</v>
      </c>
      <c r="R138" s="9">
        <f>IF('Pizza Sales Calculations'!$G138=TRUE, Parameters!$B$17*'Pizza Sales Calculations'!$L138*2, 0)</f>
        <v>0</v>
      </c>
      <c r="T138" s="6"/>
      <c r="U138" s="9"/>
    </row>
    <row r="139" spans="1:21" x14ac:dyDescent="0.2">
      <c r="A139">
        <v>138</v>
      </c>
      <c r="B139" s="1">
        <v>42372.611805555556</v>
      </c>
      <c r="C139" s="1">
        <v>42372.622210648151</v>
      </c>
      <c r="D139" t="s">
        <v>1</v>
      </c>
      <c r="E139" t="s">
        <v>2</v>
      </c>
      <c r="G139" t="b">
        <v>1</v>
      </c>
      <c r="H139">
        <v>70808</v>
      </c>
      <c r="I139" s="6">
        <v>2.0798829020282299</v>
      </c>
      <c r="J139" s="1">
        <v>42372.629421296297</v>
      </c>
      <c r="K139">
        <v>19.579999999999998</v>
      </c>
      <c r="L139" s="6">
        <f>('Pizza Sales Calculations'!$J139-'Pizza Sales Calculations'!$C139)*24*60</f>
        <v>10.38333332980983</v>
      </c>
      <c r="M139">
        <f>COUNTA('Pizza Sales Calculations'!$D139:$F139)</f>
        <v>2</v>
      </c>
      <c r="R139" s="9">
        <f>IF('Pizza Sales Calculations'!$G139=TRUE, Parameters!$B$17*'Pizza Sales Calculations'!$L139*2, 0)</f>
        <v>2.9419444434461184</v>
      </c>
      <c r="T139" s="6"/>
      <c r="U139" s="9"/>
    </row>
    <row r="140" spans="1:21" x14ac:dyDescent="0.2">
      <c r="A140">
        <v>139</v>
      </c>
      <c r="B140" s="1">
        <v>42372.468449074076</v>
      </c>
      <c r="C140" s="1">
        <v>42372.478842592594</v>
      </c>
      <c r="D140" t="s">
        <v>1</v>
      </c>
      <c r="E140" t="s">
        <v>2</v>
      </c>
      <c r="G140" t="b">
        <v>0</v>
      </c>
      <c r="H140">
        <v>70803</v>
      </c>
      <c r="I140" s="6">
        <v>0</v>
      </c>
      <c r="J140" s="1">
        <v>42372.480902777781</v>
      </c>
      <c r="K140">
        <v>19.579999999999998</v>
      </c>
      <c r="L140" s="6">
        <f>('Pizza Sales Calculations'!$J140-'Pizza Sales Calculations'!$C140)*24*60</f>
        <v>2.9666666686534882</v>
      </c>
      <c r="M140">
        <f>COUNTA('Pizza Sales Calculations'!$D140:$F140)</f>
        <v>2</v>
      </c>
      <c r="R140" s="9">
        <f>IF('Pizza Sales Calculations'!$G140=TRUE, Parameters!$B$17*'Pizza Sales Calculations'!$L140*2, 0)</f>
        <v>0</v>
      </c>
      <c r="T140" s="6"/>
      <c r="U140" s="9"/>
    </row>
    <row r="141" spans="1:21" x14ac:dyDescent="0.2">
      <c r="A141">
        <v>140</v>
      </c>
      <c r="B141" s="1">
        <v>42372.582881944443</v>
      </c>
      <c r="C141" s="1">
        <v>42372.593287037038</v>
      </c>
      <c r="D141" t="s">
        <v>1</v>
      </c>
      <c r="E141" t="s">
        <v>35</v>
      </c>
      <c r="G141" t="b">
        <v>0</v>
      </c>
      <c r="H141">
        <v>70807</v>
      </c>
      <c r="I141" s="6">
        <v>0</v>
      </c>
      <c r="J141" s="1">
        <v>42372.595358796294</v>
      </c>
      <c r="K141">
        <v>23.34</v>
      </c>
      <c r="L141" s="6">
        <f>('Pizza Sales Calculations'!$J141-'Pizza Sales Calculations'!$C141)*24*60</f>
        <v>2.9833333287388086</v>
      </c>
      <c r="M141">
        <f>COUNTA('Pizza Sales Calculations'!$D141:$F141)</f>
        <v>2</v>
      </c>
      <c r="R141" s="9">
        <f>IF('Pizza Sales Calculations'!$G141=TRUE, Parameters!$B$17*'Pizza Sales Calculations'!$L141*2, 0)</f>
        <v>0</v>
      </c>
      <c r="T141" s="6"/>
      <c r="U141" s="9"/>
    </row>
    <row r="142" spans="1:21" x14ac:dyDescent="0.2">
      <c r="A142">
        <v>141</v>
      </c>
      <c r="B142" s="1">
        <v>42372.465046296296</v>
      </c>
      <c r="C142" s="1">
        <v>42372.475462962961</v>
      </c>
      <c r="D142" t="s">
        <v>1</v>
      </c>
      <c r="E142" t="s">
        <v>35</v>
      </c>
      <c r="G142" t="b">
        <v>0</v>
      </c>
      <c r="H142">
        <v>70804</v>
      </c>
      <c r="I142" s="6">
        <v>0</v>
      </c>
      <c r="J142" s="1">
        <v>42372.477534722224</v>
      </c>
      <c r="K142">
        <v>23.34</v>
      </c>
      <c r="L142" s="6">
        <f>('Pizza Sales Calculations'!$J142-'Pizza Sales Calculations'!$C142)*24*60</f>
        <v>2.9833333392161876</v>
      </c>
      <c r="M142">
        <f>COUNTA('Pizza Sales Calculations'!$D142:$F142)</f>
        <v>2</v>
      </c>
      <c r="R142" s="9">
        <f>IF('Pizza Sales Calculations'!$G142=TRUE, Parameters!$B$17*'Pizza Sales Calculations'!$L142*2, 0)</f>
        <v>0</v>
      </c>
      <c r="T142" s="6"/>
      <c r="U142" s="9"/>
    </row>
    <row r="143" spans="1:21" x14ac:dyDescent="0.2">
      <c r="A143">
        <v>142</v>
      </c>
      <c r="B143" s="1">
        <v>42372.452314814815</v>
      </c>
      <c r="C143" s="1">
        <v>42372.462731481479</v>
      </c>
      <c r="D143" t="s">
        <v>2</v>
      </c>
      <c r="G143" t="b">
        <v>1</v>
      </c>
      <c r="H143">
        <v>70804</v>
      </c>
      <c r="I143" s="6">
        <v>3.2627037024633601</v>
      </c>
      <c r="J143" s="1">
        <v>42372.474050925928</v>
      </c>
      <c r="K143">
        <v>11.59</v>
      </c>
      <c r="L143" s="6">
        <f>('Pizza Sales Calculations'!$J143-'Pizza Sales Calculations'!$C143)*24*60</f>
        <v>16.300000007031485</v>
      </c>
      <c r="M143">
        <f>COUNTA('Pizza Sales Calculations'!$D143:$F143)</f>
        <v>1</v>
      </c>
      <c r="R143" s="9">
        <f>IF('Pizza Sales Calculations'!$G143=TRUE, Parameters!$B$17*'Pizza Sales Calculations'!$L143*2, 0)</f>
        <v>4.6183333353255875</v>
      </c>
      <c r="T143" s="6"/>
      <c r="U143" s="9"/>
    </row>
    <row r="144" spans="1:21" x14ac:dyDescent="0.2">
      <c r="A144">
        <v>143</v>
      </c>
      <c r="B144" s="1">
        <v>42372.468229166669</v>
      </c>
      <c r="C144" s="1">
        <v>42372.478645833333</v>
      </c>
      <c r="D144" t="s">
        <v>1</v>
      </c>
      <c r="E144" t="s">
        <v>35</v>
      </c>
      <c r="G144" t="b">
        <v>0</v>
      </c>
      <c r="H144">
        <v>70806</v>
      </c>
      <c r="I144" s="6">
        <v>0</v>
      </c>
      <c r="J144" s="1">
        <v>42372.480717592596</v>
      </c>
      <c r="K144">
        <v>23.34</v>
      </c>
      <c r="L144" s="6">
        <f>('Pizza Sales Calculations'!$J144-'Pizza Sales Calculations'!$C144)*24*60</f>
        <v>2.9833333392161876</v>
      </c>
      <c r="M144">
        <f>COUNTA('Pizza Sales Calculations'!$D144:$F144)</f>
        <v>2</v>
      </c>
      <c r="R144" s="9">
        <f>IF('Pizza Sales Calculations'!$G144=TRUE, Parameters!$B$17*'Pizza Sales Calculations'!$L144*2, 0)</f>
        <v>0</v>
      </c>
      <c r="T144" s="6"/>
      <c r="U144" s="9"/>
    </row>
    <row r="145" spans="1:21" x14ac:dyDescent="0.2">
      <c r="A145">
        <v>144</v>
      </c>
      <c r="B145" s="1">
        <v>42372.477708333332</v>
      </c>
      <c r="C145" s="1">
        <v>42372.488113425927</v>
      </c>
      <c r="D145" t="s">
        <v>35</v>
      </c>
      <c r="G145" t="b">
        <v>0</v>
      </c>
      <c r="H145">
        <v>70805</v>
      </c>
      <c r="I145" s="6">
        <v>0</v>
      </c>
      <c r="J145" s="1">
        <v>42372.49019675926</v>
      </c>
      <c r="K145">
        <v>15.35</v>
      </c>
      <c r="L145" s="6">
        <f>('Pizza Sales Calculations'!$J145-'Pizza Sales Calculations'!$C145)*24*60</f>
        <v>2.9999999993015081</v>
      </c>
      <c r="M145">
        <f>COUNTA('Pizza Sales Calculations'!$D145:$F145)</f>
        <v>1</v>
      </c>
      <c r="R145" s="9">
        <f>IF('Pizza Sales Calculations'!$G145=TRUE, Parameters!$B$17*'Pizza Sales Calculations'!$L145*2, 0)</f>
        <v>0</v>
      </c>
      <c r="T145" s="6"/>
      <c r="U145" s="9"/>
    </row>
    <row r="146" spans="1:21" x14ac:dyDescent="0.2">
      <c r="A146">
        <v>145</v>
      </c>
      <c r="B146" s="1">
        <v>42372.544745370367</v>
      </c>
      <c r="C146" s="1">
        <v>42372.555150462962</v>
      </c>
      <c r="D146" t="s">
        <v>2</v>
      </c>
      <c r="G146" t="b">
        <v>0</v>
      </c>
      <c r="H146">
        <v>70804</v>
      </c>
      <c r="I146" s="6">
        <v>0</v>
      </c>
      <c r="J146" s="1">
        <v>42372.557256944441</v>
      </c>
      <c r="K146">
        <v>11.59</v>
      </c>
      <c r="L146" s="6">
        <f>('Pizza Sales Calculations'!$J146-'Pizza Sales Calculations'!$C146)*24*60</f>
        <v>3.033333329949528</v>
      </c>
      <c r="M146">
        <f>COUNTA('Pizza Sales Calculations'!$D146:$F146)</f>
        <v>1</v>
      </c>
      <c r="R146" s="9">
        <f>IF('Pizza Sales Calculations'!$G146=TRUE, Parameters!$B$17*'Pizza Sales Calculations'!$L146*2, 0)</f>
        <v>0</v>
      </c>
      <c r="T146" s="6"/>
      <c r="U146" s="9"/>
    </row>
    <row r="147" spans="1:21" x14ac:dyDescent="0.2">
      <c r="A147">
        <v>146</v>
      </c>
      <c r="B147" s="1">
        <v>42372.423437500001</v>
      </c>
      <c r="C147" s="1">
        <v>42372.433854166666</v>
      </c>
      <c r="D147" t="s">
        <v>1</v>
      </c>
      <c r="E147" t="s">
        <v>2</v>
      </c>
      <c r="G147" t="b">
        <v>1</v>
      </c>
      <c r="H147">
        <v>70805</v>
      </c>
      <c r="I147" s="6">
        <v>3.65998678695644</v>
      </c>
      <c r="J147" s="1">
        <v>42372.446550925924</v>
      </c>
      <c r="K147">
        <v>19.579999999999998</v>
      </c>
      <c r="L147" s="6">
        <f>('Pizza Sales Calculations'!$J147-'Pizza Sales Calculations'!$C147)*24*60</f>
        <v>18.283333332510665</v>
      </c>
      <c r="M147">
        <f>COUNTA('Pizza Sales Calculations'!$D147:$F147)</f>
        <v>2</v>
      </c>
      <c r="R147" s="9">
        <f>IF('Pizza Sales Calculations'!$G147=TRUE, Parameters!$B$17*'Pizza Sales Calculations'!$L147*2, 0)</f>
        <v>5.1802777775446884</v>
      </c>
      <c r="T147" s="6"/>
      <c r="U147" s="9"/>
    </row>
    <row r="148" spans="1:21" x14ac:dyDescent="0.2">
      <c r="A148">
        <v>147</v>
      </c>
      <c r="B148" s="1">
        <v>42372.574050925927</v>
      </c>
      <c r="C148" s="1">
        <v>42372.584479166668</v>
      </c>
      <c r="D148" t="s">
        <v>2</v>
      </c>
      <c r="G148" t="b">
        <v>0</v>
      </c>
      <c r="H148">
        <v>70806</v>
      </c>
      <c r="I148" s="6">
        <v>0</v>
      </c>
      <c r="J148" s="1">
        <v>42372.586562500001</v>
      </c>
      <c r="K148">
        <v>11.59</v>
      </c>
      <c r="L148" s="6">
        <f>('Pizza Sales Calculations'!$J148-'Pizza Sales Calculations'!$C148)*24*60</f>
        <v>2.9999999993015081</v>
      </c>
      <c r="M148">
        <f>COUNTA('Pizza Sales Calculations'!$D148:$F148)</f>
        <v>1</v>
      </c>
      <c r="R148" s="9">
        <f>IF('Pizza Sales Calculations'!$G148=TRUE, Parameters!$B$17*'Pizza Sales Calculations'!$L148*2, 0)</f>
        <v>0</v>
      </c>
      <c r="T148" s="6"/>
      <c r="U148" s="9"/>
    </row>
    <row r="149" spans="1:21" x14ac:dyDescent="0.2">
      <c r="A149">
        <v>148</v>
      </c>
      <c r="B149" s="1">
        <v>42372.526400462964</v>
      </c>
      <c r="C149" s="1">
        <v>42372.536817129629</v>
      </c>
      <c r="D149" t="s">
        <v>1</v>
      </c>
      <c r="E149" t="s">
        <v>35</v>
      </c>
      <c r="G149" t="b">
        <v>0</v>
      </c>
      <c r="H149">
        <v>70805</v>
      </c>
      <c r="I149" s="6">
        <v>0</v>
      </c>
      <c r="J149" s="1">
        <v>42372.538912037038</v>
      </c>
      <c r="K149">
        <v>23.34</v>
      </c>
      <c r="L149" s="6">
        <f>('Pizza Sales Calculations'!$J149-'Pizza Sales Calculations'!$C149)*24*60</f>
        <v>3.0166666698642075</v>
      </c>
      <c r="M149">
        <f>COUNTA('Pizza Sales Calculations'!$D149:$F149)</f>
        <v>2</v>
      </c>
      <c r="R149" s="9">
        <f>IF('Pizza Sales Calculations'!$G149=TRUE, Parameters!$B$17*'Pizza Sales Calculations'!$L149*2, 0)</f>
        <v>0</v>
      </c>
      <c r="T149" s="6"/>
      <c r="U149" s="9"/>
    </row>
    <row r="150" spans="1:21" x14ac:dyDescent="0.2">
      <c r="A150">
        <v>149</v>
      </c>
      <c r="B150" s="1">
        <v>42372.47247685185</v>
      </c>
      <c r="C150" s="1">
        <v>42372.482881944445</v>
      </c>
      <c r="D150" t="s">
        <v>1</v>
      </c>
      <c r="E150" t="s">
        <v>2</v>
      </c>
      <c r="G150" t="b">
        <v>0</v>
      </c>
      <c r="H150">
        <v>70804</v>
      </c>
      <c r="I150" s="6">
        <v>0</v>
      </c>
      <c r="J150" s="1">
        <v>42372.484953703701</v>
      </c>
      <c r="K150">
        <v>19.579999999999998</v>
      </c>
      <c r="L150" s="6">
        <f>('Pizza Sales Calculations'!$J150-'Pizza Sales Calculations'!$C150)*24*60</f>
        <v>2.9833333287388086</v>
      </c>
      <c r="M150">
        <f>COUNTA('Pizza Sales Calculations'!$D150:$F150)</f>
        <v>2</v>
      </c>
      <c r="R150" s="9">
        <f>IF('Pizza Sales Calculations'!$G150=TRUE, Parameters!$B$17*'Pizza Sales Calculations'!$L150*2, 0)</f>
        <v>0</v>
      </c>
      <c r="T150" s="6"/>
      <c r="U150" s="9"/>
    </row>
    <row r="151" spans="1:21" x14ac:dyDescent="0.2">
      <c r="A151">
        <v>150</v>
      </c>
      <c r="B151" s="1">
        <v>42372.477743055555</v>
      </c>
      <c r="C151" s="1">
        <v>42372.488159722219</v>
      </c>
      <c r="D151" t="s">
        <v>2</v>
      </c>
      <c r="G151" t="b">
        <v>1</v>
      </c>
      <c r="H151">
        <v>70806</v>
      </c>
      <c r="I151" s="6">
        <v>4.9536269253239098</v>
      </c>
      <c r="J151" s="1">
        <v>42372.505358796298</v>
      </c>
      <c r="K151">
        <v>11.59</v>
      </c>
      <c r="L151" s="6">
        <f>('Pizza Sales Calculations'!$J151-'Pizza Sales Calculations'!$C151)*24*60</f>
        <v>24.766666672658175</v>
      </c>
      <c r="M151">
        <f>COUNTA('Pizza Sales Calculations'!$D151:$F151)</f>
        <v>1</v>
      </c>
      <c r="R151" s="9">
        <f>IF('Pizza Sales Calculations'!$G151=TRUE, Parameters!$B$17*'Pizza Sales Calculations'!$L151*2, 0)</f>
        <v>7.0172222239198163</v>
      </c>
      <c r="T151" s="6"/>
      <c r="U151" s="9"/>
    </row>
    <row r="152" spans="1:21" x14ac:dyDescent="0.2">
      <c r="A152">
        <v>151</v>
      </c>
      <c r="B152" s="1">
        <v>42372.514421296299</v>
      </c>
      <c r="C152" s="1">
        <v>42372.524837962963</v>
      </c>
      <c r="D152" t="s">
        <v>35</v>
      </c>
      <c r="G152" t="b">
        <v>1</v>
      </c>
      <c r="H152">
        <v>70803</v>
      </c>
      <c r="I152" s="6">
        <v>3.2451266192166601</v>
      </c>
      <c r="J152" s="1">
        <v>42372.536099537036</v>
      </c>
      <c r="K152">
        <v>15.35</v>
      </c>
      <c r="L152" s="6">
        <f>('Pizza Sales Calculations'!$J152-'Pizza Sales Calculations'!$C152)*24*60</f>
        <v>16.216666664695367</v>
      </c>
      <c r="M152">
        <f>COUNTA('Pizza Sales Calculations'!$D152:$F152)</f>
        <v>1</v>
      </c>
      <c r="R152" s="9">
        <f>IF('Pizza Sales Calculations'!$G152=TRUE, Parameters!$B$17*'Pizza Sales Calculations'!$L152*2, 0)</f>
        <v>4.5947222216636874</v>
      </c>
      <c r="T152" s="6"/>
      <c r="U152" s="9"/>
    </row>
    <row r="153" spans="1:21" x14ac:dyDescent="0.2">
      <c r="A153">
        <v>152</v>
      </c>
      <c r="B153" s="1">
        <v>42372.485555555555</v>
      </c>
      <c r="C153" s="1">
        <v>42372.495949074073</v>
      </c>
      <c r="D153" t="s">
        <v>35</v>
      </c>
      <c r="G153" t="b">
        <v>0</v>
      </c>
      <c r="H153">
        <v>70807</v>
      </c>
      <c r="I153" s="6">
        <v>0</v>
      </c>
      <c r="J153" s="1">
        <v>42372.498020833336</v>
      </c>
      <c r="K153">
        <v>15.35</v>
      </c>
      <c r="L153" s="6">
        <f>('Pizza Sales Calculations'!$J153-'Pizza Sales Calculations'!$C153)*24*60</f>
        <v>2.9833333392161876</v>
      </c>
      <c r="M153">
        <f>COUNTA('Pizza Sales Calculations'!$D153:$F153)</f>
        <v>1</v>
      </c>
      <c r="R153" s="9">
        <f>IF('Pizza Sales Calculations'!$G153=TRUE, Parameters!$B$17*'Pizza Sales Calculations'!$L153*2, 0)</f>
        <v>0</v>
      </c>
      <c r="T153" s="6"/>
      <c r="U153" s="9"/>
    </row>
    <row r="154" spans="1:21" x14ac:dyDescent="0.2">
      <c r="A154">
        <v>153</v>
      </c>
      <c r="B154" s="1">
        <v>42372.43855324074</v>
      </c>
      <c r="C154" s="1">
        <v>42372.448981481481</v>
      </c>
      <c r="D154" t="s">
        <v>1</v>
      </c>
      <c r="E154" t="s">
        <v>35</v>
      </c>
      <c r="G154" t="b">
        <v>1</v>
      </c>
      <c r="H154">
        <v>70804</v>
      </c>
      <c r="I154" s="6">
        <v>3.9689294988278498</v>
      </c>
      <c r="J154" s="1">
        <v>42372.462754629632</v>
      </c>
      <c r="K154">
        <v>23.34</v>
      </c>
      <c r="L154" s="6">
        <f>('Pizza Sales Calculations'!$J154-'Pizza Sales Calculations'!$C154)*24*60</f>
        <v>19.833333338610828</v>
      </c>
      <c r="M154">
        <f>COUNTA('Pizza Sales Calculations'!$D154:$F154)</f>
        <v>2</v>
      </c>
      <c r="R154" s="9">
        <f>IF('Pizza Sales Calculations'!$G154=TRUE, Parameters!$B$17*'Pizza Sales Calculations'!$L154*2, 0)</f>
        <v>5.6194444459397346</v>
      </c>
      <c r="T154" s="6"/>
      <c r="U154" s="9"/>
    </row>
    <row r="155" spans="1:21" x14ac:dyDescent="0.2">
      <c r="A155">
        <v>154</v>
      </c>
      <c r="B155" s="1">
        <v>42372.464942129627</v>
      </c>
      <c r="C155" s="1">
        <v>42372.475370370368</v>
      </c>
      <c r="D155" t="s">
        <v>2</v>
      </c>
      <c r="G155" t="b">
        <v>0</v>
      </c>
      <c r="H155">
        <v>70804</v>
      </c>
      <c r="I155" s="6">
        <v>0</v>
      </c>
      <c r="J155" s="1">
        <v>42372.477465277778</v>
      </c>
      <c r="K155">
        <v>11.59</v>
      </c>
      <c r="L155" s="6">
        <f>('Pizza Sales Calculations'!$J155-'Pizza Sales Calculations'!$C155)*24*60</f>
        <v>3.0166666698642075</v>
      </c>
      <c r="M155">
        <f>COUNTA('Pizza Sales Calculations'!$D155:$F155)</f>
        <v>1</v>
      </c>
      <c r="R155" s="9">
        <f>IF('Pizza Sales Calculations'!$G155=TRUE, Parameters!$B$17*'Pizza Sales Calculations'!$L155*2, 0)</f>
        <v>0</v>
      </c>
      <c r="T155" s="6"/>
      <c r="U155" s="9"/>
    </row>
    <row r="156" spans="1:21" x14ac:dyDescent="0.2">
      <c r="A156">
        <v>155</v>
      </c>
      <c r="B156" s="1">
        <v>42372.44222222222</v>
      </c>
      <c r="C156" s="1">
        <v>42372.452650462961</v>
      </c>
      <c r="D156" t="s">
        <v>2</v>
      </c>
      <c r="G156" t="b">
        <v>0</v>
      </c>
      <c r="H156">
        <v>70803</v>
      </c>
      <c r="I156" s="6">
        <v>0</v>
      </c>
      <c r="J156" s="1">
        <v>42372.454710648148</v>
      </c>
      <c r="K156">
        <v>11.59</v>
      </c>
      <c r="L156" s="6">
        <f>('Pizza Sales Calculations'!$J156-'Pizza Sales Calculations'!$C156)*24*60</f>
        <v>2.9666666686534882</v>
      </c>
      <c r="M156">
        <f>COUNTA('Pizza Sales Calculations'!$D156:$F156)</f>
        <v>1</v>
      </c>
      <c r="R156" s="9">
        <f>IF('Pizza Sales Calculations'!$G156=TRUE, Parameters!$B$17*'Pizza Sales Calculations'!$L156*2, 0)</f>
        <v>0</v>
      </c>
      <c r="T156" s="6"/>
      <c r="U156" s="9"/>
    </row>
    <row r="157" spans="1:21" x14ac:dyDescent="0.2">
      <c r="A157">
        <v>156</v>
      </c>
      <c r="B157" s="1">
        <v>42372.541979166665</v>
      </c>
      <c r="C157" s="1">
        <v>42372.552384259259</v>
      </c>
      <c r="D157" t="s">
        <v>1</v>
      </c>
      <c r="G157" t="b">
        <v>1</v>
      </c>
      <c r="H157">
        <v>70803</v>
      </c>
      <c r="I157" s="6">
        <v>2.8244725354184799</v>
      </c>
      <c r="J157" s="1">
        <v>42372.5621875</v>
      </c>
      <c r="K157">
        <v>7.99</v>
      </c>
      <c r="L157" s="6">
        <f>('Pizza Sales Calculations'!$J157-'Pizza Sales Calculations'!$C157)*24*60</f>
        <v>14.116666666232049</v>
      </c>
      <c r="M157">
        <f>COUNTA('Pizza Sales Calculations'!$D157:$F157)</f>
        <v>1</v>
      </c>
      <c r="R157" s="9">
        <f>IF('Pizza Sales Calculations'!$G157=TRUE, Parameters!$B$17*'Pizza Sales Calculations'!$L157*2, 0)</f>
        <v>3.9997222220990807</v>
      </c>
      <c r="T157" s="6"/>
      <c r="U157" s="9"/>
    </row>
    <row r="158" spans="1:21" x14ac:dyDescent="0.2">
      <c r="A158">
        <v>157</v>
      </c>
      <c r="B158" s="1">
        <v>42372.434270833335</v>
      </c>
      <c r="C158" s="1">
        <v>42372.444710648146</v>
      </c>
      <c r="D158" t="s">
        <v>2</v>
      </c>
      <c r="G158" t="b">
        <v>1</v>
      </c>
      <c r="H158">
        <v>70805</v>
      </c>
      <c r="I158" s="6">
        <v>3.58774046179489</v>
      </c>
      <c r="J158" s="1">
        <v>42372.45716435185</v>
      </c>
      <c r="K158">
        <v>11.59</v>
      </c>
      <c r="L158" s="6">
        <f>('Pizza Sales Calculations'!$J158-'Pizza Sales Calculations'!$C158)*24*60</f>
        <v>17.933333334513009</v>
      </c>
      <c r="M158">
        <f>COUNTA('Pizza Sales Calculations'!$D158:$F158)</f>
        <v>1</v>
      </c>
      <c r="R158" s="9">
        <f>IF('Pizza Sales Calculations'!$G158=TRUE, Parameters!$B$17*'Pizza Sales Calculations'!$L158*2, 0)</f>
        <v>5.0811111114453524</v>
      </c>
      <c r="T158" s="6"/>
      <c r="U158" s="9"/>
    </row>
    <row r="159" spans="1:21" x14ac:dyDescent="0.2">
      <c r="A159">
        <v>158</v>
      </c>
      <c r="B159" s="1">
        <v>42372.485520833332</v>
      </c>
      <c r="C159" s="1">
        <v>42372.495937500003</v>
      </c>
      <c r="D159" t="s">
        <v>35</v>
      </c>
      <c r="G159" t="b">
        <v>0</v>
      </c>
      <c r="H159">
        <v>70805</v>
      </c>
      <c r="I159" s="6">
        <v>0</v>
      </c>
      <c r="J159" s="1">
        <v>42372.498020833336</v>
      </c>
      <c r="K159">
        <v>15.35</v>
      </c>
      <c r="L159" s="6">
        <f>('Pizza Sales Calculations'!$J159-'Pizza Sales Calculations'!$C159)*24*60</f>
        <v>2.9999999993015081</v>
      </c>
      <c r="M159">
        <f>COUNTA('Pizza Sales Calculations'!$D159:$F159)</f>
        <v>1</v>
      </c>
      <c r="R159" s="9">
        <f>IF('Pizza Sales Calculations'!$G159=TRUE, Parameters!$B$17*'Pizza Sales Calculations'!$L159*2, 0)</f>
        <v>0</v>
      </c>
      <c r="T159" s="6"/>
      <c r="U159" s="9"/>
    </row>
    <row r="160" spans="1:21" x14ac:dyDescent="0.2">
      <c r="A160">
        <v>159</v>
      </c>
      <c r="B160" s="1">
        <v>42372.540601851855</v>
      </c>
      <c r="C160" s="1">
        <v>42372.551006944443</v>
      </c>
      <c r="D160" t="s">
        <v>35</v>
      </c>
      <c r="G160" t="b">
        <v>1</v>
      </c>
      <c r="H160">
        <v>70804</v>
      </c>
      <c r="I160" s="6">
        <v>3.1195770406569698</v>
      </c>
      <c r="J160" s="1">
        <v>42372.561828703707</v>
      </c>
      <c r="K160">
        <v>15.35</v>
      </c>
      <c r="L160" s="6">
        <f>('Pizza Sales Calculations'!$J160-'Pizza Sales Calculations'!$C160)*24*60</f>
        <v>15.583333340473473</v>
      </c>
      <c r="M160">
        <f>COUNTA('Pizza Sales Calculations'!$D160:$F160)</f>
        <v>1</v>
      </c>
      <c r="R160" s="9">
        <f>IF('Pizza Sales Calculations'!$G160=TRUE, Parameters!$B$17*'Pizza Sales Calculations'!$L160*2, 0)</f>
        <v>4.4152777798008174</v>
      </c>
      <c r="T160" s="6"/>
      <c r="U160" s="9"/>
    </row>
    <row r="161" spans="1:21" x14ac:dyDescent="0.2">
      <c r="A161">
        <v>160</v>
      </c>
      <c r="B161" s="1">
        <v>42372.423078703701</v>
      </c>
      <c r="C161" s="1">
        <v>42372.433506944442</v>
      </c>
      <c r="D161" t="s">
        <v>35</v>
      </c>
      <c r="G161" t="b">
        <v>0</v>
      </c>
      <c r="H161">
        <v>70804</v>
      </c>
      <c r="I161" s="6">
        <v>0</v>
      </c>
      <c r="J161" s="1">
        <v>42372.435578703706</v>
      </c>
      <c r="K161">
        <v>15.35</v>
      </c>
      <c r="L161" s="6">
        <f>('Pizza Sales Calculations'!$J161-'Pizza Sales Calculations'!$C161)*24*60</f>
        <v>2.9833333392161876</v>
      </c>
      <c r="M161">
        <f>COUNTA('Pizza Sales Calculations'!$D161:$F161)</f>
        <v>1</v>
      </c>
      <c r="R161" s="9">
        <f>IF('Pizza Sales Calculations'!$G161=TRUE, Parameters!$B$17*'Pizza Sales Calculations'!$L161*2, 0)</f>
        <v>0</v>
      </c>
      <c r="T161" s="6"/>
      <c r="U161" s="9"/>
    </row>
    <row r="162" spans="1:21" x14ac:dyDescent="0.2">
      <c r="A162">
        <v>161</v>
      </c>
      <c r="B162" s="1">
        <v>42372.462337962963</v>
      </c>
      <c r="C162" s="1">
        <v>42372.472754629627</v>
      </c>
      <c r="D162" t="s">
        <v>2</v>
      </c>
      <c r="G162" t="b">
        <v>0</v>
      </c>
      <c r="H162">
        <v>70803</v>
      </c>
      <c r="I162" s="6">
        <v>0</v>
      </c>
      <c r="J162" s="1">
        <v>42372.474849537037</v>
      </c>
      <c r="K162">
        <v>11.59</v>
      </c>
      <c r="L162" s="6">
        <f>('Pizza Sales Calculations'!$J162-'Pizza Sales Calculations'!$C162)*24*60</f>
        <v>3.0166666698642075</v>
      </c>
      <c r="M162">
        <f>COUNTA('Pizza Sales Calculations'!$D162:$F162)</f>
        <v>1</v>
      </c>
      <c r="R162" s="9">
        <f>IF('Pizza Sales Calculations'!$G162=TRUE, Parameters!$B$17*'Pizza Sales Calculations'!$L162*2, 0)</f>
        <v>0</v>
      </c>
      <c r="T162" s="6"/>
      <c r="U162" s="9"/>
    </row>
    <row r="163" spans="1:21" x14ac:dyDescent="0.2">
      <c r="A163">
        <v>162</v>
      </c>
      <c r="B163" s="1">
        <v>42372.475231481483</v>
      </c>
      <c r="C163" s="1">
        <v>42372.485648148147</v>
      </c>
      <c r="D163" t="s">
        <v>2</v>
      </c>
      <c r="G163" t="b">
        <v>0</v>
      </c>
      <c r="H163">
        <v>70807</v>
      </c>
      <c r="I163" s="6">
        <v>0</v>
      </c>
      <c r="J163" s="1">
        <v>42372.48773148148</v>
      </c>
      <c r="K163">
        <v>11.59</v>
      </c>
      <c r="L163" s="6">
        <f>('Pizza Sales Calculations'!$J163-'Pizza Sales Calculations'!$C163)*24*60</f>
        <v>2.9999999993015081</v>
      </c>
      <c r="M163">
        <f>COUNTA('Pizza Sales Calculations'!$D163:$F163)</f>
        <v>1</v>
      </c>
      <c r="R163" s="9">
        <f>IF('Pizza Sales Calculations'!$G163=TRUE, Parameters!$B$17*'Pizza Sales Calculations'!$L163*2, 0)</f>
        <v>0</v>
      </c>
      <c r="T163" s="6"/>
      <c r="U163" s="9"/>
    </row>
    <row r="164" spans="1:21" x14ac:dyDescent="0.2">
      <c r="A164">
        <v>163</v>
      </c>
      <c r="B164" s="1">
        <v>42372.475856481484</v>
      </c>
      <c r="C164" s="1">
        <v>42372.486261574071</v>
      </c>
      <c r="D164" t="s">
        <v>1</v>
      </c>
      <c r="E164" t="s">
        <v>2</v>
      </c>
      <c r="G164" t="b">
        <v>0</v>
      </c>
      <c r="H164">
        <v>70805</v>
      </c>
      <c r="I164" s="6">
        <v>0</v>
      </c>
      <c r="J164" s="1">
        <v>42372.488333333335</v>
      </c>
      <c r="K164">
        <v>19.579999999999998</v>
      </c>
      <c r="L164" s="6">
        <f>('Pizza Sales Calculations'!$J164-'Pizza Sales Calculations'!$C164)*24*60</f>
        <v>2.9833333392161876</v>
      </c>
      <c r="M164">
        <f>COUNTA('Pizza Sales Calculations'!$D164:$F164)</f>
        <v>2</v>
      </c>
      <c r="R164" s="9">
        <f>IF('Pizza Sales Calculations'!$G164=TRUE, Parameters!$B$17*'Pizza Sales Calculations'!$L164*2, 0)</f>
        <v>0</v>
      </c>
      <c r="T164" s="6"/>
      <c r="U164" s="9"/>
    </row>
    <row r="165" spans="1:21" x14ac:dyDescent="0.2">
      <c r="A165">
        <v>164</v>
      </c>
      <c r="B165" s="1">
        <v>42372.444918981484</v>
      </c>
      <c r="C165" s="1">
        <v>42372.455347222225</v>
      </c>
      <c r="D165" t="s">
        <v>1</v>
      </c>
      <c r="G165" t="b">
        <v>1</v>
      </c>
      <c r="H165">
        <v>70805</v>
      </c>
      <c r="I165" s="6">
        <v>2.5232496176094901</v>
      </c>
      <c r="J165" s="1">
        <v>42372.464097222219</v>
      </c>
      <c r="K165">
        <v>7.99</v>
      </c>
      <c r="L165" s="6">
        <f>('Pizza Sales Calculations'!$J165-'Pizza Sales Calculations'!$C165)*24*60</f>
        <v>12.599999990779907</v>
      </c>
      <c r="M165">
        <f>COUNTA('Pizza Sales Calculations'!$D165:$F165)</f>
        <v>1</v>
      </c>
      <c r="R165" s="9">
        <f>IF('Pizza Sales Calculations'!$G165=TRUE, Parameters!$B$17*'Pizza Sales Calculations'!$L165*2, 0)</f>
        <v>3.5699999973876402</v>
      </c>
      <c r="T165" s="6"/>
      <c r="U165" s="9"/>
    </row>
    <row r="166" spans="1:21" x14ac:dyDescent="0.2">
      <c r="A166">
        <v>165</v>
      </c>
      <c r="B166" s="1">
        <v>42372.425949074073</v>
      </c>
      <c r="C166" s="1">
        <v>42372.436365740738</v>
      </c>
      <c r="D166" t="s">
        <v>35</v>
      </c>
      <c r="G166" t="b">
        <v>1</v>
      </c>
      <c r="H166">
        <v>70804</v>
      </c>
      <c r="I166" s="6">
        <v>3.0800948348212001</v>
      </c>
      <c r="J166" s="1">
        <v>42372.447060185186</v>
      </c>
      <c r="K166">
        <v>15.35</v>
      </c>
      <c r="L166" s="6">
        <f>('Pizza Sales Calculations'!$J166-'Pizza Sales Calculations'!$C166)*24*60</f>
        <v>15.400000006193295</v>
      </c>
      <c r="M166">
        <f>COUNTA('Pizza Sales Calculations'!$D166:$F166)</f>
        <v>1</v>
      </c>
      <c r="R166" s="9">
        <f>IF('Pizza Sales Calculations'!$G166=TRUE, Parameters!$B$17*'Pizza Sales Calculations'!$L166*2, 0)</f>
        <v>4.3633333350881003</v>
      </c>
      <c r="T166" s="6"/>
      <c r="U166" s="9"/>
    </row>
    <row r="167" spans="1:21" x14ac:dyDescent="0.2">
      <c r="A167">
        <v>166</v>
      </c>
      <c r="B167" s="1">
        <v>42372.509328703702</v>
      </c>
      <c r="C167" s="1">
        <v>42372.519733796296</v>
      </c>
      <c r="D167" t="s">
        <v>35</v>
      </c>
      <c r="G167" t="b">
        <v>1</v>
      </c>
      <c r="H167">
        <v>70805</v>
      </c>
      <c r="I167" s="6">
        <v>4.2014211155238499</v>
      </c>
      <c r="J167" s="1">
        <v>42372.534317129626</v>
      </c>
      <c r="K167">
        <v>15.35</v>
      </c>
      <c r="L167" s="6">
        <f>('Pizza Sales Calculations'!$J167-'Pizza Sales Calculations'!$C167)*24*60</f>
        <v>20.999999995110556</v>
      </c>
      <c r="M167">
        <f>COUNTA('Pizza Sales Calculations'!$D167:$F167)</f>
        <v>1</v>
      </c>
      <c r="R167" s="9">
        <f>IF('Pizza Sales Calculations'!$G167=TRUE, Parameters!$B$17*'Pizza Sales Calculations'!$L167*2, 0)</f>
        <v>5.9499999986146577</v>
      </c>
      <c r="T167" s="6"/>
      <c r="U167" s="9"/>
    </row>
    <row r="168" spans="1:21" x14ac:dyDescent="0.2">
      <c r="A168">
        <v>167</v>
      </c>
      <c r="B168" s="1">
        <v>42372.487905092596</v>
      </c>
      <c r="C168" s="1">
        <v>42372.498298611114</v>
      </c>
      <c r="D168" t="s">
        <v>35</v>
      </c>
      <c r="G168" t="b">
        <v>0</v>
      </c>
      <c r="H168">
        <v>70804</v>
      </c>
      <c r="I168" s="6">
        <v>0</v>
      </c>
      <c r="J168" s="1">
        <v>42372.50037037037</v>
      </c>
      <c r="K168">
        <v>15.35</v>
      </c>
      <c r="L168" s="6">
        <f>('Pizza Sales Calculations'!$J168-'Pizza Sales Calculations'!$C168)*24*60</f>
        <v>2.9833333287388086</v>
      </c>
      <c r="M168">
        <f>COUNTA('Pizza Sales Calculations'!$D168:$F168)</f>
        <v>1</v>
      </c>
      <c r="R168" s="9">
        <f>IF('Pizza Sales Calculations'!$G168=TRUE, Parameters!$B$17*'Pizza Sales Calculations'!$L168*2, 0)</f>
        <v>0</v>
      </c>
      <c r="T168" s="6"/>
      <c r="U168" s="9"/>
    </row>
    <row r="169" spans="1:21" x14ac:dyDescent="0.2">
      <c r="A169">
        <v>168</v>
      </c>
      <c r="B169" s="1">
        <v>42372.430937500001</v>
      </c>
      <c r="C169" s="1">
        <v>42372.441365740742</v>
      </c>
      <c r="D169" t="s">
        <v>1</v>
      </c>
      <c r="G169" t="b">
        <v>0</v>
      </c>
      <c r="H169">
        <v>70804</v>
      </c>
      <c r="I169" s="6">
        <v>0</v>
      </c>
      <c r="J169" s="1">
        <v>42372.443460648145</v>
      </c>
      <c r="K169">
        <v>7.99</v>
      </c>
      <c r="L169" s="6">
        <f>('Pizza Sales Calculations'!$J169-'Pizza Sales Calculations'!$C169)*24*60</f>
        <v>3.0166666593868285</v>
      </c>
      <c r="M169">
        <f>COUNTA('Pizza Sales Calculations'!$D169:$F169)</f>
        <v>1</v>
      </c>
      <c r="R169" s="9">
        <f>IF('Pizza Sales Calculations'!$G169=TRUE, Parameters!$B$17*'Pizza Sales Calculations'!$L169*2, 0)</f>
        <v>0</v>
      </c>
      <c r="T169" s="6"/>
      <c r="U169" s="9"/>
    </row>
    <row r="170" spans="1:21" x14ac:dyDescent="0.2">
      <c r="A170">
        <v>169</v>
      </c>
      <c r="B170" s="1">
        <v>42372.477997685186</v>
      </c>
      <c r="C170" s="1">
        <v>42372.488391203704</v>
      </c>
      <c r="D170" t="s">
        <v>1</v>
      </c>
      <c r="E170" t="s">
        <v>2</v>
      </c>
      <c r="G170" t="b">
        <v>1</v>
      </c>
      <c r="H170">
        <v>70804</v>
      </c>
      <c r="I170" s="6">
        <v>3.5411970538845599</v>
      </c>
      <c r="J170" s="1">
        <v>42372.50068287037</v>
      </c>
      <c r="K170">
        <v>19.579999999999998</v>
      </c>
      <c r="L170" s="6">
        <f>('Pizza Sales Calculations'!$J170-'Pizza Sales Calculations'!$C170)*24*60</f>
        <v>17.699999999022111</v>
      </c>
      <c r="M170">
        <f>COUNTA('Pizza Sales Calculations'!$D170:$F170)</f>
        <v>2</v>
      </c>
      <c r="R170" s="9">
        <f>IF('Pizza Sales Calculations'!$G170=TRUE, Parameters!$B$17*'Pizza Sales Calculations'!$L170*2, 0)</f>
        <v>5.0149999997229315</v>
      </c>
      <c r="T170" s="6"/>
      <c r="U170" s="9"/>
    </row>
    <row r="171" spans="1:21" x14ac:dyDescent="0.2">
      <c r="A171">
        <v>170</v>
      </c>
      <c r="B171" s="1">
        <v>42372.539236111108</v>
      </c>
      <c r="C171" s="1">
        <v>42372.54965277778</v>
      </c>
      <c r="D171" t="s">
        <v>35</v>
      </c>
      <c r="G171" t="b">
        <v>0</v>
      </c>
      <c r="H171">
        <v>70805</v>
      </c>
      <c r="I171" s="6">
        <v>0</v>
      </c>
      <c r="J171" s="1">
        <v>42372.551724537036</v>
      </c>
      <c r="K171">
        <v>15.35</v>
      </c>
      <c r="L171" s="6">
        <f>('Pizza Sales Calculations'!$J171-'Pizza Sales Calculations'!$C171)*24*60</f>
        <v>2.9833333287388086</v>
      </c>
      <c r="M171">
        <f>COUNTA('Pizza Sales Calculations'!$D171:$F171)</f>
        <v>1</v>
      </c>
      <c r="R171" s="9">
        <f>IF('Pizza Sales Calculations'!$G171=TRUE, Parameters!$B$17*'Pizza Sales Calculations'!$L171*2, 0)</f>
        <v>0</v>
      </c>
      <c r="T171" s="6"/>
      <c r="U171" s="9"/>
    </row>
    <row r="172" spans="1:21" x14ac:dyDescent="0.2">
      <c r="A172">
        <v>171</v>
      </c>
      <c r="B172" s="1">
        <v>42372.4921412037</v>
      </c>
      <c r="C172" s="1">
        <v>42372.502557870372</v>
      </c>
      <c r="D172" t="s">
        <v>2</v>
      </c>
      <c r="G172" t="b">
        <v>1</v>
      </c>
      <c r="H172">
        <v>70805</v>
      </c>
      <c r="I172" s="6">
        <v>3.5170863466082598</v>
      </c>
      <c r="J172" s="1">
        <v>42372.514768518522</v>
      </c>
      <c r="K172">
        <v>11.59</v>
      </c>
      <c r="L172" s="6">
        <f>('Pizza Sales Calculations'!$J172-'Pizza Sales Calculations'!$C172)*24*60</f>
        <v>17.583333336515352</v>
      </c>
      <c r="M172">
        <f>COUNTA('Pizza Sales Calculations'!$D172:$F172)</f>
        <v>1</v>
      </c>
      <c r="R172" s="9">
        <f>IF('Pizza Sales Calculations'!$G172=TRUE, Parameters!$B$17*'Pizza Sales Calculations'!$L172*2, 0)</f>
        <v>4.9819444453460164</v>
      </c>
      <c r="T172" s="6"/>
      <c r="U172" s="9"/>
    </row>
    <row r="173" spans="1:21" x14ac:dyDescent="0.2">
      <c r="A173">
        <v>172</v>
      </c>
      <c r="B173" s="1">
        <v>42372.461550925924</v>
      </c>
      <c r="C173" s="1">
        <v>42372.471967592595</v>
      </c>
      <c r="D173" t="s">
        <v>1</v>
      </c>
      <c r="G173" t="b">
        <v>0</v>
      </c>
      <c r="H173">
        <v>70805</v>
      </c>
      <c r="I173" s="6">
        <v>0</v>
      </c>
      <c r="J173" s="1">
        <v>42372.474039351851</v>
      </c>
      <c r="K173">
        <v>7.99</v>
      </c>
      <c r="L173" s="6">
        <f>('Pizza Sales Calculations'!$J173-'Pizza Sales Calculations'!$C173)*24*60</f>
        <v>2.9833333287388086</v>
      </c>
      <c r="M173">
        <f>COUNTA('Pizza Sales Calculations'!$D173:$F173)</f>
        <v>1</v>
      </c>
      <c r="R173" s="9">
        <f>IF('Pizza Sales Calculations'!$G173=TRUE, Parameters!$B$17*'Pizza Sales Calculations'!$L173*2, 0)</f>
        <v>0</v>
      </c>
      <c r="T173" s="6"/>
      <c r="U173" s="9"/>
    </row>
    <row r="174" spans="1:21" x14ac:dyDescent="0.2">
      <c r="A174">
        <v>173</v>
      </c>
      <c r="B174" s="1">
        <v>42372.496481481481</v>
      </c>
      <c r="C174" s="1">
        <v>42372.506909722222</v>
      </c>
      <c r="D174" t="s">
        <v>1</v>
      </c>
      <c r="E174" t="s">
        <v>2</v>
      </c>
      <c r="G174" t="b">
        <v>1</v>
      </c>
      <c r="H174">
        <v>70806</v>
      </c>
      <c r="I174" s="6">
        <v>2.7078194061341598</v>
      </c>
      <c r="J174" s="1">
        <v>42372.51630787037</v>
      </c>
      <c r="K174">
        <v>19.579999999999998</v>
      </c>
      <c r="L174" s="6">
        <f>('Pizza Sales Calculations'!$J174-'Pizza Sales Calculations'!$C174)*24*60</f>
        <v>13.533333332743496</v>
      </c>
      <c r="M174">
        <f>COUNTA('Pizza Sales Calculations'!$D174:$F174)</f>
        <v>2</v>
      </c>
      <c r="R174" s="9">
        <f>IF('Pizza Sales Calculations'!$G174=TRUE, Parameters!$B$17*'Pizza Sales Calculations'!$L174*2, 0)</f>
        <v>3.8344444442773238</v>
      </c>
      <c r="T174" s="6"/>
      <c r="U174" s="9"/>
    </row>
    <row r="175" spans="1:21" x14ac:dyDescent="0.2">
      <c r="A175">
        <v>174</v>
      </c>
      <c r="B175" s="1">
        <v>42372.534074074072</v>
      </c>
      <c r="C175" s="1">
        <v>42372.544490740744</v>
      </c>
      <c r="D175" t="s">
        <v>35</v>
      </c>
      <c r="G175" t="b">
        <v>0</v>
      </c>
      <c r="H175">
        <v>70803</v>
      </c>
      <c r="I175" s="6">
        <v>0</v>
      </c>
      <c r="J175" s="1">
        <v>42372.546597222223</v>
      </c>
      <c r="K175">
        <v>15.35</v>
      </c>
      <c r="L175" s="6">
        <f>('Pizza Sales Calculations'!$J175-'Pizza Sales Calculations'!$C175)*24*60</f>
        <v>3.033333329949528</v>
      </c>
      <c r="M175">
        <f>COUNTA('Pizza Sales Calculations'!$D175:$F175)</f>
        <v>1</v>
      </c>
      <c r="R175" s="9">
        <f>IF('Pizza Sales Calculations'!$G175=TRUE, Parameters!$B$17*'Pizza Sales Calculations'!$L175*2, 0)</f>
        <v>0</v>
      </c>
      <c r="T175" s="6"/>
      <c r="U175" s="9"/>
    </row>
    <row r="176" spans="1:21" x14ac:dyDescent="0.2">
      <c r="A176">
        <v>175</v>
      </c>
      <c r="B176" s="1">
        <v>42372.496377314812</v>
      </c>
      <c r="C176" s="1">
        <v>42372.506782407407</v>
      </c>
      <c r="D176" t="s">
        <v>1</v>
      </c>
      <c r="E176" t="s">
        <v>2</v>
      </c>
      <c r="G176" t="b">
        <v>0</v>
      </c>
      <c r="H176">
        <v>70805</v>
      </c>
      <c r="I176" s="6">
        <v>0</v>
      </c>
      <c r="J176" s="1">
        <v>42372.50885416667</v>
      </c>
      <c r="K176">
        <v>19.579999999999998</v>
      </c>
      <c r="L176" s="6">
        <f>('Pizza Sales Calculations'!$J176-'Pizza Sales Calculations'!$C176)*24*60</f>
        <v>2.9833333392161876</v>
      </c>
      <c r="M176">
        <f>COUNTA('Pizza Sales Calculations'!$D176:$F176)</f>
        <v>2</v>
      </c>
      <c r="R176" s="9">
        <f>IF('Pizza Sales Calculations'!$G176=TRUE, Parameters!$B$17*'Pizza Sales Calculations'!$L176*2, 0)</f>
        <v>0</v>
      </c>
      <c r="T176" s="6"/>
      <c r="U176" s="9"/>
    </row>
    <row r="177" spans="1:21" x14ac:dyDescent="0.2">
      <c r="A177">
        <v>176</v>
      </c>
      <c r="B177" s="1">
        <v>42372.52952546296</v>
      </c>
      <c r="C177" s="1">
        <v>42372.539918981478</v>
      </c>
      <c r="D177" t="s">
        <v>1</v>
      </c>
      <c r="G177" t="b">
        <v>0</v>
      </c>
      <c r="H177">
        <v>70804</v>
      </c>
      <c r="I177" s="6">
        <v>0</v>
      </c>
      <c r="J177" s="1">
        <v>42372.542013888888</v>
      </c>
      <c r="K177">
        <v>7.99</v>
      </c>
      <c r="L177" s="6">
        <f>('Pizza Sales Calculations'!$J177-'Pizza Sales Calculations'!$C177)*24*60</f>
        <v>3.0166666698642075</v>
      </c>
      <c r="M177">
        <f>COUNTA('Pizza Sales Calculations'!$D177:$F177)</f>
        <v>1</v>
      </c>
      <c r="R177" s="9">
        <f>IF('Pizza Sales Calculations'!$G177=TRUE, Parameters!$B$17*'Pizza Sales Calculations'!$L177*2, 0)</f>
        <v>0</v>
      </c>
      <c r="T177" s="6"/>
      <c r="U177" s="9"/>
    </row>
    <row r="178" spans="1:21" x14ac:dyDescent="0.2">
      <c r="A178">
        <v>177</v>
      </c>
      <c r="B178" s="1">
        <v>42372.56287037037</v>
      </c>
      <c r="C178" s="1">
        <v>42372.573275462964</v>
      </c>
      <c r="D178" t="s">
        <v>2</v>
      </c>
      <c r="G178" t="b">
        <v>1</v>
      </c>
      <c r="H178">
        <v>70803</v>
      </c>
      <c r="I178" s="6">
        <v>4.1448981376598599</v>
      </c>
      <c r="J178" s="1">
        <v>42372.58766203704</v>
      </c>
      <c r="K178">
        <v>11.59</v>
      </c>
      <c r="L178" s="6">
        <f>('Pizza Sales Calculations'!$J178-'Pizza Sales Calculations'!$C178)*24*60</f>
        <v>20.716666668886319</v>
      </c>
      <c r="M178">
        <f>COUNTA('Pizza Sales Calculations'!$D178:$F178)</f>
        <v>1</v>
      </c>
      <c r="R178" s="9">
        <f>IF('Pizza Sales Calculations'!$G178=TRUE, Parameters!$B$17*'Pizza Sales Calculations'!$L178*2, 0)</f>
        <v>5.8697222228511237</v>
      </c>
      <c r="T178" s="6"/>
      <c r="U178" s="9"/>
    </row>
    <row r="179" spans="1:21" x14ac:dyDescent="0.2">
      <c r="A179">
        <v>178</v>
      </c>
      <c r="B179" s="1">
        <v>42372.454525462963</v>
      </c>
      <c r="C179" s="1">
        <v>42372.464918981481</v>
      </c>
      <c r="D179" t="s">
        <v>1</v>
      </c>
      <c r="G179" t="b">
        <v>1</v>
      </c>
      <c r="H179">
        <v>70808</v>
      </c>
      <c r="I179" s="6">
        <v>5.0674595509674196</v>
      </c>
      <c r="J179" s="1">
        <v>42372.482511574075</v>
      </c>
      <c r="K179">
        <v>7.99</v>
      </c>
      <c r="L179" s="6">
        <f>('Pizza Sales Calculations'!$J179-'Pizza Sales Calculations'!$C179)*24*60</f>
        <v>25.33333333558403</v>
      </c>
      <c r="M179">
        <f>COUNTA('Pizza Sales Calculations'!$D179:$F179)</f>
        <v>1</v>
      </c>
      <c r="R179" s="9">
        <f>IF('Pizza Sales Calculations'!$G179=TRUE, Parameters!$B$17*'Pizza Sales Calculations'!$L179*2, 0)</f>
        <v>7.177777778415475</v>
      </c>
      <c r="T179" s="6"/>
      <c r="U179" s="9"/>
    </row>
    <row r="180" spans="1:21" x14ac:dyDescent="0.2">
      <c r="A180">
        <v>179</v>
      </c>
      <c r="B180" s="1">
        <v>42372.48238425926</v>
      </c>
      <c r="C180" s="1">
        <v>42372.492812500001</v>
      </c>
      <c r="D180" t="s">
        <v>1</v>
      </c>
      <c r="G180" t="b">
        <v>0</v>
      </c>
      <c r="H180">
        <v>70803</v>
      </c>
      <c r="I180" s="6">
        <v>0</v>
      </c>
      <c r="J180" s="1">
        <v>42372.494895833333</v>
      </c>
      <c r="K180">
        <v>7.99</v>
      </c>
      <c r="L180" s="6">
        <f>('Pizza Sales Calculations'!$J180-'Pizza Sales Calculations'!$C180)*24*60</f>
        <v>2.9999999993015081</v>
      </c>
      <c r="M180">
        <f>COUNTA('Pizza Sales Calculations'!$D180:$F180)</f>
        <v>1</v>
      </c>
      <c r="R180" s="9">
        <f>IF('Pizza Sales Calculations'!$G180=TRUE, Parameters!$B$17*'Pizza Sales Calculations'!$L180*2, 0)</f>
        <v>0</v>
      </c>
      <c r="T180" s="6"/>
      <c r="U180" s="9"/>
    </row>
    <row r="181" spans="1:21" x14ac:dyDescent="0.2">
      <c r="A181">
        <v>180</v>
      </c>
      <c r="B181" s="1">
        <v>42372.486932870372</v>
      </c>
      <c r="C181" s="1">
        <v>42372.497337962966</v>
      </c>
      <c r="D181" t="s">
        <v>2</v>
      </c>
      <c r="G181" t="b">
        <v>0</v>
      </c>
      <c r="H181">
        <v>70805</v>
      </c>
      <c r="I181" s="6">
        <v>0</v>
      </c>
      <c r="J181" s="1">
        <v>42372.499432870369</v>
      </c>
      <c r="K181">
        <v>11.59</v>
      </c>
      <c r="L181" s="6">
        <f>('Pizza Sales Calculations'!$J181-'Pizza Sales Calculations'!$C181)*24*60</f>
        <v>3.0166666593868285</v>
      </c>
      <c r="M181">
        <f>COUNTA('Pizza Sales Calculations'!$D181:$F181)</f>
        <v>1</v>
      </c>
      <c r="R181" s="9">
        <f>IF('Pizza Sales Calculations'!$G181=TRUE, Parameters!$B$17*'Pizza Sales Calculations'!$L181*2, 0)</f>
        <v>0</v>
      </c>
      <c r="T181" s="6"/>
      <c r="U181" s="9"/>
    </row>
    <row r="182" spans="1:21" x14ac:dyDescent="0.2">
      <c r="A182">
        <v>181</v>
      </c>
      <c r="B182" s="1">
        <v>42372.556631944448</v>
      </c>
      <c r="C182" s="1">
        <v>42372.567025462966</v>
      </c>
      <c r="D182" t="s">
        <v>35</v>
      </c>
      <c r="G182" t="b">
        <v>0</v>
      </c>
      <c r="H182">
        <v>70806</v>
      </c>
      <c r="I182" s="6">
        <v>0</v>
      </c>
      <c r="J182" s="1">
        <v>42372.569085648145</v>
      </c>
      <c r="K182">
        <v>15.35</v>
      </c>
      <c r="L182" s="6">
        <f>('Pizza Sales Calculations'!$J182-'Pizza Sales Calculations'!$C182)*24*60</f>
        <v>2.9666666581761092</v>
      </c>
      <c r="M182">
        <f>COUNTA('Pizza Sales Calculations'!$D182:$F182)</f>
        <v>1</v>
      </c>
      <c r="R182" s="9">
        <f>IF('Pizza Sales Calculations'!$G182=TRUE, Parameters!$B$17*'Pizza Sales Calculations'!$L182*2, 0)</f>
        <v>0</v>
      </c>
      <c r="T182" s="6"/>
      <c r="U182" s="9"/>
    </row>
    <row r="183" spans="1:21" x14ac:dyDescent="0.2">
      <c r="A183">
        <v>182</v>
      </c>
      <c r="B183" s="1">
        <v>42372.487569444442</v>
      </c>
      <c r="C183" s="1">
        <v>42372.497986111113</v>
      </c>
      <c r="D183" t="s">
        <v>2</v>
      </c>
      <c r="G183" t="b">
        <v>1</v>
      </c>
      <c r="H183">
        <v>70803</v>
      </c>
      <c r="I183" s="6">
        <v>5.7721866175102603</v>
      </c>
      <c r="J183" s="1">
        <v>42372.518020833333</v>
      </c>
      <c r="K183">
        <v>11.59</v>
      </c>
      <c r="L183" s="6">
        <f>('Pizza Sales Calculations'!$J183-'Pizza Sales Calculations'!$C183)*24*60</f>
        <v>28.849999996600673</v>
      </c>
      <c r="M183">
        <f>COUNTA('Pizza Sales Calculations'!$D183:$F183)</f>
        <v>1</v>
      </c>
      <c r="R183" s="9">
        <f>IF('Pizza Sales Calculations'!$G183=TRUE, Parameters!$B$17*'Pizza Sales Calculations'!$L183*2, 0)</f>
        <v>8.1741666657035239</v>
      </c>
      <c r="T183" s="6"/>
      <c r="U183" s="9"/>
    </row>
    <row r="184" spans="1:21" x14ac:dyDescent="0.2">
      <c r="A184">
        <v>183</v>
      </c>
      <c r="B184" s="1">
        <v>42372.531388888892</v>
      </c>
      <c r="C184" s="1">
        <v>42372.54179398148</v>
      </c>
      <c r="D184" t="s">
        <v>1</v>
      </c>
      <c r="E184" t="s">
        <v>2</v>
      </c>
      <c r="G184" t="b">
        <v>1</v>
      </c>
      <c r="H184">
        <v>70804</v>
      </c>
      <c r="I184" s="6">
        <v>2.86708065376828</v>
      </c>
      <c r="J184" s="1">
        <v>42372.551747685182</v>
      </c>
      <c r="K184">
        <v>19.579999999999998</v>
      </c>
      <c r="L184" s="6">
        <f>('Pizza Sales Calculations'!$J184-'Pizza Sales Calculations'!$C184)*24*60</f>
        <v>14.333333331160247</v>
      </c>
      <c r="M184">
        <f>COUNTA('Pizza Sales Calculations'!$D184:$F184)</f>
        <v>2</v>
      </c>
      <c r="R184" s="9">
        <f>IF('Pizza Sales Calculations'!$G184=TRUE, Parameters!$B$17*'Pizza Sales Calculations'!$L184*2, 0)</f>
        <v>4.0611111104954034</v>
      </c>
      <c r="T184" s="6"/>
      <c r="U184" s="9"/>
    </row>
    <row r="185" spans="1:21" x14ac:dyDescent="0.2">
      <c r="A185">
        <v>184</v>
      </c>
      <c r="B185" s="1">
        <v>42372.478101851855</v>
      </c>
      <c r="C185" s="1">
        <v>42372.488483796296</v>
      </c>
      <c r="D185" t="s">
        <v>1</v>
      </c>
      <c r="E185" t="s">
        <v>2</v>
      </c>
      <c r="G185" t="b">
        <v>1</v>
      </c>
      <c r="H185">
        <v>70805</v>
      </c>
      <c r="I185" s="6">
        <v>5.9043685609035403</v>
      </c>
      <c r="J185" s="1">
        <v>42372.508981481478</v>
      </c>
      <c r="K185">
        <v>19.579999999999998</v>
      </c>
      <c r="L185" s="6">
        <f>('Pizza Sales Calculations'!$J185-'Pizza Sales Calculations'!$C185)*24*60</f>
        <v>29.516666661947966</v>
      </c>
      <c r="M185">
        <f>COUNTA('Pizza Sales Calculations'!$D185:$F185)</f>
        <v>2</v>
      </c>
      <c r="R185" s="9">
        <f>IF('Pizza Sales Calculations'!$G185=TRUE, Parameters!$B$17*'Pizza Sales Calculations'!$L185*2, 0)</f>
        <v>8.3630555542185903</v>
      </c>
      <c r="T185" s="6"/>
      <c r="U185" s="9"/>
    </row>
    <row r="186" spans="1:21" x14ac:dyDescent="0.2">
      <c r="A186">
        <v>185</v>
      </c>
      <c r="B186" s="1">
        <v>42372.537939814814</v>
      </c>
      <c r="C186" s="1">
        <v>42372.548356481479</v>
      </c>
      <c r="D186" t="s">
        <v>2</v>
      </c>
      <c r="G186" t="b">
        <v>0</v>
      </c>
      <c r="H186">
        <v>70804</v>
      </c>
      <c r="I186" s="6">
        <v>0</v>
      </c>
      <c r="J186" s="1">
        <v>42372.550439814811</v>
      </c>
      <c r="K186">
        <v>11.59</v>
      </c>
      <c r="L186" s="6">
        <f>('Pizza Sales Calculations'!$J186-'Pizza Sales Calculations'!$C186)*24*60</f>
        <v>2.9999999993015081</v>
      </c>
      <c r="M186">
        <f>COUNTA('Pizza Sales Calculations'!$D186:$F186)</f>
        <v>1</v>
      </c>
      <c r="R186" s="9">
        <f>IF('Pizza Sales Calculations'!$G186=TRUE, Parameters!$B$17*'Pizza Sales Calculations'!$L186*2, 0)</f>
        <v>0</v>
      </c>
      <c r="T186" s="6"/>
      <c r="U186" s="9"/>
    </row>
    <row r="187" spans="1:21" x14ac:dyDescent="0.2">
      <c r="A187">
        <v>186</v>
      </c>
      <c r="B187" s="1">
        <v>42372.482430555552</v>
      </c>
      <c r="C187" s="1">
        <v>42372.492858796293</v>
      </c>
      <c r="D187" t="s">
        <v>2</v>
      </c>
      <c r="G187" t="b">
        <v>0</v>
      </c>
      <c r="H187">
        <v>70808</v>
      </c>
      <c r="I187" s="6">
        <v>0</v>
      </c>
      <c r="J187" s="1">
        <v>42372.494942129626</v>
      </c>
      <c r="K187">
        <v>11.59</v>
      </c>
      <c r="L187" s="6">
        <f>('Pizza Sales Calculations'!$J187-'Pizza Sales Calculations'!$C187)*24*60</f>
        <v>2.9999999993015081</v>
      </c>
      <c r="M187">
        <f>COUNTA('Pizza Sales Calculations'!$D187:$F187)</f>
        <v>1</v>
      </c>
      <c r="R187" s="9">
        <f>IF('Pizza Sales Calculations'!$G187=TRUE, Parameters!$B$17*'Pizza Sales Calculations'!$L187*2, 0)</f>
        <v>0</v>
      </c>
      <c r="T187" s="6"/>
      <c r="U187" s="9"/>
    </row>
    <row r="188" spans="1:21" x14ac:dyDescent="0.2">
      <c r="A188">
        <v>187</v>
      </c>
      <c r="B188" s="1">
        <v>42372.469733796293</v>
      </c>
      <c r="C188" s="1">
        <v>42372.480150462965</v>
      </c>
      <c r="D188" t="s">
        <v>1</v>
      </c>
      <c r="E188" t="s">
        <v>35</v>
      </c>
      <c r="G188" t="b">
        <v>0</v>
      </c>
      <c r="H188">
        <v>70805</v>
      </c>
      <c r="I188" s="6">
        <v>0</v>
      </c>
      <c r="J188" s="1">
        <v>42372.482233796298</v>
      </c>
      <c r="K188">
        <v>23.34</v>
      </c>
      <c r="L188" s="6">
        <f>('Pizza Sales Calculations'!$J188-'Pizza Sales Calculations'!$C188)*24*60</f>
        <v>2.9999999993015081</v>
      </c>
      <c r="M188">
        <f>COUNTA('Pizza Sales Calculations'!$D188:$F188)</f>
        <v>2</v>
      </c>
      <c r="R188" s="9">
        <f>IF('Pizza Sales Calculations'!$G188=TRUE, Parameters!$B$17*'Pizza Sales Calculations'!$L188*2, 0)</f>
        <v>0</v>
      </c>
      <c r="T188" s="6"/>
      <c r="U188" s="9"/>
    </row>
    <row r="189" spans="1:21" x14ac:dyDescent="0.2">
      <c r="A189">
        <v>188</v>
      </c>
      <c r="B189" s="1">
        <v>42372.521724537037</v>
      </c>
      <c r="C189" s="1">
        <v>42372.532141203701</v>
      </c>
      <c r="D189" t="s">
        <v>1</v>
      </c>
      <c r="E189" t="s">
        <v>35</v>
      </c>
      <c r="G189" t="b">
        <v>1</v>
      </c>
      <c r="H189">
        <v>70803</v>
      </c>
      <c r="I189" s="6">
        <v>3.4027507150545699</v>
      </c>
      <c r="J189" s="1">
        <v>42372.543946759259</v>
      </c>
      <c r="K189">
        <v>23.34</v>
      </c>
      <c r="L189" s="6">
        <f>('Pizza Sales Calculations'!$J189-'Pizza Sales Calculations'!$C189)*24*60</f>
        <v>17.000000003026798</v>
      </c>
      <c r="M189">
        <f>COUNTA('Pizza Sales Calculations'!$D189:$F189)</f>
        <v>2</v>
      </c>
      <c r="R189" s="9">
        <f>IF('Pizza Sales Calculations'!$G189=TRUE, Parameters!$B$17*'Pizza Sales Calculations'!$L189*2, 0)</f>
        <v>4.8166666675242595</v>
      </c>
      <c r="T189" s="6"/>
      <c r="U189" s="9"/>
    </row>
    <row r="190" spans="1:21" x14ac:dyDescent="0.2">
      <c r="A190">
        <v>189</v>
      </c>
      <c r="B190" s="1">
        <v>42372.51358796296</v>
      </c>
      <c r="C190" s="1">
        <v>42372.524004629631</v>
      </c>
      <c r="D190" t="s">
        <v>2</v>
      </c>
      <c r="G190" t="b">
        <v>1</v>
      </c>
      <c r="H190">
        <v>70805</v>
      </c>
      <c r="I190" s="6">
        <v>1.4260100769285</v>
      </c>
      <c r="J190" s="1">
        <v>42372.528946759259</v>
      </c>
      <c r="K190">
        <v>11.59</v>
      </c>
      <c r="L190" s="6">
        <f>('Pizza Sales Calculations'!$J190-'Pizza Sales Calculations'!$C190)*24*60</f>
        <v>7.1166666643694043</v>
      </c>
      <c r="M190">
        <f>COUNTA('Pizza Sales Calculations'!$D190:$F190)</f>
        <v>1</v>
      </c>
      <c r="R190" s="9">
        <f>IF('Pizza Sales Calculations'!$G190=TRUE, Parameters!$B$17*'Pizza Sales Calculations'!$L190*2, 0)</f>
        <v>2.0163888882379979</v>
      </c>
      <c r="T190" s="6"/>
      <c r="U190" s="9"/>
    </row>
    <row r="191" spans="1:21" x14ac:dyDescent="0.2">
      <c r="A191">
        <v>190</v>
      </c>
      <c r="B191" s="1">
        <v>42372.475266203706</v>
      </c>
      <c r="C191" s="1">
        <v>42372.485648148147</v>
      </c>
      <c r="D191" t="s">
        <v>35</v>
      </c>
      <c r="G191" t="b">
        <v>0</v>
      </c>
      <c r="H191">
        <v>70805</v>
      </c>
      <c r="I191" s="6">
        <v>0</v>
      </c>
      <c r="J191" s="1">
        <v>42372.487708333334</v>
      </c>
      <c r="K191">
        <v>15.35</v>
      </c>
      <c r="L191" s="6">
        <f>('Pizza Sales Calculations'!$J191-'Pizza Sales Calculations'!$C191)*24*60</f>
        <v>2.9666666686534882</v>
      </c>
      <c r="M191">
        <f>COUNTA('Pizza Sales Calculations'!$D191:$F191)</f>
        <v>1</v>
      </c>
      <c r="R191" s="9">
        <f>IF('Pizza Sales Calculations'!$G191=TRUE, Parameters!$B$17*'Pizza Sales Calculations'!$L191*2, 0)</f>
        <v>0</v>
      </c>
      <c r="T191" s="6"/>
      <c r="U191" s="9"/>
    </row>
    <row r="192" spans="1:21" x14ac:dyDescent="0.2">
      <c r="A192">
        <v>191</v>
      </c>
      <c r="B192" s="1">
        <v>42372.446967592594</v>
      </c>
      <c r="C192" s="1">
        <v>42372.457395833335</v>
      </c>
      <c r="D192" t="s">
        <v>1</v>
      </c>
      <c r="G192" t="b">
        <v>0</v>
      </c>
      <c r="H192">
        <v>70806</v>
      </c>
      <c r="I192" s="6">
        <v>0</v>
      </c>
      <c r="J192" s="1">
        <v>42372.459467592591</v>
      </c>
      <c r="K192">
        <v>7.99</v>
      </c>
      <c r="L192" s="6">
        <f>('Pizza Sales Calculations'!$J192-'Pizza Sales Calculations'!$C192)*24*60</f>
        <v>2.9833333287388086</v>
      </c>
      <c r="M192">
        <f>COUNTA('Pizza Sales Calculations'!$D192:$F192)</f>
        <v>1</v>
      </c>
      <c r="R192" s="9">
        <f>IF('Pizza Sales Calculations'!$G192=TRUE, Parameters!$B$17*'Pizza Sales Calculations'!$L192*2, 0)</f>
        <v>0</v>
      </c>
      <c r="T192" s="6"/>
      <c r="U192" s="9"/>
    </row>
    <row r="193" spans="1:21" x14ac:dyDescent="0.2">
      <c r="A193">
        <v>192</v>
      </c>
      <c r="B193" s="1">
        <v>42372.520497685182</v>
      </c>
      <c r="C193" s="1">
        <v>42372.530925925923</v>
      </c>
      <c r="D193" t="s">
        <v>1</v>
      </c>
      <c r="E193" t="s">
        <v>35</v>
      </c>
      <c r="G193" t="b">
        <v>1</v>
      </c>
      <c r="H193">
        <v>70805</v>
      </c>
      <c r="I193" s="6">
        <v>3.2342378445178399</v>
      </c>
      <c r="J193" s="1">
        <v>42372.54215277778</v>
      </c>
      <c r="K193">
        <v>23.34</v>
      </c>
      <c r="L193" s="6">
        <f>('Pizza Sales Calculations'!$J193-'Pizza Sales Calculations'!$C193)*24*60</f>
        <v>16.166666673962027</v>
      </c>
      <c r="M193">
        <f>COUNTA('Pizza Sales Calculations'!$D193:$F193)</f>
        <v>2</v>
      </c>
      <c r="R193" s="9">
        <f>IF('Pizza Sales Calculations'!$G193=TRUE, Parameters!$B$17*'Pizza Sales Calculations'!$L193*2, 0)</f>
        <v>4.5805555576225743</v>
      </c>
      <c r="T193" s="6"/>
      <c r="U193" s="9"/>
    </row>
    <row r="194" spans="1:21" x14ac:dyDescent="0.2">
      <c r="A194">
        <v>193</v>
      </c>
      <c r="B194" s="1">
        <v>42372.528252314813</v>
      </c>
      <c r="C194" s="1">
        <v>42372.538657407407</v>
      </c>
      <c r="D194" t="s">
        <v>2</v>
      </c>
      <c r="G194" t="b">
        <v>0</v>
      </c>
      <c r="H194">
        <v>70805</v>
      </c>
      <c r="I194" s="6">
        <v>0</v>
      </c>
      <c r="J194" s="1">
        <v>42372.540752314817</v>
      </c>
      <c r="K194">
        <v>11.59</v>
      </c>
      <c r="L194" s="6">
        <f>('Pizza Sales Calculations'!$J194-'Pizza Sales Calculations'!$C194)*24*60</f>
        <v>3.0166666698642075</v>
      </c>
      <c r="M194">
        <f>COUNTA('Pizza Sales Calculations'!$D194:$F194)</f>
        <v>1</v>
      </c>
      <c r="R194" s="9">
        <f>IF('Pizza Sales Calculations'!$G194=TRUE, Parameters!$B$17*'Pizza Sales Calculations'!$L194*2, 0)</f>
        <v>0</v>
      </c>
      <c r="T194" s="6"/>
      <c r="U194" s="9"/>
    </row>
    <row r="195" spans="1:21" x14ac:dyDescent="0.2">
      <c r="A195">
        <v>194</v>
      </c>
      <c r="B195" s="1">
        <v>42372.431550925925</v>
      </c>
      <c r="C195" s="1">
        <v>42372.441944444443</v>
      </c>
      <c r="D195" t="s">
        <v>35</v>
      </c>
      <c r="G195" t="b">
        <v>1</v>
      </c>
      <c r="H195">
        <v>70806</v>
      </c>
      <c r="I195" s="6">
        <v>1.51042141667455</v>
      </c>
      <c r="J195" s="1">
        <v>42372.447187500002</v>
      </c>
      <c r="K195">
        <v>15.35</v>
      </c>
      <c r="L195" s="6">
        <f>('Pizza Sales Calculations'!$J195-'Pizza Sales Calculations'!$C195)*24*60</f>
        <v>7.550000004703179</v>
      </c>
      <c r="M195">
        <f>COUNTA('Pizza Sales Calculations'!$D195:$F195)</f>
        <v>1</v>
      </c>
      <c r="R195" s="9">
        <f>IF('Pizza Sales Calculations'!$G195=TRUE, Parameters!$B$17*'Pizza Sales Calculations'!$L195*2, 0)</f>
        <v>2.1391666679992341</v>
      </c>
      <c r="T195" s="6"/>
      <c r="U195" s="9"/>
    </row>
    <row r="196" spans="1:21" x14ac:dyDescent="0.2">
      <c r="A196">
        <v>195</v>
      </c>
      <c r="B196" s="1">
        <v>42372.45957175926</v>
      </c>
      <c r="C196" s="1">
        <v>42372.469988425924</v>
      </c>
      <c r="D196" t="s">
        <v>1</v>
      </c>
      <c r="G196" t="b">
        <v>0</v>
      </c>
      <c r="H196">
        <v>70806</v>
      </c>
      <c r="I196" s="6">
        <v>0</v>
      </c>
      <c r="J196" s="1">
        <v>42372.472048611111</v>
      </c>
      <c r="K196">
        <v>7.99</v>
      </c>
      <c r="L196" s="6">
        <f>('Pizza Sales Calculations'!$J196-'Pizza Sales Calculations'!$C196)*24*60</f>
        <v>2.9666666686534882</v>
      </c>
      <c r="M196">
        <f>COUNTA('Pizza Sales Calculations'!$D196:$F196)</f>
        <v>1</v>
      </c>
      <c r="R196" s="9">
        <f>IF('Pizza Sales Calculations'!$G196=TRUE, Parameters!$B$17*'Pizza Sales Calculations'!$L196*2, 0)</f>
        <v>0</v>
      </c>
      <c r="T196" s="6"/>
      <c r="U196" s="9"/>
    </row>
    <row r="197" spans="1:21" x14ac:dyDescent="0.2">
      <c r="A197">
        <v>196</v>
      </c>
      <c r="B197" s="1">
        <v>42372.472777777781</v>
      </c>
      <c r="C197" s="1">
        <v>42372.483182870368</v>
      </c>
      <c r="D197" t="s">
        <v>2</v>
      </c>
      <c r="G197" t="b">
        <v>0</v>
      </c>
      <c r="H197">
        <v>70803</v>
      </c>
      <c r="I197" s="6">
        <v>0</v>
      </c>
      <c r="J197" s="1">
        <v>42372.485277777778</v>
      </c>
      <c r="K197">
        <v>11.59</v>
      </c>
      <c r="L197" s="6">
        <f>('Pizza Sales Calculations'!$J197-'Pizza Sales Calculations'!$C197)*24*60</f>
        <v>3.0166666698642075</v>
      </c>
      <c r="M197">
        <f>COUNTA('Pizza Sales Calculations'!$D197:$F197)</f>
        <v>1</v>
      </c>
      <c r="R197" s="9">
        <f>IF('Pizza Sales Calculations'!$G197=TRUE, Parameters!$B$17*'Pizza Sales Calculations'!$L197*2, 0)</f>
        <v>0</v>
      </c>
      <c r="T197" s="6"/>
      <c r="U197" s="9"/>
    </row>
    <row r="198" spans="1:21" x14ac:dyDescent="0.2">
      <c r="A198">
        <v>197</v>
      </c>
      <c r="B198" s="1">
        <v>42372.47488425926</v>
      </c>
      <c r="C198" s="1">
        <v>42372.485289351855</v>
      </c>
      <c r="D198" t="s">
        <v>2</v>
      </c>
      <c r="G198" t="b">
        <v>1</v>
      </c>
      <c r="H198">
        <v>70804</v>
      </c>
      <c r="I198" s="6">
        <v>2.9891338886401</v>
      </c>
      <c r="J198" s="1">
        <v>42372.495659722219</v>
      </c>
      <c r="K198">
        <v>11.59</v>
      </c>
      <c r="L198" s="6">
        <f>('Pizza Sales Calculations'!$J198-'Pizza Sales Calculations'!$C198)*24*60</f>
        <v>14.933333324734122</v>
      </c>
      <c r="M198">
        <f>COUNTA('Pizza Sales Calculations'!$D198:$F198)</f>
        <v>1</v>
      </c>
      <c r="R198" s="9">
        <f>IF('Pizza Sales Calculations'!$G198=TRUE, Parameters!$B$17*'Pizza Sales Calculations'!$L198*2, 0)</f>
        <v>4.2311111086746678</v>
      </c>
      <c r="T198" s="6"/>
      <c r="U198" s="9"/>
    </row>
    <row r="199" spans="1:21" x14ac:dyDescent="0.2">
      <c r="A199">
        <v>198</v>
      </c>
      <c r="B199" s="1">
        <v>42372.480844907404</v>
      </c>
      <c r="C199" s="1">
        <v>42372.491249999999</v>
      </c>
      <c r="D199" t="s">
        <v>1</v>
      </c>
      <c r="E199" t="s">
        <v>2</v>
      </c>
      <c r="G199" t="b">
        <v>0</v>
      </c>
      <c r="H199">
        <v>70805</v>
      </c>
      <c r="I199" s="6">
        <v>0</v>
      </c>
      <c r="J199" s="1">
        <v>42372.493298611109</v>
      </c>
      <c r="K199">
        <v>19.579999999999998</v>
      </c>
      <c r="L199" s="6">
        <f>('Pizza Sales Calculations'!$J199-'Pizza Sales Calculations'!$C199)*24*60</f>
        <v>2.9499999980907887</v>
      </c>
      <c r="M199">
        <f>COUNTA('Pizza Sales Calculations'!$D199:$F199)</f>
        <v>2</v>
      </c>
      <c r="R199" s="9">
        <f>IF('Pizza Sales Calculations'!$G199=TRUE, Parameters!$B$17*'Pizza Sales Calculations'!$L199*2, 0)</f>
        <v>0</v>
      </c>
      <c r="T199" s="6"/>
      <c r="U199" s="9"/>
    </row>
    <row r="200" spans="1:21" x14ac:dyDescent="0.2">
      <c r="A200">
        <v>199</v>
      </c>
      <c r="B200" s="1">
        <v>42372.466145833336</v>
      </c>
      <c r="C200" s="1">
        <v>42372.476539351854</v>
      </c>
      <c r="D200" t="s">
        <v>35</v>
      </c>
      <c r="G200" t="b">
        <v>1</v>
      </c>
      <c r="H200">
        <v>70805</v>
      </c>
      <c r="I200" s="6">
        <v>3.49292248548733</v>
      </c>
      <c r="J200" s="1">
        <v>42372.488657407404</v>
      </c>
      <c r="K200">
        <v>15.35</v>
      </c>
      <c r="L200" s="6">
        <f>('Pizza Sales Calculations'!$J200-'Pizza Sales Calculations'!$C200)*24*60</f>
        <v>17.449999992968515</v>
      </c>
      <c r="M200">
        <f>COUNTA('Pizza Sales Calculations'!$D200:$F200)</f>
        <v>1</v>
      </c>
      <c r="R200" s="9">
        <f>IF('Pizza Sales Calculations'!$G200=TRUE, Parameters!$B$17*'Pizza Sales Calculations'!$L200*2, 0)</f>
        <v>4.9441666646744125</v>
      </c>
      <c r="T200" s="6"/>
      <c r="U200" s="9"/>
    </row>
    <row r="201" spans="1:21" x14ac:dyDescent="0.2">
      <c r="A201">
        <v>200</v>
      </c>
      <c r="B201" s="1">
        <v>42372.431134259263</v>
      </c>
      <c r="C201" s="1">
        <v>42372.441550925927</v>
      </c>
      <c r="D201" t="s">
        <v>2</v>
      </c>
      <c r="G201" t="b">
        <v>1</v>
      </c>
      <c r="H201">
        <v>70804</v>
      </c>
      <c r="I201" s="6">
        <v>1.78974619257477</v>
      </c>
      <c r="J201" s="1">
        <v>42372.447754629633</v>
      </c>
      <c r="K201">
        <v>11.59</v>
      </c>
      <c r="L201" s="6">
        <f>('Pizza Sales Calculations'!$J201-'Pizza Sales Calculations'!$C201)*24*60</f>
        <v>8.9333333366084844</v>
      </c>
      <c r="M201">
        <f>COUNTA('Pizza Sales Calculations'!$D201:$F201)</f>
        <v>1</v>
      </c>
      <c r="R201" s="9">
        <f>IF('Pizza Sales Calculations'!$G201=TRUE, Parameters!$B$17*'Pizza Sales Calculations'!$L201*2, 0)</f>
        <v>2.5311111120390706</v>
      </c>
      <c r="T201" s="6"/>
      <c r="U201" s="9"/>
    </row>
    <row r="202" spans="1:21" x14ac:dyDescent="0.2">
      <c r="A202">
        <v>201</v>
      </c>
      <c r="B202" s="1">
        <v>42372.473356481481</v>
      </c>
      <c r="C202" s="1">
        <v>42372.483773148146</v>
      </c>
      <c r="D202" t="s">
        <v>1</v>
      </c>
      <c r="E202" t="s">
        <v>35</v>
      </c>
      <c r="G202" t="b">
        <v>1</v>
      </c>
      <c r="H202">
        <v>70805</v>
      </c>
      <c r="I202" s="6">
        <v>4.2959556838002797</v>
      </c>
      <c r="J202" s="1">
        <v>42372.498680555553</v>
      </c>
      <c r="K202">
        <v>23.34</v>
      </c>
      <c r="L202" s="6">
        <f>('Pizza Sales Calculations'!$J202-'Pizza Sales Calculations'!$C202)*24*60</f>
        <v>21.466666666092351</v>
      </c>
      <c r="M202">
        <f>COUNTA('Pizza Sales Calculations'!$D202:$F202)</f>
        <v>2</v>
      </c>
      <c r="R202" s="9">
        <f>IF('Pizza Sales Calculations'!$G202=TRUE, Parameters!$B$17*'Pizza Sales Calculations'!$L202*2, 0)</f>
        <v>6.0822222220594995</v>
      </c>
      <c r="T202" s="6"/>
      <c r="U202" s="9"/>
    </row>
    <row r="203" spans="1:21" x14ac:dyDescent="0.2">
      <c r="A203">
        <v>202</v>
      </c>
      <c r="B203" s="1">
        <v>42372.521550925929</v>
      </c>
      <c r="C203" s="1">
        <v>42372.531944444447</v>
      </c>
      <c r="D203" t="s">
        <v>35</v>
      </c>
      <c r="G203" t="b">
        <v>1</v>
      </c>
      <c r="H203">
        <v>70805</v>
      </c>
      <c r="I203" s="6">
        <v>4.0701279239412402</v>
      </c>
      <c r="J203" s="1">
        <v>42372.546076388891</v>
      </c>
      <c r="K203">
        <v>15.35</v>
      </c>
      <c r="L203" s="6">
        <f>('Pizza Sales Calculations'!$J203-'Pizza Sales Calculations'!$C203)*24*60</f>
        <v>20.350000000325963</v>
      </c>
      <c r="M203">
        <f>COUNTA('Pizza Sales Calculations'!$D203:$F203)</f>
        <v>1</v>
      </c>
      <c r="R203" s="9">
        <f>IF('Pizza Sales Calculations'!$G203=TRUE, Parameters!$B$17*'Pizza Sales Calculations'!$L203*2, 0)</f>
        <v>5.7658333334256895</v>
      </c>
      <c r="T203" s="6"/>
      <c r="U203" s="9"/>
    </row>
    <row r="204" spans="1:21" x14ac:dyDescent="0.2">
      <c r="A204">
        <v>203</v>
      </c>
      <c r="B204" s="1">
        <v>42372.505185185182</v>
      </c>
      <c r="C204" s="1">
        <v>42372.515567129631</v>
      </c>
      <c r="D204" t="s">
        <v>2</v>
      </c>
      <c r="G204" t="b">
        <v>0</v>
      </c>
      <c r="H204">
        <v>70806</v>
      </c>
      <c r="I204" s="6">
        <v>0</v>
      </c>
      <c r="J204" s="1">
        <v>42372.517650462964</v>
      </c>
      <c r="K204">
        <v>11.59</v>
      </c>
      <c r="L204" s="6">
        <f>('Pizza Sales Calculations'!$J204-'Pizza Sales Calculations'!$C204)*24*60</f>
        <v>2.9999999993015081</v>
      </c>
      <c r="M204">
        <f>COUNTA('Pizza Sales Calculations'!$D204:$F204)</f>
        <v>1</v>
      </c>
      <c r="R204" s="9">
        <f>IF('Pizza Sales Calculations'!$G204=TRUE, Parameters!$B$17*'Pizza Sales Calculations'!$L204*2, 0)</f>
        <v>0</v>
      </c>
      <c r="T204" s="6"/>
      <c r="U204" s="9"/>
    </row>
    <row r="205" spans="1:21" x14ac:dyDescent="0.2">
      <c r="A205">
        <v>204</v>
      </c>
      <c r="B205" s="1">
        <v>42372.48101851852</v>
      </c>
      <c r="C205" s="1">
        <v>42372.491435185184</v>
      </c>
      <c r="D205" t="s">
        <v>2</v>
      </c>
      <c r="G205" t="b">
        <v>0</v>
      </c>
      <c r="H205">
        <v>70804</v>
      </c>
      <c r="I205" s="6">
        <v>0</v>
      </c>
      <c r="J205" s="1">
        <v>42372.493518518517</v>
      </c>
      <c r="K205">
        <v>11.59</v>
      </c>
      <c r="L205" s="6">
        <f>('Pizza Sales Calculations'!$J205-'Pizza Sales Calculations'!$C205)*24*60</f>
        <v>2.9999999993015081</v>
      </c>
      <c r="M205">
        <f>COUNTA('Pizza Sales Calculations'!$D205:$F205)</f>
        <v>1</v>
      </c>
      <c r="R205" s="9">
        <f>IF('Pizza Sales Calculations'!$G205=TRUE, Parameters!$B$17*'Pizza Sales Calculations'!$L205*2, 0)</f>
        <v>0</v>
      </c>
      <c r="T205" s="6"/>
      <c r="U205" s="9"/>
    </row>
    <row r="206" spans="1:21" x14ac:dyDescent="0.2">
      <c r="A206">
        <v>205</v>
      </c>
      <c r="B206" s="1">
        <v>42372.510763888888</v>
      </c>
      <c r="C206" s="1">
        <v>42372.521145833336</v>
      </c>
      <c r="D206" t="s">
        <v>2</v>
      </c>
      <c r="G206" t="b">
        <v>1</v>
      </c>
      <c r="H206">
        <v>70807</v>
      </c>
      <c r="I206" s="6">
        <v>3.4983218273421901</v>
      </c>
      <c r="J206" s="1">
        <v>42372.53328703704</v>
      </c>
      <c r="K206">
        <v>11.59</v>
      </c>
      <c r="L206" s="6">
        <f>('Pizza Sales Calculations'!$J206-'Pizza Sales Calculations'!$C206)*24*60</f>
        <v>17.483333334093913</v>
      </c>
      <c r="M206">
        <f>COUNTA('Pizza Sales Calculations'!$D206:$F206)</f>
        <v>1</v>
      </c>
      <c r="R206" s="9">
        <f>IF('Pizza Sales Calculations'!$G206=TRUE, Parameters!$B$17*'Pizza Sales Calculations'!$L206*2, 0)</f>
        <v>4.9536111113266088</v>
      </c>
      <c r="T206" s="6"/>
      <c r="U206" s="9"/>
    </row>
    <row r="207" spans="1:21" x14ac:dyDescent="0.2">
      <c r="A207">
        <v>206</v>
      </c>
      <c r="B207" s="1">
        <v>42372.483449074076</v>
      </c>
      <c r="C207" s="1">
        <v>42372.49386574074</v>
      </c>
      <c r="D207" t="s">
        <v>35</v>
      </c>
      <c r="G207" t="b">
        <v>0</v>
      </c>
      <c r="H207">
        <v>70804</v>
      </c>
      <c r="I207" s="6">
        <v>0</v>
      </c>
      <c r="J207" s="1">
        <v>42372.49596064815</v>
      </c>
      <c r="K207">
        <v>15.35</v>
      </c>
      <c r="L207" s="6">
        <f>('Pizza Sales Calculations'!$J207-'Pizza Sales Calculations'!$C207)*24*60</f>
        <v>3.0166666698642075</v>
      </c>
      <c r="M207">
        <f>COUNTA('Pizza Sales Calculations'!$D207:$F207)</f>
        <v>1</v>
      </c>
      <c r="R207" s="9">
        <f>IF('Pizza Sales Calculations'!$G207=TRUE, Parameters!$B$17*'Pizza Sales Calculations'!$L207*2, 0)</f>
        <v>0</v>
      </c>
      <c r="T207" s="6"/>
      <c r="U207" s="9"/>
    </row>
    <row r="208" spans="1:21" x14ac:dyDescent="0.2">
      <c r="A208">
        <v>207</v>
      </c>
      <c r="B208" s="1">
        <v>42372.61</v>
      </c>
      <c r="C208" s="1">
        <v>42372.620393518519</v>
      </c>
      <c r="D208" t="s">
        <v>35</v>
      </c>
      <c r="G208" t="b">
        <v>1</v>
      </c>
      <c r="H208">
        <v>70806</v>
      </c>
      <c r="I208" s="6">
        <v>3.2828542692476499</v>
      </c>
      <c r="J208" s="1">
        <v>42372.631782407407</v>
      </c>
      <c r="K208">
        <v>15.35</v>
      </c>
      <c r="L208" s="6">
        <f>('Pizza Sales Calculations'!$J208-'Pizza Sales Calculations'!$C208)*24*60</f>
        <v>16.399999998975545</v>
      </c>
      <c r="M208">
        <f>COUNTA('Pizza Sales Calculations'!$D208:$F208)</f>
        <v>1</v>
      </c>
      <c r="R208" s="9">
        <f>IF('Pizza Sales Calculations'!$G208=TRUE, Parameters!$B$17*'Pizza Sales Calculations'!$L208*2, 0)</f>
        <v>4.6466666663764045</v>
      </c>
      <c r="T208" s="6"/>
      <c r="U208" s="9"/>
    </row>
    <row r="209" spans="1:21" x14ac:dyDescent="0.2">
      <c r="A209">
        <v>208</v>
      </c>
      <c r="B209" s="1">
        <v>42372.570914351854</v>
      </c>
      <c r="C209" s="1">
        <v>42372.581319444442</v>
      </c>
      <c r="D209" t="s">
        <v>2</v>
      </c>
      <c r="G209" t="b">
        <v>0</v>
      </c>
      <c r="H209">
        <v>70804</v>
      </c>
      <c r="I209" s="6">
        <v>0</v>
      </c>
      <c r="J209" s="1">
        <v>42372.583391203705</v>
      </c>
      <c r="K209">
        <v>11.59</v>
      </c>
      <c r="L209" s="6">
        <f>('Pizza Sales Calculations'!$J209-'Pizza Sales Calculations'!$C209)*24*60</f>
        <v>2.9833333392161876</v>
      </c>
      <c r="M209">
        <f>COUNTA('Pizza Sales Calculations'!$D209:$F209)</f>
        <v>1</v>
      </c>
      <c r="R209" s="9">
        <f>IF('Pizza Sales Calculations'!$G209=TRUE, Parameters!$B$17*'Pizza Sales Calculations'!$L209*2, 0)</f>
        <v>0</v>
      </c>
      <c r="T209" s="6"/>
      <c r="U209" s="9"/>
    </row>
    <row r="210" spans="1:21" x14ac:dyDescent="0.2">
      <c r="A210">
        <v>209</v>
      </c>
      <c r="B210" s="1">
        <v>42372.466516203705</v>
      </c>
      <c r="C210" s="1">
        <v>42372.476921296293</v>
      </c>
      <c r="D210" t="s">
        <v>2</v>
      </c>
      <c r="G210" t="b">
        <v>1</v>
      </c>
      <c r="H210">
        <v>70803</v>
      </c>
      <c r="I210" s="6">
        <v>1.36633914888448</v>
      </c>
      <c r="J210" s="1">
        <v>42372.48165509259</v>
      </c>
      <c r="K210">
        <v>11.59</v>
      </c>
      <c r="L210" s="6">
        <f>('Pizza Sales Calculations'!$J210-'Pizza Sales Calculations'!$C210)*24*60</f>
        <v>6.8166666675824672</v>
      </c>
      <c r="M210">
        <f>COUNTA('Pizza Sales Calculations'!$D210:$F210)</f>
        <v>1</v>
      </c>
      <c r="R210" s="9">
        <f>IF('Pizza Sales Calculations'!$G210=TRUE, Parameters!$B$17*'Pizza Sales Calculations'!$L210*2, 0)</f>
        <v>1.9313888891483657</v>
      </c>
      <c r="T210" s="6"/>
      <c r="U210" s="9"/>
    </row>
    <row r="211" spans="1:21" x14ac:dyDescent="0.2">
      <c r="A211">
        <v>210</v>
      </c>
      <c r="B211" s="1">
        <v>42372.584479166668</v>
      </c>
      <c r="C211" s="1">
        <v>42372.594907407409</v>
      </c>
      <c r="D211" t="s">
        <v>1</v>
      </c>
      <c r="E211" t="s">
        <v>2</v>
      </c>
      <c r="G211" t="b">
        <v>0</v>
      </c>
      <c r="H211">
        <v>70804</v>
      </c>
      <c r="I211" s="6">
        <v>0</v>
      </c>
      <c r="J211" s="1">
        <v>42372.596979166665</v>
      </c>
      <c r="K211">
        <v>19.579999999999998</v>
      </c>
      <c r="L211" s="6">
        <f>('Pizza Sales Calculations'!$J211-'Pizza Sales Calculations'!$C211)*24*60</f>
        <v>2.9833333287388086</v>
      </c>
      <c r="M211">
        <f>COUNTA('Pizza Sales Calculations'!$D211:$F211)</f>
        <v>2</v>
      </c>
      <c r="R211" s="9">
        <f>IF('Pizza Sales Calculations'!$G211=TRUE, Parameters!$B$17*'Pizza Sales Calculations'!$L211*2, 0)</f>
        <v>0</v>
      </c>
      <c r="T211" s="6"/>
      <c r="U211" s="9"/>
    </row>
    <row r="212" spans="1:21" x14ac:dyDescent="0.2">
      <c r="A212">
        <v>211</v>
      </c>
      <c r="B212" s="1">
        <v>42372.524652777778</v>
      </c>
      <c r="C212" s="1">
        <v>42372.535057870373</v>
      </c>
      <c r="D212" t="s">
        <v>35</v>
      </c>
      <c r="G212" t="b">
        <v>0</v>
      </c>
      <c r="H212">
        <v>70804</v>
      </c>
      <c r="I212" s="6">
        <v>0</v>
      </c>
      <c r="J212" s="1">
        <v>42372.537129629629</v>
      </c>
      <c r="K212">
        <v>15.35</v>
      </c>
      <c r="L212" s="6">
        <f>('Pizza Sales Calculations'!$J212-'Pizza Sales Calculations'!$C212)*24*60</f>
        <v>2.9833333287388086</v>
      </c>
      <c r="M212">
        <f>COUNTA('Pizza Sales Calculations'!$D212:$F212)</f>
        <v>1</v>
      </c>
      <c r="R212" s="9">
        <f>IF('Pizza Sales Calculations'!$G212=TRUE, Parameters!$B$17*'Pizza Sales Calculations'!$L212*2, 0)</f>
        <v>0</v>
      </c>
      <c r="T212" s="6"/>
      <c r="U212" s="9"/>
    </row>
    <row r="213" spans="1:21" x14ac:dyDescent="0.2">
      <c r="A213">
        <v>212</v>
      </c>
      <c r="B213" s="1">
        <v>42372.438125000001</v>
      </c>
      <c r="C213" s="1">
        <v>42372.448541666665</v>
      </c>
      <c r="D213" t="s">
        <v>2</v>
      </c>
      <c r="G213" t="b">
        <v>0</v>
      </c>
      <c r="H213">
        <v>70806</v>
      </c>
      <c r="I213" s="6">
        <v>0</v>
      </c>
      <c r="J213" s="1">
        <v>42372.450624999998</v>
      </c>
      <c r="K213">
        <v>11.59</v>
      </c>
      <c r="L213" s="6">
        <f>('Pizza Sales Calculations'!$J213-'Pizza Sales Calculations'!$C213)*24*60</f>
        <v>2.9999999993015081</v>
      </c>
      <c r="M213">
        <f>COUNTA('Pizza Sales Calculations'!$D213:$F213)</f>
        <v>1</v>
      </c>
      <c r="R213" s="9">
        <f>IF('Pizza Sales Calculations'!$G213=TRUE, Parameters!$B$17*'Pizza Sales Calculations'!$L213*2, 0)</f>
        <v>0</v>
      </c>
      <c r="T213" s="6"/>
      <c r="U213" s="9"/>
    </row>
    <row r="214" spans="1:21" x14ac:dyDescent="0.2">
      <c r="A214">
        <v>213</v>
      </c>
      <c r="B214" s="1">
        <v>42372.489953703705</v>
      </c>
      <c r="C214" s="1">
        <v>42372.500347222223</v>
      </c>
      <c r="D214" t="s">
        <v>2</v>
      </c>
      <c r="G214" t="b">
        <v>1</v>
      </c>
      <c r="H214">
        <v>70806</v>
      </c>
      <c r="I214" s="6">
        <v>4.0737244294907997</v>
      </c>
      <c r="J214" s="1">
        <v>42372.514490740738</v>
      </c>
      <c r="K214">
        <v>11.59</v>
      </c>
      <c r="L214" s="6">
        <f>('Pizza Sales Calculations'!$J214-'Pizza Sales Calculations'!$C214)*24*60</f>
        <v>20.366666660411283</v>
      </c>
      <c r="M214">
        <f>COUNTA('Pizza Sales Calculations'!$D214:$F214)</f>
        <v>1</v>
      </c>
      <c r="R214" s="9">
        <f>IF('Pizza Sales Calculations'!$G214=TRUE, Parameters!$B$17*'Pizza Sales Calculations'!$L214*2, 0)</f>
        <v>5.770555553783197</v>
      </c>
      <c r="T214" s="6"/>
      <c r="U214" s="9"/>
    </row>
    <row r="215" spans="1:21" x14ac:dyDescent="0.2">
      <c r="A215">
        <v>214</v>
      </c>
      <c r="B215" s="1">
        <v>42372.474074074074</v>
      </c>
      <c r="C215" s="1">
        <v>42372.484490740739</v>
      </c>
      <c r="D215" t="s">
        <v>2</v>
      </c>
      <c r="G215" t="b">
        <v>1</v>
      </c>
      <c r="H215">
        <v>70804</v>
      </c>
      <c r="I215" s="6">
        <v>1.44769103738752</v>
      </c>
      <c r="J215" s="1">
        <v>42372.48951388889</v>
      </c>
      <c r="K215">
        <v>11.59</v>
      </c>
      <c r="L215" s="6">
        <f>('Pizza Sales Calculations'!$J215-'Pizza Sales Calculations'!$C215)*24*60</f>
        <v>7.2333333373535424</v>
      </c>
      <c r="M215">
        <f>COUNTA('Pizza Sales Calculations'!$D215:$F215)</f>
        <v>1</v>
      </c>
      <c r="R215" s="9">
        <f>IF('Pizza Sales Calculations'!$G215=TRUE, Parameters!$B$17*'Pizza Sales Calculations'!$L215*2, 0)</f>
        <v>2.0494444455835037</v>
      </c>
      <c r="T215" s="6"/>
      <c r="U215" s="9"/>
    </row>
    <row r="216" spans="1:21" x14ac:dyDescent="0.2">
      <c r="A216">
        <v>215</v>
      </c>
      <c r="B216" s="1">
        <v>42372.496932870374</v>
      </c>
      <c r="C216" s="1">
        <v>42372.507349537038</v>
      </c>
      <c r="D216" t="s">
        <v>1</v>
      </c>
      <c r="E216" t="s">
        <v>35</v>
      </c>
      <c r="G216" t="b">
        <v>1</v>
      </c>
      <c r="H216">
        <v>70806</v>
      </c>
      <c r="I216" s="6">
        <v>2.3128568107222902</v>
      </c>
      <c r="J216" s="1">
        <v>42372.515370370369</v>
      </c>
      <c r="K216">
        <v>23.34</v>
      </c>
      <c r="L216" s="6">
        <f>('Pizza Sales Calculations'!$J216-'Pizza Sales Calculations'!$C216)*24*60</f>
        <v>11.549999996786937</v>
      </c>
      <c r="M216">
        <f>COUNTA('Pizza Sales Calculations'!$D216:$F216)</f>
        <v>2</v>
      </c>
      <c r="R216" s="9">
        <f>IF('Pizza Sales Calculations'!$G216=TRUE, Parameters!$B$17*'Pizza Sales Calculations'!$L216*2, 0)</f>
        <v>3.2724999990896322</v>
      </c>
      <c r="T216" s="6"/>
      <c r="U216" s="9"/>
    </row>
    <row r="217" spans="1:21" x14ac:dyDescent="0.2">
      <c r="A217">
        <v>216</v>
      </c>
      <c r="B217" s="1">
        <v>42372.53162037037</v>
      </c>
      <c r="C217" s="1">
        <v>42372.542025462964</v>
      </c>
      <c r="D217" t="s">
        <v>1</v>
      </c>
      <c r="G217" t="b">
        <v>0</v>
      </c>
      <c r="H217">
        <v>70805</v>
      </c>
      <c r="I217" s="6">
        <v>0</v>
      </c>
      <c r="J217" s="1">
        <v>42372.54409722222</v>
      </c>
      <c r="K217">
        <v>7.99</v>
      </c>
      <c r="L217" s="6">
        <f>('Pizza Sales Calculations'!$J217-'Pizza Sales Calculations'!$C217)*24*60</f>
        <v>2.9833333287388086</v>
      </c>
      <c r="M217">
        <f>COUNTA('Pizza Sales Calculations'!$D217:$F217)</f>
        <v>1</v>
      </c>
      <c r="R217" s="9">
        <f>IF('Pizza Sales Calculations'!$G217=TRUE, Parameters!$B$17*'Pizza Sales Calculations'!$L217*2, 0)</f>
        <v>0</v>
      </c>
      <c r="T217" s="6"/>
      <c r="U217" s="9"/>
    </row>
    <row r="218" spans="1:21" x14ac:dyDescent="0.2">
      <c r="A218">
        <v>217</v>
      </c>
      <c r="B218" s="1">
        <v>42372.538599537038</v>
      </c>
      <c r="C218" s="1">
        <v>42372.549016203702</v>
      </c>
      <c r="D218" t="s">
        <v>1</v>
      </c>
      <c r="G218" t="b">
        <v>1</v>
      </c>
      <c r="H218">
        <v>70803</v>
      </c>
      <c r="I218" s="6">
        <v>1.8020208227471499</v>
      </c>
      <c r="J218" s="1">
        <v>42372.555266203701</v>
      </c>
      <c r="K218">
        <v>7.99</v>
      </c>
      <c r="L218" s="6">
        <f>('Pizza Sales Calculations'!$J218-'Pizza Sales Calculations'!$C218)*24*60</f>
        <v>8.9999999979045242</v>
      </c>
      <c r="M218">
        <f>COUNTA('Pizza Sales Calculations'!$D218:$F218)</f>
        <v>1</v>
      </c>
      <c r="R218" s="9">
        <f>IF('Pizza Sales Calculations'!$G218=TRUE, Parameters!$B$17*'Pizza Sales Calculations'!$L218*2, 0)</f>
        <v>2.5499999994062819</v>
      </c>
      <c r="T218" s="6"/>
      <c r="U218" s="9"/>
    </row>
    <row r="219" spans="1:21" x14ac:dyDescent="0.2">
      <c r="A219">
        <v>218</v>
      </c>
      <c r="B219" s="1">
        <v>42372.430011574077</v>
      </c>
      <c r="C219" s="1">
        <v>42372.440428240741</v>
      </c>
      <c r="D219" t="s">
        <v>35</v>
      </c>
      <c r="G219" t="b">
        <v>1</v>
      </c>
      <c r="H219">
        <v>70806</v>
      </c>
      <c r="I219" s="6">
        <v>2.6686270568199801</v>
      </c>
      <c r="J219" s="1">
        <v>42372.449687499997</v>
      </c>
      <c r="K219">
        <v>15.35</v>
      </c>
      <c r="L219" s="6">
        <f>('Pizza Sales Calculations'!$J219-'Pizza Sales Calculations'!$C219)*24*60</f>
        <v>13.333333327900618</v>
      </c>
      <c r="M219">
        <f>COUNTA('Pizza Sales Calculations'!$D219:$F219)</f>
        <v>1</v>
      </c>
      <c r="R219" s="9">
        <f>IF('Pizza Sales Calculations'!$G219=TRUE, Parameters!$B$17*'Pizza Sales Calculations'!$L219*2, 0)</f>
        <v>3.7777777762385085</v>
      </c>
      <c r="T219" s="6"/>
      <c r="U219" s="9"/>
    </row>
    <row r="220" spans="1:21" x14ac:dyDescent="0.2">
      <c r="A220">
        <v>219</v>
      </c>
      <c r="B220" s="1">
        <v>42372.460277777776</v>
      </c>
      <c r="C220" s="1">
        <v>42372.470682870371</v>
      </c>
      <c r="D220" t="s">
        <v>1</v>
      </c>
      <c r="G220" t="b">
        <v>0</v>
      </c>
      <c r="H220">
        <v>70808</v>
      </c>
      <c r="I220" s="6">
        <v>0</v>
      </c>
      <c r="J220" s="1">
        <v>42372.472754629627</v>
      </c>
      <c r="K220">
        <v>7.99</v>
      </c>
      <c r="L220" s="6">
        <f>('Pizza Sales Calculations'!$J220-'Pizza Sales Calculations'!$C220)*24*60</f>
        <v>2.9833333287388086</v>
      </c>
      <c r="M220">
        <f>COUNTA('Pizza Sales Calculations'!$D220:$F220)</f>
        <v>1</v>
      </c>
      <c r="R220" s="9">
        <f>IF('Pizza Sales Calculations'!$G220=TRUE, Parameters!$B$17*'Pizza Sales Calculations'!$L220*2, 0)</f>
        <v>0</v>
      </c>
      <c r="T220" s="6"/>
      <c r="U220" s="9"/>
    </row>
    <row r="221" spans="1:21" x14ac:dyDescent="0.2">
      <c r="A221">
        <v>220</v>
      </c>
      <c r="B221" s="1">
        <v>42372.468553240738</v>
      </c>
      <c r="C221" s="1">
        <v>42372.478958333333</v>
      </c>
      <c r="D221" t="s">
        <v>2</v>
      </c>
      <c r="G221" t="b">
        <v>1</v>
      </c>
      <c r="H221">
        <v>70805</v>
      </c>
      <c r="I221" s="6">
        <v>1.99778204238294</v>
      </c>
      <c r="J221" s="1">
        <v>42372.485891203702</v>
      </c>
      <c r="K221">
        <v>11.59</v>
      </c>
      <c r="L221" s="6">
        <f>('Pizza Sales Calculations'!$J221-'Pizza Sales Calculations'!$C221)*24*60</f>
        <v>9.9833333306014538</v>
      </c>
      <c r="M221">
        <f>COUNTA('Pizza Sales Calculations'!$D221:$F221)</f>
        <v>1</v>
      </c>
      <c r="R221" s="9">
        <f>IF('Pizza Sales Calculations'!$G221=TRUE, Parameters!$B$17*'Pizza Sales Calculations'!$L221*2, 0)</f>
        <v>2.8286111103370786</v>
      </c>
      <c r="T221" s="6"/>
      <c r="U221" s="9"/>
    </row>
    <row r="222" spans="1:21" x14ac:dyDescent="0.2">
      <c r="A222">
        <v>221</v>
      </c>
      <c r="B222" s="1">
        <v>42372.560370370367</v>
      </c>
      <c r="C222" s="1">
        <v>42372.570775462962</v>
      </c>
      <c r="D222" t="s">
        <v>1</v>
      </c>
      <c r="E222" t="s">
        <v>2</v>
      </c>
      <c r="G222" t="b">
        <v>0</v>
      </c>
      <c r="H222">
        <v>70803</v>
      </c>
      <c r="I222" s="6">
        <v>0</v>
      </c>
      <c r="J222" s="1">
        <v>42372.572881944441</v>
      </c>
      <c r="K222">
        <v>19.579999999999998</v>
      </c>
      <c r="L222" s="6">
        <f>('Pizza Sales Calculations'!$J222-'Pizza Sales Calculations'!$C222)*24*60</f>
        <v>3.033333329949528</v>
      </c>
      <c r="M222">
        <f>COUNTA('Pizza Sales Calculations'!$D222:$F222)</f>
        <v>2</v>
      </c>
      <c r="R222" s="9">
        <f>IF('Pizza Sales Calculations'!$G222=TRUE, Parameters!$B$17*'Pizza Sales Calculations'!$L222*2, 0)</f>
        <v>0</v>
      </c>
      <c r="T222" s="6"/>
      <c r="U222" s="9"/>
    </row>
    <row r="223" spans="1:21" x14ac:dyDescent="0.2">
      <c r="A223">
        <v>222</v>
      </c>
      <c r="B223" s="1">
        <v>42372.478078703702</v>
      </c>
      <c r="C223" s="1">
        <v>42372.488483796296</v>
      </c>
      <c r="D223" t="s">
        <v>35</v>
      </c>
      <c r="G223" t="b">
        <v>0</v>
      </c>
      <c r="H223">
        <v>70805</v>
      </c>
      <c r="I223" s="6">
        <v>0</v>
      </c>
      <c r="J223" s="1">
        <v>42372.490543981483</v>
      </c>
      <c r="K223">
        <v>15.35</v>
      </c>
      <c r="L223" s="6">
        <f>('Pizza Sales Calculations'!$J223-'Pizza Sales Calculations'!$C223)*24*60</f>
        <v>2.9666666686534882</v>
      </c>
      <c r="M223">
        <f>COUNTA('Pizza Sales Calculations'!$D223:$F223)</f>
        <v>1</v>
      </c>
      <c r="R223" s="9">
        <f>IF('Pizza Sales Calculations'!$G223=TRUE, Parameters!$B$17*'Pizza Sales Calculations'!$L223*2, 0)</f>
        <v>0</v>
      </c>
      <c r="T223" s="6"/>
      <c r="U223" s="9"/>
    </row>
    <row r="224" spans="1:21" x14ac:dyDescent="0.2">
      <c r="A224">
        <v>223</v>
      </c>
      <c r="B224" s="1">
        <v>42372.540416666663</v>
      </c>
      <c r="C224" s="1">
        <v>42372.550833333335</v>
      </c>
      <c r="D224" t="s">
        <v>2</v>
      </c>
      <c r="G224" t="b">
        <v>0</v>
      </c>
      <c r="H224">
        <v>70805</v>
      </c>
      <c r="I224" s="6">
        <v>0</v>
      </c>
      <c r="J224" s="1">
        <v>42372.552928240744</v>
      </c>
      <c r="K224">
        <v>11.59</v>
      </c>
      <c r="L224" s="6">
        <f>('Pizza Sales Calculations'!$J224-'Pizza Sales Calculations'!$C224)*24*60</f>
        <v>3.0166666698642075</v>
      </c>
      <c r="M224">
        <f>COUNTA('Pizza Sales Calculations'!$D224:$F224)</f>
        <v>1</v>
      </c>
      <c r="R224" s="9">
        <f>IF('Pizza Sales Calculations'!$G224=TRUE, Parameters!$B$17*'Pizza Sales Calculations'!$L224*2, 0)</f>
        <v>0</v>
      </c>
      <c r="T224" s="6"/>
      <c r="U224" s="9"/>
    </row>
    <row r="225" spans="1:21" x14ac:dyDescent="0.2">
      <c r="A225">
        <v>224</v>
      </c>
      <c r="B225" s="1">
        <v>42372.506782407407</v>
      </c>
      <c r="C225" s="1">
        <v>42372.517187500001</v>
      </c>
      <c r="D225" t="s">
        <v>1</v>
      </c>
      <c r="E225" t="s">
        <v>2</v>
      </c>
      <c r="G225" t="b">
        <v>0</v>
      </c>
      <c r="H225">
        <v>70803</v>
      </c>
      <c r="I225" s="6">
        <v>0</v>
      </c>
      <c r="J225" s="1">
        <v>42372.519282407404</v>
      </c>
      <c r="K225">
        <v>19.579999999999998</v>
      </c>
      <c r="L225" s="6">
        <f>('Pizza Sales Calculations'!$J225-'Pizza Sales Calculations'!$C225)*24*60</f>
        <v>3.0166666593868285</v>
      </c>
      <c r="M225">
        <f>COUNTA('Pizza Sales Calculations'!$D225:$F225)</f>
        <v>2</v>
      </c>
      <c r="R225" s="9">
        <f>IF('Pizza Sales Calculations'!$G225=TRUE, Parameters!$B$17*'Pizza Sales Calculations'!$L225*2, 0)</f>
        <v>0</v>
      </c>
      <c r="T225" s="6"/>
      <c r="U225" s="9"/>
    </row>
    <row r="226" spans="1:21" x14ac:dyDescent="0.2">
      <c r="A226">
        <v>225</v>
      </c>
      <c r="B226" s="1">
        <v>42372.487766203703</v>
      </c>
      <c r="C226" s="1">
        <v>42372.498194444444</v>
      </c>
      <c r="D226" t="s">
        <v>1</v>
      </c>
      <c r="E226" t="s">
        <v>2</v>
      </c>
      <c r="G226" t="b">
        <v>0</v>
      </c>
      <c r="H226">
        <v>70804</v>
      </c>
      <c r="I226" s="6">
        <v>0</v>
      </c>
      <c r="J226" s="1">
        <v>42372.5002662037</v>
      </c>
      <c r="K226">
        <v>19.579999999999998</v>
      </c>
      <c r="L226" s="6">
        <f>('Pizza Sales Calculations'!$J226-'Pizza Sales Calculations'!$C226)*24*60</f>
        <v>2.9833333287388086</v>
      </c>
      <c r="M226">
        <f>COUNTA('Pizza Sales Calculations'!$D226:$F226)</f>
        <v>2</v>
      </c>
      <c r="R226" s="9">
        <f>IF('Pizza Sales Calculations'!$G226=TRUE, Parameters!$B$17*'Pizza Sales Calculations'!$L226*2, 0)</f>
        <v>0</v>
      </c>
      <c r="T226" s="6"/>
      <c r="U226" s="9"/>
    </row>
    <row r="227" spans="1:21" x14ac:dyDescent="0.2">
      <c r="A227">
        <v>226</v>
      </c>
      <c r="B227" s="1">
        <v>42372.57739583333</v>
      </c>
      <c r="C227" s="1">
        <v>42372.587800925925</v>
      </c>
      <c r="D227" t="s">
        <v>1</v>
      </c>
      <c r="E227" t="s">
        <v>35</v>
      </c>
      <c r="G227" t="b">
        <v>0</v>
      </c>
      <c r="H227">
        <v>70804</v>
      </c>
      <c r="I227" s="6">
        <v>0</v>
      </c>
      <c r="J227" s="1">
        <v>42372.589872685188</v>
      </c>
      <c r="K227">
        <v>23.34</v>
      </c>
      <c r="L227" s="6">
        <f>('Pizza Sales Calculations'!$J227-'Pizza Sales Calculations'!$C227)*24*60</f>
        <v>2.9833333392161876</v>
      </c>
      <c r="M227">
        <f>COUNTA('Pizza Sales Calculations'!$D227:$F227)</f>
        <v>2</v>
      </c>
      <c r="R227" s="9">
        <f>IF('Pizza Sales Calculations'!$G227=TRUE, Parameters!$B$17*'Pizza Sales Calculations'!$L227*2, 0)</f>
        <v>0</v>
      </c>
      <c r="T227" s="6"/>
      <c r="U227" s="9"/>
    </row>
    <row r="228" spans="1:21" x14ac:dyDescent="0.2">
      <c r="A228">
        <v>227</v>
      </c>
      <c r="B228" s="1">
        <v>42372.477453703701</v>
      </c>
      <c r="C228" s="1">
        <v>42372.487881944442</v>
      </c>
      <c r="D228" t="s">
        <v>35</v>
      </c>
      <c r="G228" t="b">
        <v>1</v>
      </c>
      <c r="H228">
        <v>70804</v>
      </c>
      <c r="I228" s="6">
        <v>4.16086196491539</v>
      </c>
      <c r="J228" s="1">
        <v>42372.502326388887</v>
      </c>
      <c r="K228">
        <v>15.35</v>
      </c>
      <c r="L228" s="6">
        <f>('Pizza Sales Calculations'!$J228-'Pizza Sales Calculations'!$C228)*24*60</f>
        <v>20.800000000745058</v>
      </c>
      <c r="M228">
        <f>COUNTA('Pizza Sales Calculations'!$D228:$F228)</f>
        <v>1</v>
      </c>
      <c r="R228" s="9">
        <f>IF('Pizza Sales Calculations'!$G228=TRUE, Parameters!$B$17*'Pizza Sales Calculations'!$L228*2, 0)</f>
        <v>5.8933333335444331</v>
      </c>
      <c r="T228" s="6"/>
      <c r="U228" s="9"/>
    </row>
    <row r="229" spans="1:21" x14ac:dyDescent="0.2">
      <c r="A229">
        <v>228</v>
      </c>
      <c r="B229" s="1">
        <v>42372.496076388888</v>
      </c>
      <c r="C229" s="1">
        <v>42372.506481481483</v>
      </c>
      <c r="D229" t="s">
        <v>1</v>
      </c>
      <c r="G229" t="b">
        <v>1</v>
      </c>
      <c r="H229">
        <v>70806</v>
      </c>
      <c r="I229" s="6">
        <v>3.7588445858231698</v>
      </c>
      <c r="J229" s="1">
        <v>42372.519525462965</v>
      </c>
      <c r="K229">
        <v>7.99</v>
      </c>
      <c r="L229" s="6">
        <f>('Pizza Sales Calculations'!$J229-'Pizza Sales Calculations'!$C229)*24*60</f>
        <v>18.78333333414048</v>
      </c>
      <c r="M229">
        <f>COUNTA('Pizza Sales Calculations'!$D229:$F229)</f>
        <v>1</v>
      </c>
      <c r="R229" s="9">
        <f>IF('Pizza Sales Calculations'!$G229=TRUE, Parameters!$B$17*'Pizza Sales Calculations'!$L229*2, 0)</f>
        <v>5.3219444446731359</v>
      </c>
      <c r="T229" s="6"/>
      <c r="U229" s="9"/>
    </row>
    <row r="230" spans="1:21" x14ac:dyDescent="0.2">
      <c r="A230">
        <v>229</v>
      </c>
      <c r="B230" s="1">
        <v>42372.472939814812</v>
      </c>
      <c r="C230" s="1">
        <v>42372.483368055553</v>
      </c>
      <c r="D230" t="s">
        <v>2</v>
      </c>
      <c r="G230" t="b">
        <v>1</v>
      </c>
      <c r="H230">
        <v>70806</v>
      </c>
      <c r="I230" s="6">
        <v>2.50423299730654</v>
      </c>
      <c r="J230" s="1">
        <v>42372.492060185185</v>
      </c>
      <c r="K230">
        <v>11.59</v>
      </c>
      <c r="L230" s="6">
        <f>('Pizza Sales Calculations'!$J230-'Pizza Sales Calculations'!$C230)*24*60</f>
        <v>12.516666669398546</v>
      </c>
      <c r="M230">
        <f>COUNTA('Pizza Sales Calculations'!$D230:$F230)</f>
        <v>1</v>
      </c>
      <c r="R230" s="9">
        <f>IF('Pizza Sales Calculations'!$G230=TRUE, Parameters!$B$17*'Pizza Sales Calculations'!$L230*2, 0)</f>
        <v>3.5463888896629214</v>
      </c>
      <c r="T230" s="6"/>
      <c r="U230" s="9"/>
    </row>
    <row r="231" spans="1:21" x14ac:dyDescent="0.2">
      <c r="A231">
        <v>230</v>
      </c>
      <c r="B231" s="1">
        <v>42372.525949074072</v>
      </c>
      <c r="C231" s="1">
        <v>42372.536354166667</v>
      </c>
      <c r="D231" t="s">
        <v>1</v>
      </c>
      <c r="E231" t="s">
        <v>2</v>
      </c>
      <c r="G231" t="b">
        <v>1</v>
      </c>
      <c r="H231">
        <v>70806</v>
      </c>
      <c r="I231" s="6">
        <v>2.5304107657121002</v>
      </c>
      <c r="J231" s="1">
        <v>42372.545138888891</v>
      </c>
      <c r="K231">
        <v>19.579999999999998</v>
      </c>
      <c r="L231" s="6">
        <f>('Pizza Sales Calculations'!$J231-'Pizza Sales Calculations'!$C231)*24*60</f>
        <v>12.650000002468005</v>
      </c>
      <c r="M231">
        <f>COUNTA('Pizza Sales Calculations'!$D231:$F231)</f>
        <v>2</v>
      </c>
      <c r="R231" s="9">
        <f>IF('Pizza Sales Calculations'!$G231=TRUE, Parameters!$B$17*'Pizza Sales Calculations'!$L231*2, 0)</f>
        <v>3.5841666673659347</v>
      </c>
      <c r="T231" s="6"/>
      <c r="U231" s="9"/>
    </row>
    <row r="232" spans="1:21" x14ac:dyDescent="0.2">
      <c r="A232">
        <v>231</v>
      </c>
      <c r="B232" s="1">
        <v>42372.560393518521</v>
      </c>
      <c r="C232" s="1">
        <v>42372.570821759262</v>
      </c>
      <c r="D232" t="s">
        <v>1</v>
      </c>
      <c r="E232" t="s">
        <v>2</v>
      </c>
      <c r="G232" t="b">
        <v>0</v>
      </c>
      <c r="H232">
        <v>70806</v>
      </c>
      <c r="I232" s="6">
        <v>0</v>
      </c>
      <c r="J232" s="1">
        <v>42372.572893518518</v>
      </c>
      <c r="K232">
        <v>19.579999999999998</v>
      </c>
      <c r="L232" s="6">
        <f>('Pizza Sales Calculations'!$J232-'Pizza Sales Calculations'!$C232)*24*60</f>
        <v>2.9833333287388086</v>
      </c>
      <c r="M232">
        <f>COUNTA('Pizza Sales Calculations'!$D232:$F232)</f>
        <v>2</v>
      </c>
      <c r="R232" s="9">
        <f>IF('Pizza Sales Calculations'!$G232=TRUE, Parameters!$B$17*'Pizza Sales Calculations'!$L232*2, 0)</f>
        <v>0</v>
      </c>
      <c r="T232" s="6"/>
      <c r="U232" s="9"/>
    </row>
    <row r="233" spans="1:21" x14ac:dyDescent="0.2">
      <c r="A233">
        <v>232</v>
      </c>
      <c r="B233" s="1">
        <v>42372.532800925925</v>
      </c>
      <c r="C233" s="1">
        <v>42372.543194444443</v>
      </c>
      <c r="D233" t="s">
        <v>1</v>
      </c>
      <c r="E233" t="s">
        <v>2</v>
      </c>
      <c r="G233" t="b">
        <v>0</v>
      </c>
      <c r="H233">
        <v>70806</v>
      </c>
      <c r="I233" s="6">
        <v>0</v>
      </c>
      <c r="J233" s="1">
        <v>42372.545289351852</v>
      </c>
      <c r="K233">
        <v>19.579999999999998</v>
      </c>
      <c r="L233" s="6">
        <f>('Pizza Sales Calculations'!$J233-'Pizza Sales Calculations'!$C233)*24*60</f>
        <v>3.0166666698642075</v>
      </c>
      <c r="M233">
        <f>COUNTA('Pizza Sales Calculations'!$D233:$F233)</f>
        <v>2</v>
      </c>
      <c r="R233" s="9">
        <f>IF('Pizza Sales Calculations'!$G233=TRUE, Parameters!$B$17*'Pizza Sales Calculations'!$L233*2, 0)</f>
        <v>0</v>
      </c>
      <c r="T233" s="6"/>
      <c r="U233" s="9"/>
    </row>
    <row r="234" spans="1:21" x14ac:dyDescent="0.2">
      <c r="A234">
        <v>233</v>
      </c>
      <c r="B234" s="1">
        <v>42372.424861111111</v>
      </c>
      <c r="C234" s="1">
        <v>42372.435277777775</v>
      </c>
      <c r="D234" t="s">
        <v>35</v>
      </c>
      <c r="G234" t="b">
        <v>0</v>
      </c>
      <c r="H234">
        <v>70805</v>
      </c>
      <c r="I234" s="6">
        <v>0</v>
      </c>
      <c r="J234" s="1">
        <v>42372.437361111108</v>
      </c>
      <c r="K234">
        <v>15.35</v>
      </c>
      <c r="L234" s="6">
        <f>('Pizza Sales Calculations'!$J234-'Pizza Sales Calculations'!$C234)*24*60</f>
        <v>2.9999999993015081</v>
      </c>
      <c r="M234">
        <f>COUNTA('Pizza Sales Calculations'!$D234:$F234)</f>
        <v>1</v>
      </c>
      <c r="R234" s="9">
        <f>IF('Pizza Sales Calculations'!$G234=TRUE, Parameters!$B$17*'Pizza Sales Calculations'!$L234*2, 0)</f>
        <v>0</v>
      </c>
      <c r="T234" s="6"/>
      <c r="U234" s="9"/>
    </row>
    <row r="235" spans="1:21" x14ac:dyDescent="0.2">
      <c r="A235">
        <v>234</v>
      </c>
      <c r="B235" s="1">
        <v>42372.455821759257</v>
      </c>
      <c r="C235" s="1">
        <v>42372.466215277775</v>
      </c>
      <c r="D235" t="s">
        <v>1</v>
      </c>
      <c r="G235" t="b">
        <v>1</v>
      </c>
      <c r="H235">
        <v>70807</v>
      </c>
      <c r="I235" s="6">
        <v>3.10532141542582</v>
      </c>
      <c r="J235" s="1">
        <v>42372.476990740739</v>
      </c>
      <c r="K235">
        <v>7.99</v>
      </c>
      <c r="L235" s="6">
        <f>('Pizza Sales Calculations'!$J235-'Pizza Sales Calculations'!$C235)*24*60</f>
        <v>15.516666668700054</v>
      </c>
      <c r="M235">
        <f>COUNTA('Pizza Sales Calculations'!$D235:$F235)</f>
        <v>1</v>
      </c>
      <c r="R235" s="9">
        <f>IF('Pizza Sales Calculations'!$G235=TRUE, Parameters!$B$17*'Pizza Sales Calculations'!$L235*2, 0)</f>
        <v>4.3963888894650154</v>
      </c>
      <c r="T235" s="6"/>
      <c r="U235" s="9"/>
    </row>
    <row r="236" spans="1:21" x14ac:dyDescent="0.2">
      <c r="A236">
        <v>235</v>
      </c>
      <c r="B236" s="1">
        <v>42372.434386574074</v>
      </c>
      <c r="C236" s="1">
        <v>42372.444814814815</v>
      </c>
      <c r="D236" t="s">
        <v>35</v>
      </c>
      <c r="G236" t="b">
        <v>1</v>
      </c>
      <c r="H236">
        <v>70804</v>
      </c>
      <c r="I236" s="6">
        <v>2.0311139987832401</v>
      </c>
      <c r="J236" s="1">
        <v>42372.451863425929</v>
      </c>
      <c r="K236">
        <v>15.35</v>
      </c>
      <c r="L236" s="6">
        <f>('Pizza Sales Calculations'!$J236-'Pizza Sales Calculations'!$C236)*24*60</f>
        <v>10.150000004796311</v>
      </c>
      <c r="M236">
        <f>COUNTA('Pizza Sales Calculations'!$D236:$F236)</f>
        <v>1</v>
      </c>
      <c r="R236" s="9">
        <f>IF('Pizza Sales Calculations'!$G236=TRUE, Parameters!$B$17*'Pizza Sales Calculations'!$L236*2, 0)</f>
        <v>2.8758333346922882</v>
      </c>
      <c r="T236" s="6"/>
      <c r="U236" s="9"/>
    </row>
    <row r="237" spans="1:21" x14ac:dyDescent="0.2">
      <c r="A237">
        <v>236</v>
      </c>
      <c r="B237" s="1">
        <v>42372.52621527778</v>
      </c>
      <c r="C237" s="1">
        <v>42372.536643518521</v>
      </c>
      <c r="D237" t="s">
        <v>1</v>
      </c>
      <c r="E237" t="s">
        <v>2</v>
      </c>
      <c r="G237" t="b">
        <v>0</v>
      </c>
      <c r="H237">
        <v>70805</v>
      </c>
      <c r="I237" s="6">
        <v>0</v>
      </c>
      <c r="J237" s="1">
        <v>42372.538715277777</v>
      </c>
      <c r="K237">
        <v>19.579999999999998</v>
      </c>
      <c r="L237" s="6">
        <f>('Pizza Sales Calculations'!$J237-'Pizza Sales Calculations'!$C237)*24*60</f>
        <v>2.9833333287388086</v>
      </c>
      <c r="M237">
        <f>COUNTA('Pizza Sales Calculations'!$D237:$F237)</f>
        <v>2</v>
      </c>
      <c r="R237" s="9">
        <f>IF('Pizza Sales Calculations'!$G237=TRUE, Parameters!$B$17*'Pizza Sales Calculations'!$L237*2, 0)</f>
        <v>0</v>
      </c>
      <c r="T237" s="6"/>
      <c r="U237" s="9"/>
    </row>
    <row r="238" spans="1:21" x14ac:dyDescent="0.2">
      <c r="A238">
        <v>237</v>
      </c>
      <c r="B238" s="1">
        <v>42373.478032407409</v>
      </c>
      <c r="C238" s="1">
        <v>42373.488449074073</v>
      </c>
      <c r="D238" t="s">
        <v>35</v>
      </c>
      <c r="G238" t="b">
        <v>0</v>
      </c>
      <c r="H238">
        <v>70804</v>
      </c>
      <c r="I238" s="6">
        <v>0</v>
      </c>
      <c r="J238" s="1">
        <v>42373.49050925926</v>
      </c>
      <c r="K238">
        <v>15.35</v>
      </c>
      <c r="L238" s="6">
        <f>('Pizza Sales Calculations'!$J238-'Pizza Sales Calculations'!$C238)*24*60</f>
        <v>2.9666666686534882</v>
      </c>
      <c r="M238">
        <f>COUNTA('Pizza Sales Calculations'!$D238:$F238)</f>
        <v>1</v>
      </c>
      <c r="R238" s="9">
        <f>IF('Pizza Sales Calculations'!$G238=TRUE, Parameters!$B$17*'Pizza Sales Calculations'!$L238*2, 0)</f>
        <v>0</v>
      </c>
      <c r="T238" s="6"/>
      <c r="U238" s="9"/>
    </row>
    <row r="239" spans="1:21" x14ac:dyDescent="0.2">
      <c r="A239">
        <v>238</v>
      </c>
      <c r="B239" s="1">
        <v>42373.490057870367</v>
      </c>
      <c r="C239" s="1">
        <v>42373.500474537039</v>
      </c>
      <c r="D239" t="s">
        <v>1</v>
      </c>
      <c r="E239" t="s">
        <v>2</v>
      </c>
      <c r="F239" t="s">
        <v>35</v>
      </c>
      <c r="G239" t="b">
        <v>0</v>
      </c>
      <c r="H239">
        <v>70804</v>
      </c>
      <c r="I239" s="6">
        <v>0</v>
      </c>
      <c r="J239" s="1">
        <v>42373.502546296295</v>
      </c>
      <c r="K239">
        <v>33.93</v>
      </c>
      <c r="L239" s="6">
        <f>('Pizza Sales Calculations'!$J239-'Pizza Sales Calculations'!$C239)*24*60</f>
        <v>2.9833333287388086</v>
      </c>
      <c r="M239">
        <f>COUNTA('Pizza Sales Calculations'!$D239:$F239)</f>
        <v>3</v>
      </c>
      <c r="R239" s="9">
        <f>IF('Pizza Sales Calculations'!$G239=TRUE, Parameters!$B$17*'Pizza Sales Calculations'!$L239*2, 0)</f>
        <v>0</v>
      </c>
      <c r="T239" s="6"/>
      <c r="U239" s="9"/>
    </row>
    <row r="240" spans="1:21" x14ac:dyDescent="0.2">
      <c r="A240">
        <v>239</v>
      </c>
      <c r="B240" s="1">
        <v>42373.488541666666</v>
      </c>
      <c r="C240" s="1">
        <v>42373.498969907407</v>
      </c>
      <c r="D240" t="s">
        <v>35</v>
      </c>
      <c r="G240" t="b">
        <v>0</v>
      </c>
      <c r="H240">
        <v>70804</v>
      </c>
      <c r="I240" s="6">
        <v>0</v>
      </c>
      <c r="J240" s="1">
        <v>42373.50105324074</v>
      </c>
      <c r="K240">
        <v>15.35</v>
      </c>
      <c r="L240" s="6">
        <f>('Pizza Sales Calculations'!$J240-'Pizza Sales Calculations'!$C240)*24*60</f>
        <v>2.9999999993015081</v>
      </c>
      <c r="M240">
        <f>COUNTA('Pizza Sales Calculations'!$D240:$F240)</f>
        <v>1</v>
      </c>
      <c r="R240" s="9">
        <f>IF('Pizza Sales Calculations'!$G240=TRUE, Parameters!$B$17*'Pizza Sales Calculations'!$L240*2, 0)</f>
        <v>0</v>
      </c>
      <c r="T240" s="6"/>
      <c r="U240" s="9"/>
    </row>
    <row r="241" spans="1:21" x14ac:dyDescent="0.2">
      <c r="A241">
        <v>240</v>
      </c>
      <c r="B241" s="1">
        <v>42373.524340277778</v>
      </c>
      <c r="C241" s="1">
        <v>42373.534756944442</v>
      </c>
      <c r="D241" t="s">
        <v>1</v>
      </c>
      <c r="E241" t="s">
        <v>2</v>
      </c>
      <c r="G241" t="b">
        <v>1</v>
      </c>
      <c r="H241">
        <v>70804</v>
      </c>
      <c r="I241" s="6">
        <v>3.7550405808591898</v>
      </c>
      <c r="J241" s="1">
        <v>42373.547789351855</v>
      </c>
      <c r="K241">
        <v>19.579999999999998</v>
      </c>
      <c r="L241" s="6">
        <f>('Pizza Sales Calculations'!$J241-'Pizza Sales Calculations'!$C241)*24*60</f>
        <v>18.766666674055159</v>
      </c>
      <c r="M241">
        <f>COUNTA('Pizza Sales Calculations'!$D241:$F241)</f>
        <v>2</v>
      </c>
      <c r="R241" s="9">
        <f>IF('Pizza Sales Calculations'!$G241=TRUE, Parameters!$B$17*'Pizza Sales Calculations'!$L241*2, 0)</f>
        <v>5.3172222243156284</v>
      </c>
      <c r="T241" s="6"/>
      <c r="U241" s="9"/>
    </row>
    <row r="242" spans="1:21" x14ac:dyDescent="0.2">
      <c r="A242">
        <v>241</v>
      </c>
      <c r="B242" s="1">
        <v>42373.518368055556</v>
      </c>
      <c r="C242" s="1">
        <v>42373.528784722221</v>
      </c>
      <c r="D242" t="s">
        <v>2</v>
      </c>
      <c r="G242" t="b">
        <v>1</v>
      </c>
      <c r="H242">
        <v>70807</v>
      </c>
      <c r="I242" s="6">
        <v>1.9827996289013201</v>
      </c>
      <c r="J242" s="1">
        <v>42373.53565972222</v>
      </c>
      <c r="K242">
        <v>11.59</v>
      </c>
      <c r="L242" s="6">
        <f>('Pizza Sales Calculations'!$J242-'Pizza Sales Calculations'!$C242)*24*60</f>
        <v>9.8999999987427145</v>
      </c>
      <c r="M242">
        <f>COUNTA('Pizza Sales Calculations'!$D242:$F242)</f>
        <v>1</v>
      </c>
      <c r="R242" s="9">
        <f>IF('Pizza Sales Calculations'!$G242=TRUE, Parameters!$B$17*'Pizza Sales Calculations'!$L242*2, 0)</f>
        <v>2.8049999996437691</v>
      </c>
      <c r="T242" s="6"/>
      <c r="U242" s="9"/>
    </row>
    <row r="243" spans="1:21" x14ac:dyDescent="0.2">
      <c r="A243">
        <v>242</v>
      </c>
      <c r="B243" s="1">
        <v>42373.639907407407</v>
      </c>
      <c r="C243" s="1">
        <v>42373.650300925925</v>
      </c>
      <c r="D243" t="s">
        <v>35</v>
      </c>
      <c r="G243" t="b">
        <v>0</v>
      </c>
      <c r="H243">
        <v>70804</v>
      </c>
      <c r="I243" s="6">
        <v>0</v>
      </c>
      <c r="J243" s="1">
        <v>42373.652372685188</v>
      </c>
      <c r="K243">
        <v>15.35</v>
      </c>
      <c r="L243" s="6">
        <f>('Pizza Sales Calculations'!$J243-'Pizza Sales Calculations'!$C243)*24*60</f>
        <v>2.9833333392161876</v>
      </c>
      <c r="M243">
        <f>COUNTA('Pizza Sales Calculations'!$D243:$F243)</f>
        <v>1</v>
      </c>
      <c r="R243" s="9">
        <f>IF('Pizza Sales Calculations'!$G243=TRUE, Parameters!$B$17*'Pizza Sales Calculations'!$L243*2, 0)</f>
        <v>0</v>
      </c>
      <c r="T243" s="6"/>
      <c r="U243" s="9"/>
    </row>
    <row r="244" spans="1:21" x14ac:dyDescent="0.2">
      <c r="A244">
        <v>243</v>
      </c>
      <c r="B244" s="1">
        <v>42373.481747685182</v>
      </c>
      <c r="C244" s="1">
        <v>42373.492152777777</v>
      </c>
      <c r="D244" t="s">
        <v>2</v>
      </c>
      <c r="E244" t="s">
        <v>35</v>
      </c>
      <c r="G244" t="b">
        <v>1</v>
      </c>
      <c r="H244">
        <v>70805</v>
      </c>
      <c r="I244" s="6">
        <v>2.12905571604092</v>
      </c>
      <c r="J244" s="1">
        <v>42373.499537037038</v>
      </c>
      <c r="K244">
        <v>25.94</v>
      </c>
      <c r="L244" s="6">
        <f>('Pizza Sales Calculations'!$J244-'Pizza Sales Calculations'!$C244)*24*60</f>
        <v>10.633333335863426</v>
      </c>
      <c r="M244">
        <f>COUNTA('Pizza Sales Calculations'!$D244:$F244)</f>
        <v>2</v>
      </c>
      <c r="R244" s="9">
        <f>IF('Pizza Sales Calculations'!$G244=TRUE, Parameters!$B$17*'Pizza Sales Calculations'!$L244*2, 0)</f>
        <v>3.0127777784946375</v>
      </c>
      <c r="T244" s="6"/>
      <c r="U244" s="9"/>
    </row>
    <row r="245" spans="1:21" x14ac:dyDescent="0.2">
      <c r="A245">
        <v>244</v>
      </c>
      <c r="B245" s="1">
        <v>42373.518865740742</v>
      </c>
      <c r="C245" s="1">
        <v>42373.52925925926</v>
      </c>
      <c r="D245" t="s">
        <v>2</v>
      </c>
      <c r="G245" t="b">
        <v>0</v>
      </c>
      <c r="H245">
        <v>70805</v>
      </c>
      <c r="I245" s="6">
        <v>0</v>
      </c>
      <c r="J245" s="1">
        <v>42373.531331018516</v>
      </c>
      <c r="K245">
        <v>11.59</v>
      </c>
      <c r="L245" s="6">
        <f>('Pizza Sales Calculations'!$J245-'Pizza Sales Calculations'!$C245)*24*60</f>
        <v>2.9833333287388086</v>
      </c>
      <c r="M245">
        <f>COUNTA('Pizza Sales Calculations'!$D245:$F245)</f>
        <v>1</v>
      </c>
      <c r="R245" s="9">
        <f>IF('Pizza Sales Calculations'!$G245=TRUE, Parameters!$B$17*'Pizza Sales Calculations'!$L245*2, 0)</f>
        <v>0</v>
      </c>
      <c r="T245" s="6"/>
      <c r="U245" s="9"/>
    </row>
    <row r="246" spans="1:21" x14ac:dyDescent="0.2">
      <c r="A246">
        <v>245</v>
      </c>
      <c r="B246" s="1">
        <v>42373.446319444447</v>
      </c>
      <c r="C246" s="1">
        <v>42373.456736111111</v>
      </c>
      <c r="D246" t="s">
        <v>1</v>
      </c>
      <c r="E246" t="s">
        <v>2</v>
      </c>
      <c r="G246" t="b">
        <v>0</v>
      </c>
      <c r="H246">
        <v>70805</v>
      </c>
      <c r="I246" s="6">
        <v>0</v>
      </c>
      <c r="J246" s="1">
        <v>42373.458807870367</v>
      </c>
      <c r="K246">
        <v>19.579999999999998</v>
      </c>
      <c r="L246" s="6">
        <f>('Pizza Sales Calculations'!$J246-'Pizza Sales Calculations'!$C246)*24*60</f>
        <v>2.9833333287388086</v>
      </c>
      <c r="M246">
        <f>COUNTA('Pizza Sales Calculations'!$D246:$F246)</f>
        <v>2</v>
      </c>
      <c r="R246" s="9">
        <f>IF('Pizza Sales Calculations'!$G246=TRUE, Parameters!$B$17*'Pizza Sales Calculations'!$L246*2, 0)</f>
        <v>0</v>
      </c>
      <c r="T246" s="6"/>
      <c r="U246" s="9"/>
    </row>
    <row r="247" spans="1:21" x14ac:dyDescent="0.2">
      <c r="A247">
        <v>246</v>
      </c>
      <c r="B247" s="1">
        <v>42373.55568287037</v>
      </c>
      <c r="C247" s="1">
        <v>42373.566111111111</v>
      </c>
      <c r="D247" t="s">
        <v>2</v>
      </c>
      <c r="G247" t="b">
        <v>0</v>
      </c>
      <c r="H247">
        <v>70804</v>
      </c>
      <c r="I247" s="6">
        <v>0</v>
      </c>
      <c r="J247" s="1">
        <v>42373.568171296298</v>
      </c>
      <c r="K247">
        <v>11.59</v>
      </c>
      <c r="L247" s="6">
        <f>('Pizza Sales Calculations'!$J247-'Pizza Sales Calculations'!$C247)*24*60</f>
        <v>2.9666666686534882</v>
      </c>
      <c r="M247">
        <f>COUNTA('Pizza Sales Calculations'!$D247:$F247)</f>
        <v>1</v>
      </c>
      <c r="R247" s="9">
        <f>IF('Pizza Sales Calculations'!$G247=TRUE, Parameters!$B$17*'Pizza Sales Calculations'!$L247*2, 0)</f>
        <v>0</v>
      </c>
      <c r="T247" s="6"/>
      <c r="U247" s="9"/>
    </row>
    <row r="248" spans="1:21" x14ac:dyDescent="0.2">
      <c r="A248">
        <v>247</v>
      </c>
      <c r="B248" s="1">
        <v>42373.491215277776</v>
      </c>
      <c r="C248" s="1">
        <v>42373.501631944448</v>
      </c>
      <c r="D248" t="s">
        <v>1</v>
      </c>
      <c r="E248" t="s">
        <v>35</v>
      </c>
      <c r="G248" t="b">
        <v>1</v>
      </c>
      <c r="H248">
        <v>70805</v>
      </c>
      <c r="I248" s="6">
        <v>3.3807760509389899</v>
      </c>
      <c r="J248" s="1">
        <v>42373.513368055559</v>
      </c>
      <c r="K248">
        <v>23.34</v>
      </c>
      <c r="L248" s="6">
        <f>('Pizza Sales Calculations'!$J248-'Pizza Sales Calculations'!$C248)*24*60</f>
        <v>16.90000000060536</v>
      </c>
      <c r="M248">
        <f>COUNTA('Pizza Sales Calculations'!$D248:$F248)</f>
        <v>2</v>
      </c>
      <c r="R248" s="9">
        <f>IF('Pizza Sales Calculations'!$G248=TRUE, Parameters!$B$17*'Pizza Sales Calculations'!$L248*2, 0)</f>
        <v>4.7883333335048519</v>
      </c>
      <c r="T248" s="6"/>
      <c r="U248" s="9"/>
    </row>
    <row r="249" spans="1:21" x14ac:dyDescent="0.2">
      <c r="A249">
        <v>248</v>
      </c>
      <c r="B249" s="1">
        <v>42373.499722222223</v>
      </c>
      <c r="C249" s="1">
        <v>42373.510138888887</v>
      </c>
      <c r="D249" t="s">
        <v>2</v>
      </c>
      <c r="G249" t="b">
        <v>1</v>
      </c>
      <c r="H249">
        <v>70803</v>
      </c>
      <c r="I249" s="6">
        <v>3.1280542939078799</v>
      </c>
      <c r="J249" s="1">
        <v>42373.520995370367</v>
      </c>
      <c r="K249">
        <v>11.59</v>
      </c>
      <c r="L249" s="6">
        <f>('Pizza Sales Calculations'!$J249-'Pizza Sales Calculations'!$C249)*24*60</f>
        <v>15.633333331206813</v>
      </c>
      <c r="M249">
        <f>COUNTA('Pizza Sales Calculations'!$D249:$F249)</f>
        <v>1</v>
      </c>
      <c r="R249" s="9">
        <f>IF('Pizza Sales Calculations'!$G249=TRUE, Parameters!$B$17*'Pizza Sales Calculations'!$L249*2, 0)</f>
        <v>4.4294444438419305</v>
      </c>
      <c r="T249" s="6"/>
      <c r="U249" s="9"/>
    </row>
    <row r="250" spans="1:21" x14ac:dyDescent="0.2">
      <c r="A250">
        <v>249</v>
      </c>
      <c r="B250" s="1">
        <v>42373.509247685186</v>
      </c>
      <c r="C250" s="1">
        <v>42373.519629629627</v>
      </c>
      <c r="D250" t="s">
        <v>1</v>
      </c>
      <c r="E250" t="s">
        <v>2</v>
      </c>
      <c r="G250" t="b">
        <v>0</v>
      </c>
      <c r="H250">
        <v>70807</v>
      </c>
      <c r="I250" s="6">
        <v>0</v>
      </c>
      <c r="J250" s="1">
        <v>42373.52171296296</v>
      </c>
      <c r="K250">
        <v>19.579999999999998</v>
      </c>
      <c r="L250" s="6">
        <f>('Pizza Sales Calculations'!$J250-'Pizza Sales Calculations'!$C250)*24*60</f>
        <v>2.9999999993015081</v>
      </c>
      <c r="M250">
        <f>COUNTA('Pizza Sales Calculations'!$D250:$F250)</f>
        <v>2</v>
      </c>
      <c r="R250" s="9">
        <f>IF('Pizza Sales Calculations'!$G250=TRUE, Parameters!$B$17*'Pizza Sales Calculations'!$L250*2, 0)</f>
        <v>0</v>
      </c>
      <c r="T250" s="6"/>
      <c r="U250" s="9"/>
    </row>
    <row r="251" spans="1:21" x14ac:dyDescent="0.2">
      <c r="A251">
        <v>250</v>
      </c>
      <c r="B251" s="1">
        <v>42373.477303240739</v>
      </c>
      <c r="C251" s="1">
        <v>42373.487743055557</v>
      </c>
      <c r="D251" t="s">
        <v>2</v>
      </c>
      <c r="G251" t="b">
        <v>1</v>
      </c>
      <c r="H251">
        <v>70805</v>
      </c>
      <c r="I251" s="6">
        <v>4.0054439295012401</v>
      </c>
      <c r="J251" s="1">
        <v>42373.501643518517</v>
      </c>
      <c r="K251">
        <v>11.59</v>
      </c>
      <c r="L251" s="6">
        <f>('Pizza Sales Calculations'!$J251-'Pizza Sales Calculations'!$C251)*24*60</f>
        <v>20.016666662413627</v>
      </c>
      <c r="M251">
        <f>COUNTA('Pizza Sales Calculations'!$D251:$F251)</f>
        <v>1</v>
      </c>
      <c r="R251" s="9">
        <f>IF('Pizza Sales Calculations'!$G251=TRUE, Parameters!$B$17*'Pizza Sales Calculations'!$L251*2, 0)</f>
        <v>5.671388887683861</v>
      </c>
      <c r="T251" s="6"/>
      <c r="U251" s="9"/>
    </row>
    <row r="252" spans="1:21" x14ac:dyDescent="0.2">
      <c r="A252">
        <v>251</v>
      </c>
      <c r="B252" s="1">
        <v>42373.429039351853</v>
      </c>
      <c r="C252" s="1">
        <v>42373.439456018517</v>
      </c>
      <c r="D252" t="s">
        <v>1</v>
      </c>
      <c r="E252" t="s">
        <v>2</v>
      </c>
      <c r="G252" t="b">
        <v>1</v>
      </c>
      <c r="H252">
        <v>70803</v>
      </c>
      <c r="I252" s="6">
        <v>1.57701564890838</v>
      </c>
      <c r="J252" s="1">
        <v>42373.444930555554</v>
      </c>
      <c r="K252">
        <v>19.579999999999998</v>
      </c>
      <c r="L252" s="6">
        <f>('Pizza Sales Calculations'!$J252-'Pizza Sales Calculations'!$C252)*24*60</f>
        <v>7.883333332138136</v>
      </c>
      <c r="M252">
        <f>COUNTA('Pizza Sales Calculations'!$D252:$F252)</f>
        <v>2</v>
      </c>
      <c r="R252" s="9">
        <f>IF('Pizza Sales Calculations'!$G252=TRUE, Parameters!$B$17*'Pizza Sales Calculations'!$L252*2, 0)</f>
        <v>2.2336111107724719</v>
      </c>
      <c r="T252" s="6"/>
      <c r="U252" s="9"/>
    </row>
    <row r="253" spans="1:21" x14ac:dyDescent="0.2">
      <c r="A253">
        <v>252</v>
      </c>
      <c r="B253" s="1">
        <v>42373.521863425929</v>
      </c>
      <c r="C253" s="1">
        <v>42373.532280092593</v>
      </c>
      <c r="D253" t="s">
        <v>2</v>
      </c>
      <c r="G253" t="b">
        <v>1</v>
      </c>
      <c r="H253">
        <v>70804</v>
      </c>
      <c r="I253" s="6">
        <v>1.1857148769330901</v>
      </c>
      <c r="J253" s="1">
        <v>42373.53638888889</v>
      </c>
      <c r="K253">
        <v>11.59</v>
      </c>
      <c r="L253" s="6">
        <f>('Pizza Sales Calculations'!$J253-'Pizza Sales Calculations'!$C253)*24*60</f>
        <v>5.9166666667442769</v>
      </c>
      <c r="M253">
        <f>COUNTA('Pizza Sales Calculations'!$D253:$F253)</f>
        <v>1</v>
      </c>
      <c r="R253" s="9">
        <f>IF('Pizza Sales Calculations'!$G253=TRUE, Parameters!$B$17*'Pizza Sales Calculations'!$L253*2, 0)</f>
        <v>1.6763888889108784</v>
      </c>
      <c r="T253" s="6"/>
      <c r="U253" s="9"/>
    </row>
    <row r="254" spans="1:21" x14ac:dyDescent="0.2">
      <c r="A254">
        <v>253</v>
      </c>
      <c r="B254" s="1">
        <v>42373.607881944445</v>
      </c>
      <c r="C254" s="1">
        <v>42373.618263888886</v>
      </c>
      <c r="D254" t="s">
        <v>35</v>
      </c>
      <c r="G254" t="b">
        <v>1</v>
      </c>
      <c r="H254">
        <v>70804</v>
      </c>
      <c r="I254" s="6">
        <v>1.4414734781999901</v>
      </c>
      <c r="J254" s="1">
        <v>42373.623263888891</v>
      </c>
      <c r="K254">
        <v>15.35</v>
      </c>
      <c r="L254" s="6">
        <f>('Pizza Sales Calculations'!$J254-'Pizza Sales Calculations'!$C254)*24*60</f>
        <v>7.2000000067055225</v>
      </c>
      <c r="M254">
        <f>COUNTA('Pizza Sales Calculations'!$D254:$F254)</f>
        <v>1</v>
      </c>
      <c r="R254" s="9">
        <f>IF('Pizza Sales Calculations'!$G254=TRUE, Parameters!$B$17*'Pizza Sales Calculations'!$L254*2, 0)</f>
        <v>2.0400000018998981</v>
      </c>
      <c r="T254" s="6"/>
      <c r="U254" s="9"/>
    </row>
    <row r="255" spans="1:21" x14ac:dyDescent="0.2">
      <c r="A255">
        <v>254</v>
      </c>
      <c r="B255" s="1">
        <v>42373.527488425927</v>
      </c>
      <c r="C255" s="1">
        <v>42373.537893518522</v>
      </c>
      <c r="D255" t="s">
        <v>1</v>
      </c>
      <c r="E255" t="s">
        <v>35</v>
      </c>
      <c r="G255" t="b">
        <v>0</v>
      </c>
      <c r="H255">
        <v>70805</v>
      </c>
      <c r="I255" s="6">
        <v>0</v>
      </c>
      <c r="J255" s="1">
        <v>42373.539965277778</v>
      </c>
      <c r="K255">
        <v>23.34</v>
      </c>
      <c r="L255" s="6">
        <f>('Pizza Sales Calculations'!$J255-'Pizza Sales Calculations'!$C255)*24*60</f>
        <v>2.9833333287388086</v>
      </c>
      <c r="M255">
        <f>COUNTA('Pizza Sales Calculations'!$D255:$F255)</f>
        <v>2</v>
      </c>
      <c r="R255" s="9">
        <f>IF('Pizza Sales Calculations'!$G255=TRUE, Parameters!$B$17*'Pizza Sales Calculations'!$L255*2, 0)</f>
        <v>0</v>
      </c>
      <c r="T255" s="6"/>
      <c r="U255" s="9"/>
    </row>
    <row r="256" spans="1:21" x14ac:dyDescent="0.2">
      <c r="A256">
        <v>255</v>
      </c>
      <c r="B256" s="1">
        <v>42373.5078125</v>
      </c>
      <c r="C256" s="1">
        <v>42373.518229166664</v>
      </c>
      <c r="D256" t="s">
        <v>1</v>
      </c>
      <c r="G256" t="b">
        <v>1</v>
      </c>
      <c r="H256">
        <v>70805</v>
      </c>
      <c r="I256" s="6">
        <v>4.1961033188224501</v>
      </c>
      <c r="J256" s="1">
        <v>42373.532789351855</v>
      </c>
      <c r="K256">
        <v>7.99</v>
      </c>
      <c r="L256" s="6">
        <f>('Pizza Sales Calculations'!$J256-'Pizza Sales Calculations'!$C256)*24*60</f>
        <v>20.966666674939916</v>
      </c>
      <c r="M256">
        <f>COUNTA('Pizza Sales Calculations'!$D256:$F256)</f>
        <v>1</v>
      </c>
      <c r="R256" s="9">
        <f>IF('Pizza Sales Calculations'!$G256=TRUE, Parameters!$B$17*'Pizza Sales Calculations'!$L256*2, 0)</f>
        <v>5.9405555578996427</v>
      </c>
      <c r="T256" s="6"/>
      <c r="U256" s="9"/>
    </row>
    <row r="257" spans="1:21" x14ac:dyDescent="0.2">
      <c r="A257">
        <v>256</v>
      </c>
      <c r="B257" s="1">
        <v>42373.468692129631</v>
      </c>
      <c r="C257" s="1">
        <v>42373.479120370372</v>
      </c>
      <c r="D257" t="s">
        <v>2</v>
      </c>
      <c r="E257" t="s">
        <v>35</v>
      </c>
      <c r="G257" t="b">
        <v>0</v>
      </c>
      <c r="H257">
        <v>70805</v>
      </c>
      <c r="I257" s="6">
        <v>0</v>
      </c>
      <c r="J257" s="1">
        <v>42373.481192129628</v>
      </c>
      <c r="K257">
        <v>25.94</v>
      </c>
      <c r="L257" s="6">
        <f>('Pizza Sales Calculations'!$J257-'Pizza Sales Calculations'!$C257)*24*60</f>
        <v>2.9833333287388086</v>
      </c>
      <c r="M257">
        <f>COUNTA('Pizza Sales Calculations'!$D257:$F257)</f>
        <v>2</v>
      </c>
      <c r="R257" s="9">
        <f>IF('Pizza Sales Calculations'!$G257=TRUE, Parameters!$B$17*'Pizza Sales Calculations'!$L257*2, 0)</f>
        <v>0</v>
      </c>
      <c r="T257" s="6"/>
      <c r="U257" s="9"/>
    </row>
    <row r="258" spans="1:21" x14ac:dyDescent="0.2">
      <c r="A258">
        <v>257</v>
      </c>
      <c r="B258" s="1">
        <v>42373.511608796296</v>
      </c>
      <c r="C258" s="1">
        <v>42373.522037037037</v>
      </c>
      <c r="D258" t="s">
        <v>1</v>
      </c>
      <c r="G258" t="b">
        <v>1</v>
      </c>
      <c r="H258">
        <v>70806</v>
      </c>
      <c r="I258" s="6">
        <v>3.9032992928504799</v>
      </c>
      <c r="J258" s="1">
        <v>42373.535578703704</v>
      </c>
      <c r="K258">
        <v>7.99</v>
      </c>
      <c r="L258" s="6">
        <f>('Pizza Sales Calculations'!$J258-'Pizza Sales Calculations'!$C258)*24*60</f>
        <v>19.500000000698492</v>
      </c>
      <c r="M258">
        <f>COUNTA('Pizza Sales Calculations'!$D258:$F258)</f>
        <v>1</v>
      </c>
      <c r="R258" s="9">
        <f>IF('Pizza Sales Calculations'!$G258=TRUE, Parameters!$B$17*'Pizza Sales Calculations'!$L258*2, 0)</f>
        <v>5.525000000197906</v>
      </c>
      <c r="T258" s="6"/>
      <c r="U258" s="9"/>
    </row>
    <row r="259" spans="1:21" x14ac:dyDescent="0.2">
      <c r="A259">
        <v>258</v>
      </c>
      <c r="B259" s="1">
        <v>42373.514398148145</v>
      </c>
      <c r="C259" s="1">
        <v>42373.524814814817</v>
      </c>
      <c r="D259" t="s">
        <v>1</v>
      </c>
      <c r="G259" t="b">
        <v>0</v>
      </c>
      <c r="H259">
        <v>70805</v>
      </c>
      <c r="I259" s="6">
        <v>0</v>
      </c>
      <c r="J259" s="1">
        <v>42373.526886574073</v>
      </c>
      <c r="K259">
        <v>7.99</v>
      </c>
      <c r="L259" s="6">
        <f>('Pizza Sales Calculations'!$J259-'Pizza Sales Calculations'!$C259)*24*60</f>
        <v>2.9833333287388086</v>
      </c>
      <c r="M259">
        <f>COUNTA('Pizza Sales Calculations'!$D259:$F259)</f>
        <v>1</v>
      </c>
      <c r="R259" s="9">
        <f>IF('Pizza Sales Calculations'!$G259=TRUE, Parameters!$B$17*'Pizza Sales Calculations'!$L259*2, 0)</f>
        <v>0</v>
      </c>
      <c r="T259" s="6"/>
      <c r="U259" s="9"/>
    </row>
    <row r="260" spans="1:21" x14ac:dyDescent="0.2">
      <c r="A260">
        <v>259</v>
      </c>
      <c r="B260" s="1">
        <v>42373.478703703702</v>
      </c>
      <c r="C260" s="1">
        <v>42373.489108796297</v>
      </c>
      <c r="D260" t="s">
        <v>1</v>
      </c>
      <c r="G260" t="b">
        <v>1</v>
      </c>
      <c r="H260">
        <v>70804</v>
      </c>
      <c r="I260" s="6">
        <v>5.5514450337441499</v>
      </c>
      <c r="J260" s="1">
        <v>42373.508379629631</v>
      </c>
      <c r="K260">
        <v>7.99</v>
      </c>
      <c r="L260" s="6">
        <f>('Pizza Sales Calculations'!$J260-'Pizza Sales Calculations'!$C260)*24*60</f>
        <v>27.750000001396984</v>
      </c>
      <c r="M260">
        <f>COUNTA('Pizza Sales Calculations'!$D260:$F260)</f>
        <v>1</v>
      </c>
      <c r="R260" s="9">
        <f>IF('Pizza Sales Calculations'!$G260=TRUE, Parameters!$B$17*'Pizza Sales Calculations'!$L260*2, 0)</f>
        <v>7.8625000003958121</v>
      </c>
      <c r="T260" s="6"/>
      <c r="U260" s="9"/>
    </row>
    <row r="261" spans="1:21" x14ac:dyDescent="0.2">
      <c r="A261">
        <v>260</v>
      </c>
      <c r="B261" s="1">
        <v>42373.456886574073</v>
      </c>
      <c r="C261" s="1">
        <v>42373.467291666668</v>
      </c>
      <c r="D261" t="s">
        <v>2</v>
      </c>
      <c r="G261" t="b">
        <v>0</v>
      </c>
      <c r="H261">
        <v>70806</v>
      </c>
      <c r="I261" s="6">
        <v>0</v>
      </c>
      <c r="J261" s="1">
        <v>42373.469363425924</v>
      </c>
      <c r="K261">
        <v>11.59</v>
      </c>
      <c r="L261" s="6">
        <f>('Pizza Sales Calculations'!$J261-'Pizza Sales Calculations'!$C261)*24*60</f>
        <v>2.9833333287388086</v>
      </c>
      <c r="M261">
        <f>COUNTA('Pizza Sales Calculations'!$D261:$F261)</f>
        <v>1</v>
      </c>
      <c r="R261" s="9">
        <f>IF('Pizza Sales Calculations'!$G261=TRUE, Parameters!$B$17*'Pizza Sales Calculations'!$L261*2, 0)</f>
        <v>0</v>
      </c>
      <c r="T261" s="6"/>
      <c r="U261" s="9"/>
    </row>
    <row r="262" spans="1:21" x14ac:dyDescent="0.2">
      <c r="A262">
        <v>261</v>
      </c>
      <c r="B262" s="1">
        <v>42373.520358796297</v>
      </c>
      <c r="C262" s="1">
        <v>42373.530763888892</v>
      </c>
      <c r="D262" t="s">
        <v>2</v>
      </c>
      <c r="G262" t="b">
        <v>0</v>
      </c>
      <c r="H262">
        <v>70805</v>
      </c>
      <c r="I262" s="6">
        <v>0</v>
      </c>
      <c r="J262" s="1">
        <v>42373.532835648148</v>
      </c>
      <c r="K262">
        <v>11.59</v>
      </c>
      <c r="L262" s="6">
        <f>('Pizza Sales Calculations'!$J262-'Pizza Sales Calculations'!$C262)*24*60</f>
        <v>2.9833333287388086</v>
      </c>
      <c r="M262">
        <f>COUNTA('Pizza Sales Calculations'!$D262:$F262)</f>
        <v>1</v>
      </c>
      <c r="R262" s="9">
        <f>IF('Pizza Sales Calculations'!$G262=TRUE, Parameters!$B$17*'Pizza Sales Calculations'!$L262*2, 0)</f>
        <v>0</v>
      </c>
      <c r="T262" s="6"/>
      <c r="U262" s="9"/>
    </row>
    <row r="263" spans="1:21" x14ac:dyDescent="0.2">
      <c r="A263">
        <v>262</v>
      </c>
      <c r="B263" s="1">
        <v>42373.456770833334</v>
      </c>
      <c r="C263" s="1">
        <v>42373.467187499999</v>
      </c>
      <c r="D263" t="s">
        <v>2</v>
      </c>
      <c r="G263" t="b">
        <v>1</v>
      </c>
      <c r="H263">
        <v>70805</v>
      </c>
      <c r="I263" s="6">
        <v>4.0389139529498097</v>
      </c>
      <c r="J263" s="1">
        <v>42373.481203703705</v>
      </c>
      <c r="K263">
        <v>11.59</v>
      </c>
      <c r="L263" s="6">
        <f>('Pizza Sales Calculations'!$J263-'Pizza Sales Calculations'!$C263)*24*60</f>
        <v>20.183333336608484</v>
      </c>
      <c r="M263">
        <f>COUNTA('Pizza Sales Calculations'!$D263:$F263)</f>
        <v>1</v>
      </c>
      <c r="R263" s="9">
        <f>IF('Pizza Sales Calculations'!$G263=TRUE, Parameters!$B$17*'Pizza Sales Calculations'!$L263*2, 0)</f>
        <v>5.7186111120390706</v>
      </c>
      <c r="T263" s="6"/>
      <c r="U263" s="9"/>
    </row>
    <row r="264" spans="1:21" x14ac:dyDescent="0.2">
      <c r="A264">
        <v>263</v>
      </c>
      <c r="B264" s="1">
        <v>42373.44908564815</v>
      </c>
      <c r="C264" s="1">
        <v>42373.459490740737</v>
      </c>
      <c r="D264" t="s">
        <v>1</v>
      </c>
      <c r="G264" t="b">
        <v>1</v>
      </c>
      <c r="H264">
        <v>70804</v>
      </c>
      <c r="I264" s="6">
        <v>2.57066667973961</v>
      </c>
      <c r="J264" s="1">
        <v>42373.468414351853</v>
      </c>
      <c r="K264">
        <v>7.99</v>
      </c>
      <c r="L264" s="6">
        <f>('Pizza Sales Calculations'!$J264-'Pizza Sales Calculations'!$C264)*24*60</f>
        <v>12.850000007310882</v>
      </c>
      <c r="M264">
        <f>COUNTA('Pizza Sales Calculations'!$D264:$F264)</f>
        <v>1</v>
      </c>
      <c r="R264" s="9">
        <f>IF('Pizza Sales Calculations'!$G264=TRUE, Parameters!$B$17*'Pizza Sales Calculations'!$L264*2, 0)</f>
        <v>3.64083333540475</v>
      </c>
      <c r="T264" s="6"/>
      <c r="U264" s="9"/>
    </row>
    <row r="265" spans="1:21" x14ac:dyDescent="0.2">
      <c r="A265">
        <v>264</v>
      </c>
      <c r="B265" s="1">
        <v>42373.527557870373</v>
      </c>
      <c r="C265" s="1">
        <v>42373.537974537037</v>
      </c>
      <c r="D265" t="s">
        <v>1</v>
      </c>
      <c r="E265" t="s">
        <v>2</v>
      </c>
      <c r="G265" t="b">
        <v>0</v>
      </c>
      <c r="H265">
        <v>70807</v>
      </c>
      <c r="I265" s="6">
        <v>0</v>
      </c>
      <c r="J265" s="1">
        <v>42373.540069444447</v>
      </c>
      <c r="K265">
        <v>19.579999999999998</v>
      </c>
      <c r="L265" s="6">
        <f>('Pizza Sales Calculations'!$J265-'Pizza Sales Calculations'!$C265)*24*60</f>
        <v>3.0166666698642075</v>
      </c>
      <c r="M265">
        <f>COUNTA('Pizza Sales Calculations'!$D265:$F265)</f>
        <v>2</v>
      </c>
      <c r="R265" s="9">
        <f>IF('Pizza Sales Calculations'!$G265=TRUE, Parameters!$B$17*'Pizza Sales Calculations'!$L265*2, 0)</f>
        <v>0</v>
      </c>
      <c r="T265" s="6"/>
      <c r="U265" s="9"/>
    </row>
    <row r="266" spans="1:21" x14ac:dyDescent="0.2">
      <c r="A266">
        <v>265</v>
      </c>
      <c r="B266" s="1">
        <v>42373.525682870371</v>
      </c>
      <c r="C266" s="1">
        <v>42373.536076388889</v>
      </c>
      <c r="D266" t="s">
        <v>1</v>
      </c>
      <c r="E266" t="s">
        <v>2</v>
      </c>
      <c r="G266" t="b">
        <v>0</v>
      </c>
      <c r="H266">
        <v>70806</v>
      </c>
      <c r="I266" s="6">
        <v>0</v>
      </c>
      <c r="J266" s="1">
        <v>42373.538148148145</v>
      </c>
      <c r="K266">
        <v>19.579999999999998</v>
      </c>
      <c r="L266" s="6">
        <f>('Pizza Sales Calculations'!$J266-'Pizza Sales Calculations'!$C266)*24*60</f>
        <v>2.9833333287388086</v>
      </c>
      <c r="M266">
        <f>COUNTA('Pizza Sales Calculations'!$D266:$F266)</f>
        <v>2</v>
      </c>
      <c r="R266" s="9">
        <f>IF('Pizza Sales Calculations'!$G266=TRUE, Parameters!$B$17*'Pizza Sales Calculations'!$L266*2, 0)</f>
        <v>0</v>
      </c>
      <c r="T266" s="6"/>
      <c r="U266" s="9"/>
    </row>
    <row r="267" spans="1:21" x14ac:dyDescent="0.2">
      <c r="A267">
        <v>266</v>
      </c>
      <c r="B267" s="1">
        <v>42373.497870370367</v>
      </c>
      <c r="C267" s="1">
        <v>42373.508275462962</v>
      </c>
      <c r="D267" t="s">
        <v>1</v>
      </c>
      <c r="E267" t="s">
        <v>35</v>
      </c>
      <c r="G267" t="b">
        <v>0</v>
      </c>
      <c r="H267">
        <v>70803</v>
      </c>
      <c r="I267" s="6">
        <v>0</v>
      </c>
      <c r="J267" s="1">
        <v>42373.510358796295</v>
      </c>
      <c r="K267">
        <v>23.34</v>
      </c>
      <c r="L267" s="6">
        <f>('Pizza Sales Calculations'!$J267-'Pizza Sales Calculations'!$C267)*24*60</f>
        <v>2.9999999993015081</v>
      </c>
      <c r="M267">
        <f>COUNTA('Pizza Sales Calculations'!$D267:$F267)</f>
        <v>2</v>
      </c>
      <c r="R267" s="9">
        <f>IF('Pizza Sales Calculations'!$G267=TRUE, Parameters!$B$17*'Pizza Sales Calculations'!$L267*2, 0)</f>
        <v>0</v>
      </c>
      <c r="T267" s="6"/>
      <c r="U267" s="9"/>
    </row>
    <row r="268" spans="1:21" x14ac:dyDescent="0.2">
      <c r="A268">
        <v>267</v>
      </c>
      <c r="B268" s="1">
        <v>42373.523969907408</v>
      </c>
      <c r="C268" s="1">
        <v>42373.534375000003</v>
      </c>
      <c r="D268" t="s">
        <v>1</v>
      </c>
      <c r="G268" t="b">
        <v>1</v>
      </c>
      <c r="H268">
        <v>70803</v>
      </c>
      <c r="I268" s="6">
        <v>4.0903941310881597</v>
      </c>
      <c r="J268" s="1">
        <v>42373.548576388886</v>
      </c>
      <c r="K268">
        <v>7.99</v>
      </c>
      <c r="L268" s="6">
        <f>('Pizza Sales Calculations'!$J268-'Pizza Sales Calculations'!$C268)*24*60</f>
        <v>20.449999992270023</v>
      </c>
      <c r="M268">
        <f>COUNTA('Pizza Sales Calculations'!$D268:$F268)</f>
        <v>1</v>
      </c>
      <c r="R268" s="9">
        <f>IF('Pizza Sales Calculations'!$G268=TRUE, Parameters!$B$17*'Pizza Sales Calculations'!$L268*2, 0)</f>
        <v>5.7941666644765064</v>
      </c>
      <c r="T268" s="6"/>
      <c r="U268" s="9"/>
    </row>
    <row r="269" spans="1:21" x14ac:dyDescent="0.2">
      <c r="A269">
        <v>268</v>
      </c>
      <c r="B269" s="1">
        <v>42373.532476851855</v>
      </c>
      <c r="C269" s="1">
        <v>42373.542870370373</v>
      </c>
      <c r="D269" t="s">
        <v>1</v>
      </c>
      <c r="E269" t="s">
        <v>2</v>
      </c>
      <c r="G269" t="b">
        <v>1</v>
      </c>
      <c r="H269">
        <v>70804</v>
      </c>
      <c r="I269" s="6">
        <v>1.7823179737350601</v>
      </c>
      <c r="J269" s="1">
        <v>42373.549050925925</v>
      </c>
      <c r="K269">
        <v>19.579999999999998</v>
      </c>
      <c r="L269" s="6">
        <f>('Pizza Sales Calculations'!$J269-'Pizza Sales Calculations'!$C269)*24*60</f>
        <v>8.8999999954830855</v>
      </c>
      <c r="M269">
        <f>COUNTA('Pizza Sales Calculations'!$D269:$F269)</f>
        <v>2</v>
      </c>
      <c r="R269" s="9">
        <f>IF('Pizza Sales Calculations'!$G269=TRUE, Parameters!$B$17*'Pizza Sales Calculations'!$L269*2, 0)</f>
        <v>2.5216666653868742</v>
      </c>
      <c r="T269" s="6"/>
      <c r="U269" s="9"/>
    </row>
    <row r="270" spans="1:21" x14ac:dyDescent="0.2">
      <c r="A270">
        <v>269</v>
      </c>
      <c r="B270" s="1">
        <v>42373.509189814817</v>
      </c>
      <c r="C270" s="1">
        <v>42373.519594907404</v>
      </c>
      <c r="D270" t="s">
        <v>2</v>
      </c>
      <c r="G270" t="b">
        <v>0</v>
      </c>
      <c r="H270">
        <v>70804</v>
      </c>
      <c r="I270" s="6">
        <v>0</v>
      </c>
      <c r="J270" s="1">
        <v>42373.521666666667</v>
      </c>
      <c r="K270">
        <v>11.59</v>
      </c>
      <c r="L270" s="6">
        <f>('Pizza Sales Calculations'!$J270-'Pizza Sales Calculations'!$C270)*24*60</f>
        <v>2.9833333392161876</v>
      </c>
      <c r="M270">
        <f>COUNTA('Pizza Sales Calculations'!$D270:$F270)</f>
        <v>1</v>
      </c>
      <c r="R270" s="9">
        <f>IF('Pizza Sales Calculations'!$G270=TRUE, Parameters!$B$17*'Pizza Sales Calculations'!$L270*2, 0)</f>
        <v>0</v>
      </c>
      <c r="T270" s="6"/>
      <c r="U270" s="9"/>
    </row>
    <row r="271" spans="1:21" x14ac:dyDescent="0.2">
      <c r="A271">
        <v>270</v>
      </c>
      <c r="B271" s="1">
        <v>42373.544259259259</v>
      </c>
      <c r="C271" s="1">
        <v>42373.554675925923</v>
      </c>
      <c r="D271" t="s">
        <v>1</v>
      </c>
      <c r="E271" t="s">
        <v>2</v>
      </c>
      <c r="G271" t="b">
        <v>0</v>
      </c>
      <c r="H271">
        <v>70804</v>
      </c>
      <c r="I271" s="6">
        <v>0</v>
      </c>
      <c r="J271" s="1">
        <v>42373.556770833333</v>
      </c>
      <c r="K271">
        <v>19.579999999999998</v>
      </c>
      <c r="L271" s="6">
        <f>('Pizza Sales Calculations'!$J271-'Pizza Sales Calculations'!$C271)*24*60</f>
        <v>3.0166666698642075</v>
      </c>
      <c r="M271">
        <f>COUNTA('Pizza Sales Calculations'!$D271:$F271)</f>
        <v>2</v>
      </c>
      <c r="R271" s="9">
        <f>IF('Pizza Sales Calculations'!$G271=TRUE, Parameters!$B$17*'Pizza Sales Calculations'!$L271*2, 0)</f>
        <v>0</v>
      </c>
      <c r="T271" s="6"/>
      <c r="U271" s="9"/>
    </row>
    <row r="272" spans="1:21" x14ac:dyDescent="0.2">
      <c r="A272">
        <v>271</v>
      </c>
      <c r="B272" s="1">
        <v>42373.468263888892</v>
      </c>
      <c r="C272" s="1">
        <v>42373.478680555556</v>
      </c>
      <c r="D272" t="s">
        <v>1</v>
      </c>
      <c r="E272" t="s">
        <v>35</v>
      </c>
      <c r="G272" t="b">
        <v>1</v>
      </c>
      <c r="H272">
        <v>70803</v>
      </c>
      <c r="I272" s="6">
        <v>1.90803631566386</v>
      </c>
      <c r="J272" s="1">
        <v>42373.485300925924</v>
      </c>
      <c r="K272">
        <v>23.34</v>
      </c>
      <c r="L272" s="6">
        <f>('Pizza Sales Calculations'!$J272-'Pizza Sales Calculations'!$C272)*24*60</f>
        <v>9.5333333301823586</v>
      </c>
      <c r="M272">
        <f>COUNTA('Pizza Sales Calculations'!$D272:$F272)</f>
        <v>2</v>
      </c>
      <c r="R272" s="9">
        <f>IF('Pizza Sales Calculations'!$G272=TRUE, Parameters!$B$17*'Pizza Sales Calculations'!$L272*2, 0)</f>
        <v>2.7011111102183349</v>
      </c>
      <c r="T272" s="6"/>
      <c r="U272" s="9"/>
    </row>
    <row r="273" spans="1:21" x14ac:dyDescent="0.2">
      <c r="A273">
        <v>272</v>
      </c>
      <c r="B273" s="1">
        <v>42373.539201388892</v>
      </c>
      <c r="C273" s="1">
        <v>42373.549629629626</v>
      </c>
      <c r="D273" t="s">
        <v>1</v>
      </c>
      <c r="G273" t="b">
        <v>0</v>
      </c>
      <c r="H273">
        <v>70805</v>
      </c>
      <c r="I273" s="6">
        <v>0</v>
      </c>
      <c r="J273" s="1">
        <v>42373.551712962966</v>
      </c>
      <c r="K273">
        <v>7.99</v>
      </c>
      <c r="L273" s="6">
        <f>('Pizza Sales Calculations'!$J273-'Pizza Sales Calculations'!$C273)*24*60</f>
        <v>3.000000009778887</v>
      </c>
      <c r="M273">
        <f>COUNTA('Pizza Sales Calculations'!$D273:$F273)</f>
        <v>1</v>
      </c>
      <c r="R273" s="9">
        <f>IF('Pizza Sales Calculations'!$G273=TRUE, Parameters!$B$17*'Pizza Sales Calculations'!$L273*2, 0)</f>
        <v>0</v>
      </c>
      <c r="T273" s="6"/>
      <c r="U273" s="9"/>
    </row>
    <row r="274" spans="1:21" x14ac:dyDescent="0.2">
      <c r="A274">
        <v>273</v>
      </c>
      <c r="B274" s="1">
        <v>42373.435162037036</v>
      </c>
      <c r="C274" s="1">
        <v>42373.445555555554</v>
      </c>
      <c r="D274" t="s">
        <v>1</v>
      </c>
      <c r="E274" t="s">
        <v>2</v>
      </c>
      <c r="G274" t="b">
        <v>0</v>
      </c>
      <c r="H274">
        <v>70804</v>
      </c>
      <c r="I274" s="6">
        <v>0</v>
      </c>
      <c r="J274" s="1">
        <v>42373.447627314818</v>
      </c>
      <c r="K274">
        <v>19.579999999999998</v>
      </c>
      <c r="L274" s="6">
        <f>('Pizza Sales Calculations'!$J274-'Pizza Sales Calculations'!$C274)*24*60</f>
        <v>2.9833333392161876</v>
      </c>
      <c r="M274">
        <f>COUNTA('Pizza Sales Calculations'!$D274:$F274)</f>
        <v>2</v>
      </c>
      <c r="R274" s="9">
        <f>IF('Pizza Sales Calculations'!$G274=TRUE, Parameters!$B$17*'Pizza Sales Calculations'!$L274*2, 0)</f>
        <v>0</v>
      </c>
      <c r="T274" s="6"/>
      <c r="U274" s="9"/>
    </row>
    <row r="275" spans="1:21" x14ac:dyDescent="0.2">
      <c r="A275">
        <v>274</v>
      </c>
      <c r="B275" s="1">
        <v>42373.549131944441</v>
      </c>
      <c r="C275" s="1">
        <v>42373.559537037036</v>
      </c>
      <c r="D275" t="s">
        <v>1</v>
      </c>
      <c r="G275" t="b">
        <v>1</v>
      </c>
      <c r="H275">
        <v>70806</v>
      </c>
      <c r="I275" s="6">
        <v>2.57160703174829</v>
      </c>
      <c r="J275" s="1">
        <v>42373.568460648145</v>
      </c>
      <c r="K275">
        <v>7.99</v>
      </c>
      <c r="L275" s="6">
        <f>('Pizza Sales Calculations'!$J275-'Pizza Sales Calculations'!$C275)*24*60</f>
        <v>12.849999996833503</v>
      </c>
      <c r="M275">
        <f>COUNTA('Pizza Sales Calculations'!$D275:$F275)</f>
        <v>1</v>
      </c>
      <c r="R275" s="9">
        <f>IF('Pizza Sales Calculations'!$G275=TRUE, Parameters!$B$17*'Pizza Sales Calculations'!$L275*2, 0)</f>
        <v>3.6408333324361593</v>
      </c>
      <c r="T275" s="6"/>
      <c r="U275" s="9"/>
    </row>
    <row r="276" spans="1:21" x14ac:dyDescent="0.2">
      <c r="A276">
        <v>275</v>
      </c>
      <c r="B276" s="1">
        <v>42373.522557870368</v>
      </c>
      <c r="C276" s="1">
        <v>42373.53297453704</v>
      </c>
      <c r="D276" t="s">
        <v>1</v>
      </c>
      <c r="E276" t="s">
        <v>2</v>
      </c>
      <c r="G276" t="b">
        <v>0</v>
      </c>
      <c r="H276">
        <v>70805</v>
      </c>
      <c r="I276" s="6">
        <v>0</v>
      </c>
      <c r="J276" s="1">
        <v>42373.535057870373</v>
      </c>
      <c r="K276">
        <v>19.579999999999998</v>
      </c>
      <c r="L276" s="6">
        <f>('Pizza Sales Calculations'!$J276-'Pizza Sales Calculations'!$C276)*24*60</f>
        <v>2.9999999993015081</v>
      </c>
      <c r="M276">
        <f>COUNTA('Pizza Sales Calculations'!$D276:$F276)</f>
        <v>2</v>
      </c>
      <c r="R276" s="9">
        <f>IF('Pizza Sales Calculations'!$G276=TRUE, Parameters!$B$17*'Pizza Sales Calculations'!$L276*2, 0)</f>
        <v>0</v>
      </c>
      <c r="T276" s="6"/>
      <c r="U276" s="9"/>
    </row>
    <row r="277" spans="1:21" x14ac:dyDescent="0.2">
      <c r="A277">
        <v>276</v>
      </c>
      <c r="B277" s="1">
        <v>42373.537106481483</v>
      </c>
      <c r="C277" s="1">
        <v>42373.547523148147</v>
      </c>
      <c r="D277" t="s">
        <v>1</v>
      </c>
      <c r="E277" t="s">
        <v>35</v>
      </c>
      <c r="G277" t="b">
        <v>1</v>
      </c>
      <c r="H277">
        <v>70804</v>
      </c>
      <c r="I277" s="6">
        <v>2.20603208574724</v>
      </c>
      <c r="J277" s="1">
        <v>42373.555173611108</v>
      </c>
      <c r="K277">
        <v>23.34</v>
      </c>
      <c r="L277" s="6">
        <f>('Pizza Sales Calculations'!$J277-'Pizza Sales Calculations'!$C277)*24*60</f>
        <v>11.016666664509103</v>
      </c>
      <c r="M277">
        <f>COUNTA('Pizza Sales Calculations'!$D277:$F277)</f>
        <v>2</v>
      </c>
      <c r="R277" s="9">
        <f>IF('Pizza Sales Calculations'!$G277=TRUE, Parameters!$B$17*'Pizza Sales Calculations'!$L277*2, 0)</f>
        <v>3.1213888882775791</v>
      </c>
      <c r="T277" s="6"/>
      <c r="U277" s="9"/>
    </row>
    <row r="278" spans="1:21" x14ac:dyDescent="0.2">
      <c r="A278">
        <v>277</v>
      </c>
      <c r="B278" s="1">
        <v>42373.507372685184</v>
      </c>
      <c r="C278" s="1">
        <v>42373.517789351848</v>
      </c>
      <c r="D278" t="s">
        <v>2</v>
      </c>
      <c r="G278" t="b">
        <v>0</v>
      </c>
      <c r="H278">
        <v>70803</v>
      </c>
      <c r="I278" s="6">
        <v>0</v>
      </c>
      <c r="J278" s="1">
        <v>42373.519849537035</v>
      </c>
      <c r="K278">
        <v>11.59</v>
      </c>
      <c r="L278" s="6">
        <f>('Pizza Sales Calculations'!$J278-'Pizza Sales Calculations'!$C278)*24*60</f>
        <v>2.9666666686534882</v>
      </c>
      <c r="M278">
        <f>COUNTA('Pizza Sales Calculations'!$D278:$F278)</f>
        <v>1</v>
      </c>
      <c r="R278" s="9">
        <f>IF('Pizza Sales Calculations'!$G278=TRUE, Parameters!$B$17*'Pizza Sales Calculations'!$L278*2, 0)</f>
        <v>0</v>
      </c>
      <c r="T278" s="6"/>
      <c r="U278" s="9"/>
    </row>
    <row r="279" spans="1:21" x14ac:dyDescent="0.2">
      <c r="A279">
        <v>278</v>
      </c>
      <c r="B279" s="1">
        <v>42373.541631944441</v>
      </c>
      <c r="C279" s="1">
        <v>42373.552048611113</v>
      </c>
      <c r="D279" t="s">
        <v>1</v>
      </c>
      <c r="E279" t="s">
        <v>2</v>
      </c>
      <c r="G279" t="b">
        <v>0</v>
      </c>
      <c r="H279">
        <v>70806</v>
      </c>
      <c r="I279" s="6">
        <v>0</v>
      </c>
      <c r="J279" s="1">
        <v>42373.554108796299</v>
      </c>
      <c r="K279">
        <v>19.579999999999998</v>
      </c>
      <c r="L279" s="6">
        <f>('Pizza Sales Calculations'!$J279-'Pizza Sales Calculations'!$C279)*24*60</f>
        <v>2.9666666686534882</v>
      </c>
      <c r="M279">
        <f>COUNTA('Pizza Sales Calculations'!$D279:$F279)</f>
        <v>2</v>
      </c>
      <c r="R279" s="9">
        <f>IF('Pizza Sales Calculations'!$G279=TRUE, Parameters!$B$17*'Pizza Sales Calculations'!$L279*2, 0)</f>
        <v>0</v>
      </c>
      <c r="T279" s="6"/>
      <c r="U279" s="9"/>
    </row>
    <row r="280" spans="1:21" x14ac:dyDescent="0.2">
      <c r="A280">
        <v>279</v>
      </c>
      <c r="B280" s="1">
        <v>42373.46292824074</v>
      </c>
      <c r="C280" s="1">
        <v>42373.473333333335</v>
      </c>
      <c r="D280" t="s">
        <v>2</v>
      </c>
      <c r="G280" t="b">
        <v>0</v>
      </c>
      <c r="H280">
        <v>70806</v>
      </c>
      <c r="I280" s="6">
        <v>0</v>
      </c>
      <c r="J280" s="1">
        <v>42373.475428240738</v>
      </c>
      <c r="K280">
        <v>11.59</v>
      </c>
      <c r="L280" s="6">
        <f>('Pizza Sales Calculations'!$J280-'Pizza Sales Calculations'!$C280)*24*60</f>
        <v>3.0166666593868285</v>
      </c>
      <c r="M280">
        <f>COUNTA('Pizza Sales Calculations'!$D280:$F280)</f>
        <v>1</v>
      </c>
      <c r="R280" s="9">
        <f>IF('Pizza Sales Calculations'!$G280=TRUE, Parameters!$B$17*'Pizza Sales Calculations'!$L280*2, 0)</f>
        <v>0</v>
      </c>
      <c r="T280" s="6"/>
      <c r="U280" s="9"/>
    </row>
    <row r="281" spans="1:21" x14ac:dyDescent="0.2">
      <c r="A281">
        <v>280</v>
      </c>
      <c r="B281" s="1">
        <v>42373.523113425923</v>
      </c>
      <c r="C281" s="1">
        <v>42373.533506944441</v>
      </c>
      <c r="D281" t="s">
        <v>1</v>
      </c>
      <c r="E281" t="s">
        <v>35</v>
      </c>
      <c r="G281" t="b">
        <v>1</v>
      </c>
      <c r="H281">
        <v>70805</v>
      </c>
      <c r="I281" s="6">
        <v>4.5322817038758503</v>
      </c>
      <c r="J281" s="1">
        <v>42373.54923611111</v>
      </c>
      <c r="K281">
        <v>23.34</v>
      </c>
      <c r="L281" s="6">
        <f>('Pizza Sales Calculations'!$J281-'Pizza Sales Calculations'!$C281)*24*60</f>
        <v>22.650000003632158</v>
      </c>
      <c r="M281">
        <f>COUNTA('Pizza Sales Calculations'!$D281:$F281)</f>
        <v>2</v>
      </c>
      <c r="R281" s="9">
        <f>IF('Pizza Sales Calculations'!$G281=TRUE, Parameters!$B$17*'Pizza Sales Calculations'!$L281*2, 0)</f>
        <v>6.4175000010291114</v>
      </c>
      <c r="T281" s="6"/>
      <c r="U281" s="9"/>
    </row>
    <row r="282" spans="1:21" x14ac:dyDescent="0.2">
      <c r="A282">
        <v>281</v>
      </c>
      <c r="B282" s="1">
        <v>42373.476967592593</v>
      </c>
      <c r="C282" s="1">
        <v>42373.487384259257</v>
      </c>
      <c r="D282" t="s">
        <v>1</v>
      </c>
      <c r="E282" t="s">
        <v>2</v>
      </c>
      <c r="G282" t="b">
        <v>1</v>
      </c>
      <c r="H282">
        <v>70804</v>
      </c>
      <c r="I282" s="6">
        <v>4.5106968873866098</v>
      </c>
      <c r="J282" s="1">
        <v>42373.50304398148</v>
      </c>
      <c r="K282">
        <v>19.579999999999998</v>
      </c>
      <c r="L282" s="6">
        <f>('Pizza Sales Calculations'!$J282-'Pizza Sales Calculations'!$C282)*24*60</f>
        <v>22.550000001210719</v>
      </c>
      <c r="M282">
        <f>COUNTA('Pizza Sales Calculations'!$D282:$F282)</f>
        <v>2</v>
      </c>
      <c r="R282" s="9">
        <f>IF('Pizza Sales Calculations'!$G282=TRUE, Parameters!$B$17*'Pizza Sales Calculations'!$L282*2, 0)</f>
        <v>6.3891666670097038</v>
      </c>
      <c r="T282" s="6"/>
      <c r="U282" s="9"/>
    </row>
    <row r="283" spans="1:21" x14ac:dyDescent="0.2">
      <c r="A283">
        <v>282</v>
      </c>
      <c r="B283" s="1">
        <v>42373.463993055557</v>
      </c>
      <c r="C283" s="1">
        <v>42373.474432870367</v>
      </c>
      <c r="D283" t="s">
        <v>1</v>
      </c>
      <c r="E283" t="s">
        <v>2</v>
      </c>
      <c r="G283" t="b">
        <v>1</v>
      </c>
      <c r="H283">
        <v>70804</v>
      </c>
      <c r="I283" s="6">
        <v>3.41479710854194</v>
      </c>
      <c r="J283" s="1">
        <v>42373.486284722225</v>
      </c>
      <c r="K283">
        <v>19.579999999999998</v>
      </c>
      <c r="L283" s="6">
        <f>('Pizza Sales Calculations'!$J283-'Pizza Sales Calculations'!$C283)*24*60</f>
        <v>17.066666674800217</v>
      </c>
      <c r="M283">
        <f>COUNTA('Pizza Sales Calculations'!$D283:$F283)</f>
        <v>2</v>
      </c>
      <c r="R283" s="9">
        <f>IF('Pizza Sales Calculations'!$G283=TRUE, Parameters!$B$17*'Pizza Sales Calculations'!$L283*2, 0)</f>
        <v>4.8355555578600615</v>
      </c>
      <c r="T283" s="6"/>
      <c r="U283" s="9"/>
    </row>
    <row r="284" spans="1:21" x14ac:dyDescent="0.2">
      <c r="A284">
        <v>283</v>
      </c>
      <c r="B284" s="1">
        <v>42373.582650462966</v>
      </c>
      <c r="C284" s="1">
        <v>42373.593032407407</v>
      </c>
      <c r="D284" t="s">
        <v>2</v>
      </c>
      <c r="G284" t="b">
        <v>0</v>
      </c>
      <c r="H284">
        <v>70804</v>
      </c>
      <c r="I284" s="6">
        <v>0</v>
      </c>
      <c r="J284" s="1">
        <v>42373.595127314817</v>
      </c>
      <c r="K284">
        <v>11.59</v>
      </c>
      <c r="L284" s="6">
        <f>('Pizza Sales Calculations'!$J284-'Pizza Sales Calculations'!$C284)*24*60</f>
        <v>3.0166666698642075</v>
      </c>
      <c r="M284">
        <f>COUNTA('Pizza Sales Calculations'!$D284:$F284)</f>
        <v>1</v>
      </c>
      <c r="R284" s="9">
        <f>IF('Pizza Sales Calculations'!$G284=TRUE, Parameters!$B$17*'Pizza Sales Calculations'!$L284*2, 0)</f>
        <v>0</v>
      </c>
      <c r="T284" s="6"/>
      <c r="U284" s="9"/>
    </row>
    <row r="285" spans="1:21" x14ac:dyDescent="0.2">
      <c r="A285">
        <v>284</v>
      </c>
      <c r="B285" s="1">
        <v>42373.468344907407</v>
      </c>
      <c r="C285" s="1">
        <v>42373.478750000002</v>
      </c>
      <c r="D285" t="s">
        <v>1</v>
      </c>
      <c r="E285" t="s">
        <v>35</v>
      </c>
      <c r="G285" t="b">
        <v>1</v>
      </c>
      <c r="H285">
        <v>70803</v>
      </c>
      <c r="I285" s="6">
        <v>1.44929961592026</v>
      </c>
      <c r="J285" s="1">
        <v>42373.483773148146</v>
      </c>
      <c r="K285">
        <v>23.34</v>
      </c>
      <c r="L285" s="6">
        <f>('Pizza Sales Calculations'!$J285-'Pizza Sales Calculations'!$C285)*24*60</f>
        <v>7.2333333268761635</v>
      </c>
      <c r="M285">
        <f>COUNTA('Pizza Sales Calculations'!$D285:$F285)</f>
        <v>2</v>
      </c>
      <c r="R285" s="9">
        <f>IF('Pizza Sales Calculations'!$G285=TRUE, Parameters!$B$17*'Pizza Sales Calculations'!$L285*2, 0)</f>
        <v>2.049444442614913</v>
      </c>
      <c r="T285" s="6"/>
      <c r="U285" s="9"/>
    </row>
    <row r="286" spans="1:21" x14ac:dyDescent="0.2">
      <c r="A286">
        <v>285</v>
      </c>
      <c r="B286" s="1">
        <v>42373.459618055553</v>
      </c>
      <c r="C286" s="1">
        <v>42373.47</v>
      </c>
      <c r="D286" t="s">
        <v>1</v>
      </c>
      <c r="G286" t="b">
        <v>1</v>
      </c>
      <c r="H286">
        <v>70805</v>
      </c>
      <c r="I286" s="6">
        <v>3.3353953721751499</v>
      </c>
      <c r="J286" s="1">
        <v>42373.481574074074</v>
      </c>
      <c r="K286">
        <v>7.99</v>
      </c>
      <c r="L286" s="6">
        <f>('Pizza Sales Calculations'!$J286-'Pizza Sales Calculations'!$C286)*24*60</f>
        <v>16.666666665114462</v>
      </c>
      <c r="M286">
        <f>COUNTA('Pizza Sales Calculations'!$D286:$F286)</f>
        <v>1</v>
      </c>
      <c r="R286" s="9">
        <f>IF('Pizza Sales Calculations'!$G286=TRUE, Parameters!$B$17*'Pizza Sales Calculations'!$L286*2, 0)</f>
        <v>4.722222221782431</v>
      </c>
      <c r="T286" s="6"/>
      <c r="U286" s="9"/>
    </row>
    <row r="287" spans="1:21" x14ac:dyDescent="0.2">
      <c r="A287">
        <v>286</v>
      </c>
      <c r="B287" s="1">
        <v>42373.496041666665</v>
      </c>
      <c r="C287" s="1">
        <v>42373.50644675926</v>
      </c>
      <c r="D287" t="s">
        <v>1</v>
      </c>
      <c r="E287" t="s">
        <v>2</v>
      </c>
      <c r="G287" t="b">
        <v>1</v>
      </c>
      <c r="H287">
        <v>70804</v>
      </c>
      <c r="I287" s="6">
        <v>4.1135598655945902</v>
      </c>
      <c r="J287" s="1">
        <v>42373.520729166667</v>
      </c>
      <c r="K287">
        <v>19.579999999999998</v>
      </c>
      <c r="L287" s="6">
        <f>('Pizza Sales Calculations'!$J287-'Pizza Sales Calculations'!$C287)*24*60</f>
        <v>20.566666665254161</v>
      </c>
      <c r="M287">
        <f>COUNTA('Pizza Sales Calculations'!$D287:$F287)</f>
        <v>2</v>
      </c>
      <c r="R287" s="9">
        <f>IF('Pizza Sales Calculations'!$G287=TRUE, Parameters!$B$17*'Pizza Sales Calculations'!$L287*2, 0)</f>
        <v>5.8272222218220122</v>
      </c>
      <c r="T287" s="6"/>
      <c r="U287" s="9"/>
    </row>
    <row r="288" spans="1:21" x14ac:dyDescent="0.2">
      <c r="A288">
        <v>287</v>
      </c>
      <c r="B288" s="1">
        <v>42373.531469907408</v>
      </c>
      <c r="C288" s="1">
        <v>42373.541875000003</v>
      </c>
      <c r="D288" t="s">
        <v>35</v>
      </c>
      <c r="G288" t="b">
        <v>1</v>
      </c>
      <c r="H288">
        <v>70805</v>
      </c>
      <c r="I288" s="6">
        <v>4.1103667311443299</v>
      </c>
      <c r="J288" s="1">
        <v>42373.556145833332</v>
      </c>
      <c r="K288">
        <v>15.35</v>
      </c>
      <c r="L288" s="6">
        <f>('Pizza Sales Calculations'!$J288-'Pizza Sales Calculations'!$C288)*24*60</f>
        <v>20.549999994691461</v>
      </c>
      <c r="M288">
        <f>COUNTA('Pizza Sales Calculations'!$D288:$F288)</f>
        <v>1</v>
      </c>
      <c r="R288" s="9">
        <f>IF('Pizza Sales Calculations'!$G288=TRUE, Parameters!$B$17*'Pizza Sales Calculations'!$L288*2, 0)</f>
        <v>5.822499998495914</v>
      </c>
      <c r="T288" s="6"/>
      <c r="U288" s="9"/>
    </row>
    <row r="289" spans="1:21" x14ac:dyDescent="0.2">
      <c r="A289">
        <v>288</v>
      </c>
      <c r="B289" s="1">
        <v>42373.428460648145</v>
      </c>
      <c r="C289" s="1">
        <v>42373.438877314817</v>
      </c>
      <c r="D289" t="s">
        <v>2</v>
      </c>
      <c r="G289" t="b">
        <v>0</v>
      </c>
      <c r="H289">
        <v>70803</v>
      </c>
      <c r="I289" s="6">
        <v>0</v>
      </c>
      <c r="J289" s="1">
        <v>42373.440960648149</v>
      </c>
      <c r="K289">
        <v>11.59</v>
      </c>
      <c r="L289" s="6">
        <f>('Pizza Sales Calculations'!$J289-'Pizza Sales Calculations'!$C289)*24*60</f>
        <v>2.9999999993015081</v>
      </c>
      <c r="M289">
        <f>COUNTA('Pizza Sales Calculations'!$D289:$F289)</f>
        <v>1</v>
      </c>
      <c r="R289" s="9">
        <f>IF('Pizza Sales Calculations'!$G289=TRUE, Parameters!$B$17*'Pizza Sales Calculations'!$L289*2, 0)</f>
        <v>0</v>
      </c>
      <c r="T289" s="6"/>
      <c r="U289" s="9"/>
    </row>
    <row r="290" spans="1:21" x14ac:dyDescent="0.2">
      <c r="A290">
        <v>289</v>
      </c>
      <c r="B290" s="1">
        <v>42373.480381944442</v>
      </c>
      <c r="C290" s="1">
        <v>42373.490798611114</v>
      </c>
      <c r="D290" t="s">
        <v>35</v>
      </c>
      <c r="G290" t="b">
        <v>1</v>
      </c>
      <c r="H290">
        <v>70805</v>
      </c>
      <c r="I290" s="6">
        <v>4.3627106236587601</v>
      </c>
      <c r="J290" s="1">
        <v>42373.505937499998</v>
      </c>
      <c r="K290">
        <v>15.35</v>
      </c>
      <c r="L290" s="6">
        <f>('Pizza Sales Calculations'!$J290-'Pizza Sales Calculations'!$C290)*24*60</f>
        <v>21.799999993527308</v>
      </c>
      <c r="M290">
        <f>COUNTA('Pizza Sales Calculations'!$D290:$F290)</f>
        <v>1</v>
      </c>
      <c r="R290" s="9">
        <f>IF('Pizza Sales Calculations'!$G290=TRUE, Parameters!$B$17*'Pizza Sales Calculations'!$L290*2, 0)</f>
        <v>6.1766666648327373</v>
      </c>
      <c r="T290" s="6"/>
      <c r="U290" s="9"/>
    </row>
    <row r="291" spans="1:21" x14ac:dyDescent="0.2">
      <c r="A291">
        <v>290</v>
      </c>
      <c r="B291" s="1">
        <v>42373.567118055558</v>
      </c>
      <c r="C291" s="1">
        <v>42373.577523148146</v>
      </c>
      <c r="D291" t="s">
        <v>2</v>
      </c>
      <c r="G291" t="b">
        <v>0</v>
      </c>
      <c r="H291">
        <v>70804</v>
      </c>
      <c r="I291" s="6">
        <v>0</v>
      </c>
      <c r="J291" s="1">
        <v>42373.579583333332</v>
      </c>
      <c r="K291">
        <v>11.59</v>
      </c>
      <c r="L291" s="6">
        <f>('Pizza Sales Calculations'!$J291-'Pizza Sales Calculations'!$C291)*24*60</f>
        <v>2.9666666686534882</v>
      </c>
      <c r="M291">
        <f>COUNTA('Pizza Sales Calculations'!$D291:$F291)</f>
        <v>1</v>
      </c>
      <c r="R291" s="9">
        <f>IF('Pizza Sales Calculations'!$G291=TRUE, Parameters!$B$17*'Pizza Sales Calculations'!$L291*2, 0)</f>
        <v>0</v>
      </c>
      <c r="T291" s="6"/>
      <c r="U291" s="9"/>
    </row>
    <row r="292" spans="1:21" x14ac:dyDescent="0.2">
      <c r="A292">
        <v>291</v>
      </c>
      <c r="B292" s="1">
        <v>42373.553773148145</v>
      </c>
      <c r="C292" s="1">
        <v>42373.56417824074</v>
      </c>
      <c r="D292" t="s">
        <v>1</v>
      </c>
      <c r="E292" t="s">
        <v>2</v>
      </c>
      <c r="G292" t="b">
        <v>1</v>
      </c>
      <c r="H292">
        <v>70803</v>
      </c>
      <c r="I292" s="6">
        <v>2.8789643115510901</v>
      </c>
      <c r="J292" s="1">
        <v>42373.574166666665</v>
      </c>
      <c r="K292">
        <v>19.579999999999998</v>
      </c>
      <c r="L292" s="6">
        <f>('Pizza Sales Calculations'!$J292-'Pizza Sales Calculations'!$C292)*24*60</f>
        <v>14.383333332370967</v>
      </c>
      <c r="M292">
        <f>COUNTA('Pizza Sales Calculations'!$D292:$F292)</f>
        <v>2</v>
      </c>
      <c r="R292" s="9">
        <f>IF('Pizza Sales Calculations'!$G292=TRUE, Parameters!$B$17*'Pizza Sales Calculations'!$L292*2, 0)</f>
        <v>4.0752777775051072</v>
      </c>
      <c r="T292" s="6"/>
      <c r="U292" s="9"/>
    </row>
    <row r="293" spans="1:21" x14ac:dyDescent="0.2">
      <c r="A293">
        <v>292</v>
      </c>
      <c r="B293" s="1">
        <v>42373.493414351855</v>
      </c>
      <c r="C293" s="1">
        <v>42373.503819444442</v>
      </c>
      <c r="D293" t="s">
        <v>1</v>
      </c>
      <c r="E293" t="s">
        <v>35</v>
      </c>
      <c r="G293" t="b">
        <v>0</v>
      </c>
      <c r="H293">
        <v>70804</v>
      </c>
      <c r="I293" s="6">
        <v>0</v>
      </c>
      <c r="J293" s="1">
        <v>42373.505879629629</v>
      </c>
      <c r="K293">
        <v>23.34</v>
      </c>
      <c r="L293" s="6">
        <f>('Pizza Sales Calculations'!$J293-'Pizza Sales Calculations'!$C293)*24*60</f>
        <v>2.9666666686534882</v>
      </c>
      <c r="M293">
        <f>COUNTA('Pizza Sales Calculations'!$D293:$F293)</f>
        <v>2</v>
      </c>
      <c r="R293" s="9">
        <f>IF('Pizza Sales Calculations'!$G293=TRUE, Parameters!$B$17*'Pizza Sales Calculations'!$L293*2, 0)</f>
        <v>0</v>
      </c>
      <c r="T293" s="6"/>
      <c r="U293" s="9"/>
    </row>
    <row r="294" spans="1:21" x14ac:dyDescent="0.2">
      <c r="A294">
        <v>293</v>
      </c>
      <c r="B294" s="1">
        <v>42373.561574074076</v>
      </c>
      <c r="C294" s="1">
        <v>42373.57199074074</v>
      </c>
      <c r="D294" t="s">
        <v>2</v>
      </c>
      <c r="G294" t="b">
        <v>0</v>
      </c>
      <c r="H294">
        <v>70804</v>
      </c>
      <c r="I294" s="6">
        <v>0</v>
      </c>
      <c r="J294" s="1">
        <v>42373.574074074073</v>
      </c>
      <c r="K294">
        <v>11.59</v>
      </c>
      <c r="L294" s="6">
        <f>('Pizza Sales Calculations'!$J294-'Pizza Sales Calculations'!$C294)*24*60</f>
        <v>2.9999999993015081</v>
      </c>
      <c r="M294">
        <f>COUNTA('Pizza Sales Calculations'!$D294:$F294)</f>
        <v>1</v>
      </c>
      <c r="R294" s="9">
        <f>IF('Pizza Sales Calculations'!$G294=TRUE, Parameters!$B$17*'Pizza Sales Calculations'!$L294*2, 0)</f>
        <v>0</v>
      </c>
      <c r="T294" s="6"/>
      <c r="U294" s="9"/>
    </row>
    <row r="295" spans="1:21" x14ac:dyDescent="0.2">
      <c r="A295">
        <v>294</v>
      </c>
      <c r="B295" s="1">
        <v>42373.449756944443</v>
      </c>
      <c r="C295" s="1">
        <v>42373.460173611114</v>
      </c>
      <c r="D295" t="s">
        <v>35</v>
      </c>
      <c r="G295" t="b">
        <v>1</v>
      </c>
      <c r="H295">
        <v>70804</v>
      </c>
      <c r="I295" s="6">
        <v>0.85822021595679199</v>
      </c>
      <c r="J295" s="1">
        <v>42373.463148148148</v>
      </c>
      <c r="K295">
        <v>15.35</v>
      </c>
      <c r="L295" s="6">
        <f>('Pizza Sales Calculations'!$J295-'Pizza Sales Calculations'!$C295)*24*60</f>
        <v>4.2833333287853748</v>
      </c>
      <c r="M295">
        <f>COUNTA('Pizza Sales Calculations'!$D295:$F295)</f>
        <v>1</v>
      </c>
      <c r="R295" s="9">
        <f>IF('Pizza Sales Calculations'!$G295=TRUE, Parameters!$B$17*'Pizza Sales Calculations'!$L295*2, 0)</f>
        <v>1.2136111098225228</v>
      </c>
      <c r="T295" s="6"/>
      <c r="U295" s="9"/>
    </row>
    <row r="296" spans="1:21" x14ac:dyDescent="0.2">
      <c r="A296">
        <v>295</v>
      </c>
      <c r="B296" s="1">
        <v>42373.475960648146</v>
      </c>
      <c r="C296" s="1">
        <v>42373.486342592594</v>
      </c>
      <c r="D296" t="s">
        <v>1</v>
      </c>
      <c r="G296" t="b">
        <v>1</v>
      </c>
      <c r="H296">
        <v>70806</v>
      </c>
      <c r="I296" s="6">
        <v>2.7576606316405798</v>
      </c>
      <c r="J296" s="1">
        <v>42373.49591435185</v>
      </c>
      <c r="K296">
        <v>7.99</v>
      </c>
      <c r="L296" s="6">
        <f>('Pizza Sales Calculations'!$J296-'Pizza Sales Calculations'!$C296)*24*60</f>
        <v>13.783333328319713</v>
      </c>
      <c r="M296">
        <f>COUNTA('Pizza Sales Calculations'!$D296:$F296)</f>
        <v>1</v>
      </c>
      <c r="R296" s="9">
        <f>IF('Pizza Sales Calculations'!$G296=TRUE, Parameters!$B$17*'Pizza Sales Calculations'!$L296*2, 0)</f>
        <v>3.9052777763572522</v>
      </c>
      <c r="T296" s="6"/>
      <c r="U296" s="9"/>
    </row>
    <row r="297" spans="1:21" x14ac:dyDescent="0.2">
      <c r="A297">
        <v>296</v>
      </c>
      <c r="B297" s="1">
        <v>42373.508043981485</v>
      </c>
      <c r="C297" s="1">
        <v>42373.518460648149</v>
      </c>
      <c r="D297" t="s">
        <v>1</v>
      </c>
      <c r="E297" t="s">
        <v>35</v>
      </c>
      <c r="G297" t="b">
        <v>1</v>
      </c>
      <c r="H297">
        <v>70806</v>
      </c>
      <c r="I297" s="6">
        <v>5.4427183981334801</v>
      </c>
      <c r="J297" s="1">
        <v>42373.537349537037</v>
      </c>
      <c r="K297">
        <v>23.34</v>
      </c>
      <c r="L297" s="6">
        <f>('Pizza Sales Calculations'!$J297-'Pizza Sales Calculations'!$C297)*24*60</f>
        <v>27.19999999855645</v>
      </c>
      <c r="M297">
        <f>COUNTA('Pizza Sales Calculations'!$D297:$F297)</f>
        <v>2</v>
      </c>
      <c r="R297" s="9">
        <f>IF('Pizza Sales Calculations'!$G297=TRUE, Parameters!$B$17*'Pizza Sales Calculations'!$L297*2, 0)</f>
        <v>7.7066666662576608</v>
      </c>
      <c r="T297" s="6"/>
      <c r="U297" s="9"/>
    </row>
    <row r="298" spans="1:21" x14ac:dyDescent="0.2">
      <c r="A298">
        <v>297</v>
      </c>
      <c r="B298" s="1">
        <v>42373.463842592595</v>
      </c>
      <c r="C298" s="1">
        <v>42373.474224537036</v>
      </c>
      <c r="D298" t="s">
        <v>1</v>
      </c>
      <c r="G298" t="b">
        <v>0</v>
      </c>
      <c r="H298">
        <v>70806</v>
      </c>
      <c r="I298" s="6">
        <v>0</v>
      </c>
      <c r="J298" s="1">
        <v>42373.476319444446</v>
      </c>
      <c r="K298">
        <v>7.99</v>
      </c>
      <c r="L298" s="6">
        <f>('Pizza Sales Calculations'!$J298-'Pizza Sales Calculations'!$C298)*24*60</f>
        <v>3.0166666698642075</v>
      </c>
      <c r="M298">
        <f>COUNTA('Pizza Sales Calculations'!$D298:$F298)</f>
        <v>1</v>
      </c>
      <c r="R298" s="9">
        <f>IF('Pizza Sales Calculations'!$G298=TRUE, Parameters!$B$17*'Pizza Sales Calculations'!$L298*2, 0)</f>
        <v>0</v>
      </c>
      <c r="T298" s="6"/>
      <c r="U298" s="9"/>
    </row>
    <row r="299" spans="1:21" x14ac:dyDescent="0.2">
      <c r="A299">
        <v>298</v>
      </c>
      <c r="B299" s="1">
        <v>42373.470694444448</v>
      </c>
      <c r="C299" s="1">
        <v>42373.481099537035</v>
      </c>
      <c r="D299" t="s">
        <v>2</v>
      </c>
      <c r="G299" t="b">
        <v>0</v>
      </c>
      <c r="H299">
        <v>70804</v>
      </c>
      <c r="I299" s="6">
        <v>0</v>
      </c>
      <c r="J299" s="1">
        <v>42373.483182870368</v>
      </c>
      <c r="K299">
        <v>11.59</v>
      </c>
      <c r="L299" s="6">
        <f>('Pizza Sales Calculations'!$J299-'Pizza Sales Calculations'!$C299)*24*60</f>
        <v>2.9999999993015081</v>
      </c>
      <c r="M299">
        <f>COUNTA('Pizza Sales Calculations'!$D299:$F299)</f>
        <v>1</v>
      </c>
      <c r="R299" s="9">
        <f>IF('Pizza Sales Calculations'!$G299=TRUE, Parameters!$B$17*'Pizza Sales Calculations'!$L299*2, 0)</f>
        <v>0</v>
      </c>
      <c r="T299" s="6"/>
      <c r="U299" s="9"/>
    </row>
    <row r="300" spans="1:21" x14ac:dyDescent="0.2">
      <c r="A300">
        <v>299</v>
      </c>
      <c r="B300" s="1">
        <v>42373.5312037037</v>
      </c>
      <c r="C300" s="1">
        <v>42373.541620370372</v>
      </c>
      <c r="D300" t="s">
        <v>2</v>
      </c>
      <c r="G300" t="b">
        <v>0</v>
      </c>
      <c r="H300">
        <v>70804</v>
      </c>
      <c r="I300" s="6">
        <v>0</v>
      </c>
      <c r="J300" s="1">
        <v>42373.543703703705</v>
      </c>
      <c r="K300">
        <v>11.59</v>
      </c>
      <c r="L300" s="6">
        <f>('Pizza Sales Calculations'!$J300-'Pizza Sales Calculations'!$C300)*24*60</f>
        <v>2.9999999993015081</v>
      </c>
      <c r="M300">
        <f>COUNTA('Pizza Sales Calculations'!$D300:$F300)</f>
        <v>1</v>
      </c>
      <c r="R300" s="9">
        <f>IF('Pizza Sales Calculations'!$G300=TRUE, Parameters!$B$17*'Pizza Sales Calculations'!$L300*2, 0)</f>
        <v>0</v>
      </c>
      <c r="T300" s="6"/>
      <c r="U300" s="9"/>
    </row>
    <row r="301" spans="1:21" x14ac:dyDescent="0.2">
      <c r="A301">
        <v>300</v>
      </c>
      <c r="B301" s="1">
        <v>42373.524317129632</v>
      </c>
      <c r="C301" s="1">
        <v>42373.534699074073</v>
      </c>
      <c r="D301" t="s">
        <v>2</v>
      </c>
      <c r="E301" t="s">
        <v>35</v>
      </c>
      <c r="G301" t="b">
        <v>1</v>
      </c>
      <c r="H301">
        <v>70805</v>
      </c>
      <c r="I301" s="6">
        <v>2.7654784714688598</v>
      </c>
      <c r="J301" s="1">
        <v>42373.544293981482</v>
      </c>
      <c r="K301">
        <v>25.94</v>
      </c>
      <c r="L301" s="6">
        <f>('Pizza Sales Calculations'!$J301-'Pizza Sales Calculations'!$C301)*24*60</f>
        <v>13.816666669445112</v>
      </c>
      <c r="M301">
        <f>COUNTA('Pizza Sales Calculations'!$D301:$F301)</f>
        <v>2</v>
      </c>
      <c r="R301" s="9">
        <f>IF('Pizza Sales Calculations'!$G301=TRUE, Parameters!$B$17*'Pizza Sales Calculations'!$L301*2, 0)</f>
        <v>3.9147222230094485</v>
      </c>
      <c r="T301" s="6"/>
      <c r="U301" s="9"/>
    </row>
    <row r="302" spans="1:21" x14ac:dyDescent="0.2">
      <c r="A302">
        <v>301</v>
      </c>
      <c r="B302" s="1">
        <v>42373.483715277776</v>
      </c>
      <c r="C302" s="1">
        <v>42373.494120370371</v>
      </c>
      <c r="D302" t="s">
        <v>1</v>
      </c>
      <c r="G302" t="b">
        <v>0</v>
      </c>
      <c r="H302">
        <v>70805</v>
      </c>
      <c r="I302" s="6">
        <v>0</v>
      </c>
      <c r="J302" s="1">
        <v>42373.496203703704</v>
      </c>
      <c r="K302">
        <v>7.99</v>
      </c>
      <c r="L302" s="6">
        <f>('Pizza Sales Calculations'!$J302-'Pizza Sales Calculations'!$C302)*24*60</f>
        <v>2.9999999993015081</v>
      </c>
      <c r="M302">
        <f>COUNTA('Pizza Sales Calculations'!$D302:$F302)</f>
        <v>1</v>
      </c>
      <c r="R302" s="9">
        <f>IF('Pizza Sales Calculations'!$G302=TRUE, Parameters!$B$17*'Pizza Sales Calculations'!$L302*2, 0)</f>
        <v>0</v>
      </c>
      <c r="T302" s="6"/>
      <c r="U302" s="9"/>
    </row>
    <row r="303" spans="1:21" x14ac:dyDescent="0.2">
      <c r="A303">
        <v>302</v>
      </c>
      <c r="B303" s="1">
        <v>42373.553148148145</v>
      </c>
      <c r="C303" s="1">
        <v>42373.56355324074</v>
      </c>
      <c r="D303" t="s">
        <v>1</v>
      </c>
      <c r="E303" t="s">
        <v>2</v>
      </c>
      <c r="G303" t="b">
        <v>0</v>
      </c>
      <c r="H303">
        <v>70803</v>
      </c>
      <c r="I303" s="6">
        <v>0</v>
      </c>
      <c r="J303" s="1">
        <v>42373.565613425926</v>
      </c>
      <c r="K303">
        <v>19.579999999999998</v>
      </c>
      <c r="L303" s="6">
        <f>('Pizza Sales Calculations'!$J303-'Pizza Sales Calculations'!$C303)*24*60</f>
        <v>2.9666666686534882</v>
      </c>
      <c r="M303">
        <f>COUNTA('Pizza Sales Calculations'!$D303:$F303)</f>
        <v>2</v>
      </c>
      <c r="R303" s="9">
        <f>IF('Pizza Sales Calculations'!$G303=TRUE, Parameters!$B$17*'Pizza Sales Calculations'!$L303*2, 0)</f>
        <v>0</v>
      </c>
      <c r="T303" s="6"/>
      <c r="U303" s="9"/>
    </row>
    <row r="304" spans="1:21" x14ac:dyDescent="0.2">
      <c r="A304">
        <v>303</v>
      </c>
      <c r="B304" s="1">
        <v>42373.481574074074</v>
      </c>
      <c r="C304" s="1">
        <v>42373.491990740738</v>
      </c>
      <c r="D304" t="s">
        <v>2</v>
      </c>
      <c r="G304" t="b">
        <v>1</v>
      </c>
      <c r="H304">
        <v>70803</v>
      </c>
      <c r="I304" s="6">
        <v>2.2972406791594602</v>
      </c>
      <c r="J304" s="1">
        <v>42373.499965277777</v>
      </c>
      <c r="K304">
        <v>11.59</v>
      </c>
      <c r="L304" s="6">
        <f>('Pizza Sales Calculations'!$J304-'Pizza Sales Calculations'!$C304)*24*60</f>
        <v>11.483333335490897</v>
      </c>
      <c r="M304">
        <f>COUNTA('Pizza Sales Calculations'!$D304:$F304)</f>
        <v>1</v>
      </c>
      <c r="R304" s="9">
        <f>IF('Pizza Sales Calculations'!$G304=TRUE, Parameters!$B$17*'Pizza Sales Calculations'!$L304*2, 0)</f>
        <v>3.2536111117224209</v>
      </c>
      <c r="T304" s="6"/>
      <c r="U304" s="9"/>
    </row>
    <row r="305" spans="1:21" x14ac:dyDescent="0.2">
      <c r="A305">
        <v>304</v>
      </c>
      <c r="B305" s="1">
        <v>42373.570937500001</v>
      </c>
      <c r="C305" s="1">
        <v>42373.581331018519</v>
      </c>
      <c r="D305" t="s">
        <v>1</v>
      </c>
      <c r="G305" t="b">
        <v>1</v>
      </c>
      <c r="H305">
        <v>70803</v>
      </c>
      <c r="I305" s="6">
        <v>3.6674402932149501</v>
      </c>
      <c r="J305" s="1">
        <v>42373.5940625</v>
      </c>
      <c r="K305">
        <v>7.99</v>
      </c>
      <c r="L305" s="6">
        <f>('Pizza Sales Calculations'!$J305-'Pizza Sales Calculations'!$C305)*24*60</f>
        <v>18.333333333721384</v>
      </c>
      <c r="M305">
        <f>COUNTA('Pizza Sales Calculations'!$D305:$F305)</f>
        <v>1</v>
      </c>
      <c r="R305" s="9">
        <f>IF('Pizza Sales Calculations'!$G305=TRUE, Parameters!$B$17*'Pizza Sales Calculations'!$L305*2, 0)</f>
        <v>5.1944444445543922</v>
      </c>
      <c r="T305" s="6"/>
      <c r="U305" s="9"/>
    </row>
    <row r="306" spans="1:21" x14ac:dyDescent="0.2">
      <c r="A306">
        <v>305</v>
      </c>
      <c r="B306" s="1">
        <v>42373.5937037037</v>
      </c>
      <c r="C306" s="1">
        <v>42373.604108796295</v>
      </c>
      <c r="D306" t="s">
        <v>2</v>
      </c>
      <c r="E306" t="s">
        <v>35</v>
      </c>
      <c r="G306" t="b">
        <v>0</v>
      </c>
      <c r="H306">
        <v>70805</v>
      </c>
      <c r="I306" s="6">
        <v>0</v>
      </c>
      <c r="J306" s="1">
        <v>42373.606168981481</v>
      </c>
      <c r="K306">
        <v>25.94</v>
      </c>
      <c r="L306" s="6">
        <f>('Pizza Sales Calculations'!$J306-'Pizza Sales Calculations'!$C306)*24*60</f>
        <v>2.9666666686534882</v>
      </c>
      <c r="M306">
        <f>COUNTA('Pizza Sales Calculations'!$D306:$F306)</f>
        <v>2</v>
      </c>
      <c r="R306" s="9">
        <f>IF('Pizza Sales Calculations'!$G306=TRUE, Parameters!$B$17*'Pizza Sales Calculations'!$L306*2, 0)</f>
        <v>0</v>
      </c>
      <c r="T306" s="6"/>
      <c r="U306" s="9"/>
    </row>
    <row r="307" spans="1:21" x14ac:dyDescent="0.2">
      <c r="A307">
        <v>306</v>
      </c>
      <c r="B307" s="1">
        <v>42373.462106481478</v>
      </c>
      <c r="C307" s="1">
        <v>42373.47252314815</v>
      </c>
      <c r="D307" t="s">
        <v>1</v>
      </c>
      <c r="E307" t="s">
        <v>2</v>
      </c>
      <c r="G307" t="b">
        <v>0</v>
      </c>
      <c r="H307">
        <v>70803</v>
      </c>
      <c r="I307" s="6">
        <v>0</v>
      </c>
      <c r="J307" s="1">
        <v>42373.474594907406</v>
      </c>
      <c r="K307">
        <v>19.579999999999998</v>
      </c>
      <c r="L307" s="6">
        <f>('Pizza Sales Calculations'!$J307-'Pizza Sales Calculations'!$C307)*24*60</f>
        <v>2.9833333287388086</v>
      </c>
      <c r="M307">
        <f>COUNTA('Pizza Sales Calculations'!$D307:$F307)</f>
        <v>2</v>
      </c>
      <c r="R307" s="9">
        <f>IF('Pizza Sales Calculations'!$G307=TRUE, Parameters!$B$17*'Pizza Sales Calculations'!$L307*2, 0)</f>
        <v>0</v>
      </c>
      <c r="T307" s="6"/>
      <c r="U307" s="9"/>
    </row>
    <row r="308" spans="1:21" x14ac:dyDescent="0.2">
      <c r="A308">
        <v>307</v>
      </c>
      <c r="B308" s="1">
        <v>42373.426666666666</v>
      </c>
      <c r="C308" s="1">
        <v>42373.437083333331</v>
      </c>
      <c r="D308" t="s">
        <v>2</v>
      </c>
      <c r="G308" t="b">
        <v>1</v>
      </c>
      <c r="H308">
        <v>70805</v>
      </c>
      <c r="I308" s="6">
        <v>1.49603457499874</v>
      </c>
      <c r="J308" s="1">
        <v>42373.44226851852</v>
      </c>
      <c r="K308">
        <v>11.59</v>
      </c>
      <c r="L308" s="6">
        <f>('Pizza Sales Calculations'!$J308-'Pizza Sales Calculations'!$C308)*24*60</f>
        <v>7.4666666728444397</v>
      </c>
      <c r="M308">
        <f>COUNTA('Pizza Sales Calculations'!$D308:$F308)</f>
        <v>1</v>
      </c>
      <c r="R308" s="9">
        <f>IF('Pizza Sales Calculations'!$G308=TRUE, Parameters!$B$17*'Pizza Sales Calculations'!$L308*2, 0)</f>
        <v>2.1155555573059246</v>
      </c>
      <c r="T308" s="6"/>
      <c r="U308" s="9"/>
    </row>
    <row r="309" spans="1:21" x14ac:dyDescent="0.2">
      <c r="A309">
        <v>308</v>
      </c>
      <c r="B309" s="1">
        <v>42373.510763888888</v>
      </c>
      <c r="C309" s="1">
        <v>42373.521168981482</v>
      </c>
      <c r="D309" t="s">
        <v>2</v>
      </c>
      <c r="G309" t="b">
        <v>0</v>
      </c>
      <c r="H309">
        <v>70804</v>
      </c>
      <c r="I309" s="6">
        <v>0</v>
      </c>
      <c r="J309" s="1">
        <v>42373.523240740738</v>
      </c>
      <c r="K309">
        <v>11.59</v>
      </c>
      <c r="L309" s="6">
        <f>('Pizza Sales Calculations'!$J309-'Pizza Sales Calculations'!$C309)*24*60</f>
        <v>2.9833333287388086</v>
      </c>
      <c r="M309">
        <f>COUNTA('Pizza Sales Calculations'!$D309:$F309)</f>
        <v>1</v>
      </c>
      <c r="R309" s="9">
        <f>IF('Pizza Sales Calculations'!$G309=TRUE, Parameters!$B$17*'Pizza Sales Calculations'!$L309*2, 0)</f>
        <v>0</v>
      </c>
      <c r="T309" s="6"/>
      <c r="U309" s="9"/>
    </row>
    <row r="310" spans="1:21" x14ac:dyDescent="0.2">
      <c r="A310">
        <v>309</v>
      </c>
      <c r="B310" s="1">
        <v>42373.570729166669</v>
      </c>
      <c r="C310" s="1">
        <v>42373.581134259257</v>
      </c>
      <c r="D310" t="s">
        <v>1</v>
      </c>
      <c r="E310" t="s">
        <v>2</v>
      </c>
      <c r="G310" t="b">
        <v>0</v>
      </c>
      <c r="H310">
        <v>70806</v>
      </c>
      <c r="I310" s="6">
        <v>0</v>
      </c>
      <c r="J310" s="1">
        <v>42373.58321759259</v>
      </c>
      <c r="K310">
        <v>19.579999999999998</v>
      </c>
      <c r="L310" s="6">
        <f>('Pizza Sales Calculations'!$J310-'Pizza Sales Calculations'!$C310)*24*60</f>
        <v>2.9999999993015081</v>
      </c>
      <c r="M310">
        <f>COUNTA('Pizza Sales Calculations'!$D310:$F310)</f>
        <v>2</v>
      </c>
      <c r="R310" s="9">
        <f>IF('Pizza Sales Calculations'!$G310=TRUE, Parameters!$B$17*'Pizza Sales Calculations'!$L310*2, 0)</f>
        <v>0</v>
      </c>
      <c r="T310" s="6"/>
      <c r="U310" s="9"/>
    </row>
    <row r="311" spans="1:21" x14ac:dyDescent="0.2">
      <c r="A311">
        <v>310</v>
      </c>
      <c r="B311" s="1">
        <v>42373.457858796297</v>
      </c>
      <c r="C311" s="1">
        <v>42373.468275462961</v>
      </c>
      <c r="D311" t="s">
        <v>1</v>
      </c>
      <c r="G311" t="b">
        <v>1</v>
      </c>
      <c r="H311">
        <v>70805</v>
      </c>
      <c r="I311" s="6">
        <v>1.5562672956102299</v>
      </c>
      <c r="J311" s="1">
        <v>42373.473668981482</v>
      </c>
      <c r="K311">
        <v>7.99</v>
      </c>
      <c r="L311" s="6">
        <f>('Pizza Sales Calculations'!$J311-'Pizza Sales Calculations'!$C311)*24*60</f>
        <v>7.7666666696313769</v>
      </c>
      <c r="M311">
        <f>COUNTA('Pizza Sales Calculations'!$D311:$F311)</f>
        <v>1</v>
      </c>
      <c r="R311" s="9">
        <f>IF('Pizza Sales Calculations'!$G311=TRUE, Parameters!$B$17*'Pizza Sales Calculations'!$L311*2, 0)</f>
        <v>2.2005555563955568</v>
      </c>
      <c r="T311" s="6"/>
      <c r="U311" s="9"/>
    </row>
    <row r="312" spans="1:21" x14ac:dyDescent="0.2">
      <c r="A312">
        <v>311</v>
      </c>
      <c r="B312" s="1">
        <v>42373.495717592596</v>
      </c>
      <c r="C312" s="1">
        <v>42373.506122685183</v>
      </c>
      <c r="D312" t="s">
        <v>35</v>
      </c>
      <c r="G312" t="b">
        <v>0</v>
      </c>
      <c r="H312">
        <v>70803</v>
      </c>
      <c r="I312" s="6">
        <v>0</v>
      </c>
      <c r="J312" s="1">
        <v>42373.508206018516</v>
      </c>
      <c r="K312">
        <v>15.35</v>
      </c>
      <c r="L312" s="6">
        <f>('Pizza Sales Calculations'!$J312-'Pizza Sales Calculations'!$C312)*24*60</f>
        <v>2.9999999993015081</v>
      </c>
      <c r="M312">
        <f>COUNTA('Pizza Sales Calculations'!$D312:$F312)</f>
        <v>1</v>
      </c>
      <c r="R312" s="9">
        <f>IF('Pizza Sales Calculations'!$G312=TRUE, Parameters!$B$17*'Pizza Sales Calculations'!$L312*2, 0)</f>
        <v>0</v>
      </c>
      <c r="T312" s="6"/>
      <c r="U312" s="9"/>
    </row>
    <row r="313" spans="1:21" x14ac:dyDescent="0.2">
      <c r="A313">
        <v>312</v>
      </c>
      <c r="B313" s="1">
        <v>42373.426134259258</v>
      </c>
      <c r="C313" s="1">
        <v>42373.436527777776</v>
      </c>
      <c r="D313" t="s">
        <v>1</v>
      </c>
      <c r="E313" t="s">
        <v>2</v>
      </c>
      <c r="G313" t="b">
        <v>0</v>
      </c>
      <c r="H313">
        <v>70807</v>
      </c>
      <c r="I313" s="6">
        <v>0</v>
      </c>
      <c r="J313" s="1">
        <v>42373.438599537039</v>
      </c>
      <c r="K313">
        <v>19.579999999999998</v>
      </c>
      <c r="L313" s="6">
        <f>('Pizza Sales Calculations'!$J313-'Pizza Sales Calculations'!$C313)*24*60</f>
        <v>2.9833333392161876</v>
      </c>
      <c r="M313">
        <f>COUNTA('Pizza Sales Calculations'!$D313:$F313)</f>
        <v>2</v>
      </c>
      <c r="R313" s="9">
        <f>IF('Pizza Sales Calculations'!$G313=TRUE, Parameters!$B$17*'Pizza Sales Calculations'!$L313*2, 0)</f>
        <v>0</v>
      </c>
      <c r="T313" s="6"/>
      <c r="U313" s="9"/>
    </row>
    <row r="314" spans="1:21" x14ac:dyDescent="0.2">
      <c r="A314">
        <v>313</v>
      </c>
      <c r="B314" s="1">
        <v>42373.435439814813</v>
      </c>
      <c r="C314" s="1">
        <v>42373.445856481485</v>
      </c>
      <c r="D314" t="s">
        <v>35</v>
      </c>
      <c r="G314" t="b">
        <v>0</v>
      </c>
      <c r="H314">
        <v>70804</v>
      </c>
      <c r="I314" s="6">
        <v>0</v>
      </c>
      <c r="J314" s="1">
        <v>42373.447928240741</v>
      </c>
      <c r="K314">
        <v>15.35</v>
      </c>
      <c r="L314" s="6">
        <f>('Pizza Sales Calculations'!$J314-'Pizza Sales Calculations'!$C314)*24*60</f>
        <v>2.9833333287388086</v>
      </c>
      <c r="M314">
        <f>COUNTA('Pizza Sales Calculations'!$D314:$F314)</f>
        <v>1</v>
      </c>
      <c r="R314" s="9">
        <f>IF('Pizza Sales Calculations'!$G314=TRUE, Parameters!$B$17*'Pizza Sales Calculations'!$L314*2, 0)</f>
        <v>0</v>
      </c>
      <c r="T314" s="6"/>
      <c r="U314" s="9"/>
    </row>
    <row r="315" spans="1:21" x14ac:dyDescent="0.2">
      <c r="A315">
        <v>314</v>
      </c>
      <c r="B315" s="1">
        <v>42373.499895833331</v>
      </c>
      <c r="C315" s="1">
        <v>42373.510312500002</v>
      </c>
      <c r="D315" t="s">
        <v>35</v>
      </c>
      <c r="G315" t="b">
        <v>0</v>
      </c>
      <c r="H315">
        <v>70805</v>
      </c>
      <c r="I315" s="6">
        <v>0</v>
      </c>
      <c r="J315" s="1">
        <v>42373.512384259258</v>
      </c>
      <c r="K315">
        <v>15.35</v>
      </c>
      <c r="L315" s="6">
        <f>('Pizza Sales Calculations'!$J315-'Pizza Sales Calculations'!$C315)*24*60</f>
        <v>2.9833333287388086</v>
      </c>
      <c r="M315">
        <f>COUNTA('Pizza Sales Calculations'!$D315:$F315)</f>
        <v>1</v>
      </c>
      <c r="R315" s="9">
        <f>IF('Pizza Sales Calculations'!$G315=TRUE, Parameters!$B$17*'Pizza Sales Calculations'!$L315*2, 0)</f>
        <v>0</v>
      </c>
      <c r="T315" s="6"/>
      <c r="U315" s="9"/>
    </row>
    <row r="316" spans="1:21" x14ac:dyDescent="0.2">
      <c r="A316">
        <v>315</v>
      </c>
      <c r="B316" s="1">
        <v>42373.485856481479</v>
      </c>
      <c r="C316" s="1">
        <v>42373.49628472222</v>
      </c>
      <c r="D316" t="s">
        <v>1</v>
      </c>
      <c r="G316" t="b">
        <v>0</v>
      </c>
      <c r="H316">
        <v>70804</v>
      </c>
      <c r="I316" s="6">
        <v>0</v>
      </c>
      <c r="J316" s="1">
        <v>42373.498356481483</v>
      </c>
      <c r="K316">
        <v>7.99</v>
      </c>
      <c r="L316" s="6">
        <f>('Pizza Sales Calculations'!$J316-'Pizza Sales Calculations'!$C316)*24*60</f>
        <v>2.9833333392161876</v>
      </c>
      <c r="M316">
        <f>COUNTA('Pizza Sales Calculations'!$D316:$F316)</f>
        <v>1</v>
      </c>
      <c r="R316" s="9">
        <f>IF('Pizza Sales Calculations'!$G316=TRUE, Parameters!$B$17*'Pizza Sales Calculations'!$L316*2, 0)</f>
        <v>0</v>
      </c>
      <c r="T316" s="6"/>
      <c r="U316" s="9"/>
    </row>
    <row r="317" spans="1:21" x14ac:dyDescent="0.2">
      <c r="A317">
        <v>316</v>
      </c>
      <c r="B317" s="1">
        <v>42373.479722222219</v>
      </c>
      <c r="C317" s="1">
        <v>42373.49013888889</v>
      </c>
      <c r="D317" t="s">
        <v>35</v>
      </c>
      <c r="G317" t="b">
        <v>0</v>
      </c>
      <c r="H317">
        <v>70803</v>
      </c>
      <c r="I317" s="6">
        <v>0</v>
      </c>
      <c r="J317" s="1">
        <v>42373.492210648146</v>
      </c>
      <c r="K317">
        <v>15.35</v>
      </c>
      <c r="L317" s="6">
        <f>('Pizza Sales Calculations'!$J317-'Pizza Sales Calculations'!$C317)*24*60</f>
        <v>2.9833333287388086</v>
      </c>
      <c r="M317">
        <f>COUNTA('Pizza Sales Calculations'!$D317:$F317)</f>
        <v>1</v>
      </c>
      <c r="R317" s="9">
        <f>IF('Pizza Sales Calculations'!$G317=TRUE, Parameters!$B$17*'Pizza Sales Calculations'!$L317*2, 0)</f>
        <v>0</v>
      </c>
      <c r="T317" s="6"/>
      <c r="U317" s="9"/>
    </row>
    <row r="318" spans="1:21" x14ac:dyDescent="0.2">
      <c r="A318">
        <v>317</v>
      </c>
      <c r="B318" s="1">
        <v>42373.568796296298</v>
      </c>
      <c r="C318" s="1">
        <v>42373.579201388886</v>
      </c>
      <c r="D318" t="s">
        <v>1</v>
      </c>
      <c r="G318" t="b">
        <v>0</v>
      </c>
      <c r="H318">
        <v>70806</v>
      </c>
      <c r="I318" s="6">
        <v>0</v>
      </c>
      <c r="J318" s="1">
        <v>42373.581273148149</v>
      </c>
      <c r="K318">
        <v>7.99</v>
      </c>
      <c r="L318" s="6">
        <f>('Pizza Sales Calculations'!$J318-'Pizza Sales Calculations'!$C318)*24*60</f>
        <v>2.9833333392161876</v>
      </c>
      <c r="M318">
        <f>COUNTA('Pizza Sales Calculations'!$D318:$F318)</f>
        <v>1</v>
      </c>
      <c r="R318" s="9">
        <f>IF('Pizza Sales Calculations'!$G318=TRUE, Parameters!$B$17*'Pizza Sales Calculations'!$L318*2, 0)</f>
        <v>0</v>
      </c>
      <c r="T318" s="6"/>
      <c r="U318" s="9"/>
    </row>
    <row r="319" spans="1:21" x14ac:dyDescent="0.2">
      <c r="A319">
        <v>318</v>
      </c>
      <c r="B319" s="1">
        <v>42373.471875000003</v>
      </c>
      <c r="C319" s="1">
        <v>42373.48228009259</v>
      </c>
      <c r="D319" t="s">
        <v>35</v>
      </c>
      <c r="G319" t="b">
        <v>0</v>
      </c>
      <c r="H319">
        <v>70805</v>
      </c>
      <c r="I319" s="6">
        <v>0</v>
      </c>
      <c r="J319" s="1">
        <v>42373.484375</v>
      </c>
      <c r="K319">
        <v>15.35</v>
      </c>
      <c r="L319" s="6">
        <f>('Pizza Sales Calculations'!$J319-'Pizza Sales Calculations'!$C319)*24*60</f>
        <v>3.0166666698642075</v>
      </c>
      <c r="M319">
        <f>COUNTA('Pizza Sales Calculations'!$D319:$F319)</f>
        <v>1</v>
      </c>
      <c r="R319" s="9">
        <f>IF('Pizza Sales Calculations'!$G319=TRUE, Parameters!$B$17*'Pizza Sales Calculations'!$L319*2, 0)</f>
        <v>0</v>
      </c>
      <c r="T319" s="6"/>
      <c r="U319" s="9"/>
    </row>
    <row r="320" spans="1:21" x14ac:dyDescent="0.2">
      <c r="A320">
        <v>319</v>
      </c>
      <c r="B320" s="1">
        <v>42373.485243055555</v>
      </c>
      <c r="C320" s="1">
        <v>42373.495648148149</v>
      </c>
      <c r="D320" t="s">
        <v>1</v>
      </c>
      <c r="G320" t="b">
        <v>1</v>
      </c>
      <c r="H320">
        <v>70808</v>
      </c>
      <c r="I320" s="6">
        <v>0.91607002028784201</v>
      </c>
      <c r="J320" s="1">
        <v>42373.498819444445</v>
      </c>
      <c r="K320">
        <v>7.99</v>
      </c>
      <c r="L320" s="6">
        <f>('Pizza Sales Calculations'!$J320-'Pizza Sales Calculations'!$C320)*24*60</f>
        <v>4.5666666654869914</v>
      </c>
      <c r="M320">
        <f>COUNTA('Pizza Sales Calculations'!$D320:$F320)</f>
        <v>1</v>
      </c>
      <c r="R320" s="9">
        <f>IF('Pizza Sales Calculations'!$G320=TRUE, Parameters!$B$17*'Pizza Sales Calculations'!$L320*2, 0)</f>
        <v>1.2938888885546476</v>
      </c>
      <c r="T320" s="6"/>
      <c r="U320" s="9"/>
    </row>
    <row r="321" spans="1:21" x14ac:dyDescent="0.2">
      <c r="A321">
        <v>320</v>
      </c>
      <c r="B321" s="1">
        <v>42373.430069444446</v>
      </c>
      <c r="C321" s="1">
        <v>42373.440497685187</v>
      </c>
      <c r="D321" t="s">
        <v>1</v>
      </c>
      <c r="G321" t="b">
        <v>0</v>
      </c>
      <c r="H321">
        <v>70803</v>
      </c>
      <c r="I321" s="6">
        <v>0</v>
      </c>
      <c r="J321" s="1">
        <v>42373.442557870374</v>
      </c>
      <c r="K321">
        <v>7.99</v>
      </c>
      <c r="L321" s="6">
        <f>('Pizza Sales Calculations'!$J321-'Pizza Sales Calculations'!$C321)*24*60</f>
        <v>2.9666666686534882</v>
      </c>
      <c r="M321">
        <f>COUNTA('Pizza Sales Calculations'!$D321:$F321)</f>
        <v>1</v>
      </c>
      <c r="R321" s="9">
        <f>IF('Pizza Sales Calculations'!$G321=TRUE, Parameters!$B$17*'Pizza Sales Calculations'!$L321*2, 0)</f>
        <v>0</v>
      </c>
      <c r="T321" s="6"/>
      <c r="U321" s="9"/>
    </row>
    <row r="322" spans="1:21" x14ac:dyDescent="0.2">
      <c r="A322">
        <v>321</v>
      </c>
      <c r="B322" s="1">
        <v>42373.476620370369</v>
      </c>
      <c r="C322" s="1">
        <v>42373.487025462964</v>
      </c>
      <c r="D322" t="s">
        <v>35</v>
      </c>
      <c r="G322" t="b">
        <v>1</v>
      </c>
      <c r="H322">
        <v>70807</v>
      </c>
      <c r="I322" s="6">
        <v>5.5330215012028399</v>
      </c>
      <c r="J322" s="1">
        <v>42373.506226851852</v>
      </c>
      <c r="K322">
        <v>15.35</v>
      </c>
      <c r="L322" s="6">
        <f>('Pizza Sales Calculations'!$J322-'Pizza Sales Calculations'!$C322)*24*60</f>
        <v>27.649999998975545</v>
      </c>
      <c r="M322">
        <f>COUNTA('Pizza Sales Calculations'!$D322:$F322)</f>
        <v>1</v>
      </c>
      <c r="R322" s="9">
        <f>IF('Pizza Sales Calculations'!$G322=TRUE, Parameters!$B$17*'Pizza Sales Calculations'!$L322*2, 0)</f>
        <v>7.8341666663764045</v>
      </c>
      <c r="T322" s="6"/>
      <c r="U322" s="9"/>
    </row>
    <row r="323" spans="1:21" x14ac:dyDescent="0.2">
      <c r="A323">
        <v>322</v>
      </c>
      <c r="B323" s="1">
        <v>42373.515706018516</v>
      </c>
      <c r="C323" s="1">
        <v>42373.526122685187</v>
      </c>
      <c r="D323" t="s">
        <v>1</v>
      </c>
      <c r="E323" t="s">
        <v>35</v>
      </c>
      <c r="G323" t="b">
        <v>0</v>
      </c>
      <c r="H323">
        <v>70803</v>
      </c>
      <c r="I323" s="6">
        <v>0</v>
      </c>
      <c r="J323" s="1">
        <v>42373.528194444443</v>
      </c>
      <c r="K323">
        <v>23.34</v>
      </c>
      <c r="L323" s="6">
        <f>('Pizza Sales Calculations'!$J323-'Pizza Sales Calculations'!$C323)*24*60</f>
        <v>2.9833333287388086</v>
      </c>
      <c r="M323">
        <f>COUNTA('Pizza Sales Calculations'!$D323:$F323)</f>
        <v>2</v>
      </c>
      <c r="R323" s="9">
        <f>IF('Pizza Sales Calculations'!$G323=TRUE, Parameters!$B$17*'Pizza Sales Calculations'!$L323*2, 0)</f>
        <v>0</v>
      </c>
      <c r="T323" s="6"/>
      <c r="U323" s="9"/>
    </row>
    <row r="324" spans="1:21" x14ac:dyDescent="0.2">
      <c r="A324">
        <v>323</v>
      </c>
      <c r="B324" s="1">
        <v>42373.435185185182</v>
      </c>
      <c r="C324" s="1">
        <v>42373.445613425924</v>
      </c>
      <c r="D324" t="s">
        <v>2</v>
      </c>
      <c r="G324" t="b">
        <v>0</v>
      </c>
      <c r="H324">
        <v>70805</v>
      </c>
      <c r="I324" s="6">
        <v>0</v>
      </c>
      <c r="J324" s="1">
        <v>42373.44767361111</v>
      </c>
      <c r="K324">
        <v>11.59</v>
      </c>
      <c r="L324" s="6">
        <f>('Pizza Sales Calculations'!$J324-'Pizza Sales Calculations'!$C324)*24*60</f>
        <v>2.9666666686534882</v>
      </c>
      <c r="M324">
        <f>COUNTA('Pizza Sales Calculations'!$D324:$F324)</f>
        <v>1</v>
      </c>
      <c r="R324" s="9">
        <f>IF('Pizza Sales Calculations'!$G324=TRUE, Parameters!$B$17*'Pizza Sales Calculations'!$L324*2, 0)</f>
        <v>0</v>
      </c>
      <c r="T324" s="6"/>
      <c r="U324" s="9"/>
    </row>
    <row r="325" spans="1:21" x14ac:dyDescent="0.2">
      <c r="A325">
        <v>324</v>
      </c>
      <c r="B325" s="1">
        <v>42373.442187499997</v>
      </c>
      <c r="C325" s="1">
        <v>42373.452615740738</v>
      </c>
      <c r="D325" t="s">
        <v>35</v>
      </c>
      <c r="G325" t="b">
        <v>0</v>
      </c>
      <c r="H325">
        <v>70804</v>
      </c>
      <c r="I325" s="6">
        <v>0</v>
      </c>
      <c r="J325" s="1">
        <v>42373.454675925925</v>
      </c>
      <c r="K325">
        <v>15.35</v>
      </c>
      <c r="L325" s="6">
        <f>('Pizza Sales Calculations'!$J325-'Pizza Sales Calculations'!$C325)*24*60</f>
        <v>2.9666666686534882</v>
      </c>
      <c r="M325">
        <f>COUNTA('Pizza Sales Calculations'!$D325:$F325)</f>
        <v>1</v>
      </c>
      <c r="R325" s="9">
        <f>IF('Pizza Sales Calculations'!$G325=TRUE, Parameters!$B$17*'Pizza Sales Calculations'!$L325*2, 0)</f>
        <v>0</v>
      </c>
      <c r="T325" s="6"/>
      <c r="U325" s="9"/>
    </row>
    <row r="326" spans="1:21" x14ac:dyDescent="0.2">
      <c r="A326">
        <v>325</v>
      </c>
      <c r="B326" s="1">
        <v>42373.532418981478</v>
      </c>
      <c r="C326" s="1">
        <v>42373.54283564815</v>
      </c>
      <c r="D326" t="s">
        <v>1</v>
      </c>
      <c r="E326" t="s">
        <v>2</v>
      </c>
      <c r="G326" t="b">
        <v>1</v>
      </c>
      <c r="H326">
        <v>70805</v>
      </c>
      <c r="I326" s="6">
        <v>2.13074469492134</v>
      </c>
      <c r="J326" s="1">
        <v>42373.55023148148</v>
      </c>
      <c r="K326">
        <v>19.579999999999998</v>
      </c>
      <c r="L326" s="6">
        <f>('Pizza Sales Calculations'!$J326-'Pizza Sales Calculations'!$C326)*24*60</f>
        <v>10.649999995948747</v>
      </c>
      <c r="M326">
        <f>COUNTA('Pizza Sales Calculations'!$D326:$F326)</f>
        <v>2</v>
      </c>
      <c r="R326" s="9">
        <f>IF('Pizza Sales Calculations'!$G326=TRUE, Parameters!$B$17*'Pizza Sales Calculations'!$L326*2, 0)</f>
        <v>3.0174999988521449</v>
      </c>
      <c r="T326" s="6"/>
      <c r="U326" s="9"/>
    </row>
    <row r="327" spans="1:21" x14ac:dyDescent="0.2">
      <c r="A327">
        <v>326</v>
      </c>
      <c r="B327" s="1">
        <v>42373.510891203703</v>
      </c>
      <c r="C327" s="1">
        <v>42373.521307870367</v>
      </c>
      <c r="D327" t="s">
        <v>2</v>
      </c>
      <c r="G327" t="b">
        <v>0</v>
      </c>
      <c r="H327">
        <v>70805</v>
      </c>
      <c r="I327" s="6">
        <v>0</v>
      </c>
      <c r="J327" s="1">
        <v>42373.523379629631</v>
      </c>
      <c r="K327">
        <v>11.59</v>
      </c>
      <c r="L327" s="6">
        <f>('Pizza Sales Calculations'!$J327-'Pizza Sales Calculations'!$C327)*24*60</f>
        <v>2.9833333392161876</v>
      </c>
      <c r="M327">
        <f>COUNTA('Pizza Sales Calculations'!$D327:$F327)</f>
        <v>1</v>
      </c>
      <c r="R327" s="9">
        <f>IF('Pizza Sales Calculations'!$G327=TRUE, Parameters!$B$17*'Pizza Sales Calculations'!$L327*2, 0)</f>
        <v>0</v>
      </c>
      <c r="T327" s="6"/>
      <c r="U327" s="9"/>
    </row>
    <row r="328" spans="1:21" x14ac:dyDescent="0.2">
      <c r="A328">
        <v>327</v>
      </c>
      <c r="B328" s="1">
        <v>42373.528240740743</v>
      </c>
      <c r="C328" s="1">
        <v>42373.538645833331</v>
      </c>
      <c r="D328" t="s">
        <v>1</v>
      </c>
      <c r="G328" t="b">
        <v>0</v>
      </c>
      <c r="H328">
        <v>70804</v>
      </c>
      <c r="I328" s="6">
        <v>0</v>
      </c>
      <c r="J328" s="1">
        <v>42373.540729166663</v>
      </c>
      <c r="K328">
        <v>7.99</v>
      </c>
      <c r="L328" s="6">
        <f>('Pizza Sales Calculations'!$J328-'Pizza Sales Calculations'!$C328)*24*60</f>
        <v>2.9999999993015081</v>
      </c>
      <c r="M328">
        <f>COUNTA('Pizza Sales Calculations'!$D328:$F328)</f>
        <v>1</v>
      </c>
      <c r="R328" s="9">
        <f>IF('Pizza Sales Calculations'!$G328=TRUE, Parameters!$B$17*'Pizza Sales Calculations'!$L328*2, 0)</f>
        <v>0</v>
      </c>
      <c r="T328" s="6"/>
      <c r="U328" s="9"/>
    </row>
    <row r="329" spans="1:21" x14ac:dyDescent="0.2">
      <c r="A329">
        <v>328</v>
      </c>
      <c r="B329" s="1">
        <v>42373.43577546296</v>
      </c>
      <c r="C329" s="1">
        <v>42373.446180555555</v>
      </c>
      <c r="D329" t="s">
        <v>1</v>
      </c>
      <c r="E329" t="s">
        <v>35</v>
      </c>
      <c r="G329" t="b">
        <v>0</v>
      </c>
      <c r="H329">
        <v>70804</v>
      </c>
      <c r="I329" s="6">
        <v>0</v>
      </c>
      <c r="J329" s="1">
        <v>42373.448252314818</v>
      </c>
      <c r="K329">
        <v>23.34</v>
      </c>
      <c r="L329" s="6">
        <f>('Pizza Sales Calculations'!$J329-'Pizza Sales Calculations'!$C329)*24*60</f>
        <v>2.9833333392161876</v>
      </c>
      <c r="M329">
        <f>COUNTA('Pizza Sales Calculations'!$D329:$F329)</f>
        <v>2</v>
      </c>
      <c r="R329" s="9">
        <f>IF('Pizza Sales Calculations'!$G329=TRUE, Parameters!$B$17*'Pizza Sales Calculations'!$L329*2, 0)</f>
        <v>0</v>
      </c>
      <c r="T329" s="6"/>
      <c r="U329" s="9"/>
    </row>
    <row r="330" spans="1:21" x14ac:dyDescent="0.2">
      <c r="A330">
        <v>329</v>
      </c>
      <c r="B330" s="1">
        <v>42373.432222222225</v>
      </c>
      <c r="C330" s="1">
        <v>42373.442615740743</v>
      </c>
      <c r="D330" t="s">
        <v>2</v>
      </c>
      <c r="G330" t="b">
        <v>1</v>
      </c>
      <c r="H330">
        <v>70804</v>
      </c>
      <c r="I330" s="6">
        <v>2.7423085121064701</v>
      </c>
      <c r="J330" s="1">
        <v>42373.45212962963</v>
      </c>
      <c r="K330">
        <v>11.59</v>
      </c>
      <c r="L330" s="6">
        <f>('Pizza Sales Calculations'!$J330-'Pizza Sales Calculations'!$C330)*24*60</f>
        <v>13.699999996460974</v>
      </c>
      <c r="M330">
        <f>COUNTA('Pizza Sales Calculations'!$D330:$F330)</f>
        <v>1</v>
      </c>
      <c r="R330" s="9">
        <f>IF('Pizza Sales Calculations'!$G330=TRUE, Parameters!$B$17*'Pizza Sales Calculations'!$L330*2, 0)</f>
        <v>3.8816666656639427</v>
      </c>
      <c r="T330" s="6"/>
      <c r="U330" s="9"/>
    </row>
    <row r="331" spans="1:21" x14ac:dyDescent="0.2">
      <c r="A331">
        <v>330</v>
      </c>
      <c r="B331" s="1">
        <v>42373.589895833335</v>
      </c>
      <c r="C331" s="1">
        <v>42373.600324074076</v>
      </c>
      <c r="D331" t="s">
        <v>1</v>
      </c>
      <c r="E331" t="s">
        <v>2</v>
      </c>
      <c r="G331" t="b">
        <v>1</v>
      </c>
      <c r="H331">
        <v>70804</v>
      </c>
      <c r="I331" s="6">
        <v>2.8577849568401499</v>
      </c>
      <c r="J331" s="1">
        <v>42373.610243055555</v>
      </c>
      <c r="K331">
        <v>19.579999999999998</v>
      </c>
      <c r="L331" s="6">
        <f>('Pizza Sales Calculations'!$J331-'Pizza Sales Calculations'!$C331)*24*60</f>
        <v>14.283333329949528</v>
      </c>
      <c r="M331">
        <f>COUNTA('Pizza Sales Calculations'!$D331:$F331)</f>
        <v>2</v>
      </c>
      <c r="R331" s="9">
        <f>IF('Pizza Sales Calculations'!$G331=TRUE, Parameters!$B$17*'Pizza Sales Calculations'!$L331*2, 0)</f>
        <v>4.0469444434856996</v>
      </c>
      <c r="T331" s="6"/>
      <c r="U331" s="9"/>
    </row>
    <row r="332" spans="1:21" x14ac:dyDescent="0.2">
      <c r="A332">
        <v>331</v>
      </c>
      <c r="B332" s="1">
        <v>42373.441412037035</v>
      </c>
      <c r="C332" s="1">
        <v>42373.451851851853</v>
      </c>
      <c r="D332" t="s">
        <v>1</v>
      </c>
      <c r="E332" t="s">
        <v>2</v>
      </c>
      <c r="G332" t="b">
        <v>0</v>
      </c>
      <c r="H332">
        <v>70805</v>
      </c>
      <c r="I332" s="6">
        <v>0</v>
      </c>
      <c r="J332" s="1">
        <v>42373.453935185185</v>
      </c>
      <c r="K332">
        <v>19.579999999999998</v>
      </c>
      <c r="L332" s="6">
        <f>('Pizza Sales Calculations'!$J332-'Pizza Sales Calculations'!$C332)*24*60</f>
        <v>2.9999999993015081</v>
      </c>
      <c r="M332">
        <f>COUNTA('Pizza Sales Calculations'!$D332:$F332)</f>
        <v>2</v>
      </c>
      <c r="R332" s="9">
        <f>IF('Pizza Sales Calculations'!$G332=TRUE, Parameters!$B$17*'Pizza Sales Calculations'!$L332*2, 0)</f>
        <v>0</v>
      </c>
      <c r="T332" s="6"/>
      <c r="U332" s="9"/>
    </row>
    <row r="333" spans="1:21" x14ac:dyDescent="0.2">
      <c r="A333">
        <v>332</v>
      </c>
      <c r="B333" s="1">
        <v>42373.514305555553</v>
      </c>
      <c r="C333" s="1">
        <v>42373.524722222224</v>
      </c>
      <c r="D333" t="s">
        <v>1</v>
      </c>
      <c r="E333" t="s">
        <v>2</v>
      </c>
      <c r="G333" t="b">
        <v>0</v>
      </c>
      <c r="H333">
        <v>70804</v>
      </c>
      <c r="I333" s="6">
        <v>0</v>
      </c>
      <c r="J333" s="1">
        <v>42373.526805555557</v>
      </c>
      <c r="K333">
        <v>19.579999999999998</v>
      </c>
      <c r="L333" s="6">
        <f>('Pizza Sales Calculations'!$J333-'Pizza Sales Calculations'!$C333)*24*60</f>
        <v>2.9999999993015081</v>
      </c>
      <c r="M333">
        <f>COUNTA('Pizza Sales Calculations'!$D333:$F333)</f>
        <v>2</v>
      </c>
      <c r="R333" s="9">
        <f>IF('Pizza Sales Calculations'!$G333=TRUE, Parameters!$B$17*'Pizza Sales Calculations'!$L333*2, 0)</f>
        <v>0</v>
      </c>
      <c r="T333" s="6"/>
      <c r="U333" s="9"/>
    </row>
    <row r="334" spans="1:21" x14ac:dyDescent="0.2">
      <c r="A334">
        <v>333</v>
      </c>
      <c r="B334" s="1">
        <v>42373.560671296298</v>
      </c>
      <c r="C334" s="1">
        <v>42373.571064814816</v>
      </c>
      <c r="D334" t="s">
        <v>1</v>
      </c>
      <c r="E334" t="s">
        <v>2</v>
      </c>
      <c r="G334" t="b">
        <v>0</v>
      </c>
      <c r="H334">
        <v>70806</v>
      </c>
      <c r="I334" s="6">
        <v>0</v>
      </c>
      <c r="J334" s="1">
        <v>42373.573136574072</v>
      </c>
      <c r="K334">
        <v>19.579999999999998</v>
      </c>
      <c r="L334" s="6">
        <f>('Pizza Sales Calculations'!$J334-'Pizza Sales Calculations'!$C334)*24*60</f>
        <v>2.9833333287388086</v>
      </c>
      <c r="M334">
        <f>COUNTA('Pizza Sales Calculations'!$D334:$F334)</f>
        <v>2</v>
      </c>
      <c r="R334" s="9">
        <f>IF('Pizza Sales Calculations'!$G334=TRUE, Parameters!$B$17*'Pizza Sales Calculations'!$L334*2, 0)</f>
        <v>0</v>
      </c>
      <c r="T334" s="6"/>
      <c r="U334" s="9"/>
    </row>
    <row r="335" spans="1:21" x14ac:dyDescent="0.2">
      <c r="A335">
        <v>334</v>
      </c>
      <c r="B335" s="1">
        <v>42373.459953703707</v>
      </c>
      <c r="C335" s="1">
        <v>42373.470381944448</v>
      </c>
      <c r="D335" t="s">
        <v>1</v>
      </c>
      <c r="G335" t="b">
        <v>1</v>
      </c>
      <c r="H335">
        <v>70804</v>
      </c>
      <c r="I335" s="6">
        <v>1.8151910248001899</v>
      </c>
      <c r="J335" s="1">
        <v>42373.476678240739</v>
      </c>
      <c r="K335">
        <v>7.99</v>
      </c>
      <c r="L335" s="6">
        <f>('Pizza Sales Calculations'!$J335-'Pizza Sales Calculations'!$C335)*24*60</f>
        <v>9.066666659200564</v>
      </c>
      <c r="M335">
        <f>COUNTA('Pizza Sales Calculations'!$D335:$F335)</f>
        <v>1</v>
      </c>
      <c r="R335" s="9">
        <f>IF('Pizza Sales Calculations'!$G335=TRUE, Parameters!$B$17*'Pizza Sales Calculations'!$L335*2, 0)</f>
        <v>2.5688888867734931</v>
      </c>
      <c r="T335" s="6"/>
      <c r="U335" s="9"/>
    </row>
    <row r="336" spans="1:21" x14ac:dyDescent="0.2">
      <c r="A336">
        <v>335</v>
      </c>
      <c r="B336" s="1">
        <v>42373.471226851849</v>
      </c>
      <c r="C336" s="1">
        <v>42373.481631944444</v>
      </c>
      <c r="D336" t="s">
        <v>35</v>
      </c>
      <c r="G336" t="b">
        <v>1</v>
      </c>
      <c r="H336">
        <v>70805</v>
      </c>
      <c r="I336" s="6">
        <v>3.2549577407388801</v>
      </c>
      <c r="J336" s="1">
        <v>42373.492928240739</v>
      </c>
      <c r="K336">
        <v>15.35</v>
      </c>
      <c r="L336" s="6">
        <f>('Pizza Sales Calculations'!$J336-'Pizza Sales Calculations'!$C336)*24*60</f>
        <v>16.266666665906087</v>
      </c>
      <c r="M336">
        <f>COUNTA('Pizza Sales Calculations'!$D336:$F336)</f>
        <v>1</v>
      </c>
      <c r="R336" s="9">
        <f>IF('Pizza Sales Calculations'!$G336=TRUE, Parameters!$B$17*'Pizza Sales Calculations'!$L336*2, 0)</f>
        <v>4.6088888886733912</v>
      </c>
      <c r="T336" s="6"/>
      <c r="U336" s="9"/>
    </row>
    <row r="337" spans="1:21" x14ac:dyDescent="0.2">
      <c r="A337">
        <v>336</v>
      </c>
      <c r="B337" s="1">
        <v>42374.532268518517</v>
      </c>
      <c r="C337" s="1">
        <v>42374.542673611111</v>
      </c>
      <c r="D337" t="s">
        <v>1</v>
      </c>
      <c r="G337" t="b">
        <v>1</v>
      </c>
      <c r="H337">
        <v>70806</v>
      </c>
      <c r="I337" s="6">
        <v>0.61418274048152099</v>
      </c>
      <c r="J337" s="1">
        <v>42374.544803240744</v>
      </c>
      <c r="K337">
        <v>7.99</v>
      </c>
      <c r="L337" s="6">
        <f>('Pizza Sales Calculations'!$J337-'Pizza Sales Calculations'!$C337)*24*60</f>
        <v>3.0666666710749269</v>
      </c>
      <c r="M337">
        <f>COUNTA('Pizza Sales Calculations'!$D337:$F337)</f>
        <v>1</v>
      </c>
      <c r="R337" s="9">
        <f>IF('Pizza Sales Calculations'!$G337=TRUE, Parameters!$B$17*'Pizza Sales Calculations'!$L337*2, 0)</f>
        <v>0.86888889013789594</v>
      </c>
      <c r="T337" s="6"/>
      <c r="U337" s="9"/>
    </row>
    <row r="338" spans="1:21" x14ac:dyDescent="0.2">
      <c r="A338">
        <v>337</v>
      </c>
      <c r="B338" s="1">
        <v>42374.574374999997</v>
      </c>
      <c r="C338" s="1">
        <v>42374.584756944445</v>
      </c>
      <c r="D338" t="s">
        <v>2</v>
      </c>
      <c r="G338" t="b">
        <v>0</v>
      </c>
      <c r="H338">
        <v>70806</v>
      </c>
      <c r="I338" s="6">
        <v>0</v>
      </c>
      <c r="J338" s="1">
        <v>42374.586828703701</v>
      </c>
      <c r="K338">
        <v>11.59</v>
      </c>
      <c r="L338" s="6">
        <f>('Pizza Sales Calculations'!$J338-'Pizza Sales Calculations'!$C338)*24*60</f>
        <v>2.9833333287388086</v>
      </c>
      <c r="M338">
        <f>COUNTA('Pizza Sales Calculations'!$D338:$F338)</f>
        <v>1</v>
      </c>
      <c r="R338" s="9">
        <f>IF('Pizza Sales Calculations'!$G338=TRUE, Parameters!$B$17*'Pizza Sales Calculations'!$L338*2, 0)</f>
        <v>0</v>
      </c>
      <c r="T338" s="6"/>
      <c r="U338" s="9"/>
    </row>
    <row r="339" spans="1:21" x14ac:dyDescent="0.2">
      <c r="A339">
        <v>338</v>
      </c>
      <c r="B339" s="1">
        <v>42374.519560185188</v>
      </c>
      <c r="C339" s="1">
        <v>42374.529976851853</v>
      </c>
      <c r="D339" t="s">
        <v>1</v>
      </c>
      <c r="G339" t="b">
        <v>1</v>
      </c>
      <c r="H339">
        <v>70804</v>
      </c>
      <c r="I339" s="6">
        <v>2.5574900712294402</v>
      </c>
      <c r="J339" s="1">
        <v>42374.538854166669</v>
      </c>
      <c r="K339">
        <v>7.99</v>
      </c>
      <c r="L339" s="6">
        <f>('Pizza Sales Calculations'!$J339-'Pizza Sales Calculations'!$C339)*24*60</f>
        <v>12.783333335537463</v>
      </c>
      <c r="M339">
        <f>COUNTA('Pizza Sales Calculations'!$D339:$F339)</f>
        <v>1</v>
      </c>
      <c r="R339" s="9">
        <f>IF('Pizza Sales Calculations'!$G339=TRUE, Parameters!$B$17*'Pizza Sales Calculations'!$L339*2, 0)</f>
        <v>3.621944445068948</v>
      </c>
      <c r="T339" s="6"/>
      <c r="U339" s="9"/>
    </row>
    <row r="340" spans="1:21" x14ac:dyDescent="0.2">
      <c r="A340">
        <v>339</v>
      </c>
      <c r="B340" s="1">
        <v>42374.488425925927</v>
      </c>
      <c r="C340" s="1">
        <v>42374.498854166668</v>
      </c>
      <c r="D340" t="s">
        <v>1</v>
      </c>
      <c r="E340" t="s">
        <v>2</v>
      </c>
      <c r="G340" t="b">
        <v>0</v>
      </c>
      <c r="H340">
        <v>70806</v>
      </c>
      <c r="I340" s="6">
        <v>0</v>
      </c>
      <c r="J340" s="1">
        <v>42374.500949074078</v>
      </c>
      <c r="K340">
        <v>19.579999999999998</v>
      </c>
      <c r="L340" s="6">
        <f>('Pizza Sales Calculations'!$J340-'Pizza Sales Calculations'!$C340)*24*60</f>
        <v>3.0166666698642075</v>
      </c>
      <c r="M340">
        <f>COUNTA('Pizza Sales Calculations'!$D340:$F340)</f>
        <v>2</v>
      </c>
      <c r="R340" s="9">
        <f>IF('Pizza Sales Calculations'!$G340=TRUE, Parameters!$B$17*'Pizza Sales Calculations'!$L340*2, 0)</f>
        <v>0</v>
      </c>
      <c r="T340" s="6"/>
      <c r="U340" s="9"/>
    </row>
    <row r="341" spans="1:21" x14ac:dyDescent="0.2">
      <c r="A341">
        <v>340</v>
      </c>
      <c r="B341" s="1">
        <v>42374.471365740741</v>
      </c>
      <c r="C341" s="1">
        <v>42374.481782407405</v>
      </c>
      <c r="D341" t="s">
        <v>35</v>
      </c>
      <c r="G341" t="b">
        <v>0</v>
      </c>
      <c r="H341">
        <v>70805</v>
      </c>
      <c r="I341" s="6">
        <v>0</v>
      </c>
      <c r="J341" s="1">
        <v>42374.483877314815</v>
      </c>
      <c r="K341">
        <v>15.35</v>
      </c>
      <c r="L341" s="6">
        <f>('Pizza Sales Calculations'!$J341-'Pizza Sales Calculations'!$C341)*24*60</f>
        <v>3.0166666698642075</v>
      </c>
      <c r="M341">
        <f>COUNTA('Pizza Sales Calculations'!$D341:$F341)</f>
        <v>1</v>
      </c>
      <c r="R341" s="9">
        <f>IF('Pizza Sales Calculations'!$G341=TRUE, Parameters!$B$17*'Pizza Sales Calculations'!$L341*2, 0)</f>
        <v>0</v>
      </c>
      <c r="T341" s="6"/>
      <c r="U341" s="9"/>
    </row>
    <row r="342" spans="1:21" x14ac:dyDescent="0.2">
      <c r="A342">
        <v>341</v>
      </c>
      <c r="B342" s="1">
        <v>42374.50099537037</v>
      </c>
      <c r="C342" s="1">
        <v>42374.511400462965</v>
      </c>
      <c r="D342" t="s">
        <v>35</v>
      </c>
      <c r="G342" t="b">
        <v>1</v>
      </c>
      <c r="H342">
        <v>70808</v>
      </c>
      <c r="I342" s="6">
        <v>4.1427055577426204</v>
      </c>
      <c r="J342" s="1">
        <v>42374.525775462964</v>
      </c>
      <c r="K342">
        <v>15.35</v>
      </c>
      <c r="L342" s="6">
        <f>('Pizza Sales Calculations'!$J342-'Pizza Sales Calculations'!$C342)*24*60</f>
        <v>20.699999998323619</v>
      </c>
      <c r="M342">
        <f>COUNTA('Pizza Sales Calculations'!$D342:$F342)</f>
        <v>1</v>
      </c>
      <c r="R342" s="9">
        <f>IF('Pizza Sales Calculations'!$G342=TRUE, Parameters!$B$17*'Pizza Sales Calculations'!$L342*2, 0)</f>
        <v>5.8649999995250255</v>
      </c>
      <c r="T342" s="6"/>
      <c r="U342" s="9"/>
    </row>
    <row r="343" spans="1:21" x14ac:dyDescent="0.2">
      <c r="A343">
        <v>342</v>
      </c>
      <c r="B343" s="1">
        <v>42374.449513888889</v>
      </c>
      <c r="C343" s="1">
        <v>42374.459918981483</v>
      </c>
      <c r="D343" t="s">
        <v>35</v>
      </c>
      <c r="G343" t="b">
        <v>1</v>
      </c>
      <c r="H343">
        <v>70805</v>
      </c>
      <c r="I343" s="6">
        <v>5.5437954469012496</v>
      </c>
      <c r="J343" s="1">
        <v>42374.479166666664</v>
      </c>
      <c r="K343">
        <v>15.35</v>
      </c>
      <c r="L343" s="6">
        <f>('Pizza Sales Calculations'!$J343-'Pizza Sales Calculations'!$C343)*24*60</f>
        <v>27.716666660271585</v>
      </c>
      <c r="M343">
        <f>COUNTA('Pizza Sales Calculations'!$D343:$F343)</f>
        <v>1</v>
      </c>
      <c r="R343" s="9">
        <f>IF('Pizza Sales Calculations'!$G343=TRUE, Parameters!$B$17*'Pizza Sales Calculations'!$L343*2, 0)</f>
        <v>7.8530555537436157</v>
      </c>
      <c r="T343" s="6"/>
      <c r="U343" s="9"/>
    </row>
    <row r="344" spans="1:21" x14ac:dyDescent="0.2">
      <c r="A344">
        <v>343</v>
      </c>
      <c r="B344" s="1">
        <v>42374.477881944447</v>
      </c>
      <c r="C344" s="1">
        <v>42374.488298611112</v>
      </c>
      <c r="D344" t="s">
        <v>2</v>
      </c>
      <c r="G344" t="b">
        <v>0</v>
      </c>
      <c r="H344">
        <v>70805</v>
      </c>
      <c r="I344" s="6">
        <v>0</v>
      </c>
      <c r="J344" s="1">
        <v>42374.490370370368</v>
      </c>
      <c r="K344">
        <v>11.59</v>
      </c>
      <c r="L344" s="6">
        <f>('Pizza Sales Calculations'!$J344-'Pizza Sales Calculations'!$C344)*24*60</f>
        <v>2.9833333287388086</v>
      </c>
      <c r="M344">
        <f>COUNTA('Pizza Sales Calculations'!$D344:$F344)</f>
        <v>1</v>
      </c>
      <c r="R344" s="9">
        <f>IF('Pizza Sales Calculations'!$G344=TRUE, Parameters!$B$17*'Pizza Sales Calculations'!$L344*2, 0)</f>
        <v>0</v>
      </c>
      <c r="T344" s="6"/>
      <c r="U344" s="9"/>
    </row>
    <row r="345" spans="1:21" x14ac:dyDescent="0.2">
      <c r="A345">
        <v>344</v>
      </c>
      <c r="B345" s="1">
        <v>42374.539097222223</v>
      </c>
      <c r="C345" s="1">
        <v>42374.549537037034</v>
      </c>
      <c r="D345" t="s">
        <v>1</v>
      </c>
      <c r="E345" t="s">
        <v>2</v>
      </c>
      <c r="G345" t="b">
        <v>1</v>
      </c>
      <c r="H345">
        <v>70804</v>
      </c>
      <c r="I345" s="6">
        <v>1.8837121084389199</v>
      </c>
      <c r="J345" s="1">
        <v>42374.556076388886</v>
      </c>
      <c r="K345">
        <v>19.579999999999998</v>
      </c>
      <c r="L345" s="6">
        <f>('Pizza Sales Calculations'!$J345-'Pizza Sales Calculations'!$C345)*24*60</f>
        <v>9.4166666676755995</v>
      </c>
      <c r="M345">
        <f>COUNTA('Pizza Sales Calculations'!$D345:$F345)</f>
        <v>2</v>
      </c>
      <c r="R345" s="9">
        <f>IF('Pizza Sales Calculations'!$G345=TRUE, Parameters!$B$17*'Pizza Sales Calculations'!$L345*2, 0)</f>
        <v>2.6680555558414198</v>
      </c>
      <c r="T345" s="6"/>
      <c r="U345" s="9"/>
    </row>
    <row r="346" spans="1:21" x14ac:dyDescent="0.2">
      <c r="A346">
        <v>345</v>
      </c>
      <c r="B346" s="1">
        <v>42374.46329861111</v>
      </c>
      <c r="C346" s="1">
        <v>42374.473692129628</v>
      </c>
      <c r="D346" t="s">
        <v>1</v>
      </c>
      <c r="E346" t="s">
        <v>2</v>
      </c>
      <c r="G346" t="b">
        <v>0</v>
      </c>
      <c r="H346">
        <v>70806</v>
      </c>
      <c r="I346" s="6">
        <v>0</v>
      </c>
      <c r="J346" s="1">
        <v>42374.475787037038</v>
      </c>
      <c r="K346">
        <v>19.579999999999998</v>
      </c>
      <c r="L346" s="6">
        <f>('Pizza Sales Calculations'!$J346-'Pizza Sales Calculations'!$C346)*24*60</f>
        <v>3.0166666698642075</v>
      </c>
      <c r="M346">
        <f>COUNTA('Pizza Sales Calculations'!$D346:$F346)</f>
        <v>2</v>
      </c>
      <c r="R346" s="9">
        <f>IF('Pizza Sales Calculations'!$G346=TRUE, Parameters!$B$17*'Pizza Sales Calculations'!$L346*2, 0)</f>
        <v>0</v>
      </c>
      <c r="T346" s="6"/>
      <c r="U346" s="9"/>
    </row>
    <row r="347" spans="1:21" x14ac:dyDescent="0.2">
      <c r="A347">
        <v>346</v>
      </c>
      <c r="B347" s="1">
        <v>42374.477824074071</v>
      </c>
      <c r="C347" s="1">
        <v>42374.488229166665</v>
      </c>
      <c r="D347" t="s">
        <v>35</v>
      </c>
      <c r="G347" t="b">
        <v>0</v>
      </c>
      <c r="H347">
        <v>70807</v>
      </c>
      <c r="I347" s="6">
        <v>0</v>
      </c>
      <c r="J347" s="1">
        <v>42374.490312499998</v>
      </c>
      <c r="K347">
        <v>15.35</v>
      </c>
      <c r="L347" s="6">
        <f>('Pizza Sales Calculations'!$J347-'Pizza Sales Calculations'!$C347)*24*60</f>
        <v>2.9999999993015081</v>
      </c>
      <c r="M347">
        <f>COUNTA('Pizza Sales Calculations'!$D347:$F347)</f>
        <v>1</v>
      </c>
      <c r="R347" s="9">
        <f>IF('Pizza Sales Calculations'!$G347=TRUE, Parameters!$B$17*'Pizza Sales Calculations'!$L347*2, 0)</f>
        <v>0</v>
      </c>
      <c r="T347" s="6"/>
      <c r="U347" s="9"/>
    </row>
    <row r="348" spans="1:21" x14ac:dyDescent="0.2">
      <c r="A348">
        <v>347</v>
      </c>
      <c r="B348" s="1">
        <v>42374.488888888889</v>
      </c>
      <c r="C348" s="1">
        <v>42374.499293981484</v>
      </c>
      <c r="D348" t="s">
        <v>35</v>
      </c>
      <c r="G348" t="b">
        <v>1</v>
      </c>
      <c r="H348">
        <v>70804</v>
      </c>
      <c r="I348" s="6">
        <v>3.4727314076240599</v>
      </c>
      <c r="J348" s="1">
        <v>42374.511342592596</v>
      </c>
      <c r="K348">
        <v>15.35</v>
      </c>
      <c r="L348" s="6">
        <f>('Pizza Sales Calculations'!$J348-'Pizza Sales Calculations'!$C348)*24*60</f>
        <v>17.350000001024455</v>
      </c>
      <c r="M348">
        <f>COUNTA('Pizza Sales Calculations'!$D348:$F348)</f>
        <v>1</v>
      </c>
      <c r="R348" s="9">
        <f>IF('Pizza Sales Calculations'!$G348=TRUE, Parameters!$B$17*'Pizza Sales Calculations'!$L348*2, 0)</f>
        <v>4.9158333336235955</v>
      </c>
      <c r="T348" s="6"/>
      <c r="U348" s="9"/>
    </row>
    <row r="349" spans="1:21" x14ac:dyDescent="0.2">
      <c r="A349">
        <v>348</v>
      </c>
      <c r="B349" s="1">
        <v>42374.567118055558</v>
      </c>
      <c r="C349" s="1">
        <v>42374.577523148146</v>
      </c>
      <c r="D349" t="s">
        <v>35</v>
      </c>
      <c r="G349" t="b">
        <v>0</v>
      </c>
      <c r="H349">
        <v>70806</v>
      </c>
      <c r="I349" s="6">
        <v>0</v>
      </c>
      <c r="J349" s="1">
        <v>42374.579629629632</v>
      </c>
      <c r="K349">
        <v>15.35</v>
      </c>
      <c r="L349" s="6">
        <f>('Pizza Sales Calculations'!$J349-'Pizza Sales Calculations'!$C349)*24*60</f>
        <v>3.0333333404269069</v>
      </c>
      <c r="M349">
        <f>COUNTA('Pizza Sales Calculations'!$D349:$F349)</f>
        <v>1</v>
      </c>
      <c r="R349" s="9">
        <f>IF('Pizza Sales Calculations'!$G349=TRUE, Parameters!$B$17*'Pizza Sales Calculations'!$L349*2, 0)</f>
        <v>0</v>
      </c>
      <c r="T349" s="6"/>
      <c r="U349" s="9"/>
    </row>
    <row r="350" spans="1:21" x14ac:dyDescent="0.2">
      <c r="A350">
        <v>349</v>
      </c>
      <c r="B350" s="1">
        <v>42374.545775462961</v>
      </c>
      <c r="C350" s="1">
        <v>42374.556180555555</v>
      </c>
      <c r="D350" t="s">
        <v>1</v>
      </c>
      <c r="E350" t="s">
        <v>35</v>
      </c>
      <c r="G350" t="b">
        <v>0</v>
      </c>
      <c r="H350">
        <v>70808</v>
      </c>
      <c r="I350" s="6">
        <v>0</v>
      </c>
      <c r="J350" s="1">
        <v>42374.558217592596</v>
      </c>
      <c r="K350">
        <v>23.34</v>
      </c>
      <c r="L350" s="6">
        <f>('Pizza Sales Calculations'!$J350-'Pizza Sales Calculations'!$C350)*24*60</f>
        <v>2.9333333380054682</v>
      </c>
      <c r="M350">
        <f>COUNTA('Pizza Sales Calculations'!$D350:$F350)</f>
        <v>2</v>
      </c>
      <c r="R350" s="9">
        <f>IF('Pizza Sales Calculations'!$G350=TRUE, Parameters!$B$17*'Pizza Sales Calculations'!$L350*2, 0)</f>
        <v>0</v>
      </c>
      <c r="T350" s="6"/>
      <c r="U350" s="9"/>
    </row>
    <row r="351" spans="1:21" x14ac:dyDescent="0.2">
      <c r="A351">
        <v>350</v>
      </c>
      <c r="B351" s="1">
        <v>42374.476701388892</v>
      </c>
      <c r="C351" s="1">
        <v>42374.487118055556</v>
      </c>
      <c r="D351" t="s">
        <v>1</v>
      </c>
      <c r="E351" t="s">
        <v>35</v>
      </c>
      <c r="G351" t="b">
        <v>0</v>
      </c>
      <c r="H351">
        <v>70807</v>
      </c>
      <c r="I351" s="6">
        <v>0</v>
      </c>
      <c r="J351" s="1">
        <v>42374.489178240743</v>
      </c>
      <c r="K351">
        <v>23.34</v>
      </c>
      <c r="L351" s="6">
        <f>('Pizza Sales Calculations'!$J351-'Pizza Sales Calculations'!$C351)*24*60</f>
        <v>2.9666666686534882</v>
      </c>
      <c r="M351">
        <f>COUNTA('Pizza Sales Calculations'!$D351:$F351)</f>
        <v>2</v>
      </c>
      <c r="R351" s="9">
        <f>IF('Pizza Sales Calculations'!$G351=TRUE, Parameters!$B$17*'Pizza Sales Calculations'!$L351*2, 0)</f>
        <v>0</v>
      </c>
      <c r="T351" s="6"/>
      <c r="U351" s="9"/>
    </row>
    <row r="352" spans="1:21" x14ac:dyDescent="0.2">
      <c r="A352">
        <v>351</v>
      </c>
      <c r="B352" s="1">
        <v>42374.471678240741</v>
      </c>
      <c r="C352" s="1">
        <v>42374.482071759259</v>
      </c>
      <c r="D352" t="s">
        <v>2</v>
      </c>
      <c r="G352" t="b">
        <v>0</v>
      </c>
      <c r="H352">
        <v>70805</v>
      </c>
      <c r="I352" s="6">
        <v>0</v>
      </c>
      <c r="J352" s="1">
        <v>42374.484155092592</v>
      </c>
      <c r="K352">
        <v>11.59</v>
      </c>
      <c r="L352" s="6">
        <f>('Pizza Sales Calculations'!$J352-'Pizza Sales Calculations'!$C352)*24*60</f>
        <v>2.9999999993015081</v>
      </c>
      <c r="M352">
        <f>COUNTA('Pizza Sales Calculations'!$D352:$F352)</f>
        <v>1</v>
      </c>
      <c r="R352" s="9">
        <f>IF('Pizza Sales Calculations'!$G352=TRUE, Parameters!$B$17*'Pizza Sales Calculations'!$L352*2, 0)</f>
        <v>0</v>
      </c>
      <c r="T352" s="6"/>
      <c r="U352" s="9"/>
    </row>
    <row r="353" spans="1:21" x14ac:dyDescent="0.2">
      <c r="A353">
        <v>352</v>
      </c>
      <c r="B353" s="1">
        <v>42374.535150462965</v>
      </c>
      <c r="C353" s="1">
        <v>42374.545555555553</v>
      </c>
      <c r="D353" t="s">
        <v>2</v>
      </c>
      <c r="G353" t="b">
        <v>1</v>
      </c>
      <c r="H353">
        <v>70805</v>
      </c>
      <c r="I353" s="6">
        <v>2.9244031964541102</v>
      </c>
      <c r="J353" s="1">
        <v>42374.555706018517</v>
      </c>
      <c r="K353">
        <v>11.59</v>
      </c>
      <c r="L353" s="6">
        <f>('Pizza Sales Calculations'!$J353-'Pizza Sales Calculations'!$C353)*24*60</f>
        <v>14.616666667861864</v>
      </c>
      <c r="M353">
        <f>COUNTA('Pizza Sales Calculations'!$D353:$F353)</f>
        <v>1</v>
      </c>
      <c r="R353" s="9">
        <f>IF('Pizza Sales Calculations'!$G353=TRUE, Parameters!$B$17*'Pizza Sales Calculations'!$L353*2, 0)</f>
        <v>4.1413888892275281</v>
      </c>
      <c r="T353" s="6"/>
      <c r="U353" s="9"/>
    </row>
    <row r="354" spans="1:21" x14ac:dyDescent="0.2">
      <c r="A354">
        <v>353</v>
      </c>
      <c r="B354" s="1">
        <v>42374.541979166665</v>
      </c>
      <c r="C354" s="1">
        <v>42374.552384259259</v>
      </c>
      <c r="D354" t="s">
        <v>35</v>
      </c>
      <c r="G354" t="b">
        <v>1</v>
      </c>
      <c r="H354">
        <v>70803</v>
      </c>
      <c r="I354" s="6">
        <v>3.1437128603989799</v>
      </c>
      <c r="J354" s="1">
        <v>42374.563298611109</v>
      </c>
      <c r="K354">
        <v>15.35</v>
      </c>
      <c r="L354" s="6">
        <f>('Pizza Sales Calculations'!$J354-'Pizza Sales Calculations'!$C354)*24*60</f>
        <v>15.716666663065553</v>
      </c>
      <c r="M354">
        <f>COUNTA('Pizza Sales Calculations'!$D354:$F354)</f>
        <v>1</v>
      </c>
      <c r="R354" s="9">
        <f>IF('Pizza Sales Calculations'!$G354=TRUE, Parameters!$B$17*'Pizza Sales Calculations'!$L354*2, 0)</f>
        <v>4.4530555545352399</v>
      </c>
      <c r="T354" s="6"/>
      <c r="U354" s="9"/>
    </row>
    <row r="355" spans="1:21" x14ac:dyDescent="0.2">
      <c r="A355">
        <v>354</v>
      </c>
      <c r="B355" s="1">
        <v>42374.470092592594</v>
      </c>
      <c r="C355" s="1">
        <v>42374.480509259258</v>
      </c>
      <c r="D355" t="s">
        <v>1</v>
      </c>
      <c r="G355" t="b">
        <v>1</v>
      </c>
      <c r="H355">
        <v>70807</v>
      </c>
      <c r="I355" s="6">
        <v>3.4871905918495401</v>
      </c>
      <c r="J355" s="1">
        <v>42374.492615740739</v>
      </c>
      <c r="K355">
        <v>7.99</v>
      </c>
      <c r="L355" s="6">
        <f>('Pizza Sales Calculations'!$J355-'Pizza Sales Calculations'!$C355)*24*60</f>
        <v>17.433333332883194</v>
      </c>
      <c r="M355">
        <f>COUNTA('Pizza Sales Calculations'!$D355:$F355)</f>
        <v>1</v>
      </c>
      <c r="R355" s="9">
        <f>IF('Pizza Sales Calculations'!$G355=TRUE, Parameters!$B$17*'Pizza Sales Calculations'!$L355*2, 0)</f>
        <v>4.939444444316905</v>
      </c>
      <c r="T355" s="6"/>
      <c r="U355" s="9"/>
    </row>
    <row r="356" spans="1:21" x14ac:dyDescent="0.2">
      <c r="A356">
        <v>355</v>
      </c>
      <c r="B356" s="1">
        <v>42374.459652777776</v>
      </c>
      <c r="C356" s="1">
        <v>42374.470069444447</v>
      </c>
      <c r="D356" t="s">
        <v>1</v>
      </c>
      <c r="E356" t="s">
        <v>2</v>
      </c>
      <c r="G356" t="b">
        <v>1</v>
      </c>
      <c r="H356">
        <v>70804</v>
      </c>
      <c r="I356" s="6">
        <v>2.2648754730439502</v>
      </c>
      <c r="J356" s="1">
        <v>42374.47792824074</v>
      </c>
      <c r="K356">
        <v>19.579999999999998</v>
      </c>
      <c r="L356" s="6">
        <f>('Pizza Sales Calculations'!$J356-'Pizza Sales Calculations'!$C356)*24*60</f>
        <v>11.31666666129604</v>
      </c>
      <c r="M356">
        <f>COUNTA('Pizza Sales Calculations'!$D356:$F356)</f>
        <v>2</v>
      </c>
      <c r="R356" s="9">
        <f>IF('Pizza Sales Calculations'!$G356=TRUE, Parameters!$B$17*'Pizza Sales Calculations'!$L356*2, 0)</f>
        <v>3.2063888873672113</v>
      </c>
      <c r="T356" s="6"/>
      <c r="U356" s="9"/>
    </row>
    <row r="357" spans="1:21" x14ac:dyDescent="0.2">
      <c r="A357">
        <v>356</v>
      </c>
      <c r="B357" s="1">
        <v>42374.43849537037</v>
      </c>
      <c r="C357" s="1">
        <v>42374.448912037034</v>
      </c>
      <c r="D357" t="s">
        <v>1</v>
      </c>
      <c r="G357" t="b">
        <v>1</v>
      </c>
      <c r="H357">
        <v>70806</v>
      </c>
      <c r="I357" s="6">
        <v>2.5151869791399801</v>
      </c>
      <c r="J357" s="1">
        <v>42374.457638888889</v>
      </c>
      <c r="K357">
        <v>7.99</v>
      </c>
      <c r="L357" s="6">
        <f>('Pizza Sales Calculations'!$J357-'Pizza Sales Calculations'!$C357)*24*60</f>
        <v>12.566666670609266</v>
      </c>
      <c r="M357">
        <f>COUNTA('Pizza Sales Calculations'!$D357:$F357)</f>
        <v>1</v>
      </c>
      <c r="R357" s="9">
        <f>IF('Pizza Sales Calculations'!$G357=TRUE, Parameters!$B$17*'Pizza Sales Calculations'!$L357*2, 0)</f>
        <v>3.5605555566726252</v>
      </c>
      <c r="T357" s="6"/>
      <c r="U357" s="9"/>
    </row>
    <row r="358" spans="1:21" x14ac:dyDescent="0.2">
      <c r="A358">
        <v>357</v>
      </c>
      <c r="B358" s="1">
        <v>42374.508125</v>
      </c>
      <c r="C358" s="1">
        <v>42374.518518518518</v>
      </c>
      <c r="D358" t="s">
        <v>1</v>
      </c>
      <c r="G358" t="b">
        <v>1</v>
      </c>
      <c r="H358">
        <v>70805</v>
      </c>
      <c r="I358" s="6">
        <v>3.6830884928476602</v>
      </c>
      <c r="J358" s="1">
        <v>42374.5312962963</v>
      </c>
      <c r="K358">
        <v>7.99</v>
      </c>
      <c r="L358" s="6">
        <f>('Pizza Sales Calculations'!$J358-'Pizza Sales Calculations'!$C358)*24*60</f>
        <v>18.400000005494803</v>
      </c>
      <c r="M358">
        <f>COUNTA('Pizza Sales Calculations'!$D358:$F358)</f>
        <v>1</v>
      </c>
      <c r="R358" s="9">
        <f>IF('Pizza Sales Calculations'!$G358=TRUE, Parameters!$B$17*'Pizza Sales Calculations'!$L358*2, 0)</f>
        <v>5.2133333348901942</v>
      </c>
      <c r="T358" s="6"/>
      <c r="U358" s="9"/>
    </row>
    <row r="359" spans="1:21" x14ac:dyDescent="0.2">
      <c r="A359">
        <v>358</v>
      </c>
      <c r="B359" s="1">
        <v>42374.554837962962</v>
      </c>
      <c r="C359" s="1">
        <v>42374.565243055556</v>
      </c>
      <c r="D359" t="s">
        <v>2</v>
      </c>
      <c r="G359" t="b">
        <v>1</v>
      </c>
      <c r="H359">
        <v>70804</v>
      </c>
      <c r="I359" s="6">
        <v>4.0680088016139804</v>
      </c>
      <c r="J359" s="1">
        <v>42374.579363425924</v>
      </c>
      <c r="K359">
        <v>11.59</v>
      </c>
      <c r="L359" s="6">
        <f>('Pizza Sales Calculations'!$J359-'Pizza Sales Calculations'!$C359)*24*60</f>
        <v>20.333333329763263</v>
      </c>
      <c r="M359">
        <f>COUNTA('Pizza Sales Calculations'!$D359:$F359)</f>
        <v>1</v>
      </c>
      <c r="R359" s="9">
        <f>IF('Pizza Sales Calculations'!$G359=TRUE, Parameters!$B$17*'Pizza Sales Calculations'!$L359*2, 0)</f>
        <v>5.7611111100995913</v>
      </c>
      <c r="T359" s="6"/>
      <c r="U359" s="9"/>
    </row>
    <row r="360" spans="1:21" x14ac:dyDescent="0.2">
      <c r="A360">
        <v>359</v>
      </c>
      <c r="B360" s="1">
        <v>42374.417129629626</v>
      </c>
      <c r="C360" s="1">
        <v>42374.427546296298</v>
      </c>
      <c r="D360" t="s">
        <v>35</v>
      </c>
      <c r="G360" t="b">
        <v>1</v>
      </c>
      <c r="H360">
        <v>70804</v>
      </c>
      <c r="I360" s="6">
        <v>2.66426516615399</v>
      </c>
      <c r="J360" s="1">
        <v>42374.436793981484</v>
      </c>
      <c r="K360">
        <v>15.35</v>
      </c>
      <c r="L360" s="6">
        <f>('Pizza Sales Calculations'!$J360-'Pizza Sales Calculations'!$C360)*24*60</f>
        <v>13.316666667815298</v>
      </c>
      <c r="M360">
        <f>COUNTA('Pizza Sales Calculations'!$D360:$F360)</f>
        <v>1</v>
      </c>
      <c r="R360" s="9">
        <f>IF('Pizza Sales Calculations'!$G360=TRUE, Parameters!$B$17*'Pizza Sales Calculations'!$L360*2, 0)</f>
        <v>3.7730555558810011</v>
      </c>
      <c r="T360" s="6"/>
      <c r="U360" s="9"/>
    </row>
    <row r="361" spans="1:21" x14ac:dyDescent="0.2">
      <c r="A361">
        <v>360</v>
      </c>
      <c r="B361" s="1">
        <v>42374.476423611108</v>
      </c>
      <c r="C361" s="1">
        <v>42374.486851851849</v>
      </c>
      <c r="D361" t="s">
        <v>1</v>
      </c>
      <c r="E361" t="s">
        <v>35</v>
      </c>
      <c r="G361" t="b">
        <v>1</v>
      </c>
      <c r="H361">
        <v>70804</v>
      </c>
      <c r="I361" s="6">
        <v>3.7649554951017001</v>
      </c>
      <c r="J361" s="1">
        <v>42374.499918981484</v>
      </c>
      <c r="K361">
        <v>23.34</v>
      </c>
      <c r="L361" s="6">
        <f>('Pizza Sales Calculations'!$J361-'Pizza Sales Calculations'!$C361)*24*60</f>
        <v>18.816666675265878</v>
      </c>
      <c r="M361">
        <f>COUNTA('Pizza Sales Calculations'!$D361:$F361)</f>
        <v>2</v>
      </c>
      <c r="R361" s="9">
        <f>IF('Pizza Sales Calculations'!$G361=TRUE, Parameters!$B$17*'Pizza Sales Calculations'!$L361*2, 0)</f>
        <v>5.3313888913253322</v>
      </c>
      <c r="T361" s="6"/>
      <c r="U361" s="9"/>
    </row>
    <row r="362" spans="1:21" x14ac:dyDescent="0.2">
      <c r="A362">
        <v>361</v>
      </c>
      <c r="B362" s="1">
        <v>42374.432557870372</v>
      </c>
      <c r="C362" s="1">
        <v>42374.442974537036</v>
      </c>
      <c r="D362" t="s">
        <v>2</v>
      </c>
      <c r="G362" t="b">
        <v>1</v>
      </c>
      <c r="H362">
        <v>70804</v>
      </c>
      <c r="I362" s="6">
        <v>2.5888636106810701</v>
      </c>
      <c r="J362" s="1">
        <v>42374.451956018522</v>
      </c>
      <c r="K362">
        <v>11.59</v>
      </c>
      <c r="L362" s="6">
        <f>('Pizza Sales Calculations'!$J362-'Pizza Sales Calculations'!$C362)*24*60</f>
        <v>12.933333339169621</v>
      </c>
      <c r="M362">
        <f>COUNTA('Pizza Sales Calculations'!$D362:$F362)</f>
        <v>1</v>
      </c>
      <c r="R362" s="9">
        <f>IF('Pizza Sales Calculations'!$G362=TRUE, Parameters!$B$17*'Pizza Sales Calculations'!$L362*2, 0)</f>
        <v>3.6644444460980594</v>
      </c>
      <c r="T362" s="6"/>
      <c r="U362" s="9"/>
    </row>
    <row r="363" spans="1:21" x14ac:dyDescent="0.2">
      <c r="A363">
        <v>362</v>
      </c>
      <c r="B363" s="1">
        <v>42374.518564814818</v>
      </c>
      <c r="C363" s="1">
        <v>42374.528981481482</v>
      </c>
      <c r="D363" t="s">
        <v>1</v>
      </c>
      <c r="G363" t="b">
        <v>1</v>
      </c>
      <c r="H363">
        <v>70804</v>
      </c>
      <c r="I363" s="6">
        <v>3.9328325430095501</v>
      </c>
      <c r="J363" s="1">
        <v>42374.542627314811</v>
      </c>
      <c r="K363">
        <v>7.99</v>
      </c>
      <c r="L363" s="6">
        <f>('Pizza Sales Calculations'!$J363-'Pizza Sales Calculations'!$C363)*24*60</f>
        <v>19.649999993853271</v>
      </c>
      <c r="M363">
        <f>COUNTA('Pizza Sales Calculations'!$D363:$F363)</f>
        <v>1</v>
      </c>
      <c r="R363" s="9">
        <f>IF('Pizza Sales Calculations'!$G363=TRUE, Parameters!$B$17*'Pizza Sales Calculations'!$L363*2, 0)</f>
        <v>5.5674999982584268</v>
      </c>
      <c r="T363" s="6"/>
      <c r="U363" s="9"/>
    </row>
    <row r="364" spans="1:21" x14ac:dyDescent="0.2">
      <c r="A364">
        <v>363</v>
      </c>
      <c r="B364" s="1">
        <v>42374.459618055553</v>
      </c>
      <c r="C364" s="1">
        <v>42374.470034722224</v>
      </c>
      <c r="D364" t="s">
        <v>35</v>
      </c>
      <c r="G364" t="b">
        <v>0</v>
      </c>
      <c r="H364">
        <v>70804</v>
      </c>
      <c r="I364" s="6">
        <v>0</v>
      </c>
      <c r="J364" s="1">
        <v>42374.47210648148</v>
      </c>
      <c r="K364">
        <v>15.35</v>
      </c>
      <c r="L364" s="6">
        <f>('Pizza Sales Calculations'!$J364-'Pizza Sales Calculations'!$C364)*24*60</f>
        <v>2.9833333287388086</v>
      </c>
      <c r="M364">
        <f>COUNTA('Pizza Sales Calculations'!$D364:$F364)</f>
        <v>1</v>
      </c>
      <c r="R364" s="9">
        <f>IF('Pizza Sales Calculations'!$G364=TRUE, Parameters!$B$17*'Pizza Sales Calculations'!$L364*2, 0)</f>
        <v>0</v>
      </c>
      <c r="T364" s="6"/>
      <c r="U364" s="9"/>
    </row>
    <row r="365" spans="1:21" x14ac:dyDescent="0.2">
      <c r="A365">
        <v>364</v>
      </c>
      <c r="B365" s="1">
        <v>42374.50885416667</v>
      </c>
      <c r="C365" s="1">
        <v>42374.519259259258</v>
      </c>
      <c r="D365" t="s">
        <v>35</v>
      </c>
      <c r="G365" t="b">
        <v>1</v>
      </c>
      <c r="H365">
        <v>70807</v>
      </c>
      <c r="I365" s="6">
        <v>2.0518545647962001</v>
      </c>
      <c r="J365" s="1">
        <v>42374.526377314818</v>
      </c>
      <c r="K365">
        <v>15.35</v>
      </c>
      <c r="L365" s="6">
        <f>('Pizza Sales Calculations'!$J365-'Pizza Sales Calculations'!$C365)*24*60</f>
        <v>10.25000000721775</v>
      </c>
      <c r="M365">
        <f>COUNTA('Pizza Sales Calculations'!$D365:$F365)</f>
        <v>1</v>
      </c>
      <c r="R365" s="9">
        <f>IF('Pizza Sales Calculations'!$G365=TRUE, Parameters!$B$17*'Pizza Sales Calculations'!$L365*2, 0)</f>
        <v>2.9041666687116958</v>
      </c>
      <c r="T365" s="6"/>
      <c r="U365" s="9"/>
    </row>
    <row r="366" spans="1:21" x14ac:dyDescent="0.2">
      <c r="A366">
        <v>365</v>
      </c>
      <c r="B366" s="1">
        <v>42374.526192129626</v>
      </c>
      <c r="C366" s="1">
        <v>42374.536597222221</v>
      </c>
      <c r="D366" t="s">
        <v>35</v>
      </c>
      <c r="G366" t="b">
        <v>0</v>
      </c>
      <c r="H366">
        <v>70806</v>
      </c>
      <c r="I366" s="6">
        <v>0</v>
      </c>
      <c r="J366" s="1">
        <v>42374.538657407407</v>
      </c>
      <c r="K366">
        <v>15.35</v>
      </c>
      <c r="L366" s="6">
        <f>('Pizza Sales Calculations'!$J366-'Pizza Sales Calculations'!$C366)*24*60</f>
        <v>2.9666666686534882</v>
      </c>
      <c r="M366">
        <f>COUNTA('Pizza Sales Calculations'!$D366:$F366)</f>
        <v>1</v>
      </c>
      <c r="R366" s="9">
        <f>IF('Pizza Sales Calculations'!$G366=TRUE, Parameters!$B$17*'Pizza Sales Calculations'!$L366*2, 0)</f>
        <v>0</v>
      </c>
      <c r="T366" s="6"/>
      <c r="U366" s="9"/>
    </row>
    <row r="367" spans="1:21" x14ac:dyDescent="0.2">
      <c r="A367">
        <v>366</v>
      </c>
      <c r="B367" s="1">
        <v>42374.531157407408</v>
      </c>
      <c r="C367" s="1">
        <v>42374.541539351849</v>
      </c>
      <c r="D367" t="s">
        <v>1</v>
      </c>
      <c r="E367" t="s">
        <v>2</v>
      </c>
      <c r="G367" t="b">
        <v>1</v>
      </c>
      <c r="H367">
        <v>70803</v>
      </c>
      <c r="I367" s="6">
        <v>2.3519525426379699</v>
      </c>
      <c r="J367" s="1">
        <v>42374.549699074072</v>
      </c>
      <c r="K367">
        <v>19.579999999999998</v>
      </c>
      <c r="L367" s="6">
        <f>('Pizza Sales Calculations'!$J367-'Pizza Sales Calculations'!$C367)*24*60</f>
        <v>11.750000001629815</v>
      </c>
      <c r="M367">
        <f>COUNTA('Pizza Sales Calculations'!$D367:$F367)</f>
        <v>2</v>
      </c>
      <c r="R367" s="9">
        <f>IF('Pizza Sales Calculations'!$G367=TRUE, Parameters!$B$17*'Pizza Sales Calculations'!$L367*2, 0)</f>
        <v>3.3291666671284474</v>
      </c>
      <c r="T367" s="6"/>
      <c r="U367" s="9"/>
    </row>
    <row r="368" spans="1:21" x14ac:dyDescent="0.2">
      <c r="A368">
        <v>367</v>
      </c>
      <c r="B368" s="1">
        <v>42374.567060185182</v>
      </c>
      <c r="C368" s="1">
        <v>42374.577476851853</v>
      </c>
      <c r="D368" t="s">
        <v>1</v>
      </c>
      <c r="E368" t="s">
        <v>2</v>
      </c>
      <c r="G368" t="b">
        <v>1</v>
      </c>
      <c r="H368">
        <v>70806</v>
      </c>
      <c r="I368" s="6">
        <v>3.2583877768076102</v>
      </c>
      <c r="J368" s="1">
        <v>42374.588784722226</v>
      </c>
      <c r="K368">
        <v>19.579999999999998</v>
      </c>
      <c r="L368" s="6">
        <f>('Pizza Sales Calculations'!$J368-'Pizza Sales Calculations'!$C368)*24*60</f>
        <v>16.283333336468786</v>
      </c>
      <c r="M368">
        <f>COUNTA('Pizza Sales Calculations'!$D368:$F368)</f>
        <v>2</v>
      </c>
      <c r="R368" s="9">
        <f>IF('Pizza Sales Calculations'!$G368=TRUE, Parameters!$B$17*'Pizza Sales Calculations'!$L368*2, 0)</f>
        <v>4.6136111119994894</v>
      </c>
      <c r="T368" s="6"/>
      <c r="U368" s="9"/>
    </row>
    <row r="369" spans="1:21" x14ac:dyDescent="0.2">
      <c r="A369">
        <v>368</v>
      </c>
      <c r="B369" s="1">
        <v>42374.446064814816</v>
      </c>
      <c r="C369" s="1">
        <v>42374.456469907411</v>
      </c>
      <c r="D369" t="s">
        <v>1</v>
      </c>
      <c r="E369" t="s">
        <v>35</v>
      </c>
      <c r="G369" t="b">
        <v>1</v>
      </c>
      <c r="H369">
        <v>70804</v>
      </c>
      <c r="I369" s="6">
        <v>2.7532098724812899</v>
      </c>
      <c r="J369" s="1">
        <v>42374.46601851852</v>
      </c>
      <c r="K369">
        <v>23.34</v>
      </c>
      <c r="L369" s="6">
        <f>('Pizza Sales Calculations'!$J369-'Pizza Sales Calculations'!$C369)*24*60</f>
        <v>13.749999997671694</v>
      </c>
      <c r="M369">
        <f>COUNTA('Pizza Sales Calculations'!$D369:$F369)</f>
        <v>2</v>
      </c>
      <c r="R369" s="9">
        <f>IF('Pizza Sales Calculations'!$G369=TRUE, Parameters!$B$17*'Pizza Sales Calculations'!$L369*2, 0)</f>
        <v>3.8958333326736465</v>
      </c>
      <c r="T369" s="6"/>
      <c r="U369" s="9"/>
    </row>
    <row r="370" spans="1:21" x14ac:dyDescent="0.2">
      <c r="A370">
        <v>369</v>
      </c>
      <c r="B370" s="1">
        <v>42374.467905092592</v>
      </c>
      <c r="C370" s="1">
        <v>42374.478321759256</v>
      </c>
      <c r="D370" t="s">
        <v>1</v>
      </c>
      <c r="G370" t="b">
        <v>1</v>
      </c>
      <c r="H370">
        <v>70805</v>
      </c>
      <c r="I370" s="6">
        <v>4.3456439745574498</v>
      </c>
      <c r="J370" s="1">
        <v>42374.493402777778</v>
      </c>
      <c r="K370">
        <v>7.99</v>
      </c>
      <c r="L370" s="6">
        <f>('Pizza Sales Calculations'!$J370-'Pizza Sales Calculations'!$C370)*24*60</f>
        <v>21.716666672145948</v>
      </c>
      <c r="M370">
        <f>COUNTA('Pizza Sales Calculations'!$D370:$F370)</f>
        <v>1</v>
      </c>
      <c r="R370" s="9">
        <f>IF('Pizza Sales Calculations'!$G370=TRUE, Parameters!$B$17*'Pizza Sales Calculations'!$L370*2, 0)</f>
        <v>6.1530555571080185</v>
      </c>
      <c r="T370" s="6"/>
      <c r="U370" s="9"/>
    </row>
    <row r="371" spans="1:21" x14ac:dyDescent="0.2">
      <c r="A371">
        <v>370</v>
      </c>
      <c r="B371" s="1">
        <v>42374.506539351853</v>
      </c>
      <c r="C371" s="1">
        <v>42374.516956018517</v>
      </c>
      <c r="D371" t="s">
        <v>1</v>
      </c>
      <c r="G371" t="b">
        <v>0</v>
      </c>
      <c r="H371">
        <v>70804</v>
      </c>
      <c r="I371" s="6">
        <v>0</v>
      </c>
      <c r="J371" s="1">
        <v>42374.519050925926</v>
      </c>
      <c r="K371">
        <v>7.99</v>
      </c>
      <c r="L371" s="6">
        <f>('Pizza Sales Calculations'!$J371-'Pizza Sales Calculations'!$C371)*24*60</f>
        <v>3.0166666698642075</v>
      </c>
      <c r="M371">
        <f>COUNTA('Pizza Sales Calculations'!$D371:$F371)</f>
        <v>1</v>
      </c>
      <c r="R371" s="9">
        <f>IF('Pizza Sales Calculations'!$G371=TRUE, Parameters!$B$17*'Pizza Sales Calculations'!$L371*2, 0)</f>
        <v>0</v>
      </c>
      <c r="T371" s="6"/>
      <c r="U371" s="9"/>
    </row>
    <row r="372" spans="1:21" x14ac:dyDescent="0.2">
      <c r="A372">
        <v>371</v>
      </c>
      <c r="B372" s="1">
        <v>42374.446111111109</v>
      </c>
      <c r="C372" s="1">
        <v>42374.456516203703</v>
      </c>
      <c r="D372" t="s">
        <v>35</v>
      </c>
      <c r="G372" t="b">
        <v>1</v>
      </c>
      <c r="H372">
        <v>70804</v>
      </c>
      <c r="I372" s="6">
        <v>3.79840418309769</v>
      </c>
      <c r="J372" s="1">
        <v>42374.469699074078</v>
      </c>
      <c r="K372">
        <v>15.35</v>
      </c>
      <c r="L372" s="6">
        <f>('Pizza Sales Calculations'!$J372-'Pizza Sales Calculations'!$C372)*24*60</f>
        <v>18.983333338983357</v>
      </c>
      <c r="M372">
        <f>COUNTA('Pizza Sales Calculations'!$D372:$F372)</f>
        <v>1</v>
      </c>
      <c r="R372" s="9">
        <f>IF('Pizza Sales Calculations'!$G372=TRUE, Parameters!$B$17*'Pizza Sales Calculations'!$L372*2, 0)</f>
        <v>5.3786111127119511</v>
      </c>
      <c r="T372" s="6"/>
      <c r="U372" s="9"/>
    </row>
    <row r="373" spans="1:21" x14ac:dyDescent="0.2">
      <c r="A373">
        <v>372</v>
      </c>
      <c r="B373" s="1">
        <v>42374.459131944444</v>
      </c>
      <c r="C373" s="1">
        <v>42374.469537037039</v>
      </c>
      <c r="D373" t="s">
        <v>2</v>
      </c>
      <c r="G373" t="b">
        <v>0</v>
      </c>
      <c r="H373">
        <v>70803</v>
      </c>
      <c r="I373" s="6">
        <v>0</v>
      </c>
      <c r="J373" s="1">
        <v>42374.471620370372</v>
      </c>
      <c r="K373">
        <v>11.59</v>
      </c>
      <c r="L373" s="6">
        <f>('Pizza Sales Calculations'!$J373-'Pizza Sales Calculations'!$C373)*24*60</f>
        <v>2.9999999993015081</v>
      </c>
      <c r="M373">
        <f>COUNTA('Pizza Sales Calculations'!$D373:$F373)</f>
        <v>1</v>
      </c>
      <c r="R373" s="9">
        <f>IF('Pizza Sales Calculations'!$G373=TRUE, Parameters!$B$17*'Pizza Sales Calculations'!$L373*2, 0)</f>
        <v>0</v>
      </c>
      <c r="T373" s="6"/>
      <c r="U373" s="9"/>
    </row>
    <row r="374" spans="1:21" x14ac:dyDescent="0.2">
      <c r="A374">
        <v>373</v>
      </c>
      <c r="B374" s="1">
        <v>42374.538460648146</v>
      </c>
      <c r="C374" s="1">
        <v>42374.548877314817</v>
      </c>
      <c r="D374" t="s">
        <v>2</v>
      </c>
      <c r="G374" t="b">
        <v>1</v>
      </c>
      <c r="H374">
        <v>70807</v>
      </c>
      <c r="I374" s="6">
        <v>5.0894193352882002</v>
      </c>
      <c r="J374" s="1">
        <v>42374.56653935185</v>
      </c>
      <c r="K374">
        <v>11.59</v>
      </c>
      <c r="L374" s="6">
        <f>('Pizza Sales Calculations'!$J374-'Pizza Sales Calculations'!$C374)*24*60</f>
        <v>25.433333327528089</v>
      </c>
      <c r="M374">
        <f>COUNTA('Pizza Sales Calculations'!$D374:$F374)</f>
        <v>1</v>
      </c>
      <c r="R374" s="9">
        <f>IF('Pizza Sales Calculations'!$G374=TRUE, Parameters!$B$17*'Pizza Sales Calculations'!$L374*2, 0)</f>
        <v>7.206111109466292</v>
      </c>
      <c r="T374" s="6"/>
      <c r="U374" s="9"/>
    </row>
    <row r="375" spans="1:21" x14ac:dyDescent="0.2">
      <c r="A375">
        <v>374</v>
      </c>
      <c r="B375" s="1">
        <v>42374.490405092591</v>
      </c>
      <c r="C375" s="1">
        <v>42374.500787037039</v>
      </c>
      <c r="D375" t="s">
        <v>1</v>
      </c>
      <c r="E375" t="s">
        <v>35</v>
      </c>
      <c r="G375" t="b">
        <v>0</v>
      </c>
      <c r="H375">
        <v>70804</v>
      </c>
      <c r="I375" s="6">
        <v>0</v>
      </c>
      <c r="J375" s="1">
        <v>42374.502858796295</v>
      </c>
      <c r="K375">
        <v>23.34</v>
      </c>
      <c r="L375" s="6">
        <f>('Pizza Sales Calculations'!$J375-'Pizza Sales Calculations'!$C375)*24*60</f>
        <v>2.9833333287388086</v>
      </c>
      <c r="M375">
        <f>COUNTA('Pizza Sales Calculations'!$D375:$F375)</f>
        <v>2</v>
      </c>
      <c r="R375" s="9">
        <f>IF('Pizza Sales Calculations'!$G375=TRUE, Parameters!$B$17*'Pizza Sales Calculations'!$L375*2, 0)</f>
        <v>0</v>
      </c>
      <c r="T375" s="6"/>
      <c r="U375" s="9"/>
    </row>
    <row r="376" spans="1:21" x14ac:dyDescent="0.2">
      <c r="A376">
        <v>375</v>
      </c>
      <c r="B376" s="1">
        <v>42374.485150462962</v>
      </c>
      <c r="C376" s="1">
        <v>42374.495578703703</v>
      </c>
      <c r="D376" t="s">
        <v>2</v>
      </c>
      <c r="G376" t="b">
        <v>0</v>
      </c>
      <c r="H376">
        <v>70808</v>
      </c>
      <c r="I376" s="6">
        <v>0</v>
      </c>
      <c r="J376" s="1">
        <v>42374.497650462959</v>
      </c>
      <c r="K376">
        <v>11.59</v>
      </c>
      <c r="L376" s="6">
        <f>('Pizza Sales Calculations'!$J376-'Pizza Sales Calculations'!$C376)*24*60</f>
        <v>2.9833333287388086</v>
      </c>
      <c r="M376">
        <f>COUNTA('Pizza Sales Calculations'!$D376:$F376)</f>
        <v>1</v>
      </c>
      <c r="R376" s="9">
        <f>IF('Pizza Sales Calculations'!$G376=TRUE, Parameters!$B$17*'Pizza Sales Calculations'!$L376*2, 0)</f>
        <v>0</v>
      </c>
      <c r="T376" s="6"/>
      <c r="U376" s="9"/>
    </row>
    <row r="377" spans="1:21" x14ac:dyDescent="0.2">
      <c r="A377">
        <v>376</v>
      </c>
      <c r="B377" s="1">
        <v>42374.51971064815</v>
      </c>
      <c r="C377" s="1">
        <v>42374.530115740738</v>
      </c>
      <c r="D377" t="s">
        <v>35</v>
      </c>
      <c r="G377" t="b">
        <v>1</v>
      </c>
      <c r="H377">
        <v>70804</v>
      </c>
      <c r="I377" s="6">
        <v>2.4965918980955899</v>
      </c>
      <c r="J377" s="1">
        <v>42374.538773148146</v>
      </c>
      <c r="K377">
        <v>15.35</v>
      </c>
      <c r="L377" s="6">
        <f>('Pizza Sales Calculations'!$J377-'Pizza Sales Calculations'!$C377)*24*60</f>
        <v>12.466666668187827</v>
      </c>
      <c r="M377">
        <f>COUNTA('Pizza Sales Calculations'!$D377:$F377)</f>
        <v>1</v>
      </c>
      <c r="R377" s="9">
        <f>IF('Pizza Sales Calculations'!$G377=TRUE, Parameters!$B$17*'Pizza Sales Calculations'!$L377*2, 0)</f>
        <v>3.5322222226532176</v>
      </c>
      <c r="T377" s="6"/>
      <c r="U377" s="9"/>
    </row>
    <row r="378" spans="1:21" x14ac:dyDescent="0.2">
      <c r="A378">
        <v>377</v>
      </c>
      <c r="B378" s="1">
        <v>42374.538888888892</v>
      </c>
      <c r="C378" s="1">
        <v>42374.549293981479</v>
      </c>
      <c r="D378" t="s">
        <v>1</v>
      </c>
      <c r="E378" t="s">
        <v>2</v>
      </c>
      <c r="G378" t="b">
        <v>1</v>
      </c>
      <c r="H378">
        <v>70806</v>
      </c>
      <c r="I378" s="6">
        <v>0.78649930357481401</v>
      </c>
      <c r="J378" s="1">
        <v>42374.55201388889</v>
      </c>
      <c r="K378">
        <v>19.579999999999998</v>
      </c>
      <c r="L378" s="6">
        <f>('Pizza Sales Calculations'!$J378-'Pizza Sales Calculations'!$C378)*24*60</f>
        <v>3.9166666707023978</v>
      </c>
      <c r="M378">
        <f>COUNTA('Pizza Sales Calculations'!$D378:$F378)</f>
        <v>2</v>
      </c>
      <c r="R378" s="9">
        <f>IF('Pizza Sales Calculations'!$G378=TRUE, Parameters!$B$17*'Pizza Sales Calculations'!$L378*2, 0)</f>
        <v>1.1097222233656794</v>
      </c>
      <c r="T378" s="6"/>
      <c r="U378" s="9"/>
    </row>
    <row r="379" spans="1:21" x14ac:dyDescent="0.2">
      <c r="A379">
        <v>378</v>
      </c>
      <c r="B379" s="1">
        <v>42374.5155787037</v>
      </c>
      <c r="C379" s="1">
        <v>42374.525995370372</v>
      </c>
      <c r="D379" t="s">
        <v>1</v>
      </c>
      <c r="G379" t="b">
        <v>1</v>
      </c>
      <c r="H379">
        <v>70805</v>
      </c>
      <c r="I379" s="6">
        <v>2.0338958763368402</v>
      </c>
      <c r="J379" s="1">
        <v>42374.533055555556</v>
      </c>
      <c r="K379">
        <v>7.99</v>
      </c>
      <c r="L379" s="6">
        <f>('Pizza Sales Calculations'!$J379-'Pizza Sales Calculations'!$C379)*24*60</f>
        <v>10.166666664881632</v>
      </c>
      <c r="M379">
        <f>COUNTA('Pizza Sales Calculations'!$D379:$F379)</f>
        <v>1</v>
      </c>
      <c r="R379" s="9">
        <f>IF('Pizza Sales Calculations'!$G379=TRUE, Parameters!$B$17*'Pizza Sales Calculations'!$L379*2, 0)</f>
        <v>2.8805555550497957</v>
      </c>
      <c r="T379" s="6"/>
      <c r="U379" s="9"/>
    </row>
    <row r="380" spans="1:21" x14ac:dyDescent="0.2">
      <c r="A380">
        <v>379</v>
      </c>
      <c r="B380" s="1">
        <v>42374.521296296298</v>
      </c>
      <c r="C380" s="1">
        <v>42374.531701388885</v>
      </c>
      <c r="D380" t="s">
        <v>1</v>
      </c>
      <c r="E380" t="s">
        <v>35</v>
      </c>
      <c r="G380" t="b">
        <v>0</v>
      </c>
      <c r="H380">
        <v>70804</v>
      </c>
      <c r="I380" s="6">
        <v>0</v>
      </c>
      <c r="J380" s="1">
        <v>42374.533773148149</v>
      </c>
      <c r="K380">
        <v>23.34</v>
      </c>
      <c r="L380" s="6">
        <f>('Pizza Sales Calculations'!$J380-'Pizza Sales Calculations'!$C380)*24*60</f>
        <v>2.9833333392161876</v>
      </c>
      <c r="M380">
        <f>COUNTA('Pizza Sales Calculations'!$D380:$F380)</f>
        <v>2</v>
      </c>
      <c r="R380" s="9">
        <f>IF('Pizza Sales Calculations'!$G380=TRUE, Parameters!$B$17*'Pizza Sales Calculations'!$L380*2, 0)</f>
        <v>0</v>
      </c>
      <c r="T380" s="6"/>
      <c r="U380" s="9"/>
    </row>
    <row r="381" spans="1:21" x14ac:dyDescent="0.2">
      <c r="A381">
        <v>380</v>
      </c>
      <c r="B381" s="1">
        <v>42374.518680555557</v>
      </c>
      <c r="C381" s="1">
        <v>42374.529085648152</v>
      </c>
      <c r="D381" t="s">
        <v>1</v>
      </c>
      <c r="G381" t="b">
        <v>0</v>
      </c>
      <c r="H381">
        <v>70805</v>
      </c>
      <c r="I381" s="6">
        <v>0</v>
      </c>
      <c r="J381" s="1">
        <v>42374.531180555554</v>
      </c>
      <c r="K381">
        <v>7.99</v>
      </c>
      <c r="L381" s="6">
        <f>('Pizza Sales Calculations'!$J381-'Pizza Sales Calculations'!$C381)*24*60</f>
        <v>3.0166666593868285</v>
      </c>
      <c r="M381">
        <f>COUNTA('Pizza Sales Calculations'!$D381:$F381)</f>
        <v>1</v>
      </c>
      <c r="R381" s="9">
        <f>IF('Pizza Sales Calculations'!$G381=TRUE, Parameters!$B$17*'Pizza Sales Calculations'!$L381*2, 0)</f>
        <v>0</v>
      </c>
      <c r="T381" s="6"/>
      <c r="U381" s="9"/>
    </row>
    <row r="382" spans="1:21" x14ac:dyDescent="0.2">
      <c r="A382">
        <v>381</v>
      </c>
      <c r="B382" s="1">
        <v>42374.54420138889</v>
      </c>
      <c r="C382" s="1">
        <v>42374.554594907408</v>
      </c>
      <c r="D382" t="s">
        <v>1</v>
      </c>
      <c r="E382" t="s">
        <v>35</v>
      </c>
      <c r="G382" t="b">
        <v>1</v>
      </c>
      <c r="H382">
        <v>70805</v>
      </c>
      <c r="I382" s="6">
        <v>3.3305524210361401</v>
      </c>
      <c r="J382" s="1">
        <v>42374.566157407404</v>
      </c>
      <c r="K382">
        <v>23.34</v>
      </c>
      <c r="L382" s="6">
        <f>('Pizza Sales Calculations'!$J382-'Pizza Sales Calculations'!$C382)*24*60</f>
        <v>16.649999994551763</v>
      </c>
      <c r="M382">
        <f>COUNTA('Pizza Sales Calculations'!$D382:$F382)</f>
        <v>2</v>
      </c>
      <c r="R382" s="9">
        <f>IF('Pizza Sales Calculations'!$G382=TRUE, Parameters!$B$17*'Pizza Sales Calculations'!$L382*2, 0)</f>
        <v>4.7174999984563328</v>
      </c>
      <c r="T382" s="6"/>
      <c r="U382" s="9"/>
    </row>
    <row r="383" spans="1:21" x14ac:dyDescent="0.2">
      <c r="A383">
        <v>382</v>
      </c>
      <c r="B383" s="1">
        <v>42374.582384259258</v>
      </c>
      <c r="C383" s="1">
        <v>42374.592812499999</v>
      </c>
      <c r="D383" t="s">
        <v>35</v>
      </c>
      <c r="G383" t="b">
        <v>1</v>
      </c>
      <c r="H383">
        <v>70806</v>
      </c>
      <c r="I383" s="6">
        <v>4.3098802544181396</v>
      </c>
      <c r="J383" s="1">
        <v>42374.607766203706</v>
      </c>
      <c r="K383">
        <v>15.35</v>
      </c>
      <c r="L383" s="6">
        <f>('Pizza Sales Calculations'!$J383-'Pizza Sales Calculations'!$C383)*24*60</f>
        <v>21.53333333786577</v>
      </c>
      <c r="M383">
        <f>COUNTA('Pizza Sales Calculations'!$D383:$F383)</f>
        <v>1</v>
      </c>
      <c r="R383" s="9">
        <f>IF('Pizza Sales Calculations'!$G383=TRUE, Parameters!$B$17*'Pizza Sales Calculations'!$L383*2, 0)</f>
        <v>6.1011111123953015</v>
      </c>
      <c r="T383" s="6"/>
      <c r="U383" s="9"/>
    </row>
    <row r="384" spans="1:21" x14ac:dyDescent="0.2">
      <c r="A384">
        <v>383</v>
      </c>
      <c r="B384" s="1">
        <v>42374.529340277775</v>
      </c>
      <c r="C384" s="1">
        <v>42374.539733796293</v>
      </c>
      <c r="D384" t="s">
        <v>2</v>
      </c>
      <c r="G384" t="b">
        <v>1</v>
      </c>
      <c r="H384">
        <v>70806</v>
      </c>
      <c r="I384" s="6">
        <v>4.3755982985687902</v>
      </c>
      <c r="J384" s="1">
        <v>42374.554918981485</v>
      </c>
      <c r="K384">
        <v>11.59</v>
      </c>
      <c r="L384" s="6">
        <f>('Pizza Sales Calculations'!$J384-'Pizza Sales Calculations'!$C384)*24*60</f>
        <v>21.866666675778106</v>
      </c>
      <c r="M384">
        <f>COUNTA('Pizza Sales Calculations'!$D384:$F384)</f>
        <v>1</v>
      </c>
      <c r="R384" s="9">
        <f>IF('Pizza Sales Calculations'!$G384=TRUE, Parameters!$B$17*'Pizza Sales Calculations'!$L384*2, 0)</f>
        <v>6.19555555813713</v>
      </c>
      <c r="T384" s="6"/>
      <c r="U384" s="9"/>
    </row>
    <row r="385" spans="1:21" x14ac:dyDescent="0.2">
      <c r="A385">
        <v>384</v>
      </c>
      <c r="B385" s="1">
        <v>42374.473935185182</v>
      </c>
      <c r="C385" s="1">
        <v>42374.484340277777</v>
      </c>
      <c r="D385" t="s">
        <v>1</v>
      </c>
      <c r="E385" t="s">
        <v>2</v>
      </c>
      <c r="G385" t="b">
        <v>1</v>
      </c>
      <c r="H385">
        <v>70803</v>
      </c>
      <c r="I385" s="6">
        <v>3.1709123088927398</v>
      </c>
      <c r="J385" s="1">
        <v>42374.495347222219</v>
      </c>
      <c r="K385">
        <v>19.579999999999998</v>
      </c>
      <c r="L385" s="6">
        <f>('Pizza Sales Calculations'!$J385-'Pizza Sales Calculations'!$C385)*24*60</f>
        <v>15.849999996135011</v>
      </c>
      <c r="M385">
        <f>COUNTA('Pizza Sales Calculations'!$D385:$F385)</f>
        <v>2</v>
      </c>
      <c r="R385" s="9">
        <f>IF('Pizza Sales Calculations'!$G385=TRUE, Parameters!$B$17*'Pizza Sales Calculations'!$L385*2, 0)</f>
        <v>4.4908333322382532</v>
      </c>
      <c r="T385" s="6"/>
      <c r="U385" s="9"/>
    </row>
    <row r="386" spans="1:21" x14ac:dyDescent="0.2">
      <c r="A386">
        <v>385</v>
      </c>
      <c r="B386" s="1">
        <v>42374.485578703701</v>
      </c>
      <c r="C386" s="1">
        <v>42374.495995370373</v>
      </c>
      <c r="D386" t="s">
        <v>1</v>
      </c>
      <c r="E386" t="s">
        <v>35</v>
      </c>
      <c r="G386" t="b">
        <v>0</v>
      </c>
      <c r="H386">
        <v>70808</v>
      </c>
      <c r="I386" s="6">
        <v>0</v>
      </c>
      <c r="J386" s="1">
        <v>42374.498078703706</v>
      </c>
      <c r="K386">
        <v>23.34</v>
      </c>
      <c r="L386" s="6">
        <f>('Pizza Sales Calculations'!$J386-'Pizza Sales Calculations'!$C386)*24*60</f>
        <v>2.9999999993015081</v>
      </c>
      <c r="M386">
        <f>COUNTA('Pizza Sales Calculations'!$D386:$F386)</f>
        <v>2</v>
      </c>
      <c r="R386" s="9">
        <f>IF('Pizza Sales Calculations'!$G386=TRUE, Parameters!$B$17*'Pizza Sales Calculations'!$L386*2, 0)</f>
        <v>0</v>
      </c>
      <c r="T386" s="6"/>
      <c r="U386" s="9"/>
    </row>
    <row r="387" spans="1:21" x14ac:dyDescent="0.2">
      <c r="A387">
        <v>386</v>
      </c>
      <c r="B387" s="1">
        <v>42374.55746527778</v>
      </c>
      <c r="C387" s="1">
        <v>42374.567881944444</v>
      </c>
      <c r="D387" t="s">
        <v>35</v>
      </c>
      <c r="G387" t="b">
        <v>0</v>
      </c>
      <c r="H387">
        <v>70803</v>
      </c>
      <c r="I387" s="6">
        <v>0</v>
      </c>
      <c r="J387" s="1">
        <v>42374.56994212963</v>
      </c>
      <c r="K387">
        <v>15.35</v>
      </c>
      <c r="L387" s="6">
        <f>('Pizza Sales Calculations'!$J387-'Pizza Sales Calculations'!$C387)*24*60</f>
        <v>2.9666666686534882</v>
      </c>
      <c r="M387">
        <f>COUNTA('Pizza Sales Calculations'!$D387:$F387)</f>
        <v>1</v>
      </c>
      <c r="R387" s="9">
        <f>IF('Pizza Sales Calculations'!$G387=TRUE, Parameters!$B$17*'Pizza Sales Calculations'!$L387*2, 0)</f>
        <v>0</v>
      </c>
      <c r="T387" s="6"/>
      <c r="U387" s="9"/>
    </row>
    <row r="388" spans="1:21" x14ac:dyDescent="0.2">
      <c r="A388">
        <v>387</v>
      </c>
      <c r="B388" s="1">
        <v>42374.486331018517</v>
      </c>
      <c r="C388" s="1">
        <v>42374.496736111112</v>
      </c>
      <c r="D388" t="s">
        <v>1</v>
      </c>
      <c r="G388" t="b">
        <v>0</v>
      </c>
      <c r="H388">
        <v>70803</v>
      </c>
      <c r="I388" s="6">
        <v>0</v>
      </c>
      <c r="J388" s="1">
        <v>42374.498796296299</v>
      </c>
      <c r="K388">
        <v>7.99</v>
      </c>
      <c r="L388" s="6">
        <f>('Pizza Sales Calculations'!$J388-'Pizza Sales Calculations'!$C388)*24*60</f>
        <v>2.9666666686534882</v>
      </c>
      <c r="M388">
        <f>COUNTA('Pizza Sales Calculations'!$D388:$F388)</f>
        <v>1</v>
      </c>
      <c r="R388" s="9">
        <f>IF('Pizza Sales Calculations'!$G388=TRUE, Parameters!$B$17*'Pizza Sales Calculations'!$L388*2, 0)</f>
        <v>0</v>
      </c>
      <c r="T388" s="6"/>
      <c r="U388" s="9"/>
    </row>
    <row r="389" spans="1:21" x14ac:dyDescent="0.2">
      <c r="A389">
        <v>388</v>
      </c>
      <c r="B389" s="1">
        <v>42374.500300925924</v>
      </c>
      <c r="C389" s="1">
        <v>42374.510706018518</v>
      </c>
      <c r="D389" t="s">
        <v>1</v>
      </c>
      <c r="G389" t="b">
        <v>0</v>
      </c>
      <c r="H389">
        <v>70806</v>
      </c>
      <c r="I389" s="6">
        <v>0</v>
      </c>
      <c r="J389" s="1">
        <v>42374.512766203705</v>
      </c>
      <c r="K389">
        <v>7.99</v>
      </c>
      <c r="L389" s="6">
        <f>('Pizza Sales Calculations'!$J389-'Pizza Sales Calculations'!$C389)*24*60</f>
        <v>2.9666666686534882</v>
      </c>
      <c r="M389">
        <f>COUNTA('Pizza Sales Calculations'!$D389:$F389)</f>
        <v>1</v>
      </c>
      <c r="R389" s="9">
        <f>IF('Pizza Sales Calculations'!$G389=TRUE, Parameters!$B$17*'Pizza Sales Calculations'!$L389*2, 0)</f>
        <v>0</v>
      </c>
      <c r="T389" s="6"/>
      <c r="U389" s="9"/>
    </row>
    <row r="390" spans="1:21" x14ac:dyDescent="0.2">
      <c r="A390">
        <v>389</v>
      </c>
      <c r="B390" s="1">
        <v>42374.537766203706</v>
      </c>
      <c r="C390" s="1">
        <v>42374.548182870371</v>
      </c>
      <c r="D390" t="s">
        <v>35</v>
      </c>
      <c r="G390" t="b">
        <v>1</v>
      </c>
      <c r="H390">
        <v>70803</v>
      </c>
      <c r="I390" s="6">
        <v>4.2370143150446804</v>
      </c>
      <c r="J390" s="1">
        <v>42374.562893518516</v>
      </c>
      <c r="K390">
        <v>15.35</v>
      </c>
      <c r="L390" s="6">
        <f>('Pizza Sales Calculations'!$J390-'Pizza Sales Calculations'!$C390)*24*60</f>
        <v>21.183333329390734</v>
      </c>
      <c r="M390">
        <f>COUNTA('Pizza Sales Calculations'!$D390:$F390)</f>
        <v>1</v>
      </c>
      <c r="R390" s="9">
        <f>IF('Pizza Sales Calculations'!$G390=TRUE, Parameters!$B$17*'Pizza Sales Calculations'!$L390*2, 0)</f>
        <v>6.0019444433273748</v>
      </c>
      <c r="T390" s="6"/>
      <c r="U390" s="9"/>
    </row>
    <row r="391" spans="1:21" x14ac:dyDescent="0.2">
      <c r="A391">
        <v>390</v>
      </c>
      <c r="B391" s="1">
        <v>42374.562928240739</v>
      </c>
      <c r="C391" s="1">
        <v>42374.573344907411</v>
      </c>
      <c r="D391" t="s">
        <v>2</v>
      </c>
      <c r="G391" t="b">
        <v>1</v>
      </c>
      <c r="H391">
        <v>70805</v>
      </c>
      <c r="I391" s="6">
        <v>4.1914482676219897</v>
      </c>
      <c r="J391" s="1">
        <v>42374.587893518517</v>
      </c>
      <c r="K391">
        <v>11.59</v>
      </c>
      <c r="L391" s="6">
        <f>('Pizza Sales Calculations'!$J391-'Pizza Sales Calculations'!$C391)*24*60</f>
        <v>20.949999993899837</v>
      </c>
      <c r="M391">
        <f>COUNTA('Pizza Sales Calculations'!$D391:$F391)</f>
        <v>1</v>
      </c>
      <c r="R391" s="9">
        <f>IF('Pizza Sales Calculations'!$G391=TRUE, Parameters!$B$17*'Pizza Sales Calculations'!$L391*2, 0)</f>
        <v>5.9358333316049539</v>
      </c>
      <c r="T391" s="6"/>
      <c r="U391" s="9"/>
    </row>
    <row r="392" spans="1:21" x14ac:dyDescent="0.2">
      <c r="A392">
        <v>391</v>
      </c>
      <c r="B392" s="1">
        <v>42374.481666666667</v>
      </c>
      <c r="C392" s="1">
        <v>42374.492060185185</v>
      </c>
      <c r="D392" t="s">
        <v>35</v>
      </c>
      <c r="G392" t="b">
        <v>0</v>
      </c>
      <c r="H392">
        <v>70805</v>
      </c>
      <c r="I392" s="6">
        <v>0</v>
      </c>
      <c r="J392" s="1">
        <v>42374.494143518517</v>
      </c>
      <c r="K392">
        <v>15.35</v>
      </c>
      <c r="L392" s="6">
        <f>('Pizza Sales Calculations'!$J392-'Pizza Sales Calculations'!$C392)*24*60</f>
        <v>2.9999999993015081</v>
      </c>
      <c r="M392">
        <f>COUNTA('Pizza Sales Calculations'!$D392:$F392)</f>
        <v>1</v>
      </c>
      <c r="R392" s="9">
        <f>IF('Pizza Sales Calculations'!$G392=TRUE, Parameters!$B$17*'Pizza Sales Calculations'!$L392*2, 0)</f>
        <v>0</v>
      </c>
      <c r="T392" s="6"/>
      <c r="U392" s="9"/>
    </row>
    <row r="393" spans="1:21" x14ac:dyDescent="0.2">
      <c r="A393">
        <v>392</v>
      </c>
      <c r="B393" s="1">
        <v>42374.514097222222</v>
      </c>
      <c r="C393" s="1">
        <v>42374.524502314816</v>
      </c>
      <c r="D393" t="s">
        <v>1</v>
      </c>
      <c r="E393" t="s">
        <v>2</v>
      </c>
      <c r="G393" t="b">
        <v>1</v>
      </c>
      <c r="H393">
        <v>70807</v>
      </c>
      <c r="I393" s="6">
        <v>1.50030744248446</v>
      </c>
      <c r="J393" s="1">
        <v>42374.529710648145</v>
      </c>
      <c r="K393">
        <v>19.579999999999998</v>
      </c>
      <c r="L393" s="6">
        <f>('Pizza Sales Calculations'!$J393-'Pizza Sales Calculations'!$C393)*24*60</f>
        <v>7.4999999930150807</v>
      </c>
      <c r="M393">
        <f>COUNTA('Pizza Sales Calculations'!$D393:$F393)</f>
        <v>2</v>
      </c>
      <c r="R393" s="9">
        <f>IF('Pizza Sales Calculations'!$G393=TRUE, Parameters!$B$17*'Pizza Sales Calculations'!$L393*2, 0)</f>
        <v>2.1249999980209395</v>
      </c>
      <c r="T393" s="6"/>
      <c r="U393" s="9"/>
    </row>
    <row r="394" spans="1:21" x14ac:dyDescent="0.2">
      <c r="A394">
        <v>393</v>
      </c>
      <c r="B394" s="1">
        <v>42374.520856481482</v>
      </c>
      <c r="C394" s="1">
        <v>42374.531261574077</v>
      </c>
      <c r="D394" t="s">
        <v>2</v>
      </c>
      <c r="G394" t="b">
        <v>1</v>
      </c>
      <c r="H394">
        <v>70803</v>
      </c>
      <c r="I394" s="6">
        <v>4.5773148144098803</v>
      </c>
      <c r="J394" s="1">
        <v>42374.547152777777</v>
      </c>
      <c r="K394">
        <v>11.59</v>
      </c>
      <c r="L394" s="6">
        <f>('Pizza Sales Calculations'!$J394-'Pizza Sales Calculations'!$C394)*24*60</f>
        <v>22.883333328645676</v>
      </c>
      <c r="M394">
        <f>COUNTA('Pizza Sales Calculations'!$D394:$F394)</f>
        <v>1</v>
      </c>
      <c r="R394" s="9">
        <f>IF('Pizza Sales Calculations'!$G394=TRUE, Parameters!$B$17*'Pizza Sales Calculations'!$L394*2, 0)</f>
        <v>6.4836111097829416</v>
      </c>
      <c r="T394" s="6"/>
      <c r="U394" s="9"/>
    </row>
    <row r="395" spans="1:21" x14ac:dyDescent="0.2">
      <c r="A395">
        <v>394</v>
      </c>
      <c r="B395" s="1">
        <v>42374.488495370373</v>
      </c>
      <c r="C395" s="1">
        <v>42374.498865740738</v>
      </c>
      <c r="D395" t="s">
        <v>35</v>
      </c>
      <c r="G395" t="b">
        <v>0</v>
      </c>
      <c r="H395">
        <v>70805</v>
      </c>
      <c r="I395" s="6">
        <v>0</v>
      </c>
      <c r="J395" s="1">
        <v>42374.500937500001</v>
      </c>
      <c r="K395">
        <v>15.35</v>
      </c>
      <c r="L395" s="6">
        <f>('Pizza Sales Calculations'!$J395-'Pizza Sales Calculations'!$C395)*24*60</f>
        <v>2.9833333392161876</v>
      </c>
      <c r="M395">
        <f>COUNTA('Pizza Sales Calculations'!$D395:$F395)</f>
        <v>1</v>
      </c>
      <c r="R395" s="9">
        <f>IF('Pizza Sales Calculations'!$G395=TRUE, Parameters!$B$17*'Pizza Sales Calculations'!$L395*2, 0)</f>
        <v>0</v>
      </c>
      <c r="T395" s="6"/>
      <c r="U395" s="9"/>
    </row>
    <row r="396" spans="1:21" x14ac:dyDescent="0.2">
      <c r="A396">
        <v>395</v>
      </c>
      <c r="B396" s="1">
        <v>42374.427488425928</v>
      </c>
      <c r="C396" s="1">
        <v>42374.437893518516</v>
      </c>
      <c r="D396" t="s">
        <v>2</v>
      </c>
      <c r="G396" t="b">
        <v>0</v>
      </c>
      <c r="H396">
        <v>70805</v>
      </c>
      <c r="I396" s="6">
        <v>0</v>
      </c>
      <c r="J396" s="1">
        <v>42374.439965277779</v>
      </c>
      <c r="K396">
        <v>11.59</v>
      </c>
      <c r="L396" s="6">
        <f>('Pizza Sales Calculations'!$J396-'Pizza Sales Calculations'!$C396)*24*60</f>
        <v>2.9833333392161876</v>
      </c>
      <c r="M396">
        <f>COUNTA('Pizza Sales Calculations'!$D396:$F396)</f>
        <v>1</v>
      </c>
      <c r="R396" s="9">
        <f>IF('Pizza Sales Calculations'!$G396=TRUE, Parameters!$B$17*'Pizza Sales Calculations'!$L396*2, 0)</f>
        <v>0</v>
      </c>
      <c r="T396" s="6"/>
      <c r="U396" s="9"/>
    </row>
    <row r="397" spans="1:21" x14ac:dyDescent="0.2">
      <c r="A397">
        <v>396</v>
      </c>
      <c r="B397" s="1">
        <v>42374.521099537036</v>
      </c>
      <c r="C397" s="1">
        <v>42374.531504629631</v>
      </c>
      <c r="D397" t="s">
        <v>35</v>
      </c>
      <c r="G397" t="b">
        <v>0</v>
      </c>
      <c r="H397">
        <v>70804</v>
      </c>
      <c r="I397" s="6">
        <v>0</v>
      </c>
      <c r="J397" s="1">
        <v>42374.533599537041</v>
      </c>
      <c r="K397">
        <v>15.35</v>
      </c>
      <c r="L397" s="6">
        <f>('Pizza Sales Calculations'!$J397-'Pizza Sales Calculations'!$C397)*24*60</f>
        <v>3.0166666698642075</v>
      </c>
      <c r="M397">
        <f>COUNTA('Pizza Sales Calculations'!$D397:$F397)</f>
        <v>1</v>
      </c>
      <c r="R397" s="9">
        <f>IF('Pizza Sales Calculations'!$G397=TRUE, Parameters!$B$17*'Pizza Sales Calculations'!$L397*2, 0)</f>
        <v>0</v>
      </c>
      <c r="T397" s="6"/>
      <c r="U397" s="9"/>
    </row>
    <row r="398" spans="1:21" x14ac:dyDescent="0.2">
      <c r="A398">
        <v>397</v>
      </c>
      <c r="B398" s="1">
        <v>42374.476493055554</v>
      </c>
      <c r="C398" s="1">
        <v>42374.486898148149</v>
      </c>
      <c r="D398" t="s">
        <v>35</v>
      </c>
      <c r="G398" t="b">
        <v>1</v>
      </c>
      <c r="H398">
        <v>70806</v>
      </c>
      <c r="I398" s="6">
        <v>1.0458570367373901</v>
      </c>
      <c r="J398" s="1">
        <v>42374.490520833337</v>
      </c>
      <c r="K398">
        <v>15.35</v>
      </c>
      <c r="L398" s="6">
        <f>('Pizza Sales Calculations'!$J398-'Pizza Sales Calculations'!$C398)*24*60</f>
        <v>5.216666670748964</v>
      </c>
      <c r="M398">
        <f>COUNTA('Pizza Sales Calculations'!$D398:$F398)</f>
        <v>1</v>
      </c>
      <c r="R398" s="9">
        <f>IF('Pizza Sales Calculations'!$G398=TRUE, Parameters!$B$17*'Pizza Sales Calculations'!$L398*2, 0)</f>
        <v>1.4780555567122065</v>
      </c>
      <c r="T398" s="6"/>
      <c r="U398" s="9"/>
    </row>
    <row r="399" spans="1:21" x14ac:dyDescent="0.2">
      <c r="A399">
        <v>398</v>
      </c>
      <c r="B399" s="1">
        <v>42374.468321759261</v>
      </c>
      <c r="C399" s="1">
        <v>42374.478726851848</v>
      </c>
      <c r="D399" t="s">
        <v>1</v>
      </c>
      <c r="E399" t="s">
        <v>35</v>
      </c>
      <c r="G399" t="b">
        <v>1</v>
      </c>
      <c r="H399">
        <v>70806</v>
      </c>
      <c r="I399" s="6">
        <v>2.9732005861183302</v>
      </c>
      <c r="J399" s="1">
        <v>42374.489039351851</v>
      </c>
      <c r="K399">
        <v>23.34</v>
      </c>
      <c r="L399" s="6">
        <f>('Pizza Sales Calculations'!$J399-'Pizza Sales Calculations'!$C399)*24*60</f>
        <v>14.850000003352761</v>
      </c>
      <c r="M399">
        <f>COUNTA('Pizza Sales Calculations'!$D399:$F399)</f>
        <v>2</v>
      </c>
      <c r="R399" s="9">
        <f>IF('Pizza Sales Calculations'!$G399=TRUE, Parameters!$B$17*'Pizza Sales Calculations'!$L399*2, 0)</f>
        <v>4.207500000949949</v>
      </c>
      <c r="T399" s="6"/>
      <c r="U399" s="9"/>
    </row>
    <row r="400" spans="1:21" x14ac:dyDescent="0.2">
      <c r="A400">
        <v>399</v>
      </c>
      <c r="B400" s="1">
        <v>42374.531412037039</v>
      </c>
      <c r="C400" s="1">
        <v>42374.541828703703</v>
      </c>
      <c r="D400" t="s">
        <v>1</v>
      </c>
      <c r="E400" t="s">
        <v>2</v>
      </c>
      <c r="G400" t="b">
        <v>1</v>
      </c>
      <c r="H400">
        <v>70805</v>
      </c>
      <c r="I400" s="6">
        <v>3.8293535742858902</v>
      </c>
      <c r="J400" s="1">
        <v>42374.555115740739</v>
      </c>
      <c r="K400">
        <v>19.579999999999998</v>
      </c>
      <c r="L400" s="6">
        <f>('Pizza Sales Calculations'!$J400-'Pizza Sales Calculations'!$C400)*24*60</f>
        <v>19.133333332138136</v>
      </c>
      <c r="M400">
        <f>COUNTA('Pizza Sales Calculations'!$D400:$F400)</f>
        <v>2</v>
      </c>
      <c r="R400" s="9">
        <f>IF('Pizza Sales Calculations'!$G400=TRUE, Parameters!$B$17*'Pizza Sales Calculations'!$L400*2, 0)</f>
        <v>5.4211111107724719</v>
      </c>
      <c r="T400" s="6"/>
      <c r="U400" s="9"/>
    </row>
    <row r="401" spans="1:21" x14ac:dyDescent="0.2">
      <c r="A401">
        <v>400</v>
      </c>
      <c r="B401" s="1">
        <v>42374.457939814813</v>
      </c>
      <c r="C401" s="1">
        <v>42374.468368055554</v>
      </c>
      <c r="D401" t="s">
        <v>1</v>
      </c>
      <c r="E401" t="s">
        <v>2</v>
      </c>
      <c r="G401" t="b">
        <v>1</v>
      </c>
      <c r="H401">
        <v>70804</v>
      </c>
      <c r="I401" s="6">
        <v>1.09083131747134</v>
      </c>
      <c r="J401" s="1">
        <v>42374.47215277778</v>
      </c>
      <c r="K401">
        <v>19.579999999999998</v>
      </c>
      <c r="L401" s="6">
        <f>('Pizza Sales Calculations'!$J401-'Pizza Sales Calculations'!$C401)*24*60</f>
        <v>5.4500000062398612</v>
      </c>
      <c r="M401">
        <f>COUNTA('Pizza Sales Calculations'!$D401:$F401)</f>
        <v>2</v>
      </c>
      <c r="R401" s="9">
        <f>IF('Pizza Sales Calculations'!$G401=TRUE, Parameters!$B$17*'Pizza Sales Calculations'!$L401*2, 0)</f>
        <v>1.5441666684346274</v>
      </c>
      <c r="T401" s="6"/>
      <c r="U401" s="9"/>
    </row>
    <row r="402" spans="1:21" x14ac:dyDescent="0.2">
      <c r="A402">
        <v>401</v>
      </c>
      <c r="B402" s="1">
        <v>42374.538043981483</v>
      </c>
      <c r="C402" s="1">
        <v>42374.548472222225</v>
      </c>
      <c r="D402" t="s">
        <v>1</v>
      </c>
      <c r="E402" t="s">
        <v>2</v>
      </c>
      <c r="G402" t="b">
        <v>0</v>
      </c>
      <c r="H402">
        <v>70803</v>
      </c>
      <c r="I402" s="6">
        <v>0</v>
      </c>
      <c r="J402" s="1">
        <v>42374.550543981481</v>
      </c>
      <c r="K402">
        <v>19.579999999999998</v>
      </c>
      <c r="L402" s="6">
        <f>('Pizza Sales Calculations'!$J402-'Pizza Sales Calculations'!$C402)*24*60</f>
        <v>2.9833333287388086</v>
      </c>
      <c r="M402">
        <f>COUNTA('Pizza Sales Calculations'!$D402:$F402)</f>
        <v>2</v>
      </c>
      <c r="R402" s="9">
        <f>IF('Pizza Sales Calculations'!$G402=TRUE, Parameters!$B$17*'Pizza Sales Calculations'!$L402*2, 0)</f>
        <v>0</v>
      </c>
      <c r="T402" s="6"/>
      <c r="U402" s="9"/>
    </row>
    <row r="403" spans="1:21" x14ac:dyDescent="0.2">
      <c r="A403">
        <v>402</v>
      </c>
      <c r="B403" s="1">
        <v>42374.418495370373</v>
      </c>
      <c r="C403" s="1">
        <v>42374.428900462961</v>
      </c>
      <c r="D403" t="s">
        <v>35</v>
      </c>
      <c r="G403" t="b">
        <v>0</v>
      </c>
      <c r="H403">
        <v>70807</v>
      </c>
      <c r="I403" s="6">
        <v>0</v>
      </c>
      <c r="J403" s="1">
        <v>42374.430983796294</v>
      </c>
      <c r="K403">
        <v>15.35</v>
      </c>
      <c r="L403" s="6">
        <f>('Pizza Sales Calculations'!$J403-'Pizza Sales Calculations'!$C403)*24*60</f>
        <v>2.9999999993015081</v>
      </c>
      <c r="M403">
        <f>COUNTA('Pizza Sales Calculations'!$D403:$F403)</f>
        <v>1</v>
      </c>
      <c r="R403" s="9">
        <f>IF('Pizza Sales Calculations'!$G403=TRUE, Parameters!$B$17*'Pizza Sales Calculations'!$L403*2, 0)</f>
        <v>0</v>
      </c>
      <c r="T403" s="6"/>
      <c r="U403" s="9"/>
    </row>
    <row r="404" spans="1:21" x14ac:dyDescent="0.2">
      <c r="A404">
        <v>403</v>
      </c>
      <c r="B404" s="1">
        <v>42374.493530092594</v>
      </c>
      <c r="C404" s="1">
        <v>42374.503935185188</v>
      </c>
      <c r="D404" t="s">
        <v>2</v>
      </c>
      <c r="G404" t="b">
        <v>0</v>
      </c>
      <c r="H404">
        <v>70805</v>
      </c>
      <c r="I404" s="6">
        <v>0</v>
      </c>
      <c r="J404" s="1">
        <v>42374.506006944444</v>
      </c>
      <c r="K404">
        <v>11.59</v>
      </c>
      <c r="L404" s="6">
        <f>('Pizza Sales Calculations'!$J404-'Pizza Sales Calculations'!$C404)*24*60</f>
        <v>2.9833333287388086</v>
      </c>
      <c r="M404">
        <f>COUNTA('Pizza Sales Calculations'!$D404:$F404)</f>
        <v>1</v>
      </c>
      <c r="R404" s="9">
        <f>IF('Pizza Sales Calculations'!$G404=TRUE, Parameters!$B$17*'Pizza Sales Calculations'!$L404*2, 0)</f>
        <v>0</v>
      </c>
      <c r="T404" s="6"/>
      <c r="U404" s="9"/>
    </row>
    <row r="405" spans="1:21" x14ac:dyDescent="0.2">
      <c r="A405">
        <v>404</v>
      </c>
      <c r="B405" s="1">
        <v>42374.441608796296</v>
      </c>
      <c r="C405" s="1">
        <v>42374.452002314814</v>
      </c>
      <c r="D405" t="s">
        <v>35</v>
      </c>
      <c r="G405" t="b">
        <v>0</v>
      </c>
      <c r="H405">
        <v>70804</v>
      </c>
      <c r="I405" s="6">
        <v>0</v>
      </c>
      <c r="J405" s="1">
        <v>42374.454074074078</v>
      </c>
      <c r="K405">
        <v>15.35</v>
      </c>
      <c r="L405" s="6">
        <f>('Pizza Sales Calculations'!$J405-'Pizza Sales Calculations'!$C405)*24*60</f>
        <v>2.9833333392161876</v>
      </c>
      <c r="M405">
        <f>COUNTA('Pizza Sales Calculations'!$D405:$F405)</f>
        <v>1</v>
      </c>
      <c r="R405" s="9">
        <f>IF('Pizza Sales Calculations'!$G405=TRUE, Parameters!$B$17*'Pizza Sales Calculations'!$L405*2, 0)</f>
        <v>0</v>
      </c>
      <c r="T405" s="6"/>
      <c r="U405" s="9"/>
    </row>
    <row r="406" spans="1:21" x14ac:dyDescent="0.2">
      <c r="A406">
        <v>405</v>
      </c>
      <c r="B406" s="1">
        <v>42374.432118055556</v>
      </c>
      <c r="C406" s="1">
        <v>42374.442499999997</v>
      </c>
      <c r="D406" t="s">
        <v>1</v>
      </c>
      <c r="E406" t="s">
        <v>2</v>
      </c>
      <c r="G406" t="b">
        <v>1</v>
      </c>
      <c r="H406">
        <v>70806</v>
      </c>
      <c r="I406" s="6">
        <v>3.1321827464602801</v>
      </c>
      <c r="J406" s="1">
        <v>42374.453368055554</v>
      </c>
      <c r="K406">
        <v>19.579999999999998</v>
      </c>
      <c r="L406" s="6">
        <f>('Pizza Sales Calculations'!$J406-'Pizza Sales Calculations'!$C406)*24*60</f>
        <v>15.650000001769513</v>
      </c>
      <c r="M406">
        <f>COUNTA('Pizza Sales Calculations'!$D406:$F406)</f>
        <v>2</v>
      </c>
      <c r="R406" s="9">
        <f>IF('Pizza Sales Calculations'!$G406=TRUE, Parameters!$B$17*'Pizza Sales Calculations'!$L406*2, 0)</f>
        <v>4.4341666671680287</v>
      </c>
      <c r="T406" s="6"/>
      <c r="U406" s="9"/>
    </row>
    <row r="407" spans="1:21" x14ac:dyDescent="0.2">
      <c r="A407">
        <v>406</v>
      </c>
      <c r="B407" s="1">
        <v>42374.525104166663</v>
      </c>
      <c r="C407" s="1">
        <v>42374.535520833335</v>
      </c>
      <c r="D407" t="s">
        <v>2</v>
      </c>
      <c r="G407" t="b">
        <v>1</v>
      </c>
      <c r="H407">
        <v>70807</v>
      </c>
      <c r="I407" s="6">
        <v>2.6959979460329802</v>
      </c>
      <c r="J407" s="1">
        <v>42374.544872685183</v>
      </c>
      <c r="K407">
        <v>11.59</v>
      </c>
      <c r="L407" s="6">
        <f>('Pizza Sales Calculations'!$J407-'Pizza Sales Calculations'!$C407)*24*60</f>
        <v>13.466666660970077</v>
      </c>
      <c r="M407">
        <f>COUNTA('Pizza Sales Calculations'!$D407:$F407)</f>
        <v>1</v>
      </c>
      <c r="R407" s="9">
        <f>IF('Pizza Sales Calculations'!$G407=TRUE, Parameters!$B$17*'Pizza Sales Calculations'!$L407*2, 0)</f>
        <v>3.8155555539415218</v>
      </c>
      <c r="T407" s="6"/>
      <c r="U407" s="9"/>
    </row>
    <row r="408" spans="1:21" x14ac:dyDescent="0.2">
      <c r="A408">
        <v>407</v>
      </c>
      <c r="B408" s="1">
        <v>42374.537685185183</v>
      </c>
      <c r="C408" s="1">
        <v>42374.548113425924</v>
      </c>
      <c r="D408" t="s">
        <v>1</v>
      </c>
      <c r="G408" t="b">
        <v>1</v>
      </c>
      <c r="H408">
        <v>70805</v>
      </c>
      <c r="I408" s="6">
        <v>3.08657462998484</v>
      </c>
      <c r="J408" s="1">
        <v>42374.558819444443</v>
      </c>
      <c r="K408">
        <v>7.99</v>
      </c>
      <c r="L408" s="6">
        <f>('Pizza Sales Calculations'!$J408-'Pizza Sales Calculations'!$C408)*24*60</f>
        <v>15.416666666278616</v>
      </c>
      <c r="M408">
        <f>COUNTA('Pizza Sales Calculations'!$D408:$F408)</f>
        <v>1</v>
      </c>
      <c r="R408" s="9">
        <f>IF('Pizza Sales Calculations'!$G408=TRUE, Parameters!$B$17*'Pizza Sales Calculations'!$L408*2, 0)</f>
        <v>4.3680555554456078</v>
      </c>
      <c r="T408" s="6"/>
      <c r="U408" s="9"/>
    </row>
    <row r="409" spans="1:21" x14ac:dyDescent="0.2">
      <c r="A409">
        <v>408</v>
      </c>
      <c r="B409" s="1">
        <v>42374.480925925927</v>
      </c>
      <c r="C409" s="1">
        <v>42374.491342592592</v>
      </c>
      <c r="D409" t="s">
        <v>35</v>
      </c>
      <c r="G409" t="b">
        <v>1</v>
      </c>
      <c r="H409">
        <v>70806</v>
      </c>
      <c r="I409" s="6">
        <v>2.05996557509045</v>
      </c>
      <c r="J409" s="1">
        <v>42374.498483796298</v>
      </c>
      <c r="K409">
        <v>15.35</v>
      </c>
      <c r="L409" s="6">
        <f>('Pizza Sales Calculations'!$J409-'Pizza Sales Calculations'!$C409)*24*60</f>
        <v>10.28333333786577</v>
      </c>
      <c r="M409">
        <f>COUNTA('Pizza Sales Calculations'!$D409:$F409)</f>
        <v>1</v>
      </c>
      <c r="R409" s="9">
        <f>IF('Pizza Sales Calculations'!$G409=TRUE, Parameters!$B$17*'Pizza Sales Calculations'!$L409*2, 0)</f>
        <v>2.9136111123953015</v>
      </c>
      <c r="T409" s="6"/>
      <c r="U409" s="9"/>
    </row>
    <row r="410" spans="1:21" x14ac:dyDescent="0.2">
      <c r="A410">
        <v>409</v>
      </c>
      <c r="B410" s="1">
        <v>42374.570567129631</v>
      </c>
      <c r="C410" s="1">
        <v>42374.580995370372</v>
      </c>
      <c r="D410" t="s">
        <v>1</v>
      </c>
      <c r="G410" t="b">
        <v>1</v>
      </c>
      <c r="H410">
        <v>70804</v>
      </c>
      <c r="I410" s="6">
        <v>2.5167784530998198</v>
      </c>
      <c r="J410" s="1">
        <v>42374.589733796296</v>
      </c>
      <c r="K410">
        <v>7.99</v>
      </c>
      <c r="L410" s="6">
        <f>('Pizza Sales Calculations'!$J410-'Pizza Sales Calculations'!$C410)*24*60</f>
        <v>12.583333330694586</v>
      </c>
      <c r="M410">
        <f>COUNTA('Pizza Sales Calculations'!$D410:$F410)</f>
        <v>1</v>
      </c>
      <c r="R410" s="9">
        <f>IF('Pizza Sales Calculations'!$G410=TRUE, Parameters!$B$17*'Pizza Sales Calculations'!$L410*2, 0)</f>
        <v>3.5652777770301327</v>
      </c>
      <c r="T410" s="6"/>
      <c r="U410" s="9"/>
    </row>
    <row r="411" spans="1:21" x14ac:dyDescent="0.2">
      <c r="A411">
        <v>410</v>
      </c>
      <c r="B411" s="1">
        <v>42374.527581018519</v>
      </c>
      <c r="C411" s="1">
        <v>42374.53802083333</v>
      </c>
      <c r="D411" t="s">
        <v>2</v>
      </c>
      <c r="E411" t="s">
        <v>35</v>
      </c>
      <c r="G411" t="b">
        <v>1</v>
      </c>
      <c r="H411">
        <v>70806</v>
      </c>
      <c r="I411" s="6">
        <v>2.6172287680748099</v>
      </c>
      <c r="J411" s="1">
        <v>42374.547106481485</v>
      </c>
      <c r="K411">
        <v>25.94</v>
      </c>
      <c r="L411" s="6">
        <f>('Pizza Sales Calculations'!$J411-'Pizza Sales Calculations'!$C411)*24*60</f>
        <v>13.08333334280178</v>
      </c>
      <c r="M411">
        <f>COUNTA('Pizza Sales Calculations'!$D411:$F411)</f>
        <v>2</v>
      </c>
      <c r="R411" s="9">
        <f>IF('Pizza Sales Calculations'!$G411=TRUE, Parameters!$B$17*'Pizza Sales Calculations'!$L411*2, 0)</f>
        <v>3.7069444471271709</v>
      </c>
      <c r="T411" s="6"/>
      <c r="U411" s="9"/>
    </row>
    <row r="412" spans="1:21" x14ac:dyDescent="0.2">
      <c r="A412">
        <v>411</v>
      </c>
      <c r="B412" s="1">
        <v>42374.508356481485</v>
      </c>
      <c r="C412" s="1">
        <v>42374.518738425926</v>
      </c>
      <c r="D412" t="s">
        <v>35</v>
      </c>
      <c r="G412" t="b">
        <v>1</v>
      </c>
      <c r="H412">
        <v>70804</v>
      </c>
      <c r="I412" s="6">
        <v>2.4993064945460999</v>
      </c>
      <c r="J412" s="1">
        <v>42374.527407407404</v>
      </c>
      <c r="K412">
        <v>15.35</v>
      </c>
      <c r="L412" s="6">
        <f>('Pizza Sales Calculations'!$J412-'Pizza Sales Calculations'!$C412)*24*60</f>
        <v>12.483333328273147</v>
      </c>
      <c r="M412">
        <f>COUNTA('Pizza Sales Calculations'!$D412:$F412)</f>
        <v>1</v>
      </c>
      <c r="R412" s="9">
        <f>IF('Pizza Sales Calculations'!$G412=TRUE, Parameters!$B$17*'Pizza Sales Calculations'!$L412*2, 0)</f>
        <v>3.5369444430107251</v>
      </c>
      <c r="T412" s="6"/>
      <c r="U412" s="9"/>
    </row>
    <row r="413" spans="1:21" x14ac:dyDescent="0.2">
      <c r="A413">
        <v>412</v>
      </c>
      <c r="B413" s="1">
        <v>42374.484050925923</v>
      </c>
      <c r="C413" s="1">
        <v>42374.494467592594</v>
      </c>
      <c r="D413" t="s">
        <v>35</v>
      </c>
      <c r="G413" t="b">
        <v>0</v>
      </c>
      <c r="H413">
        <v>70803</v>
      </c>
      <c r="I413" s="6">
        <v>0</v>
      </c>
      <c r="J413" s="1">
        <v>42374.496539351851</v>
      </c>
      <c r="K413">
        <v>15.35</v>
      </c>
      <c r="L413" s="6">
        <f>('Pizza Sales Calculations'!$J413-'Pizza Sales Calculations'!$C413)*24*60</f>
        <v>2.9833333287388086</v>
      </c>
      <c r="M413">
        <f>COUNTA('Pizza Sales Calculations'!$D413:$F413)</f>
        <v>1</v>
      </c>
      <c r="R413" s="9">
        <f>IF('Pizza Sales Calculations'!$G413=TRUE, Parameters!$B$17*'Pizza Sales Calculations'!$L413*2, 0)</f>
        <v>0</v>
      </c>
      <c r="T413" s="6"/>
      <c r="U413" s="9"/>
    </row>
    <row r="414" spans="1:21" x14ac:dyDescent="0.2">
      <c r="A414">
        <v>413</v>
      </c>
      <c r="B414" s="1">
        <v>42374.461226851854</v>
      </c>
      <c r="C414" s="1">
        <v>42374.471631944441</v>
      </c>
      <c r="D414" t="s">
        <v>2</v>
      </c>
      <c r="G414" t="b">
        <v>1</v>
      </c>
      <c r="H414">
        <v>70804</v>
      </c>
      <c r="I414" s="6">
        <v>5.6391824028670996</v>
      </c>
      <c r="J414" s="1">
        <v>42374.491203703707</v>
      </c>
      <c r="K414">
        <v>11.59</v>
      </c>
      <c r="L414" s="6">
        <f>('Pizza Sales Calculations'!$J414-'Pizza Sales Calculations'!$C414)*24*60</f>
        <v>28.183333341730759</v>
      </c>
      <c r="M414">
        <f>COUNTA('Pizza Sales Calculations'!$D414:$F414)</f>
        <v>1</v>
      </c>
      <c r="R414" s="9">
        <f>IF('Pizza Sales Calculations'!$G414=TRUE, Parameters!$B$17*'Pizza Sales Calculations'!$L414*2, 0)</f>
        <v>7.9852777801570483</v>
      </c>
      <c r="T414" s="6"/>
      <c r="U414" s="9"/>
    </row>
    <row r="415" spans="1:21" x14ac:dyDescent="0.2">
      <c r="A415">
        <v>414</v>
      </c>
      <c r="B415" s="1">
        <v>42374.556435185186</v>
      </c>
      <c r="C415" s="1">
        <v>42374.566840277781</v>
      </c>
      <c r="D415" t="s">
        <v>1</v>
      </c>
      <c r="E415" t="s">
        <v>35</v>
      </c>
      <c r="G415" t="b">
        <v>0</v>
      </c>
      <c r="H415">
        <v>70803</v>
      </c>
      <c r="I415" s="6">
        <v>0</v>
      </c>
      <c r="J415" s="1">
        <v>42374.568935185183</v>
      </c>
      <c r="K415">
        <v>23.34</v>
      </c>
      <c r="L415" s="6">
        <f>('Pizza Sales Calculations'!$J415-'Pizza Sales Calculations'!$C415)*24*60</f>
        <v>3.0166666593868285</v>
      </c>
      <c r="M415">
        <f>COUNTA('Pizza Sales Calculations'!$D415:$F415)</f>
        <v>2</v>
      </c>
      <c r="R415" s="9">
        <f>IF('Pizza Sales Calculations'!$G415=TRUE, Parameters!$B$17*'Pizza Sales Calculations'!$L415*2, 0)</f>
        <v>0</v>
      </c>
      <c r="T415" s="6"/>
      <c r="U415" s="9"/>
    </row>
    <row r="416" spans="1:21" x14ac:dyDescent="0.2">
      <c r="A416">
        <v>415</v>
      </c>
      <c r="B416" s="1">
        <v>42374.576539351852</v>
      </c>
      <c r="C416" s="1">
        <v>42374.586956018517</v>
      </c>
      <c r="D416" t="s">
        <v>1</v>
      </c>
      <c r="E416" t="s">
        <v>2</v>
      </c>
      <c r="G416" t="b">
        <v>1</v>
      </c>
      <c r="H416">
        <v>70805</v>
      </c>
      <c r="I416" s="6">
        <v>3.9136668149684799</v>
      </c>
      <c r="J416" s="1">
        <v>42374.600543981483</v>
      </c>
      <c r="K416">
        <v>19.579999999999998</v>
      </c>
      <c r="L416" s="6">
        <f>('Pizza Sales Calculations'!$J416-'Pizza Sales Calculations'!$C416)*24*60</f>
        <v>19.566666672471911</v>
      </c>
      <c r="M416">
        <f>COUNTA('Pizza Sales Calculations'!$D416:$F416)</f>
        <v>2</v>
      </c>
      <c r="R416" s="9">
        <f>IF('Pizza Sales Calculations'!$G416=TRUE, Parameters!$B$17*'Pizza Sales Calculations'!$L416*2, 0)</f>
        <v>5.543888890533708</v>
      </c>
      <c r="T416" s="6"/>
      <c r="U416" s="9"/>
    </row>
    <row r="417" spans="1:21" x14ac:dyDescent="0.2">
      <c r="A417">
        <v>416</v>
      </c>
      <c r="B417" s="1">
        <v>42374.523692129631</v>
      </c>
      <c r="C417" s="1">
        <v>42374.534108796295</v>
      </c>
      <c r="D417" t="s">
        <v>1</v>
      </c>
      <c r="E417" t="s">
        <v>35</v>
      </c>
      <c r="G417" t="b">
        <v>1</v>
      </c>
      <c r="H417">
        <v>70806</v>
      </c>
      <c r="I417" s="6">
        <v>3.2953934753319101</v>
      </c>
      <c r="J417" s="1">
        <v>42374.545543981483</v>
      </c>
      <c r="K417">
        <v>23.34</v>
      </c>
      <c r="L417" s="6">
        <f>('Pizza Sales Calculations'!$J417-'Pizza Sales Calculations'!$C417)*24*60</f>
        <v>16.466666670748964</v>
      </c>
      <c r="M417">
        <f>COUNTA('Pizza Sales Calculations'!$D417:$F417)</f>
        <v>2</v>
      </c>
      <c r="R417" s="9">
        <f>IF('Pizza Sales Calculations'!$G417=TRUE, Parameters!$B$17*'Pizza Sales Calculations'!$L417*2, 0)</f>
        <v>4.6655555567122065</v>
      </c>
      <c r="T417" s="6"/>
      <c r="U417" s="9"/>
    </row>
    <row r="418" spans="1:21" x14ac:dyDescent="0.2">
      <c r="A418">
        <v>417</v>
      </c>
      <c r="B418" s="1">
        <v>42374.449363425927</v>
      </c>
      <c r="C418" s="1">
        <v>42374.459780092591</v>
      </c>
      <c r="D418" t="s">
        <v>1</v>
      </c>
      <c r="G418" t="b">
        <v>1</v>
      </c>
      <c r="H418">
        <v>70804</v>
      </c>
      <c r="I418" s="6">
        <v>0.689845506353301</v>
      </c>
      <c r="J418" s="1">
        <v>42374.462164351855</v>
      </c>
      <c r="K418">
        <v>7.99</v>
      </c>
      <c r="L418" s="6">
        <f>('Pizza Sales Calculations'!$J418-'Pizza Sales Calculations'!$C418)*24*60</f>
        <v>3.4333333396352828</v>
      </c>
      <c r="M418">
        <f>COUNTA('Pizza Sales Calculations'!$D418:$F418)</f>
        <v>1</v>
      </c>
      <c r="R418" s="9">
        <f>IF('Pizza Sales Calculations'!$G418=TRUE, Parameters!$B$17*'Pizza Sales Calculations'!$L418*2, 0)</f>
        <v>0.97277777956333011</v>
      </c>
      <c r="T418" s="6"/>
      <c r="U418" s="9"/>
    </row>
    <row r="419" spans="1:21" x14ac:dyDescent="0.2">
      <c r="A419">
        <v>418</v>
      </c>
      <c r="B419" s="1">
        <v>42374.484467592592</v>
      </c>
      <c r="C419" s="1">
        <v>42374.494872685187</v>
      </c>
      <c r="D419" t="s">
        <v>2</v>
      </c>
      <c r="G419" t="b">
        <v>0</v>
      </c>
      <c r="H419">
        <v>70806</v>
      </c>
      <c r="I419" s="6">
        <v>0</v>
      </c>
      <c r="J419" s="1">
        <v>42374.496967592589</v>
      </c>
      <c r="K419">
        <v>11.59</v>
      </c>
      <c r="L419" s="6">
        <f>('Pizza Sales Calculations'!$J419-'Pizza Sales Calculations'!$C419)*24*60</f>
        <v>3.0166666593868285</v>
      </c>
      <c r="M419">
        <f>COUNTA('Pizza Sales Calculations'!$D419:$F419)</f>
        <v>1</v>
      </c>
      <c r="R419" s="9">
        <f>IF('Pizza Sales Calculations'!$G419=TRUE, Parameters!$B$17*'Pizza Sales Calculations'!$L419*2, 0)</f>
        <v>0</v>
      </c>
      <c r="T419" s="6"/>
      <c r="U419" s="9"/>
    </row>
    <row r="420" spans="1:21" x14ac:dyDescent="0.2">
      <c r="A420">
        <v>419</v>
      </c>
      <c r="B420" s="1">
        <v>42374.517638888887</v>
      </c>
      <c r="C420" s="1">
        <v>42374.528043981481</v>
      </c>
      <c r="D420" t="s">
        <v>35</v>
      </c>
      <c r="G420" t="b">
        <v>0</v>
      </c>
      <c r="H420">
        <v>70803</v>
      </c>
      <c r="I420" s="6">
        <v>0</v>
      </c>
      <c r="J420" s="1">
        <v>42374.530115740738</v>
      </c>
      <c r="K420">
        <v>15.35</v>
      </c>
      <c r="L420" s="6">
        <f>('Pizza Sales Calculations'!$J420-'Pizza Sales Calculations'!$C420)*24*60</f>
        <v>2.9833333287388086</v>
      </c>
      <c r="M420">
        <f>COUNTA('Pizza Sales Calculations'!$D420:$F420)</f>
        <v>1</v>
      </c>
      <c r="R420" s="9">
        <f>IF('Pizza Sales Calculations'!$G420=TRUE, Parameters!$B$17*'Pizza Sales Calculations'!$L420*2, 0)</f>
        <v>0</v>
      </c>
      <c r="T420" s="6"/>
      <c r="U420" s="9"/>
    </row>
    <row r="421" spans="1:21" x14ac:dyDescent="0.2">
      <c r="A421">
        <v>420</v>
      </c>
      <c r="B421" s="1">
        <v>42374.42728009259</v>
      </c>
      <c r="C421" s="1">
        <v>42374.437685185185</v>
      </c>
      <c r="D421" t="s">
        <v>1</v>
      </c>
      <c r="E421" t="s">
        <v>2</v>
      </c>
      <c r="G421" t="b">
        <v>0</v>
      </c>
      <c r="H421">
        <v>70806</v>
      </c>
      <c r="I421" s="6">
        <v>0</v>
      </c>
      <c r="J421" s="1">
        <v>42374.439745370371</v>
      </c>
      <c r="K421">
        <v>19.579999999999998</v>
      </c>
      <c r="L421" s="6">
        <f>('Pizza Sales Calculations'!$J421-'Pizza Sales Calculations'!$C421)*24*60</f>
        <v>2.9666666686534882</v>
      </c>
      <c r="M421">
        <f>COUNTA('Pizza Sales Calculations'!$D421:$F421)</f>
        <v>2</v>
      </c>
      <c r="R421" s="9">
        <f>IF('Pizza Sales Calculations'!$G421=TRUE, Parameters!$B$17*'Pizza Sales Calculations'!$L421*2, 0)</f>
        <v>0</v>
      </c>
      <c r="T421" s="6"/>
      <c r="U421" s="9"/>
    </row>
    <row r="422" spans="1:21" x14ac:dyDescent="0.2">
      <c r="A422">
        <v>421</v>
      </c>
      <c r="B422" s="1">
        <v>42374.425532407404</v>
      </c>
      <c r="C422" s="1">
        <v>42374.435937499999</v>
      </c>
      <c r="D422" t="s">
        <v>2</v>
      </c>
      <c r="G422" t="b">
        <v>0</v>
      </c>
      <c r="H422">
        <v>70807</v>
      </c>
      <c r="I422" s="6">
        <v>0</v>
      </c>
      <c r="J422" s="1">
        <v>42374.438009259262</v>
      </c>
      <c r="K422">
        <v>11.59</v>
      </c>
      <c r="L422" s="6">
        <f>('Pizza Sales Calculations'!$J422-'Pizza Sales Calculations'!$C422)*24*60</f>
        <v>2.9833333392161876</v>
      </c>
      <c r="M422">
        <f>COUNTA('Pizza Sales Calculations'!$D422:$F422)</f>
        <v>1</v>
      </c>
      <c r="R422" s="9">
        <f>IF('Pizza Sales Calculations'!$G422=TRUE, Parameters!$B$17*'Pizza Sales Calculations'!$L422*2, 0)</f>
        <v>0</v>
      </c>
      <c r="T422" s="6"/>
      <c r="U422" s="9"/>
    </row>
    <row r="423" spans="1:21" x14ac:dyDescent="0.2">
      <c r="A423">
        <v>422</v>
      </c>
      <c r="B423" s="1">
        <v>42374.527118055557</v>
      </c>
      <c r="C423" s="1">
        <v>42374.537534722222</v>
      </c>
      <c r="D423" t="s">
        <v>35</v>
      </c>
      <c r="G423" t="b">
        <v>1</v>
      </c>
      <c r="H423">
        <v>70803</v>
      </c>
      <c r="I423" s="6">
        <v>3.2836951868528002</v>
      </c>
      <c r="J423" s="1">
        <v>42374.548935185187</v>
      </c>
      <c r="K423">
        <v>15.35</v>
      </c>
      <c r="L423" s="6">
        <f>('Pizza Sales Calculations'!$J423-'Pizza Sales Calculations'!$C423)*24*60</f>
        <v>16.416666669538245</v>
      </c>
      <c r="M423">
        <f>COUNTA('Pizza Sales Calculations'!$D423:$F423)</f>
        <v>1</v>
      </c>
      <c r="R423" s="9">
        <f>IF('Pizza Sales Calculations'!$G423=TRUE, Parameters!$B$17*'Pizza Sales Calculations'!$L423*2, 0)</f>
        <v>4.6513888897025026</v>
      </c>
      <c r="T423" s="6"/>
      <c r="U423" s="9"/>
    </row>
    <row r="424" spans="1:21" x14ac:dyDescent="0.2">
      <c r="A424">
        <v>423</v>
      </c>
      <c r="B424" s="1">
        <v>42374.509027777778</v>
      </c>
      <c r="C424" s="1">
        <v>42374.519456018519</v>
      </c>
      <c r="D424" t="s">
        <v>2</v>
      </c>
      <c r="G424" t="b">
        <v>1</v>
      </c>
      <c r="H424">
        <v>70805</v>
      </c>
      <c r="I424" s="6">
        <v>4.6167869727311404</v>
      </c>
      <c r="J424" s="1">
        <v>42374.535486111112</v>
      </c>
      <c r="K424">
        <v>11.59</v>
      </c>
      <c r="L424" s="6">
        <f>('Pizza Sales Calculations'!$J424-'Pizza Sales Calculations'!$C424)*24*60</f>
        <v>23.083333333488554</v>
      </c>
      <c r="M424">
        <f>COUNTA('Pizza Sales Calculations'!$D424:$F424)</f>
        <v>1</v>
      </c>
      <c r="R424" s="9">
        <f>IF('Pizza Sales Calculations'!$G424=TRUE, Parameters!$B$17*'Pizza Sales Calculations'!$L424*2, 0)</f>
        <v>6.5402777778217569</v>
      </c>
      <c r="T424" s="6"/>
      <c r="U424" s="9"/>
    </row>
    <row r="425" spans="1:21" x14ac:dyDescent="0.2">
      <c r="A425">
        <v>424</v>
      </c>
      <c r="B425" s="1">
        <v>42374.492476851854</v>
      </c>
      <c r="C425" s="1">
        <v>42374.502893518518</v>
      </c>
      <c r="D425" t="s">
        <v>35</v>
      </c>
      <c r="G425" t="b">
        <v>0</v>
      </c>
      <c r="H425">
        <v>70804</v>
      </c>
      <c r="I425" s="6">
        <v>0</v>
      </c>
      <c r="J425" s="1">
        <v>42374.504965277774</v>
      </c>
      <c r="K425">
        <v>15.35</v>
      </c>
      <c r="L425" s="6">
        <f>('Pizza Sales Calculations'!$J425-'Pizza Sales Calculations'!$C425)*24*60</f>
        <v>2.9833333287388086</v>
      </c>
      <c r="M425">
        <f>COUNTA('Pizza Sales Calculations'!$D425:$F425)</f>
        <v>1</v>
      </c>
      <c r="R425" s="9">
        <f>IF('Pizza Sales Calculations'!$G425=TRUE, Parameters!$B$17*'Pizza Sales Calculations'!$L425*2, 0)</f>
        <v>0</v>
      </c>
      <c r="T425" s="6"/>
      <c r="U425" s="9"/>
    </row>
    <row r="426" spans="1:21" x14ac:dyDescent="0.2">
      <c r="A426">
        <v>425</v>
      </c>
      <c r="B426" s="1">
        <v>42374.460543981484</v>
      </c>
      <c r="C426" s="1">
        <v>42374.470960648148</v>
      </c>
      <c r="D426" t="s">
        <v>35</v>
      </c>
      <c r="G426" t="b">
        <v>0</v>
      </c>
      <c r="H426">
        <v>70803</v>
      </c>
      <c r="I426" s="6">
        <v>0</v>
      </c>
      <c r="J426" s="1">
        <v>42374.473020833335</v>
      </c>
      <c r="K426">
        <v>15.35</v>
      </c>
      <c r="L426" s="6">
        <f>('Pizza Sales Calculations'!$J426-'Pizza Sales Calculations'!$C426)*24*60</f>
        <v>2.9666666686534882</v>
      </c>
      <c r="M426">
        <f>COUNTA('Pizza Sales Calculations'!$D426:$F426)</f>
        <v>1</v>
      </c>
      <c r="R426" s="9">
        <f>IF('Pizza Sales Calculations'!$G426=TRUE, Parameters!$B$17*'Pizza Sales Calculations'!$L426*2, 0)</f>
        <v>0</v>
      </c>
      <c r="T426" s="6"/>
      <c r="U426" s="9"/>
    </row>
    <row r="427" spans="1:21" x14ac:dyDescent="0.2">
      <c r="A427">
        <v>426</v>
      </c>
      <c r="B427" s="1">
        <v>42374.523958333331</v>
      </c>
      <c r="C427" s="1">
        <v>42374.534363425926</v>
      </c>
      <c r="D427" t="s">
        <v>2</v>
      </c>
      <c r="G427" t="b">
        <v>0</v>
      </c>
      <c r="H427">
        <v>70805</v>
      </c>
      <c r="I427" s="6">
        <v>0</v>
      </c>
      <c r="J427" s="1">
        <v>42374.536423611113</v>
      </c>
      <c r="K427">
        <v>11.59</v>
      </c>
      <c r="L427" s="6">
        <f>('Pizza Sales Calculations'!$J427-'Pizza Sales Calculations'!$C427)*24*60</f>
        <v>2.9666666686534882</v>
      </c>
      <c r="M427">
        <f>COUNTA('Pizza Sales Calculations'!$D427:$F427)</f>
        <v>1</v>
      </c>
      <c r="R427" s="9">
        <f>IF('Pizza Sales Calculations'!$G427=TRUE, Parameters!$B$17*'Pizza Sales Calculations'!$L427*2, 0)</f>
        <v>0</v>
      </c>
      <c r="T427" s="6"/>
      <c r="U427" s="9"/>
    </row>
    <row r="428" spans="1:21" x14ac:dyDescent="0.2">
      <c r="A428">
        <v>427</v>
      </c>
      <c r="B428" s="1">
        <v>42374.452488425923</v>
      </c>
      <c r="C428" s="1">
        <v>42374.462893518517</v>
      </c>
      <c r="D428" t="s">
        <v>35</v>
      </c>
      <c r="G428" t="b">
        <v>1</v>
      </c>
      <c r="H428">
        <v>70804</v>
      </c>
      <c r="I428" s="6">
        <v>2.4539297233034501</v>
      </c>
      <c r="J428" s="1">
        <v>42374.471412037034</v>
      </c>
      <c r="K428">
        <v>15.35</v>
      </c>
      <c r="L428" s="6">
        <f>('Pizza Sales Calculations'!$J428-'Pizza Sales Calculations'!$C428)*24*60</f>
        <v>12.266666663344949</v>
      </c>
      <c r="M428">
        <f>COUNTA('Pizza Sales Calculations'!$D428:$F428)</f>
        <v>1</v>
      </c>
      <c r="R428" s="9">
        <f>IF('Pizza Sales Calculations'!$G428=TRUE, Parameters!$B$17*'Pizza Sales Calculations'!$L428*2, 0)</f>
        <v>3.4755555546144024</v>
      </c>
      <c r="T428" s="6"/>
      <c r="U428" s="9"/>
    </row>
    <row r="429" spans="1:21" x14ac:dyDescent="0.2">
      <c r="A429">
        <v>428</v>
      </c>
      <c r="B429" s="1">
        <v>42374.527812499997</v>
      </c>
      <c r="C429" s="1">
        <v>42374.538229166668</v>
      </c>
      <c r="D429" t="s">
        <v>35</v>
      </c>
      <c r="G429" t="b">
        <v>0</v>
      </c>
      <c r="H429">
        <v>70805</v>
      </c>
      <c r="I429" s="6">
        <v>0</v>
      </c>
      <c r="J429" s="1">
        <v>42374.540312500001</v>
      </c>
      <c r="K429">
        <v>15.35</v>
      </c>
      <c r="L429" s="6">
        <f>('Pizza Sales Calculations'!$J429-'Pizza Sales Calculations'!$C429)*24*60</f>
        <v>2.9999999993015081</v>
      </c>
      <c r="M429">
        <f>COUNTA('Pizza Sales Calculations'!$D429:$F429)</f>
        <v>1</v>
      </c>
      <c r="R429" s="9">
        <f>IF('Pizza Sales Calculations'!$G429=TRUE, Parameters!$B$17*'Pizza Sales Calculations'!$L429*2, 0)</f>
        <v>0</v>
      </c>
      <c r="T429" s="6"/>
      <c r="U429" s="9"/>
    </row>
    <row r="430" spans="1:21" x14ac:dyDescent="0.2">
      <c r="A430">
        <v>429</v>
      </c>
      <c r="B430" s="1">
        <v>42374.47314814815</v>
      </c>
      <c r="C430" s="1">
        <v>42374.483541666668</v>
      </c>
      <c r="D430" t="s">
        <v>1</v>
      </c>
      <c r="E430" t="s">
        <v>2</v>
      </c>
      <c r="G430" t="b">
        <v>0</v>
      </c>
      <c r="H430">
        <v>70804</v>
      </c>
      <c r="I430" s="6">
        <v>0</v>
      </c>
      <c r="J430" s="1">
        <v>42374.485613425924</v>
      </c>
      <c r="K430">
        <v>19.579999999999998</v>
      </c>
      <c r="L430" s="6">
        <f>('Pizza Sales Calculations'!$J430-'Pizza Sales Calculations'!$C430)*24*60</f>
        <v>2.9833333287388086</v>
      </c>
      <c r="M430">
        <f>COUNTA('Pizza Sales Calculations'!$D430:$F430)</f>
        <v>2</v>
      </c>
      <c r="R430" s="9">
        <f>IF('Pizza Sales Calculations'!$G430=TRUE, Parameters!$B$17*'Pizza Sales Calculations'!$L430*2, 0)</f>
        <v>0</v>
      </c>
      <c r="T430" s="6"/>
      <c r="U430" s="9"/>
    </row>
    <row r="431" spans="1:21" x14ac:dyDescent="0.2">
      <c r="A431">
        <v>430</v>
      </c>
      <c r="B431" s="1">
        <v>42375.574120370373</v>
      </c>
      <c r="C431" s="1">
        <v>42375.584513888891</v>
      </c>
      <c r="D431" t="s">
        <v>2</v>
      </c>
      <c r="G431" t="b">
        <v>1</v>
      </c>
      <c r="H431">
        <v>70805</v>
      </c>
      <c r="I431" s="6">
        <v>3.4906561740564301</v>
      </c>
      <c r="J431" s="1">
        <v>42375.596631944441</v>
      </c>
      <c r="K431">
        <v>11.59</v>
      </c>
      <c r="L431" s="6">
        <f>('Pizza Sales Calculations'!$J431-'Pizza Sales Calculations'!$C431)*24*60</f>
        <v>17.449999992968515</v>
      </c>
      <c r="M431">
        <f>COUNTA('Pizza Sales Calculations'!$D431:$F431)</f>
        <v>1</v>
      </c>
      <c r="R431" s="9">
        <f>IF('Pizza Sales Calculations'!$G431=TRUE, Parameters!$B$17*'Pizza Sales Calculations'!$L431*2, 0)</f>
        <v>4.9441666646744125</v>
      </c>
      <c r="T431" s="6"/>
      <c r="U431" s="9"/>
    </row>
    <row r="432" spans="1:21" x14ac:dyDescent="0.2">
      <c r="A432">
        <v>431</v>
      </c>
      <c r="B432" s="1">
        <v>42375.493078703701</v>
      </c>
      <c r="C432" s="1">
        <v>42375.503495370373</v>
      </c>
      <c r="D432" t="s">
        <v>2</v>
      </c>
      <c r="G432" t="b">
        <v>1</v>
      </c>
      <c r="H432">
        <v>70804</v>
      </c>
      <c r="I432" s="6">
        <v>2.5775087345876302</v>
      </c>
      <c r="J432" s="1">
        <v>42375.512442129628</v>
      </c>
      <c r="K432">
        <v>11.59</v>
      </c>
      <c r="L432" s="6">
        <f>('Pizza Sales Calculations'!$J432-'Pizza Sales Calculations'!$C432)*24*60</f>
        <v>12.883333327481523</v>
      </c>
      <c r="M432">
        <f>COUNTA('Pizza Sales Calculations'!$D432:$F432)</f>
        <v>1</v>
      </c>
      <c r="R432" s="9">
        <f>IF('Pizza Sales Calculations'!$G432=TRUE, Parameters!$B$17*'Pizza Sales Calculations'!$L432*2, 0)</f>
        <v>3.6502777761197649</v>
      </c>
      <c r="T432" s="6"/>
      <c r="U432" s="9"/>
    </row>
    <row r="433" spans="1:21" x14ac:dyDescent="0.2">
      <c r="A433">
        <v>432</v>
      </c>
      <c r="B433" s="1">
        <v>42375.499791666669</v>
      </c>
      <c r="C433" s="1">
        <v>42375.51021990741</v>
      </c>
      <c r="D433" t="s">
        <v>1</v>
      </c>
      <c r="G433" t="b">
        <v>0</v>
      </c>
      <c r="H433">
        <v>70805</v>
      </c>
      <c r="I433" s="6">
        <v>0</v>
      </c>
      <c r="J433" s="1">
        <v>42375.512303240743</v>
      </c>
      <c r="K433">
        <v>7.99</v>
      </c>
      <c r="L433" s="6">
        <f>('Pizza Sales Calculations'!$J433-'Pizza Sales Calculations'!$C433)*24*60</f>
        <v>2.9999999993015081</v>
      </c>
      <c r="M433">
        <f>COUNTA('Pizza Sales Calculations'!$D433:$F433)</f>
        <v>1</v>
      </c>
      <c r="R433" s="9">
        <f>IF('Pizza Sales Calculations'!$G433=TRUE, Parameters!$B$17*'Pizza Sales Calculations'!$L433*2, 0)</f>
        <v>0</v>
      </c>
      <c r="T433" s="6"/>
      <c r="U433" s="9"/>
    </row>
    <row r="434" spans="1:21" x14ac:dyDescent="0.2">
      <c r="A434">
        <v>433</v>
      </c>
      <c r="B434" s="1">
        <v>42375.486064814817</v>
      </c>
      <c r="C434" s="1">
        <v>42375.496469907404</v>
      </c>
      <c r="D434" t="s">
        <v>1</v>
      </c>
      <c r="G434" t="b">
        <v>0</v>
      </c>
      <c r="H434">
        <v>70804</v>
      </c>
      <c r="I434" s="6">
        <v>0</v>
      </c>
      <c r="J434" s="1">
        <v>42375.498541666668</v>
      </c>
      <c r="K434">
        <v>7.99</v>
      </c>
      <c r="L434" s="6">
        <f>('Pizza Sales Calculations'!$J434-'Pizza Sales Calculations'!$C434)*24*60</f>
        <v>2.9833333392161876</v>
      </c>
      <c r="M434">
        <f>COUNTA('Pizza Sales Calculations'!$D434:$F434)</f>
        <v>1</v>
      </c>
      <c r="R434" s="9">
        <f>IF('Pizza Sales Calculations'!$G434=TRUE, Parameters!$B$17*'Pizza Sales Calculations'!$L434*2, 0)</f>
        <v>0</v>
      </c>
      <c r="T434" s="6"/>
      <c r="U434" s="9"/>
    </row>
    <row r="435" spans="1:21" x14ac:dyDescent="0.2">
      <c r="A435">
        <v>434</v>
      </c>
      <c r="B435" s="1">
        <v>42375.469722222224</v>
      </c>
      <c r="C435" s="1">
        <v>42375.480138888888</v>
      </c>
      <c r="D435" t="s">
        <v>2</v>
      </c>
      <c r="G435" t="b">
        <v>0</v>
      </c>
      <c r="H435">
        <v>70804</v>
      </c>
      <c r="I435" s="6">
        <v>0</v>
      </c>
      <c r="J435" s="1">
        <v>42375.482233796298</v>
      </c>
      <c r="K435">
        <v>11.59</v>
      </c>
      <c r="L435" s="6">
        <f>('Pizza Sales Calculations'!$J435-'Pizza Sales Calculations'!$C435)*24*60</f>
        <v>3.0166666698642075</v>
      </c>
      <c r="M435">
        <f>COUNTA('Pizza Sales Calculations'!$D435:$F435)</f>
        <v>1</v>
      </c>
      <c r="R435" s="9">
        <f>IF('Pizza Sales Calculations'!$G435=TRUE, Parameters!$B$17*'Pizza Sales Calculations'!$L435*2, 0)</f>
        <v>0</v>
      </c>
      <c r="T435" s="6"/>
      <c r="U435" s="9"/>
    </row>
    <row r="436" spans="1:21" x14ac:dyDescent="0.2">
      <c r="A436">
        <v>435</v>
      </c>
      <c r="B436" s="1">
        <v>42375.526712962965</v>
      </c>
      <c r="C436" s="1">
        <v>42375.537118055552</v>
      </c>
      <c r="D436" t="s">
        <v>35</v>
      </c>
      <c r="G436" t="b">
        <v>1</v>
      </c>
      <c r="H436">
        <v>70803</v>
      </c>
      <c r="I436" s="6">
        <v>0.83898221995693401</v>
      </c>
      <c r="J436" s="1">
        <v>42375.540023148147</v>
      </c>
      <c r="K436">
        <v>15.35</v>
      </c>
      <c r="L436" s="6">
        <f>('Pizza Sales Calculations'!$J436-'Pizza Sales Calculations'!$C436)*24*60</f>
        <v>4.183333336841315</v>
      </c>
      <c r="M436">
        <f>COUNTA('Pizza Sales Calculations'!$D436:$F436)</f>
        <v>1</v>
      </c>
      <c r="R436" s="9">
        <f>IF('Pizza Sales Calculations'!$G436=TRUE, Parameters!$B$17*'Pizza Sales Calculations'!$L436*2, 0)</f>
        <v>1.1852777787717059</v>
      </c>
      <c r="T436" s="6"/>
      <c r="U436" s="9"/>
    </row>
    <row r="437" spans="1:21" x14ac:dyDescent="0.2">
      <c r="A437">
        <v>436</v>
      </c>
      <c r="B437" s="1">
        <v>42375.526828703703</v>
      </c>
      <c r="C437" s="1">
        <v>42375.537245370368</v>
      </c>
      <c r="D437" t="s">
        <v>35</v>
      </c>
      <c r="G437" t="b">
        <v>0</v>
      </c>
      <c r="H437">
        <v>70804</v>
      </c>
      <c r="I437" s="6">
        <v>0</v>
      </c>
      <c r="J437" s="1">
        <v>42375.539340277777</v>
      </c>
      <c r="K437">
        <v>15.35</v>
      </c>
      <c r="L437" s="6">
        <f>('Pizza Sales Calculations'!$J437-'Pizza Sales Calculations'!$C437)*24*60</f>
        <v>3.0166666698642075</v>
      </c>
      <c r="M437">
        <f>COUNTA('Pizza Sales Calculations'!$D437:$F437)</f>
        <v>1</v>
      </c>
      <c r="R437" s="9">
        <f>IF('Pizza Sales Calculations'!$G437=TRUE, Parameters!$B$17*'Pizza Sales Calculations'!$L437*2, 0)</f>
        <v>0</v>
      </c>
      <c r="T437" s="6"/>
      <c r="U437" s="9"/>
    </row>
    <row r="438" spans="1:21" x14ac:dyDescent="0.2">
      <c r="A438">
        <v>437</v>
      </c>
      <c r="B438" s="1">
        <v>42375.519513888888</v>
      </c>
      <c r="C438" s="1">
        <v>42375.529918981483</v>
      </c>
      <c r="D438" t="s">
        <v>1</v>
      </c>
      <c r="E438" t="s">
        <v>2</v>
      </c>
      <c r="G438" t="b">
        <v>0</v>
      </c>
      <c r="H438">
        <v>70805</v>
      </c>
      <c r="I438" s="6">
        <v>0</v>
      </c>
      <c r="J438" s="1">
        <v>42375.531990740739</v>
      </c>
      <c r="K438">
        <v>19.579999999999998</v>
      </c>
      <c r="L438" s="6">
        <f>('Pizza Sales Calculations'!$J438-'Pizza Sales Calculations'!$C438)*24*60</f>
        <v>2.9833333287388086</v>
      </c>
      <c r="M438">
        <f>COUNTA('Pizza Sales Calculations'!$D438:$F438)</f>
        <v>2</v>
      </c>
      <c r="R438" s="9">
        <f>IF('Pizza Sales Calculations'!$G438=TRUE, Parameters!$B$17*'Pizza Sales Calculations'!$L438*2, 0)</f>
        <v>0</v>
      </c>
      <c r="T438" s="6"/>
      <c r="U438" s="9"/>
    </row>
    <row r="439" spans="1:21" x14ac:dyDescent="0.2">
      <c r="A439">
        <v>438</v>
      </c>
      <c r="B439" s="1">
        <v>42375.476354166669</v>
      </c>
      <c r="C439" s="1">
        <v>42375.48678240741</v>
      </c>
      <c r="D439" t="s">
        <v>2</v>
      </c>
      <c r="G439" t="b">
        <v>0</v>
      </c>
      <c r="H439">
        <v>70805</v>
      </c>
      <c r="I439" s="6">
        <v>0</v>
      </c>
      <c r="J439" s="1">
        <v>42375.488854166666</v>
      </c>
      <c r="K439">
        <v>11.59</v>
      </c>
      <c r="L439" s="6">
        <f>('Pizza Sales Calculations'!$J439-'Pizza Sales Calculations'!$C439)*24*60</f>
        <v>2.9833333287388086</v>
      </c>
      <c r="M439">
        <f>COUNTA('Pizza Sales Calculations'!$D439:$F439)</f>
        <v>1</v>
      </c>
      <c r="R439" s="9">
        <f>IF('Pizza Sales Calculations'!$G439=TRUE, Parameters!$B$17*'Pizza Sales Calculations'!$L439*2, 0)</f>
        <v>0</v>
      </c>
      <c r="T439" s="6"/>
      <c r="U439" s="9"/>
    </row>
    <row r="440" spans="1:21" x14ac:dyDescent="0.2">
      <c r="A440">
        <v>439</v>
      </c>
      <c r="B440" s="1">
        <v>42375.529513888891</v>
      </c>
      <c r="C440" s="1">
        <v>42375.539930555555</v>
      </c>
      <c r="D440" t="s">
        <v>2</v>
      </c>
      <c r="G440" t="b">
        <v>0</v>
      </c>
      <c r="H440">
        <v>70806</v>
      </c>
      <c r="I440" s="6">
        <v>0</v>
      </c>
      <c r="J440" s="1">
        <v>42375.542025462964</v>
      </c>
      <c r="K440">
        <v>11.59</v>
      </c>
      <c r="L440" s="6">
        <f>('Pizza Sales Calculations'!$J440-'Pizza Sales Calculations'!$C440)*24*60</f>
        <v>3.0166666698642075</v>
      </c>
      <c r="M440">
        <f>COUNTA('Pizza Sales Calculations'!$D440:$F440)</f>
        <v>1</v>
      </c>
      <c r="R440" s="9">
        <f>IF('Pizza Sales Calculations'!$G440=TRUE, Parameters!$B$17*'Pizza Sales Calculations'!$L440*2, 0)</f>
        <v>0</v>
      </c>
      <c r="T440" s="6"/>
      <c r="U440" s="9"/>
    </row>
    <row r="441" spans="1:21" x14ac:dyDescent="0.2">
      <c r="A441">
        <v>440</v>
      </c>
      <c r="B441" s="1">
        <v>42375.47451388889</v>
      </c>
      <c r="C441" s="1">
        <v>42375.484907407408</v>
      </c>
      <c r="D441" t="s">
        <v>1</v>
      </c>
      <c r="E441" t="s">
        <v>2</v>
      </c>
      <c r="G441" t="b">
        <v>0</v>
      </c>
      <c r="H441">
        <v>70803</v>
      </c>
      <c r="I441" s="6">
        <v>0</v>
      </c>
      <c r="J441" s="1">
        <v>42375.486967592595</v>
      </c>
      <c r="K441">
        <v>19.579999999999998</v>
      </c>
      <c r="L441" s="6">
        <f>('Pizza Sales Calculations'!$J441-'Pizza Sales Calculations'!$C441)*24*60</f>
        <v>2.9666666686534882</v>
      </c>
      <c r="M441">
        <f>COUNTA('Pizza Sales Calculations'!$D441:$F441)</f>
        <v>2</v>
      </c>
      <c r="R441" s="9">
        <f>IF('Pizza Sales Calculations'!$G441=TRUE, Parameters!$B$17*'Pizza Sales Calculations'!$L441*2, 0)</f>
        <v>0</v>
      </c>
      <c r="T441" s="6"/>
      <c r="U441" s="9"/>
    </row>
    <row r="442" spans="1:21" x14ac:dyDescent="0.2">
      <c r="A442">
        <v>441</v>
      </c>
      <c r="B442" s="1">
        <v>42375.508148148147</v>
      </c>
      <c r="C442" s="1">
        <v>42375.518576388888</v>
      </c>
      <c r="D442" t="s">
        <v>35</v>
      </c>
      <c r="G442" t="b">
        <v>1</v>
      </c>
      <c r="H442">
        <v>70805</v>
      </c>
      <c r="I442" s="6">
        <v>2.12602641598825</v>
      </c>
      <c r="J442" s="1">
        <v>42375.525949074072</v>
      </c>
      <c r="K442">
        <v>15.35</v>
      </c>
      <c r="L442" s="6">
        <f>('Pizza Sales Calculations'!$J442-'Pizza Sales Calculations'!$C442)*24*60</f>
        <v>10.616666665300727</v>
      </c>
      <c r="M442">
        <f>COUNTA('Pizza Sales Calculations'!$D442:$F442)</f>
        <v>1</v>
      </c>
      <c r="R442" s="9">
        <f>IF('Pizza Sales Calculations'!$G442=TRUE, Parameters!$B$17*'Pizza Sales Calculations'!$L442*2, 0)</f>
        <v>3.0080555551685393</v>
      </c>
      <c r="T442" s="6"/>
      <c r="U442" s="9"/>
    </row>
    <row r="443" spans="1:21" x14ac:dyDescent="0.2">
      <c r="A443">
        <v>442</v>
      </c>
      <c r="B443" s="1">
        <v>42375.47452546296</v>
      </c>
      <c r="C443" s="1">
        <v>42375.484942129631</v>
      </c>
      <c r="D443" t="s">
        <v>1</v>
      </c>
      <c r="G443" t="b">
        <v>0</v>
      </c>
      <c r="H443">
        <v>70806</v>
      </c>
      <c r="I443" s="6">
        <v>0</v>
      </c>
      <c r="J443" s="1">
        <v>42375.487025462964</v>
      </c>
      <c r="K443">
        <v>7.99</v>
      </c>
      <c r="L443" s="6">
        <f>('Pizza Sales Calculations'!$J443-'Pizza Sales Calculations'!$C443)*24*60</f>
        <v>2.9999999993015081</v>
      </c>
      <c r="M443">
        <f>COUNTA('Pizza Sales Calculations'!$D443:$F443)</f>
        <v>1</v>
      </c>
      <c r="R443" s="9">
        <f>IF('Pizza Sales Calculations'!$G443=TRUE, Parameters!$B$17*'Pizza Sales Calculations'!$L443*2, 0)</f>
        <v>0</v>
      </c>
      <c r="T443" s="6"/>
      <c r="U443" s="9"/>
    </row>
    <row r="444" spans="1:21" x14ac:dyDescent="0.2">
      <c r="A444">
        <v>443</v>
      </c>
      <c r="B444" s="1">
        <v>42375.550162037034</v>
      </c>
      <c r="C444" s="1">
        <v>42375.560543981483</v>
      </c>
      <c r="D444" t="s">
        <v>1</v>
      </c>
      <c r="G444" t="b">
        <v>1</v>
      </c>
      <c r="H444">
        <v>70805</v>
      </c>
      <c r="I444" s="6">
        <v>3.72231070343586</v>
      </c>
      <c r="J444" s="1">
        <v>42375.573460648149</v>
      </c>
      <c r="K444">
        <v>7.99</v>
      </c>
      <c r="L444" s="6">
        <f>('Pizza Sales Calculations'!$J444-'Pizza Sales Calculations'!$C444)*24*60</f>
        <v>18.599999999860302</v>
      </c>
      <c r="M444">
        <f>COUNTA('Pizza Sales Calculations'!$D444:$F444)</f>
        <v>1</v>
      </c>
      <c r="R444" s="9">
        <f>IF('Pizza Sales Calculations'!$G444=TRUE, Parameters!$B$17*'Pizza Sales Calculations'!$L444*2, 0)</f>
        <v>5.2699999999604188</v>
      </c>
      <c r="T444" s="6"/>
      <c r="U444" s="9"/>
    </row>
    <row r="445" spans="1:21" x14ac:dyDescent="0.2">
      <c r="A445">
        <v>444</v>
      </c>
      <c r="B445" s="1">
        <v>42375.469606481478</v>
      </c>
      <c r="C445" s="1">
        <v>42375.480023148149</v>
      </c>
      <c r="D445" t="s">
        <v>2</v>
      </c>
      <c r="E445" t="s">
        <v>35</v>
      </c>
      <c r="G445" t="b">
        <v>0</v>
      </c>
      <c r="H445">
        <v>70805</v>
      </c>
      <c r="I445" s="6">
        <v>0</v>
      </c>
      <c r="J445" s="1">
        <v>42375.482083333336</v>
      </c>
      <c r="K445">
        <v>25.94</v>
      </c>
      <c r="L445" s="6">
        <f>('Pizza Sales Calculations'!$J445-'Pizza Sales Calculations'!$C445)*24*60</f>
        <v>2.9666666686534882</v>
      </c>
      <c r="M445">
        <f>COUNTA('Pizza Sales Calculations'!$D445:$F445)</f>
        <v>2</v>
      </c>
      <c r="R445" s="9">
        <f>IF('Pizza Sales Calculations'!$G445=TRUE, Parameters!$B$17*'Pizza Sales Calculations'!$L445*2, 0)</f>
        <v>0</v>
      </c>
      <c r="T445" s="6"/>
      <c r="U445" s="9"/>
    </row>
    <row r="446" spans="1:21" x14ac:dyDescent="0.2">
      <c r="A446">
        <v>445</v>
      </c>
      <c r="B446" s="1">
        <v>42375.516157407408</v>
      </c>
      <c r="C446" s="1">
        <v>42375.526562500003</v>
      </c>
      <c r="D446" t="s">
        <v>2</v>
      </c>
      <c r="G446" t="b">
        <v>0</v>
      </c>
      <c r="H446">
        <v>70803</v>
      </c>
      <c r="I446" s="6">
        <v>0</v>
      </c>
      <c r="J446" s="1">
        <v>42375.528634259259</v>
      </c>
      <c r="K446">
        <v>11.59</v>
      </c>
      <c r="L446" s="6">
        <f>('Pizza Sales Calculations'!$J446-'Pizza Sales Calculations'!$C446)*24*60</f>
        <v>2.9833333287388086</v>
      </c>
      <c r="M446">
        <f>COUNTA('Pizza Sales Calculations'!$D446:$F446)</f>
        <v>1</v>
      </c>
      <c r="R446" s="9">
        <f>IF('Pizza Sales Calculations'!$G446=TRUE, Parameters!$B$17*'Pizza Sales Calculations'!$L446*2, 0)</f>
        <v>0</v>
      </c>
      <c r="T446" s="6"/>
      <c r="U446" s="9"/>
    </row>
    <row r="447" spans="1:21" x14ac:dyDescent="0.2">
      <c r="A447">
        <v>446</v>
      </c>
      <c r="B447" s="1">
        <v>42375.506261574075</v>
      </c>
      <c r="C447" s="1">
        <v>42375.51666666667</v>
      </c>
      <c r="D447" t="s">
        <v>1</v>
      </c>
      <c r="G447" t="b">
        <v>1</v>
      </c>
      <c r="H447">
        <v>70808</v>
      </c>
      <c r="I447" s="6">
        <v>2.6900617645223401</v>
      </c>
      <c r="J447" s="1">
        <v>42375.526006944441</v>
      </c>
      <c r="K447">
        <v>7.99</v>
      </c>
      <c r="L447" s="6">
        <f>('Pizza Sales Calculations'!$J447-'Pizza Sales Calculations'!$C447)*24*60</f>
        <v>13.449999990407377</v>
      </c>
      <c r="M447">
        <f>COUNTA('Pizza Sales Calculations'!$D447:$F447)</f>
        <v>1</v>
      </c>
      <c r="R447" s="9">
        <f>IF('Pizza Sales Calculations'!$G447=TRUE, Parameters!$B$17*'Pizza Sales Calculations'!$L447*2, 0)</f>
        <v>3.8108333306154236</v>
      </c>
      <c r="T447" s="6"/>
      <c r="U447" s="9"/>
    </row>
    <row r="448" spans="1:21" x14ac:dyDescent="0.2">
      <c r="A448">
        <v>447</v>
      </c>
      <c r="B448" s="1">
        <v>42375.440069444441</v>
      </c>
      <c r="C448" s="1">
        <v>42375.450486111113</v>
      </c>
      <c r="D448" t="s">
        <v>1</v>
      </c>
      <c r="G448" t="b">
        <v>1</v>
      </c>
      <c r="H448">
        <v>70805</v>
      </c>
      <c r="I448" s="6">
        <v>3.1246263029545198</v>
      </c>
      <c r="J448" s="1">
        <v>42375.461331018516</v>
      </c>
      <c r="K448">
        <v>7.99</v>
      </c>
      <c r="L448" s="6">
        <f>('Pizza Sales Calculations'!$J448-'Pizza Sales Calculations'!$C448)*24*60</f>
        <v>15.616666660644114</v>
      </c>
      <c r="M448">
        <f>COUNTA('Pizza Sales Calculations'!$D448:$F448)</f>
        <v>1</v>
      </c>
      <c r="R448" s="9">
        <f>IF('Pizza Sales Calculations'!$G448=TRUE, Parameters!$B$17*'Pizza Sales Calculations'!$L448*2, 0)</f>
        <v>4.4247222205158323</v>
      </c>
      <c r="T448" s="6"/>
      <c r="U448" s="9"/>
    </row>
    <row r="449" spans="1:21" x14ac:dyDescent="0.2">
      <c r="A449">
        <v>448</v>
      </c>
      <c r="B449" s="1">
        <v>42375.548888888887</v>
      </c>
      <c r="C449" s="1">
        <v>42375.559305555558</v>
      </c>
      <c r="D449" t="s">
        <v>35</v>
      </c>
      <c r="G449" t="b">
        <v>0</v>
      </c>
      <c r="H449">
        <v>70806</v>
      </c>
      <c r="I449" s="6">
        <v>0</v>
      </c>
      <c r="J449" s="1">
        <v>42375.561388888891</v>
      </c>
      <c r="K449">
        <v>15.35</v>
      </c>
      <c r="L449" s="6">
        <f>('Pizza Sales Calculations'!$J449-'Pizza Sales Calculations'!$C449)*24*60</f>
        <v>2.9999999993015081</v>
      </c>
      <c r="M449">
        <f>COUNTA('Pizza Sales Calculations'!$D449:$F449)</f>
        <v>1</v>
      </c>
      <c r="R449" s="9">
        <f>IF('Pizza Sales Calculations'!$G449=TRUE, Parameters!$B$17*'Pizza Sales Calculations'!$L449*2, 0)</f>
        <v>0</v>
      </c>
      <c r="T449" s="6"/>
      <c r="U449" s="9"/>
    </row>
    <row r="450" spans="1:21" x14ac:dyDescent="0.2">
      <c r="A450">
        <v>449</v>
      </c>
      <c r="B450" s="1">
        <v>42375.430358796293</v>
      </c>
      <c r="C450" s="1">
        <v>42375.440752314818</v>
      </c>
      <c r="D450" t="s">
        <v>35</v>
      </c>
      <c r="G450" t="b">
        <v>1</v>
      </c>
      <c r="H450">
        <v>70804</v>
      </c>
      <c r="I450" s="6">
        <v>3.47740706564998</v>
      </c>
      <c r="J450" s="1">
        <v>42375.452824074076</v>
      </c>
      <c r="K450">
        <v>15.35</v>
      </c>
      <c r="L450" s="6">
        <f>('Pizza Sales Calculations'!$J450-'Pizza Sales Calculations'!$C450)*24*60</f>
        <v>17.383333331672475</v>
      </c>
      <c r="M450">
        <f>COUNTA('Pizza Sales Calculations'!$D450:$F450)</f>
        <v>1</v>
      </c>
      <c r="R450" s="9">
        <f>IF('Pizza Sales Calculations'!$G450=TRUE, Parameters!$B$17*'Pizza Sales Calculations'!$L450*2, 0)</f>
        <v>4.9252777773072012</v>
      </c>
      <c r="T450" s="6"/>
      <c r="U450" s="9"/>
    </row>
    <row r="451" spans="1:21" x14ac:dyDescent="0.2">
      <c r="A451">
        <v>450</v>
      </c>
      <c r="B451" s="1">
        <v>42375.430428240739</v>
      </c>
      <c r="C451" s="1">
        <v>42375.440833333334</v>
      </c>
      <c r="D451" t="s">
        <v>1</v>
      </c>
      <c r="G451" t="b">
        <v>1</v>
      </c>
      <c r="H451">
        <v>70806</v>
      </c>
      <c r="I451" s="6">
        <v>3.8919643769021199</v>
      </c>
      <c r="J451" s="1">
        <v>42375.454340277778</v>
      </c>
      <c r="K451">
        <v>7.99</v>
      </c>
      <c r="L451" s="6">
        <f>('Pizza Sales Calculations'!$J451-'Pizza Sales Calculations'!$C451)*24*60</f>
        <v>19.449999999487773</v>
      </c>
      <c r="M451">
        <f>COUNTA('Pizza Sales Calculations'!$D451:$F451)</f>
        <v>1</v>
      </c>
      <c r="R451" s="9">
        <f>IF('Pizza Sales Calculations'!$G451=TRUE, Parameters!$B$17*'Pizza Sales Calculations'!$L451*2, 0)</f>
        <v>5.5108333331882022</v>
      </c>
      <c r="T451" s="6"/>
      <c r="U451" s="9"/>
    </row>
    <row r="452" spans="1:21" x14ac:dyDescent="0.2">
      <c r="A452">
        <v>451</v>
      </c>
      <c r="B452" s="1">
        <v>42375.483622685184</v>
      </c>
      <c r="C452" s="1">
        <v>42375.494039351855</v>
      </c>
      <c r="D452" t="s">
        <v>1</v>
      </c>
      <c r="E452" t="s">
        <v>2</v>
      </c>
      <c r="G452" t="b">
        <v>1</v>
      </c>
      <c r="H452">
        <v>70804</v>
      </c>
      <c r="I452" s="6">
        <v>1.44251622820514</v>
      </c>
      <c r="J452" s="1">
        <v>42375.499039351853</v>
      </c>
      <c r="K452">
        <v>19.579999999999998</v>
      </c>
      <c r="L452" s="6">
        <f>('Pizza Sales Calculations'!$J452-'Pizza Sales Calculations'!$C452)*24*60</f>
        <v>7.1999999962281436</v>
      </c>
      <c r="M452">
        <f>COUNTA('Pizza Sales Calculations'!$D452:$F452)</f>
        <v>2</v>
      </c>
      <c r="R452" s="9">
        <f>IF('Pizza Sales Calculations'!$G452=TRUE, Parameters!$B$17*'Pizza Sales Calculations'!$L452*2, 0)</f>
        <v>2.0399999989313073</v>
      </c>
      <c r="T452" s="6"/>
      <c r="U452" s="9"/>
    </row>
    <row r="453" spans="1:21" x14ac:dyDescent="0.2">
      <c r="A453">
        <v>452</v>
      </c>
      <c r="B453" s="1">
        <v>42375.486145833333</v>
      </c>
      <c r="C453" s="1">
        <v>42375.496574074074</v>
      </c>
      <c r="D453" t="s">
        <v>35</v>
      </c>
      <c r="G453" t="b">
        <v>0</v>
      </c>
      <c r="H453">
        <v>70804</v>
      </c>
      <c r="I453" s="6">
        <v>0</v>
      </c>
      <c r="J453" s="1">
        <v>42375.498692129629</v>
      </c>
      <c r="K453">
        <v>15.35</v>
      </c>
      <c r="L453" s="6">
        <f>('Pizza Sales Calculations'!$J453-'Pizza Sales Calculations'!$C453)*24*60</f>
        <v>3.0500000005122274</v>
      </c>
      <c r="M453">
        <f>COUNTA('Pizza Sales Calculations'!$D453:$F453)</f>
        <v>1</v>
      </c>
      <c r="R453" s="9">
        <f>IF('Pizza Sales Calculations'!$G453=TRUE, Parameters!$B$17*'Pizza Sales Calculations'!$L453*2, 0)</f>
        <v>0</v>
      </c>
      <c r="T453" s="6"/>
      <c r="U453" s="9"/>
    </row>
    <row r="454" spans="1:21" x14ac:dyDescent="0.2">
      <c r="A454">
        <v>453</v>
      </c>
      <c r="B454" s="1">
        <v>42375.430243055554</v>
      </c>
      <c r="C454" s="1">
        <v>42375.440671296295</v>
      </c>
      <c r="D454" t="s">
        <v>1</v>
      </c>
      <c r="E454" t="s">
        <v>2</v>
      </c>
      <c r="G454" t="b">
        <v>0</v>
      </c>
      <c r="H454">
        <v>70805</v>
      </c>
      <c r="I454" s="6">
        <v>0</v>
      </c>
      <c r="J454" s="1">
        <v>42375.442754629628</v>
      </c>
      <c r="K454">
        <v>19.579999999999998</v>
      </c>
      <c r="L454" s="6">
        <f>('Pizza Sales Calculations'!$J454-'Pizza Sales Calculations'!$C454)*24*60</f>
        <v>2.9999999993015081</v>
      </c>
      <c r="M454">
        <f>COUNTA('Pizza Sales Calculations'!$D454:$F454)</f>
        <v>2</v>
      </c>
      <c r="R454" s="9">
        <f>IF('Pizza Sales Calculations'!$G454=TRUE, Parameters!$B$17*'Pizza Sales Calculations'!$L454*2, 0)</f>
        <v>0</v>
      </c>
      <c r="T454" s="6"/>
      <c r="U454" s="9"/>
    </row>
    <row r="455" spans="1:21" x14ac:dyDescent="0.2">
      <c r="A455">
        <v>454</v>
      </c>
      <c r="B455" s="1">
        <v>42375.564953703702</v>
      </c>
      <c r="C455" s="1">
        <v>42375.57534722222</v>
      </c>
      <c r="D455" t="s">
        <v>2</v>
      </c>
      <c r="G455" t="b">
        <v>1</v>
      </c>
      <c r="H455">
        <v>70804</v>
      </c>
      <c r="I455" s="6">
        <v>2.1939255605924699</v>
      </c>
      <c r="J455" s="1">
        <v>42375.582962962966</v>
      </c>
      <c r="K455">
        <v>11.59</v>
      </c>
      <c r="L455" s="6">
        <f>('Pizza Sales Calculations'!$J455-'Pizza Sales Calculations'!$C455)*24*60</f>
        <v>10.966666673775762</v>
      </c>
      <c r="M455">
        <f>COUNTA('Pizza Sales Calculations'!$D455:$F455)</f>
        <v>1</v>
      </c>
      <c r="R455" s="9">
        <f>IF('Pizza Sales Calculations'!$G455=TRUE, Parameters!$B$17*'Pizza Sales Calculations'!$L455*2, 0)</f>
        <v>3.107222224236466</v>
      </c>
      <c r="T455" s="6"/>
      <c r="U455" s="9"/>
    </row>
    <row r="456" spans="1:21" x14ac:dyDescent="0.2">
      <c r="A456">
        <v>455</v>
      </c>
      <c r="B456" s="1">
        <v>42375.50445601852</v>
      </c>
      <c r="C456" s="1">
        <v>42375.514872685184</v>
      </c>
      <c r="D456" t="s">
        <v>2</v>
      </c>
      <c r="G456" t="b">
        <v>0</v>
      </c>
      <c r="H456">
        <v>70805</v>
      </c>
      <c r="I456" s="6">
        <v>0</v>
      </c>
      <c r="J456" s="1">
        <v>42375.516944444447</v>
      </c>
      <c r="K456">
        <v>11.59</v>
      </c>
      <c r="L456" s="6">
        <f>('Pizza Sales Calculations'!$J456-'Pizza Sales Calculations'!$C456)*24*60</f>
        <v>2.9833333392161876</v>
      </c>
      <c r="M456">
        <f>COUNTA('Pizza Sales Calculations'!$D456:$F456)</f>
        <v>1</v>
      </c>
      <c r="R456" s="9">
        <f>IF('Pizza Sales Calculations'!$G456=TRUE, Parameters!$B$17*'Pizza Sales Calculations'!$L456*2, 0)</f>
        <v>0</v>
      </c>
      <c r="T456" s="6"/>
      <c r="U456" s="9"/>
    </row>
    <row r="457" spans="1:21" x14ac:dyDescent="0.2">
      <c r="A457">
        <v>456</v>
      </c>
      <c r="B457" s="1">
        <v>42375.532939814817</v>
      </c>
      <c r="C457" s="1">
        <v>42375.543356481481</v>
      </c>
      <c r="D457" t="s">
        <v>1</v>
      </c>
      <c r="G457" t="b">
        <v>1</v>
      </c>
      <c r="H457">
        <v>70803</v>
      </c>
      <c r="I457" s="6">
        <v>4.59400251952371</v>
      </c>
      <c r="J457" s="1">
        <v>42375.559305555558</v>
      </c>
      <c r="K457">
        <v>7.99</v>
      </c>
      <c r="L457" s="6">
        <f>('Pizza Sales Calculations'!$J457-'Pizza Sales Calculations'!$C457)*24*60</f>
        <v>22.966666670981795</v>
      </c>
      <c r="M457">
        <f>COUNTA('Pizza Sales Calculations'!$D457:$F457)</f>
        <v>1</v>
      </c>
      <c r="R457" s="9">
        <f>IF('Pizza Sales Calculations'!$G457=TRUE, Parameters!$B$17*'Pizza Sales Calculations'!$L457*2, 0)</f>
        <v>6.5072222234448418</v>
      </c>
      <c r="T457" s="6"/>
      <c r="U457" s="9"/>
    </row>
    <row r="458" spans="1:21" x14ac:dyDescent="0.2">
      <c r="A458">
        <v>457</v>
      </c>
      <c r="B458" s="1">
        <v>42375.471828703703</v>
      </c>
      <c r="C458" s="1">
        <v>42375.482233796298</v>
      </c>
      <c r="D458" t="s">
        <v>35</v>
      </c>
      <c r="G458" t="b">
        <v>1</v>
      </c>
      <c r="H458">
        <v>70805</v>
      </c>
      <c r="I458" s="6">
        <v>2.09887910849119</v>
      </c>
      <c r="J458" s="1">
        <v>42375.48951388889</v>
      </c>
      <c r="K458">
        <v>15.35</v>
      </c>
      <c r="L458" s="6">
        <f>('Pizza Sales Calculations'!$J458-'Pizza Sales Calculations'!$C458)*24*60</f>
        <v>10.483333332231268</v>
      </c>
      <c r="M458">
        <f>COUNTA('Pizza Sales Calculations'!$D458:$F458)</f>
        <v>1</v>
      </c>
      <c r="R458" s="9">
        <f>IF('Pizza Sales Calculations'!$G458=TRUE, Parameters!$B$17*'Pizza Sales Calculations'!$L458*2, 0)</f>
        <v>2.970277777465526</v>
      </c>
      <c r="T458" s="6"/>
      <c r="U458" s="9"/>
    </row>
    <row r="459" spans="1:21" x14ac:dyDescent="0.2">
      <c r="A459">
        <v>458</v>
      </c>
      <c r="B459" s="1">
        <v>42375.555902777778</v>
      </c>
      <c r="C459" s="1">
        <v>42375.566296296296</v>
      </c>
      <c r="D459" t="s">
        <v>2</v>
      </c>
      <c r="G459" t="b">
        <v>0</v>
      </c>
      <c r="H459">
        <v>70804</v>
      </c>
      <c r="I459" s="6">
        <v>0</v>
      </c>
      <c r="J459" s="1">
        <v>42375.568379629629</v>
      </c>
      <c r="K459">
        <v>11.59</v>
      </c>
      <c r="L459" s="6">
        <f>('Pizza Sales Calculations'!$J459-'Pizza Sales Calculations'!$C459)*24*60</f>
        <v>2.9999999993015081</v>
      </c>
      <c r="M459">
        <f>COUNTA('Pizza Sales Calculations'!$D459:$F459)</f>
        <v>1</v>
      </c>
      <c r="R459" s="9">
        <f>IF('Pizza Sales Calculations'!$G459=TRUE, Parameters!$B$17*'Pizza Sales Calculations'!$L459*2, 0)</f>
        <v>0</v>
      </c>
      <c r="T459" s="6"/>
      <c r="U459" s="9"/>
    </row>
    <row r="460" spans="1:21" x14ac:dyDescent="0.2">
      <c r="A460">
        <v>459</v>
      </c>
      <c r="B460" s="1">
        <v>42375.448969907404</v>
      </c>
      <c r="C460" s="1">
        <v>42375.459363425929</v>
      </c>
      <c r="D460" t="s">
        <v>35</v>
      </c>
      <c r="G460" t="b">
        <v>1</v>
      </c>
      <c r="H460">
        <v>70805</v>
      </c>
      <c r="I460" s="6">
        <v>2.21282366787689</v>
      </c>
      <c r="J460" s="1">
        <v>42375.467037037037</v>
      </c>
      <c r="K460">
        <v>15.35</v>
      </c>
      <c r="L460" s="6">
        <f>('Pizza Sales Calculations'!$J460-'Pizza Sales Calculations'!$C460)*24*60</f>
        <v>11.049999995157123</v>
      </c>
      <c r="M460">
        <f>COUNTA('Pizza Sales Calculations'!$D460:$F460)</f>
        <v>1</v>
      </c>
      <c r="R460" s="9">
        <f>IF('Pizza Sales Calculations'!$G460=TRUE, Parameters!$B$17*'Pizza Sales Calculations'!$L460*2, 0)</f>
        <v>3.1308333319611847</v>
      </c>
      <c r="T460" s="6"/>
      <c r="U460" s="9"/>
    </row>
    <row r="461" spans="1:21" x14ac:dyDescent="0.2">
      <c r="A461">
        <v>460</v>
      </c>
      <c r="B461" s="1">
        <v>42375.510092592594</v>
      </c>
      <c r="C461" s="1">
        <v>42375.520497685182</v>
      </c>
      <c r="D461" t="s">
        <v>35</v>
      </c>
      <c r="G461" t="b">
        <v>0</v>
      </c>
      <c r="H461">
        <v>70805</v>
      </c>
      <c r="I461" s="6">
        <v>0</v>
      </c>
      <c r="J461" s="1">
        <v>42375.522581018522</v>
      </c>
      <c r="K461">
        <v>15.35</v>
      </c>
      <c r="L461" s="6">
        <f>('Pizza Sales Calculations'!$J461-'Pizza Sales Calculations'!$C461)*24*60</f>
        <v>3.000000009778887</v>
      </c>
      <c r="M461">
        <f>COUNTA('Pizza Sales Calculations'!$D461:$F461)</f>
        <v>1</v>
      </c>
      <c r="R461" s="9">
        <f>IF('Pizza Sales Calculations'!$G461=TRUE, Parameters!$B$17*'Pizza Sales Calculations'!$L461*2, 0)</f>
        <v>0</v>
      </c>
      <c r="T461" s="6"/>
      <c r="U461" s="9"/>
    </row>
    <row r="462" spans="1:21" x14ac:dyDescent="0.2">
      <c r="A462">
        <v>461</v>
      </c>
      <c r="B462" s="1">
        <v>42375.533472222225</v>
      </c>
      <c r="C462" s="1">
        <v>42375.543900462966</v>
      </c>
      <c r="D462" t="s">
        <v>35</v>
      </c>
      <c r="G462" t="b">
        <v>1</v>
      </c>
      <c r="H462">
        <v>70804</v>
      </c>
      <c r="I462" s="6">
        <v>4.4573382036376801</v>
      </c>
      <c r="J462" s="1">
        <v>42375.559374999997</v>
      </c>
      <c r="K462">
        <v>15.35</v>
      </c>
      <c r="L462" s="6">
        <f>('Pizza Sales Calculations'!$J462-'Pizza Sales Calculations'!$C462)*24*60</f>
        <v>22.283333324594423</v>
      </c>
      <c r="M462">
        <f>COUNTA('Pizza Sales Calculations'!$D462:$F462)</f>
        <v>1</v>
      </c>
      <c r="R462" s="9">
        <f>IF('Pizza Sales Calculations'!$G462=TRUE, Parameters!$B$17*'Pizza Sales Calculations'!$L462*2, 0)</f>
        <v>6.3136111086350866</v>
      </c>
      <c r="T462" s="6"/>
      <c r="U462" s="9"/>
    </row>
    <row r="463" spans="1:21" x14ac:dyDescent="0.2">
      <c r="A463">
        <v>462</v>
      </c>
      <c r="B463" s="1">
        <v>42375.429664351854</v>
      </c>
      <c r="C463" s="1">
        <v>42375.440069444441</v>
      </c>
      <c r="D463" t="s">
        <v>35</v>
      </c>
      <c r="G463" t="b">
        <v>0</v>
      </c>
      <c r="H463">
        <v>70806</v>
      </c>
      <c r="I463" s="6">
        <v>0</v>
      </c>
      <c r="J463" s="1">
        <v>42375.442129629628</v>
      </c>
      <c r="K463">
        <v>15.35</v>
      </c>
      <c r="L463" s="6">
        <f>('Pizza Sales Calculations'!$J463-'Pizza Sales Calculations'!$C463)*24*60</f>
        <v>2.9666666686534882</v>
      </c>
      <c r="M463">
        <f>COUNTA('Pizza Sales Calculations'!$D463:$F463)</f>
        <v>1</v>
      </c>
      <c r="R463" s="9">
        <f>IF('Pizza Sales Calculations'!$G463=TRUE, Parameters!$B$17*'Pizza Sales Calculations'!$L463*2, 0)</f>
        <v>0</v>
      </c>
      <c r="T463" s="6"/>
      <c r="U463" s="9"/>
    </row>
    <row r="464" spans="1:21" x14ac:dyDescent="0.2">
      <c r="A464">
        <v>463</v>
      </c>
      <c r="B464" s="1">
        <v>42375.577662037038</v>
      </c>
      <c r="C464" s="1">
        <v>42375.588078703702</v>
      </c>
      <c r="D464" t="s">
        <v>1</v>
      </c>
      <c r="E464" t="s">
        <v>2</v>
      </c>
      <c r="G464" t="b">
        <v>0</v>
      </c>
      <c r="H464">
        <v>70804</v>
      </c>
      <c r="I464" s="6">
        <v>0</v>
      </c>
      <c r="J464" s="1">
        <v>42375.590173611112</v>
      </c>
      <c r="K464">
        <v>19.579999999999998</v>
      </c>
      <c r="L464" s="6">
        <f>('Pizza Sales Calculations'!$J464-'Pizza Sales Calculations'!$C464)*24*60</f>
        <v>3.0166666698642075</v>
      </c>
      <c r="M464">
        <f>COUNTA('Pizza Sales Calculations'!$D464:$F464)</f>
        <v>2</v>
      </c>
      <c r="R464" s="9">
        <f>IF('Pizza Sales Calculations'!$G464=TRUE, Parameters!$B$17*'Pizza Sales Calculations'!$L464*2, 0)</f>
        <v>0</v>
      </c>
      <c r="T464" s="6"/>
      <c r="U464" s="9"/>
    </row>
    <row r="465" spans="1:21" x14ac:dyDescent="0.2">
      <c r="A465">
        <v>464</v>
      </c>
      <c r="B465" s="1">
        <v>42375.5705787037</v>
      </c>
      <c r="C465" s="1">
        <v>42375.580995370372</v>
      </c>
      <c r="D465" t="s">
        <v>2</v>
      </c>
      <c r="G465" t="b">
        <v>1</v>
      </c>
      <c r="H465">
        <v>70805</v>
      </c>
      <c r="I465" s="6">
        <v>3.3603246695759101</v>
      </c>
      <c r="J465" s="1">
        <v>42375.592662037037</v>
      </c>
      <c r="K465">
        <v>11.59</v>
      </c>
      <c r="L465" s="6">
        <f>('Pizza Sales Calculations'!$J465-'Pizza Sales Calculations'!$C465)*24*60</f>
        <v>16.799999998183921</v>
      </c>
      <c r="M465">
        <f>COUNTA('Pizza Sales Calculations'!$D465:$F465)</f>
        <v>1</v>
      </c>
      <c r="R465" s="9">
        <f>IF('Pizza Sales Calculations'!$G465=TRUE, Parameters!$B$17*'Pizza Sales Calculations'!$L465*2, 0)</f>
        <v>4.7599999994854443</v>
      </c>
      <c r="T465" s="6"/>
      <c r="U465" s="9"/>
    </row>
    <row r="466" spans="1:21" x14ac:dyDescent="0.2">
      <c r="A466">
        <v>465</v>
      </c>
      <c r="B466" s="1">
        <v>42375.538530092592</v>
      </c>
      <c r="C466" s="1">
        <v>42375.548946759256</v>
      </c>
      <c r="D466" t="s">
        <v>1</v>
      </c>
      <c r="E466" t="s">
        <v>2</v>
      </c>
      <c r="G466" t="b">
        <v>1</v>
      </c>
      <c r="H466">
        <v>70803</v>
      </c>
      <c r="I466" s="6">
        <v>3.7830055951394201</v>
      </c>
      <c r="J466" s="1">
        <v>42375.562071759261</v>
      </c>
      <c r="K466">
        <v>19.579999999999998</v>
      </c>
      <c r="L466" s="6">
        <f>('Pizza Sales Calculations'!$J466-'Pizza Sales Calculations'!$C466)*24*60</f>
        <v>18.900000007124618</v>
      </c>
      <c r="M466">
        <f>COUNTA('Pizza Sales Calculations'!$D466:$F466)</f>
        <v>2</v>
      </c>
      <c r="R466" s="9">
        <f>IF('Pizza Sales Calculations'!$G466=TRUE, Parameters!$B$17*'Pizza Sales Calculations'!$L466*2, 0)</f>
        <v>5.3550000020186417</v>
      </c>
      <c r="T466" s="6"/>
      <c r="U466" s="9"/>
    </row>
    <row r="467" spans="1:21" x14ac:dyDescent="0.2">
      <c r="A467">
        <v>466</v>
      </c>
      <c r="B467" s="1">
        <v>42375.546782407408</v>
      </c>
      <c r="C467" s="1">
        <v>42375.557199074072</v>
      </c>
      <c r="D467" t="s">
        <v>35</v>
      </c>
      <c r="G467" t="b">
        <v>0</v>
      </c>
      <c r="H467">
        <v>70803</v>
      </c>
      <c r="I467" s="6">
        <v>0</v>
      </c>
      <c r="J467" s="1">
        <v>42375.559270833335</v>
      </c>
      <c r="K467">
        <v>15.35</v>
      </c>
      <c r="L467" s="6">
        <f>('Pizza Sales Calculations'!$J467-'Pizza Sales Calculations'!$C467)*24*60</f>
        <v>2.9833333392161876</v>
      </c>
      <c r="M467">
        <f>COUNTA('Pizza Sales Calculations'!$D467:$F467)</f>
        <v>1</v>
      </c>
      <c r="R467" s="9">
        <f>IF('Pizza Sales Calculations'!$G467=TRUE, Parameters!$B$17*'Pizza Sales Calculations'!$L467*2, 0)</f>
        <v>0</v>
      </c>
      <c r="T467" s="6"/>
      <c r="U467" s="9"/>
    </row>
    <row r="468" spans="1:21" x14ac:dyDescent="0.2">
      <c r="A468">
        <v>467</v>
      </c>
      <c r="B468" s="1">
        <v>42375.521412037036</v>
      </c>
      <c r="C468" s="1">
        <v>42375.531805555554</v>
      </c>
      <c r="D468" t="s">
        <v>2</v>
      </c>
      <c r="G468" t="b">
        <v>0</v>
      </c>
      <c r="H468">
        <v>70807</v>
      </c>
      <c r="I468" s="6">
        <v>0</v>
      </c>
      <c r="J468" s="1">
        <v>42375.533900462964</v>
      </c>
      <c r="K468">
        <v>11.59</v>
      </c>
      <c r="L468" s="6">
        <f>('Pizza Sales Calculations'!$J468-'Pizza Sales Calculations'!$C468)*24*60</f>
        <v>3.0166666698642075</v>
      </c>
      <c r="M468">
        <f>COUNTA('Pizza Sales Calculations'!$D468:$F468)</f>
        <v>1</v>
      </c>
      <c r="R468" s="9">
        <f>IF('Pizza Sales Calculations'!$G468=TRUE, Parameters!$B$17*'Pizza Sales Calculations'!$L468*2, 0)</f>
        <v>0</v>
      </c>
      <c r="T468" s="6"/>
      <c r="U468" s="9"/>
    </row>
    <row r="469" spans="1:21" x14ac:dyDescent="0.2">
      <c r="A469">
        <v>468</v>
      </c>
      <c r="B469" s="1">
        <v>42375.536979166667</v>
      </c>
      <c r="C469" s="1">
        <v>42375.547361111108</v>
      </c>
      <c r="D469" t="s">
        <v>35</v>
      </c>
      <c r="G469" t="b">
        <v>0</v>
      </c>
      <c r="H469">
        <v>70804</v>
      </c>
      <c r="I469" s="6">
        <v>0</v>
      </c>
      <c r="J469" s="1">
        <v>42375.549421296295</v>
      </c>
      <c r="K469">
        <v>15.35</v>
      </c>
      <c r="L469" s="6">
        <f>('Pizza Sales Calculations'!$J469-'Pizza Sales Calculations'!$C469)*24*60</f>
        <v>2.9666666686534882</v>
      </c>
      <c r="M469">
        <f>COUNTA('Pizza Sales Calculations'!$D469:$F469)</f>
        <v>1</v>
      </c>
      <c r="R469" s="9">
        <f>IF('Pizza Sales Calculations'!$G469=TRUE, Parameters!$B$17*'Pizza Sales Calculations'!$L469*2, 0)</f>
        <v>0</v>
      </c>
      <c r="T469" s="6"/>
      <c r="U469" s="9"/>
    </row>
    <row r="470" spans="1:21" x14ac:dyDescent="0.2">
      <c r="A470">
        <v>469</v>
      </c>
      <c r="B470" s="1">
        <v>42375.527303240742</v>
      </c>
      <c r="C470" s="1">
        <v>42375.537719907406</v>
      </c>
      <c r="D470" t="s">
        <v>1</v>
      </c>
      <c r="E470" t="s">
        <v>35</v>
      </c>
      <c r="G470" t="b">
        <v>1</v>
      </c>
      <c r="H470">
        <v>70803</v>
      </c>
      <c r="I470" s="6">
        <v>2.45685414360831</v>
      </c>
      <c r="J470" s="1">
        <v>42375.546249999999</v>
      </c>
      <c r="K470">
        <v>23.34</v>
      </c>
      <c r="L470" s="6">
        <f>('Pizza Sales Calculations'!$J470-'Pizza Sales Calculations'!$C470)*24*60</f>
        <v>12.283333333907649</v>
      </c>
      <c r="M470">
        <f>COUNTA('Pizza Sales Calculations'!$D470:$F470)</f>
        <v>2</v>
      </c>
      <c r="R470" s="9">
        <f>IF('Pizza Sales Calculations'!$G470=TRUE, Parameters!$B$17*'Pizza Sales Calculations'!$L470*2, 0)</f>
        <v>3.4802777779405005</v>
      </c>
      <c r="T470" s="6"/>
      <c r="U470" s="9"/>
    </row>
    <row r="471" spans="1:21" x14ac:dyDescent="0.2">
      <c r="A471">
        <v>470</v>
      </c>
      <c r="B471" s="1">
        <v>42375.522534722222</v>
      </c>
      <c r="C471" s="1">
        <v>42375.532951388886</v>
      </c>
      <c r="D471" t="s">
        <v>2</v>
      </c>
      <c r="G471" t="b">
        <v>1</v>
      </c>
      <c r="H471">
        <v>70808</v>
      </c>
      <c r="I471" s="6">
        <v>2.9738725395011101</v>
      </c>
      <c r="J471" s="1">
        <v>42375.543275462966</v>
      </c>
      <c r="K471">
        <v>11.59</v>
      </c>
      <c r="L471" s="6">
        <f>('Pizza Sales Calculations'!$J471-'Pizza Sales Calculations'!$C471)*24*60</f>
        <v>14.866666673915461</v>
      </c>
      <c r="M471">
        <f>COUNTA('Pizza Sales Calculations'!$D471:$F471)</f>
        <v>1</v>
      </c>
      <c r="R471" s="9">
        <f>IF('Pizza Sales Calculations'!$G471=TRUE, Parameters!$B$17*'Pizza Sales Calculations'!$L471*2, 0)</f>
        <v>4.2122222242760472</v>
      </c>
      <c r="T471" s="6"/>
      <c r="U471" s="9"/>
    </row>
    <row r="472" spans="1:21" x14ac:dyDescent="0.2">
      <c r="A472">
        <v>471</v>
      </c>
      <c r="B472" s="1">
        <v>42375.484513888892</v>
      </c>
      <c r="C472" s="1">
        <v>42375.494930555556</v>
      </c>
      <c r="D472" t="s">
        <v>1</v>
      </c>
      <c r="E472" t="s">
        <v>2</v>
      </c>
      <c r="G472" t="b">
        <v>1</v>
      </c>
      <c r="H472">
        <v>70804</v>
      </c>
      <c r="I472" s="6">
        <v>3.9644691008371802</v>
      </c>
      <c r="J472" s="1">
        <v>42375.508692129632</v>
      </c>
      <c r="K472">
        <v>19.579999999999998</v>
      </c>
      <c r="L472" s="6">
        <f>('Pizza Sales Calculations'!$J472-'Pizza Sales Calculations'!$C472)*24*60</f>
        <v>19.816666668048128</v>
      </c>
      <c r="M472">
        <f>COUNTA('Pizza Sales Calculations'!$D472:$F472)</f>
        <v>2</v>
      </c>
      <c r="R472" s="9">
        <f>IF('Pizza Sales Calculations'!$G472=TRUE, Parameters!$B$17*'Pizza Sales Calculations'!$L472*2, 0)</f>
        <v>5.6147222226136364</v>
      </c>
      <c r="T472" s="6"/>
      <c r="U472" s="9"/>
    </row>
    <row r="473" spans="1:21" x14ac:dyDescent="0.2">
      <c r="A473">
        <v>472</v>
      </c>
      <c r="B473" s="1">
        <v>42375.44604166667</v>
      </c>
      <c r="C473" s="1">
        <v>42375.456458333334</v>
      </c>
      <c r="D473" t="s">
        <v>1</v>
      </c>
      <c r="G473" t="b">
        <v>1</v>
      </c>
      <c r="H473">
        <v>70805</v>
      </c>
      <c r="I473" s="6">
        <v>2.5363281363549399</v>
      </c>
      <c r="J473" s="1">
        <v>42375.465254629627</v>
      </c>
      <c r="K473">
        <v>7.99</v>
      </c>
      <c r="L473" s="6">
        <f>('Pizza Sales Calculations'!$J473-'Pizza Sales Calculations'!$C473)*24*60</f>
        <v>12.666666662553325</v>
      </c>
      <c r="M473">
        <f>COUNTA('Pizza Sales Calculations'!$D473:$F473)</f>
        <v>1</v>
      </c>
      <c r="R473" s="9">
        <f>IF('Pizza Sales Calculations'!$G473=TRUE, Parameters!$B$17*'Pizza Sales Calculations'!$L473*2, 0)</f>
        <v>3.5888888877234422</v>
      </c>
      <c r="T473" s="6"/>
      <c r="U473" s="9"/>
    </row>
    <row r="474" spans="1:21" x14ac:dyDescent="0.2">
      <c r="A474">
        <v>473</v>
      </c>
      <c r="B474" s="1">
        <v>42375.511921296296</v>
      </c>
      <c r="C474" s="1">
        <v>42375.522337962961</v>
      </c>
      <c r="D474" t="s">
        <v>1</v>
      </c>
      <c r="E474" t="s">
        <v>2</v>
      </c>
      <c r="G474" t="b">
        <v>0</v>
      </c>
      <c r="H474">
        <v>70805</v>
      </c>
      <c r="I474" s="6">
        <v>0</v>
      </c>
      <c r="J474" s="1">
        <v>42375.52443287037</v>
      </c>
      <c r="K474">
        <v>19.579999999999998</v>
      </c>
      <c r="L474" s="6">
        <f>('Pizza Sales Calculations'!$J474-'Pizza Sales Calculations'!$C474)*24*60</f>
        <v>3.0166666698642075</v>
      </c>
      <c r="M474">
        <f>COUNTA('Pizza Sales Calculations'!$D474:$F474)</f>
        <v>2</v>
      </c>
      <c r="R474" s="9">
        <f>IF('Pizza Sales Calculations'!$G474=TRUE, Parameters!$B$17*'Pizza Sales Calculations'!$L474*2, 0)</f>
        <v>0</v>
      </c>
      <c r="T474" s="6"/>
      <c r="U474" s="9"/>
    </row>
    <row r="475" spans="1:21" x14ac:dyDescent="0.2">
      <c r="A475">
        <v>474</v>
      </c>
      <c r="B475" s="1">
        <v>42375.473287037035</v>
      </c>
      <c r="C475" s="1">
        <v>42375.483680555553</v>
      </c>
      <c r="D475" t="s">
        <v>35</v>
      </c>
      <c r="G475" t="b">
        <v>1</v>
      </c>
      <c r="H475">
        <v>70805</v>
      </c>
      <c r="I475" s="6">
        <v>4.6068310956273404</v>
      </c>
      <c r="J475" s="1">
        <v>42375.499675925923</v>
      </c>
      <c r="K475">
        <v>15.35</v>
      </c>
      <c r="L475" s="6">
        <f>('Pizza Sales Calculations'!$J475-'Pizza Sales Calculations'!$C475)*24*60</f>
        <v>23.033333332277834</v>
      </c>
      <c r="M475">
        <f>COUNTA('Pizza Sales Calculations'!$D475:$F475)</f>
        <v>1</v>
      </c>
      <c r="R475" s="9">
        <f>IF('Pizza Sales Calculations'!$G475=TRUE, Parameters!$B$17*'Pizza Sales Calculations'!$L475*2, 0)</f>
        <v>6.5261111108120531</v>
      </c>
      <c r="T475" s="6"/>
      <c r="U475" s="9"/>
    </row>
    <row r="476" spans="1:21" x14ac:dyDescent="0.2">
      <c r="A476">
        <v>475</v>
      </c>
      <c r="B476" s="1">
        <v>42375.512280092589</v>
      </c>
      <c r="C476" s="1">
        <v>42375.522696759261</v>
      </c>
      <c r="D476" t="s">
        <v>1</v>
      </c>
      <c r="E476" t="s">
        <v>2</v>
      </c>
      <c r="G476" t="b">
        <v>1</v>
      </c>
      <c r="H476">
        <v>70808</v>
      </c>
      <c r="I476" s="6">
        <v>4.7680962192036302</v>
      </c>
      <c r="J476" s="1">
        <v>42375.539247685185</v>
      </c>
      <c r="K476">
        <v>19.579999999999998</v>
      </c>
      <c r="L476" s="6">
        <f>('Pizza Sales Calculations'!$J476-'Pizza Sales Calculations'!$C476)*24*60</f>
        <v>23.833333330694586</v>
      </c>
      <c r="M476">
        <f>COUNTA('Pizza Sales Calculations'!$D476:$F476)</f>
        <v>2</v>
      </c>
      <c r="R476" s="9">
        <f>IF('Pizza Sales Calculations'!$G476=TRUE, Parameters!$B$17*'Pizza Sales Calculations'!$L476*2, 0)</f>
        <v>6.7527777770301327</v>
      </c>
      <c r="T476" s="6"/>
      <c r="U476" s="9"/>
    </row>
    <row r="477" spans="1:21" x14ac:dyDescent="0.2">
      <c r="A477">
        <v>476</v>
      </c>
      <c r="B477" s="1">
        <v>42375.457372685189</v>
      </c>
      <c r="C477" s="1">
        <v>42375.467777777776</v>
      </c>
      <c r="D477" t="s">
        <v>35</v>
      </c>
      <c r="G477" t="b">
        <v>0</v>
      </c>
      <c r="H477">
        <v>70806</v>
      </c>
      <c r="I477" s="6">
        <v>0</v>
      </c>
      <c r="J477" s="1">
        <v>42375.469861111109</v>
      </c>
      <c r="K477">
        <v>15.35</v>
      </c>
      <c r="L477" s="6">
        <f>('Pizza Sales Calculations'!$J477-'Pizza Sales Calculations'!$C477)*24*60</f>
        <v>2.9999999993015081</v>
      </c>
      <c r="M477">
        <f>COUNTA('Pizza Sales Calculations'!$D477:$F477)</f>
        <v>1</v>
      </c>
      <c r="R477" s="9">
        <f>IF('Pizza Sales Calculations'!$G477=TRUE, Parameters!$B$17*'Pizza Sales Calculations'!$L477*2, 0)</f>
        <v>0</v>
      </c>
      <c r="T477" s="6"/>
      <c r="U477" s="9"/>
    </row>
    <row r="478" spans="1:21" x14ac:dyDescent="0.2">
      <c r="A478">
        <v>477</v>
      </c>
      <c r="B478" s="1">
        <v>42375.547407407408</v>
      </c>
      <c r="C478" s="1">
        <v>42375.557824074072</v>
      </c>
      <c r="D478" t="s">
        <v>1</v>
      </c>
      <c r="G478" t="b">
        <v>0</v>
      </c>
      <c r="H478">
        <v>70804</v>
      </c>
      <c r="I478" s="6">
        <v>0</v>
      </c>
      <c r="J478" s="1">
        <v>42375.559907407405</v>
      </c>
      <c r="K478">
        <v>7.99</v>
      </c>
      <c r="L478" s="6">
        <f>('Pizza Sales Calculations'!$J478-'Pizza Sales Calculations'!$C478)*24*60</f>
        <v>2.9999999993015081</v>
      </c>
      <c r="M478">
        <f>COUNTA('Pizza Sales Calculations'!$D478:$F478)</f>
        <v>1</v>
      </c>
      <c r="R478" s="9">
        <f>IF('Pizza Sales Calculations'!$G478=TRUE, Parameters!$B$17*'Pizza Sales Calculations'!$L478*2, 0)</f>
        <v>0</v>
      </c>
      <c r="T478" s="6"/>
      <c r="U478" s="9"/>
    </row>
    <row r="479" spans="1:21" x14ac:dyDescent="0.2">
      <c r="A479">
        <v>478</v>
      </c>
      <c r="B479" s="1">
        <v>42375.450914351852</v>
      </c>
      <c r="C479" s="1">
        <v>42375.461331018516</v>
      </c>
      <c r="D479" t="s">
        <v>35</v>
      </c>
      <c r="G479" t="b">
        <v>0</v>
      </c>
      <c r="H479">
        <v>70804</v>
      </c>
      <c r="I479" s="6">
        <v>0</v>
      </c>
      <c r="J479" s="1">
        <v>42375.463414351849</v>
      </c>
      <c r="K479">
        <v>15.35</v>
      </c>
      <c r="L479" s="6">
        <f>('Pizza Sales Calculations'!$J479-'Pizza Sales Calculations'!$C479)*24*60</f>
        <v>2.9999999993015081</v>
      </c>
      <c r="M479">
        <f>COUNTA('Pizza Sales Calculations'!$D479:$F479)</f>
        <v>1</v>
      </c>
      <c r="R479" s="9">
        <f>IF('Pizza Sales Calculations'!$G479=TRUE, Parameters!$B$17*'Pizza Sales Calculations'!$L479*2, 0)</f>
        <v>0</v>
      </c>
      <c r="T479" s="6"/>
      <c r="U479" s="9"/>
    </row>
    <row r="480" spans="1:21" x14ac:dyDescent="0.2">
      <c r="A480">
        <v>479</v>
      </c>
      <c r="B480" s="1">
        <v>42375.542488425926</v>
      </c>
      <c r="C480" s="1">
        <v>42375.552881944444</v>
      </c>
      <c r="D480" t="s">
        <v>2</v>
      </c>
      <c r="G480" t="b">
        <v>0</v>
      </c>
      <c r="H480">
        <v>70806</v>
      </c>
      <c r="I480" s="6">
        <v>0</v>
      </c>
      <c r="J480" s="1">
        <v>42375.554976851854</v>
      </c>
      <c r="K480">
        <v>11.59</v>
      </c>
      <c r="L480" s="6">
        <f>('Pizza Sales Calculations'!$J480-'Pizza Sales Calculations'!$C480)*24*60</f>
        <v>3.0166666698642075</v>
      </c>
      <c r="M480">
        <f>COUNTA('Pizza Sales Calculations'!$D480:$F480)</f>
        <v>1</v>
      </c>
      <c r="R480" s="9">
        <f>IF('Pizza Sales Calculations'!$G480=TRUE, Parameters!$B$17*'Pizza Sales Calculations'!$L480*2, 0)</f>
        <v>0</v>
      </c>
      <c r="T480" s="6"/>
      <c r="U480" s="9"/>
    </row>
    <row r="481" spans="1:21" x14ac:dyDescent="0.2">
      <c r="A481">
        <v>480</v>
      </c>
      <c r="B481" s="1">
        <v>42375.535532407404</v>
      </c>
      <c r="C481" s="1">
        <v>42375.545949074076</v>
      </c>
      <c r="D481" t="s">
        <v>1</v>
      </c>
      <c r="G481" t="b">
        <v>1</v>
      </c>
      <c r="H481">
        <v>70804</v>
      </c>
      <c r="I481" s="6">
        <v>3.04558039730916</v>
      </c>
      <c r="J481" s="1">
        <v>42375.556516203702</v>
      </c>
      <c r="K481">
        <v>7.99</v>
      </c>
      <c r="L481" s="6">
        <f>('Pizza Sales Calculations'!$J481-'Pizza Sales Calculations'!$C481)*24*60</f>
        <v>15.216666661435738</v>
      </c>
      <c r="M481">
        <f>COUNTA('Pizza Sales Calculations'!$D481:$F481)</f>
        <v>1</v>
      </c>
      <c r="R481" s="9">
        <f>IF('Pizza Sales Calculations'!$G481=TRUE, Parameters!$B$17*'Pizza Sales Calculations'!$L481*2, 0)</f>
        <v>4.3113888874067925</v>
      </c>
      <c r="T481" s="6"/>
      <c r="U481" s="9"/>
    </row>
    <row r="482" spans="1:21" x14ac:dyDescent="0.2">
      <c r="A482">
        <v>481</v>
      </c>
      <c r="B482" s="1">
        <v>42375.500092592592</v>
      </c>
      <c r="C482" s="1">
        <v>42375.510520833333</v>
      </c>
      <c r="D482" t="s">
        <v>35</v>
      </c>
      <c r="G482" t="b">
        <v>0</v>
      </c>
      <c r="H482">
        <v>70803</v>
      </c>
      <c r="I482" s="6">
        <v>0</v>
      </c>
      <c r="J482" s="1">
        <v>42375.512592592589</v>
      </c>
      <c r="K482">
        <v>15.35</v>
      </c>
      <c r="L482" s="6">
        <f>('Pizza Sales Calculations'!$J482-'Pizza Sales Calculations'!$C482)*24*60</f>
        <v>2.9833333287388086</v>
      </c>
      <c r="M482">
        <f>COUNTA('Pizza Sales Calculations'!$D482:$F482)</f>
        <v>1</v>
      </c>
      <c r="R482" s="9">
        <f>IF('Pizza Sales Calculations'!$G482=TRUE, Parameters!$B$17*'Pizza Sales Calculations'!$L482*2, 0)</f>
        <v>0</v>
      </c>
      <c r="T482" s="6"/>
      <c r="U482" s="9"/>
    </row>
    <row r="483" spans="1:21" x14ac:dyDescent="0.2">
      <c r="A483">
        <v>482</v>
      </c>
      <c r="B483" s="1">
        <v>42375.521006944444</v>
      </c>
      <c r="C483" s="1">
        <v>42375.531423611108</v>
      </c>
      <c r="D483" t="s">
        <v>2</v>
      </c>
      <c r="G483" t="b">
        <v>0</v>
      </c>
      <c r="H483">
        <v>70805</v>
      </c>
      <c r="I483" s="6">
        <v>0</v>
      </c>
      <c r="J483" s="1">
        <v>42375.533495370371</v>
      </c>
      <c r="K483">
        <v>11.59</v>
      </c>
      <c r="L483" s="6">
        <f>('Pizza Sales Calculations'!$J483-'Pizza Sales Calculations'!$C483)*24*60</f>
        <v>2.9833333392161876</v>
      </c>
      <c r="M483">
        <f>COUNTA('Pizza Sales Calculations'!$D483:$F483)</f>
        <v>1</v>
      </c>
      <c r="R483" s="9">
        <f>IF('Pizza Sales Calculations'!$G483=TRUE, Parameters!$B$17*'Pizza Sales Calculations'!$L483*2, 0)</f>
        <v>0</v>
      </c>
      <c r="T483" s="6"/>
      <c r="U483" s="9"/>
    </row>
    <row r="484" spans="1:21" x14ac:dyDescent="0.2">
      <c r="A484">
        <v>483</v>
      </c>
      <c r="B484" s="1">
        <v>42375.464375000003</v>
      </c>
      <c r="C484" s="1">
        <v>42375.474780092591</v>
      </c>
      <c r="D484" t="s">
        <v>35</v>
      </c>
      <c r="G484" t="b">
        <v>1</v>
      </c>
      <c r="H484">
        <v>70804</v>
      </c>
      <c r="I484" s="6">
        <v>2.6981102185261401</v>
      </c>
      <c r="J484" s="1">
        <v>42375.484143518515</v>
      </c>
      <c r="K484">
        <v>15.35</v>
      </c>
      <c r="L484" s="6">
        <f>('Pizza Sales Calculations'!$J484-'Pizza Sales Calculations'!$C484)*24*60</f>
        <v>13.483333331532776</v>
      </c>
      <c r="M484">
        <f>COUNTA('Pizza Sales Calculations'!$D484:$F484)</f>
        <v>1</v>
      </c>
      <c r="R484" s="9">
        <f>IF('Pizza Sales Calculations'!$G484=TRUE, Parameters!$B$17*'Pizza Sales Calculations'!$L484*2, 0)</f>
        <v>3.82027777726762</v>
      </c>
      <c r="T484" s="6"/>
      <c r="U484" s="9"/>
    </row>
    <row r="485" spans="1:21" x14ac:dyDescent="0.2">
      <c r="A485">
        <v>484</v>
      </c>
      <c r="B485" s="1">
        <v>42375.460127314815</v>
      </c>
      <c r="C485" s="1">
        <v>42375.470555555556</v>
      </c>
      <c r="D485" t="s">
        <v>2</v>
      </c>
      <c r="G485" t="b">
        <v>1</v>
      </c>
      <c r="H485">
        <v>70805</v>
      </c>
      <c r="I485" s="6">
        <v>3.3085467244915798</v>
      </c>
      <c r="J485" s="1">
        <v>42375.482037037036</v>
      </c>
      <c r="K485">
        <v>11.59</v>
      </c>
      <c r="L485" s="6">
        <f>('Pizza Sales Calculations'!$J485-'Pizza Sales Calculations'!$C485)*24*60</f>
        <v>16.533333332045004</v>
      </c>
      <c r="M485">
        <f>COUNTA('Pizza Sales Calculations'!$D485:$F485)</f>
        <v>1</v>
      </c>
      <c r="R485" s="9">
        <f>IF('Pizza Sales Calculations'!$G485=TRUE, Parameters!$B$17*'Pizza Sales Calculations'!$L485*2, 0)</f>
        <v>4.6844444440794177</v>
      </c>
      <c r="T485" s="6"/>
      <c r="U485" s="9"/>
    </row>
    <row r="486" spans="1:21" x14ac:dyDescent="0.2">
      <c r="A486">
        <v>485</v>
      </c>
      <c r="B486" s="1">
        <v>42375.480011574073</v>
      </c>
      <c r="C486" s="1">
        <v>42375.490428240744</v>
      </c>
      <c r="D486" t="s">
        <v>2</v>
      </c>
      <c r="G486" t="b">
        <v>1</v>
      </c>
      <c r="H486">
        <v>70804</v>
      </c>
      <c r="I486" s="6">
        <v>1.9158689504364601</v>
      </c>
      <c r="J486" s="1">
        <v>42375.497071759259</v>
      </c>
      <c r="K486">
        <v>11.59</v>
      </c>
      <c r="L486" s="6">
        <f>('Pizza Sales Calculations'!$J486-'Pizza Sales Calculations'!$C486)*24*60</f>
        <v>9.5666666608303785</v>
      </c>
      <c r="M486">
        <f>COUNTA('Pizza Sales Calculations'!$D486:$F486)</f>
        <v>1</v>
      </c>
      <c r="R486" s="9">
        <f>IF('Pizza Sales Calculations'!$G486=TRUE, Parameters!$B$17*'Pizza Sales Calculations'!$L486*2, 0)</f>
        <v>2.7105555539019406</v>
      </c>
      <c r="T486" s="6"/>
      <c r="U486" s="9"/>
    </row>
    <row r="487" spans="1:21" x14ac:dyDescent="0.2">
      <c r="A487">
        <v>486</v>
      </c>
      <c r="B487" s="1">
        <v>42375.52547453704</v>
      </c>
      <c r="C487" s="1">
        <v>42375.535902777781</v>
      </c>
      <c r="D487" t="s">
        <v>1</v>
      </c>
      <c r="E487" t="s">
        <v>2</v>
      </c>
      <c r="G487" t="b">
        <v>0</v>
      </c>
      <c r="H487">
        <v>70805</v>
      </c>
      <c r="I487" s="6">
        <v>0</v>
      </c>
      <c r="J487" s="1">
        <v>42375.537974537037</v>
      </c>
      <c r="K487">
        <v>19.579999999999998</v>
      </c>
      <c r="L487" s="6">
        <f>('Pizza Sales Calculations'!$J487-'Pizza Sales Calculations'!$C487)*24*60</f>
        <v>2.9833333287388086</v>
      </c>
      <c r="M487">
        <f>COUNTA('Pizza Sales Calculations'!$D487:$F487)</f>
        <v>2</v>
      </c>
      <c r="R487" s="9">
        <f>IF('Pizza Sales Calculations'!$G487=TRUE, Parameters!$B$17*'Pizza Sales Calculations'!$L487*2, 0)</f>
        <v>0</v>
      </c>
      <c r="T487" s="6"/>
      <c r="U487" s="9"/>
    </row>
    <row r="488" spans="1:21" x14ac:dyDescent="0.2">
      <c r="A488">
        <v>487</v>
      </c>
      <c r="B488" s="1">
        <v>42375.450740740744</v>
      </c>
      <c r="C488" s="1">
        <v>42375.461157407408</v>
      </c>
      <c r="D488" t="s">
        <v>1</v>
      </c>
      <c r="G488" t="b">
        <v>1</v>
      </c>
      <c r="H488">
        <v>70807</v>
      </c>
      <c r="I488" s="6">
        <v>3.0528908453041499</v>
      </c>
      <c r="J488" s="1">
        <v>42375.471747685187</v>
      </c>
      <c r="K488">
        <v>7.99</v>
      </c>
      <c r="L488" s="6">
        <f>('Pizza Sales Calculations'!$J488-'Pizza Sales Calculations'!$C488)*24*60</f>
        <v>15.250000002561137</v>
      </c>
      <c r="M488">
        <f>COUNTA('Pizza Sales Calculations'!$D488:$F488)</f>
        <v>1</v>
      </c>
      <c r="R488" s="9">
        <f>IF('Pizza Sales Calculations'!$G488=TRUE, Parameters!$B$17*'Pizza Sales Calculations'!$L488*2, 0)</f>
        <v>4.3208333340589888</v>
      </c>
      <c r="T488" s="6"/>
      <c r="U488" s="9"/>
    </row>
    <row r="489" spans="1:21" x14ac:dyDescent="0.2">
      <c r="A489">
        <v>488</v>
      </c>
      <c r="B489" s="1">
        <v>42375.527187500003</v>
      </c>
      <c r="C489" s="1">
        <v>42375.537592592591</v>
      </c>
      <c r="D489" t="s">
        <v>1</v>
      </c>
      <c r="G489" t="b">
        <v>0</v>
      </c>
      <c r="H489">
        <v>70806</v>
      </c>
      <c r="I489" s="6">
        <v>0</v>
      </c>
      <c r="J489" s="1">
        <v>42375.539675925924</v>
      </c>
      <c r="K489">
        <v>7.99</v>
      </c>
      <c r="L489" s="6">
        <f>('Pizza Sales Calculations'!$J489-'Pizza Sales Calculations'!$C489)*24*60</f>
        <v>2.9999999993015081</v>
      </c>
      <c r="M489">
        <f>COUNTA('Pizza Sales Calculations'!$D489:$F489)</f>
        <v>1</v>
      </c>
      <c r="R489" s="9">
        <f>IF('Pizza Sales Calculations'!$G489=TRUE, Parameters!$B$17*'Pizza Sales Calculations'!$L489*2, 0)</f>
        <v>0</v>
      </c>
      <c r="T489" s="6"/>
      <c r="U489" s="9"/>
    </row>
    <row r="490" spans="1:21" x14ac:dyDescent="0.2">
      <c r="A490">
        <v>489</v>
      </c>
      <c r="B490" s="1">
        <v>42375.467245370368</v>
      </c>
      <c r="C490" s="1">
        <v>42375.477650462963</v>
      </c>
      <c r="D490" t="s">
        <v>35</v>
      </c>
      <c r="G490" t="b">
        <v>1</v>
      </c>
      <c r="H490">
        <v>70806</v>
      </c>
      <c r="I490" s="6">
        <v>2.3584183778299499</v>
      </c>
      <c r="J490" s="1">
        <v>42375.485833333332</v>
      </c>
      <c r="K490">
        <v>15.35</v>
      </c>
      <c r="L490" s="6">
        <f>('Pizza Sales Calculations'!$J490-'Pizza Sales Calculations'!$C490)*24*60</f>
        <v>11.783333332277834</v>
      </c>
      <c r="M490">
        <f>COUNTA('Pizza Sales Calculations'!$D490:$F490)</f>
        <v>1</v>
      </c>
      <c r="R490" s="9">
        <f>IF('Pizza Sales Calculations'!$G490=TRUE, Parameters!$B$17*'Pizza Sales Calculations'!$L490*2, 0)</f>
        <v>3.3386111108120531</v>
      </c>
      <c r="T490" s="6"/>
      <c r="U490" s="9"/>
    </row>
    <row r="491" spans="1:21" x14ac:dyDescent="0.2">
      <c r="A491">
        <v>490</v>
      </c>
      <c r="B491" s="1">
        <v>42375.480891203704</v>
      </c>
      <c r="C491" s="1">
        <v>42375.491296296299</v>
      </c>
      <c r="D491" t="s">
        <v>1</v>
      </c>
      <c r="E491" t="s">
        <v>2</v>
      </c>
      <c r="G491" t="b">
        <v>1</v>
      </c>
      <c r="H491">
        <v>70805</v>
      </c>
      <c r="I491" s="6">
        <v>4.6248960461797202</v>
      </c>
      <c r="J491" s="1">
        <v>42375.507349537038</v>
      </c>
      <c r="K491">
        <v>19.579999999999998</v>
      </c>
      <c r="L491" s="6">
        <f>('Pizza Sales Calculations'!$J491-'Pizza Sales Calculations'!$C491)*24*60</f>
        <v>23.116666664136574</v>
      </c>
      <c r="M491">
        <f>COUNTA('Pizza Sales Calculations'!$D491:$F491)</f>
        <v>2</v>
      </c>
      <c r="R491" s="9">
        <f>IF('Pizza Sales Calculations'!$G491=TRUE, Parameters!$B$17*'Pizza Sales Calculations'!$L491*2, 0)</f>
        <v>6.5497222215053625</v>
      </c>
      <c r="T491" s="6"/>
      <c r="U491" s="9"/>
    </row>
    <row r="492" spans="1:21" x14ac:dyDescent="0.2">
      <c r="A492">
        <v>491</v>
      </c>
      <c r="B492" s="1">
        <v>42375.492986111109</v>
      </c>
      <c r="C492" s="1">
        <v>42375.503391203703</v>
      </c>
      <c r="D492" t="s">
        <v>35</v>
      </c>
      <c r="G492" t="b">
        <v>1</v>
      </c>
      <c r="H492">
        <v>70806</v>
      </c>
      <c r="I492" s="6">
        <v>0.88674010433897099</v>
      </c>
      <c r="J492" s="1">
        <v>42375.506469907406</v>
      </c>
      <c r="K492">
        <v>15.35</v>
      </c>
      <c r="L492" s="6">
        <f>('Pizza Sales Calculations'!$J492-'Pizza Sales Calculations'!$C492)*24*60</f>
        <v>4.4333333324175328</v>
      </c>
      <c r="M492">
        <f>COUNTA('Pizza Sales Calculations'!$D492:$F492)</f>
        <v>1</v>
      </c>
      <c r="R492" s="9">
        <f>IF('Pizza Sales Calculations'!$G492=TRUE, Parameters!$B$17*'Pizza Sales Calculations'!$L492*2, 0)</f>
        <v>1.2561111108516343</v>
      </c>
      <c r="T492" s="6"/>
      <c r="U492" s="9"/>
    </row>
    <row r="493" spans="1:21" x14ac:dyDescent="0.2">
      <c r="A493">
        <v>492</v>
      </c>
      <c r="B493" s="1">
        <v>42375.513611111113</v>
      </c>
      <c r="C493" s="1">
        <v>42375.524027777778</v>
      </c>
      <c r="D493" t="s">
        <v>2</v>
      </c>
      <c r="G493" t="b">
        <v>1</v>
      </c>
      <c r="H493">
        <v>70804</v>
      </c>
      <c r="I493" s="6">
        <v>4.1974832097261698</v>
      </c>
      <c r="J493" s="1">
        <v>42375.538599537038</v>
      </c>
      <c r="K493">
        <v>11.59</v>
      </c>
      <c r="L493" s="6">
        <f>('Pizza Sales Calculations'!$J493-'Pizza Sales Calculations'!$C493)*24*60</f>
        <v>20.983333335025236</v>
      </c>
      <c r="M493">
        <f>COUNTA('Pizza Sales Calculations'!$D493:$F493)</f>
        <v>1</v>
      </c>
      <c r="R493" s="9">
        <f>IF('Pizza Sales Calculations'!$G493=TRUE, Parameters!$B$17*'Pizza Sales Calculations'!$L493*2, 0)</f>
        <v>5.9452777782571502</v>
      </c>
      <c r="T493" s="6"/>
      <c r="U493" s="9"/>
    </row>
    <row r="494" spans="1:21" x14ac:dyDescent="0.2">
      <c r="A494">
        <v>493</v>
      </c>
      <c r="B494" s="1">
        <v>42375.505914351852</v>
      </c>
      <c r="C494" s="1">
        <v>42375.51630787037</v>
      </c>
      <c r="D494" t="s">
        <v>2</v>
      </c>
      <c r="G494" t="b">
        <v>0</v>
      </c>
      <c r="H494">
        <v>70803</v>
      </c>
      <c r="I494" s="6">
        <v>0</v>
      </c>
      <c r="J494" s="1">
        <v>42375.518379629626</v>
      </c>
      <c r="K494">
        <v>11.59</v>
      </c>
      <c r="L494" s="6">
        <f>('Pizza Sales Calculations'!$J494-'Pizza Sales Calculations'!$C494)*24*60</f>
        <v>2.9833333287388086</v>
      </c>
      <c r="M494">
        <f>COUNTA('Pizza Sales Calculations'!$D494:$F494)</f>
        <v>1</v>
      </c>
      <c r="R494" s="9">
        <f>IF('Pizza Sales Calculations'!$G494=TRUE, Parameters!$B$17*'Pizza Sales Calculations'!$L494*2, 0)</f>
        <v>0</v>
      </c>
      <c r="T494" s="6"/>
      <c r="U494" s="9"/>
    </row>
    <row r="495" spans="1:21" x14ac:dyDescent="0.2">
      <c r="A495">
        <v>494</v>
      </c>
      <c r="B495" s="1">
        <v>42375.541655092595</v>
      </c>
      <c r="C495" s="1">
        <v>42375.552071759259</v>
      </c>
      <c r="D495" t="s">
        <v>35</v>
      </c>
      <c r="G495" t="b">
        <v>1</v>
      </c>
      <c r="H495">
        <v>70804</v>
      </c>
      <c r="I495" s="6">
        <v>1.8524543153874</v>
      </c>
      <c r="J495" s="1">
        <v>42375.558495370373</v>
      </c>
      <c r="K495">
        <v>15.35</v>
      </c>
      <c r="L495" s="6">
        <f>('Pizza Sales Calculations'!$J495-'Pizza Sales Calculations'!$C495)*24*60</f>
        <v>9.2500000039581209</v>
      </c>
      <c r="M495">
        <f>COUNTA('Pizza Sales Calculations'!$D495:$F495)</f>
        <v>1</v>
      </c>
      <c r="R495" s="9">
        <f>IF('Pizza Sales Calculations'!$G495=TRUE, Parameters!$B$17*'Pizza Sales Calculations'!$L495*2, 0)</f>
        <v>2.6208333344548009</v>
      </c>
      <c r="T495" s="6"/>
      <c r="U495" s="9"/>
    </row>
    <row r="496" spans="1:21" x14ac:dyDescent="0.2">
      <c r="A496">
        <v>495</v>
      </c>
      <c r="B496" s="1">
        <v>42375.434247685182</v>
      </c>
      <c r="C496" s="1">
        <v>42375.444641203707</v>
      </c>
      <c r="D496" t="s">
        <v>1</v>
      </c>
      <c r="E496" t="s">
        <v>2</v>
      </c>
      <c r="G496" t="b">
        <v>1</v>
      </c>
      <c r="H496">
        <v>70804</v>
      </c>
      <c r="I496" s="6">
        <v>1.3390316324139899</v>
      </c>
      <c r="J496" s="1">
        <v>42375.449282407404</v>
      </c>
      <c r="K496">
        <v>19.579999999999998</v>
      </c>
      <c r="L496" s="6">
        <f>('Pizza Sales Calculations'!$J496-'Pizza Sales Calculations'!$C496)*24*60</f>
        <v>6.6833333240356296</v>
      </c>
      <c r="M496">
        <f>COUNTA('Pizza Sales Calculations'!$D496:$F496)</f>
        <v>2</v>
      </c>
      <c r="R496" s="9">
        <f>IF('Pizza Sales Calculations'!$G496=TRUE, Parameters!$B$17*'Pizza Sales Calculations'!$L496*2, 0)</f>
        <v>1.8936111084767617</v>
      </c>
      <c r="T496" s="6"/>
      <c r="U496" s="9"/>
    </row>
    <row r="497" spans="1:21" x14ac:dyDescent="0.2">
      <c r="A497">
        <v>496</v>
      </c>
      <c r="B497" s="1">
        <v>42375.483530092592</v>
      </c>
      <c r="C497" s="1">
        <v>42375.493946759256</v>
      </c>
      <c r="D497" t="s">
        <v>1</v>
      </c>
      <c r="G497" t="b">
        <v>0</v>
      </c>
      <c r="H497">
        <v>70803</v>
      </c>
      <c r="I497" s="6">
        <v>0</v>
      </c>
      <c r="J497" s="1">
        <v>42375.496018518519</v>
      </c>
      <c r="K497">
        <v>7.99</v>
      </c>
      <c r="L497" s="6">
        <f>('Pizza Sales Calculations'!$J497-'Pizza Sales Calculations'!$C497)*24*60</f>
        <v>2.9833333392161876</v>
      </c>
      <c r="M497">
        <f>COUNTA('Pizza Sales Calculations'!$D497:$F497)</f>
        <v>1</v>
      </c>
      <c r="R497" s="9">
        <f>IF('Pizza Sales Calculations'!$G497=TRUE, Parameters!$B$17*'Pizza Sales Calculations'!$L497*2, 0)</f>
        <v>0</v>
      </c>
      <c r="T497" s="6"/>
      <c r="U497" s="9"/>
    </row>
    <row r="498" spans="1:21" x14ac:dyDescent="0.2">
      <c r="A498">
        <v>497</v>
      </c>
      <c r="B498" s="1">
        <v>42375.483159722222</v>
      </c>
      <c r="C498" s="1">
        <v>42375.493564814817</v>
      </c>
      <c r="D498" t="s">
        <v>1</v>
      </c>
      <c r="G498" t="b">
        <v>1</v>
      </c>
      <c r="H498">
        <v>70804</v>
      </c>
      <c r="I498" s="6">
        <v>3.3341791020852898</v>
      </c>
      <c r="J498" s="1">
        <v>42375.50513888889</v>
      </c>
      <c r="K498">
        <v>7.99</v>
      </c>
      <c r="L498" s="6">
        <f>('Pizza Sales Calculations'!$J498-'Pizza Sales Calculations'!$C498)*24*60</f>
        <v>16.666666665114462</v>
      </c>
      <c r="M498">
        <f>COUNTA('Pizza Sales Calculations'!$D498:$F498)</f>
        <v>1</v>
      </c>
      <c r="R498" s="9">
        <f>IF('Pizza Sales Calculations'!$G498=TRUE, Parameters!$B$17*'Pizza Sales Calculations'!$L498*2, 0)</f>
        <v>4.722222221782431</v>
      </c>
      <c r="T498" s="6"/>
      <c r="U498" s="9"/>
    </row>
    <row r="499" spans="1:21" x14ac:dyDescent="0.2">
      <c r="A499">
        <v>498</v>
      </c>
      <c r="B499" s="1">
        <v>42375.51222222222</v>
      </c>
      <c r="C499" s="1">
        <v>42375.522638888891</v>
      </c>
      <c r="D499" t="s">
        <v>2</v>
      </c>
      <c r="G499" t="b">
        <v>1</v>
      </c>
      <c r="H499">
        <v>70808</v>
      </c>
      <c r="I499" s="6">
        <v>1.9725657526965401</v>
      </c>
      <c r="J499" s="1">
        <v>42375.529479166667</v>
      </c>
      <c r="K499">
        <v>11.59</v>
      </c>
      <c r="L499" s="6">
        <f>('Pizza Sales Calculations'!$J499-'Pizza Sales Calculations'!$C499)*24*60</f>
        <v>9.8499999975319952</v>
      </c>
      <c r="M499">
        <f>COUNTA('Pizza Sales Calculations'!$D499:$F499)</f>
        <v>1</v>
      </c>
      <c r="R499" s="9">
        <f>IF('Pizza Sales Calculations'!$G499=TRUE, Parameters!$B$17*'Pizza Sales Calculations'!$L499*2, 0)</f>
        <v>2.7908333326340653</v>
      </c>
      <c r="T499" s="6"/>
      <c r="U499" s="9"/>
    </row>
    <row r="500" spans="1:21" x14ac:dyDescent="0.2">
      <c r="A500">
        <v>499</v>
      </c>
      <c r="B500" s="1">
        <v>42375.48704861111</v>
      </c>
      <c r="C500" s="1">
        <v>42375.497453703705</v>
      </c>
      <c r="D500" t="s">
        <v>2</v>
      </c>
      <c r="E500" t="s">
        <v>35</v>
      </c>
      <c r="G500" t="b">
        <v>1</v>
      </c>
      <c r="H500">
        <v>70804</v>
      </c>
      <c r="I500" s="6">
        <v>2.97038880252761</v>
      </c>
      <c r="J500" s="1">
        <v>42375.5077662037</v>
      </c>
      <c r="K500">
        <v>25.94</v>
      </c>
      <c r="L500" s="6">
        <f>('Pizza Sales Calculations'!$J500-'Pizza Sales Calculations'!$C500)*24*60</f>
        <v>14.849999992875382</v>
      </c>
      <c r="M500">
        <f>COUNTA('Pizza Sales Calculations'!$D500:$F500)</f>
        <v>2</v>
      </c>
      <c r="R500" s="9">
        <f>IF('Pizza Sales Calculations'!$G500=TRUE, Parameters!$B$17*'Pizza Sales Calculations'!$L500*2, 0)</f>
        <v>4.2074999979813583</v>
      </c>
      <c r="T500" s="6"/>
      <c r="U500" s="9"/>
    </row>
    <row r="501" spans="1:21" x14ac:dyDescent="0.2">
      <c r="A501">
        <v>500</v>
      </c>
      <c r="B501" s="1">
        <v>42375.522083333337</v>
      </c>
      <c r="C501" s="1">
        <v>42375.532500000001</v>
      </c>
      <c r="D501" t="s">
        <v>2</v>
      </c>
      <c r="G501" t="b">
        <v>0</v>
      </c>
      <c r="H501">
        <v>70804</v>
      </c>
      <c r="I501" s="6">
        <v>0</v>
      </c>
      <c r="J501" s="1">
        <v>42375.534594907411</v>
      </c>
      <c r="K501">
        <v>11.59</v>
      </c>
      <c r="L501" s="6">
        <f>('Pizza Sales Calculations'!$J501-'Pizza Sales Calculations'!$C501)*24*60</f>
        <v>3.0166666698642075</v>
      </c>
      <c r="M501">
        <f>COUNTA('Pizza Sales Calculations'!$D501:$F501)</f>
        <v>1</v>
      </c>
      <c r="R501" s="9">
        <f>IF('Pizza Sales Calculations'!$G501=TRUE, Parameters!$B$17*'Pizza Sales Calculations'!$L501*2, 0)</f>
        <v>0</v>
      </c>
      <c r="T501" s="6"/>
      <c r="U501" s="9"/>
    </row>
    <row r="502" spans="1:21" x14ac:dyDescent="0.2">
      <c r="A502">
        <v>501</v>
      </c>
      <c r="B502" s="1">
        <v>42375.449479166666</v>
      </c>
      <c r="C502" s="1">
        <v>42375.45988425926</v>
      </c>
      <c r="D502" t="s">
        <v>35</v>
      </c>
      <c r="G502" t="b">
        <v>0</v>
      </c>
      <c r="H502">
        <v>70806</v>
      </c>
      <c r="I502" s="6">
        <v>0</v>
      </c>
      <c r="J502" s="1">
        <v>42375.461956018517</v>
      </c>
      <c r="K502">
        <v>15.35</v>
      </c>
      <c r="L502" s="6">
        <f>('Pizza Sales Calculations'!$J502-'Pizza Sales Calculations'!$C502)*24*60</f>
        <v>2.9833333287388086</v>
      </c>
      <c r="M502">
        <f>COUNTA('Pizza Sales Calculations'!$D502:$F502)</f>
        <v>1</v>
      </c>
      <c r="R502" s="9">
        <f>IF('Pizza Sales Calculations'!$G502=TRUE, Parameters!$B$17*'Pizza Sales Calculations'!$L502*2, 0)</f>
        <v>0</v>
      </c>
      <c r="T502" s="6"/>
      <c r="U502" s="9"/>
    </row>
    <row r="503" spans="1:21" x14ac:dyDescent="0.2">
      <c r="A503">
        <v>502</v>
      </c>
      <c r="B503" s="1">
        <v>42375.478912037041</v>
      </c>
      <c r="C503" s="1">
        <v>42375.489317129628</v>
      </c>
      <c r="D503" t="s">
        <v>2</v>
      </c>
      <c r="E503" t="s">
        <v>35</v>
      </c>
      <c r="G503" t="b">
        <v>0</v>
      </c>
      <c r="H503">
        <v>70806</v>
      </c>
      <c r="I503" s="6">
        <v>0</v>
      </c>
      <c r="J503" s="1">
        <v>42375.491388888891</v>
      </c>
      <c r="K503">
        <v>25.94</v>
      </c>
      <c r="L503" s="6">
        <f>('Pizza Sales Calculations'!$J503-'Pizza Sales Calculations'!$C503)*24*60</f>
        <v>2.9833333392161876</v>
      </c>
      <c r="M503">
        <f>COUNTA('Pizza Sales Calculations'!$D503:$F503)</f>
        <v>2</v>
      </c>
      <c r="R503" s="9">
        <f>IF('Pizza Sales Calculations'!$G503=TRUE, Parameters!$B$17*'Pizza Sales Calculations'!$L503*2, 0)</f>
        <v>0</v>
      </c>
      <c r="T503" s="6"/>
      <c r="U503" s="9"/>
    </row>
    <row r="504" spans="1:21" x14ac:dyDescent="0.2">
      <c r="A504">
        <v>503</v>
      </c>
      <c r="B504" s="1">
        <v>42375.553761574076</v>
      </c>
      <c r="C504" s="1">
        <v>42375.564166666663</v>
      </c>
      <c r="D504" t="s">
        <v>35</v>
      </c>
      <c r="G504" t="b">
        <v>1</v>
      </c>
      <c r="H504">
        <v>70805</v>
      </c>
      <c r="I504" s="6">
        <v>3.0744507061157602</v>
      </c>
      <c r="J504" s="1">
        <v>42375.574837962966</v>
      </c>
      <c r="K504">
        <v>15.35</v>
      </c>
      <c r="L504" s="6">
        <f>('Pizza Sales Calculations'!$J504-'Pizza Sales Calculations'!$C504)*24*60</f>
        <v>15.366666675545275</v>
      </c>
      <c r="M504">
        <f>COUNTA('Pizza Sales Calculations'!$D504:$F504)</f>
        <v>1</v>
      </c>
      <c r="R504" s="9">
        <f>IF('Pizza Sales Calculations'!$G504=TRUE, Parameters!$B$17*'Pizza Sales Calculations'!$L504*2, 0)</f>
        <v>4.3538888914044946</v>
      </c>
      <c r="T504" s="6"/>
      <c r="U504" s="9"/>
    </row>
    <row r="505" spans="1:21" x14ac:dyDescent="0.2">
      <c r="A505">
        <v>504</v>
      </c>
      <c r="B505" s="1">
        <v>42375.466493055559</v>
      </c>
      <c r="C505" s="1">
        <v>42375.476921296293</v>
      </c>
      <c r="D505" t="s">
        <v>2</v>
      </c>
      <c r="G505" t="b">
        <v>0</v>
      </c>
      <c r="H505">
        <v>70803</v>
      </c>
      <c r="I505" s="6">
        <v>0</v>
      </c>
      <c r="J505" s="1">
        <v>42375.479004629633</v>
      </c>
      <c r="K505">
        <v>11.59</v>
      </c>
      <c r="L505" s="6">
        <f>('Pizza Sales Calculations'!$J505-'Pizza Sales Calculations'!$C505)*24*60</f>
        <v>3.000000009778887</v>
      </c>
      <c r="M505">
        <f>COUNTA('Pizza Sales Calculations'!$D505:$F505)</f>
        <v>1</v>
      </c>
      <c r="R505" s="9">
        <f>IF('Pizza Sales Calculations'!$G505=TRUE, Parameters!$B$17*'Pizza Sales Calculations'!$L505*2, 0)</f>
        <v>0</v>
      </c>
      <c r="T505" s="6"/>
      <c r="U505" s="9"/>
    </row>
    <row r="506" spans="1:21" x14ac:dyDescent="0.2">
      <c r="A506">
        <v>505</v>
      </c>
      <c r="B506" s="1">
        <v>42375.615081018521</v>
      </c>
      <c r="C506" s="1">
        <v>42375.625486111108</v>
      </c>
      <c r="D506" t="s">
        <v>35</v>
      </c>
      <c r="G506" t="b">
        <v>1</v>
      </c>
      <c r="H506">
        <v>70804</v>
      </c>
      <c r="I506" s="6">
        <v>1.58916268178105</v>
      </c>
      <c r="J506" s="1">
        <v>42375.630995370368</v>
      </c>
      <c r="K506">
        <v>15.35</v>
      </c>
      <c r="L506" s="6">
        <f>('Pizza Sales Calculations'!$J506-'Pizza Sales Calculations'!$C506)*24*60</f>
        <v>7.9333333333488554</v>
      </c>
      <c r="M506">
        <f>COUNTA('Pizza Sales Calculations'!$D506:$F506)</f>
        <v>1</v>
      </c>
      <c r="R506" s="9">
        <f>IF('Pizza Sales Calculations'!$G506=TRUE, Parameters!$B$17*'Pizza Sales Calculations'!$L506*2, 0)</f>
        <v>2.2477777777821757</v>
      </c>
      <c r="T506" s="6"/>
      <c r="U506" s="9"/>
    </row>
    <row r="507" spans="1:21" x14ac:dyDescent="0.2">
      <c r="A507">
        <v>506</v>
      </c>
      <c r="B507" s="1">
        <v>42375.458773148152</v>
      </c>
      <c r="C507" s="1">
        <v>42375.469178240739</v>
      </c>
      <c r="D507" t="s">
        <v>35</v>
      </c>
      <c r="G507" t="b">
        <v>0</v>
      </c>
      <c r="H507">
        <v>70804</v>
      </c>
      <c r="I507" s="6">
        <v>0</v>
      </c>
      <c r="J507" s="1">
        <v>42375.471261574072</v>
      </c>
      <c r="K507">
        <v>15.35</v>
      </c>
      <c r="L507" s="6">
        <f>('Pizza Sales Calculations'!$J507-'Pizza Sales Calculations'!$C507)*24*60</f>
        <v>2.9999999993015081</v>
      </c>
      <c r="M507">
        <f>COUNTA('Pizza Sales Calculations'!$D507:$F507)</f>
        <v>1</v>
      </c>
      <c r="R507" s="9">
        <f>IF('Pizza Sales Calculations'!$G507=TRUE, Parameters!$B$17*'Pizza Sales Calculations'!$L507*2, 0)</f>
        <v>0</v>
      </c>
      <c r="T507" s="6"/>
      <c r="U507" s="9"/>
    </row>
    <row r="508" spans="1:21" x14ac:dyDescent="0.2">
      <c r="A508">
        <v>507</v>
      </c>
      <c r="B508" s="1">
        <v>42375.52684027778</v>
      </c>
      <c r="C508" s="1">
        <v>42375.537245370368</v>
      </c>
      <c r="D508" t="s">
        <v>1</v>
      </c>
      <c r="E508" t="s">
        <v>2</v>
      </c>
      <c r="G508" t="b">
        <v>0</v>
      </c>
      <c r="H508">
        <v>70808</v>
      </c>
      <c r="I508" s="6">
        <v>0</v>
      </c>
      <c r="J508" s="1">
        <v>42375.539351851854</v>
      </c>
      <c r="K508">
        <v>19.579999999999998</v>
      </c>
      <c r="L508" s="6">
        <f>('Pizza Sales Calculations'!$J508-'Pizza Sales Calculations'!$C508)*24*60</f>
        <v>3.0333333404269069</v>
      </c>
      <c r="M508">
        <f>COUNTA('Pizza Sales Calculations'!$D508:$F508)</f>
        <v>2</v>
      </c>
      <c r="R508" s="9">
        <f>IF('Pizza Sales Calculations'!$G508=TRUE, Parameters!$B$17*'Pizza Sales Calculations'!$L508*2, 0)</f>
        <v>0</v>
      </c>
      <c r="T508" s="6"/>
      <c r="U508" s="9"/>
    </row>
    <row r="509" spans="1:21" x14ac:dyDescent="0.2">
      <c r="A509">
        <v>508</v>
      </c>
      <c r="B509" s="1">
        <v>42375.45952546296</v>
      </c>
      <c r="C509" s="1">
        <v>42375.469953703701</v>
      </c>
      <c r="D509" t="s">
        <v>1</v>
      </c>
      <c r="G509" t="b">
        <v>1</v>
      </c>
      <c r="H509">
        <v>70806</v>
      </c>
      <c r="I509" s="6">
        <v>3.0684120558375398</v>
      </c>
      <c r="J509" s="1">
        <v>42375.48060185185</v>
      </c>
      <c r="K509">
        <v>7.99</v>
      </c>
      <c r="L509" s="6">
        <f>('Pizza Sales Calculations'!$J509-'Pizza Sales Calculations'!$C509)*24*60</f>
        <v>15.333333334419876</v>
      </c>
      <c r="M509">
        <f>COUNTA('Pizza Sales Calculations'!$D509:$F509)</f>
        <v>1</v>
      </c>
      <c r="R509" s="9">
        <f>IF('Pizza Sales Calculations'!$G509=TRUE, Parameters!$B$17*'Pizza Sales Calculations'!$L509*2, 0)</f>
        <v>4.3444444447522983</v>
      </c>
      <c r="T509" s="6"/>
      <c r="U509" s="9"/>
    </row>
    <row r="510" spans="1:21" x14ac:dyDescent="0.2">
      <c r="A510">
        <v>509</v>
      </c>
      <c r="B510" s="1">
        <v>42375.498449074075</v>
      </c>
      <c r="C510" s="1">
        <v>42375.50885416667</v>
      </c>
      <c r="D510" t="s">
        <v>35</v>
      </c>
      <c r="G510" t="b">
        <v>1</v>
      </c>
      <c r="H510">
        <v>70805</v>
      </c>
      <c r="I510" s="6">
        <v>4.9325445097095404</v>
      </c>
      <c r="J510" s="1">
        <v>42375.525972222225</v>
      </c>
      <c r="K510">
        <v>15.35</v>
      </c>
      <c r="L510" s="6">
        <f>('Pizza Sales Calculations'!$J510-'Pizza Sales Calculations'!$C510)*24*60</f>
        <v>24.649999999674037</v>
      </c>
      <c r="M510">
        <f>COUNTA('Pizza Sales Calculations'!$D510:$F510)</f>
        <v>1</v>
      </c>
      <c r="R510" s="9">
        <f>IF('Pizza Sales Calculations'!$G510=TRUE, Parameters!$B$17*'Pizza Sales Calculations'!$L510*2, 0)</f>
        <v>6.9841666665743105</v>
      </c>
      <c r="T510" s="6"/>
      <c r="U510" s="9"/>
    </row>
    <row r="511" spans="1:21" x14ac:dyDescent="0.2">
      <c r="A511">
        <v>510</v>
      </c>
      <c r="B511" s="1">
        <v>42375.467789351853</v>
      </c>
      <c r="C511" s="1">
        <v>42375.478194444448</v>
      </c>
      <c r="D511" t="s">
        <v>35</v>
      </c>
      <c r="G511" t="b">
        <v>0</v>
      </c>
      <c r="H511">
        <v>70805</v>
      </c>
      <c r="I511" s="6">
        <v>0</v>
      </c>
      <c r="J511" s="1">
        <v>42375.48027777778</v>
      </c>
      <c r="K511">
        <v>15.35</v>
      </c>
      <c r="L511" s="6">
        <f>('Pizza Sales Calculations'!$J511-'Pizza Sales Calculations'!$C511)*24*60</f>
        <v>2.9999999993015081</v>
      </c>
      <c r="M511">
        <f>COUNTA('Pizza Sales Calculations'!$D511:$F511)</f>
        <v>1</v>
      </c>
      <c r="R511" s="9">
        <f>IF('Pizza Sales Calculations'!$G511=TRUE, Parameters!$B$17*'Pizza Sales Calculations'!$L511*2, 0)</f>
        <v>0</v>
      </c>
      <c r="T511" s="6"/>
      <c r="U511" s="9"/>
    </row>
    <row r="512" spans="1:21" x14ac:dyDescent="0.2">
      <c r="A512">
        <v>511</v>
      </c>
      <c r="B512" s="1">
        <v>42375.469155092593</v>
      </c>
      <c r="C512" s="1">
        <v>42375.479571759257</v>
      </c>
      <c r="D512" t="s">
        <v>35</v>
      </c>
      <c r="G512" t="b">
        <v>1</v>
      </c>
      <c r="H512">
        <v>70807</v>
      </c>
      <c r="I512" s="6">
        <v>2.9120059805513399</v>
      </c>
      <c r="J512" s="1">
        <v>42375.489675925928</v>
      </c>
      <c r="K512">
        <v>15.35</v>
      </c>
      <c r="L512" s="6">
        <f>('Pizza Sales Calculations'!$J512-'Pizza Sales Calculations'!$C512)*24*60</f>
        <v>14.550000006565824</v>
      </c>
      <c r="M512">
        <f>COUNTA('Pizza Sales Calculations'!$D512:$F512)</f>
        <v>1</v>
      </c>
      <c r="R512" s="9">
        <f>IF('Pizza Sales Calculations'!$G512=TRUE, Parameters!$B$17*'Pizza Sales Calculations'!$L512*2, 0)</f>
        <v>4.1225000018603168</v>
      </c>
      <c r="T512" s="6"/>
      <c r="U512" s="9"/>
    </row>
    <row r="513" spans="1:21" x14ac:dyDescent="0.2">
      <c r="A513">
        <v>512</v>
      </c>
      <c r="B513" s="1">
        <v>42375.522499999999</v>
      </c>
      <c r="C513" s="1">
        <v>42375.53292824074</v>
      </c>
      <c r="D513" t="s">
        <v>2</v>
      </c>
      <c r="G513" t="b">
        <v>1</v>
      </c>
      <c r="H513">
        <v>70805</v>
      </c>
      <c r="I513" s="6">
        <v>3.1925932998036299</v>
      </c>
      <c r="J513" s="1">
        <v>42375.544004629628</v>
      </c>
      <c r="K513">
        <v>11.59</v>
      </c>
      <c r="L513" s="6">
        <f>('Pizza Sales Calculations'!$J513-'Pizza Sales Calculations'!$C513)*24*60</f>
        <v>15.94999999855645</v>
      </c>
      <c r="M513">
        <f>COUNTA('Pizza Sales Calculations'!$D513:$F513)</f>
        <v>1</v>
      </c>
      <c r="R513" s="9">
        <f>IF('Pizza Sales Calculations'!$G513=TRUE, Parameters!$B$17*'Pizza Sales Calculations'!$L513*2, 0)</f>
        <v>4.5191666662576608</v>
      </c>
      <c r="T513" s="6"/>
      <c r="U513" s="9"/>
    </row>
    <row r="514" spans="1:21" x14ac:dyDescent="0.2">
      <c r="A514">
        <v>513</v>
      </c>
      <c r="B514" s="1">
        <v>42375.514976851853</v>
      </c>
      <c r="C514" s="1">
        <v>42375.525393518517</v>
      </c>
      <c r="D514" t="s">
        <v>35</v>
      </c>
      <c r="G514" t="b">
        <v>0</v>
      </c>
      <c r="H514">
        <v>70806</v>
      </c>
      <c r="I514" s="6">
        <v>0</v>
      </c>
      <c r="J514" s="1">
        <v>42375.527453703704</v>
      </c>
      <c r="K514">
        <v>15.35</v>
      </c>
      <c r="L514" s="6">
        <f>('Pizza Sales Calculations'!$J514-'Pizza Sales Calculations'!$C514)*24*60</f>
        <v>2.9666666686534882</v>
      </c>
      <c r="M514">
        <f>COUNTA('Pizza Sales Calculations'!$D514:$F514)</f>
        <v>1</v>
      </c>
      <c r="R514" s="9">
        <f>IF('Pizza Sales Calculations'!$G514=TRUE, Parameters!$B$17*'Pizza Sales Calculations'!$L514*2, 0)</f>
        <v>0</v>
      </c>
      <c r="T514" s="6"/>
      <c r="U514" s="9"/>
    </row>
    <row r="515" spans="1:21" x14ac:dyDescent="0.2">
      <c r="A515">
        <v>514</v>
      </c>
      <c r="B515" s="1">
        <v>42375.427557870367</v>
      </c>
      <c r="C515" s="1">
        <v>42375.437974537039</v>
      </c>
      <c r="D515" t="s">
        <v>1</v>
      </c>
      <c r="G515" t="b">
        <v>1</v>
      </c>
      <c r="H515">
        <v>70805</v>
      </c>
      <c r="I515" s="6">
        <v>3.1130364495294498</v>
      </c>
      <c r="J515" s="1">
        <v>42375.448773148149</v>
      </c>
      <c r="K515">
        <v>7.99</v>
      </c>
      <c r="L515" s="6">
        <f>('Pizza Sales Calculations'!$J515-'Pizza Sales Calculations'!$C515)*24*60</f>
        <v>15.549999999348074</v>
      </c>
      <c r="M515">
        <f>COUNTA('Pizza Sales Calculations'!$D515:$F515)</f>
        <v>1</v>
      </c>
      <c r="R515" s="9">
        <f>IF('Pizza Sales Calculations'!$G515=TRUE, Parameters!$B$17*'Pizza Sales Calculations'!$L515*2, 0)</f>
        <v>4.405833333148621</v>
      </c>
      <c r="T515" s="6"/>
      <c r="U515" s="9"/>
    </row>
    <row r="516" spans="1:21" x14ac:dyDescent="0.2">
      <c r="A516">
        <v>515</v>
      </c>
      <c r="B516" s="1">
        <v>42375.477708333332</v>
      </c>
      <c r="C516" s="1">
        <v>42375.488125000003</v>
      </c>
      <c r="D516" t="s">
        <v>1</v>
      </c>
      <c r="E516" t="s">
        <v>2</v>
      </c>
      <c r="G516" t="b">
        <v>0</v>
      </c>
      <c r="H516">
        <v>70803</v>
      </c>
      <c r="I516" s="6">
        <v>0</v>
      </c>
      <c r="J516" s="1">
        <v>42375.49019675926</v>
      </c>
      <c r="K516">
        <v>19.579999999999998</v>
      </c>
      <c r="L516" s="6">
        <f>('Pizza Sales Calculations'!$J516-'Pizza Sales Calculations'!$C516)*24*60</f>
        <v>2.9833333287388086</v>
      </c>
      <c r="M516">
        <f>COUNTA('Pizza Sales Calculations'!$D516:$F516)</f>
        <v>2</v>
      </c>
      <c r="R516" s="9">
        <f>IF('Pizza Sales Calculations'!$G516=TRUE, Parameters!$B$17*'Pizza Sales Calculations'!$L516*2, 0)</f>
        <v>0</v>
      </c>
      <c r="T516" s="6"/>
      <c r="U516" s="9"/>
    </row>
    <row r="517" spans="1:21" x14ac:dyDescent="0.2">
      <c r="A517">
        <v>516</v>
      </c>
      <c r="B517" s="1">
        <v>42375.599942129629</v>
      </c>
      <c r="C517" s="1">
        <v>42375.610347222224</v>
      </c>
      <c r="D517" t="s">
        <v>1</v>
      </c>
      <c r="E517" t="s">
        <v>2</v>
      </c>
      <c r="G517" t="b">
        <v>0</v>
      </c>
      <c r="H517">
        <v>70805</v>
      </c>
      <c r="I517" s="6">
        <v>0</v>
      </c>
      <c r="J517" s="1">
        <v>42375.61241898148</v>
      </c>
      <c r="K517">
        <v>19.579999999999998</v>
      </c>
      <c r="L517" s="6">
        <f>('Pizza Sales Calculations'!$J517-'Pizza Sales Calculations'!$C517)*24*60</f>
        <v>2.9833333287388086</v>
      </c>
      <c r="M517">
        <f>COUNTA('Pizza Sales Calculations'!$D517:$F517)</f>
        <v>2</v>
      </c>
      <c r="R517" s="9">
        <f>IF('Pizza Sales Calculations'!$G517=TRUE, Parameters!$B$17*'Pizza Sales Calculations'!$L517*2, 0)</f>
        <v>0</v>
      </c>
      <c r="T517" s="6"/>
      <c r="U517" s="9"/>
    </row>
    <row r="518" spans="1:21" x14ac:dyDescent="0.2">
      <c r="A518">
        <v>517</v>
      </c>
      <c r="B518" s="1">
        <v>42375.511597222219</v>
      </c>
      <c r="C518" s="1">
        <v>42375.522002314814</v>
      </c>
      <c r="D518" t="s">
        <v>2</v>
      </c>
      <c r="G518" t="b">
        <v>0</v>
      </c>
      <c r="H518">
        <v>70804</v>
      </c>
      <c r="I518" s="6">
        <v>0</v>
      </c>
      <c r="J518" s="1">
        <v>42375.524074074077</v>
      </c>
      <c r="K518">
        <v>11.59</v>
      </c>
      <c r="L518" s="6">
        <f>('Pizza Sales Calculations'!$J518-'Pizza Sales Calculations'!$C518)*24*60</f>
        <v>2.9833333392161876</v>
      </c>
      <c r="M518">
        <f>COUNTA('Pizza Sales Calculations'!$D518:$F518)</f>
        <v>1</v>
      </c>
      <c r="R518" s="9">
        <f>IF('Pizza Sales Calculations'!$G518=TRUE, Parameters!$B$17*'Pizza Sales Calculations'!$L518*2, 0)</f>
        <v>0</v>
      </c>
      <c r="T518" s="6"/>
      <c r="U518" s="9"/>
    </row>
    <row r="519" spans="1:21" x14ac:dyDescent="0.2">
      <c r="A519">
        <v>518</v>
      </c>
      <c r="B519" s="1">
        <v>42375.482037037036</v>
      </c>
      <c r="C519" s="1">
        <v>42375.4924537037</v>
      </c>
      <c r="D519" t="s">
        <v>2</v>
      </c>
      <c r="G519" t="b">
        <v>0</v>
      </c>
      <c r="H519">
        <v>70803</v>
      </c>
      <c r="I519" s="6">
        <v>0</v>
      </c>
      <c r="J519" s="1">
        <v>42375.494525462964</v>
      </c>
      <c r="K519">
        <v>11.59</v>
      </c>
      <c r="L519" s="6">
        <f>('Pizza Sales Calculations'!$J519-'Pizza Sales Calculations'!$C519)*24*60</f>
        <v>2.9833333392161876</v>
      </c>
      <c r="M519">
        <f>COUNTA('Pizza Sales Calculations'!$D519:$F519)</f>
        <v>1</v>
      </c>
      <c r="R519" s="9">
        <f>IF('Pizza Sales Calculations'!$G519=TRUE, Parameters!$B$17*'Pizza Sales Calculations'!$L519*2, 0)</f>
        <v>0</v>
      </c>
      <c r="T519" s="6"/>
      <c r="U519" s="9"/>
    </row>
    <row r="520" spans="1:21" x14ac:dyDescent="0.2">
      <c r="A520">
        <v>519</v>
      </c>
      <c r="B520" s="1">
        <v>42375.467777777776</v>
      </c>
      <c r="C520" s="1">
        <v>42375.478171296294</v>
      </c>
      <c r="D520" t="s">
        <v>1</v>
      </c>
      <c r="G520" t="b">
        <v>0</v>
      </c>
      <c r="H520">
        <v>70804</v>
      </c>
      <c r="I520" s="6">
        <v>0</v>
      </c>
      <c r="J520" s="1">
        <v>42375.480243055557</v>
      </c>
      <c r="K520">
        <v>7.99</v>
      </c>
      <c r="L520" s="6">
        <f>('Pizza Sales Calculations'!$J520-'Pizza Sales Calculations'!$C520)*24*60</f>
        <v>2.9833333392161876</v>
      </c>
      <c r="M520">
        <f>COUNTA('Pizza Sales Calculations'!$D520:$F520)</f>
        <v>1</v>
      </c>
      <c r="R520" s="9">
        <f>IF('Pizza Sales Calculations'!$G520=TRUE, Parameters!$B$17*'Pizza Sales Calculations'!$L520*2, 0)</f>
        <v>0</v>
      </c>
      <c r="T520" s="6"/>
      <c r="U520" s="9"/>
    </row>
    <row r="521" spans="1:21" x14ac:dyDescent="0.2">
      <c r="A521">
        <v>520</v>
      </c>
      <c r="B521" s="1">
        <v>42375.535231481481</v>
      </c>
      <c r="C521" s="1">
        <v>42375.545624999999</v>
      </c>
      <c r="D521" t="s">
        <v>35</v>
      </c>
      <c r="G521" t="b">
        <v>0</v>
      </c>
      <c r="H521">
        <v>70804</v>
      </c>
      <c r="I521" s="6">
        <v>0</v>
      </c>
      <c r="J521" s="1">
        <v>42375.547685185185</v>
      </c>
      <c r="K521">
        <v>15.35</v>
      </c>
      <c r="L521" s="6">
        <f>('Pizza Sales Calculations'!$J521-'Pizza Sales Calculations'!$C521)*24*60</f>
        <v>2.9666666686534882</v>
      </c>
      <c r="M521">
        <f>COUNTA('Pizza Sales Calculations'!$D521:$F521)</f>
        <v>1</v>
      </c>
      <c r="R521" s="9">
        <f>IF('Pizza Sales Calculations'!$G521=TRUE, Parameters!$B$17*'Pizza Sales Calculations'!$L521*2, 0)</f>
        <v>0</v>
      </c>
      <c r="T521" s="6"/>
      <c r="U521" s="9"/>
    </row>
    <row r="522" spans="1:21" x14ac:dyDescent="0.2">
      <c r="A522">
        <v>521</v>
      </c>
      <c r="B522" s="1">
        <v>42375.465613425928</v>
      </c>
      <c r="C522" s="1">
        <v>42375.476018518515</v>
      </c>
      <c r="D522" t="s">
        <v>35</v>
      </c>
      <c r="G522" t="b">
        <v>1</v>
      </c>
      <c r="H522">
        <v>70804</v>
      </c>
      <c r="I522" s="6">
        <v>3.1766215214015801</v>
      </c>
      <c r="J522" s="1">
        <v>42375.487037037034</v>
      </c>
      <c r="K522">
        <v>15.35</v>
      </c>
      <c r="L522" s="6">
        <f>('Pizza Sales Calculations'!$J522-'Pizza Sales Calculations'!$C522)*24*60</f>
        <v>15.866666666697711</v>
      </c>
      <c r="M522">
        <f>COUNTA('Pizza Sales Calculations'!$D522:$F522)</f>
        <v>1</v>
      </c>
      <c r="R522" s="9">
        <f>IF('Pizza Sales Calculations'!$G522=TRUE, Parameters!$B$17*'Pizza Sales Calculations'!$L522*2, 0)</f>
        <v>4.4955555555643514</v>
      </c>
      <c r="T522" s="6"/>
      <c r="U522" s="9"/>
    </row>
    <row r="523" spans="1:21" x14ac:dyDescent="0.2">
      <c r="A523">
        <v>522</v>
      </c>
      <c r="B523" s="1">
        <v>42375.607349537036</v>
      </c>
      <c r="C523" s="1">
        <v>42375.617777777778</v>
      </c>
      <c r="D523" t="s">
        <v>1</v>
      </c>
      <c r="E523" t="s">
        <v>2</v>
      </c>
      <c r="G523" t="b">
        <v>0</v>
      </c>
      <c r="H523">
        <v>70804</v>
      </c>
      <c r="I523" s="6">
        <v>0</v>
      </c>
      <c r="J523" s="1">
        <v>42375.619849537034</v>
      </c>
      <c r="K523">
        <v>19.579999999999998</v>
      </c>
      <c r="L523" s="6">
        <f>('Pizza Sales Calculations'!$J523-'Pizza Sales Calculations'!$C523)*24*60</f>
        <v>2.9833333287388086</v>
      </c>
      <c r="M523">
        <f>COUNTA('Pizza Sales Calculations'!$D523:$F523)</f>
        <v>2</v>
      </c>
      <c r="R523" s="9">
        <f>IF('Pizza Sales Calculations'!$G523=TRUE, Parameters!$B$17*'Pizza Sales Calculations'!$L523*2, 0)</f>
        <v>0</v>
      </c>
      <c r="T523" s="6"/>
      <c r="U523" s="9"/>
    </row>
    <row r="524" spans="1:21" x14ac:dyDescent="0.2">
      <c r="A524">
        <v>523</v>
      </c>
      <c r="B524" s="1">
        <v>42375.518101851849</v>
      </c>
      <c r="C524" s="1">
        <v>42375.528483796297</v>
      </c>
      <c r="D524" t="s">
        <v>2</v>
      </c>
      <c r="G524" t="b">
        <v>1</v>
      </c>
      <c r="H524">
        <v>70807</v>
      </c>
      <c r="I524" s="6">
        <v>0.30878531502079998</v>
      </c>
      <c r="J524" s="1">
        <v>42375.529548611114</v>
      </c>
      <c r="K524">
        <v>11.59</v>
      </c>
      <c r="L524" s="6">
        <f>('Pizza Sales Calculations'!$J524-'Pizza Sales Calculations'!$C524)*24*60</f>
        <v>1.5333333355374634</v>
      </c>
      <c r="M524">
        <f>COUNTA('Pizza Sales Calculations'!$D524:$F524)</f>
        <v>1</v>
      </c>
      <c r="R524" s="9">
        <f>IF('Pizza Sales Calculations'!$G524=TRUE, Parameters!$B$17*'Pizza Sales Calculations'!$L524*2, 0)</f>
        <v>0.43444444506894797</v>
      </c>
      <c r="T524" s="6"/>
      <c r="U524" s="9"/>
    </row>
    <row r="525" spans="1:21" x14ac:dyDescent="0.2">
      <c r="A525">
        <v>524</v>
      </c>
      <c r="B525" s="1">
        <v>42375.504606481481</v>
      </c>
      <c r="C525" s="1">
        <v>42375.515023148146</v>
      </c>
      <c r="D525" t="s">
        <v>1</v>
      </c>
      <c r="G525" t="b">
        <v>1</v>
      </c>
      <c r="H525">
        <v>70808</v>
      </c>
      <c r="I525" s="6">
        <v>4.4676293234715301</v>
      </c>
      <c r="J525" s="1">
        <v>42375.530532407407</v>
      </c>
      <c r="K525">
        <v>7.99</v>
      </c>
      <c r="L525" s="6">
        <f>('Pizza Sales Calculations'!$J525-'Pizza Sales Calculations'!$C525)*24*60</f>
        <v>22.333333336282521</v>
      </c>
      <c r="M525">
        <f>COUNTA('Pizza Sales Calculations'!$D525:$F525)</f>
        <v>1</v>
      </c>
      <c r="R525" s="9">
        <f>IF('Pizza Sales Calculations'!$G525=TRUE, Parameters!$B$17*'Pizza Sales Calculations'!$L525*2, 0)</f>
        <v>6.3277777786133811</v>
      </c>
      <c r="T525" s="6"/>
      <c r="U525" s="9"/>
    </row>
    <row r="526" spans="1:21" x14ac:dyDescent="0.2">
      <c r="A526">
        <v>525</v>
      </c>
      <c r="B526" s="1">
        <v>42375.526331018518</v>
      </c>
      <c r="C526" s="1">
        <v>42375.536759259259</v>
      </c>
      <c r="D526" t="s">
        <v>1</v>
      </c>
      <c r="G526" t="b">
        <v>0</v>
      </c>
      <c r="H526">
        <v>70804</v>
      </c>
      <c r="I526" s="6">
        <v>0</v>
      </c>
      <c r="J526" s="1">
        <v>42375.538831018515</v>
      </c>
      <c r="K526">
        <v>7.99</v>
      </c>
      <c r="L526" s="6">
        <f>('Pizza Sales Calculations'!$J526-'Pizza Sales Calculations'!$C526)*24*60</f>
        <v>2.9833333287388086</v>
      </c>
      <c r="M526">
        <f>COUNTA('Pizza Sales Calculations'!$D526:$F526)</f>
        <v>1</v>
      </c>
      <c r="R526" s="9">
        <f>IF('Pizza Sales Calculations'!$G526=TRUE, Parameters!$B$17*'Pizza Sales Calculations'!$L526*2, 0)</f>
        <v>0</v>
      </c>
      <c r="T526" s="6"/>
      <c r="U526" s="9"/>
    </row>
    <row r="527" spans="1:21" x14ac:dyDescent="0.2">
      <c r="A527">
        <v>526</v>
      </c>
      <c r="B527" s="1">
        <v>42375.516886574071</v>
      </c>
      <c r="C527" s="1">
        <v>42375.527291666665</v>
      </c>
      <c r="D527" t="s">
        <v>35</v>
      </c>
      <c r="G527" t="b">
        <v>0</v>
      </c>
      <c r="H527">
        <v>70803</v>
      </c>
      <c r="I527" s="6">
        <v>0</v>
      </c>
      <c r="J527" s="1">
        <v>42375.529374999998</v>
      </c>
      <c r="K527">
        <v>15.35</v>
      </c>
      <c r="L527" s="6">
        <f>('Pizza Sales Calculations'!$J527-'Pizza Sales Calculations'!$C527)*24*60</f>
        <v>2.9999999993015081</v>
      </c>
      <c r="M527">
        <f>COUNTA('Pizza Sales Calculations'!$D527:$F527)</f>
        <v>1</v>
      </c>
      <c r="R527" s="9">
        <f>IF('Pizza Sales Calculations'!$G527=TRUE, Parameters!$B$17*'Pizza Sales Calculations'!$L527*2, 0)</f>
        <v>0</v>
      </c>
      <c r="T527" s="6"/>
      <c r="U527" s="9"/>
    </row>
    <row r="528" spans="1:21" x14ac:dyDescent="0.2">
      <c r="A528">
        <v>527</v>
      </c>
      <c r="B528" s="1">
        <v>42375.493414351855</v>
      </c>
      <c r="C528" s="1">
        <v>42375.503819444442</v>
      </c>
      <c r="D528" t="s">
        <v>35</v>
      </c>
      <c r="G528" t="b">
        <v>1</v>
      </c>
      <c r="H528">
        <v>70805</v>
      </c>
      <c r="I528" s="6">
        <v>2.2894741354066199</v>
      </c>
      <c r="J528" s="1">
        <v>42375.511759259258</v>
      </c>
      <c r="K528">
        <v>15.35</v>
      </c>
      <c r="L528" s="6">
        <f>('Pizza Sales Calculations'!$J528-'Pizza Sales Calculations'!$C528)*24*60</f>
        <v>11.433333334280178</v>
      </c>
      <c r="M528">
        <f>COUNTA('Pizza Sales Calculations'!$D528:$F528)</f>
        <v>1</v>
      </c>
      <c r="R528" s="9">
        <f>IF('Pizza Sales Calculations'!$G528=TRUE, Parameters!$B$17*'Pizza Sales Calculations'!$L528*2, 0)</f>
        <v>3.2394444447127171</v>
      </c>
      <c r="T528" s="6"/>
      <c r="U528" s="9"/>
    </row>
    <row r="529" spans="1:21" x14ac:dyDescent="0.2">
      <c r="A529">
        <v>528</v>
      </c>
      <c r="B529" s="1">
        <v>42375.579791666663</v>
      </c>
      <c r="C529" s="1">
        <v>42375.590196759258</v>
      </c>
      <c r="D529" t="s">
        <v>1</v>
      </c>
      <c r="E529" t="s">
        <v>2</v>
      </c>
      <c r="G529" t="b">
        <v>0</v>
      </c>
      <c r="H529">
        <v>70804</v>
      </c>
      <c r="I529" s="6">
        <v>0</v>
      </c>
      <c r="J529" s="1">
        <v>42375.592280092591</v>
      </c>
      <c r="K529">
        <v>19.579999999999998</v>
      </c>
      <c r="L529" s="6">
        <f>('Pizza Sales Calculations'!$J529-'Pizza Sales Calculations'!$C529)*24*60</f>
        <v>2.9999999993015081</v>
      </c>
      <c r="M529">
        <f>COUNTA('Pizza Sales Calculations'!$D529:$F529)</f>
        <v>2</v>
      </c>
      <c r="R529" s="9">
        <f>IF('Pizza Sales Calculations'!$G529=TRUE, Parameters!$B$17*'Pizza Sales Calculations'!$L529*2, 0)</f>
        <v>0</v>
      </c>
      <c r="T529" s="6"/>
      <c r="U529" s="9"/>
    </row>
    <row r="530" spans="1:21" x14ac:dyDescent="0.2">
      <c r="A530">
        <v>529</v>
      </c>
      <c r="B530" s="1">
        <v>42375.511666666665</v>
      </c>
      <c r="C530" s="1">
        <v>42375.522060185183</v>
      </c>
      <c r="D530" t="s">
        <v>1</v>
      </c>
      <c r="G530" t="b">
        <v>0</v>
      </c>
      <c r="H530">
        <v>70806</v>
      </c>
      <c r="I530" s="6">
        <v>0</v>
      </c>
      <c r="J530" s="1">
        <v>42375.524131944447</v>
      </c>
      <c r="K530">
        <v>7.99</v>
      </c>
      <c r="L530" s="6">
        <f>('Pizza Sales Calculations'!$J530-'Pizza Sales Calculations'!$C530)*24*60</f>
        <v>2.9833333392161876</v>
      </c>
      <c r="M530">
        <f>COUNTA('Pizza Sales Calculations'!$D530:$F530)</f>
        <v>1</v>
      </c>
      <c r="R530" s="9">
        <f>IF('Pizza Sales Calculations'!$G530=TRUE, Parameters!$B$17*'Pizza Sales Calculations'!$L530*2, 0)</f>
        <v>0</v>
      </c>
      <c r="T530" s="6"/>
      <c r="U530" s="9"/>
    </row>
    <row r="531" spans="1:21" x14ac:dyDescent="0.2">
      <c r="A531">
        <v>530</v>
      </c>
      <c r="B531" s="1">
        <v>42375.51766203704</v>
      </c>
      <c r="C531" s="1">
        <v>42375.528067129628</v>
      </c>
      <c r="D531" t="s">
        <v>1</v>
      </c>
      <c r="G531" t="b">
        <v>1</v>
      </c>
      <c r="H531">
        <v>70805</v>
      </c>
      <c r="I531" s="6">
        <v>4.0022482740898297</v>
      </c>
      <c r="J531" s="1">
        <v>42375.541956018518</v>
      </c>
      <c r="K531">
        <v>7.99</v>
      </c>
      <c r="L531" s="6">
        <f>('Pizza Sales Calculations'!$J531-'Pizza Sales Calculations'!$C531)*24*60</f>
        <v>20.000000002328306</v>
      </c>
      <c r="M531">
        <f>COUNTA('Pizza Sales Calculations'!$D531:$F531)</f>
        <v>1</v>
      </c>
      <c r="R531" s="9">
        <f>IF('Pizza Sales Calculations'!$G531=TRUE, Parameters!$B$17*'Pizza Sales Calculations'!$L531*2, 0)</f>
        <v>5.6666666673263535</v>
      </c>
      <c r="T531" s="6"/>
      <c r="U531" s="9"/>
    </row>
    <row r="532" spans="1:21" x14ac:dyDescent="0.2">
      <c r="A532">
        <v>531</v>
      </c>
      <c r="B532" s="1">
        <v>42375.495428240742</v>
      </c>
      <c r="C532" s="1">
        <v>42375.505810185183</v>
      </c>
      <c r="D532" t="s">
        <v>35</v>
      </c>
      <c r="G532" t="b">
        <v>1</v>
      </c>
      <c r="H532">
        <v>70806</v>
      </c>
      <c r="I532" s="6">
        <v>1.1505133682673201</v>
      </c>
      <c r="J532" s="1">
        <v>42375.50980324074</v>
      </c>
      <c r="K532">
        <v>15.35</v>
      </c>
      <c r="L532" s="6">
        <f>('Pizza Sales Calculations'!$J532-'Pizza Sales Calculations'!$C532)*24*60</f>
        <v>5.7500000030267984</v>
      </c>
      <c r="M532">
        <f>COUNTA('Pizza Sales Calculations'!$D532:$F532)</f>
        <v>1</v>
      </c>
      <c r="R532" s="9">
        <f>IF('Pizza Sales Calculations'!$G532=TRUE, Parameters!$B$17*'Pizza Sales Calculations'!$L532*2, 0)</f>
        <v>1.6291666675242595</v>
      </c>
      <c r="T532" s="6"/>
      <c r="U532" s="9"/>
    </row>
    <row r="533" spans="1:21" x14ac:dyDescent="0.2">
      <c r="A533">
        <v>532</v>
      </c>
      <c r="B533" s="1">
        <v>42375.439699074072</v>
      </c>
      <c r="C533" s="1">
        <v>42375.450115740743</v>
      </c>
      <c r="D533" t="s">
        <v>1</v>
      </c>
      <c r="G533" t="b">
        <v>1</v>
      </c>
      <c r="H533">
        <v>70806</v>
      </c>
      <c r="I533" s="6">
        <v>2.7672782129229598</v>
      </c>
      <c r="J533" s="1">
        <v>42375.459722222222</v>
      </c>
      <c r="K533">
        <v>7.99</v>
      </c>
      <c r="L533" s="6">
        <f>('Pizza Sales Calculations'!$J533-'Pizza Sales Calculations'!$C533)*24*60</f>
        <v>13.833333329530433</v>
      </c>
      <c r="M533">
        <f>COUNTA('Pizza Sales Calculations'!$D533:$F533)</f>
        <v>1</v>
      </c>
      <c r="R533" s="9">
        <f>IF('Pizza Sales Calculations'!$G533=TRUE, Parameters!$B$17*'Pizza Sales Calculations'!$L533*2, 0)</f>
        <v>3.919444443366956</v>
      </c>
      <c r="T533" s="6"/>
      <c r="U533" s="9"/>
    </row>
    <row r="534" spans="1:21" x14ac:dyDescent="0.2">
      <c r="A534">
        <v>533</v>
      </c>
      <c r="B534" s="1">
        <v>42375.469907407409</v>
      </c>
      <c r="C534" s="1">
        <v>42375.480312500003</v>
      </c>
      <c r="D534" t="s">
        <v>1</v>
      </c>
      <c r="G534" t="b">
        <v>0</v>
      </c>
      <c r="H534">
        <v>70803</v>
      </c>
      <c r="I534" s="6">
        <v>0</v>
      </c>
      <c r="J534" s="1">
        <v>42375.482395833336</v>
      </c>
      <c r="K534">
        <v>7.99</v>
      </c>
      <c r="L534" s="6">
        <f>('Pizza Sales Calculations'!$J534-'Pizza Sales Calculations'!$C534)*24*60</f>
        <v>2.9999999993015081</v>
      </c>
      <c r="M534">
        <f>COUNTA('Pizza Sales Calculations'!$D534:$F534)</f>
        <v>1</v>
      </c>
      <c r="R534" s="9">
        <f>IF('Pizza Sales Calculations'!$G534=TRUE, Parameters!$B$17*'Pizza Sales Calculations'!$L534*2, 0)</f>
        <v>0</v>
      </c>
      <c r="T534" s="6"/>
      <c r="U534" s="9"/>
    </row>
    <row r="535" spans="1:21" x14ac:dyDescent="0.2">
      <c r="A535">
        <v>534</v>
      </c>
      <c r="B535" s="1">
        <v>42376.531481481485</v>
      </c>
      <c r="C535" s="1">
        <v>42376.541898148149</v>
      </c>
      <c r="D535" t="s">
        <v>35</v>
      </c>
      <c r="G535" t="b">
        <v>0</v>
      </c>
      <c r="H535">
        <v>70808</v>
      </c>
      <c r="I535" s="6">
        <v>0</v>
      </c>
      <c r="J535" s="1">
        <v>42376.543993055559</v>
      </c>
      <c r="K535">
        <v>15.35</v>
      </c>
      <c r="L535" s="6">
        <f>('Pizza Sales Calculations'!$J535-'Pizza Sales Calculations'!$C535)*24*60</f>
        <v>3.0166666698642075</v>
      </c>
      <c r="M535">
        <f>COUNTA('Pizza Sales Calculations'!$D535:$F535)</f>
        <v>1</v>
      </c>
      <c r="R535" s="9">
        <f>IF('Pizza Sales Calculations'!$G535=TRUE, Parameters!$B$17*'Pizza Sales Calculations'!$L535*2, 0)</f>
        <v>0</v>
      </c>
      <c r="T535" s="6"/>
      <c r="U535" s="9"/>
    </row>
    <row r="536" spans="1:21" x14ac:dyDescent="0.2">
      <c r="A536">
        <v>535</v>
      </c>
      <c r="B536" s="1">
        <v>42376.484965277778</v>
      </c>
      <c r="C536" s="1">
        <v>42376.495393518519</v>
      </c>
      <c r="D536" t="s">
        <v>1</v>
      </c>
      <c r="E536" t="s">
        <v>2</v>
      </c>
      <c r="G536" t="b">
        <v>1</v>
      </c>
      <c r="H536">
        <v>70806</v>
      </c>
      <c r="I536" s="6">
        <v>4.1655603537007098</v>
      </c>
      <c r="J536" s="1">
        <v>42376.50984953704</v>
      </c>
      <c r="K536">
        <v>19.579999999999998</v>
      </c>
      <c r="L536" s="6">
        <f>('Pizza Sales Calculations'!$J536-'Pizza Sales Calculations'!$C536)*24*60</f>
        <v>20.816666671307757</v>
      </c>
      <c r="M536">
        <f>COUNTA('Pizza Sales Calculations'!$D536:$F536)</f>
        <v>2</v>
      </c>
      <c r="R536" s="9">
        <f>IF('Pizza Sales Calculations'!$G536=TRUE, Parameters!$B$17*'Pizza Sales Calculations'!$L536*2, 0)</f>
        <v>5.8980555568705313</v>
      </c>
      <c r="T536" s="6"/>
      <c r="U536" s="9"/>
    </row>
    <row r="537" spans="1:21" x14ac:dyDescent="0.2">
      <c r="A537">
        <v>536</v>
      </c>
      <c r="B537" s="1">
        <v>42376.483912037038</v>
      </c>
      <c r="C537" s="1">
        <v>42376.494340277779</v>
      </c>
      <c r="D537" t="s">
        <v>1</v>
      </c>
      <c r="E537" t="s">
        <v>2</v>
      </c>
      <c r="G537" t="b">
        <v>0</v>
      </c>
      <c r="H537">
        <v>70806</v>
      </c>
      <c r="I537" s="6">
        <v>0</v>
      </c>
      <c r="J537" s="1">
        <v>42376.496400462966</v>
      </c>
      <c r="K537">
        <v>19.579999999999998</v>
      </c>
      <c r="L537" s="6">
        <f>('Pizza Sales Calculations'!$J537-'Pizza Sales Calculations'!$C537)*24*60</f>
        <v>2.9666666686534882</v>
      </c>
      <c r="M537">
        <f>COUNTA('Pizza Sales Calculations'!$D537:$F537)</f>
        <v>2</v>
      </c>
      <c r="R537" s="9">
        <f>IF('Pizza Sales Calculations'!$G537=TRUE, Parameters!$B$17*'Pizza Sales Calculations'!$L537*2, 0)</f>
        <v>0</v>
      </c>
      <c r="T537" s="6"/>
      <c r="U537" s="9"/>
    </row>
    <row r="538" spans="1:21" x14ac:dyDescent="0.2">
      <c r="A538">
        <v>537</v>
      </c>
      <c r="B538" s="1">
        <v>42376.477939814817</v>
      </c>
      <c r="C538" s="1">
        <v>42376.488379629627</v>
      </c>
      <c r="D538" t="s">
        <v>2</v>
      </c>
      <c r="G538" t="b">
        <v>0</v>
      </c>
      <c r="H538">
        <v>70804</v>
      </c>
      <c r="I538" s="6">
        <v>0</v>
      </c>
      <c r="J538" s="1">
        <v>42376.490451388891</v>
      </c>
      <c r="K538">
        <v>11.59</v>
      </c>
      <c r="L538" s="6">
        <f>('Pizza Sales Calculations'!$J538-'Pizza Sales Calculations'!$C538)*24*60</f>
        <v>2.9833333392161876</v>
      </c>
      <c r="M538">
        <f>COUNTA('Pizza Sales Calculations'!$D538:$F538)</f>
        <v>1</v>
      </c>
      <c r="R538" s="9">
        <f>IF('Pizza Sales Calculations'!$G538=TRUE, Parameters!$B$17*'Pizza Sales Calculations'!$L538*2, 0)</f>
        <v>0</v>
      </c>
      <c r="T538" s="6"/>
      <c r="U538" s="9"/>
    </row>
    <row r="539" spans="1:21" x14ac:dyDescent="0.2">
      <c r="A539">
        <v>538</v>
      </c>
      <c r="B539" s="1">
        <v>42376.477407407408</v>
      </c>
      <c r="C539" s="1">
        <v>42376.487824074073</v>
      </c>
      <c r="D539" t="s">
        <v>2</v>
      </c>
      <c r="G539" t="b">
        <v>1</v>
      </c>
      <c r="H539">
        <v>70806</v>
      </c>
      <c r="I539" s="6">
        <v>2.3944716524816001</v>
      </c>
      <c r="J539" s="1">
        <v>42376.496134259258</v>
      </c>
      <c r="K539">
        <v>11.59</v>
      </c>
      <c r="L539" s="6">
        <f>('Pizza Sales Calculations'!$J539-'Pizza Sales Calculations'!$C539)*24*60</f>
        <v>11.966666666558012</v>
      </c>
      <c r="M539">
        <f>COUNTA('Pizza Sales Calculations'!$D539:$F539)</f>
        <v>1</v>
      </c>
      <c r="R539" s="9">
        <f>IF('Pizza Sales Calculations'!$G539=TRUE, Parameters!$B$17*'Pizza Sales Calculations'!$L539*2, 0)</f>
        <v>3.3905555555247702</v>
      </c>
      <c r="T539" s="6"/>
      <c r="U539" s="9"/>
    </row>
    <row r="540" spans="1:21" x14ac:dyDescent="0.2">
      <c r="A540">
        <v>539</v>
      </c>
      <c r="B540" s="1">
        <v>42376.487743055557</v>
      </c>
      <c r="C540" s="1">
        <v>42376.498136574075</v>
      </c>
      <c r="D540" t="s">
        <v>2</v>
      </c>
      <c r="G540" t="b">
        <v>1</v>
      </c>
      <c r="H540">
        <v>70803</v>
      </c>
      <c r="I540" s="6">
        <v>4.4457821307449104</v>
      </c>
      <c r="J540" s="1">
        <v>42376.513564814813</v>
      </c>
      <c r="K540">
        <v>11.59</v>
      </c>
      <c r="L540" s="6">
        <f>('Pizza Sales Calculations'!$J540-'Pizza Sales Calculations'!$C540)*24*60</f>
        <v>22.216666663298383</v>
      </c>
      <c r="M540">
        <f>COUNTA('Pizza Sales Calculations'!$D540:$F540)</f>
        <v>1</v>
      </c>
      <c r="R540" s="9">
        <f>IF('Pizza Sales Calculations'!$G540=TRUE, Parameters!$B$17*'Pizza Sales Calculations'!$L540*2, 0)</f>
        <v>6.2947222212678753</v>
      </c>
      <c r="T540" s="6"/>
      <c r="U540" s="9"/>
    </row>
    <row r="541" spans="1:21" x14ac:dyDescent="0.2">
      <c r="A541">
        <v>540</v>
      </c>
      <c r="B541" s="1">
        <v>42376.465497685182</v>
      </c>
      <c r="C541" s="1">
        <v>42376.475902777776</v>
      </c>
      <c r="D541" t="s">
        <v>1</v>
      </c>
      <c r="E541" t="s">
        <v>2</v>
      </c>
      <c r="G541" t="b">
        <v>1</v>
      </c>
      <c r="H541">
        <v>70805</v>
      </c>
      <c r="I541" s="6">
        <v>4.4264384598615596</v>
      </c>
      <c r="J541" s="1">
        <v>42376.491261574076</v>
      </c>
      <c r="K541">
        <v>19.579999999999998</v>
      </c>
      <c r="L541" s="6">
        <f>('Pizza Sales Calculations'!$J541-'Pizza Sales Calculations'!$C541)*24*60</f>
        <v>22.116666671354324</v>
      </c>
      <c r="M541">
        <f>COUNTA('Pizza Sales Calculations'!$D541:$F541)</f>
        <v>2</v>
      </c>
      <c r="R541" s="9">
        <f>IF('Pizza Sales Calculations'!$G541=TRUE, Parameters!$B$17*'Pizza Sales Calculations'!$L541*2, 0)</f>
        <v>6.2663888902170584</v>
      </c>
      <c r="T541" s="6"/>
      <c r="U541" s="9"/>
    </row>
    <row r="542" spans="1:21" x14ac:dyDescent="0.2">
      <c r="A542">
        <v>541</v>
      </c>
      <c r="B542" s="1">
        <v>42376.507280092592</v>
      </c>
      <c r="C542" s="1">
        <v>42376.51767361111</v>
      </c>
      <c r="D542" t="s">
        <v>1</v>
      </c>
      <c r="E542" t="s">
        <v>2</v>
      </c>
      <c r="G542" t="b">
        <v>1</v>
      </c>
      <c r="H542">
        <v>70808</v>
      </c>
      <c r="I542" s="6">
        <v>4.7976884329612703</v>
      </c>
      <c r="J542" s="1">
        <v>42376.534328703703</v>
      </c>
      <c r="K542">
        <v>19.579999999999998</v>
      </c>
      <c r="L542" s="6">
        <f>('Pizza Sales Calculations'!$J542-'Pizza Sales Calculations'!$C542)*24*60</f>
        <v>23.983333334326744</v>
      </c>
      <c r="M542">
        <f>COUNTA('Pizza Sales Calculations'!$D542:$F542)</f>
        <v>2</v>
      </c>
      <c r="R542" s="9">
        <f>IF('Pizza Sales Calculations'!$G542=TRUE, Parameters!$B$17*'Pizza Sales Calculations'!$L542*2, 0)</f>
        <v>6.7952777780592442</v>
      </c>
      <c r="T542" s="6"/>
      <c r="U542" s="9"/>
    </row>
    <row r="543" spans="1:21" x14ac:dyDescent="0.2">
      <c r="A543">
        <v>542</v>
      </c>
      <c r="B543" s="1">
        <v>42376.443148148152</v>
      </c>
      <c r="C543" s="1">
        <v>42376.453564814816</v>
      </c>
      <c r="D543" t="s">
        <v>1</v>
      </c>
      <c r="E543" t="s">
        <v>35</v>
      </c>
      <c r="G543" t="b">
        <v>0</v>
      </c>
      <c r="H543">
        <v>70803</v>
      </c>
      <c r="I543" s="6">
        <v>0</v>
      </c>
      <c r="J543" s="1">
        <v>42376.455636574072</v>
      </c>
      <c r="K543">
        <v>23.34</v>
      </c>
      <c r="L543" s="6">
        <f>('Pizza Sales Calculations'!$J543-'Pizza Sales Calculations'!$C543)*24*60</f>
        <v>2.9833333287388086</v>
      </c>
      <c r="M543">
        <f>COUNTA('Pizza Sales Calculations'!$D543:$F543)</f>
        <v>2</v>
      </c>
      <c r="R543" s="9">
        <f>IF('Pizza Sales Calculations'!$G543=TRUE, Parameters!$B$17*'Pizza Sales Calculations'!$L543*2, 0)</f>
        <v>0</v>
      </c>
      <c r="T543" s="6"/>
      <c r="U543" s="9"/>
    </row>
    <row r="544" spans="1:21" x14ac:dyDescent="0.2">
      <c r="A544">
        <v>543</v>
      </c>
      <c r="B544" s="1">
        <v>42376.43377314815</v>
      </c>
      <c r="C544" s="1">
        <v>42376.444178240738</v>
      </c>
      <c r="D544" t="s">
        <v>1</v>
      </c>
      <c r="E544" t="s">
        <v>2</v>
      </c>
      <c r="G544" t="b">
        <v>0</v>
      </c>
      <c r="H544">
        <v>70804</v>
      </c>
      <c r="I544" s="6">
        <v>0</v>
      </c>
      <c r="J544" s="1">
        <v>42376.446261574078</v>
      </c>
      <c r="K544">
        <v>19.579999999999998</v>
      </c>
      <c r="L544" s="6">
        <f>('Pizza Sales Calculations'!$J544-'Pizza Sales Calculations'!$C544)*24*60</f>
        <v>3.000000009778887</v>
      </c>
      <c r="M544">
        <f>COUNTA('Pizza Sales Calculations'!$D544:$F544)</f>
        <v>2</v>
      </c>
      <c r="R544" s="9">
        <f>IF('Pizza Sales Calculations'!$G544=TRUE, Parameters!$B$17*'Pizza Sales Calculations'!$L544*2, 0)</f>
        <v>0</v>
      </c>
      <c r="T544" s="6"/>
      <c r="U544" s="9"/>
    </row>
    <row r="545" spans="1:21" x14ac:dyDescent="0.2">
      <c r="A545">
        <v>544</v>
      </c>
      <c r="B545" s="1">
        <v>42376.490011574075</v>
      </c>
      <c r="C545" s="1">
        <v>42376.500428240739</v>
      </c>
      <c r="D545" t="s">
        <v>1</v>
      </c>
      <c r="G545" t="b">
        <v>1</v>
      </c>
      <c r="H545">
        <v>70807</v>
      </c>
      <c r="I545" s="6">
        <v>3.1875056084573599</v>
      </c>
      <c r="J545" s="1">
        <v>42376.511493055557</v>
      </c>
      <c r="K545">
        <v>7.99</v>
      </c>
      <c r="L545" s="6">
        <f>('Pizza Sales Calculations'!$J545-'Pizza Sales Calculations'!$C545)*24*60</f>
        <v>15.93333333847113</v>
      </c>
      <c r="M545">
        <f>COUNTA('Pizza Sales Calculations'!$D545:$F545)</f>
        <v>1</v>
      </c>
      <c r="R545" s="9">
        <f>IF('Pizza Sales Calculations'!$G545=TRUE, Parameters!$B$17*'Pizza Sales Calculations'!$L545*2, 0)</f>
        <v>4.5144444459001534</v>
      </c>
      <c r="T545" s="6"/>
      <c r="U545" s="9"/>
    </row>
    <row r="546" spans="1:21" x14ac:dyDescent="0.2">
      <c r="A546">
        <v>545</v>
      </c>
      <c r="B546" s="1">
        <v>42376.54828703704</v>
      </c>
      <c r="C546" s="1">
        <v>42376.558692129627</v>
      </c>
      <c r="D546" t="s">
        <v>35</v>
      </c>
      <c r="G546" t="b">
        <v>1</v>
      </c>
      <c r="H546">
        <v>70803</v>
      </c>
      <c r="I546" s="6">
        <v>3.5973431109853999</v>
      </c>
      <c r="J546" s="1">
        <v>42376.571180555555</v>
      </c>
      <c r="K546">
        <v>15.35</v>
      </c>
      <c r="L546" s="6">
        <f>('Pizza Sales Calculations'!$J546-'Pizza Sales Calculations'!$C546)*24*60</f>
        <v>17.983333335723728</v>
      </c>
      <c r="M546">
        <f>COUNTA('Pizza Sales Calculations'!$D546:$F546)</f>
        <v>1</v>
      </c>
      <c r="R546" s="9">
        <f>IF('Pizza Sales Calculations'!$G546=TRUE, Parameters!$B$17*'Pizza Sales Calculations'!$L546*2, 0)</f>
        <v>5.0952777784550563</v>
      </c>
      <c r="T546" s="6"/>
      <c r="U546" s="9"/>
    </row>
    <row r="547" spans="1:21" x14ac:dyDescent="0.2">
      <c r="A547">
        <v>546</v>
      </c>
      <c r="B547" s="1">
        <v>42376.52721064815</v>
      </c>
      <c r="C547" s="1">
        <v>42376.537627314814</v>
      </c>
      <c r="D547" t="s">
        <v>1</v>
      </c>
      <c r="G547" t="b">
        <v>0</v>
      </c>
      <c r="H547">
        <v>70805</v>
      </c>
      <c r="I547" s="6">
        <v>0</v>
      </c>
      <c r="J547" s="1">
        <v>42376.539710648147</v>
      </c>
      <c r="K547">
        <v>7.99</v>
      </c>
      <c r="L547" s="6">
        <f>('Pizza Sales Calculations'!$J547-'Pizza Sales Calculations'!$C547)*24*60</f>
        <v>2.9999999993015081</v>
      </c>
      <c r="M547">
        <f>COUNTA('Pizza Sales Calculations'!$D547:$F547)</f>
        <v>1</v>
      </c>
      <c r="R547" s="9">
        <f>IF('Pizza Sales Calculations'!$G547=TRUE, Parameters!$B$17*'Pizza Sales Calculations'!$L547*2, 0)</f>
        <v>0</v>
      </c>
      <c r="T547" s="6"/>
      <c r="U547" s="9"/>
    </row>
    <row r="548" spans="1:21" x14ac:dyDescent="0.2">
      <c r="A548">
        <v>547</v>
      </c>
      <c r="B548" s="1">
        <v>42376.490729166668</v>
      </c>
      <c r="C548" s="1">
        <v>42376.501145833332</v>
      </c>
      <c r="D548" t="s">
        <v>2</v>
      </c>
      <c r="G548" t="b">
        <v>1</v>
      </c>
      <c r="H548">
        <v>70804</v>
      </c>
      <c r="I548" s="6">
        <v>2.4789711440100701</v>
      </c>
      <c r="J548" s="1">
        <v>42376.509745370371</v>
      </c>
      <c r="K548">
        <v>11.59</v>
      </c>
      <c r="L548" s="6">
        <f>('Pizza Sales Calculations'!$J548-'Pizza Sales Calculations'!$C548)*24*60</f>
        <v>12.383333336329088</v>
      </c>
      <c r="M548">
        <f>COUNTA('Pizza Sales Calculations'!$D548:$F548)</f>
        <v>1</v>
      </c>
      <c r="R548" s="9">
        <f>IF('Pizza Sales Calculations'!$G548=TRUE, Parameters!$B$17*'Pizza Sales Calculations'!$L548*2, 0)</f>
        <v>3.5086111119599082</v>
      </c>
      <c r="T548" s="6"/>
      <c r="U548" s="9"/>
    </row>
    <row r="549" spans="1:21" x14ac:dyDescent="0.2">
      <c r="A549">
        <v>548</v>
      </c>
      <c r="B549" s="1">
        <v>42376.489664351851</v>
      </c>
      <c r="C549" s="1">
        <v>42376.500069444446</v>
      </c>
      <c r="D549" t="s">
        <v>35</v>
      </c>
      <c r="G549" t="b">
        <v>1</v>
      </c>
      <c r="H549">
        <v>70804</v>
      </c>
      <c r="I549" s="6">
        <v>2.3347111642103799</v>
      </c>
      <c r="J549" s="1">
        <v>42376.508171296293</v>
      </c>
      <c r="K549">
        <v>15.35</v>
      </c>
      <c r="L549" s="6">
        <f>('Pizza Sales Calculations'!$J549-'Pizza Sales Calculations'!$C549)*24*60</f>
        <v>11.666666659293696</v>
      </c>
      <c r="M549">
        <f>COUNTA('Pizza Sales Calculations'!$D549:$F549)</f>
        <v>1</v>
      </c>
      <c r="R549" s="9">
        <f>IF('Pizza Sales Calculations'!$G549=TRUE, Parameters!$B$17*'Pizza Sales Calculations'!$L549*2, 0)</f>
        <v>3.3055555534665473</v>
      </c>
      <c r="T549" s="6"/>
      <c r="U549" s="9"/>
    </row>
    <row r="550" spans="1:21" x14ac:dyDescent="0.2">
      <c r="A550">
        <v>549</v>
      </c>
      <c r="B550" s="1">
        <v>42376.510150462964</v>
      </c>
      <c r="C550" s="1">
        <v>42376.520555555559</v>
      </c>
      <c r="D550" t="s">
        <v>1</v>
      </c>
      <c r="E550" t="s">
        <v>2</v>
      </c>
      <c r="G550" t="b">
        <v>1</v>
      </c>
      <c r="H550">
        <v>70804</v>
      </c>
      <c r="I550" s="6">
        <v>2.7853917164435802</v>
      </c>
      <c r="J550" s="1">
        <v>42376.530219907407</v>
      </c>
      <c r="K550">
        <v>19.579999999999998</v>
      </c>
      <c r="L550" s="6">
        <f>('Pizza Sales Calculations'!$J550-'Pizza Sales Calculations'!$C550)*24*60</f>
        <v>13.916666661389172</v>
      </c>
      <c r="M550">
        <f>COUNTA('Pizza Sales Calculations'!$D550:$F550)</f>
        <v>2</v>
      </c>
      <c r="R550" s="9">
        <f>IF('Pizza Sales Calculations'!$G550=TRUE, Parameters!$B$17*'Pizza Sales Calculations'!$L550*2, 0)</f>
        <v>3.9430555540602654</v>
      </c>
      <c r="T550" s="6"/>
      <c r="U550" s="9"/>
    </row>
    <row r="551" spans="1:21" x14ac:dyDescent="0.2">
      <c r="A551">
        <v>550</v>
      </c>
      <c r="B551" s="1">
        <v>42376.540671296294</v>
      </c>
      <c r="C551" s="1">
        <v>42376.551076388889</v>
      </c>
      <c r="D551" t="s">
        <v>1</v>
      </c>
      <c r="E551" t="s">
        <v>35</v>
      </c>
      <c r="G551" t="b">
        <v>1</v>
      </c>
      <c r="H551">
        <v>70804</v>
      </c>
      <c r="I551" s="6">
        <v>3.0738359975184801</v>
      </c>
      <c r="J551" s="1">
        <v>42376.561747685184</v>
      </c>
      <c r="K551">
        <v>23.34</v>
      </c>
      <c r="L551" s="6">
        <f>('Pizza Sales Calculations'!$J551-'Pizza Sales Calculations'!$C551)*24*60</f>
        <v>15.366666665067896</v>
      </c>
      <c r="M551">
        <f>COUNTA('Pizza Sales Calculations'!$D551:$F551)</f>
        <v>2</v>
      </c>
      <c r="R551" s="9">
        <f>IF('Pizza Sales Calculations'!$G551=TRUE, Parameters!$B$17*'Pizza Sales Calculations'!$L551*2, 0)</f>
        <v>4.3538888884359039</v>
      </c>
      <c r="T551" s="6"/>
      <c r="U551" s="9"/>
    </row>
    <row r="552" spans="1:21" x14ac:dyDescent="0.2">
      <c r="A552">
        <v>551</v>
      </c>
      <c r="B552" s="1">
        <v>42376.613391203704</v>
      </c>
      <c r="C552" s="1">
        <v>42376.623807870368</v>
      </c>
      <c r="D552" t="s">
        <v>2</v>
      </c>
      <c r="G552" t="b">
        <v>1</v>
      </c>
      <c r="H552">
        <v>70805</v>
      </c>
      <c r="I552" s="6">
        <v>1.6424466737293999</v>
      </c>
      <c r="J552" s="1">
        <v>42376.629502314812</v>
      </c>
      <c r="K552">
        <v>11.59</v>
      </c>
      <c r="L552" s="6">
        <f>('Pizza Sales Calculations'!$J552-'Pizza Sales Calculations'!$C552)*24*60</f>
        <v>8.1999999994877726</v>
      </c>
      <c r="M552">
        <f>COUNTA('Pizza Sales Calculations'!$D552:$F552)</f>
        <v>1</v>
      </c>
      <c r="R552" s="9">
        <f>IF('Pizza Sales Calculations'!$G552=TRUE, Parameters!$B$17*'Pizza Sales Calculations'!$L552*2, 0)</f>
        <v>2.3233333331882022</v>
      </c>
      <c r="T552" s="6"/>
      <c r="U552" s="9"/>
    </row>
    <row r="553" spans="1:21" x14ac:dyDescent="0.2">
      <c r="A553">
        <v>552</v>
      </c>
      <c r="B553" s="1">
        <v>42376.521863425929</v>
      </c>
      <c r="C553" s="1">
        <v>42376.532280092593</v>
      </c>
      <c r="D553" t="s">
        <v>35</v>
      </c>
      <c r="G553" t="b">
        <v>0</v>
      </c>
      <c r="H553">
        <v>70804</v>
      </c>
      <c r="I553" s="6">
        <v>0</v>
      </c>
      <c r="J553" s="1">
        <v>42376.534351851849</v>
      </c>
      <c r="K553">
        <v>15.35</v>
      </c>
      <c r="L553" s="6">
        <f>('Pizza Sales Calculations'!$J553-'Pizza Sales Calculations'!$C553)*24*60</f>
        <v>2.9833333287388086</v>
      </c>
      <c r="M553">
        <f>COUNTA('Pizza Sales Calculations'!$D553:$F553)</f>
        <v>1</v>
      </c>
      <c r="R553" s="9">
        <f>IF('Pizza Sales Calculations'!$G553=TRUE, Parameters!$B$17*'Pizza Sales Calculations'!$L553*2, 0)</f>
        <v>0</v>
      </c>
      <c r="T553" s="6"/>
      <c r="U553" s="9"/>
    </row>
    <row r="554" spans="1:21" x14ac:dyDescent="0.2">
      <c r="A554">
        <v>553</v>
      </c>
      <c r="B554" s="1">
        <v>42376.553101851852</v>
      </c>
      <c r="C554" s="1">
        <v>42376.563506944447</v>
      </c>
      <c r="D554" t="s">
        <v>35</v>
      </c>
      <c r="G554" t="b">
        <v>1</v>
      </c>
      <c r="H554">
        <v>70805</v>
      </c>
      <c r="I554" s="6">
        <v>4.8100359129845698</v>
      </c>
      <c r="J554" s="1">
        <v>42376.580208333333</v>
      </c>
      <c r="K554">
        <v>15.35</v>
      </c>
      <c r="L554" s="6">
        <f>('Pizza Sales Calculations'!$J554-'Pizza Sales Calculations'!$C554)*24*60</f>
        <v>24.049999995622784</v>
      </c>
      <c r="M554">
        <f>COUNTA('Pizza Sales Calculations'!$D554:$F554)</f>
        <v>1</v>
      </c>
      <c r="R554" s="9">
        <f>IF('Pizza Sales Calculations'!$G554=TRUE, Parameters!$B$17*'Pizza Sales Calculations'!$L554*2, 0)</f>
        <v>6.8141666654264554</v>
      </c>
      <c r="T554" s="6"/>
      <c r="U554" s="9"/>
    </row>
    <row r="555" spans="1:21" x14ac:dyDescent="0.2">
      <c r="A555">
        <v>554</v>
      </c>
      <c r="B555" s="1">
        <v>42376.525277777779</v>
      </c>
      <c r="C555" s="1">
        <v>42376.535694444443</v>
      </c>
      <c r="D555" t="s">
        <v>2</v>
      </c>
      <c r="E555" t="s">
        <v>35</v>
      </c>
      <c r="G555" t="b">
        <v>1</v>
      </c>
      <c r="H555">
        <v>70803</v>
      </c>
      <c r="I555" s="6">
        <v>3.6745060176722699</v>
      </c>
      <c r="J555" s="1">
        <v>42376.548449074071</v>
      </c>
      <c r="K555">
        <v>25.94</v>
      </c>
      <c r="L555" s="6">
        <f>('Pizza Sales Calculations'!$J555-'Pizza Sales Calculations'!$C555)*24*60</f>
        <v>18.366666664369404</v>
      </c>
      <c r="M555">
        <f>COUNTA('Pizza Sales Calculations'!$D555:$F555)</f>
        <v>2</v>
      </c>
      <c r="R555" s="9">
        <f>IF('Pizza Sales Calculations'!$G555=TRUE, Parameters!$B$17*'Pizza Sales Calculations'!$L555*2, 0)</f>
        <v>5.2038888882379979</v>
      </c>
      <c r="T555" s="6"/>
      <c r="U555" s="9"/>
    </row>
    <row r="556" spans="1:21" x14ac:dyDescent="0.2">
      <c r="A556">
        <v>555</v>
      </c>
      <c r="B556" s="1">
        <v>42376.481539351851</v>
      </c>
      <c r="C556" s="1">
        <v>42376.491944444446</v>
      </c>
      <c r="D556" t="s">
        <v>2</v>
      </c>
      <c r="G556" t="b">
        <v>1</v>
      </c>
      <c r="H556">
        <v>70806</v>
      </c>
      <c r="I556" s="6">
        <v>1.81464063878398</v>
      </c>
      <c r="J556" s="1">
        <v>42376.498240740744</v>
      </c>
      <c r="K556">
        <v>11.59</v>
      </c>
      <c r="L556" s="6">
        <f>('Pizza Sales Calculations'!$J556-'Pizza Sales Calculations'!$C556)*24*60</f>
        <v>9.066666669677943</v>
      </c>
      <c r="M556">
        <f>COUNTA('Pizza Sales Calculations'!$D556:$F556)</f>
        <v>1</v>
      </c>
      <c r="R556" s="9">
        <f>IF('Pizza Sales Calculations'!$G556=TRUE, Parameters!$B$17*'Pizza Sales Calculations'!$L556*2, 0)</f>
        <v>2.5688888897420838</v>
      </c>
      <c r="T556" s="6"/>
      <c r="U556" s="9"/>
    </row>
    <row r="557" spans="1:21" x14ac:dyDescent="0.2">
      <c r="A557">
        <v>556</v>
      </c>
      <c r="B557" s="1">
        <v>42376.475902777776</v>
      </c>
      <c r="C557" s="1">
        <v>42376.486307870371</v>
      </c>
      <c r="D557" t="s">
        <v>35</v>
      </c>
      <c r="G557" t="b">
        <v>0</v>
      </c>
      <c r="H557">
        <v>70806</v>
      </c>
      <c r="I557" s="6">
        <v>0</v>
      </c>
      <c r="J557" s="1">
        <v>42376.488391203704</v>
      </c>
      <c r="K557">
        <v>15.35</v>
      </c>
      <c r="L557" s="6">
        <f>('Pizza Sales Calculations'!$J557-'Pizza Sales Calculations'!$C557)*24*60</f>
        <v>2.9999999993015081</v>
      </c>
      <c r="M557">
        <f>COUNTA('Pizza Sales Calculations'!$D557:$F557)</f>
        <v>1</v>
      </c>
      <c r="R557" s="9">
        <f>IF('Pizza Sales Calculations'!$G557=TRUE, Parameters!$B$17*'Pizza Sales Calculations'!$L557*2, 0)</f>
        <v>0</v>
      </c>
      <c r="T557" s="6"/>
      <c r="U557" s="9"/>
    </row>
    <row r="558" spans="1:21" x14ac:dyDescent="0.2">
      <c r="A558">
        <v>557</v>
      </c>
      <c r="B558" s="1">
        <v>42376.473946759259</v>
      </c>
      <c r="C558" s="1">
        <v>42376.484363425923</v>
      </c>
      <c r="D558" t="s">
        <v>2</v>
      </c>
      <c r="G558" t="b">
        <v>1</v>
      </c>
      <c r="H558">
        <v>70806</v>
      </c>
      <c r="I558" s="6">
        <v>6.3533926179699698</v>
      </c>
      <c r="J558" s="1">
        <v>42376.506423611114</v>
      </c>
      <c r="K558">
        <v>11.59</v>
      </c>
      <c r="L558" s="6">
        <f>('Pizza Sales Calculations'!$J558-'Pizza Sales Calculations'!$C558)*24*60</f>
        <v>31.76666667452082</v>
      </c>
      <c r="M558">
        <f>COUNTA('Pizza Sales Calculations'!$D558:$F558)</f>
        <v>1</v>
      </c>
      <c r="R558" s="9">
        <f>IF('Pizza Sales Calculations'!$G558=TRUE, Parameters!$B$17*'Pizza Sales Calculations'!$L558*2, 0)</f>
        <v>9.0005555577808991</v>
      </c>
      <c r="T558" s="6"/>
      <c r="U558" s="9"/>
    </row>
    <row r="559" spans="1:21" x14ac:dyDescent="0.2">
      <c r="A559">
        <v>558</v>
      </c>
      <c r="B559" s="1">
        <v>42376.561435185184</v>
      </c>
      <c r="C559" s="1">
        <v>42376.571851851855</v>
      </c>
      <c r="D559" t="s">
        <v>2</v>
      </c>
      <c r="G559" t="b">
        <v>0</v>
      </c>
      <c r="H559">
        <v>70805</v>
      </c>
      <c r="I559" s="6">
        <v>0</v>
      </c>
      <c r="J559" s="1">
        <v>42376.573935185188</v>
      </c>
      <c r="K559">
        <v>11.59</v>
      </c>
      <c r="L559" s="6">
        <f>('Pizza Sales Calculations'!$J559-'Pizza Sales Calculations'!$C559)*24*60</f>
        <v>2.9999999993015081</v>
      </c>
      <c r="M559">
        <f>COUNTA('Pizza Sales Calculations'!$D559:$F559)</f>
        <v>1</v>
      </c>
      <c r="R559" s="9">
        <f>IF('Pizza Sales Calculations'!$G559=TRUE, Parameters!$B$17*'Pizza Sales Calculations'!$L559*2, 0)</f>
        <v>0</v>
      </c>
      <c r="T559" s="6"/>
      <c r="U559" s="9"/>
    </row>
    <row r="560" spans="1:21" x14ac:dyDescent="0.2">
      <c r="A560">
        <v>559</v>
      </c>
      <c r="B560" s="1">
        <v>42376.603692129633</v>
      </c>
      <c r="C560" s="1">
        <v>42376.61409722222</v>
      </c>
      <c r="D560" t="s">
        <v>1</v>
      </c>
      <c r="E560" t="s">
        <v>2</v>
      </c>
      <c r="G560" t="b">
        <v>0</v>
      </c>
      <c r="H560">
        <v>70803</v>
      </c>
      <c r="I560" s="6">
        <v>0</v>
      </c>
      <c r="J560" s="1">
        <v>42376.616180555553</v>
      </c>
      <c r="K560">
        <v>19.579999999999998</v>
      </c>
      <c r="L560" s="6">
        <f>('Pizza Sales Calculations'!$J560-'Pizza Sales Calculations'!$C560)*24*60</f>
        <v>2.9999999993015081</v>
      </c>
      <c r="M560">
        <f>COUNTA('Pizza Sales Calculations'!$D560:$F560)</f>
        <v>2</v>
      </c>
      <c r="R560" s="9">
        <f>IF('Pizza Sales Calculations'!$G560=TRUE, Parameters!$B$17*'Pizza Sales Calculations'!$L560*2, 0)</f>
        <v>0</v>
      </c>
      <c r="T560" s="6"/>
      <c r="U560" s="9"/>
    </row>
    <row r="561" spans="1:21" x14ac:dyDescent="0.2">
      <c r="A561">
        <v>560</v>
      </c>
      <c r="B561" s="1">
        <v>42376.467870370368</v>
      </c>
      <c r="C561" s="1">
        <v>42376.478275462963</v>
      </c>
      <c r="D561" t="s">
        <v>1</v>
      </c>
      <c r="G561" t="b">
        <v>1</v>
      </c>
      <c r="H561">
        <v>70806</v>
      </c>
      <c r="I561" s="6">
        <v>3.14893748712747</v>
      </c>
      <c r="J561" s="1">
        <v>42376.489201388889</v>
      </c>
      <c r="K561">
        <v>7.99</v>
      </c>
      <c r="L561" s="6">
        <f>('Pizza Sales Calculations'!$J561-'Pizza Sales Calculations'!$C561)*24*60</f>
        <v>15.733333333628252</v>
      </c>
      <c r="M561">
        <f>COUNTA('Pizza Sales Calculations'!$D561:$F561)</f>
        <v>1</v>
      </c>
      <c r="R561" s="9">
        <f>IF('Pizza Sales Calculations'!$G561=TRUE, Parameters!$B$17*'Pizza Sales Calculations'!$L561*2, 0)</f>
        <v>4.4577777778613381</v>
      </c>
      <c r="T561" s="6"/>
      <c r="U561" s="9"/>
    </row>
    <row r="562" spans="1:21" x14ac:dyDescent="0.2">
      <c r="A562">
        <v>561</v>
      </c>
      <c r="B562" s="1">
        <v>42376.548020833332</v>
      </c>
      <c r="C562" s="1">
        <v>42376.558425925927</v>
      </c>
      <c r="D562" t="s">
        <v>1</v>
      </c>
      <c r="G562" t="b">
        <v>0</v>
      </c>
      <c r="H562">
        <v>70805</v>
      </c>
      <c r="I562" s="6">
        <v>0</v>
      </c>
      <c r="J562" s="1">
        <v>42376.56050925926</v>
      </c>
      <c r="K562">
        <v>7.99</v>
      </c>
      <c r="L562" s="6">
        <f>('Pizza Sales Calculations'!$J562-'Pizza Sales Calculations'!$C562)*24*60</f>
        <v>2.9999999993015081</v>
      </c>
      <c r="M562">
        <f>COUNTA('Pizza Sales Calculations'!$D562:$F562)</f>
        <v>1</v>
      </c>
      <c r="R562" s="9">
        <f>IF('Pizza Sales Calculations'!$G562=TRUE, Parameters!$B$17*'Pizza Sales Calculations'!$L562*2, 0)</f>
        <v>0</v>
      </c>
      <c r="T562" s="6"/>
      <c r="U562" s="9"/>
    </row>
    <row r="563" spans="1:21" x14ac:dyDescent="0.2">
      <c r="A563">
        <v>562</v>
      </c>
      <c r="B563" s="1">
        <v>42376.573657407411</v>
      </c>
      <c r="C563" s="1">
        <v>42376.584062499998</v>
      </c>
      <c r="D563" t="s">
        <v>35</v>
      </c>
      <c r="G563" t="b">
        <v>0</v>
      </c>
      <c r="H563">
        <v>70805</v>
      </c>
      <c r="I563" s="6">
        <v>0</v>
      </c>
      <c r="J563" s="1">
        <v>42376.586157407408</v>
      </c>
      <c r="K563">
        <v>15.35</v>
      </c>
      <c r="L563" s="6">
        <f>('Pizza Sales Calculations'!$J563-'Pizza Sales Calculations'!$C563)*24*60</f>
        <v>3.0166666698642075</v>
      </c>
      <c r="M563">
        <f>COUNTA('Pizza Sales Calculations'!$D563:$F563)</f>
        <v>1</v>
      </c>
      <c r="R563" s="9">
        <f>IF('Pizza Sales Calculations'!$G563=TRUE, Parameters!$B$17*'Pizza Sales Calculations'!$L563*2, 0)</f>
        <v>0</v>
      </c>
      <c r="T563" s="6"/>
      <c r="U563" s="9"/>
    </row>
    <row r="564" spans="1:21" x14ac:dyDescent="0.2">
      <c r="A564">
        <v>563</v>
      </c>
      <c r="B564" s="1">
        <v>42376.482835648145</v>
      </c>
      <c r="C564" s="1">
        <v>42376.49322916667</v>
      </c>
      <c r="D564" t="s">
        <v>1</v>
      </c>
      <c r="G564" t="b">
        <v>1</v>
      </c>
      <c r="H564">
        <v>70805</v>
      </c>
      <c r="I564" s="6">
        <v>3.0764376785993002</v>
      </c>
      <c r="J564" s="1">
        <v>42376.503900462965</v>
      </c>
      <c r="K564">
        <v>7.99</v>
      </c>
      <c r="L564" s="6">
        <f>('Pizza Sales Calculations'!$J564-'Pizza Sales Calculations'!$C564)*24*60</f>
        <v>15.366666665067896</v>
      </c>
      <c r="M564">
        <f>COUNTA('Pizza Sales Calculations'!$D564:$F564)</f>
        <v>1</v>
      </c>
      <c r="R564" s="9">
        <f>IF('Pizza Sales Calculations'!$G564=TRUE, Parameters!$B$17*'Pizza Sales Calculations'!$L564*2, 0)</f>
        <v>4.3538888884359039</v>
      </c>
      <c r="T564" s="6"/>
      <c r="U564" s="9"/>
    </row>
    <row r="565" spans="1:21" x14ac:dyDescent="0.2">
      <c r="A565">
        <v>564</v>
      </c>
      <c r="B565" s="1">
        <v>42376.453067129631</v>
      </c>
      <c r="C565" s="1">
        <v>42376.463483796295</v>
      </c>
      <c r="D565" t="s">
        <v>35</v>
      </c>
      <c r="G565" t="b">
        <v>1</v>
      </c>
      <c r="H565">
        <v>70805</v>
      </c>
      <c r="I565" s="6">
        <v>1.65559189284466</v>
      </c>
      <c r="J565" s="1">
        <v>42376.469224537039</v>
      </c>
      <c r="K565">
        <v>15.35</v>
      </c>
      <c r="L565" s="6">
        <f>('Pizza Sales Calculations'!$J565-'Pizza Sales Calculations'!$C565)*24*60</f>
        <v>8.2666666712611914</v>
      </c>
      <c r="M565">
        <f>COUNTA('Pizza Sales Calculations'!$D565:$F565)</f>
        <v>1</v>
      </c>
      <c r="R565" s="9">
        <f>IF('Pizza Sales Calculations'!$G565=TRUE, Parameters!$B$17*'Pizza Sales Calculations'!$L565*2, 0)</f>
        <v>2.3422222235240042</v>
      </c>
      <c r="T565" s="6"/>
      <c r="U565" s="9"/>
    </row>
    <row r="566" spans="1:21" x14ac:dyDescent="0.2">
      <c r="A566">
        <v>565</v>
      </c>
      <c r="B566" s="1">
        <v>42376.553819444445</v>
      </c>
      <c r="C566" s="1">
        <v>42376.564247685186</v>
      </c>
      <c r="D566" t="s">
        <v>2</v>
      </c>
      <c r="G566" t="b">
        <v>0</v>
      </c>
      <c r="H566">
        <v>70805</v>
      </c>
      <c r="I566" s="6">
        <v>0</v>
      </c>
      <c r="J566" s="1">
        <v>42376.566342592596</v>
      </c>
      <c r="K566">
        <v>11.59</v>
      </c>
      <c r="L566" s="6">
        <f>('Pizza Sales Calculations'!$J566-'Pizza Sales Calculations'!$C566)*24*60</f>
        <v>3.0166666698642075</v>
      </c>
      <c r="M566">
        <f>COUNTA('Pizza Sales Calculations'!$D566:$F566)</f>
        <v>1</v>
      </c>
      <c r="R566" s="9">
        <f>IF('Pizza Sales Calculations'!$G566=TRUE, Parameters!$B$17*'Pizza Sales Calculations'!$L566*2, 0)</f>
        <v>0</v>
      </c>
      <c r="T566" s="6"/>
      <c r="U566" s="9"/>
    </row>
    <row r="567" spans="1:21" x14ac:dyDescent="0.2">
      <c r="A567">
        <v>566</v>
      </c>
      <c r="B567" s="1">
        <v>42376.555115740739</v>
      </c>
      <c r="C567" s="1">
        <v>42376.565520833334</v>
      </c>
      <c r="D567" t="s">
        <v>1</v>
      </c>
      <c r="E567" t="s">
        <v>35</v>
      </c>
      <c r="G567" t="b">
        <v>0</v>
      </c>
      <c r="H567">
        <v>70805</v>
      </c>
      <c r="I567" s="6">
        <v>0</v>
      </c>
      <c r="J567" s="1">
        <v>42376.56759259259</v>
      </c>
      <c r="K567">
        <v>23.34</v>
      </c>
      <c r="L567" s="6">
        <f>('Pizza Sales Calculations'!$J567-'Pizza Sales Calculations'!$C567)*24*60</f>
        <v>2.9833333287388086</v>
      </c>
      <c r="M567">
        <f>COUNTA('Pizza Sales Calculations'!$D567:$F567)</f>
        <v>2</v>
      </c>
      <c r="R567" s="9">
        <f>IF('Pizza Sales Calculations'!$G567=TRUE, Parameters!$B$17*'Pizza Sales Calculations'!$L567*2, 0)</f>
        <v>0</v>
      </c>
      <c r="T567" s="6"/>
      <c r="U567" s="9"/>
    </row>
    <row r="568" spans="1:21" x14ac:dyDescent="0.2">
      <c r="A568">
        <v>567</v>
      </c>
      <c r="B568" s="1">
        <v>42376.552800925929</v>
      </c>
      <c r="C568" s="1">
        <v>42376.563194444447</v>
      </c>
      <c r="D568" t="s">
        <v>2</v>
      </c>
      <c r="G568" t="b">
        <v>1</v>
      </c>
      <c r="H568">
        <v>70805</v>
      </c>
      <c r="I568" s="6">
        <v>2.4283185133620799</v>
      </c>
      <c r="J568" s="1">
        <v>42376.571620370371</v>
      </c>
      <c r="K568">
        <v>11.59</v>
      </c>
      <c r="L568" s="6">
        <f>('Pizza Sales Calculations'!$J568-'Pizza Sales Calculations'!$C568)*24*60</f>
        <v>12.133333330275491</v>
      </c>
      <c r="M568">
        <f>COUNTA('Pizza Sales Calculations'!$D568:$F568)</f>
        <v>1</v>
      </c>
      <c r="R568" s="9">
        <f>IF('Pizza Sales Calculations'!$G568=TRUE, Parameters!$B$17*'Pizza Sales Calculations'!$L568*2, 0)</f>
        <v>3.4377777769113891</v>
      </c>
      <c r="T568" s="6"/>
      <c r="U568" s="9"/>
    </row>
    <row r="569" spans="1:21" x14ac:dyDescent="0.2">
      <c r="A569">
        <v>568</v>
      </c>
      <c r="B569" s="1">
        <v>42376.432384259257</v>
      </c>
      <c r="C569" s="1">
        <v>42376.442800925928</v>
      </c>
      <c r="D569" t="s">
        <v>1</v>
      </c>
      <c r="G569" t="b">
        <v>1</v>
      </c>
      <c r="H569">
        <v>70804</v>
      </c>
      <c r="I569" s="6">
        <v>2.35083562456412</v>
      </c>
      <c r="J569" s="1">
        <v>42376.450960648152</v>
      </c>
      <c r="K569">
        <v>7.99</v>
      </c>
      <c r="L569" s="6">
        <f>('Pizza Sales Calculations'!$J569-'Pizza Sales Calculations'!$C569)*24*60</f>
        <v>11.750000001629815</v>
      </c>
      <c r="M569">
        <f>COUNTA('Pizza Sales Calculations'!$D569:$F569)</f>
        <v>1</v>
      </c>
      <c r="R569" s="9">
        <f>IF('Pizza Sales Calculations'!$G569=TRUE, Parameters!$B$17*'Pizza Sales Calculations'!$L569*2, 0)</f>
        <v>3.3291666671284474</v>
      </c>
      <c r="T569" s="6"/>
      <c r="U569" s="9"/>
    </row>
    <row r="570" spans="1:21" x14ac:dyDescent="0.2">
      <c r="A570">
        <v>569</v>
      </c>
      <c r="B570" s="1">
        <v>42376.562962962962</v>
      </c>
      <c r="C570" s="1">
        <v>42376.573368055557</v>
      </c>
      <c r="D570" t="s">
        <v>2</v>
      </c>
      <c r="G570" t="b">
        <v>0</v>
      </c>
      <c r="H570">
        <v>70805</v>
      </c>
      <c r="I570" s="6">
        <v>0</v>
      </c>
      <c r="J570" s="1">
        <v>42376.575439814813</v>
      </c>
      <c r="K570">
        <v>11.59</v>
      </c>
      <c r="L570" s="6">
        <f>('Pizza Sales Calculations'!$J570-'Pizza Sales Calculations'!$C570)*24*60</f>
        <v>2.9833333287388086</v>
      </c>
      <c r="M570">
        <f>COUNTA('Pizza Sales Calculations'!$D570:$F570)</f>
        <v>1</v>
      </c>
      <c r="R570" s="9">
        <f>IF('Pizza Sales Calculations'!$G570=TRUE, Parameters!$B$17*'Pizza Sales Calculations'!$L570*2, 0)</f>
        <v>0</v>
      </c>
      <c r="T570" s="6"/>
      <c r="U570" s="9"/>
    </row>
    <row r="571" spans="1:21" x14ac:dyDescent="0.2">
      <c r="A571">
        <v>570</v>
      </c>
      <c r="B571" s="1">
        <v>42376.518101851849</v>
      </c>
      <c r="C571" s="1">
        <v>42376.528506944444</v>
      </c>
      <c r="D571" t="s">
        <v>1</v>
      </c>
      <c r="G571" t="b">
        <v>0</v>
      </c>
      <c r="H571">
        <v>70804</v>
      </c>
      <c r="I571" s="6">
        <v>0</v>
      </c>
      <c r="J571" s="1">
        <v>42376.530590277776</v>
      </c>
      <c r="K571">
        <v>7.99</v>
      </c>
      <c r="L571" s="6">
        <f>('Pizza Sales Calculations'!$J571-'Pizza Sales Calculations'!$C571)*24*60</f>
        <v>2.9999999993015081</v>
      </c>
      <c r="M571">
        <f>COUNTA('Pizza Sales Calculations'!$D571:$F571)</f>
        <v>1</v>
      </c>
      <c r="R571" s="9">
        <f>IF('Pizza Sales Calculations'!$G571=TRUE, Parameters!$B$17*'Pizza Sales Calculations'!$L571*2, 0)</f>
        <v>0</v>
      </c>
      <c r="T571" s="6"/>
      <c r="U571" s="9"/>
    </row>
    <row r="572" spans="1:21" x14ac:dyDescent="0.2">
      <c r="A572">
        <v>571</v>
      </c>
      <c r="B572" s="1">
        <v>42376.527025462965</v>
      </c>
      <c r="C572" s="1">
        <v>42376.537442129629</v>
      </c>
      <c r="D572" t="s">
        <v>1</v>
      </c>
      <c r="G572" t="b">
        <v>1</v>
      </c>
      <c r="H572">
        <v>70806</v>
      </c>
      <c r="I572" s="6">
        <v>2.6980497931490599</v>
      </c>
      <c r="J572" s="1">
        <v>42376.546805555554</v>
      </c>
      <c r="K572">
        <v>7.99</v>
      </c>
      <c r="L572" s="6">
        <f>('Pizza Sales Calculations'!$J572-'Pizza Sales Calculations'!$C572)*24*60</f>
        <v>13.483333331532776</v>
      </c>
      <c r="M572">
        <f>COUNTA('Pizza Sales Calculations'!$D572:$F572)</f>
        <v>1</v>
      </c>
      <c r="R572" s="9">
        <f>IF('Pizza Sales Calculations'!$G572=TRUE, Parameters!$B$17*'Pizza Sales Calculations'!$L572*2, 0)</f>
        <v>3.82027777726762</v>
      </c>
      <c r="T572" s="6"/>
      <c r="U572" s="9"/>
    </row>
    <row r="573" spans="1:21" x14ac:dyDescent="0.2">
      <c r="A573">
        <v>572</v>
      </c>
      <c r="B573" s="1">
        <v>42376.57949074074</v>
      </c>
      <c r="C573" s="1">
        <v>42376.589895833335</v>
      </c>
      <c r="D573" t="s">
        <v>1</v>
      </c>
      <c r="E573" t="s">
        <v>2</v>
      </c>
      <c r="G573" t="b">
        <v>0</v>
      </c>
      <c r="H573">
        <v>70804</v>
      </c>
      <c r="I573" s="6">
        <v>0</v>
      </c>
      <c r="J573" s="1">
        <v>42376.591979166667</v>
      </c>
      <c r="K573">
        <v>19.579999999999998</v>
      </c>
      <c r="L573" s="6">
        <f>('Pizza Sales Calculations'!$J573-'Pizza Sales Calculations'!$C573)*24*60</f>
        <v>2.9999999993015081</v>
      </c>
      <c r="M573">
        <f>COUNTA('Pizza Sales Calculations'!$D573:$F573)</f>
        <v>2</v>
      </c>
      <c r="R573" s="9">
        <f>IF('Pizza Sales Calculations'!$G573=TRUE, Parameters!$B$17*'Pizza Sales Calculations'!$L573*2, 0)</f>
        <v>0</v>
      </c>
      <c r="T573" s="6"/>
      <c r="U573" s="9"/>
    </row>
    <row r="574" spans="1:21" x14ac:dyDescent="0.2">
      <c r="A574">
        <v>573</v>
      </c>
      <c r="B574" s="1">
        <v>42376.51122685185</v>
      </c>
      <c r="C574" s="1">
        <v>42376.521631944444</v>
      </c>
      <c r="D574" t="s">
        <v>2</v>
      </c>
      <c r="G574" t="b">
        <v>1</v>
      </c>
      <c r="H574">
        <v>70806</v>
      </c>
      <c r="I574" s="6">
        <v>2.3941929257393899</v>
      </c>
      <c r="J574" s="1">
        <v>42376.529942129629</v>
      </c>
      <c r="K574">
        <v>11.59</v>
      </c>
      <c r="L574" s="6">
        <f>('Pizza Sales Calculations'!$J574-'Pizza Sales Calculations'!$C574)*24*60</f>
        <v>11.966666666558012</v>
      </c>
      <c r="M574">
        <f>COUNTA('Pizza Sales Calculations'!$D574:$F574)</f>
        <v>1</v>
      </c>
      <c r="R574" s="9">
        <f>IF('Pizza Sales Calculations'!$G574=TRUE, Parameters!$B$17*'Pizza Sales Calculations'!$L574*2, 0)</f>
        <v>3.3905555555247702</v>
      </c>
      <c r="T574" s="6"/>
      <c r="U574" s="9"/>
    </row>
    <row r="575" spans="1:21" x14ac:dyDescent="0.2">
      <c r="A575">
        <v>574</v>
      </c>
      <c r="B575" s="1">
        <v>42376.613252314812</v>
      </c>
      <c r="C575" s="1">
        <v>42376.623657407406</v>
      </c>
      <c r="D575" t="s">
        <v>2</v>
      </c>
      <c r="G575" t="b">
        <v>1</v>
      </c>
      <c r="H575">
        <v>70803</v>
      </c>
      <c r="I575" s="6">
        <v>3.3401097517535399</v>
      </c>
      <c r="J575" s="1">
        <v>42376.635254629633</v>
      </c>
      <c r="K575">
        <v>11.59</v>
      </c>
      <c r="L575" s="6">
        <f>('Pizza Sales Calculations'!$J575-'Pizza Sales Calculations'!$C575)*24*60</f>
        <v>16.700000006239861</v>
      </c>
      <c r="M575">
        <f>COUNTA('Pizza Sales Calculations'!$D575:$F575)</f>
        <v>1</v>
      </c>
      <c r="R575" s="9">
        <f>IF('Pizza Sales Calculations'!$G575=TRUE, Parameters!$B$17*'Pizza Sales Calculations'!$L575*2, 0)</f>
        <v>4.7316666684346274</v>
      </c>
      <c r="T575" s="6"/>
      <c r="U575" s="9"/>
    </row>
    <row r="576" spans="1:21" x14ac:dyDescent="0.2">
      <c r="A576">
        <v>575</v>
      </c>
      <c r="B576" s="1">
        <v>42376.521782407406</v>
      </c>
      <c r="C576" s="1">
        <v>42376.532222222224</v>
      </c>
      <c r="D576" t="s">
        <v>1</v>
      </c>
      <c r="E576" t="s">
        <v>2</v>
      </c>
      <c r="G576" t="b">
        <v>0</v>
      </c>
      <c r="H576">
        <v>70803</v>
      </c>
      <c r="I576" s="6">
        <v>0</v>
      </c>
      <c r="J576" s="1">
        <v>42376.53429398148</v>
      </c>
      <c r="K576">
        <v>19.579999999999998</v>
      </c>
      <c r="L576" s="6">
        <f>('Pizza Sales Calculations'!$J576-'Pizza Sales Calculations'!$C576)*24*60</f>
        <v>2.9833333287388086</v>
      </c>
      <c r="M576">
        <f>COUNTA('Pizza Sales Calculations'!$D576:$F576)</f>
        <v>2</v>
      </c>
      <c r="R576" s="9">
        <f>IF('Pizza Sales Calculations'!$G576=TRUE, Parameters!$B$17*'Pizza Sales Calculations'!$L576*2, 0)</f>
        <v>0</v>
      </c>
      <c r="T576" s="6"/>
      <c r="U576" s="9"/>
    </row>
    <row r="577" spans="1:21" x14ac:dyDescent="0.2">
      <c r="A577">
        <v>576</v>
      </c>
      <c r="B577" s="1">
        <v>42376.51153935185</v>
      </c>
      <c r="C577" s="1">
        <v>42376.521967592591</v>
      </c>
      <c r="D577" t="s">
        <v>1</v>
      </c>
      <c r="G577" t="b">
        <v>0</v>
      </c>
      <c r="H577">
        <v>70804</v>
      </c>
      <c r="I577" s="6">
        <v>0</v>
      </c>
      <c r="J577" s="1">
        <v>42376.524050925924</v>
      </c>
      <c r="K577">
        <v>7.99</v>
      </c>
      <c r="L577" s="6">
        <f>('Pizza Sales Calculations'!$J577-'Pizza Sales Calculations'!$C577)*24*60</f>
        <v>2.9999999993015081</v>
      </c>
      <c r="M577">
        <f>COUNTA('Pizza Sales Calculations'!$D577:$F577)</f>
        <v>1</v>
      </c>
      <c r="R577" s="9">
        <f>IF('Pizza Sales Calculations'!$G577=TRUE, Parameters!$B$17*'Pizza Sales Calculations'!$L577*2, 0)</f>
        <v>0</v>
      </c>
      <c r="T577" s="6"/>
      <c r="U577" s="9"/>
    </row>
    <row r="578" spans="1:21" x14ac:dyDescent="0.2">
      <c r="A578">
        <v>577</v>
      </c>
      <c r="B578" s="1">
        <v>42376.5153587963</v>
      </c>
      <c r="C578" s="1">
        <v>42376.525775462964</v>
      </c>
      <c r="D578" t="s">
        <v>1</v>
      </c>
      <c r="E578" t="s">
        <v>35</v>
      </c>
      <c r="G578" t="b">
        <v>1</v>
      </c>
      <c r="H578">
        <v>70807</v>
      </c>
      <c r="I578" s="6">
        <v>1.3100958338570601</v>
      </c>
      <c r="J578" s="1">
        <v>42376.530324074076</v>
      </c>
      <c r="K578">
        <v>23.34</v>
      </c>
      <c r="L578" s="6">
        <f>('Pizza Sales Calculations'!$J578-'Pizza Sales Calculations'!$C578)*24*60</f>
        <v>6.55000000144355</v>
      </c>
      <c r="M578">
        <f>COUNTA('Pizza Sales Calculations'!$D578:$F578)</f>
        <v>2</v>
      </c>
      <c r="R578" s="9">
        <f>IF('Pizza Sales Calculations'!$G578=TRUE, Parameters!$B$17*'Pizza Sales Calculations'!$L578*2, 0)</f>
        <v>1.8558333337423392</v>
      </c>
      <c r="T578" s="6"/>
      <c r="U578" s="9"/>
    </row>
    <row r="579" spans="1:21" x14ac:dyDescent="0.2">
      <c r="A579">
        <v>578</v>
      </c>
      <c r="B579" s="1">
        <v>42376.420347222222</v>
      </c>
      <c r="C579" s="1">
        <v>42376.430763888886</v>
      </c>
      <c r="D579" t="s">
        <v>1</v>
      </c>
      <c r="G579" t="b">
        <v>1</v>
      </c>
      <c r="H579">
        <v>70803</v>
      </c>
      <c r="I579" s="6">
        <v>2.1225663988479599</v>
      </c>
      <c r="J579" s="1">
        <v>42376.438125000001</v>
      </c>
      <c r="K579">
        <v>7.99</v>
      </c>
      <c r="L579" s="6">
        <f>('Pizza Sales Calculations'!$J579-'Pizza Sales Calculations'!$C579)*24*60</f>
        <v>10.600000005215406</v>
      </c>
      <c r="M579">
        <f>COUNTA('Pizza Sales Calculations'!$D579:$F579)</f>
        <v>1</v>
      </c>
      <c r="R579" s="9">
        <f>IF('Pizza Sales Calculations'!$G579=TRUE, Parameters!$B$17*'Pizza Sales Calculations'!$L579*2, 0)</f>
        <v>3.0033333348110318</v>
      </c>
      <c r="T579" s="6"/>
      <c r="U579" s="9"/>
    </row>
    <row r="580" spans="1:21" x14ac:dyDescent="0.2">
      <c r="A580">
        <v>579</v>
      </c>
      <c r="B580" s="1">
        <v>42376.520254629628</v>
      </c>
      <c r="C580" s="1">
        <v>42376.530671296299</v>
      </c>
      <c r="D580" t="s">
        <v>35</v>
      </c>
      <c r="G580" t="b">
        <v>0</v>
      </c>
      <c r="H580">
        <v>70804</v>
      </c>
      <c r="I580" s="6">
        <v>0</v>
      </c>
      <c r="J580" s="1">
        <v>42376.532754629632</v>
      </c>
      <c r="K580">
        <v>15.35</v>
      </c>
      <c r="L580" s="6">
        <f>('Pizza Sales Calculations'!$J580-'Pizza Sales Calculations'!$C580)*24*60</f>
        <v>2.9999999993015081</v>
      </c>
      <c r="M580">
        <f>COUNTA('Pizza Sales Calculations'!$D580:$F580)</f>
        <v>1</v>
      </c>
      <c r="R580" s="9">
        <f>IF('Pizza Sales Calculations'!$G580=TRUE, Parameters!$B$17*'Pizza Sales Calculations'!$L580*2, 0)</f>
        <v>0</v>
      </c>
      <c r="T580" s="6"/>
      <c r="U580" s="9"/>
    </row>
    <row r="581" spans="1:21" x14ac:dyDescent="0.2">
      <c r="A581">
        <v>580</v>
      </c>
      <c r="B581" s="1">
        <v>42376.574583333335</v>
      </c>
      <c r="C581" s="1">
        <v>42376.584988425922</v>
      </c>
      <c r="D581" t="s">
        <v>1</v>
      </c>
      <c r="G581" t="b">
        <v>1</v>
      </c>
      <c r="H581">
        <v>70804</v>
      </c>
      <c r="I581" s="6">
        <v>3.0021880096525901</v>
      </c>
      <c r="J581" s="1">
        <v>42376.595405092594</v>
      </c>
      <c r="K581">
        <v>7.99</v>
      </c>
      <c r="L581" s="6">
        <f>('Pizza Sales Calculations'!$J581-'Pizza Sales Calculations'!$C581)*24*60</f>
        <v>15.000000006984919</v>
      </c>
      <c r="M581">
        <f>COUNTA('Pizza Sales Calculations'!$D581:$F581)</f>
        <v>1</v>
      </c>
      <c r="R581" s="9">
        <f>IF('Pizza Sales Calculations'!$G581=TRUE, Parameters!$B$17*'Pizza Sales Calculations'!$L581*2, 0)</f>
        <v>4.2500000019790605</v>
      </c>
      <c r="T581" s="6"/>
      <c r="U581" s="9"/>
    </row>
    <row r="582" spans="1:21" x14ac:dyDescent="0.2">
      <c r="A582">
        <v>581</v>
      </c>
      <c r="B582" s="1">
        <v>42376.542870370373</v>
      </c>
      <c r="C582" s="1">
        <v>42376.553298611114</v>
      </c>
      <c r="D582" t="s">
        <v>2</v>
      </c>
      <c r="G582" t="b">
        <v>0</v>
      </c>
      <c r="H582">
        <v>70804</v>
      </c>
      <c r="I582" s="6">
        <v>0</v>
      </c>
      <c r="J582" s="1">
        <v>42376.55537037037</v>
      </c>
      <c r="K582">
        <v>11.59</v>
      </c>
      <c r="L582" s="6">
        <f>('Pizza Sales Calculations'!$J582-'Pizza Sales Calculations'!$C582)*24*60</f>
        <v>2.9833333287388086</v>
      </c>
      <c r="M582">
        <f>COUNTA('Pizza Sales Calculations'!$D582:$F582)</f>
        <v>1</v>
      </c>
      <c r="R582" s="9">
        <f>IF('Pizza Sales Calculations'!$G582=TRUE, Parameters!$B$17*'Pizza Sales Calculations'!$L582*2, 0)</f>
        <v>0</v>
      </c>
      <c r="T582" s="6"/>
      <c r="U582" s="9"/>
    </row>
    <row r="583" spans="1:21" x14ac:dyDescent="0.2">
      <c r="A583">
        <v>582</v>
      </c>
      <c r="B583" s="1">
        <v>42376.559340277781</v>
      </c>
      <c r="C583" s="1">
        <v>42376.569768518515</v>
      </c>
      <c r="D583" t="s">
        <v>1</v>
      </c>
      <c r="E583" t="s">
        <v>2</v>
      </c>
      <c r="G583" t="b">
        <v>0</v>
      </c>
      <c r="H583">
        <v>70804</v>
      </c>
      <c r="I583" s="6">
        <v>0</v>
      </c>
      <c r="J583" s="1">
        <v>42376.571817129632</v>
      </c>
      <c r="K583">
        <v>19.579999999999998</v>
      </c>
      <c r="L583" s="6">
        <f>('Pizza Sales Calculations'!$J583-'Pizza Sales Calculations'!$C583)*24*60</f>
        <v>2.9500000085681677</v>
      </c>
      <c r="M583">
        <f>COUNTA('Pizza Sales Calculations'!$D583:$F583)</f>
        <v>2</v>
      </c>
      <c r="R583" s="9">
        <f>IF('Pizza Sales Calculations'!$G583=TRUE, Parameters!$B$17*'Pizza Sales Calculations'!$L583*2, 0)</f>
        <v>0</v>
      </c>
      <c r="T583" s="6"/>
      <c r="U583" s="9"/>
    </row>
    <row r="584" spans="1:21" x14ac:dyDescent="0.2">
      <c r="A584">
        <v>583</v>
      </c>
      <c r="B584" s="1">
        <v>42376.491307870368</v>
      </c>
      <c r="C584" s="1">
        <v>42376.501736111109</v>
      </c>
      <c r="D584" t="s">
        <v>35</v>
      </c>
      <c r="G584" t="b">
        <v>1</v>
      </c>
      <c r="H584">
        <v>70806</v>
      </c>
      <c r="I584" s="6">
        <v>2.7086685899958298</v>
      </c>
      <c r="J584" s="1">
        <v>42376.511134259257</v>
      </c>
      <c r="K584">
        <v>15.35</v>
      </c>
      <c r="L584" s="6">
        <f>('Pizza Sales Calculations'!$J584-'Pizza Sales Calculations'!$C584)*24*60</f>
        <v>13.533333332743496</v>
      </c>
      <c r="M584">
        <f>COUNTA('Pizza Sales Calculations'!$D584:$F584)</f>
        <v>1</v>
      </c>
      <c r="R584" s="9">
        <f>IF('Pizza Sales Calculations'!$G584=TRUE, Parameters!$B$17*'Pizza Sales Calculations'!$L584*2, 0)</f>
        <v>3.8344444442773238</v>
      </c>
      <c r="T584" s="6"/>
      <c r="U584" s="9"/>
    </row>
    <row r="585" spans="1:21" x14ac:dyDescent="0.2">
      <c r="A585">
        <v>584</v>
      </c>
      <c r="B585" s="1">
        <v>42376.425474537034</v>
      </c>
      <c r="C585" s="1">
        <v>42376.435902777775</v>
      </c>
      <c r="D585" t="s">
        <v>1</v>
      </c>
      <c r="G585" t="b">
        <v>1</v>
      </c>
      <c r="H585">
        <v>70806</v>
      </c>
      <c r="I585" s="6">
        <v>3.1901666718068702</v>
      </c>
      <c r="J585" s="1">
        <v>42376.446979166663</v>
      </c>
      <c r="K585">
        <v>7.99</v>
      </c>
      <c r="L585" s="6">
        <f>('Pizza Sales Calculations'!$J585-'Pizza Sales Calculations'!$C585)*24*60</f>
        <v>15.94999999855645</v>
      </c>
      <c r="M585">
        <f>COUNTA('Pizza Sales Calculations'!$D585:$F585)</f>
        <v>1</v>
      </c>
      <c r="R585" s="9">
        <f>IF('Pizza Sales Calculations'!$G585=TRUE, Parameters!$B$17*'Pizza Sales Calculations'!$L585*2, 0)</f>
        <v>4.5191666662576608</v>
      </c>
      <c r="T585" s="6"/>
      <c r="U585" s="9"/>
    </row>
    <row r="586" spans="1:21" x14ac:dyDescent="0.2">
      <c r="A586">
        <v>585</v>
      </c>
      <c r="B586" s="1">
        <v>42376.523958333331</v>
      </c>
      <c r="C586" s="1">
        <v>42376.534363425926</v>
      </c>
      <c r="D586" t="s">
        <v>35</v>
      </c>
      <c r="G586" t="b">
        <v>0</v>
      </c>
      <c r="H586">
        <v>70803</v>
      </c>
      <c r="I586" s="6">
        <v>0</v>
      </c>
      <c r="J586" s="1">
        <v>42376.536446759259</v>
      </c>
      <c r="K586">
        <v>15.35</v>
      </c>
      <c r="L586" s="6">
        <f>('Pizza Sales Calculations'!$J586-'Pizza Sales Calculations'!$C586)*24*60</f>
        <v>2.9999999993015081</v>
      </c>
      <c r="M586">
        <f>COUNTA('Pizza Sales Calculations'!$D586:$F586)</f>
        <v>1</v>
      </c>
      <c r="R586" s="9">
        <f>IF('Pizza Sales Calculations'!$G586=TRUE, Parameters!$B$17*'Pizza Sales Calculations'!$L586*2, 0)</f>
        <v>0</v>
      </c>
      <c r="T586" s="6"/>
      <c r="U586" s="9"/>
    </row>
    <row r="587" spans="1:21" x14ac:dyDescent="0.2">
      <c r="A587">
        <v>586</v>
      </c>
      <c r="B587" s="1">
        <v>42376.44290509259</v>
      </c>
      <c r="C587" s="1">
        <v>42376.453310185185</v>
      </c>
      <c r="D587" t="s">
        <v>1</v>
      </c>
      <c r="G587" t="b">
        <v>1</v>
      </c>
      <c r="H587">
        <v>70806</v>
      </c>
      <c r="I587" s="6">
        <v>4.2064099832056003</v>
      </c>
      <c r="J587" s="1">
        <v>42376.467905092592</v>
      </c>
      <c r="K587">
        <v>7.99</v>
      </c>
      <c r="L587" s="6">
        <f>('Pizza Sales Calculations'!$J587-'Pizza Sales Calculations'!$C587)*24*60</f>
        <v>21.016666665673256</v>
      </c>
      <c r="M587">
        <f>COUNTA('Pizza Sales Calculations'!$D587:$F587)</f>
        <v>1</v>
      </c>
      <c r="R587" s="9">
        <f>IF('Pizza Sales Calculations'!$G587=TRUE, Parameters!$B$17*'Pizza Sales Calculations'!$L587*2, 0)</f>
        <v>5.9547222219407558</v>
      </c>
      <c r="T587" s="6"/>
      <c r="U587" s="9"/>
    </row>
    <row r="588" spans="1:21" x14ac:dyDescent="0.2">
      <c r="A588">
        <v>587</v>
      </c>
      <c r="B588" s="1">
        <v>42376.504490740743</v>
      </c>
      <c r="C588" s="1">
        <v>42376.51489583333</v>
      </c>
      <c r="D588" t="s">
        <v>2</v>
      </c>
      <c r="G588" t="b">
        <v>1</v>
      </c>
      <c r="H588">
        <v>70804</v>
      </c>
      <c r="I588" s="6">
        <v>2.8625133300160202</v>
      </c>
      <c r="J588" s="1">
        <v>42376.524826388886</v>
      </c>
      <c r="K588">
        <v>11.59</v>
      </c>
      <c r="L588" s="6">
        <f>('Pizza Sales Calculations'!$J588-'Pizza Sales Calculations'!$C588)*24*60</f>
        <v>14.300000000512227</v>
      </c>
      <c r="M588">
        <f>COUNTA('Pizza Sales Calculations'!$D588:$F588)</f>
        <v>1</v>
      </c>
      <c r="R588" s="9">
        <f>IF('Pizza Sales Calculations'!$G588=TRUE, Parameters!$B$17*'Pizza Sales Calculations'!$L588*2, 0)</f>
        <v>4.0516666668117978</v>
      </c>
      <c r="T588" s="6"/>
      <c r="U588" s="9"/>
    </row>
    <row r="589" spans="1:21" x14ac:dyDescent="0.2">
      <c r="A589">
        <v>588</v>
      </c>
      <c r="B589" s="1">
        <v>42376.430011574077</v>
      </c>
      <c r="C589" s="1">
        <v>42376.440416666665</v>
      </c>
      <c r="D589" t="s">
        <v>2</v>
      </c>
      <c r="E589" t="s">
        <v>35</v>
      </c>
      <c r="G589" t="b">
        <v>0</v>
      </c>
      <c r="H589">
        <v>70805</v>
      </c>
      <c r="I589" s="6">
        <v>0</v>
      </c>
      <c r="J589" s="1">
        <v>42376.442511574074</v>
      </c>
      <c r="K589">
        <v>25.94</v>
      </c>
      <c r="L589" s="6">
        <f>('Pizza Sales Calculations'!$J589-'Pizza Sales Calculations'!$C589)*24*60</f>
        <v>3.0166666698642075</v>
      </c>
      <c r="M589">
        <f>COUNTA('Pizza Sales Calculations'!$D589:$F589)</f>
        <v>2</v>
      </c>
      <c r="R589" s="9">
        <f>IF('Pizza Sales Calculations'!$G589=TRUE, Parameters!$B$17*'Pizza Sales Calculations'!$L589*2, 0)</f>
        <v>0</v>
      </c>
      <c r="T589" s="6"/>
      <c r="U589" s="9"/>
    </row>
    <row r="590" spans="1:21" x14ac:dyDescent="0.2">
      <c r="A590">
        <v>589</v>
      </c>
      <c r="B590" s="1">
        <v>42376.463634259257</v>
      </c>
      <c r="C590" s="1">
        <v>42376.474027777775</v>
      </c>
      <c r="D590" t="s">
        <v>1</v>
      </c>
      <c r="G590" t="b">
        <v>1</v>
      </c>
      <c r="H590">
        <v>70806</v>
      </c>
      <c r="I590" s="6">
        <v>3.2350213256633902</v>
      </c>
      <c r="J590" s="1">
        <v>42376.485254629632</v>
      </c>
      <c r="K590">
        <v>7.99</v>
      </c>
      <c r="L590" s="6">
        <f>('Pizza Sales Calculations'!$J590-'Pizza Sales Calculations'!$C590)*24*60</f>
        <v>16.166666673962027</v>
      </c>
      <c r="M590">
        <f>COUNTA('Pizza Sales Calculations'!$D590:$F590)</f>
        <v>1</v>
      </c>
      <c r="R590" s="9">
        <f>IF('Pizza Sales Calculations'!$G590=TRUE, Parameters!$B$17*'Pizza Sales Calculations'!$L590*2, 0)</f>
        <v>4.5805555576225743</v>
      </c>
      <c r="T590" s="6"/>
      <c r="U590" s="9"/>
    </row>
    <row r="591" spans="1:21" x14ac:dyDescent="0.2">
      <c r="A591">
        <v>590</v>
      </c>
      <c r="B591" s="1">
        <v>42376.607928240737</v>
      </c>
      <c r="C591" s="1">
        <v>42376.618333333332</v>
      </c>
      <c r="D591" t="s">
        <v>35</v>
      </c>
      <c r="G591" t="b">
        <v>1</v>
      </c>
      <c r="H591">
        <v>70805</v>
      </c>
      <c r="I591" s="6">
        <v>2.2260598237032001</v>
      </c>
      <c r="J591" s="1">
        <v>42376.62605324074</v>
      </c>
      <c r="K591">
        <v>15.35</v>
      </c>
      <c r="L591" s="6">
        <f>('Pizza Sales Calculations'!$J591-'Pizza Sales Calculations'!$C591)*24*60</f>
        <v>11.116666666930541</v>
      </c>
      <c r="M591">
        <f>COUNTA('Pizza Sales Calculations'!$D591:$F591)</f>
        <v>1</v>
      </c>
      <c r="R591" s="9">
        <f>IF('Pizza Sales Calculations'!$G591=TRUE, Parameters!$B$17*'Pizza Sales Calculations'!$L591*2, 0)</f>
        <v>3.1497222222969867</v>
      </c>
      <c r="T591" s="6"/>
      <c r="U591" s="9"/>
    </row>
    <row r="592" spans="1:21" x14ac:dyDescent="0.2">
      <c r="A592">
        <v>591</v>
      </c>
      <c r="B592" s="1">
        <v>42376.536249999997</v>
      </c>
      <c r="C592" s="1">
        <v>42376.546666666669</v>
      </c>
      <c r="D592" t="s">
        <v>1</v>
      </c>
      <c r="G592" t="b">
        <v>1</v>
      </c>
      <c r="H592">
        <v>70806</v>
      </c>
      <c r="I592" s="6">
        <v>2.8384240445694902</v>
      </c>
      <c r="J592" s="1">
        <v>42376.556516203702</v>
      </c>
      <c r="K592">
        <v>7.99</v>
      </c>
      <c r="L592" s="6">
        <f>('Pizza Sales Calculations'!$J592-'Pizza Sales Calculations'!$C592)*24*60</f>
        <v>14.183333327528089</v>
      </c>
      <c r="M592">
        <f>COUNTA('Pizza Sales Calculations'!$D592:$F592)</f>
        <v>1</v>
      </c>
      <c r="R592" s="9">
        <f>IF('Pizza Sales Calculations'!$G592=TRUE, Parameters!$B$17*'Pizza Sales Calculations'!$L592*2, 0)</f>
        <v>4.018611109466292</v>
      </c>
      <c r="T592" s="6"/>
      <c r="U592" s="9"/>
    </row>
    <row r="593" spans="1:21" x14ac:dyDescent="0.2">
      <c r="A593">
        <v>592</v>
      </c>
      <c r="B593" s="1">
        <v>42376.474930555552</v>
      </c>
      <c r="C593" s="1">
        <v>42376.485347222224</v>
      </c>
      <c r="D593" t="s">
        <v>1</v>
      </c>
      <c r="G593" t="b">
        <v>0</v>
      </c>
      <c r="H593">
        <v>70807</v>
      </c>
      <c r="I593" s="6">
        <v>0</v>
      </c>
      <c r="J593" s="1">
        <v>42376.487442129626</v>
      </c>
      <c r="K593">
        <v>7.99</v>
      </c>
      <c r="L593" s="6">
        <f>('Pizza Sales Calculations'!$J593-'Pizza Sales Calculations'!$C593)*24*60</f>
        <v>3.0166666593868285</v>
      </c>
      <c r="M593">
        <f>COUNTA('Pizza Sales Calculations'!$D593:$F593)</f>
        <v>1</v>
      </c>
      <c r="R593" s="9">
        <f>IF('Pizza Sales Calculations'!$G593=TRUE, Parameters!$B$17*'Pizza Sales Calculations'!$L593*2, 0)</f>
        <v>0</v>
      </c>
      <c r="T593" s="6"/>
      <c r="U593" s="9"/>
    </row>
    <row r="594" spans="1:21" x14ac:dyDescent="0.2">
      <c r="A594">
        <v>593</v>
      </c>
      <c r="B594" s="1">
        <v>42376.56931712963</v>
      </c>
      <c r="C594" s="1">
        <v>42376.579710648148</v>
      </c>
      <c r="D594" t="s">
        <v>1</v>
      </c>
      <c r="E594" t="s">
        <v>2</v>
      </c>
      <c r="G594" t="b">
        <v>1</v>
      </c>
      <c r="H594">
        <v>70804</v>
      </c>
      <c r="I594" s="6">
        <v>3.44802807332321</v>
      </c>
      <c r="J594" s="1">
        <v>42376.591678240744</v>
      </c>
      <c r="K594">
        <v>19.579999999999998</v>
      </c>
      <c r="L594" s="6">
        <f>('Pizza Sales Calculations'!$J594-'Pizza Sales Calculations'!$C594)*24*60</f>
        <v>17.233333338517696</v>
      </c>
      <c r="M594">
        <f>COUNTA('Pizza Sales Calculations'!$D594:$F594)</f>
        <v>2</v>
      </c>
      <c r="R594" s="9">
        <f>IF('Pizza Sales Calculations'!$G594=TRUE, Parameters!$B$17*'Pizza Sales Calculations'!$L594*2, 0)</f>
        <v>4.8827777792466804</v>
      </c>
      <c r="T594" s="6"/>
      <c r="U594" s="9"/>
    </row>
    <row r="595" spans="1:21" x14ac:dyDescent="0.2">
      <c r="A595">
        <v>594</v>
      </c>
      <c r="B595" s="1">
        <v>42376.476689814815</v>
      </c>
      <c r="C595" s="1">
        <v>42376.487083333333</v>
      </c>
      <c r="D595" t="s">
        <v>1</v>
      </c>
      <c r="G595" t="b">
        <v>1</v>
      </c>
      <c r="H595">
        <v>70806</v>
      </c>
      <c r="I595" s="6">
        <v>3.9514576216497601</v>
      </c>
      <c r="J595" s="1">
        <v>42376.500798611109</v>
      </c>
      <c r="K595">
        <v>7.99</v>
      </c>
      <c r="L595" s="6">
        <f>('Pizza Sales Calculations'!$J595-'Pizza Sales Calculations'!$C595)*24*60</f>
        <v>19.74999999627471</v>
      </c>
      <c r="M595">
        <f>COUNTA('Pizza Sales Calculations'!$D595:$F595)</f>
        <v>1</v>
      </c>
      <c r="R595" s="9">
        <f>IF('Pizza Sales Calculations'!$G595=TRUE, Parameters!$B$17*'Pizza Sales Calculations'!$L595*2, 0)</f>
        <v>5.5958333322778344</v>
      </c>
      <c r="T595" s="6"/>
      <c r="U595" s="9"/>
    </row>
    <row r="596" spans="1:21" x14ac:dyDescent="0.2">
      <c r="A596">
        <v>595</v>
      </c>
      <c r="B596" s="1">
        <v>42376.430995370371</v>
      </c>
      <c r="C596" s="1">
        <v>42376.441400462965</v>
      </c>
      <c r="D596" t="s">
        <v>1</v>
      </c>
      <c r="E596" t="s">
        <v>35</v>
      </c>
      <c r="G596" t="b">
        <v>1</v>
      </c>
      <c r="H596">
        <v>70804</v>
      </c>
      <c r="I596" s="6">
        <v>1.92570916956966</v>
      </c>
      <c r="J596" s="1">
        <v>42376.448078703703</v>
      </c>
      <c r="K596">
        <v>23.34</v>
      </c>
      <c r="L596" s="6">
        <f>('Pizza Sales Calculations'!$J596-'Pizza Sales Calculations'!$C596)*24*60</f>
        <v>9.6166666620410979</v>
      </c>
      <c r="M596">
        <f>COUNTA('Pizza Sales Calculations'!$D596:$F596)</f>
        <v>2</v>
      </c>
      <c r="R596" s="9">
        <f>IF('Pizza Sales Calculations'!$G596=TRUE, Parameters!$B$17*'Pizza Sales Calculations'!$L596*2, 0)</f>
        <v>2.7247222209116444</v>
      </c>
      <c r="T596" s="6"/>
      <c r="U596" s="9"/>
    </row>
    <row r="597" spans="1:21" x14ac:dyDescent="0.2">
      <c r="A597">
        <v>596</v>
      </c>
      <c r="B597" s="1">
        <v>42376.538645833331</v>
      </c>
      <c r="C597" s="1">
        <v>42376.549050925925</v>
      </c>
      <c r="D597" t="s">
        <v>35</v>
      </c>
      <c r="G597" t="b">
        <v>0</v>
      </c>
      <c r="H597">
        <v>70804</v>
      </c>
      <c r="I597" s="6">
        <v>0</v>
      </c>
      <c r="J597" s="1">
        <v>42376.551134259258</v>
      </c>
      <c r="K597">
        <v>15.35</v>
      </c>
      <c r="L597" s="6">
        <f>('Pizza Sales Calculations'!$J597-'Pizza Sales Calculations'!$C597)*24*60</f>
        <v>2.9999999993015081</v>
      </c>
      <c r="M597">
        <f>COUNTA('Pizza Sales Calculations'!$D597:$F597)</f>
        <v>1</v>
      </c>
      <c r="R597" s="9">
        <f>IF('Pizza Sales Calculations'!$G597=TRUE, Parameters!$B$17*'Pizza Sales Calculations'!$L597*2, 0)</f>
        <v>0</v>
      </c>
      <c r="T597" s="6"/>
      <c r="U597" s="9"/>
    </row>
    <row r="598" spans="1:21" x14ac:dyDescent="0.2">
      <c r="A598">
        <v>597</v>
      </c>
      <c r="B598" s="1">
        <v>42376.438634259262</v>
      </c>
      <c r="C598" s="1">
        <v>42376.44903935185</v>
      </c>
      <c r="D598" t="s">
        <v>1</v>
      </c>
      <c r="E598" t="s">
        <v>35</v>
      </c>
      <c r="G598" t="b">
        <v>1</v>
      </c>
      <c r="H598">
        <v>70806</v>
      </c>
      <c r="I598" s="6">
        <v>2.4177342596368598</v>
      </c>
      <c r="J598" s="1">
        <v>42376.457430555558</v>
      </c>
      <c r="K598">
        <v>23.34</v>
      </c>
      <c r="L598" s="6">
        <f>('Pizza Sales Calculations'!$J598-'Pizza Sales Calculations'!$C598)*24*60</f>
        <v>12.08333333954215</v>
      </c>
      <c r="M598">
        <f>COUNTA('Pizza Sales Calculations'!$D598:$F598)</f>
        <v>2</v>
      </c>
      <c r="R598" s="9">
        <f>IF('Pizza Sales Calculations'!$G598=TRUE, Parameters!$B$17*'Pizza Sales Calculations'!$L598*2, 0)</f>
        <v>3.423611112870276</v>
      </c>
      <c r="T598" s="6"/>
      <c r="U598" s="9"/>
    </row>
    <row r="599" spans="1:21" x14ac:dyDescent="0.2">
      <c r="A599">
        <v>598</v>
      </c>
      <c r="B599" s="1">
        <v>42376.503530092596</v>
      </c>
      <c r="C599" s="1">
        <v>42376.51394675926</v>
      </c>
      <c r="D599" t="s">
        <v>35</v>
      </c>
      <c r="G599" t="b">
        <v>0</v>
      </c>
      <c r="H599">
        <v>70805</v>
      </c>
      <c r="I599" s="6">
        <v>0</v>
      </c>
      <c r="J599" s="1">
        <v>42376.516018518516</v>
      </c>
      <c r="K599">
        <v>15.35</v>
      </c>
      <c r="L599" s="6">
        <f>('Pizza Sales Calculations'!$J599-'Pizza Sales Calculations'!$C599)*24*60</f>
        <v>2.9833333287388086</v>
      </c>
      <c r="M599">
        <f>COUNTA('Pizza Sales Calculations'!$D599:$F599)</f>
        <v>1</v>
      </c>
      <c r="R599" s="9">
        <f>IF('Pizza Sales Calculations'!$G599=TRUE, Parameters!$B$17*'Pizza Sales Calculations'!$L599*2, 0)</f>
        <v>0</v>
      </c>
      <c r="T599" s="6"/>
      <c r="U599" s="9"/>
    </row>
    <row r="600" spans="1:21" x14ac:dyDescent="0.2">
      <c r="A600">
        <v>599</v>
      </c>
      <c r="B600" s="1">
        <v>42376.541817129626</v>
      </c>
      <c r="C600" s="1">
        <v>42376.552210648151</v>
      </c>
      <c r="D600" t="s">
        <v>1</v>
      </c>
      <c r="G600" t="b">
        <v>0</v>
      </c>
      <c r="H600">
        <v>70806</v>
      </c>
      <c r="I600" s="6">
        <v>0</v>
      </c>
      <c r="J600" s="1">
        <v>42376.554293981484</v>
      </c>
      <c r="K600">
        <v>7.99</v>
      </c>
      <c r="L600" s="6">
        <f>('Pizza Sales Calculations'!$J600-'Pizza Sales Calculations'!$C600)*24*60</f>
        <v>2.9999999993015081</v>
      </c>
      <c r="M600">
        <f>COUNTA('Pizza Sales Calculations'!$D600:$F600)</f>
        <v>1</v>
      </c>
      <c r="R600" s="9">
        <f>IF('Pizza Sales Calculations'!$G600=TRUE, Parameters!$B$17*'Pizza Sales Calculations'!$L600*2, 0)</f>
        <v>0</v>
      </c>
      <c r="T600" s="6"/>
      <c r="U600" s="9"/>
    </row>
    <row r="601" spans="1:21" x14ac:dyDescent="0.2">
      <c r="A601">
        <v>600</v>
      </c>
      <c r="B601" s="1">
        <v>42376.525868055556</v>
      </c>
      <c r="C601" s="1">
        <v>42376.53628472222</v>
      </c>
      <c r="D601" t="s">
        <v>2</v>
      </c>
      <c r="G601" t="b">
        <v>1</v>
      </c>
      <c r="H601">
        <v>70803</v>
      </c>
      <c r="I601" s="6">
        <v>4.5117973954144697</v>
      </c>
      <c r="J601" s="1">
        <v>42376.551944444444</v>
      </c>
      <c r="K601">
        <v>11.59</v>
      </c>
      <c r="L601" s="6">
        <f>('Pizza Sales Calculations'!$J601-'Pizza Sales Calculations'!$C601)*24*60</f>
        <v>22.550000001210719</v>
      </c>
      <c r="M601">
        <f>COUNTA('Pizza Sales Calculations'!$D601:$F601)</f>
        <v>1</v>
      </c>
      <c r="R601" s="9">
        <f>IF('Pizza Sales Calculations'!$G601=TRUE, Parameters!$B$17*'Pizza Sales Calculations'!$L601*2, 0)</f>
        <v>6.3891666670097038</v>
      </c>
      <c r="T601" s="6"/>
      <c r="U601" s="9"/>
    </row>
    <row r="602" spans="1:21" x14ac:dyDescent="0.2">
      <c r="A602">
        <v>601</v>
      </c>
      <c r="B602" s="1">
        <v>42376.470567129632</v>
      </c>
      <c r="C602" s="1">
        <v>42376.48096064815</v>
      </c>
      <c r="D602" t="s">
        <v>1</v>
      </c>
      <c r="E602" t="s">
        <v>35</v>
      </c>
      <c r="G602" t="b">
        <v>0</v>
      </c>
      <c r="H602">
        <v>70803</v>
      </c>
      <c r="I602" s="6">
        <v>0</v>
      </c>
      <c r="J602" s="1">
        <v>42376.483055555553</v>
      </c>
      <c r="K602">
        <v>23.34</v>
      </c>
      <c r="L602" s="6">
        <f>('Pizza Sales Calculations'!$J602-'Pizza Sales Calculations'!$C602)*24*60</f>
        <v>3.0166666593868285</v>
      </c>
      <c r="M602">
        <f>COUNTA('Pizza Sales Calculations'!$D602:$F602)</f>
        <v>2</v>
      </c>
      <c r="R602" s="9">
        <f>IF('Pizza Sales Calculations'!$G602=TRUE, Parameters!$B$17*'Pizza Sales Calculations'!$L602*2, 0)</f>
        <v>0</v>
      </c>
      <c r="T602" s="6"/>
      <c r="U602" s="9"/>
    </row>
    <row r="603" spans="1:21" x14ac:dyDescent="0.2">
      <c r="A603">
        <v>602</v>
      </c>
      <c r="B603" s="1">
        <v>42376.570555555554</v>
      </c>
      <c r="C603" s="1">
        <v>42376.580949074072</v>
      </c>
      <c r="D603" t="s">
        <v>35</v>
      </c>
      <c r="G603" t="b">
        <v>1</v>
      </c>
      <c r="H603">
        <v>70806</v>
      </c>
      <c r="I603" s="6">
        <v>3.3807049296453799</v>
      </c>
      <c r="J603" s="1">
        <v>42376.592685185184</v>
      </c>
      <c r="K603">
        <v>15.35</v>
      </c>
      <c r="L603" s="6">
        <f>('Pizza Sales Calculations'!$J603-'Pizza Sales Calculations'!$C603)*24*60</f>
        <v>16.90000000060536</v>
      </c>
      <c r="M603">
        <f>COUNTA('Pizza Sales Calculations'!$D603:$F603)</f>
        <v>1</v>
      </c>
      <c r="R603" s="9">
        <f>IF('Pizza Sales Calculations'!$G603=TRUE, Parameters!$B$17*'Pizza Sales Calculations'!$L603*2, 0)</f>
        <v>4.7883333335048519</v>
      </c>
      <c r="T603" s="6"/>
      <c r="U603" s="9"/>
    </row>
    <row r="604" spans="1:21" x14ac:dyDescent="0.2">
      <c r="A604">
        <v>603</v>
      </c>
      <c r="B604" s="1">
        <v>42376.51734953704</v>
      </c>
      <c r="C604" s="1">
        <v>42376.527754629627</v>
      </c>
      <c r="D604" t="s">
        <v>1</v>
      </c>
      <c r="G604" t="b">
        <v>1</v>
      </c>
      <c r="H604">
        <v>70806</v>
      </c>
      <c r="I604" s="6">
        <v>1.2229216070422799</v>
      </c>
      <c r="J604" s="1">
        <v>42376.531990740739</v>
      </c>
      <c r="K604">
        <v>7.99</v>
      </c>
      <c r="L604" s="6">
        <f>('Pizza Sales Calculations'!$J604-'Pizza Sales Calculations'!$C604)*24*60</f>
        <v>6.1000000010244548</v>
      </c>
      <c r="M604">
        <f>COUNTA('Pizza Sales Calculations'!$D604:$F604)</f>
        <v>1</v>
      </c>
      <c r="R604" s="9">
        <f>IF('Pizza Sales Calculations'!$G604=TRUE, Parameters!$B$17*'Pizza Sales Calculations'!$L604*2, 0)</f>
        <v>1.7283333336235955</v>
      </c>
      <c r="T604" s="6"/>
      <c r="U604" s="9"/>
    </row>
    <row r="605" spans="1:21" x14ac:dyDescent="0.2">
      <c r="A605">
        <v>604</v>
      </c>
      <c r="B605" s="1">
        <v>42376.478900462964</v>
      </c>
      <c r="C605" s="1">
        <v>42376.489305555559</v>
      </c>
      <c r="D605" t="s">
        <v>35</v>
      </c>
      <c r="G605" t="b">
        <v>0</v>
      </c>
      <c r="H605">
        <v>70803</v>
      </c>
      <c r="I605" s="6">
        <v>0</v>
      </c>
      <c r="J605" s="1">
        <v>42376.491388888891</v>
      </c>
      <c r="K605">
        <v>15.35</v>
      </c>
      <c r="L605" s="6">
        <f>('Pizza Sales Calculations'!$J605-'Pizza Sales Calculations'!$C605)*24*60</f>
        <v>2.9999999993015081</v>
      </c>
      <c r="M605">
        <f>COUNTA('Pizza Sales Calculations'!$D605:$F605)</f>
        <v>1</v>
      </c>
      <c r="R605" s="9">
        <f>IF('Pizza Sales Calculations'!$G605=TRUE, Parameters!$B$17*'Pizza Sales Calculations'!$L605*2, 0)</f>
        <v>0</v>
      </c>
      <c r="T605" s="6"/>
      <c r="U605" s="9"/>
    </row>
    <row r="606" spans="1:21" x14ac:dyDescent="0.2">
      <c r="A606">
        <v>605</v>
      </c>
      <c r="B606" s="1">
        <v>42376.518796296295</v>
      </c>
      <c r="C606" s="1">
        <v>42376.52921296296</v>
      </c>
      <c r="D606" t="s">
        <v>1</v>
      </c>
      <c r="G606" t="b">
        <v>1</v>
      </c>
      <c r="H606">
        <v>70803</v>
      </c>
      <c r="I606" s="6">
        <v>3.30015027788252</v>
      </c>
      <c r="J606" s="1">
        <v>42376.540671296294</v>
      </c>
      <c r="K606">
        <v>7.99</v>
      </c>
      <c r="L606" s="6">
        <f>('Pizza Sales Calculations'!$J606-'Pizza Sales Calculations'!$C606)*24*60</f>
        <v>16.500000001396984</v>
      </c>
      <c r="M606">
        <f>COUNTA('Pizza Sales Calculations'!$D606:$F606)</f>
        <v>1</v>
      </c>
      <c r="R606" s="9">
        <f>IF('Pizza Sales Calculations'!$G606=TRUE, Parameters!$B$17*'Pizza Sales Calculations'!$L606*2, 0)</f>
        <v>4.6750000003958121</v>
      </c>
      <c r="T606" s="6"/>
      <c r="U606" s="9"/>
    </row>
    <row r="607" spans="1:21" x14ac:dyDescent="0.2">
      <c r="A607">
        <v>606</v>
      </c>
      <c r="B607" s="1">
        <v>42376.530763888892</v>
      </c>
      <c r="C607" s="1">
        <v>42376.541192129633</v>
      </c>
      <c r="D607" t="s">
        <v>2</v>
      </c>
      <c r="G607" t="b">
        <v>0</v>
      </c>
      <c r="H607">
        <v>70805</v>
      </c>
      <c r="I607" s="6">
        <v>0</v>
      </c>
      <c r="J607" s="1">
        <v>42376.543252314812</v>
      </c>
      <c r="K607">
        <v>11.59</v>
      </c>
      <c r="L607" s="6">
        <f>('Pizza Sales Calculations'!$J607-'Pizza Sales Calculations'!$C607)*24*60</f>
        <v>2.9666666581761092</v>
      </c>
      <c r="M607">
        <f>COUNTA('Pizza Sales Calculations'!$D607:$F607)</f>
        <v>1</v>
      </c>
      <c r="R607" s="9">
        <f>IF('Pizza Sales Calculations'!$G607=TRUE, Parameters!$B$17*'Pizza Sales Calculations'!$L607*2, 0)</f>
        <v>0</v>
      </c>
      <c r="T607" s="6"/>
      <c r="U607" s="9"/>
    </row>
    <row r="608" spans="1:21" x14ac:dyDescent="0.2">
      <c r="A608">
        <v>607</v>
      </c>
      <c r="B608" s="1">
        <v>42376.473009259258</v>
      </c>
      <c r="C608" s="1">
        <v>42376.483402777776</v>
      </c>
      <c r="D608" t="s">
        <v>1</v>
      </c>
      <c r="G608" t="b">
        <v>1</v>
      </c>
      <c r="H608">
        <v>70804</v>
      </c>
      <c r="I608" s="6">
        <v>2.2931565657548401</v>
      </c>
      <c r="J608" s="1">
        <v>42376.491354166668</v>
      </c>
      <c r="K608">
        <v>7.99</v>
      </c>
      <c r="L608" s="6">
        <f>('Pizza Sales Calculations'!$J608-'Pizza Sales Calculations'!$C608)*24*60</f>
        <v>11.450000004842877</v>
      </c>
      <c r="M608">
        <f>COUNTA('Pizza Sales Calculations'!$D608:$F608)</f>
        <v>1</v>
      </c>
      <c r="R608" s="9">
        <f>IF('Pizza Sales Calculations'!$G608=TRUE, Parameters!$B$17*'Pizza Sales Calculations'!$L608*2, 0)</f>
        <v>3.2441666680388153</v>
      </c>
      <c r="T608" s="6"/>
      <c r="U608" s="9"/>
    </row>
    <row r="609" spans="1:21" x14ac:dyDescent="0.2">
      <c r="A609">
        <v>608</v>
      </c>
      <c r="B609" s="1">
        <v>42376.506643518522</v>
      </c>
      <c r="C609" s="1">
        <v>42376.51703703704</v>
      </c>
      <c r="D609" t="s">
        <v>1</v>
      </c>
      <c r="G609" t="b">
        <v>0</v>
      </c>
      <c r="H609">
        <v>70804</v>
      </c>
      <c r="I609" s="6">
        <v>0</v>
      </c>
      <c r="J609" s="1">
        <v>42376.519108796296</v>
      </c>
      <c r="K609">
        <v>7.99</v>
      </c>
      <c r="L609" s="6">
        <f>('Pizza Sales Calculations'!$J609-'Pizza Sales Calculations'!$C609)*24*60</f>
        <v>2.9833333287388086</v>
      </c>
      <c r="M609">
        <f>COUNTA('Pizza Sales Calculations'!$D609:$F609)</f>
        <v>1</v>
      </c>
      <c r="R609" s="9">
        <f>IF('Pizza Sales Calculations'!$G609=TRUE, Parameters!$B$17*'Pizza Sales Calculations'!$L609*2, 0)</f>
        <v>0</v>
      </c>
      <c r="T609" s="6"/>
      <c r="U609" s="9"/>
    </row>
    <row r="610" spans="1:21" x14ac:dyDescent="0.2">
      <c r="A610">
        <v>609</v>
      </c>
      <c r="B610" s="1">
        <v>42376.489872685182</v>
      </c>
      <c r="C610" s="1">
        <v>42376.500254629631</v>
      </c>
      <c r="D610" t="s">
        <v>2</v>
      </c>
      <c r="G610" t="b">
        <v>0</v>
      </c>
      <c r="H610">
        <v>70806</v>
      </c>
      <c r="I610" s="6">
        <v>0</v>
      </c>
      <c r="J610" s="1">
        <v>42376.502337962964</v>
      </c>
      <c r="K610">
        <v>11.59</v>
      </c>
      <c r="L610" s="6">
        <f>('Pizza Sales Calculations'!$J610-'Pizza Sales Calculations'!$C610)*24*60</f>
        <v>2.9999999993015081</v>
      </c>
      <c r="M610">
        <f>COUNTA('Pizza Sales Calculations'!$D610:$F610)</f>
        <v>1</v>
      </c>
      <c r="R610" s="9">
        <f>IF('Pizza Sales Calculations'!$G610=TRUE, Parameters!$B$17*'Pizza Sales Calculations'!$L610*2, 0)</f>
        <v>0</v>
      </c>
      <c r="T610" s="6"/>
      <c r="U610" s="9"/>
    </row>
    <row r="611" spans="1:21" x14ac:dyDescent="0.2">
      <c r="A611">
        <v>610</v>
      </c>
      <c r="B611" s="1">
        <v>42376.502453703702</v>
      </c>
      <c r="C611" s="1">
        <v>42376.51284722222</v>
      </c>
      <c r="D611" t="s">
        <v>35</v>
      </c>
      <c r="G611" t="b">
        <v>0</v>
      </c>
      <c r="H611">
        <v>70804</v>
      </c>
      <c r="I611" s="6">
        <v>0</v>
      </c>
      <c r="J611" s="1">
        <v>42376.514907407407</v>
      </c>
      <c r="K611">
        <v>15.35</v>
      </c>
      <c r="L611" s="6">
        <f>('Pizza Sales Calculations'!$J611-'Pizza Sales Calculations'!$C611)*24*60</f>
        <v>2.9666666686534882</v>
      </c>
      <c r="M611">
        <f>COUNTA('Pizza Sales Calculations'!$D611:$F611)</f>
        <v>1</v>
      </c>
      <c r="R611" s="9">
        <f>IF('Pizza Sales Calculations'!$G611=TRUE, Parameters!$B$17*'Pizza Sales Calculations'!$L611*2, 0)</f>
        <v>0</v>
      </c>
      <c r="T611" s="6"/>
      <c r="U611" s="9"/>
    </row>
    <row r="612" spans="1:21" x14ac:dyDescent="0.2">
      <c r="A612">
        <v>611</v>
      </c>
      <c r="B612" s="1">
        <v>42376.486168981479</v>
      </c>
      <c r="C612" s="1">
        <v>42376.496574074074</v>
      </c>
      <c r="D612" t="s">
        <v>2</v>
      </c>
      <c r="G612" t="b">
        <v>1</v>
      </c>
      <c r="H612">
        <v>70805</v>
      </c>
      <c r="I612" s="6">
        <v>4.7213025208025101</v>
      </c>
      <c r="J612" s="1">
        <v>42376.512962962966</v>
      </c>
      <c r="K612">
        <v>11.59</v>
      </c>
      <c r="L612" s="6">
        <f>('Pizza Sales Calculations'!$J612-'Pizza Sales Calculations'!$C612)*24*60</f>
        <v>23.600000005681068</v>
      </c>
      <c r="M612">
        <f>COUNTA('Pizza Sales Calculations'!$D612:$F612)</f>
        <v>1</v>
      </c>
      <c r="R612" s="9">
        <f>IF('Pizza Sales Calculations'!$G612=TRUE, Parameters!$B$17*'Pizza Sales Calculations'!$L612*2, 0)</f>
        <v>6.6866666682763025</v>
      </c>
      <c r="T612" s="6"/>
      <c r="U612" s="9"/>
    </row>
    <row r="613" spans="1:21" x14ac:dyDescent="0.2">
      <c r="A613">
        <v>612</v>
      </c>
      <c r="B613" s="1">
        <v>42376.475115740737</v>
      </c>
      <c r="C613" s="1">
        <v>42376.485520833332</v>
      </c>
      <c r="D613" t="s">
        <v>2</v>
      </c>
      <c r="G613" t="b">
        <v>1</v>
      </c>
      <c r="H613">
        <v>70805</v>
      </c>
      <c r="I613" s="6">
        <v>4.7615233443341598</v>
      </c>
      <c r="J613" s="1">
        <v>42376.50204861111</v>
      </c>
      <c r="K613">
        <v>11.59</v>
      </c>
      <c r="L613" s="6">
        <f>('Pizza Sales Calculations'!$J613-'Pizza Sales Calculations'!$C613)*24*60</f>
        <v>23.800000000046566</v>
      </c>
      <c r="M613">
        <f>COUNTA('Pizza Sales Calculations'!$D613:$F613)</f>
        <v>1</v>
      </c>
      <c r="R613" s="9">
        <f>IF('Pizza Sales Calculations'!$G613=TRUE, Parameters!$B$17*'Pizza Sales Calculations'!$L613*2, 0)</f>
        <v>6.7433333333465271</v>
      </c>
      <c r="T613" s="6"/>
      <c r="U613" s="9"/>
    </row>
    <row r="614" spans="1:21" x14ac:dyDescent="0.2">
      <c r="A614">
        <v>613</v>
      </c>
      <c r="B614" s="1">
        <v>42376.469155092593</v>
      </c>
      <c r="C614" s="1">
        <v>42376.479560185187</v>
      </c>
      <c r="D614" t="s">
        <v>35</v>
      </c>
      <c r="G614" t="b">
        <v>1</v>
      </c>
      <c r="H614">
        <v>70806</v>
      </c>
      <c r="I614" s="6">
        <v>2.2958843559059399</v>
      </c>
      <c r="J614" s="1">
        <v>42376.487523148149</v>
      </c>
      <c r="K614">
        <v>15.35</v>
      </c>
      <c r="L614" s="6">
        <f>('Pizza Sales Calculations'!$J614-'Pizza Sales Calculations'!$C614)*24*60</f>
        <v>11.466666664928198</v>
      </c>
      <c r="M614">
        <f>COUNTA('Pizza Sales Calculations'!$D614:$F614)</f>
        <v>1</v>
      </c>
      <c r="R614" s="9">
        <f>IF('Pizza Sales Calculations'!$G614=TRUE, Parameters!$B$17*'Pizza Sales Calculations'!$L614*2, 0)</f>
        <v>3.2488888883963227</v>
      </c>
      <c r="T614" s="6"/>
      <c r="U614" s="9"/>
    </row>
    <row r="615" spans="1:21" x14ac:dyDescent="0.2">
      <c r="A615">
        <v>614</v>
      </c>
      <c r="B615" s="1">
        <v>42376.52443287037</v>
      </c>
      <c r="C615" s="1">
        <v>42376.534837962965</v>
      </c>
      <c r="D615" t="s">
        <v>35</v>
      </c>
      <c r="G615" t="b">
        <v>1</v>
      </c>
      <c r="H615">
        <v>70805</v>
      </c>
      <c r="I615" s="6">
        <v>3.6674708284778701</v>
      </c>
      <c r="J615" s="1">
        <v>42376.547569444447</v>
      </c>
      <c r="K615">
        <v>15.35</v>
      </c>
      <c r="L615" s="6">
        <f>('Pizza Sales Calculations'!$J615-'Pizza Sales Calculations'!$C615)*24*60</f>
        <v>18.333333333721384</v>
      </c>
      <c r="M615">
        <f>COUNTA('Pizza Sales Calculations'!$D615:$F615)</f>
        <v>1</v>
      </c>
      <c r="R615" s="9">
        <f>IF('Pizza Sales Calculations'!$G615=TRUE, Parameters!$B$17*'Pizza Sales Calculations'!$L615*2, 0)</f>
        <v>5.1944444445543922</v>
      </c>
      <c r="T615" s="6"/>
      <c r="U615" s="9"/>
    </row>
    <row r="616" spans="1:21" x14ac:dyDescent="0.2">
      <c r="A616">
        <v>615</v>
      </c>
      <c r="B616" s="1">
        <v>42376.478587962964</v>
      </c>
      <c r="C616" s="1">
        <v>42376.488981481481</v>
      </c>
      <c r="D616" t="s">
        <v>1</v>
      </c>
      <c r="E616" t="s">
        <v>35</v>
      </c>
      <c r="G616" t="b">
        <v>0</v>
      </c>
      <c r="H616">
        <v>70805</v>
      </c>
      <c r="I616" s="6">
        <v>0</v>
      </c>
      <c r="J616" s="1">
        <v>42376.491053240738</v>
      </c>
      <c r="K616">
        <v>23.34</v>
      </c>
      <c r="L616" s="6">
        <f>('Pizza Sales Calculations'!$J616-'Pizza Sales Calculations'!$C616)*24*60</f>
        <v>2.9833333287388086</v>
      </c>
      <c r="M616">
        <f>COUNTA('Pizza Sales Calculations'!$D616:$F616)</f>
        <v>2</v>
      </c>
      <c r="R616" s="9">
        <f>IF('Pizza Sales Calculations'!$G616=TRUE, Parameters!$B$17*'Pizza Sales Calculations'!$L616*2, 0)</f>
        <v>0</v>
      </c>
      <c r="T616" s="6"/>
      <c r="U616" s="9"/>
    </row>
    <row r="617" spans="1:21" x14ac:dyDescent="0.2">
      <c r="A617">
        <v>616</v>
      </c>
      <c r="B617" s="1">
        <v>42376.522731481484</v>
      </c>
      <c r="C617" s="1">
        <v>42376.533148148148</v>
      </c>
      <c r="D617" t="s">
        <v>35</v>
      </c>
      <c r="G617" t="b">
        <v>0</v>
      </c>
      <c r="H617">
        <v>70803</v>
      </c>
      <c r="I617" s="6">
        <v>0</v>
      </c>
      <c r="J617" s="1">
        <v>42376.535231481481</v>
      </c>
      <c r="K617">
        <v>15.35</v>
      </c>
      <c r="L617" s="6">
        <f>('Pizza Sales Calculations'!$J617-'Pizza Sales Calculations'!$C617)*24*60</f>
        <v>2.9999999993015081</v>
      </c>
      <c r="M617">
        <f>COUNTA('Pizza Sales Calculations'!$D617:$F617)</f>
        <v>1</v>
      </c>
      <c r="R617" s="9">
        <f>IF('Pizza Sales Calculations'!$G617=TRUE, Parameters!$B$17*'Pizza Sales Calculations'!$L617*2, 0)</f>
        <v>0</v>
      </c>
      <c r="T617" s="6"/>
      <c r="U617" s="9"/>
    </row>
    <row r="618" spans="1:21" x14ac:dyDescent="0.2">
      <c r="A618">
        <v>617</v>
      </c>
      <c r="B618" s="1">
        <v>42376.471377314818</v>
      </c>
      <c r="C618" s="1">
        <v>42376.481793981482</v>
      </c>
      <c r="D618" t="s">
        <v>35</v>
      </c>
      <c r="G618" t="b">
        <v>1</v>
      </c>
      <c r="H618">
        <v>70804</v>
      </c>
      <c r="I618" s="6">
        <v>1.2363971204416599</v>
      </c>
      <c r="J618" s="1">
        <v>42376.486076388886</v>
      </c>
      <c r="K618">
        <v>15.35</v>
      </c>
      <c r="L618" s="6">
        <f>('Pizza Sales Calculations'!$J618-'Pizza Sales Calculations'!$C618)*24*60</f>
        <v>6.1666666623204947</v>
      </c>
      <c r="M618">
        <f>COUNTA('Pizza Sales Calculations'!$D618:$F618)</f>
        <v>1</v>
      </c>
      <c r="R618" s="9">
        <f>IF('Pizza Sales Calculations'!$G618=TRUE, Parameters!$B$17*'Pizza Sales Calculations'!$L618*2, 0)</f>
        <v>1.7472222209908068</v>
      </c>
      <c r="T618" s="6"/>
      <c r="U618" s="9"/>
    </row>
    <row r="619" spans="1:21" x14ac:dyDescent="0.2">
      <c r="A619">
        <v>618</v>
      </c>
      <c r="B619" s="1">
        <v>42376.472581018519</v>
      </c>
      <c r="C619" s="1">
        <v>42376.482974537037</v>
      </c>
      <c r="D619" t="s">
        <v>1</v>
      </c>
      <c r="E619" t="s">
        <v>2</v>
      </c>
      <c r="G619" t="b">
        <v>0</v>
      </c>
      <c r="H619">
        <v>70804</v>
      </c>
      <c r="I619" s="6">
        <v>0</v>
      </c>
      <c r="J619" s="1">
        <v>42376.485023148147</v>
      </c>
      <c r="K619">
        <v>19.579999999999998</v>
      </c>
      <c r="L619" s="6">
        <f>('Pizza Sales Calculations'!$J619-'Pizza Sales Calculations'!$C619)*24*60</f>
        <v>2.9499999980907887</v>
      </c>
      <c r="M619">
        <f>COUNTA('Pizza Sales Calculations'!$D619:$F619)</f>
        <v>2</v>
      </c>
      <c r="R619" s="9">
        <f>IF('Pizza Sales Calculations'!$G619=TRUE, Parameters!$B$17*'Pizza Sales Calculations'!$L619*2, 0)</f>
        <v>0</v>
      </c>
      <c r="T619" s="6"/>
      <c r="U619" s="9"/>
    </row>
    <row r="620" spans="1:21" x14ac:dyDescent="0.2">
      <c r="A620">
        <v>619</v>
      </c>
      <c r="B620" s="1">
        <v>42376.521041666667</v>
      </c>
      <c r="C620" s="1">
        <v>42376.531469907408</v>
      </c>
      <c r="D620" t="s">
        <v>1</v>
      </c>
      <c r="G620" t="b">
        <v>1</v>
      </c>
      <c r="H620">
        <v>70805</v>
      </c>
      <c r="I620" s="6">
        <v>2.9758578382551999</v>
      </c>
      <c r="J620" s="1">
        <v>42376.54179398148</v>
      </c>
      <c r="K620">
        <v>7.99</v>
      </c>
      <c r="L620" s="6">
        <f>('Pizza Sales Calculations'!$J620-'Pizza Sales Calculations'!$C620)*24*60</f>
        <v>14.866666663438082</v>
      </c>
      <c r="M620">
        <f>COUNTA('Pizza Sales Calculations'!$D620:$F620)</f>
        <v>1</v>
      </c>
      <c r="R620" s="9">
        <f>IF('Pizza Sales Calculations'!$G620=TRUE, Parameters!$B$17*'Pizza Sales Calculations'!$L620*2, 0)</f>
        <v>4.2122222213074565</v>
      </c>
      <c r="T620" s="6"/>
      <c r="U620" s="9"/>
    </row>
    <row r="621" spans="1:21" x14ac:dyDescent="0.2">
      <c r="A621">
        <v>620</v>
      </c>
      <c r="B621" s="1">
        <v>42376.561493055553</v>
      </c>
      <c r="C621" s="1">
        <v>42376.571898148148</v>
      </c>
      <c r="D621" t="s">
        <v>35</v>
      </c>
      <c r="G621" t="b">
        <v>0</v>
      </c>
      <c r="H621">
        <v>70805</v>
      </c>
      <c r="I621" s="6">
        <v>0</v>
      </c>
      <c r="J621" s="1">
        <v>42376.573958333334</v>
      </c>
      <c r="K621">
        <v>15.35</v>
      </c>
      <c r="L621" s="6">
        <f>('Pizza Sales Calculations'!$J621-'Pizza Sales Calculations'!$C621)*24*60</f>
        <v>2.9666666686534882</v>
      </c>
      <c r="M621">
        <f>COUNTA('Pizza Sales Calculations'!$D621:$F621)</f>
        <v>1</v>
      </c>
      <c r="R621" s="9">
        <f>IF('Pizza Sales Calculations'!$G621=TRUE, Parameters!$B$17*'Pizza Sales Calculations'!$L621*2, 0)</f>
        <v>0</v>
      </c>
      <c r="T621" s="6"/>
      <c r="U621" s="9"/>
    </row>
    <row r="622" spans="1:21" x14ac:dyDescent="0.2">
      <c r="A622">
        <v>621</v>
      </c>
      <c r="B622" s="1">
        <v>42376.460578703707</v>
      </c>
      <c r="C622" s="1">
        <v>42376.470983796295</v>
      </c>
      <c r="D622" t="s">
        <v>35</v>
      </c>
      <c r="G622" t="b">
        <v>0</v>
      </c>
      <c r="H622">
        <v>70805</v>
      </c>
      <c r="I622" s="6">
        <v>0</v>
      </c>
      <c r="J622" s="1">
        <v>42376.473078703704</v>
      </c>
      <c r="K622">
        <v>15.35</v>
      </c>
      <c r="L622" s="6">
        <f>('Pizza Sales Calculations'!$J622-'Pizza Sales Calculations'!$C622)*24*60</f>
        <v>3.0166666698642075</v>
      </c>
      <c r="M622">
        <f>COUNTA('Pizza Sales Calculations'!$D622:$F622)</f>
        <v>1</v>
      </c>
      <c r="R622" s="9">
        <f>IF('Pizza Sales Calculations'!$G622=TRUE, Parameters!$B$17*'Pizza Sales Calculations'!$L622*2, 0)</f>
        <v>0</v>
      </c>
      <c r="T622" s="6"/>
      <c r="U622" s="9"/>
    </row>
    <row r="623" spans="1:21" x14ac:dyDescent="0.2">
      <c r="A623">
        <v>622</v>
      </c>
      <c r="B623" s="1">
        <v>42376.52548611111</v>
      </c>
      <c r="C623" s="1">
        <v>42376.535891203705</v>
      </c>
      <c r="D623" t="s">
        <v>2</v>
      </c>
      <c r="G623" t="b">
        <v>0</v>
      </c>
      <c r="H623">
        <v>70805</v>
      </c>
      <c r="I623" s="6">
        <v>0</v>
      </c>
      <c r="J623" s="1">
        <v>42376.537974537037</v>
      </c>
      <c r="K623">
        <v>11.59</v>
      </c>
      <c r="L623" s="6">
        <f>('Pizza Sales Calculations'!$J623-'Pizza Sales Calculations'!$C623)*24*60</f>
        <v>2.9999999993015081</v>
      </c>
      <c r="M623">
        <f>COUNTA('Pizza Sales Calculations'!$D623:$F623)</f>
        <v>1</v>
      </c>
      <c r="R623" s="9">
        <f>IF('Pizza Sales Calculations'!$G623=TRUE, Parameters!$B$17*'Pizza Sales Calculations'!$L623*2, 0)</f>
        <v>0</v>
      </c>
      <c r="T623" s="6"/>
      <c r="U623" s="9"/>
    </row>
    <row r="624" spans="1:21" x14ac:dyDescent="0.2">
      <c r="A624">
        <v>623</v>
      </c>
      <c r="B624" s="1">
        <v>42376.547268518516</v>
      </c>
      <c r="C624" s="1">
        <v>42376.557685185187</v>
      </c>
      <c r="D624" t="s">
        <v>1</v>
      </c>
      <c r="G624" t="b">
        <v>0</v>
      </c>
      <c r="H624">
        <v>70808</v>
      </c>
      <c r="I624" s="6">
        <v>0</v>
      </c>
      <c r="J624" s="1">
        <v>42376.55978009259</v>
      </c>
      <c r="K624">
        <v>7.99</v>
      </c>
      <c r="L624" s="6">
        <f>('Pizza Sales Calculations'!$J624-'Pizza Sales Calculations'!$C624)*24*60</f>
        <v>3.0166666593868285</v>
      </c>
      <c r="M624">
        <f>COUNTA('Pizza Sales Calculations'!$D624:$F624)</f>
        <v>1</v>
      </c>
      <c r="R624" s="9">
        <f>IF('Pizza Sales Calculations'!$G624=TRUE, Parameters!$B$17*'Pizza Sales Calculations'!$L624*2, 0)</f>
        <v>0</v>
      </c>
      <c r="T624" s="6"/>
      <c r="U624" s="9"/>
    </row>
    <row r="625" spans="1:21" x14ac:dyDescent="0.2">
      <c r="A625">
        <v>624</v>
      </c>
      <c r="B625" s="1">
        <v>42376.41978009259</v>
      </c>
      <c r="C625" s="1">
        <v>42376.430185185185</v>
      </c>
      <c r="D625" t="s">
        <v>1</v>
      </c>
      <c r="E625" t="s">
        <v>2</v>
      </c>
      <c r="G625" t="b">
        <v>1</v>
      </c>
      <c r="H625">
        <v>70803</v>
      </c>
      <c r="I625" s="6">
        <v>3.7700568161349599</v>
      </c>
      <c r="J625" s="1">
        <v>42376.44327546296</v>
      </c>
      <c r="K625">
        <v>19.579999999999998</v>
      </c>
      <c r="L625" s="6">
        <f>('Pizza Sales Calculations'!$J625-'Pizza Sales Calculations'!$C625)*24*60</f>
        <v>18.849999995436519</v>
      </c>
      <c r="M625">
        <f>COUNTA('Pizza Sales Calculations'!$D625:$F625)</f>
        <v>2</v>
      </c>
      <c r="R625" s="9">
        <f>IF('Pizza Sales Calculations'!$G625=TRUE, Parameters!$B$17*'Pizza Sales Calculations'!$L625*2, 0)</f>
        <v>5.3408333320403472</v>
      </c>
      <c r="T625" s="6"/>
      <c r="U625" s="9"/>
    </row>
    <row r="626" spans="1:21" x14ac:dyDescent="0.2">
      <c r="A626">
        <v>625</v>
      </c>
      <c r="B626" s="1">
        <v>42376.514027777775</v>
      </c>
      <c r="C626" s="1">
        <v>42376.524421296293</v>
      </c>
      <c r="D626" t="s">
        <v>35</v>
      </c>
      <c r="G626" t="b">
        <v>0</v>
      </c>
      <c r="H626">
        <v>70805</v>
      </c>
      <c r="I626" s="6">
        <v>0</v>
      </c>
      <c r="J626" s="1">
        <v>42376.526504629626</v>
      </c>
      <c r="K626">
        <v>15.35</v>
      </c>
      <c r="L626" s="6">
        <f>('Pizza Sales Calculations'!$J626-'Pizza Sales Calculations'!$C626)*24*60</f>
        <v>2.9999999993015081</v>
      </c>
      <c r="M626">
        <f>COUNTA('Pizza Sales Calculations'!$D626:$F626)</f>
        <v>1</v>
      </c>
      <c r="R626" s="9">
        <f>IF('Pizza Sales Calculations'!$G626=TRUE, Parameters!$B$17*'Pizza Sales Calculations'!$L626*2, 0)</f>
        <v>0</v>
      </c>
      <c r="T626" s="6"/>
      <c r="U626" s="9"/>
    </row>
    <row r="627" spans="1:21" x14ac:dyDescent="0.2">
      <c r="A627">
        <v>626</v>
      </c>
      <c r="B627" s="1">
        <v>42376.515879629631</v>
      </c>
      <c r="C627" s="1">
        <v>42376.526273148149</v>
      </c>
      <c r="D627" t="s">
        <v>1</v>
      </c>
      <c r="G627" t="b">
        <v>1</v>
      </c>
      <c r="H627">
        <v>70804</v>
      </c>
      <c r="I627" s="6">
        <v>2.9194801774035501</v>
      </c>
      <c r="J627" s="1">
        <v>42376.536400462966</v>
      </c>
      <c r="K627">
        <v>7.99</v>
      </c>
      <c r="L627" s="6">
        <f>('Pizza Sales Calculations'!$J627-'Pizza Sales Calculations'!$C627)*24*60</f>
        <v>14.583333337213844</v>
      </c>
      <c r="M627">
        <f>COUNTA('Pizza Sales Calculations'!$D627:$F627)</f>
        <v>1</v>
      </c>
      <c r="R627" s="9">
        <f>IF('Pizza Sales Calculations'!$G627=TRUE, Parameters!$B$17*'Pizza Sales Calculations'!$L627*2, 0)</f>
        <v>4.1319444455439225</v>
      </c>
      <c r="T627" s="6"/>
      <c r="U627" s="9"/>
    </row>
    <row r="628" spans="1:21" x14ac:dyDescent="0.2">
      <c r="A628">
        <v>627</v>
      </c>
      <c r="B628" s="1">
        <v>42376.503009259257</v>
      </c>
      <c r="C628" s="1">
        <v>42376.513425925928</v>
      </c>
      <c r="D628" t="s">
        <v>2</v>
      </c>
      <c r="G628" t="b">
        <v>0</v>
      </c>
      <c r="H628">
        <v>70804</v>
      </c>
      <c r="I628" s="6">
        <v>0</v>
      </c>
      <c r="J628" s="1">
        <v>42376.515497685185</v>
      </c>
      <c r="K628">
        <v>11.59</v>
      </c>
      <c r="L628" s="6">
        <f>('Pizza Sales Calculations'!$J628-'Pizza Sales Calculations'!$C628)*24*60</f>
        <v>2.9833333287388086</v>
      </c>
      <c r="M628">
        <f>COUNTA('Pizza Sales Calculations'!$D628:$F628)</f>
        <v>1</v>
      </c>
      <c r="R628" s="9">
        <f>IF('Pizza Sales Calculations'!$G628=TRUE, Parameters!$B$17*'Pizza Sales Calculations'!$L628*2, 0)</f>
        <v>0</v>
      </c>
      <c r="T628" s="6"/>
      <c r="U628" s="9"/>
    </row>
    <row r="629" spans="1:21" x14ac:dyDescent="0.2">
      <c r="A629">
        <v>628</v>
      </c>
      <c r="B629" s="1">
        <v>42376.436643518522</v>
      </c>
      <c r="C629" s="1">
        <v>42376.447060185186</v>
      </c>
      <c r="D629" t="s">
        <v>35</v>
      </c>
      <c r="G629" t="b">
        <v>1</v>
      </c>
      <c r="H629">
        <v>70805</v>
      </c>
      <c r="I629" s="6">
        <v>3.9204766128383102</v>
      </c>
      <c r="J629" s="1">
        <v>42376.4606712963</v>
      </c>
      <c r="K629">
        <v>15.35</v>
      </c>
      <c r="L629" s="6">
        <f>('Pizza Sales Calculations'!$J629-'Pizza Sales Calculations'!$C629)*24*60</f>
        <v>19.600000003119931</v>
      </c>
      <c r="M629">
        <f>COUNTA('Pizza Sales Calculations'!$D629:$F629)</f>
        <v>1</v>
      </c>
      <c r="R629" s="9">
        <f>IF('Pizza Sales Calculations'!$G629=TRUE, Parameters!$B$17*'Pizza Sales Calculations'!$L629*2, 0)</f>
        <v>5.5533333342173137</v>
      </c>
      <c r="T629" s="6"/>
      <c r="U629" s="9"/>
    </row>
    <row r="630" spans="1:21" x14ac:dyDescent="0.2">
      <c r="A630">
        <v>629</v>
      </c>
      <c r="B630" s="1">
        <v>42376.473923611113</v>
      </c>
      <c r="C630" s="1">
        <v>42376.484351851854</v>
      </c>
      <c r="D630" t="s">
        <v>1</v>
      </c>
      <c r="E630" t="s">
        <v>2</v>
      </c>
      <c r="G630" t="b">
        <v>1</v>
      </c>
      <c r="H630">
        <v>70805</v>
      </c>
      <c r="I630" s="6">
        <v>1.42119172116083</v>
      </c>
      <c r="J630" s="1">
        <v>42376.489282407405</v>
      </c>
      <c r="K630">
        <v>19.579999999999998</v>
      </c>
      <c r="L630" s="6">
        <f>('Pizza Sales Calculations'!$J630-'Pizza Sales Calculations'!$C630)*24*60</f>
        <v>7.0999999938067049</v>
      </c>
      <c r="M630">
        <f>COUNTA('Pizza Sales Calculations'!$D630:$F630)</f>
        <v>2</v>
      </c>
      <c r="R630" s="9">
        <f>IF('Pizza Sales Calculations'!$G630=TRUE, Parameters!$B$17*'Pizza Sales Calculations'!$L630*2, 0)</f>
        <v>2.0116666649118997</v>
      </c>
      <c r="T630" s="6"/>
      <c r="U630" s="9"/>
    </row>
    <row r="631" spans="1:21" x14ac:dyDescent="0.2">
      <c r="A631">
        <v>630</v>
      </c>
      <c r="B631" s="1">
        <v>42376.485231481478</v>
      </c>
      <c r="C631" s="1">
        <v>42376.495659722219</v>
      </c>
      <c r="D631" t="s">
        <v>1</v>
      </c>
      <c r="G631" t="b">
        <v>1</v>
      </c>
      <c r="H631">
        <v>70805</v>
      </c>
      <c r="I631" s="6">
        <v>1.80010120918989</v>
      </c>
      <c r="J631" s="1">
        <v>42376.501909722225</v>
      </c>
      <c r="K631">
        <v>7.99</v>
      </c>
      <c r="L631" s="6">
        <f>('Pizza Sales Calculations'!$J631-'Pizza Sales Calculations'!$C631)*24*60</f>
        <v>9.0000000083819032</v>
      </c>
      <c r="M631">
        <f>COUNTA('Pizza Sales Calculations'!$D631:$F631)</f>
        <v>1</v>
      </c>
      <c r="R631" s="9">
        <f>IF('Pizza Sales Calculations'!$G631=TRUE, Parameters!$B$17*'Pizza Sales Calculations'!$L631*2, 0)</f>
        <v>2.5500000023748726</v>
      </c>
      <c r="T631" s="6"/>
      <c r="U631" s="9"/>
    </row>
    <row r="632" spans="1:21" x14ac:dyDescent="0.2">
      <c r="A632">
        <v>631</v>
      </c>
      <c r="B632" s="1">
        <v>42376.445775462962</v>
      </c>
      <c r="C632" s="1">
        <v>42376.456192129626</v>
      </c>
      <c r="D632" t="s">
        <v>2</v>
      </c>
      <c r="G632" t="b">
        <v>1</v>
      </c>
      <c r="H632">
        <v>70805</v>
      </c>
      <c r="I632" s="6">
        <v>3.08713380086781</v>
      </c>
      <c r="J632" s="1">
        <v>42376.466909722221</v>
      </c>
      <c r="K632">
        <v>11.59</v>
      </c>
      <c r="L632" s="6">
        <f>('Pizza Sales Calculations'!$J632-'Pizza Sales Calculations'!$C632)*24*60</f>
        <v>15.433333336841315</v>
      </c>
      <c r="M632">
        <f>COUNTA('Pizza Sales Calculations'!$D632:$F632)</f>
        <v>1</v>
      </c>
      <c r="R632" s="9">
        <f>IF('Pizza Sales Calculations'!$G632=TRUE, Parameters!$B$17*'Pizza Sales Calculations'!$L632*2, 0)</f>
        <v>4.3727777787717059</v>
      </c>
      <c r="T632" s="6"/>
      <c r="U632" s="9"/>
    </row>
    <row r="633" spans="1:21" x14ac:dyDescent="0.2">
      <c r="A633">
        <v>632</v>
      </c>
      <c r="B633" s="1">
        <v>42376.507106481484</v>
      </c>
      <c r="C633" s="1">
        <v>42376.517534722225</v>
      </c>
      <c r="D633" t="s">
        <v>1</v>
      </c>
      <c r="G633" t="b">
        <v>0</v>
      </c>
      <c r="H633">
        <v>70805</v>
      </c>
      <c r="I633" s="6">
        <v>0</v>
      </c>
      <c r="J633" s="1">
        <v>42376.519618055558</v>
      </c>
      <c r="K633">
        <v>7.99</v>
      </c>
      <c r="L633" s="6">
        <f>('Pizza Sales Calculations'!$J633-'Pizza Sales Calculations'!$C633)*24*60</f>
        <v>2.9999999993015081</v>
      </c>
      <c r="M633">
        <f>COUNTA('Pizza Sales Calculations'!$D633:$F633)</f>
        <v>1</v>
      </c>
      <c r="R633" s="9">
        <f>IF('Pizza Sales Calculations'!$G633=TRUE, Parameters!$B$17*'Pizza Sales Calculations'!$L633*2, 0)</f>
        <v>0</v>
      </c>
      <c r="T633" s="6"/>
      <c r="U633" s="9"/>
    </row>
    <row r="634" spans="1:21" x14ac:dyDescent="0.2">
      <c r="A634">
        <v>633</v>
      </c>
      <c r="B634" s="1">
        <v>42376.453043981484</v>
      </c>
      <c r="C634" s="1">
        <v>42376.463449074072</v>
      </c>
      <c r="D634" t="s">
        <v>2</v>
      </c>
      <c r="G634" t="b">
        <v>1</v>
      </c>
      <c r="H634">
        <v>70806</v>
      </c>
      <c r="I634" s="6">
        <v>3.9383939185621699</v>
      </c>
      <c r="J634" s="1">
        <v>42376.477118055554</v>
      </c>
      <c r="K634">
        <v>11.59</v>
      </c>
      <c r="L634" s="6">
        <f>('Pizza Sales Calculations'!$J634-'Pizza Sales Calculations'!$C634)*24*60</f>
        <v>19.68333333497867</v>
      </c>
      <c r="M634">
        <f>COUNTA('Pizza Sales Calculations'!$D634:$F634)</f>
        <v>1</v>
      </c>
      <c r="R634" s="9">
        <f>IF('Pizza Sales Calculations'!$G634=TRUE, Parameters!$B$17*'Pizza Sales Calculations'!$L634*2, 0)</f>
        <v>5.5769444449106231</v>
      </c>
      <c r="T634" s="6"/>
      <c r="U634" s="9"/>
    </row>
    <row r="635" spans="1:21" x14ac:dyDescent="0.2">
      <c r="A635">
        <v>634</v>
      </c>
      <c r="B635" s="1">
        <v>42376.592175925929</v>
      </c>
      <c r="C635" s="1">
        <v>42376.602581018517</v>
      </c>
      <c r="D635" t="s">
        <v>2</v>
      </c>
      <c r="G635" t="b">
        <v>0</v>
      </c>
      <c r="H635">
        <v>70805</v>
      </c>
      <c r="I635" s="6">
        <v>0</v>
      </c>
      <c r="J635" s="1">
        <v>42376.604675925926</v>
      </c>
      <c r="K635">
        <v>11.59</v>
      </c>
      <c r="L635" s="6">
        <f>('Pizza Sales Calculations'!$J635-'Pizza Sales Calculations'!$C635)*24*60</f>
        <v>3.0166666698642075</v>
      </c>
      <c r="M635">
        <f>COUNTA('Pizza Sales Calculations'!$D635:$F635)</f>
        <v>1</v>
      </c>
      <c r="R635" s="9">
        <f>IF('Pizza Sales Calculations'!$G635=TRUE, Parameters!$B$17*'Pizza Sales Calculations'!$L635*2, 0)</f>
        <v>0</v>
      </c>
      <c r="T635" s="6"/>
      <c r="U635" s="9"/>
    </row>
    <row r="636" spans="1:21" x14ac:dyDescent="0.2">
      <c r="A636">
        <v>635</v>
      </c>
      <c r="B636" s="1">
        <v>42376.490162037036</v>
      </c>
      <c r="C636" s="1">
        <v>42376.500567129631</v>
      </c>
      <c r="D636" t="s">
        <v>1</v>
      </c>
      <c r="G636" t="b">
        <v>0</v>
      </c>
      <c r="H636">
        <v>70805</v>
      </c>
      <c r="I636" s="6">
        <v>0</v>
      </c>
      <c r="J636" s="1">
        <v>42376.502650462964</v>
      </c>
      <c r="K636">
        <v>7.99</v>
      </c>
      <c r="L636" s="6">
        <f>('Pizza Sales Calculations'!$J636-'Pizza Sales Calculations'!$C636)*24*60</f>
        <v>2.9999999993015081</v>
      </c>
      <c r="M636">
        <f>COUNTA('Pizza Sales Calculations'!$D636:$F636)</f>
        <v>1</v>
      </c>
      <c r="R636" s="9">
        <f>IF('Pizza Sales Calculations'!$G636=TRUE, Parameters!$B$17*'Pizza Sales Calculations'!$L636*2, 0)</f>
        <v>0</v>
      </c>
      <c r="T636" s="6"/>
      <c r="U636" s="9"/>
    </row>
    <row r="637" spans="1:21" x14ac:dyDescent="0.2">
      <c r="A637">
        <v>636</v>
      </c>
      <c r="B637" s="1">
        <v>42376.456805555557</v>
      </c>
      <c r="C637" s="1">
        <v>42376.467210648145</v>
      </c>
      <c r="D637" t="s">
        <v>2</v>
      </c>
      <c r="G637" t="b">
        <v>0</v>
      </c>
      <c r="H637">
        <v>70806</v>
      </c>
      <c r="I637" s="6">
        <v>0</v>
      </c>
      <c r="J637" s="1">
        <v>42376.469282407408</v>
      </c>
      <c r="K637">
        <v>11.59</v>
      </c>
      <c r="L637" s="6">
        <f>('Pizza Sales Calculations'!$J637-'Pizza Sales Calculations'!$C637)*24*60</f>
        <v>2.9833333392161876</v>
      </c>
      <c r="M637">
        <f>COUNTA('Pizza Sales Calculations'!$D637:$F637)</f>
        <v>1</v>
      </c>
      <c r="R637" s="9">
        <f>IF('Pizza Sales Calculations'!$G637=TRUE, Parameters!$B$17*'Pizza Sales Calculations'!$L637*2, 0)</f>
        <v>0</v>
      </c>
      <c r="T637" s="6"/>
      <c r="U637" s="9"/>
    </row>
    <row r="638" spans="1:21" x14ac:dyDescent="0.2">
      <c r="A638">
        <v>637</v>
      </c>
      <c r="B638" s="1">
        <v>42376.437384259261</v>
      </c>
      <c r="C638" s="1">
        <v>42376.447789351849</v>
      </c>
      <c r="D638" t="s">
        <v>2</v>
      </c>
      <c r="G638" t="b">
        <v>0</v>
      </c>
      <c r="H638">
        <v>70804</v>
      </c>
      <c r="I638" s="6">
        <v>0</v>
      </c>
      <c r="J638" s="1">
        <v>42376.449884259258</v>
      </c>
      <c r="K638">
        <v>11.59</v>
      </c>
      <c r="L638" s="6">
        <f>('Pizza Sales Calculations'!$J638-'Pizza Sales Calculations'!$C638)*24*60</f>
        <v>3.0166666698642075</v>
      </c>
      <c r="M638">
        <f>COUNTA('Pizza Sales Calculations'!$D638:$F638)</f>
        <v>1</v>
      </c>
      <c r="R638" s="9">
        <f>IF('Pizza Sales Calculations'!$G638=TRUE, Parameters!$B$17*'Pizza Sales Calculations'!$L638*2, 0)</f>
        <v>0</v>
      </c>
      <c r="T638" s="6"/>
      <c r="U638" s="9"/>
    </row>
    <row r="639" spans="1:21" x14ac:dyDescent="0.2">
      <c r="A639">
        <v>638</v>
      </c>
      <c r="B639" s="1">
        <v>42377.484722222223</v>
      </c>
      <c r="C639" s="1">
        <v>42377.495138888888</v>
      </c>
      <c r="D639" t="s">
        <v>35</v>
      </c>
      <c r="G639" t="b">
        <v>0</v>
      </c>
      <c r="H639">
        <v>70803</v>
      </c>
      <c r="I639" s="6">
        <v>0</v>
      </c>
      <c r="J639" s="1">
        <v>42377.497233796297</v>
      </c>
      <c r="K639">
        <v>15.35</v>
      </c>
      <c r="L639" s="6">
        <f>('Pizza Sales Calculations'!$J639-'Pizza Sales Calculations'!$C639)*24*60</f>
        <v>3.0166666698642075</v>
      </c>
      <c r="M639">
        <f>COUNTA('Pizza Sales Calculations'!$D639:$F639)</f>
        <v>1</v>
      </c>
      <c r="R639" s="9">
        <f>IF('Pizza Sales Calculations'!$G639=TRUE, Parameters!$B$17*'Pizza Sales Calculations'!$L639*2, 0)</f>
        <v>0</v>
      </c>
      <c r="T639" s="6"/>
      <c r="U639" s="9"/>
    </row>
    <row r="640" spans="1:21" x14ac:dyDescent="0.2">
      <c r="A640">
        <v>639</v>
      </c>
      <c r="B640" s="1">
        <v>42377.531006944446</v>
      </c>
      <c r="C640" s="1">
        <v>42377.54142361111</v>
      </c>
      <c r="D640" t="s">
        <v>1</v>
      </c>
      <c r="E640" t="s">
        <v>35</v>
      </c>
      <c r="G640" t="b">
        <v>0</v>
      </c>
      <c r="H640">
        <v>70803</v>
      </c>
      <c r="I640" s="6">
        <v>0</v>
      </c>
      <c r="J640" s="1">
        <v>42377.543495370373</v>
      </c>
      <c r="K640">
        <v>23.34</v>
      </c>
      <c r="L640" s="6">
        <f>('Pizza Sales Calculations'!$J640-'Pizza Sales Calculations'!$C640)*24*60</f>
        <v>2.9833333392161876</v>
      </c>
      <c r="M640">
        <f>COUNTA('Pizza Sales Calculations'!$D640:$F640)</f>
        <v>2</v>
      </c>
      <c r="R640" s="9">
        <f>IF('Pizza Sales Calculations'!$G640=TRUE, Parameters!$B$17*'Pizza Sales Calculations'!$L640*2, 0)</f>
        <v>0</v>
      </c>
      <c r="T640" s="6"/>
      <c r="U640" s="9"/>
    </row>
    <row r="641" spans="1:21" x14ac:dyDescent="0.2">
      <c r="A641">
        <v>640</v>
      </c>
      <c r="B641" s="1">
        <v>42377.442546296297</v>
      </c>
      <c r="C641" s="1">
        <v>42377.452951388892</v>
      </c>
      <c r="D641" t="s">
        <v>35</v>
      </c>
      <c r="G641" t="b">
        <v>0</v>
      </c>
      <c r="H641">
        <v>70805</v>
      </c>
      <c r="I641" s="6">
        <v>0</v>
      </c>
      <c r="J641" s="1">
        <v>42377.455023148148</v>
      </c>
      <c r="K641">
        <v>15.35</v>
      </c>
      <c r="L641" s="6">
        <f>('Pizza Sales Calculations'!$J641-'Pizza Sales Calculations'!$C641)*24*60</f>
        <v>2.9833333287388086</v>
      </c>
      <c r="M641">
        <f>COUNTA('Pizza Sales Calculations'!$D641:$F641)</f>
        <v>1</v>
      </c>
      <c r="R641" s="9">
        <f>IF('Pizza Sales Calculations'!$G641=TRUE, Parameters!$B$17*'Pizza Sales Calculations'!$L641*2, 0)</f>
        <v>0</v>
      </c>
      <c r="T641" s="6"/>
      <c r="U641" s="9"/>
    </row>
    <row r="642" spans="1:21" x14ac:dyDescent="0.2">
      <c r="A642">
        <v>641</v>
      </c>
      <c r="B642" s="1">
        <v>42377.502708333333</v>
      </c>
      <c r="C642" s="1">
        <v>42377.513124999998</v>
      </c>
      <c r="D642" t="s">
        <v>2</v>
      </c>
      <c r="G642" t="b">
        <v>0</v>
      </c>
      <c r="H642">
        <v>70806</v>
      </c>
      <c r="I642" s="6">
        <v>0</v>
      </c>
      <c r="J642" s="1">
        <v>42377.515219907407</v>
      </c>
      <c r="K642">
        <v>11.59</v>
      </c>
      <c r="L642" s="6">
        <f>('Pizza Sales Calculations'!$J642-'Pizza Sales Calculations'!$C642)*24*60</f>
        <v>3.0166666698642075</v>
      </c>
      <c r="M642">
        <f>COUNTA('Pizza Sales Calculations'!$D642:$F642)</f>
        <v>1</v>
      </c>
      <c r="R642" s="9">
        <f>IF('Pizza Sales Calculations'!$G642=TRUE, Parameters!$B$17*'Pizza Sales Calculations'!$L642*2, 0)</f>
        <v>0</v>
      </c>
      <c r="T642" s="6"/>
      <c r="U642" s="9"/>
    </row>
    <row r="643" spans="1:21" x14ac:dyDescent="0.2">
      <c r="A643">
        <v>642</v>
      </c>
      <c r="B643" s="1">
        <v>42377.437615740739</v>
      </c>
      <c r="C643" s="1">
        <v>42377.448055555556</v>
      </c>
      <c r="D643" t="s">
        <v>2</v>
      </c>
      <c r="G643" t="b">
        <v>1</v>
      </c>
      <c r="H643">
        <v>70803</v>
      </c>
      <c r="I643" s="6">
        <v>3.3810439627102302</v>
      </c>
      <c r="J643" s="1">
        <v>42377.459791666668</v>
      </c>
      <c r="K643">
        <v>11.59</v>
      </c>
      <c r="L643" s="6">
        <f>('Pizza Sales Calculations'!$J643-'Pizza Sales Calculations'!$C643)*24*60</f>
        <v>16.90000000060536</v>
      </c>
      <c r="M643">
        <f>COUNTA('Pizza Sales Calculations'!$D643:$F643)</f>
        <v>1</v>
      </c>
      <c r="R643" s="9">
        <f>IF('Pizza Sales Calculations'!$G643=TRUE, Parameters!$B$17*'Pizza Sales Calculations'!$L643*2, 0)</f>
        <v>4.7883333335048519</v>
      </c>
      <c r="T643" s="6"/>
      <c r="U643" s="9"/>
    </row>
    <row r="644" spans="1:21" x14ac:dyDescent="0.2">
      <c r="A644">
        <v>643</v>
      </c>
      <c r="B644" s="1">
        <v>42377.530798611115</v>
      </c>
      <c r="C644" s="1">
        <v>42377.541203703702</v>
      </c>
      <c r="D644" t="s">
        <v>1</v>
      </c>
      <c r="E644" t="s">
        <v>35</v>
      </c>
      <c r="G644" t="b">
        <v>1</v>
      </c>
      <c r="H644">
        <v>70804</v>
      </c>
      <c r="I644" s="6">
        <v>2.1765173413154</v>
      </c>
      <c r="J644" s="1">
        <v>42377.548750000002</v>
      </c>
      <c r="K644">
        <v>23.34</v>
      </c>
      <c r="L644" s="6">
        <f>('Pizza Sales Calculations'!$J644-'Pizza Sales Calculations'!$C644)*24*60</f>
        <v>10.866666671354324</v>
      </c>
      <c r="M644">
        <f>COUNTA('Pizza Sales Calculations'!$D644:$F644)</f>
        <v>2</v>
      </c>
      <c r="R644" s="9">
        <f>IF('Pizza Sales Calculations'!$G644=TRUE, Parameters!$B$17*'Pizza Sales Calculations'!$L644*2, 0)</f>
        <v>3.0788888902170584</v>
      </c>
      <c r="T644" s="6"/>
      <c r="U644" s="9"/>
    </row>
    <row r="645" spans="1:21" x14ac:dyDescent="0.2">
      <c r="A645">
        <v>644</v>
      </c>
      <c r="B645" s="1">
        <v>42377.46979166667</v>
      </c>
      <c r="C645" s="1">
        <v>42377.480185185188</v>
      </c>
      <c r="D645" t="s">
        <v>2</v>
      </c>
      <c r="G645" t="b">
        <v>1</v>
      </c>
      <c r="H645">
        <v>70807</v>
      </c>
      <c r="I645" s="6">
        <v>2.1494199560095599</v>
      </c>
      <c r="J645" s="1">
        <v>42377.487638888888</v>
      </c>
      <c r="K645">
        <v>11.59</v>
      </c>
      <c r="L645" s="6">
        <f>('Pizza Sales Calculations'!$J645-'Pizza Sales Calculations'!$C645)*24*60</f>
        <v>10.733333327807486</v>
      </c>
      <c r="M645">
        <f>COUNTA('Pizza Sales Calculations'!$D645:$F645)</f>
        <v>1</v>
      </c>
      <c r="R645" s="9">
        <f>IF('Pizza Sales Calculations'!$G645=TRUE, Parameters!$B$17*'Pizza Sales Calculations'!$L645*2, 0)</f>
        <v>3.0411111095454544</v>
      </c>
      <c r="T645" s="6"/>
      <c r="U645" s="9"/>
    </row>
    <row r="646" spans="1:21" x14ac:dyDescent="0.2">
      <c r="A646">
        <v>645</v>
      </c>
      <c r="B646" s="1">
        <v>42377.491469907407</v>
      </c>
      <c r="C646" s="1">
        <v>42377.501886574071</v>
      </c>
      <c r="D646" t="s">
        <v>35</v>
      </c>
      <c r="G646" t="b">
        <v>0</v>
      </c>
      <c r="H646">
        <v>70805</v>
      </c>
      <c r="I646" s="6">
        <v>0</v>
      </c>
      <c r="J646" s="1">
        <v>42377.503981481481</v>
      </c>
      <c r="K646">
        <v>15.35</v>
      </c>
      <c r="L646" s="6">
        <f>('Pizza Sales Calculations'!$J646-'Pizza Sales Calculations'!$C646)*24*60</f>
        <v>3.0166666698642075</v>
      </c>
      <c r="M646">
        <f>COUNTA('Pizza Sales Calculations'!$D646:$F646)</f>
        <v>1</v>
      </c>
      <c r="R646" s="9">
        <f>IF('Pizza Sales Calculations'!$G646=TRUE, Parameters!$B$17*'Pizza Sales Calculations'!$L646*2, 0)</f>
        <v>0</v>
      </c>
      <c r="T646" s="6"/>
      <c r="U646" s="9"/>
    </row>
    <row r="647" spans="1:21" x14ac:dyDescent="0.2">
      <c r="A647">
        <v>646</v>
      </c>
      <c r="B647" s="1">
        <v>42377.471064814818</v>
      </c>
      <c r="C647" s="1">
        <v>42377.481481481482</v>
      </c>
      <c r="D647" t="s">
        <v>1</v>
      </c>
      <c r="E647" t="s">
        <v>2</v>
      </c>
      <c r="G647" t="b">
        <v>0</v>
      </c>
      <c r="H647">
        <v>70803</v>
      </c>
      <c r="I647" s="6">
        <v>0</v>
      </c>
      <c r="J647" s="1">
        <v>42377.483576388891</v>
      </c>
      <c r="K647">
        <v>19.579999999999998</v>
      </c>
      <c r="L647" s="6">
        <f>('Pizza Sales Calculations'!$J647-'Pizza Sales Calculations'!$C647)*24*60</f>
        <v>3.0166666698642075</v>
      </c>
      <c r="M647">
        <f>COUNTA('Pizza Sales Calculations'!$D647:$F647)</f>
        <v>2</v>
      </c>
      <c r="R647" s="9">
        <f>IF('Pizza Sales Calculations'!$G647=TRUE, Parameters!$B$17*'Pizza Sales Calculations'!$L647*2, 0)</f>
        <v>0</v>
      </c>
      <c r="T647" s="6"/>
      <c r="U647" s="9"/>
    </row>
    <row r="648" spans="1:21" x14ac:dyDescent="0.2">
      <c r="A648">
        <v>647</v>
      </c>
      <c r="B648" s="1">
        <v>42377.466446759259</v>
      </c>
      <c r="C648" s="1">
        <v>42377.476863425924</v>
      </c>
      <c r="D648" t="s">
        <v>2</v>
      </c>
      <c r="G648" t="b">
        <v>1</v>
      </c>
      <c r="H648">
        <v>70804</v>
      </c>
      <c r="I648" s="6">
        <v>0.85370511812690597</v>
      </c>
      <c r="J648" s="1">
        <v>42377.479826388888</v>
      </c>
      <c r="K648">
        <v>11.59</v>
      </c>
      <c r="L648" s="6">
        <f>('Pizza Sales Calculations'!$J648-'Pizza Sales Calculations'!$C648)*24*60</f>
        <v>4.2666666687000543</v>
      </c>
      <c r="M648">
        <f>COUNTA('Pizza Sales Calculations'!$D648:$F648)</f>
        <v>1</v>
      </c>
      <c r="R648" s="9">
        <f>IF('Pizza Sales Calculations'!$G648=TRUE, Parameters!$B$17*'Pizza Sales Calculations'!$L648*2, 0)</f>
        <v>1.2088888894650154</v>
      </c>
      <c r="T648" s="6"/>
      <c r="U648" s="9"/>
    </row>
    <row r="649" spans="1:21" x14ac:dyDescent="0.2">
      <c r="A649">
        <v>648</v>
      </c>
      <c r="B649" s="1">
        <v>42377.527569444443</v>
      </c>
      <c r="C649" s="1">
        <v>42377.537986111114</v>
      </c>
      <c r="D649" t="s">
        <v>1</v>
      </c>
      <c r="G649" t="b">
        <v>0</v>
      </c>
      <c r="H649">
        <v>70803</v>
      </c>
      <c r="I649" s="6">
        <v>0</v>
      </c>
      <c r="J649" s="1">
        <v>42377.540081018517</v>
      </c>
      <c r="K649">
        <v>7.99</v>
      </c>
      <c r="L649" s="6">
        <f>('Pizza Sales Calculations'!$J649-'Pizza Sales Calculations'!$C649)*24*60</f>
        <v>3.0166666593868285</v>
      </c>
      <c r="M649">
        <f>COUNTA('Pizza Sales Calculations'!$D649:$F649)</f>
        <v>1</v>
      </c>
      <c r="R649" s="9">
        <f>IF('Pizza Sales Calculations'!$G649=TRUE, Parameters!$B$17*'Pizza Sales Calculations'!$L649*2, 0)</f>
        <v>0</v>
      </c>
      <c r="T649" s="6"/>
      <c r="U649" s="9"/>
    </row>
    <row r="650" spans="1:21" x14ac:dyDescent="0.2">
      <c r="A650">
        <v>649</v>
      </c>
      <c r="B650" s="1">
        <v>42377.509583333333</v>
      </c>
      <c r="C650" s="1">
        <v>42377.519976851851</v>
      </c>
      <c r="D650" t="s">
        <v>1</v>
      </c>
      <c r="E650" t="s">
        <v>2</v>
      </c>
      <c r="G650" t="b">
        <v>1</v>
      </c>
      <c r="H650">
        <v>70803</v>
      </c>
      <c r="I650" s="6">
        <v>3.5338306024518702</v>
      </c>
      <c r="J650" s="1">
        <v>42377.53224537037</v>
      </c>
      <c r="K650">
        <v>19.579999999999998</v>
      </c>
      <c r="L650" s="6">
        <f>('Pizza Sales Calculations'!$J650-'Pizza Sales Calculations'!$C650)*24*60</f>
        <v>17.666666668374091</v>
      </c>
      <c r="M650">
        <f>COUNTA('Pizza Sales Calculations'!$D650:$F650)</f>
        <v>2</v>
      </c>
      <c r="R650" s="9">
        <f>IF('Pizza Sales Calculations'!$G650=TRUE, Parameters!$B$17*'Pizza Sales Calculations'!$L650*2, 0)</f>
        <v>5.0055555560393259</v>
      </c>
      <c r="T650" s="6"/>
      <c r="U650" s="9"/>
    </row>
    <row r="651" spans="1:21" x14ac:dyDescent="0.2">
      <c r="A651">
        <v>650</v>
      </c>
      <c r="B651" s="1">
        <v>42377.507222222222</v>
      </c>
      <c r="C651" s="1">
        <v>42377.517638888887</v>
      </c>
      <c r="D651" t="s">
        <v>35</v>
      </c>
      <c r="G651" t="b">
        <v>0</v>
      </c>
      <c r="H651">
        <v>70805</v>
      </c>
      <c r="I651" s="6">
        <v>0</v>
      </c>
      <c r="J651" s="1">
        <v>42377.51972222222</v>
      </c>
      <c r="K651">
        <v>15.35</v>
      </c>
      <c r="L651" s="6">
        <f>('Pizza Sales Calculations'!$J651-'Pizza Sales Calculations'!$C651)*24*60</f>
        <v>2.9999999993015081</v>
      </c>
      <c r="M651">
        <f>COUNTA('Pizza Sales Calculations'!$D651:$F651)</f>
        <v>1</v>
      </c>
      <c r="R651" s="9">
        <f>IF('Pizza Sales Calculations'!$G651=TRUE, Parameters!$B$17*'Pizza Sales Calculations'!$L651*2, 0)</f>
        <v>0</v>
      </c>
      <c r="T651" s="6"/>
      <c r="U651" s="9"/>
    </row>
    <row r="652" spans="1:21" x14ac:dyDescent="0.2">
      <c r="A652">
        <v>651</v>
      </c>
      <c r="B652" s="1">
        <v>42377.521469907406</v>
      </c>
      <c r="C652" s="1">
        <v>42377.531886574077</v>
      </c>
      <c r="D652" t="s">
        <v>35</v>
      </c>
      <c r="G652" t="b">
        <v>1</v>
      </c>
      <c r="H652">
        <v>70805</v>
      </c>
      <c r="I652" s="6">
        <v>4.9388832193403198</v>
      </c>
      <c r="J652" s="1">
        <v>42377.549027777779</v>
      </c>
      <c r="K652">
        <v>15.35</v>
      </c>
      <c r="L652" s="6">
        <f>('Pizza Sales Calculations'!$J652-'Pizza Sales Calculations'!$C652)*24*60</f>
        <v>24.683333330322057</v>
      </c>
      <c r="M652">
        <f>COUNTA('Pizza Sales Calculations'!$D652:$F652)</f>
        <v>1</v>
      </c>
      <c r="R652" s="9">
        <f>IF('Pizza Sales Calculations'!$G652=TRUE, Parameters!$B$17*'Pizza Sales Calculations'!$L652*2, 0)</f>
        <v>6.9936111102579162</v>
      </c>
      <c r="T652" s="6"/>
      <c r="U652" s="9"/>
    </row>
    <row r="653" spans="1:21" x14ac:dyDescent="0.2">
      <c r="A653">
        <v>652</v>
      </c>
      <c r="B653" s="1">
        <v>42377.483553240738</v>
      </c>
      <c r="C653" s="1">
        <v>42377.493981481479</v>
      </c>
      <c r="D653" t="s">
        <v>35</v>
      </c>
      <c r="G653" t="b">
        <v>0</v>
      </c>
      <c r="H653">
        <v>70805</v>
      </c>
      <c r="I653" s="6">
        <v>0</v>
      </c>
      <c r="J653" s="1">
        <v>42377.496064814812</v>
      </c>
      <c r="K653">
        <v>15.35</v>
      </c>
      <c r="L653" s="6">
        <f>('Pizza Sales Calculations'!$J653-'Pizza Sales Calculations'!$C653)*24*60</f>
        <v>2.9999999993015081</v>
      </c>
      <c r="M653">
        <f>COUNTA('Pizza Sales Calculations'!$D653:$F653)</f>
        <v>1</v>
      </c>
      <c r="R653" s="9">
        <f>IF('Pizza Sales Calculations'!$G653=TRUE, Parameters!$B$17*'Pizza Sales Calculations'!$L653*2, 0)</f>
        <v>0</v>
      </c>
      <c r="T653" s="6"/>
      <c r="U653" s="9"/>
    </row>
    <row r="654" spans="1:21" x14ac:dyDescent="0.2">
      <c r="A654">
        <v>653</v>
      </c>
      <c r="B654" s="1">
        <v>42377.521967592591</v>
      </c>
      <c r="C654" s="1">
        <v>42377.532372685186</v>
      </c>
      <c r="D654" t="s">
        <v>1</v>
      </c>
      <c r="E654" t="s">
        <v>35</v>
      </c>
      <c r="G654" t="b">
        <v>1</v>
      </c>
      <c r="H654">
        <v>70807</v>
      </c>
      <c r="I654" s="6">
        <v>4.7018617162618197</v>
      </c>
      <c r="J654" s="1">
        <v>42377.548692129632</v>
      </c>
      <c r="K654">
        <v>23.34</v>
      </c>
      <c r="L654" s="6">
        <f>('Pizza Sales Calculations'!$J654-'Pizza Sales Calculations'!$C654)*24*60</f>
        <v>23.500000003259629</v>
      </c>
      <c r="M654">
        <f>COUNTA('Pizza Sales Calculations'!$D654:$F654)</f>
        <v>2</v>
      </c>
      <c r="R654" s="9">
        <f>IF('Pizza Sales Calculations'!$G654=TRUE, Parameters!$B$17*'Pizza Sales Calculations'!$L654*2, 0)</f>
        <v>6.6583333342568949</v>
      </c>
      <c r="T654" s="6"/>
      <c r="U654" s="9"/>
    </row>
    <row r="655" spans="1:21" x14ac:dyDescent="0.2">
      <c r="A655">
        <v>654</v>
      </c>
      <c r="B655" s="1">
        <v>42377.465520833335</v>
      </c>
      <c r="C655" s="1">
        <v>42377.475949074076</v>
      </c>
      <c r="D655" t="s">
        <v>35</v>
      </c>
      <c r="G655" t="b">
        <v>0</v>
      </c>
      <c r="H655">
        <v>70804</v>
      </c>
      <c r="I655" s="6">
        <v>0</v>
      </c>
      <c r="J655" s="1">
        <v>42377.478020833332</v>
      </c>
      <c r="K655">
        <v>15.35</v>
      </c>
      <c r="L655" s="6">
        <f>('Pizza Sales Calculations'!$J655-'Pizza Sales Calculations'!$C655)*24*60</f>
        <v>2.9833333287388086</v>
      </c>
      <c r="M655">
        <f>COUNTA('Pizza Sales Calculations'!$D655:$F655)</f>
        <v>1</v>
      </c>
      <c r="R655" s="9">
        <f>IF('Pizza Sales Calculations'!$G655=TRUE, Parameters!$B$17*'Pizza Sales Calculations'!$L655*2, 0)</f>
        <v>0</v>
      </c>
      <c r="T655" s="6"/>
      <c r="U655" s="9"/>
    </row>
    <row r="656" spans="1:21" x14ac:dyDescent="0.2">
      <c r="A656">
        <v>655</v>
      </c>
      <c r="B656" s="1">
        <v>42377.537962962961</v>
      </c>
      <c r="C656" s="1">
        <v>42377.548368055555</v>
      </c>
      <c r="D656" t="s">
        <v>35</v>
      </c>
      <c r="G656" t="b">
        <v>0</v>
      </c>
      <c r="H656">
        <v>70805</v>
      </c>
      <c r="I656" s="6">
        <v>0</v>
      </c>
      <c r="J656" s="1">
        <v>42377.550428240742</v>
      </c>
      <c r="K656">
        <v>15.35</v>
      </c>
      <c r="L656" s="6">
        <f>('Pizza Sales Calculations'!$J656-'Pizza Sales Calculations'!$C656)*24*60</f>
        <v>2.9666666686534882</v>
      </c>
      <c r="M656">
        <f>COUNTA('Pizza Sales Calculations'!$D656:$F656)</f>
        <v>1</v>
      </c>
      <c r="R656" s="9">
        <f>IF('Pizza Sales Calculations'!$G656=TRUE, Parameters!$B$17*'Pizza Sales Calculations'!$L656*2, 0)</f>
        <v>0</v>
      </c>
      <c r="T656" s="6"/>
      <c r="U656" s="9"/>
    </row>
    <row r="657" spans="1:21" x14ac:dyDescent="0.2">
      <c r="A657">
        <v>656</v>
      </c>
      <c r="B657" s="1">
        <v>42377.486250000002</v>
      </c>
      <c r="C657" s="1">
        <v>42377.496666666666</v>
      </c>
      <c r="D657" t="s">
        <v>1</v>
      </c>
      <c r="E657" t="s">
        <v>2</v>
      </c>
      <c r="G657" t="b">
        <v>0</v>
      </c>
      <c r="H657">
        <v>70805</v>
      </c>
      <c r="I657" s="6">
        <v>0</v>
      </c>
      <c r="J657" s="1">
        <v>42377.498738425929</v>
      </c>
      <c r="K657">
        <v>19.579999999999998</v>
      </c>
      <c r="L657" s="6">
        <f>('Pizza Sales Calculations'!$J657-'Pizza Sales Calculations'!$C657)*24*60</f>
        <v>2.9833333392161876</v>
      </c>
      <c r="M657">
        <f>COUNTA('Pizza Sales Calculations'!$D657:$F657)</f>
        <v>2</v>
      </c>
      <c r="R657" s="9">
        <f>IF('Pizza Sales Calculations'!$G657=TRUE, Parameters!$B$17*'Pizza Sales Calculations'!$L657*2, 0)</f>
        <v>0</v>
      </c>
      <c r="T657" s="6"/>
      <c r="U657" s="9"/>
    </row>
    <row r="658" spans="1:21" x14ac:dyDescent="0.2">
      <c r="A658">
        <v>657</v>
      </c>
      <c r="B658" s="1">
        <v>42377.441423611112</v>
      </c>
      <c r="C658" s="1">
        <v>42377.451828703706</v>
      </c>
      <c r="D658" t="s">
        <v>2</v>
      </c>
      <c r="G658" t="b">
        <v>0</v>
      </c>
      <c r="H658">
        <v>70805</v>
      </c>
      <c r="I658" s="6">
        <v>0</v>
      </c>
      <c r="J658" s="1">
        <v>42377.453900462962</v>
      </c>
      <c r="K658">
        <v>11.59</v>
      </c>
      <c r="L658" s="6">
        <f>('Pizza Sales Calculations'!$J658-'Pizza Sales Calculations'!$C658)*24*60</f>
        <v>2.9833333287388086</v>
      </c>
      <c r="M658">
        <f>COUNTA('Pizza Sales Calculations'!$D658:$F658)</f>
        <v>1</v>
      </c>
      <c r="R658" s="9">
        <f>IF('Pizza Sales Calculations'!$G658=TRUE, Parameters!$B$17*'Pizza Sales Calculations'!$L658*2, 0)</f>
        <v>0</v>
      </c>
      <c r="T658" s="6"/>
      <c r="U658" s="9"/>
    </row>
    <row r="659" spans="1:21" x14ac:dyDescent="0.2">
      <c r="A659">
        <v>658</v>
      </c>
      <c r="B659" s="1">
        <v>42377.416932870372</v>
      </c>
      <c r="C659" s="1">
        <v>42377.427337962959</v>
      </c>
      <c r="D659" t="s">
        <v>1</v>
      </c>
      <c r="G659" t="b">
        <v>0</v>
      </c>
      <c r="H659">
        <v>70804</v>
      </c>
      <c r="I659" s="6">
        <v>0</v>
      </c>
      <c r="J659" s="1">
        <v>42377.429409722223</v>
      </c>
      <c r="K659">
        <v>7.99</v>
      </c>
      <c r="L659" s="6">
        <f>('Pizza Sales Calculations'!$J659-'Pizza Sales Calculations'!$C659)*24*60</f>
        <v>2.9833333392161876</v>
      </c>
      <c r="M659">
        <f>COUNTA('Pizza Sales Calculations'!$D659:$F659)</f>
        <v>1</v>
      </c>
      <c r="R659" s="9">
        <f>IF('Pizza Sales Calculations'!$G659=TRUE, Parameters!$B$17*'Pizza Sales Calculations'!$L659*2, 0)</f>
        <v>0</v>
      </c>
      <c r="T659" s="6"/>
      <c r="U659" s="9"/>
    </row>
    <row r="660" spans="1:21" x14ac:dyDescent="0.2">
      <c r="A660">
        <v>659</v>
      </c>
      <c r="B660" s="1">
        <v>42377.533136574071</v>
      </c>
      <c r="C660" s="1">
        <v>42377.543564814812</v>
      </c>
      <c r="D660" t="s">
        <v>1</v>
      </c>
      <c r="E660" t="s">
        <v>2</v>
      </c>
      <c r="G660" t="b">
        <v>1</v>
      </c>
      <c r="H660">
        <v>70803</v>
      </c>
      <c r="I660" s="6">
        <v>2.4397165881351901</v>
      </c>
      <c r="J660" s="1">
        <v>42377.552025462966</v>
      </c>
      <c r="K660">
        <v>19.579999999999998</v>
      </c>
      <c r="L660" s="6">
        <f>('Pizza Sales Calculations'!$J660-'Pizza Sales Calculations'!$C660)*24*60</f>
        <v>12.183333341963589</v>
      </c>
      <c r="M660">
        <f>COUNTA('Pizza Sales Calculations'!$D660:$F660)</f>
        <v>2</v>
      </c>
      <c r="R660" s="9">
        <f>IF('Pizza Sales Calculations'!$G660=TRUE, Parameters!$B$17*'Pizza Sales Calculations'!$L660*2, 0)</f>
        <v>3.4519444468896836</v>
      </c>
      <c r="T660" s="6"/>
      <c r="U660" s="9"/>
    </row>
    <row r="661" spans="1:21" x14ac:dyDescent="0.2">
      <c r="A661">
        <v>660</v>
      </c>
      <c r="B661" s="1">
        <v>42377.418981481482</v>
      </c>
      <c r="C661" s="1">
        <v>42377.429398148146</v>
      </c>
      <c r="D661" t="s">
        <v>1</v>
      </c>
      <c r="E661" t="s">
        <v>2</v>
      </c>
      <c r="G661" t="b">
        <v>1</v>
      </c>
      <c r="H661">
        <v>70804</v>
      </c>
      <c r="I661" s="6">
        <v>3.1687123017615502</v>
      </c>
      <c r="J661" s="1">
        <v>42377.440393518518</v>
      </c>
      <c r="K661">
        <v>19.579999999999998</v>
      </c>
      <c r="L661" s="6">
        <f>('Pizza Sales Calculations'!$J661-'Pizza Sales Calculations'!$C661)*24*60</f>
        <v>15.833333336049691</v>
      </c>
      <c r="M661">
        <f>COUNTA('Pizza Sales Calculations'!$D661:$F661)</f>
        <v>2</v>
      </c>
      <c r="R661" s="9">
        <f>IF('Pizza Sales Calculations'!$G661=TRUE, Parameters!$B$17*'Pizza Sales Calculations'!$L661*2, 0)</f>
        <v>4.4861111118807457</v>
      </c>
      <c r="T661" s="6"/>
      <c r="U661" s="9"/>
    </row>
    <row r="662" spans="1:21" x14ac:dyDescent="0.2">
      <c r="A662">
        <v>661</v>
      </c>
      <c r="B662" s="1">
        <v>42377.52884259259</v>
      </c>
      <c r="C662" s="1">
        <v>42377.539236111108</v>
      </c>
      <c r="D662" t="s">
        <v>2</v>
      </c>
      <c r="G662" t="b">
        <v>0</v>
      </c>
      <c r="H662">
        <v>70803</v>
      </c>
      <c r="I662" s="6">
        <v>0</v>
      </c>
      <c r="J662" s="1">
        <v>42377.541307870371</v>
      </c>
      <c r="K662">
        <v>11.59</v>
      </c>
      <c r="L662" s="6">
        <f>('Pizza Sales Calculations'!$J662-'Pizza Sales Calculations'!$C662)*24*60</f>
        <v>2.9833333392161876</v>
      </c>
      <c r="M662">
        <f>COUNTA('Pizza Sales Calculations'!$D662:$F662)</f>
        <v>1</v>
      </c>
      <c r="R662" s="9">
        <f>IF('Pizza Sales Calculations'!$G662=TRUE, Parameters!$B$17*'Pizza Sales Calculations'!$L662*2, 0)</f>
        <v>0</v>
      </c>
      <c r="T662" s="6"/>
      <c r="U662" s="9"/>
    </row>
    <row r="663" spans="1:21" x14ac:dyDescent="0.2">
      <c r="A663">
        <v>662</v>
      </c>
      <c r="B663" s="1">
        <v>42377.523587962962</v>
      </c>
      <c r="C663" s="1">
        <v>42377.534004629626</v>
      </c>
      <c r="D663" t="s">
        <v>35</v>
      </c>
      <c r="G663" t="b">
        <v>1</v>
      </c>
      <c r="H663">
        <v>70804</v>
      </c>
      <c r="I663" s="6">
        <v>2.6617874638323298</v>
      </c>
      <c r="J663" s="1">
        <v>42377.543240740742</v>
      </c>
      <c r="K663">
        <v>15.35</v>
      </c>
      <c r="L663" s="6">
        <f>('Pizza Sales Calculations'!$J663-'Pizza Sales Calculations'!$C663)*24*60</f>
        <v>13.300000007729977</v>
      </c>
      <c r="M663">
        <f>COUNTA('Pizza Sales Calculations'!$D663:$F663)</f>
        <v>1</v>
      </c>
      <c r="R663" s="9">
        <f>IF('Pizza Sales Calculations'!$G663=TRUE, Parameters!$B$17*'Pizza Sales Calculations'!$L663*2, 0)</f>
        <v>3.7683333355234936</v>
      </c>
      <c r="T663" s="6"/>
      <c r="U663" s="9"/>
    </row>
    <row r="664" spans="1:21" x14ac:dyDescent="0.2">
      <c r="A664">
        <v>663</v>
      </c>
      <c r="B664" s="1">
        <v>42377.493321759262</v>
      </c>
      <c r="C664" s="1">
        <v>42377.50372685185</v>
      </c>
      <c r="D664" t="s">
        <v>35</v>
      </c>
      <c r="G664" t="b">
        <v>1</v>
      </c>
      <c r="H664">
        <v>70803</v>
      </c>
      <c r="I664" s="6">
        <v>2.0847031999460501</v>
      </c>
      <c r="J664" s="1">
        <v>42377.510960648149</v>
      </c>
      <c r="K664">
        <v>15.35</v>
      </c>
      <c r="L664" s="6">
        <f>('Pizza Sales Calculations'!$J664-'Pizza Sales Calculations'!$C664)*24*60</f>
        <v>10.416666670935228</v>
      </c>
      <c r="M664">
        <f>COUNTA('Pizza Sales Calculations'!$D664:$F664)</f>
        <v>1</v>
      </c>
      <c r="R664" s="9">
        <f>IF('Pizza Sales Calculations'!$G664=TRUE, Parameters!$B$17*'Pizza Sales Calculations'!$L664*2, 0)</f>
        <v>2.9513888900983147</v>
      </c>
      <c r="T664" s="6"/>
      <c r="U664" s="9"/>
    </row>
    <row r="665" spans="1:21" x14ac:dyDescent="0.2">
      <c r="A665">
        <v>664</v>
      </c>
      <c r="B665" s="1">
        <v>42377.564641203702</v>
      </c>
      <c r="C665" s="1">
        <v>42377.575057870374</v>
      </c>
      <c r="D665" t="s">
        <v>35</v>
      </c>
      <c r="G665" t="b">
        <v>1</v>
      </c>
      <c r="H665">
        <v>70803</v>
      </c>
      <c r="I665" s="6">
        <v>4.9240935034459703</v>
      </c>
      <c r="J665" s="1">
        <v>42377.592152777775</v>
      </c>
      <c r="K665">
        <v>15.35</v>
      </c>
      <c r="L665" s="6">
        <f>('Pizza Sales Calculations'!$J665-'Pizza Sales Calculations'!$C665)*24*60</f>
        <v>24.616666658548638</v>
      </c>
      <c r="M665">
        <f>COUNTA('Pizza Sales Calculations'!$D665:$F665)</f>
        <v>1</v>
      </c>
      <c r="R665" s="9">
        <f>IF('Pizza Sales Calculations'!$G665=TRUE, Parameters!$B$17*'Pizza Sales Calculations'!$L665*2, 0)</f>
        <v>6.9747222199221142</v>
      </c>
      <c r="T665" s="6"/>
      <c r="U665" s="9"/>
    </row>
    <row r="666" spans="1:21" x14ac:dyDescent="0.2">
      <c r="A666">
        <v>665</v>
      </c>
      <c r="B666" s="1">
        <v>42377.529467592591</v>
      </c>
      <c r="C666" s="1">
        <v>42377.539884259262</v>
      </c>
      <c r="D666" t="s">
        <v>1</v>
      </c>
      <c r="E666" t="s">
        <v>2</v>
      </c>
      <c r="G666" t="b">
        <v>1</v>
      </c>
      <c r="H666">
        <v>70805</v>
      </c>
      <c r="I666" s="6">
        <v>3.3488583063850799</v>
      </c>
      <c r="J666" s="1">
        <v>42377.551504629628</v>
      </c>
      <c r="K666">
        <v>19.579999999999998</v>
      </c>
      <c r="L666" s="6">
        <f>('Pizza Sales Calculations'!$J666-'Pizza Sales Calculations'!$C666)*24*60</f>
        <v>16.733333326410502</v>
      </c>
      <c r="M666">
        <f>COUNTA('Pizza Sales Calculations'!$D666:$F666)</f>
        <v>2</v>
      </c>
      <c r="R666" s="9">
        <f>IF('Pizza Sales Calculations'!$G666=TRUE, Parameters!$B$17*'Pizza Sales Calculations'!$L666*2, 0)</f>
        <v>4.7411111091496423</v>
      </c>
      <c r="T666" s="6"/>
      <c r="U666" s="9"/>
    </row>
    <row r="667" spans="1:21" x14ac:dyDescent="0.2">
      <c r="A667">
        <v>666</v>
      </c>
      <c r="B667" s="1">
        <v>42377.461701388886</v>
      </c>
      <c r="C667" s="1">
        <v>42377.472118055557</v>
      </c>
      <c r="D667" t="s">
        <v>1</v>
      </c>
      <c r="G667" t="b">
        <v>1</v>
      </c>
      <c r="H667">
        <v>70804</v>
      </c>
      <c r="I667" s="6">
        <v>2.1807876955176502</v>
      </c>
      <c r="J667" s="1">
        <v>42377.479687500003</v>
      </c>
      <c r="K667">
        <v>7.99</v>
      </c>
      <c r="L667" s="6">
        <f>('Pizza Sales Calculations'!$J667-'Pizza Sales Calculations'!$C667)*24*60</f>
        <v>10.900000002002344</v>
      </c>
      <c r="M667">
        <f>COUNTA('Pizza Sales Calculations'!$D667:$F667)</f>
        <v>1</v>
      </c>
      <c r="R667" s="9">
        <f>IF('Pizza Sales Calculations'!$G667=TRUE, Parameters!$B$17*'Pizza Sales Calculations'!$L667*2, 0)</f>
        <v>3.088333333900664</v>
      </c>
      <c r="T667" s="6"/>
      <c r="U667" s="9"/>
    </row>
    <row r="668" spans="1:21" x14ac:dyDescent="0.2">
      <c r="A668">
        <v>667</v>
      </c>
      <c r="B668" s="1">
        <v>42377.471192129633</v>
      </c>
      <c r="C668" s="1">
        <v>42377.48159722222</v>
      </c>
      <c r="D668" t="s">
        <v>35</v>
      </c>
      <c r="G668" t="b">
        <v>1</v>
      </c>
      <c r="H668">
        <v>70805</v>
      </c>
      <c r="I668" s="6">
        <v>3.9976815906206502</v>
      </c>
      <c r="J668" s="1">
        <v>42377.495474537034</v>
      </c>
      <c r="K668">
        <v>15.35</v>
      </c>
      <c r="L668" s="6">
        <f>('Pizza Sales Calculations'!$J668-'Pizza Sales Calculations'!$C668)*24*60</f>
        <v>19.983333331765607</v>
      </c>
      <c r="M668">
        <f>COUNTA('Pizza Sales Calculations'!$D668:$F668)</f>
        <v>1</v>
      </c>
      <c r="R668" s="9">
        <f>IF('Pizza Sales Calculations'!$G668=TRUE, Parameters!$B$17*'Pizza Sales Calculations'!$L668*2, 0)</f>
        <v>5.6619444440002553</v>
      </c>
      <c r="T668" s="6"/>
      <c r="U668" s="9"/>
    </row>
    <row r="669" spans="1:21" x14ac:dyDescent="0.2">
      <c r="A669">
        <v>668</v>
      </c>
      <c r="B669" s="1">
        <v>42377.521168981482</v>
      </c>
      <c r="C669" s="1">
        <v>42377.531585648147</v>
      </c>
      <c r="D669" t="s">
        <v>1</v>
      </c>
      <c r="G669" t="b">
        <v>1</v>
      </c>
      <c r="H669">
        <v>70805</v>
      </c>
      <c r="I669" s="6">
        <v>0.64317300530696397</v>
      </c>
      <c r="J669" s="1">
        <v>42377.533807870372</v>
      </c>
      <c r="K669">
        <v>7.99</v>
      </c>
      <c r="L669" s="6">
        <f>('Pizza Sales Calculations'!$J669-'Pizza Sales Calculations'!$C669)*24*60</f>
        <v>3.2000000041443855</v>
      </c>
      <c r="M669">
        <f>COUNTA('Pizza Sales Calculations'!$D669:$F669)</f>
        <v>1</v>
      </c>
      <c r="R669" s="9">
        <f>IF('Pizza Sales Calculations'!$G669=TRUE, Parameters!$B$17*'Pizza Sales Calculations'!$L669*2, 0)</f>
        <v>0.90666666784090921</v>
      </c>
      <c r="T669" s="6"/>
      <c r="U669" s="9"/>
    </row>
    <row r="670" spans="1:21" x14ac:dyDescent="0.2">
      <c r="A670">
        <v>669</v>
      </c>
      <c r="B670" s="1">
        <v>42377.525219907409</v>
      </c>
      <c r="C670" s="1">
        <v>42377.535624999997</v>
      </c>
      <c r="D670" t="s">
        <v>1</v>
      </c>
      <c r="E670" t="s">
        <v>2</v>
      </c>
      <c r="G670" t="b">
        <v>0</v>
      </c>
      <c r="H670">
        <v>70804</v>
      </c>
      <c r="I670" s="6">
        <v>0</v>
      </c>
      <c r="J670" s="1">
        <v>42377.537708333337</v>
      </c>
      <c r="K670">
        <v>19.579999999999998</v>
      </c>
      <c r="L670" s="6">
        <f>('Pizza Sales Calculations'!$J670-'Pizza Sales Calculations'!$C670)*24*60</f>
        <v>3.000000009778887</v>
      </c>
      <c r="M670">
        <f>COUNTA('Pizza Sales Calculations'!$D670:$F670)</f>
        <v>2</v>
      </c>
      <c r="R670" s="9">
        <f>IF('Pizza Sales Calculations'!$G670=TRUE, Parameters!$B$17*'Pizza Sales Calculations'!$L670*2, 0)</f>
        <v>0</v>
      </c>
      <c r="T670" s="6"/>
      <c r="U670" s="9"/>
    </row>
    <row r="671" spans="1:21" x14ac:dyDescent="0.2">
      <c r="A671">
        <v>670</v>
      </c>
      <c r="B671" s="1">
        <v>42377.523194444446</v>
      </c>
      <c r="C671" s="1">
        <v>42377.533599537041</v>
      </c>
      <c r="D671" t="s">
        <v>2</v>
      </c>
      <c r="G671" t="b">
        <v>0</v>
      </c>
      <c r="H671">
        <v>70806</v>
      </c>
      <c r="I671" s="6">
        <v>0</v>
      </c>
      <c r="J671" s="1">
        <v>42377.535671296297</v>
      </c>
      <c r="K671">
        <v>11.59</v>
      </c>
      <c r="L671" s="6">
        <f>('Pizza Sales Calculations'!$J671-'Pizza Sales Calculations'!$C671)*24*60</f>
        <v>2.9833333287388086</v>
      </c>
      <c r="M671">
        <f>COUNTA('Pizza Sales Calculations'!$D671:$F671)</f>
        <v>1</v>
      </c>
      <c r="R671" s="9">
        <f>IF('Pizza Sales Calculations'!$G671=TRUE, Parameters!$B$17*'Pizza Sales Calculations'!$L671*2, 0)</f>
        <v>0</v>
      </c>
      <c r="T671" s="6"/>
      <c r="U671" s="9"/>
    </row>
    <row r="672" spans="1:21" x14ac:dyDescent="0.2">
      <c r="A672">
        <v>671</v>
      </c>
      <c r="B672" s="1">
        <v>42377.497835648152</v>
      </c>
      <c r="C672" s="1">
        <v>42377.508252314816</v>
      </c>
      <c r="D672" t="s">
        <v>2</v>
      </c>
      <c r="G672" t="b">
        <v>1</v>
      </c>
      <c r="H672">
        <v>70803</v>
      </c>
      <c r="I672" s="6">
        <v>2.92094942822464</v>
      </c>
      <c r="J672" s="1">
        <v>42377.518391203703</v>
      </c>
      <c r="K672">
        <v>11.59</v>
      </c>
      <c r="L672" s="6">
        <f>('Pizza Sales Calculations'!$J672-'Pizza Sales Calculations'!$C672)*24*60</f>
        <v>14.599999997299165</v>
      </c>
      <c r="M672">
        <f>COUNTA('Pizza Sales Calculations'!$D672:$F672)</f>
        <v>1</v>
      </c>
      <c r="R672" s="9">
        <f>IF('Pizza Sales Calculations'!$G672=TRUE, Parameters!$B$17*'Pizza Sales Calculations'!$L672*2, 0)</f>
        <v>4.13666666590143</v>
      </c>
      <c r="T672" s="6"/>
      <c r="U672" s="9"/>
    </row>
    <row r="673" spans="1:21" x14ac:dyDescent="0.2">
      <c r="A673">
        <v>672</v>
      </c>
      <c r="B673" s="1">
        <v>42377.478055555555</v>
      </c>
      <c r="C673" s="1">
        <v>42377.48846064815</v>
      </c>
      <c r="D673" t="s">
        <v>2</v>
      </c>
      <c r="G673" t="b">
        <v>0</v>
      </c>
      <c r="H673">
        <v>70805</v>
      </c>
      <c r="I673" s="6">
        <v>0</v>
      </c>
      <c r="J673" s="1">
        <v>42377.490532407406</v>
      </c>
      <c r="K673">
        <v>11.59</v>
      </c>
      <c r="L673" s="6">
        <f>('Pizza Sales Calculations'!$J673-'Pizza Sales Calculations'!$C673)*24*60</f>
        <v>2.9833333287388086</v>
      </c>
      <c r="M673">
        <f>COUNTA('Pizza Sales Calculations'!$D673:$F673)</f>
        <v>1</v>
      </c>
      <c r="R673" s="9">
        <f>IF('Pizza Sales Calculations'!$G673=TRUE, Parameters!$B$17*'Pizza Sales Calculations'!$L673*2, 0)</f>
        <v>0</v>
      </c>
      <c r="T673" s="6"/>
      <c r="U673" s="9"/>
    </row>
    <row r="674" spans="1:21" x14ac:dyDescent="0.2">
      <c r="A674">
        <v>673</v>
      </c>
      <c r="B674" s="1">
        <v>42377.464120370372</v>
      </c>
      <c r="C674" s="1">
        <v>42377.474537037036</v>
      </c>
      <c r="D674" t="s">
        <v>1</v>
      </c>
      <c r="G674" t="b">
        <v>1</v>
      </c>
      <c r="H674">
        <v>70805</v>
      </c>
      <c r="I674" s="6">
        <v>2.90293801040217</v>
      </c>
      <c r="J674" s="1">
        <v>42377.484606481485</v>
      </c>
      <c r="K674">
        <v>7.99</v>
      </c>
      <c r="L674" s="6">
        <f>('Pizza Sales Calculations'!$J674-'Pizza Sales Calculations'!$C674)*24*60</f>
        <v>14.500000005355105</v>
      </c>
      <c r="M674">
        <f>COUNTA('Pizza Sales Calculations'!$D674:$F674)</f>
        <v>1</v>
      </c>
      <c r="R674" s="9">
        <f>IF('Pizza Sales Calculations'!$G674=TRUE, Parameters!$B$17*'Pizza Sales Calculations'!$L674*2, 0)</f>
        <v>4.108333334850613</v>
      </c>
      <c r="T674" s="6"/>
      <c r="U674" s="9"/>
    </row>
    <row r="675" spans="1:21" x14ac:dyDescent="0.2">
      <c r="A675">
        <v>674</v>
      </c>
      <c r="B675" s="1">
        <v>42377.528148148151</v>
      </c>
      <c r="C675" s="1">
        <v>42377.538541666669</v>
      </c>
      <c r="D675" t="s">
        <v>35</v>
      </c>
      <c r="G675" t="b">
        <v>0</v>
      </c>
      <c r="H675">
        <v>70804</v>
      </c>
      <c r="I675" s="6">
        <v>0</v>
      </c>
      <c r="J675" s="1">
        <v>42377.540613425925</v>
      </c>
      <c r="K675">
        <v>15.35</v>
      </c>
      <c r="L675" s="6">
        <f>('Pizza Sales Calculations'!$J675-'Pizza Sales Calculations'!$C675)*24*60</f>
        <v>2.9833333287388086</v>
      </c>
      <c r="M675">
        <f>COUNTA('Pizza Sales Calculations'!$D675:$F675)</f>
        <v>1</v>
      </c>
      <c r="R675" s="9">
        <f>IF('Pizza Sales Calculations'!$G675=TRUE, Parameters!$B$17*'Pizza Sales Calculations'!$L675*2, 0)</f>
        <v>0</v>
      </c>
      <c r="T675" s="6"/>
      <c r="U675" s="9"/>
    </row>
    <row r="676" spans="1:21" x14ac:dyDescent="0.2">
      <c r="A676">
        <v>675</v>
      </c>
      <c r="B676" s="1">
        <v>42377.485972222225</v>
      </c>
      <c r="C676" s="1">
        <v>42377.496377314812</v>
      </c>
      <c r="D676" t="s">
        <v>35</v>
      </c>
      <c r="G676" t="b">
        <v>1</v>
      </c>
      <c r="H676">
        <v>70804</v>
      </c>
      <c r="I676" s="6">
        <v>2.8320747293322701</v>
      </c>
      <c r="J676" s="1">
        <v>42377.506203703706</v>
      </c>
      <c r="K676">
        <v>15.35</v>
      </c>
      <c r="L676" s="6">
        <f>('Pizza Sales Calculations'!$J676-'Pizza Sales Calculations'!$C676)*24*60</f>
        <v>14.150000007357448</v>
      </c>
      <c r="M676">
        <f>COUNTA('Pizza Sales Calculations'!$D676:$F676)</f>
        <v>1</v>
      </c>
      <c r="R676" s="9">
        <f>IF('Pizza Sales Calculations'!$G676=TRUE, Parameters!$B$17*'Pizza Sales Calculations'!$L676*2, 0)</f>
        <v>4.009166668751277</v>
      </c>
      <c r="T676" s="6"/>
      <c r="U676" s="9"/>
    </row>
    <row r="677" spans="1:21" x14ac:dyDescent="0.2">
      <c r="A677">
        <v>676</v>
      </c>
      <c r="B677" s="1">
        <v>42377.474444444444</v>
      </c>
      <c r="C677" s="1">
        <v>42377.484861111108</v>
      </c>
      <c r="D677" t="s">
        <v>1</v>
      </c>
      <c r="E677" t="s">
        <v>2</v>
      </c>
      <c r="G677" t="b">
        <v>0</v>
      </c>
      <c r="H677">
        <v>70806</v>
      </c>
      <c r="I677" s="6">
        <v>0</v>
      </c>
      <c r="J677" s="1">
        <v>42377.486944444441</v>
      </c>
      <c r="K677">
        <v>19.579999999999998</v>
      </c>
      <c r="L677" s="6">
        <f>('Pizza Sales Calculations'!$J677-'Pizza Sales Calculations'!$C677)*24*60</f>
        <v>2.9999999993015081</v>
      </c>
      <c r="M677">
        <f>COUNTA('Pizza Sales Calculations'!$D677:$F677)</f>
        <v>2</v>
      </c>
      <c r="R677" s="9">
        <f>IF('Pizza Sales Calculations'!$G677=TRUE, Parameters!$B$17*'Pizza Sales Calculations'!$L677*2, 0)</f>
        <v>0</v>
      </c>
      <c r="T677" s="6"/>
      <c r="U677" s="9"/>
    </row>
    <row r="678" spans="1:21" x14ac:dyDescent="0.2">
      <c r="A678">
        <v>677</v>
      </c>
      <c r="B678" s="1">
        <v>42377.470277777778</v>
      </c>
      <c r="C678" s="1">
        <v>42377.480682870373</v>
      </c>
      <c r="D678" t="s">
        <v>1</v>
      </c>
      <c r="G678" t="b">
        <v>1</v>
      </c>
      <c r="H678">
        <v>70806</v>
      </c>
      <c r="I678" s="6">
        <v>3.7400497149450298</v>
      </c>
      <c r="J678" s="1">
        <v>42377.493668981479</v>
      </c>
      <c r="K678">
        <v>7.99</v>
      </c>
      <c r="L678" s="6">
        <f>('Pizza Sales Calculations'!$J678-'Pizza Sales Calculations'!$C678)*24*60</f>
        <v>18.699999991804361</v>
      </c>
      <c r="M678">
        <f>COUNTA('Pizza Sales Calculations'!$D678:$F678)</f>
        <v>1</v>
      </c>
      <c r="R678" s="9">
        <f>IF('Pizza Sales Calculations'!$G678=TRUE, Parameters!$B$17*'Pizza Sales Calculations'!$L678*2, 0)</f>
        <v>5.2983333310112357</v>
      </c>
      <c r="T678" s="6"/>
      <c r="U678" s="9"/>
    </row>
    <row r="679" spans="1:21" x14ac:dyDescent="0.2">
      <c r="A679">
        <v>678</v>
      </c>
      <c r="B679" s="1">
        <v>42377.516018518516</v>
      </c>
      <c r="C679" s="1">
        <v>42377.526423611111</v>
      </c>
      <c r="D679" t="s">
        <v>2</v>
      </c>
      <c r="G679" t="b">
        <v>0</v>
      </c>
      <c r="H679">
        <v>70803</v>
      </c>
      <c r="I679" s="6">
        <v>0</v>
      </c>
      <c r="J679" s="1">
        <v>42377.528506944444</v>
      </c>
      <c r="K679">
        <v>11.59</v>
      </c>
      <c r="L679" s="6">
        <f>('Pizza Sales Calculations'!$J679-'Pizza Sales Calculations'!$C679)*24*60</f>
        <v>2.9999999993015081</v>
      </c>
      <c r="M679">
        <f>COUNTA('Pizza Sales Calculations'!$D679:$F679)</f>
        <v>1</v>
      </c>
      <c r="R679" s="9">
        <f>IF('Pizza Sales Calculations'!$G679=TRUE, Parameters!$B$17*'Pizza Sales Calculations'!$L679*2, 0)</f>
        <v>0</v>
      </c>
      <c r="T679" s="6"/>
      <c r="U679" s="9"/>
    </row>
    <row r="680" spans="1:21" x14ac:dyDescent="0.2">
      <c r="A680">
        <v>679</v>
      </c>
      <c r="B680" s="1">
        <v>42377.508217592593</v>
      </c>
      <c r="C680" s="1">
        <v>42377.518611111111</v>
      </c>
      <c r="D680" t="s">
        <v>1</v>
      </c>
      <c r="G680" t="b">
        <v>0</v>
      </c>
      <c r="H680">
        <v>70806</v>
      </c>
      <c r="I680" s="6">
        <v>0</v>
      </c>
      <c r="J680" s="1">
        <v>42377.520694444444</v>
      </c>
      <c r="K680">
        <v>7.99</v>
      </c>
      <c r="L680" s="6">
        <f>('Pizza Sales Calculations'!$J680-'Pizza Sales Calculations'!$C680)*24*60</f>
        <v>2.9999999993015081</v>
      </c>
      <c r="M680">
        <f>COUNTA('Pizza Sales Calculations'!$D680:$F680)</f>
        <v>1</v>
      </c>
      <c r="R680" s="9">
        <f>IF('Pizza Sales Calculations'!$G680=TRUE, Parameters!$B$17*'Pizza Sales Calculations'!$L680*2, 0)</f>
        <v>0</v>
      </c>
      <c r="T680" s="6"/>
      <c r="U680" s="9"/>
    </row>
    <row r="681" spans="1:21" x14ac:dyDescent="0.2">
      <c r="A681">
        <v>680</v>
      </c>
      <c r="B681" s="1">
        <v>42377.578310185185</v>
      </c>
      <c r="C681" s="1">
        <v>42377.588726851849</v>
      </c>
      <c r="D681" t="s">
        <v>2</v>
      </c>
      <c r="G681" t="b">
        <v>1</v>
      </c>
      <c r="H681">
        <v>70805</v>
      </c>
      <c r="I681" s="6">
        <v>1.7328184039232899</v>
      </c>
      <c r="J681" s="1">
        <v>42377.594733796293</v>
      </c>
      <c r="K681">
        <v>11.59</v>
      </c>
      <c r="L681" s="6">
        <f>('Pizza Sales Calculations'!$J681-'Pizza Sales Calculations'!$C681)*24*60</f>
        <v>8.6499999999068677</v>
      </c>
      <c r="M681">
        <f>COUNTA('Pizza Sales Calculations'!$D681:$F681)</f>
        <v>1</v>
      </c>
      <c r="R681" s="9">
        <f>IF('Pizza Sales Calculations'!$G681=TRUE, Parameters!$B$17*'Pizza Sales Calculations'!$L681*2, 0)</f>
        <v>2.4508333333069459</v>
      </c>
      <c r="T681" s="6"/>
      <c r="U681" s="9"/>
    </row>
    <row r="682" spans="1:21" x14ac:dyDescent="0.2">
      <c r="A682">
        <v>681</v>
      </c>
      <c r="B682" s="1">
        <v>42377.509699074071</v>
      </c>
      <c r="C682" s="1">
        <v>42377.520092592589</v>
      </c>
      <c r="D682" t="s">
        <v>35</v>
      </c>
      <c r="G682" t="b">
        <v>0</v>
      </c>
      <c r="H682">
        <v>70804</v>
      </c>
      <c r="I682" s="6">
        <v>0</v>
      </c>
      <c r="J682" s="1">
        <v>42377.522187499999</v>
      </c>
      <c r="K682">
        <v>15.35</v>
      </c>
      <c r="L682" s="6">
        <f>('Pizza Sales Calculations'!$J682-'Pizza Sales Calculations'!$C682)*24*60</f>
        <v>3.0166666698642075</v>
      </c>
      <c r="M682">
        <f>COUNTA('Pizza Sales Calculations'!$D682:$F682)</f>
        <v>1</v>
      </c>
      <c r="R682" s="9">
        <f>IF('Pizza Sales Calculations'!$G682=TRUE, Parameters!$B$17*'Pizza Sales Calculations'!$L682*2, 0)</f>
        <v>0</v>
      </c>
      <c r="T682" s="6"/>
      <c r="U682" s="9"/>
    </row>
    <row r="683" spans="1:21" x14ac:dyDescent="0.2">
      <c r="A683">
        <v>682</v>
      </c>
      <c r="B683" s="1">
        <v>42377.490578703706</v>
      </c>
      <c r="C683" s="1">
        <v>42377.500983796293</v>
      </c>
      <c r="D683" t="s">
        <v>2</v>
      </c>
      <c r="G683" t="b">
        <v>0</v>
      </c>
      <c r="H683">
        <v>70803</v>
      </c>
      <c r="I683" s="6">
        <v>0</v>
      </c>
      <c r="J683" s="1">
        <v>42377.503067129626</v>
      </c>
      <c r="K683">
        <v>11.59</v>
      </c>
      <c r="L683" s="6">
        <f>('Pizza Sales Calculations'!$J683-'Pizza Sales Calculations'!$C683)*24*60</f>
        <v>2.9999999993015081</v>
      </c>
      <c r="M683">
        <f>COUNTA('Pizza Sales Calculations'!$D683:$F683)</f>
        <v>1</v>
      </c>
      <c r="R683" s="9">
        <f>IF('Pizza Sales Calculations'!$G683=TRUE, Parameters!$B$17*'Pizza Sales Calculations'!$L683*2, 0)</f>
        <v>0</v>
      </c>
      <c r="T683" s="6"/>
      <c r="U683" s="9"/>
    </row>
    <row r="684" spans="1:21" x14ac:dyDescent="0.2">
      <c r="A684">
        <v>683</v>
      </c>
      <c r="B684" s="1">
        <v>42377.51489583333</v>
      </c>
      <c r="C684" s="1">
        <v>42377.525312500002</v>
      </c>
      <c r="D684" t="s">
        <v>35</v>
      </c>
      <c r="G684" t="b">
        <v>1</v>
      </c>
      <c r="H684">
        <v>70804</v>
      </c>
      <c r="I684" s="6">
        <v>0.99663925964378997</v>
      </c>
      <c r="J684" s="1">
        <v>42377.528761574074</v>
      </c>
      <c r="K684">
        <v>15.35</v>
      </c>
      <c r="L684" s="6">
        <f>('Pizza Sales Calculations'!$J684-'Pizza Sales Calculations'!$C684)*24*60</f>
        <v>4.9666666646953672</v>
      </c>
      <c r="M684">
        <f>COUNTA('Pizza Sales Calculations'!$D684:$F684)</f>
        <v>1</v>
      </c>
      <c r="R684" s="9">
        <f>IF('Pizza Sales Calculations'!$G684=TRUE, Parameters!$B$17*'Pizza Sales Calculations'!$L684*2, 0)</f>
        <v>1.4072222216636874</v>
      </c>
      <c r="T684" s="6"/>
      <c r="U684" s="9"/>
    </row>
    <row r="685" spans="1:21" x14ac:dyDescent="0.2">
      <c r="A685">
        <v>684</v>
      </c>
      <c r="B685" s="1">
        <v>42377.555474537039</v>
      </c>
      <c r="C685" s="1">
        <v>42377.565868055557</v>
      </c>
      <c r="D685" t="s">
        <v>1</v>
      </c>
      <c r="G685" t="b">
        <v>0</v>
      </c>
      <c r="H685">
        <v>70804</v>
      </c>
      <c r="I685" s="6">
        <v>0</v>
      </c>
      <c r="J685" s="1">
        <v>42377.567939814813</v>
      </c>
      <c r="K685">
        <v>7.99</v>
      </c>
      <c r="L685" s="6">
        <f>('Pizza Sales Calculations'!$J685-'Pizza Sales Calculations'!$C685)*24*60</f>
        <v>2.9833333287388086</v>
      </c>
      <c r="M685">
        <f>COUNTA('Pizza Sales Calculations'!$D685:$F685)</f>
        <v>1</v>
      </c>
      <c r="R685" s="9">
        <f>IF('Pizza Sales Calculations'!$G685=TRUE, Parameters!$B$17*'Pizza Sales Calculations'!$L685*2, 0)</f>
        <v>0</v>
      </c>
      <c r="T685" s="6"/>
      <c r="U685" s="9"/>
    </row>
    <row r="686" spans="1:21" x14ac:dyDescent="0.2">
      <c r="A686">
        <v>685</v>
      </c>
      <c r="B686" s="1">
        <v>42377.510798611111</v>
      </c>
      <c r="C686" s="1">
        <v>42377.521215277775</v>
      </c>
      <c r="D686" t="s">
        <v>35</v>
      </c>
      <c r="G686" t="b">
        <v>1</v>
      </c>
      <c r="H686">
        <v>70804</v>
      </c>
      <c r="I686" s="6">
        <v>3.9721325825942699</v>
      </c>
      <c r="J686" s="1">
        <v>42377.535000000003</v>
      </c>
      <c r="K686">
        <v>15.35</v>
      </c>
      <c r="L686" s="6">
        <f>('Pizza Sales Calculations'!$J686-'Pizza Sales Calculations'!$C686)*24*60</f>
        <v>19.850000009173527</v>
      </c>
      <c r="M686">
        <f>COUNTA('Pizza Sales Calculations'!$D686:$F686)</f>
        <v>1</v>
      </c>
      <c r="R686" s="9">
        <f>IF('Pizza Sales Calculations'!$G686=TRUE, Parameters!$B$17*'Pizza Sales Calculations'!$L686*2, 0)</f>
        <v>5.6241666692658328</v>
      </c>
      <c r="T686" s="6"/>
      <c r="U686" s="9"/>
    </row>
    <row r="687" spans="1:21" x14ac:dyDescent="0.2">
      <c r="A687">
        <v>686</v>
      </c>
      <c r="B687" s="1">
        <v>42377.487569444442</v>
      </c>
      <c r="C687" s="1">
        <v>42377.497974537036</v>
      </c>
      <c r="D687" t="s">
        <v>1</v>
      </c>
      <c r="E687" t="s">
        <v>2</v>
      </c>
      <c r="G687" t="b">
        <v>1</v>
      </c>
      <c r="H687">
        <v>70805</v>
      </c>
      <c r="I687" s="6">
        <v>0.93151085195254801</v>
      </c>
      <c r="J687" s="1">
        <v>42377.501203703701</v>
      </c>
      <c r="K687">
        <v>19.579999999999998</v>
      </c>
      <c r="L687" s="6">
        <f>('Pizza Sales Calculations'!$J687-'Pizza Sales Calculations'!$C687)*24*60</f>
        <v>4.6499999973457307</v>
      </c>
      <c r="M687">
        <f>COUNTA('Pizza Sales Calculations'!$D687:$F687)</f>
        <v>2</v>
      </c>
      <c r="R687" s="9">
        <f>IF('Pizza Sales Calculations'!$G687=TRUE, Parameters!$B$17*'Pizza Sales Calculations'!$L687*2, 0)</f>
        <v>1.317499999247957</v>
      </c>
      <c r="T687" s="6"/>
      <c r="U687" s="9"/>
    </row>
    <row r="688" spans="1:21" x14ac:dyDescent="0.2">
      <c r="A688">
        <v>687</v>
      </c>
      <c r="B688" s="1">
        <v>42377.453796296293</v>
      </c>
      <c r="C688" s="1">
        <v>42377.464212962965</v>
      </c>
      <c r="D688" t="s">
        <v>2</v>
      </c>
      <c r="G688" t="b">
        <v>1</v>
      </c>
      <c r="H688">
        <v>70804</v>
      </c>
      <c r="I688" s="6">
        <v>4.5265690765360196</v>
      </c>
      <c r="J688" s="1">
        <v>42377.47991898148</v>
      </c>
      <c r="K688">
        <v>11.59</v>
      </c>
      <c r="L688" s="6">
        <f>('Pizza Sales Calculations'!$J688-'Pizza Sales Calculations'!$C688)*24*60</f>
        <v>22.616666662506759</v>
      </c>
      <c r="M688">
        <f>COUNTA('Pizza Sales Calculations'!$D688:$F688)</f>
        <v>1</v>
      </c>
      <c r="R688" s="9">
        <f>IF('Pizza Sales Calculations'!$G688=TRUE, Parameters!$B$17*'Pizza Sales Calculations'!$L688*2, 0)</f>
        <v>6.4080555543769151</v>
      </c>
      <c r="T688" s="6"/>
      <c r="U688" s="9"/>
    </row>
    <row r="689" spans="1:21" x14ac:dyDescent="0.2">
      <c r="A689">
        <v>688</v>
      </c>
      <c r="B689" s="1">
        <v>42377.45480324074</v>
      </c>
      <c r="C689" s="1">
        <v>42377.465196759258</v>
      </c>
      <c r="D689" t="s">
        <v>35</v>
      </c>
      <c r="G689" t="b">
        <v>1</v>
      </c>
      <c r="H689">
        <v>70805</v>
      </c>
      <c r="I689" s="6">
        <v>3.2021937838318202</v>
      </c>
      <c r="J689" s="1">
        <v>42377.476307870369</v>
      </c>
      <c r="K689">
        <v>15.35</v>
      </c>
      <c r="L689" s="6">
        <f>('Pizza Sales Calculations'!$J689-'Pizza Sales Calculations'!$C689)*24*60</f>
        <v>15.999999999767169</v>
      </c>
      <c r="M689">
        <f>COUNTA('Pizza Sales Calculations'!$D689:$F689)</f>
        <v>1</v>
      </c>
      <c r="R689" s="9">
        <f>IF('Pizza Sales Calculations'!$G689=TRUE, Parameters!$B$17*'Pizza Sales Calculations'!$L689*2, 0)</f>
        <v>4.5333333332673647</v>
      </c>
      <c r="T689" s="6"/>
      <c r="U689" s="9"/>
    </row>
    <row r="690" spans="1:21" x14ac:dyDescent="0.2">
      <c r="A690">
        <v>689</v>
      </c>
      <c r="B690" s="1">
        <v>42377.429247685184</v>
      </c>
      <c r="C690" s="1">
        <v>42377.439652777779</v>
      </c>
      <c r="D690" t="s">
        <v>2</v>
      </c>
      <c r="G690" t="b">
        <v>1</v>
      </c>
      <c r="H690">
        <v>70804</v>
      </c>
      <c r="I690" s="6">
        <v>3.4768872472238401</v>
      </c>
      <c r="J690" s="1">
        <v>42377.451724537037</v>
      </c>
      <c r="K690">
        <v>11.59</v>
      </c>
      <c r="L690" s="6">
        <f>('Pizza Sales Calculations'!$J690-'Pizza Sales Calculations'!$C690)*24*60</f>
        <v>17.383333331672475</v>
      </c>
      <c r="M690">
        <f>COUNTA('Pizza Sales Calculations'!$D690:$F690)</f>
        <v>1</v>
      </c>
      <c r="R690" s="9">
        <f>IF('Pizza Sales Calculations'!$G690=TRUE, Parameters!$B$17*'Pizza Sales Calculations'!$L690*2, 0)</f>
        <v>4.9252777773072012</v>
      </c>
      <c r="T690" s="6"/>
      <c r="U690" s="9"/>
    </row>
    <row r="691" spans="1:21" x14ac:dyDescent="0.2">
      <c r="A691">
        <v>690</v>
      </c>
      <c r="B691" s="1">
        <v>42377.482939814814</v>
      </c>
      <c r="C691" s="1">
        <v>42377.493344907409</v>
      </c>
      <c r="D691" t="s">
        <v>1</v>
      </c>
      <c r="G691" t="b">
        <v>0</v>
      </c>
      <c r="H691">
        <v>70805</v>
      </c>
      <c r="I691" s="6">
        <v>0</v>
      </c>
      <c r="J691" s="1">
        <v>42377.495416666665</v>
      </c>
      <c r="K691">
        <v>7.99</v>
      </c>
      <c r="L691" s="6">
        <f>('Pizza Sales Calculations'!$J691-'Pizza Sales Calculations'!$C691)*24*60</f>
        <v>2.9833333287388086</v>
      </c>
      <c r="M691">
        <f>COUNTA('Pizza Sales Calculations'!$D691:$F691)</f>
        <v>1</v>
      </c>
      <c r="R691" s="9">
        <f>IF('Pizza Sales Calculations'!$G691=TRUE, Parameters!$B$17*'Pizza Sales Calculations'!$L691*2, 0)</f>
        <v>0</v>
      </c>
      <c r="T691" s="6"/>
      <c r="U691" s="9"/>
    </row>
    <row r="692" spans="1:21" x14ac:dyDescent="0.2">
      <c r="A692">
        <v>691</v>
      </c>
      <c r="B692" s="1">
        <v>42377.475462962961</v>
      </c>
      <c r="C692" s="1">
        <v>42377.485891203702</v>
      </c>
      <c r="D692" t="s">
        <v>35</v>
      </c>
      <c r="G692" t="b">
        <v>1</v>
      </c>
      <c r="H692">
        <v>70806</v>
      </c>
      <c r="I692" s="6">
        <v>1.8226504486347299</v>
      </c>
      <c r="J692" s="1">
        <v>42377.492210648146</v>
      </c>
      <c r="K692">
        <v>15.35</v>
      </c>
      <c r="L692" s="6">
        <f>('Pizza Sales Calculations'!$J692-'Pizza Sales Calculations'!$C692)*24*60</f>
        <v>9.1000000003259629</v>
      </c>
      <c r="M692">
        <f>COUNTA('Pizza Sales Calculations'!$D692:$F692)</f>
        <v>1</v>
      </c>
      <c r="R692" s="9">
        <f>IF('Pizza Sales Calculations'!$G692=TRUE, Parameters!$B$17*'Pizza Sales Calculations'!$L692*2, 0)</f>
        <v>2.5783333334256895</v>
      </c>
      <c r="T692" s="6"/>
      <c r="U692" s="9"/>
    </row>
    <row r="693" spans="1:21" x14ac:dyDescent="0.2">
      <c r="A693">
        <v>692</v>
      </c>
      <c r="B693" s="1">
        <v>42377.504629629628</v>
      </c>
      <c r="C693" s="1">
        <v>42377.515046296299</v>
      </c>
      <c r="D693" t="s">
        <v>35</v>
      </c>
      <c r="G693" t="b">
        <v>1</v>
      </c>
      <c r="H693">
        <v>70804</v>
      </c>
      <c r="I693" s="6">
        <v>4.3292559322919804</v>
      </c>
      <c r="J693" s="1">
        <v>42377.530069444445</v>
      </c>
      <c r="K693">
        <v>15.35</v>
      </c>
      <c r="L693" s="6">
        <f>('Pizza Sales Calculations'!$J693-'Pizza Sales Calculations'!$C693)*24*60</f>
        <v>21.63333332980983</v>
      </c>
      <c r="M693">
        <f>COUNTA('Pizza Sales Calculations'!$D693:$F693)</f>
        <v>1</v>
      </c>
      <c r="R693" s="9">
        <f>IF('Pizza Sales Calculations'!$G693=TRUE, Parameters!$B$17*'Pizza Sales Calculations'!$L693*2, 0)</f>
        <v>6.1294444434461184</v>
      </c>
      <c r="T693" s="6"/>
      <c r="U693" s="9"/>
    </row>
    <row r="694" spans="1:21" x14ac:dyDescent="0.2">
      <c r="A694">
        <v>693</v>
      </c>
      <c r="B694" s="1">
        <v>42377.424085648148</v>
      </c>
      <c r="C694" s="1">
        <v>42377.434513888889</v>
      </c>
      <c r="D694" t="s">
        <v>1</v>
      </c>
      <c r="E694" t="s">
        <v>2</v>
      </c>
      <c r="G694" t="b">
        <v>1</v>
      </c>
      <c r="H694">
        <v>70805</v>
      </c>
      <c r="I694" s="6">
        <v>2.72849140783882</v>
      </c>
      <c r="J694" s="1">
        <v>42377.443981481483</v>
      </c>
      <c r="K694">
        <v>19.579999999999998</v>
      </c>
      <c r="L694" s="6">
        <f>('Pizza Sales Calculations'!$J694-'Pizza Sales Calculations'!$C694)*24*60</f>
        <v>13.633333335164934</v>
      </c>
      <c r="M694">
        <f>COUNTA('Pizza Sales Calculations'!$D694:$F694)</f>
        <v>2</v>
      </c>
      <c r="R694" s="9">
        <f>IF('Pizza Sales Calculations'!$G694=TRUE, Parameters!$B$17*'Pizza Sales Calculations'!$L694*2, 0)</f>
        <v>3.8627777782967314</v>
      </c>
      <c r="T694" s="6"/>
      <c r="U694" s="9"/>
    </row>
    <row r="695" spans="1:21" x14ac:dyDescent="0.2">
      <c r="A695">
        <v>694</v>
      </c>
      <c r="B695" s="1">
        <v>42377.528136574074</v>
      </c>
      <c r="C695" s="1">
        <v>42377.538541666669</v>
      </c>
      <c r="D695" t="s">
        <v>1</v>
      </c>
      <c r="G695" t="b">
        <v>1</v>
      </c>
      <c r="H695">
        <v>70806</v>
      </c>
      <c r="I695" s="6">
        <v>4.6970107492362203</v>
      </c>
      <c r="J695" s="1">
        <v>42377.554849537039</v>
      </c>
      <c r="K695">
        <v>7.99</v>
      </c>
      <c r="L695" s="6">
        <f>('Pizza Sales Calculations'!$J695-'Pizza Sales Calculations'!$C695)*24*60</f>
        <v>23.48333333269693</v>
      </c>
      <c r="M695">
        <f>COUNTA('Pizza Sales Calculations'!$D695:$F695)</f>
        <v>1</v>
      </c>
      <c r="R695" s="9">
        <f>IF('Pizza Sales Calculations'!$G695=TRUE, Parameters!$B$17*'Pizza Sales Calculations'!$L695*2, 0)</f>
        <v>6.6536111109307967</v>
      </c>
      <c r="T695" s="6"/>
      <c r="U695" s="9"/>
    </row>
    <row r="696" spans="1:21" x14ac:dyDescent="0.2">
      <c r="A696">
        <v>695</v>
      </c>
      <c r="B696" s="1">
        <v>42377.592245370368</v>
      </c>
      <c r="C696" s="1">
        <v>42377.602638888886</v>
      </c>
      <c r="D696" t="s">
        <v>35</v>
      </c>
      <c r="G696" t="b">
        <v>1</v>
      </c>
      <c r="H696">
        <v>70805</v>
      </c>
      <c r="I696" s="6">
        <v>2.1074883493307102</v>
      </c>
      <c r="J696" s="1">
        <v>42377.609953703701</v>
      </c>
      <c r="K696">
        <v>15.35</v>
      </c>
      <c r="L696" s="6">
        <f>('Pizza Sales Calculations'!$J696-'Pizza Sales Calculations'!$C696)*24*60</f>
        <v>10.533333333441988</v>
      </c>
      <c r="M696">
        <f>COUNTA('Pizza Sales Calculations'!$D696:$F696)</f>
        <v>1</v>
      </c>
      <c r="R696" s="9">
        <f>IF('Pizza Sales Calculations'!$G696=TRUE, Parameters!$B$17*'Pizza Sales Calculations'!$L696*2, 0)</f>
        <v>2.9844444444752298</v>
      </c>
      <c r="T696" s="6"/>
      <c r="U696" s="9"/>
    </row>
    <row r="697" spans="1:21" x14ac:dyDescent="0.2">
      <c r="A697">
        <v>696</v>
      </c>
      <c r="B697" s="1">
        <v>42377.436261574076</v>
      </c>
      <c r="C697" s="1">
        <v>42377.446689814817</v>
      </c>
      <c r="D697" t="s">
        <v>1</v>
      </c>
      <c r="E697" t="s">
        <v>2</v>
      </c>
      <c r="G697" t="b">
        <v>0</v>
      </c>
      <c r="H697">
        <v>70806</v>
      </c>
      <c r="I697" s="6">
        <v>0</v>
      </c>
      <c r="J697" s="1">
        <v>42377.448773148149</v>
      </c>
      <c r="K697">
        <v>19.579999999999998</v>
      </c>
      <c r="L697" s="6">
        <f>('Pizza Sales Calculations'!$J697-'Pizza Sales Calculations'!$C697)*24*60</f>
        <v>2.9999999993015081</v>
      </c>
      <c r="M697">
        <f>COUNTA('Pizza Sales Calculations'!$D697:$F697)</f>
        <v>2</v>
      </c>
      <c r="R697" s="9">
        <f>IF('Pizza Sales Calculations'!$G697=TRUE, Parameters!$B$17*'Pizza Sales Calculations'!$L697*2, 0)</f>
        <v>0</v>
      </c>
      <c r="T697" s="6"/>
      <c r="U697" s="9"/>
    </row>
    <row r="698" spans="1:21" x14ac:dyDescent="0.2">
      <c r="A698">
        <v>697</v>
      </c>
      <c r="B698" s="1">
        <v>42377.507708333331</v>
      </c>
      <c r="C698" s="1">
        <v>42377.518113425926</v>
      </c>
      <c r="D698" t="s">
        <v>35</v>
      </c>
      <c r="G698" t="b">
        <v>1</v>
      </c>
      <c r="H698">
        <v>70807</v>
      </c>
      <c r="I698" s="6">
        <v>3.5619103394023801</v>
      </c>
      <c r="J698" s="1">
        <v>42377.530474537038</v>
      </c>
      <c r="K698">
        <v>15.35</v>
      </c>
      <c r="L698" s="6">
        <f>('Pizza Sales Calculations'!$J698-'Pizza Sales Calculations'!$C698)*24*60</f>
        <v>17.80000000144355</v>
      </c>
      <c r="M698">
        <f>COUNTA('Pizza Sales Calculations'!$D698:$F698)</f>
        <v>1</v>
      </c>
      <c r="R698" s="9">
        <f>IF('Pizza Sales Calculations'!$G698=TRUE, Parameters!$B$17*'Pizza Sales Calculations'!$L698*2, 0)</f>
        <v>5.0433333337423392</v>
      </c>
      <c r="T698" s="6"/>
      <c r="U698" s="9"/>
    </row>
    <row r="699" spans="1:21" x14ac:dyDescent="0.2">
      <c r="A699">
        <v>698</v>
      </c>
      <c r="B699" s="1">
        <v>42377.524143518516</v>
      </c>
      <c r="C699" s="1">
        <v>42377.534571759257</v>
      </c>
      <c r="D699" t="s">
        <v>35</v>
      </c>
      <c r="G699" t="b">
        <v>1</v>
      </c>
      <c r="H699">
        <v>70804</v>
      </c>
      <c r="I699" s="6">
        <v>2.1454603768800702</v>
      </c>
      <c r="J699" s="1">
        <v>42377.542013888888</v>
      </c>
      <c r="K699">
        <v>15.35</v>
      </c>
      <c r="L699" s="6">
        <f>('Pizza Sales Calculations'!$J699-'Pizza Sales Calculations'!$C699)*24*60</f>
        <v>10.716666667722166</v>
      </c>
      <c r="M699">
        <f>COUNTA('Pizza Sales Calculations'!$D699:$F699)</f>
        <v>1</v>
      </c>
      <c r="R699" s="9">
        <f>IF('Pizza Sales Calculations'!$G699=TRUE, Parameters!$B$17*'Pizza Sales Calculations'!$L699*2, 0)</f>
        <v>3.0363888891879469</v>
      </c>
      <c r="T699" s="6"/>
      <c r="U699" s="9"/>
    </row>
    <row r="700" spans="1:21" x14ac:dyDescent="0.2">
      <c r="A700">
        <v>699</v>
      </c>
      <c r="B700" s="1">
        <v>42377.524050925924</v>
      </c>
      <c r="C700" s="1">
        <v>42377.534456018519</v>
      </c>
      <c r="D700" t="s">
        <v>1</v>
      </c>
      <c r="E700" t="s">
        <v>2</v>
      </c>
      <c r="G700" t="b">
        <v>1</v>
      </c>
      <c r="H700">
        <v>70804</v>
      </c>
      <c r="I700" s="6">
        <v>3.4404452126950602</v>
      </c>
      <c r="J700" s="1">
        <v>42377.546400462961</v>
      </c>
      <c r="K700">
        <v>19.579999999999998</v>
      </c>
      <c r="L700" s="6">
        <f>('Pizza Sales Calculations'!$J700-'Pizza Sales Calculations'!$C700)*24*60</f>
        <v>17.199999997392297</v>
      </c>
      <c r="M700">
        <f>COUNTA('Pizza Sales Calculations'!$D700:$F700)</f>
        <v>2</v>
      </c>
      <c r="R700" s="9">
        <f>IF('Pizza Sales Calculations'!$G700=TRUE, Parameters!$B$17*'Pizza Sales Calculations'!$L700*2, 0)</f>
        <v>4.8733333325944841</v>
      </c>
      <c r="T700" s="6"/>
      <c r="U700" s="9"/>
    </row>
    <row r="701" spans="1:21" x14ac:dyDescent="0.2">
      <c r="A701">
        <v>700</v>
      </c>
      <c r="B701" s="1">
        <v>42377.487280092595</v>
      </c>
      <c r="C701" s="1">
        <v>42377.497685185182</v>
      </c>
      <c r="D701" t="s">
        <v>1</v>
      </c>
      <c r="E701" t="s">
        <v>35</v>
      </c>
      <c r="G701" t="b">
        <v>1</v>
      </c>
      <c r="H701">
        <v>70805</v>
      </c>
      <c r="I701" s="6">
        <v>2.9587613608334902</v>
      </c>
      <c r="J701" s="1">
        <v>42377.507951388892</v>
      </c>
      <c r="K701">
        <v>23.34</v>
      </c>
      <c r="L701" s="6">
        <f>('Pizza Sales Calculations'!$J701-'Pizza Sales Calculations'!$C701)*24*60</f>
        <v>14.783333342056721</v>
      </c>
      <c r="M701">
        <f>COUNTA('Pizza Sales Calculations'!$D701:$F701)</f>
        <v>2</v>
      </c>
      <c r="R701" s="9">
        <f>IF('Pizza Sales Calculations'!$G701=TRUE, Parameters!$B$17*'Pizza Sales Calculations'!$L701*2, 0)</f>
        <v>4.1886111135827377</v>
      </c>
      <c r="T701" s="6"/>
      <c r="U701" s="9"/>
    </row>
    <row r="702" spans="1:21" x14ac:dyDescent="0.2">
      <c r="A702">
        <v>701</v>
      </c>
      <c r="B702" s="1">
        <v>42377.523101851853</v>
      </c>
      <c r="C702" s="1">
        <v>42377.533506944441</v>
      </c>
      <c r="D702" t="s">
        <v>1</v>
      </c>
      <c r="E702" t="s">
        <v>35</v>
      </c>
      <c r="G702" t="b">
        <v>0</v>
      </c>
      <c r="H702">
        <v>70804</v>
      </c>
      <c r="I702" s="6">
        <v>0</v>
      </c>
      <c r="J702" s="1">
        <v>42377.535578703704</v>
      </c>
      <c r="K702">
        <v>23.34</v>
      </c>
      <c r="L702" s="6">
        <f>('Pizza Sales Calculations'!$J702-'Pizza Sales Calculations'!$C702)*24*60</f>
        <v>2.9833333392161876</v>
      </c>
      <c r="M702">
        <f>COUNTA('Pizza Sales Calculations'!$D702:$F702)</f>
        <v>2</v>
      </c>
      <c r="R702" s="9">
        <f>IF('Pizza Sales Calculations'!$G702=TRUE, Parameters!$B$17*'Pizza Sales Calculations'!$L702*2, 0)</f>
        <v>0</v>
      </c>
      <c r="T702" s="6"/>
      <c r="U702" s="9"/>
    </row>
    <row r="703" spans="1:21" x14ac:dyDescent="0.2">
      <c r="A703">
        <v>702</v>
      </c>
      <c r="B703" s="1">
        <v>42377.537916666668</v>
      </c>
      <c r="C703" s="1">
        <v>42377.548321759263</v>
      </c>
      <c r="D703" t="s">
        <v>1</v>
      </c>
      <c r="E703" t="s">
        <v>35</v>
      </c>
      <c r="G703" t="b">
        <v>0</v>
      </c>
      <c r="H703">
        <v>70805</v>
      </c>
      <c r="I703" s="6">
        <v>0</v>
      </c>
      <c r="J703" s="1">
        <v>42377.550393518519</v>
      </c>
      <c r="K703">
        <v>23.34</v>
      </c>
      <c r="L703" s="6">
        <f>('Pizza Sales Calculations'!$J703-'Pizza Sales Calculations'!$C703)*24*60</f>
        <v>2.9833333287388086</v>
      </c>
      <c r="M703">
        <f>COUNTA('Pizza Sales Calculations'!$D703:$F703)</f>
        <v>2</v>
      </c>
      <c r="R703" s="9">
        <f>IF('Pizza Sales Calculations'!$G703=TRUE, Parameters!$B$17*'Pizza Sales Calculations'!$L703*2, 0)</f>
        <v>0</v>
      </c>
      <c r="T703" s="6"/>
      <c r="U703" s="9"/>
    </row>
    <row r="704" spans="1:21" x14ac:dyDescent="0.2">
      <c r="A704">
        <v>703</v>
      </c>
      <c r="B704" s="1">
        <v>42377.503229166665</v>
      </c>
      <c r="C704" s="1">
        <v>42377.51363425926</v>
      </c>
      <c r="D704" t="s">
        <v>2</v>
      </c>
      <c r="G704" t="b">
        <v>1</v>
      </c>
      <c r="H704">
        <v>70805</v>
      </c>
      <c r="I704" s="6">
        <v>3.9385955839323499</v>
      </c>
      <c r="J704" s="1">
        <v>42377.527303240742</v>
      </c>
      <c r="K704">
        <v>11.59</v>
      </c>
      <c r="L704" s="6">
        <f>('Pizza Sales Calculations'!$J704-'Pizza Sales Calculations'!$C704)*24*60</f>
        <v>19.68333333497867</v>
      </c>
      <c r="M704">
        <f>COUNTA('Pizza Sales Calculations'!$D704:$F704)</f>
        <v>1</v>
      </c>
      <c r="R704" s="9">
        <f>IF('Pizza Sales Calculations'!$G704=TRUE, Parameters!$B$17*'Pizza Sales Calculations'!$L704*2, 0)</f>
        <v>5.5769444449106231</v>
      </c>
      <c r="T704" s="6"/>
      <c r="U704" s="9"/>
    </row>
    <row r="705" spans="1:21" x14ac:dyDescent="0.2">
      <c r="A705">
        <v>704</v>
      </c>
      <c r="B705" s="1">
        <v>42377.477118055554</v>
      </c>
      <c r="C705" s="1">
        <v>42377.487534722219</v>
      </c>
      <c r="D705" t="s">
        <v>2</v>
      </c>
      <c r="G705" t="b">
        <v>0</v>
      </c>
      <c r="H705">
        <v>70804</v>
      </c>
      <c r="I705" s="6">
        <v>0</v>
      </c>
      <c r="J705" s="1">
        <v>42377.489618055559</v>
      </c>
      <c r="K705">
        <v>11.59</v>
      </c>
      <c r="L705" s="6">
        <f>('Pizza Sales Calculations'!$J705-'Pizza Sales Calculations'!$C705)*24*60</f>
        <v>3.000000009778887</v>
      </c>
      <c r="M705">
        <f>COUNTA('Pizza Sales Calculations'!$D705:$F705)</f>
        <v>1</v>
      </c>
      <c r="R705" s="9">
        <f>IF('Pizza Sales Calculations'!$G705=TRUE, Parameters!$B$17*'Pizza Sales Calculations'!$L705*2, 0)</f>
        <v>0</v>
      </c>
      <c r="T705" s="6"/>
      <c r="U705" s="9"/>
    </row>
    <row r="706" spans="1:21" x14ac:dyDescent="0.2">
      <c r="A706">
        <v>705</v>
      </c>
      <c r="B706" s="1">
        <v>42377.432430555556</v>
      </c>
      <c r="C706" s="1">
        <v>42377.442870370367</v>
      </c>
      <c r="D706" t="s">
        <v>1</v>
      </c>
      <c r="E706" t="s">
        <v>2</v>
      </c>
      <c r="F706" t="s">
        <v>35</v>
      </c>
      <c r="G706" t="b">
        <v>0</v>
      </c>
      <c r="H706">
        <v>70805</v>
      </c>
      <c r="I706" s="6">
        <v>0</v>
      </c>
      <c r="J706" s="1">
        <v>42377.44494212963</v>
      </c>
      <c r="K706">
        <v>33.93</v>
      </c>
      <c r="L706" s="6">
        <f>('Pizza Sales Calculations'!$J706-'Pizza Sales Calculations'!$C706)*24*60</f>
        <v>2.9833333392161876</v>
      </c>
      <c r="M706">
        <f>COUNTA('Pizza Sales Calculations'!$D706:$F706)</f>
        <v>3</v>
      </c>
      <c r="R706" s="9">
        <f>IF('Pizza Sales Calculations'!$G706=TRUE, Parameters!$B$17*'Pizza Sales Calculations'!$L706*2, 0)</f>
        <v>0</v>
      </c>
      <c r="T706" s="6"/>
      <c r="U706" s="9"/>
    </row>
    <row r="707" spans="1:21" x14ac:dyDescent="0.2">
      <c r="A707">
        <v>706</v>
      </c>
      <c r="B707" s="1">
        <v>42377.508564814816</v>
      </c>
      <c r="C707" s="1">
        <v>42377.518969907411</v>
      </c>
      <c r="D707" t="s">
        <v>1</v>
      </c>
      <c r="E707" t="s">
        <v>2</v>
      </c>
      <c r="G707" t="b">
        <v>1</v>
      </c>
      <c r="H707">
        <v>70803</v>
      </c>
      <c r="I707" s="6">
        <v>3.4951320992434001</v>
      </c>
      <c r="J707" s="1">
        <v>42377.531099537038</v>
      </c>
      <c r="K707">
        <v>19.579999999999998</v>
      </c>
      <c r="L707" s="6">
        <f>('Pizza Sales Calculations'!$J707-'Pizza Sales Calculations'!$C707)*24*60</f>
        <v>17.466666663531214</v>
      </c>
      <c r="M707">
        <f>COUNTA('Pizza Sales Calculations'!$D707:$F707)</f>
        <v>2</v>
      </c>
      <c r="R707" s="9">
        <f>IF('Pizza Sales Calculations'!$G707=TRUE, Parameters!$B$17*'Pizza Sales Calculations'!$L707*2, 0)</f>
        <v>4.9488888880005106</v>
      </c>
      <c r="T707" s="6"/>
      <c r="U707" s="9"/>
    </row>
    <row r="708" spans="1:21" x14ac:dyDescent="0.2">
      <c r="A708">
        <v>707</v>
      </c>
      <c r="B708" s="1">
        <v>42377.475289351853</v>
      </c>
      <c r="C708" s="1">
        <v>42377.485717592594</v>
      </c>
      <c r="D708" t="s">
        <v>1</v>
      </c>
      <c r="E708" t="s">
        <v>2</v>
      </c>
      <c r="G708" t="b">
        <v>0</v>
      </c>
      <c r="H708">
        <v>70805</v>
      </c>
      <c r="I708" s="6">
        <v>0</v>
      </c>
      <c r="J708" s="1">
        <v>42377.48778935185</v>
      </c>
      <c r="K708">
        <v>19.579999999999998</v>
      </c>
      <c r="L708" s="6">
        <f>('Pizza Sales Calculations'!$J708-'Pizza Sales Calculations'!$C708)*24*60</f>
        <v>2.9833333287388086</v>
      </c>
      <c r="M708">
        <f>COUNTA('Pizza Sales Calculations'!$D708:$F708)</f>
        <v>2</v>
      </c>
      <c r="R708" s="9">
        <f>IF('Pizza Sales Calculations'!$G708=TRUE, Parameters!$B$17*'Pizza Sales Calculations'!$L708*2, 0)</f>
        <v>0</v>
      </c>
      <c r="T708" s="6"/>
      <c r="U708" s="9"/>
    </row>
    <row r="709" spans="1:21" x14ac:dyDescent="0.2">
      <c r="A709">
        <v>708</v>
      </c>
      <c r="B709" s="1">
        <v>42377.521967592591</v>
      </c>
      <c r="C709" s="1">
        <v>42377.532372685186</v>
      </c>
      <c r="D709" t="s">
        <v>1</v>
      </c>
      <c r="E709" t="s">
        <v>35</v>
      </c>
      <c r="G709" t="b">
        <v>1</v>
      </c>
      <c r="H709">
        <v>70804</v>
      </c>
      <c r="I709" s="6">
        <v>1.70000024866352</v>
      </c>
      <c r="J709" s="1">
        <v>42377.538275462961</v>
      </c>
      <c r="K709">
        <v>23.34</v>
      </c>
      <c r="L709" s="6">
        <f>('Pizza Sales Calculations'!$J709-'Pizza Sales Calculations'!$C709)*24*60</f>
        <v>8.4999999962747097</v>
      </c>
      <c r="M709">
        <f>COUNTA('Pizza Sales Calculations'!$D709:$F709)</f>
        <v>2</v>
      </c>
      <c r="R709" s="9">
        <f>IF('Pizza Sales Calculations'!$G709=TRUE, Parameters!$B$17*'Pizza Sales Calculations'!$L709*2, 0)</f>
        <v>2.4083333322778344</v>
      </c>
      <c r="T709" s="6"/>
      <c r="U709" s="9"/>
    </row>
    <row r="710" spans="1:21" x14ac:dyDescent="0.2">
      <c r="A710">
        <v>709</v>
      </c>
      <c r="B710" s="1">
        <v>42377.516412037039</v>
      </c>
      <c r="C710" s="1">
        <v>42377.526817129627</v>
      </c>
      <c r="D710" t="s">
        <v>2</v>
      </c>
      <c r="G710" t="b">
        <v>0</v>
      </c>
      <c r="H710">
        <v>70805</v>
      </c>
      <c r="I710" s="6">
        <v>0</v>
      </c>
      <c r="J710" s="1">
        <v>42377.528912037036</v>
      </c>
      <c r="K710">
        <v>11.59</v>
      </c>
      <c r="L710" s="6">
        <f>('Pizza Sales Calculations'!$J710-'Pizza Sales Calculations'!$C710)*24*60</f>
        <v>3.0166666698642075</v>
      </c>
      <c r="M710">
        <f>COUNTA('Pizza Sales Calculations'!$D710:$F710)</f>
        <v>1</v>
      </c>
      <c r="R710" s="9">
        <f>IF('Pizza Sales Calculations'!$G710=TRUE, Parameters!$B$17*'Pizza Sales Calculations'!$L710*2, 0)</f>
        <v>0</v>
      </c>
      <c r="T710" s="6"/>
      <c r="U710" s="9"/>
    </row>
    <row r="711" spans="1:21" x14ac:dyDescent="0.2">
      <c r="A711">
        <v>710</v>
      </c>
      <c r="B711" s="1">
        <v>42377.482488425929</v>
      </c>
      <c r="C711" s="1">
        <v>42377.492905092593</v>
      </c>
      <c r="D711" t="s">
        <v>2</v>
      </c>
      <c r="G711" t="b">
        <v>1</v>
      </c>
      <c r="H711">
        <v>70804</v>
      </c>
      <c r="I711" s="6">
        <v>2.9515678471742901</v>
      </c>
      <c r="J711" s="1">
        <v>42377.503148148149</v>
      </c>
      <c r="K711">
        <v>11.59</v>
      </c>
      <c r="L711" s="6">
        <f>('Pizza Sales Calculations'!$J711-'Pizza Sales Calculations'!$C711)*24*60</f>
        <v>14.750000000931323</v>
      </c>
      <c r="M711">
        <f>COUNTA('Pizza Sales Calculations'!$D711:$F711)</f>
        <v>1</v>
      </c>
      <c r="R711" s="9">
        <f>IF('Pizza Sales Calculations'!$G711=TRUE, Parameters!$B$17*'Pizza Sales Calculations'!$L711*2, 0)</f>
        <v>4.1791666669305414</v>
      </c>
      <c r="T711" s="6"/>
      <c r="U711" s="9"/>
    </row>
    <row r="712" spans="1:21" x14ac:dyDescent="0.2">
      <c r="A712">
        <v>711</v>
      </c>
      <c r="B712" s="1">
        <v>42377.499849537038</v>
      </c>
      <c r="C712" s="1">
        <v>42377.510254629633</v>
      </c>
      <c r="D712" t="s">
        <v>1</v>
      </c>
      <c r="E712" t="s">
        <v>2</v>
      </c>
      <c r="G712" t="b">
        <v>0</v>
      </c>
      <c r="H712">
        <v>70804</v>
      </c>
      <c r="I712" s="6">
        <v>0</v>
      </c>
      <c r="J712" s="1">
        <v>42377.512337962966</v>
      </c>
      <c r="K712">
        <v>19.579999999999998</v>
      </c>
      <c r="L712" s="6">
        <f>('Pizza Sales Calculations'!$J712-'Pizza Sales Calculations'!$C712)*24*60</f>
        <v>2.9999999993015081</v>
      </c>
      <c r="M712">
        <f>COUNTA('Pizza Sales Calculations'!$D712:$F712)</f>
        <v>2</v>
      </c>
      <c r="R712" s="9">
        <f>IF('Pizza Sales Calculations'!$G712=TRUE, Parameters!$B$17*'Pizza Sales Calculations'!$L712*2, 0)</f>
        <v>0</v>
      </c>
      <c r="T712" s="6"/>
      <c r="U712" s="9"/>
    </row>
    <row r="713" spans="1:21" x14ac:dyDescent="0.2">
      <c r="A713">
        <v>712</v>
      </c>
      <c r="B713" s="1">
        <v>42377.423067129632</v>
      </c>
      <c r="C713" s="1">
        <v>42377.43346064815</v>
      </c>
      <c r="D713" t="s">
        <v>1</v>
      </c>
      <c r="G713" t="b">
        <v>0</v>
      </c>
      <c r="H713">
        <v>70805</v>
      </c>
      <c r="I713" s="6">
        <v>0</v>
      </c>
      <c r="J713" s="1">
        <v>42377.435520833336</v>
      </c>
      <c r="K713">
        <v>7.99</v>
      </c>
      <c r="L713" s="6">
        <f>('Pizza Sales Calculations'!$J713-'Pizza Sales Calculations'!$C713)*24*60</f>
        <v>2.9666666686534882</v>
      </c>
      <c r="M713">
        <f>COUNTA('Pizza Sales Calculations'!$D713:$F713)</f>
        <v>1</v>
      </c>
      <c r="R713" s="9">
        <f>IF('Pizza Sales Calculations'!$G713=TRUE, Parameters!$B$17*'Pizza Sales Calculations'!$L713*2, 0)</f>
        <v>0</v>
      </c>
      <c r="T713" s="6"/>
      <c r="U713" s="9"/>
    </row>
    <row r="714" spans="1:21" x14ac:dyDescent="0.2">
      <c r="A714">
        <v>713</v>
      </c>
      <c r="B714" s="1">
        <v>42377.475856481484</v>
      </c>
      <c r="C714" s="1">
        <v>42377.486250000002</v>
      </c>
      <c r="D714" t="s">
        <v>35</v>
      </c>
      <c r="G714" t="b">
        <v>0</v>
      </c>
      <c r="H714">
        <v>70805</v>
      </c>
      <c r="I714" s="6">
        <v>0</v>
      </c>
      <c r="J714" s="1">
        <v>42377.488321759258</v>
      </c>
      <c r="K714">
        <v>15.35</v>
      </c>
      <c r="L714" s="6">
        <f>('Pizza Sales Calculations'!$J714-'Pizza Sales Calculations'!$C714)*24*60</f>
        <v>2.9833333287388086</v>
      </c>
      <c r="M714">
        <f>COUNTA('Pizza Sales Calculations'!$D714:$F714)</f>
        <v>1</v>
      </c>
      <c r="R714" s="9">
        <f>IF('Pizza Sales Calculations'!$G714=TRUE, Parameters!$B$17*'Pizza Sales Calculations'!$L714*2, 0)</f>
        <v>0</v>
      </c>
      <c r="T714" s="6"/>
      <c r="U714" s="9"/>
    </row>
    <row r="715" spans="1:21" x14ac:dyDescent="0.2">
      <c r="A715">
        <v>714</v>
      </c>
      <c r="B715" s="1">
        <v>42377.523240740738</v>
      </c>
      <c r="C715" s="1">
        <v>42377.533634259256</v>
      </c>
      <c r="D715" t="s">
        <v>2</v>
      </c>
      <c r="G715" t="b">
        <v>1</v>
      </c>
      <c r="H715">
        <v>70804</v>
      </c>
      <c r="I715" s="6">
        <v>2.0220840965049698</v>
      </c>
      <c r="J715" s="1">
        <v>42377.540648148148</v>
      </c>
      <c r="K715">
        <v>11.59</v>
      </c>
      <c r="L715" s="6">
        <f>('Pizza Sales Calculations'!$J715-'Pizza Sales Calculations'!$C715)*24*60</f>
        <v>10.100000003585592</v>
      </c>
      <c r="M715">
        <f>COUNTA('Pizza Sales Calculations'!$D715:$F715)</f>
        <v>1</v>
      </c>
      <c r="R715" s="9">
        <f>IF('Pizza Sales Calculations'!$G715=TRUE, Parameters!$B$17*'Pizza Sales Calculations'!$L715*2, 0)</f>
        <v>2.8616666676825844</v>
      </c>
      <c r="T715" s="6"/>
      <c r="U715" s="9"/>
    </row>
    <row r="716" spans="1:21" x14ac:dyDescent="0.2">
      <c r="A716">
        <v>715</v>
      </c>
      <c r="B716" s="1">
        <v>42377.513356481482</v>
      </c>
      <c r="C716" s="1">
        <v>42377.523784722223</v>
      </c>
      <c r="D716" t="s">
        <v>2</v>
      </c>
      <c r="G716" t="b">
        <v>0</v>
      </c>
      <c r="H716">
        <v>70805</v>
      </c>
      <c r="I716" s="6">
        <v>0</v>
      </c>
      <c r="J716" s="1">
        <v>42377.525833333333</v>
      </c>
      <c r="K716">
        <v>11.59</v>
      </c>
      <c r="L716" s="6">
        <f>('Pizza Sales Calculations'!$J716-'Pizza Sales Calculations'!$C716)*24*60</f>
        <v>2.9499999980907887</v>
      </c>
      <c r="M716">
        <f>COUNTA('Pizza Sales Calculations'!$D716:$F716)</f>
        <v>1</v>
      </c>
      <c r="R716" s="9">
        <f>IF('Pizza Sales Calculations'!$G716=TRUE, Parameters!$B$17*'Pizza Sales Calculations'!$L716*2, 0)</f>
        <v>0</v>
      </c>
      <c r="T716" s="6"/>
      <c r="U716" s="9"/>
    </row>
    <row r="717" spans="1:21" x14ac:dyDescent="0.2">
      <c r="A717">
        <v>716</v>
      </c>
      <c r="B717" s="1">
        <v>42377.53297453704</v>
      </c>
      <c r="C717" s="1">
        <v>42377.543402777781</v>
      </c>
      <c r="D717" t="s">
        <v>1</v>
      </c>
      <c r="E717" t="s">
        <v>2</v>
      </c>
      <c r="G717" t="b">
        <v>0</v>
      </c>
      <c r="H717">
        <v>70803</v>
      </c>
      <c r="I717" s="6">
        <v>0</v>
      </c>
      <c r="J717" s="1">
        <v>42377.545486111114</v>
      </c>
      <c r="K717">
        <v>19.579999999999998</v>
      </c>
      <c r="L717" s="6">
        <f>('Pizza Sales Calculations'!$J717-'Pizza Sales Calculations'!$C717)*24*60</f>
        <v>2.9999999993015081</v>
      </c>
      <c r="M717">
        <f>COUNTA('Pizza Sales Calculations'!$D717:$F717)</f>
        <v>2</v>
      </c>
      <c r="R717" s="9">
        <f>IF('Pizza Sales Calculations'!$G717=TRUE, Parameters!$B$17*'Pizza Sales Calculations'!$L717*2, 0)</f>
        <v>0</v>
      </c>
      <c r="T717" s="6"/>
      <c r="U717" s="9"/>
    </row>
    <row r="718" spans="1:21" x14ac:dyDescent="0.2">
      <c r="A718">
        <v>717</v>
      </c>
      <c r="B718" s="1">
        <v>42377.495092592595</v>
      </c>
      <c r="C718" s="1">
        <v>42377.505497685182</v>
      </c>
      <c r="D718" t="s">
        <v>35</v>
      </c>
      <c r="G718" t="b">
        <v>0</v>
      </c>
      <c r="H718">
        <v>70805</v>
      </c>
      <c r="I718" s="6">
        <v>0</v>
      </c>
      <c r="J718" s="1">
        <v>42377.507569444446</v>
      </c>
      <c r="K718">
        <v>15.35</v>
      </c>
      <c r="L718" s="6">
        <f>('Pizza Sales Calculations'!$J718-'Pizza Sales Calculations'!$C718)*24*60</f>
        <v>2.9833333392161876</v>
      </c>
      <c r="M718">
        <f>COUNTA('Pizza Sales Calculations'!$D718:$F718)</f>
        <v>1</v>
      </c>
      <c r="R718" s="9">
        <f>IF('Pizza Sales Calculations'!$G718=TRUE, Parameters!$B$17*'Pizza Sales Calculations'!$L718*2, 0)</f>
        <v>0</v>
      </c>
      <c r="T718" s="6"/>
      <c r="U718" s="9"/>
    </row>
    <row r="719" spans="1:21" x14ac:dyDescent="0.2">
      <c r="A719">
        <v>718</v>
      </c>
      <c r="B719" s="1">
        <v>42377.501585648148</v>
      </c>
      <c r="C719" s="1">
        <v>42377.511990740742</v>
      </c>
      <c r="D719" t="s">
        <v>1</v>
      </c>
      <c r="G719" t="b">
        <v>0</v>
      </c>
      <c r="H719">
        <v>70806</v>
      </c>
      <c r="I719" s="6">
        <v>0</v>
      </c>
      <c r="J719" s="1">
        <v>42377.514062499999</v>
      </c>
      <c r="K719">
        <v>7.99</v>
      </c>
      <c r="L719" s="6">
        <f>('Pizza Sales Calculations'!$J719-'Pizza Sales Calculations'!$C719)*24*60</f>
        <v>2.9833333287388086</v>
      </c>
      <c r="M719">
        <f>COUNTA('Pizza Sales Calculations'!$D719:$F719)</f>
        <v>1</v>
      </c>
      <c r="R719" s="9">
        <f>IF('Pizza Sales Calculations'!$G719=TRUE, Parameters!$B$17*'Pizza Sales Calculations'!$L719*2, 0)</f>
        <v>0</v>
      </c>
      <c r="T719" s="6"/>
      <c r="U719" s="9"/>
    </row>
    <row r="720" spans="1:21" x14ac:dyDescent="0.2">
      <c r="A720">
        <v>719</v>
      </c>
      <c r="B720" s="1">
        <v>42377.592175925929</v>
      </c>
      <c r="C720" s="1">
        <v>42377.60260416667</v>
      </c>
      <c r="D720" t="s">
        <v>2</v>
      </c>
      <c r="G720" t="b">
        <v>1</v>
      </c>
      <c r="H720">
        <v>70803</v>
      </c>
      <c r="I720" s="6">
        <v>5.4078377336776899</v>
      </c>
      <c r="J720" s="1">
        <v>42377.621377314812</v>
      </c>
      <c r="K720">
        <v>11.59</v>
      </c>
      <c r="L720" s="6">
        <f>('Pizza Sales Calculations'!$J720-'Pizza Sales Calculations'!$C720)*24*60</f>
        <v>27.033333324361593</v>
      </c>
      <c r="M720">
        <f>COUNTA('Pizza Sales Calculations'!$D720:$F720)</f>
        <v>1</v>
      </c>
      <c r="R720" s="9">
        <f>IF('Pizza Sales Calculations'!$G720=TRUE, Parameters!$B$17*'Pizza Sales Calculations'!$L720*2, 0)</f>
        <v>7.6594444419024512</v>
      </c>
      <c r="T720" s="6"/>
      <c r="U720" s="9"/>
    </row>
    <row r="721" spans="1:21" x14ac:dyDescent="0.2">
      <c r="A721">
        <v>720</v>
      </c>
      <c r="B721" s="1">
        <v>42377.569363425922</v>
      </c>
      <c r="C721" s="1">
        <v>42377.579756944448</v>
      </c>
      <c r="D721" t="s">
        <v>1</v>
      </c>
      <c r="G721" t="b">
        <v>1</v>
      </c>
      <c r="H721">
        <v>70805</v>
      </c>
      <c r="I721" s="6">
        <v>3.3609764242120699</v>
      </c>
      <c r="J721" s="1">
        <v>42377.591423611113</v>
      </c>
      <c r="K721">
        <v>7.99</v>
      </c>
      <c r="L721" s="6">
        <f>('Pizza Sales Calculations'!$J721-'Pizza Sales Calculations'!$C721)*24*60</f>
        <v>16.799999998183921</v>
      </c>
      <c r="M721">
        <f>COUNTA('Pizza Sales Calculations'!$D721:$F721)</f>
        <v>1</v>
      </c>
      <c r="R721" s="9">
        <f>IF('Pizza Sales Calculations'!$G721=TRUE, Parameters!$B$17*'Pizza Sales Calculations'!$L721*2, 0)</f>
        <v>4.7599999994854443</v>
      </c>
      <c r="T721" s="6"/>
      <c r="U721" s="9"/>
    </row>
    <row r="722" spans="1:21" x14ac:dyDescent="0.2">
      <c r="A722">
        <v>721</v>
      </c>
      <c r="B722" s="1">
        <v>42377.518796296295</v>
      </c>
      <c r="C722" s="1">
        <v>42377.52920138889</v>
      </c>
      <c r="D722" t="s">
        <v>35</v>
      </c>
      <c r="G722" t="b">
        <v>0</v>
      </c>
      <c r="H722">
        <v>70805</v>
      </c>
      <c r="I722" s="6">
        <v>0</v>
      </c>
      <c r="J722" s="1">
        <v>42377.531273148146</v>
      </c>
      <c r="K722">
        <v>15.35</v>
      </c>
      <c r="L722" s="6">
        <f>('Pizza Sales Calculations'!$J722-'Pizza Sales Calculations'!$C722)*24*60</f>
        <v>2.9833333287388086</v>
      </c>
      <c r="M722">
        <f>COUNTA('Pizza Sales Calculations'!$D722:$F722)</f>
        <v>1</v>
      </c>
      <c r="R722" s="9">
        <f>IF('Pizza Sales Calculations'!$G722=TRUE, Parameters!$B$17*'Pizza Sales Calculations'!$L722*2, 0)</f>
        <v>0</v>
      </c>
      <c r="T722" s="6"/>
      <c r="U722" s="9"/>
    </row>
    <row r="723" spans="1:21" x14ac:dyDescent="0.2">
      <c r="A723">
        <v>722</v>
      </c>
      <c r="B723" s="1">
        <v>42377.523125</v>
      </c>
      <c r="C723" s="1">
        <v>42377.533530092594</v>
      </c>
      <c r="D723" t="s">
        <v>2</v>
      </c>
      <c r="G723" t="b">
        <v>1</v>
      </c>
      <c r="H723">
        <v>70808</v>
      </c>
      <c r="I723" s="6">
        <v>2.3559184232680401</v>
      </c>
      <c r="J723" s="1">
        <v>42377.541701388887</v>
      </c>
      <c r="K723">
        <v>11.59</v>
      </c>
      <c r="L723" s="6">
        <f>('Pizza Sales Calculations'!$J723-'Pizza Sales Calculations'!$C723)*24*60</f>
        <v>11.766666661715135</v>
      </c>
      <c r="M723">
        <f>COUNTA('Pizza Sales Calculations'!$D723:$F723)</f>
        <v>1</v>
      </c>
      <c r="R723" s="9">
        <f>IF('Pizza Sales Calculations'!$G723=TRUE, Parameters!$B$17*'Pizza Sales Calculations'!$L723*2, 0)</f>
        <v>3.3338888874859549</v>
      </c>
      <c r="T723" s="6"/>
      <c r="U723" s="9"/>
    </row>
    <row r="724" spans="1:21" x14ac:dyDescent="0.2">
      <c r="A724">
        <v>723</v>
      </c>
      <c r="B724" s="1">
        <v>42377.470995370371</v>
      </c>
      <c r="C724" s="1">
        <v>42377.481388888889</v>
      </c>
      <c r="D724" t="s">
        <v>2</v>
      </c>
      <c r="G724" t="b">
        <v>0</v>
      </c>
      <c r="H724">
        <v>70804</v>
      </c>
      <c r="I724" s="6">
        <v>0</v>
      </c>
      <c r="J724" s="1">
        <v>42377.483472222222</v>
      </c>
      <c r="K724">
        <v>11.59</v>
      </c>
      <c r="L724" s="6">
        <f>('Pizza Sales Calculations'!$J724-'Pizza Sales Calculations'!$C724)*24*60</f>
        <v>2.9999999993015081</v>
      </c>
      <c r="M724">
        <f>COUNTA('Pizza Sales Calculations'!$D724:$F724)</f>
        <v>1</v>
      </c>
      <c r="R724" s="9">
        <f>IF('Pizza Sales Calculations'!$G724=TRUE, Parameters!$B$17*'Pizza Sales Calculations'!$L724*2, 0)</f>
        <v>0</v>
      </c>
      <c r="T724" s="6"/>
      <c r="U724" s="9"/>
    </row>
    <row r="725" spans="1:21" x14ac:dyDescent="0.2">
      <c r="A725">
        <v>724</v>
      </c>
      <c r="B725" s="1">
        <v>42377.507268518515</v>
      </c>
      <c r="C725" s="1">
        <v>42377.517696759256</v>
      </c>
      <c r="D725" t="s">
        <v>2</v>
      </c>
      <c r="G725" t="b">
        <v>1</v>
      </c>
      <c r="H725">
        <v>70806</v>
      </c>
      <c r="I725" s="6">
        <v>4.3850610137594801</v>
      </c>
      <c r="J725" s="1">
        <v>42377.532916666663</v>
      </c>
      <c r="K725">
        <v>11.59</v>
      </c>
      <c r="L725" s="6">
        <f>('Pizza Sales Calculations'!$J725-'Pizza Sales Calculations'!$C725)*24*60</f>
        <v>21.916666666511446</v>
      </c>
      <c r="M725">
        <f>COUNTA('Pizza Sales Calculations'!$D725:$F725)</f>
        <v>1</v>
      </c>
      <c r="R725" s="9">
        <f>IF('Pizza Sales Calculations'!$G725=TRUE, Parameters!$B$17*'Pizza Sales Calculations'!$L725*2, 0)</f>
        <v>6.2097222221782431</v>
      </c>
      <c r="T725" s="6"/>
      <c r="U725" s="9"/>
    </row>
    <row r="726" spans="1:21" x14ac:dyDescent="0.2">
      <c r="A726">
        <v>725</v>
      </c>
      <c r="B726" s="1">
        <v>42377.488368055558</v>
      </c>
      <c r="C726" s="1">
        <v>42377.498761574076</v>
      </c>
      <c r="D726" t="s">
        <v>2</v>
      </c>
      <c r="G726" t="b">
        <v>0</v>
      </c>
      <c r="H726">
        <v>70808</v>
      </c>
      <c r="I726" s="6">
        <v>0</v>
      </c>
      <c r="J726" s="1">
        <v>42377.500821759262</v>
      </c>
      <c r="K726">
        <v>11.59</v>
      </c>
      <c r="L726" s="6">
        <f>('Pizza Sales Calculations'!$J726-'Pizza Sales Calculations'!$C726)*24*60</f>
        <v>2.9666666686534882</v>
      </c>
      <c r="M726">
        <f>COUNTA('Pizza Sales Calculations'!$D726:$F726)</f>
        <v>1</v>
      </c>
      <c r="R726" s="9">
        <f>IF('Pizza Sales Calculations'!$G726=TRUE, Parameters!$B$17*'Pizza Sales Calculations'!$L726*2, 0)</f>
        <v>0</v>
      </c>
      <c r="T726" s="6"/>
      <c r="U726" s="9"/>
    </row>
    <row r="727" spans="1:21" x14ac:dyDescent="0.2">
      <c r="A727">
        <v>726</v>
      </c>
      <c r="B727" s="1">
        <v>42377.446226851855</v>
      </c>
      <c r="C727" s="1">
        <v>42377.456643518519</v>
      </c>
      <c r="D727" t="s">
        <v>2</v>
      </c>
      <c r="G727" t="b">
        <v>0</v>
      </c>
      <c r="H727">
        <v>70803</v>
      </c>
      <c r="I727" s="6">
        <v>0</v>
      </c>
      <c r="J727" s="1">
        <v>42377.458726851852</v>
      </c>
      <c r="K727">
        <v>11.59</v>
      </c>
      <c r="L727" s="6">
        <f>('Pizza Sales Calculations'!$J727-'Pizza Sales Calculations'!$C727)*24*60</f>
        <v>2.9999999993015081</v>
      </c>
      <c r="M727">
        <f>COUNTA('Pizza Sales Calculations'!$D727:$F727)</f>
        <v>1</v>
      </c>
      <c r="R727" s="9">
        <f>IF('Pizza Sales Calculations'!$G727=TRUE, Parameters!$B$17*'Pizza Sales Calculations'!$L727*2, 0)</f>
        <v>0</v>
      </c>
      <c r="T727" s="6"/>
      <c r="U727" s="9"/>
    </row>
    <row r="728" spans="1:21" x14ac:dyDescent="0.2">
      <c r="A728">
        <v>727</v>
      </c>
      <c r="B728" s="1">
        <v>42377.539201388892</v>
      </c>
      <c r="C728" s="1">
        <v>42377.54959490741</v>
      </c>
      <c r="D728" t="s">
        <v>1</v>
      </c>
      <c r="E728" t="s">
        <v>2</v>
      </c>
      <c r="G728" t="b">
        <v>0</v>
      </c>
      <c r="H728">
        <v>70805</v>
      </c>
      <c r="I728" s="6">
        <v>0</v>
      </c>
      <c r="J728" s="1">
        <v>42377.551689814813</v>
      </c>
      <c r="K728">
        <v>19.579999999999998</v>
      </c>
      <c r="L728" s="6">
        <f>('Pizza Sales Calculations'!$J728-'Pizza Sales Calculations'!$C728)*24*60</f>
        <v>3.0166666593868285</v>
      </c>
      <c r="M728">
        <f>COUNTA('Pizza Sales Calculations'!$D728:$F728)</f>
        <v>2</v>
      </c>
      <c r="R728" s="9">
        <f>IF('Pizza Sales Calculations'!$G728=TRUE, Parameters!$B$17*'Pizza Sales Calculations'!$L728*2, 0)</f>
        <v>0</v>
      </c>
      <c r="T728" s="6"/>
      <c r="U728" s="9"/>
    </row>
    <row r="729" spans="1:21" x14ac:dyDescent="0.2">
      <c r="A729">
        <v>728</v>
      </c>
      <c r="B729" s="1">
        <v>42377.55605324074</v>
      </c>
      <c r="C729" s="1">
        <v>42377.566481481481</v>
      </c>
      <c r="D729" t="s">
        <v>1</v>
      </c>
      <c r="E729" t="s">
        <v>2</v>
      </c>
      <c r="G729" t="b">
        <v>1</v>
      </c>
      <c r="H729">
        <v>70804</v>
      </c>
      <c r="I729" s="6">
        <v>3.33716479980475</v>
      </c>
      <c r="J729" s="1">
        <v>42377.578067129631</v>
      </c>
      <c r="K729">
        <v>19.579999999999998</v>
      </c>
      <c r="L729" s="6">
        <f>('Pizza Sales Calculations'!$J729-'Pizza Sales Calculations'!$C729)*24*60</f>
        <v>16.683333335677162</v>
      </c>
      <c r="M729">
        <f>COUNTA('Pizza Sales Calculations'!$D729:$F729)</f>
        <v>2</v>
      </c>
      <c r="R729" s="9">
        <f>IF('Pizza Sales Calculations'!$G729=TRUE, Parameters!$B$17*'Pizza Sales Calculations'!$L729*2, 0)</f>
        <v>4.7269444451085292</v>
      </c>
      <c r="T729" s="6"/>
      <c r="U729" s="9"/>
    </row>
    <row r="730" spans="1:21" x14ac:dyDescent="0.2">
      <c r="A730">
        <v>729</v>
      </c>
      <c r="B730" s="1">
        <v>42377.460219907407</v>
      </c>
      <c r="C730" s="1">
        <v>42377.470613425925</v>
      </c>
      <c r="D730" t="s">
        <v>35</v>
      </c>
      <c r="G730" t="b">
        <v>0</v>
      </c>
      <c r="H730">
        <v>70807</v>
      </c>
      <c r="I730" s="6">
        <v>0</v>
      </c>
      <c r="J730" s="1">
        <v>42377.472696759258</v>
      </c>
      <c r="K730">
        <v>15.35</v>
      </c>
      <c r="L730" s="6">
        <f>('Pizza Sales Calculations'!$J730-'Pizza Sales Calculations'!$C730)*24*60</f>
        <v>2.9999999993015081</v>
      </c>
      <c r="M730">
        <f>COUNTA('Pizza Sales Calculations'!$D730:$F730)</f>
        <v>1</v>
      </c>
      <c r="R730" s="9">
        <f>IF('Pizza Sales Calculations'!$G730=TRUE, Parameters!$B$17*'Pizza Sales Calculations'!$L730*2, 0)</f>
        <v>0</v>
      </c>
      <c r="T730" s="6"/>
      <c r="U730" s="9"/>
    </row>
    <row r="731" spans="1:21" x14ac:dyDescent="0.2">
      <c r="A731">
        <v>730</v>
      </c>
      <c r="B731" s="1">
        <v>42377.619398148148</v>
      </c>
      <c r="C731" s="1">
        <v>42377.629826388889</v>
      </c>
      <c r="D731" t="s">
        <v>2</v>
      </c>
      <c r="G731" t="b">
        <v>1</v>
      </c>
      <c r="H731">
        <v>70805</v>
      </c>
      <c r="I731" s="6">
        <v>3.2930242122792999</v>
      </c>
      <c r="J731" s="1">
        <v>42377.641250000001</v>
      </c>
      <c r="K731">
        <v>11.59</v>
      </c>
      <c r="L731" s="6">
        <f>('Pizza Sales Calculations'!$J731-'Pizza Sales Calculations'!$C731)*24*60</f>
        <v>16.450000000186265</v>
      </c>
      <c r="M731">
        <f>COUNTA('Pizza Sales Calculations'!$D731:$F731)</f>
        <v>1</v>
      </c>
      <c r="R731" s="9">
        <f>IF('Pizza Sales Calculations'!$G731=TRUE, Parameters!$B$17*'Pizza Sales Calculations'!$L731*2, 0)</f>
        <v>4.6608333333861083</v>
      </c>
      <c r="T731" s="6"/>
      <c r="U731" s="9"/>
    </row>
    <row r="732" spans="1:21" x14ac:dyDescent="0.2">
      <c r="A732">
        <v>731</v>
      </c>
      <c r="B732" s="1">
        <v>42377.494537037041</v>
      </c>
      <c r="C732" s="1">
        <v>42377.504930555559</v>
      </c>
      <c r="D732" t="s">
        <v>1</v>
      </c>
      <c r="E732" t="s">
        <v>35</v>
      </c>
      <c r="G732" t="b">
        <v>1</v>
      </c>
      <c r="H732">
        <v>70806</v>
      </c>
      <c r="I732" s="6">
        <v>2.7091080479247198</v>
      </c>
      <c r="J732" s="1">
        <v>42377.514328703706</v>
      </c>
      <c r="K732">
        <v>23.34</v>
      </c>
      <c r="L732" s="6">
        <f>('Pizza Sales Calculations'!$J732-'Pizza Sales Calculations'!$C732)*24*60</f>
        <v>13.533333332743496</v>
      </c>
      <c r="M732">
        <f>COUNTA('Pizza Sales Calculations'!$D732:$F732)</f>
        <v>2</v>
      </c>
      <c r="R732" s="9">
        <f>IF('Pizza Sales Calculations'!$G732=TRUE, Parameters!$B$17*'Pizza Sales Calculations'!$L732*2, 0)</f>
        <v>3.8344444442773238</v>
      </c>
      <c r="T732" s="6"/>
      <c r="U732" s="9"/>
    </row>
    <row r="733" spans="1:21" x14ac:dyDescent="0.2">
      <c r="A733">
        <v>732</v>
      </c>
      <c r="B733" s="1">
        <v>42377.463599537034</v>
      </c>
      <c r="C733" s="1">
        <v>42377.474004629628</v>
      </c>
      <c r="D733" t="s">
        <v>1</v>
      </c>
      <c r="G733" t="b">
        <v>0</v>
      </c>
      <c r="H733">
        <v>70807</v>
      </c>
      <c r="I733" s="6">
        <v>0</v>
      </c>
      <c r="J733" s="1">
        <v>42377.476099537038</v>
      </c>
      <c r="K733">
        <v>7.99</v>
      </c>
      <c r="L733" s="6">
        <f>('Pizza Sales Calculations'!$J733-'Pizza Sales Calculations'!$C733)*24*60</f>
        <v>3.0166666698642075</v>
      </c>
      <c r="M733">
        <f>COUNTA('Pizza Sales Calculations'!$D733:$F733)</f>
        <v>1</v>
      </c>
      <c r="R733" s="9">
        <f>IF('Pizza Sales Calculations'!$G733=TRUE, Parameters!$B$17*'Pizza Sales Calculations'!$L733*2, 0)</f>
        <v>0</v>
      </c>
      <c r="T733" s="6"/>
      <c r="U733" s="9"/>
    </row>
    <row r="734" spans="1:21" x14ac:dyDescent="0.2">
      <c r="A734">
        <v>733</v>
      </c>
      <c r="B734" s="1">
        <v>42377.535752314812</v>
      </c>
      <c r="C734" s="1">
        <v>42377.546180555553</v>
      </c>
      <c r="D734" t="s">
        <v>2</v>
      </c>
      <c r="G734" t="b">
        <v>0</v>
      </c>
      <c r="H734">
        <v>70805</v>
      </c>
      <c r="I734" s="6">
        <v>0</v>
      </c>
      <c r="J734" s="1">
        <v>42377.548252314817</v>
      </c>
      <c r="K734">
        <v>11.59</v>
      </c>
      <c r="L734" s="6">
        <f>('Pizza Sales Calculations'!$J734-'Pizza Sales Calculations'!$C734)*24*60</f>
        <v>2.9833333392161876</v>
      </c>
      <c r="M734">
        <f>COUNTA('Pizza Sales Calculations'!$D734:$F734)</f>
        <v>1</v>
      </c>
      <c r="R734" s="9">
        <f>IF('Pizza Sales Calculations'!$G734=TRUE, Parameters!$B$17*'Pizza Sales Calculations'!$L734*2, 0)</f>
        <v>0</v>
      </c>
      <c r="T734" s="6"/>
      <c r="U734" s="9"/>
    </row>
    <row r="735" spans="1:21" x14ac:dyDescent="0.2">
      <c r="A735">
        <v>734</v>
      </c>
      <c r="B735" s="1">
        <v>42377.489594907405</v>
      </c>
      <c r="C735" s="1">
        <v>42377.500023148146</v>
      </c>
      <c r="D735" t="s">
        <v>1</v>
      </c>
      <c r="G735" t="b">
        <v>1</v>
      </c>
      <c r="H735">
        <v>70807</v>
      </c>
      <c r="I735" s="6">
        <v>0.384183544916954</v>
      </c>
      <c r="J735" s="1">
        <v>42377.501354166663</v>
      </c>
      <c r="K735">
        <v>7.99</v>
      </c>
      <c r="L735" s="6">
        <f>('Pizza Sales Calculations'!$J735-'Pizza Sales Calculations'!$C735)*24*60</f>
        <v>1.9166666641831398</v>
      </c>
      <c r="M735">
        <f>COUNTA('Pizza Sales Calculations'!$D735:$F735)</f>
        <v>1</v>
      </c>
      <c r="R735" s="9">
        <f>IF('Pizza Sales Calculations'!$G735=TRUE, Parameters!$B$17*'Pizza Sales Calculations'!$L735*2, 0)</f>
        <v>0.54305555485188961</v>
      </c>
      <c r="T735" s="6"/>
      <c r="U735" s="9"/>
    </row>
    <row r="736" spans="1:21" x14ac:dyDescent="0.2">
      <c r="A736">
        <v>735</v>
      </c>
      <c r="B736" s="1">
        <v>42377.488842592589</v>
      </c>
      <c r="C736" s="1">
        <v>42377.49927083333</v>
      </c>
      <c r="D736" t="s">
        <v>35</v>
      </c>
      <c r="G736" t="b">
        <v>1</v>
      </c>
      <c r="H736">
        <v>70804</v>
      </c>
      <c r="I736" s="6">
        <v>4.56839749455896</v>
      </c>
      <c r="J736" s="1">
        <v>42377.515127314815</v>
      </c>
      <c r="K736">
        <v>15.35</v>
      </c>
      <c r="L736" s="6">
        <f>('Pizza Sales Calculations'!$J736-'Pizza Sales Calculations'!$C736)*24*60</f>
        <v>22.833333337912336</v>
      </c>
      <c r="M736">
        <f>COUNTA('Pizza Sales Calculations'!$D736:$F736)</f>
        <v>1</v>
      </c>
      <c r="R736" s="9">
        <f>IF('Pizza Sales Calculations'!$G736=TRUE, Parameters!$B$17*'Pizza Sales Calculations'!$L736*2, 0)</f>
        <v>6.4694444457418285</v>
      </c>
      <c r="T736" s="6"/>
      <c r="U736" s="9"/>
    </row>
    <row r="737" spans="1:21" x14ac:dyDescent="0.2">
      <c r="A737">
        <v>736</v>
      </c>
      <c r="B737" s="1">
        <v>42378.525740740741</v>
      </c>
      <c r="C737" s="1">
        <v>42378.536157407405</v>
      </c>
      <c r="D737" t="s">
        <v>1</v>
      </c>
      <c r="G737" t="b">
        <v>0</v>
      </c>
      <c r="H737">
        <v>70804</v>
      </c>
      <c r="I737" s="6">
        <v>0</v>
      </c>
      <c r="J737" s="1">
        <v>42378.538229166668</v>
      </c>
      <c r="K737">
        <v>7.99</v>
      </c>
      <c r="L737" s="6">
        <f>('Pizza Sales Calculations'!$J737-'Pizza Sales Calculations'!$C737)*24*60</f>
        <v>2.9833333392161876</v>
      </c>
      <c r="M737">
        <f>COUNTA('Pizza Sales Calculations'!$D737:$F737)</f>
        <v>1</v>
      </c>
      <c r="R737" s="9">
        <f>IF('Pizza Sales Calculations'!$G737=TRUE, Parameters!$B$17*'Pizza Sales Calculations'!$L737*2, 0)</f>
        <v>0</v>
      </c>
      <c r="T737" s="6"/>
      <c r="U737" s="9"/>
    </row>
    <row r="738" spans="1:21" x14ac:dyDescent="0.2">
      <c r="A738">
        <v>737</v>
      </c>
      <c r="B738" s="1">
        <v>42378.604467592595</v>
      </c>
      <c r="C738" s="1">
        <v>42378.614872685182</v>
      </c>
      <c r="D738" t="s">
        <v>2</v>
      </c>
      <c r="G738" t="b">
        <v>0</v>
      </c>
      <c r="H738">
        <v>70805</v>
      </c>
      <c r="I738" s="6">
        <v>0</v>
      </c>
      <c r="J738" s="1">
        <v>42378.616956018515</v>
      </c>
      <c r="K738">
        <v>11.59</v>
      </c>
      <c r="L738" s="6">
        <f>('Pizza Sales Calculations'!$J738-'Pizza Sales Calculations'!$C738)*24*60</f>
        <v>2.9999999993015081</v>
      </c>
      <c r="M738">
        <f>COUNTA('Pizza Sales Calculations'!$D738:$F738)</f>
        <v>1</v>
      </c>
      <c r="R738" s="9">
        <f>IF('Pizza Sales Calculations'!$G738=TRUE, Parameters!$B$17*'Pizza Sales Calculations'!$L738*2, 0)</f>
        <v>0</v>
      </c>
      <c r="T738" s="6"/>
      <c r="U738" s="9"/>
    </row>
    <row r="739" spans="1:21" x14ac:dyDescent="0.2">
      <c r="A739">
        <v>738</v>
      </c>
      <c r="B739" s="1">
        <v>42378.470381944448</v>
      </c>
      <c r="C739" s="1">
        <v>42378.480798611112</v>
      </c>
      <c r="D739" t="s">
        <v>35</v>
      </c>
      <c r="G739" t="b">
        <v>1</v>
      </c>
      <c r="H739">
        <v>70804</v>
      </c>
      <c r="I739" s="6">
        <v>2.12697930710284</v>
      </c>
      <c r="J739" s="1">
        <v>42378.488182870373</v>
      </c>
      <c r="K739">
        <v>15.35</v>
      </c>
      <c r="L739" s="6">
        <f>('Pizza Sales Calculations'!$J739-'Pizza Sales Calculations'!$C739)*24*60</f>
        <v>10.633333335863426</v>
      </c>
      <c r="M739">
        <f>COUNTA('Pizza Sales Calculations'!$D739:$F739)</f>
        <v>1</v>
      </c>
      <c r="R739" s="9">
        <f>IF('Pizza Sales Calculations'!$G739=TRUE, Parameters!$B$17*'Pizza Sales Calculations'!$L739*2, 0)</f>
        <v>3.0127777784946375</v>
      </c>
      <c r="T739" s="6"/>
      <c r="U739" s="9"/>
    </row>
    <row r="740" spans="1:21" x14ac:dyDescent="0.2">
      <c r="A740">
        <v>739</v>
      </c>
      <c r="B740" s="1">
        <v>42378.526770833334</v>
      </c>
      <c r="C740" s="1">
        <v>42378.537152777775</v>
      </c>
      <c r="D740" t="s">
        <v>1</v>
      </c>
      <c r="G740" t="b">
        <v>1</v>
      </c>
      <c r="H740">
        <v>70807</v>
      </c>
      <c r="I740" s="6">
        <v>2.4274638090292999</v>
      </c>
      <c r="J740" s="1">
        <v>42378.545578703706</v>
      </c>
      <c r="K740">
        <v>7.99</v>
      </c>
      <c r="L740" s="6">
        <f>('Pizza Sales Calculations'!$J740-'Pizza Sales Calculations'!$C740)*24*60</f>
        <v>12.13333334075287</v>
      </c>
      <c r="M740">
        <f>COUNTA('Pizza Sales Calculations'!$D740:$F740)</f>
        <v>1</v>
      </c>
      <c r="R740" s="9">
        <f>IF('Pizza Sales Calculations'!$G740=TRUE, Parameters!$B$17*'Pizza Sales Calculations'!$L740*2, 0)</f>
        <v>3.4377777798799798</v>
      </c>
      <c r="T740" s="6"/>
      <c r="U740" s="9"/>
    </row>
    <row r="741" spans="1:21" x14ac:dyDescent="0.2">
      <c r="A741">
        <v>740</v>
      </c>
      <c r="B741" s="1">
        <v>42378.515648148146</v>
      </c>
      <c r="C741" s="1">
        <v>42378.526053240741</v>
      </c>
      <c r="D741" t="s">
        <v>2</v>
      </c>
      <c r="E741" t="s">
        <v>35</v>
      </c>
      <c r="G741" t="b">
        <v>1</v>
      </c>
      <c r="H741">
        <v>70803</v>
      </c>
      <c r="I741" s="6">
        <v>2.33211862180762</v>
      </c>
      <c r="J741" s="1">
        <v>42378.534143518518</v>
      </c>
      <c r="K741">
        <v>25.94</v>
      </c>
      <c r="L741" s="6">
        <f>('Pizza Sales Calculations'!$J741-'Pizza Sales Calculations'!$C741)*24*60</f>
        <v>11.649999999208376</v>
      </c>
      <c r="M741">
        <f>COUNTA('Pizza Sales Calculations'!$D741:$F741)</f>
        <v>2</v>
      </c>
      <c r="R741" s="9">
        <f>IF('Pizza Sales Calculations'!$G741=TRUE, Parameters!$B$17*'Pizza Sales Calculations'!$L741*2, 0)</f>
        <v>3.3008333331090398</v>
      </c>
      <c r="T741" s="6"/>
      <c r="U741" s="9"/>
    </row>
    <row r="742" spans="1:21" x14ac:dyDescent="0.2">
      <c r="A742">
        <v>741</v>
      </c>
      <c r="B742" s="1">
        <v>42378.510717592595</v>
      </c>
      <c r="C742" s="1">
        <v>42378.521145833336</v>
      </c>
      <c r="D742" t="s">
        <v>35</v>
      </c>
      <c r="G742" t="b">
        <v>1</v>
      </c>
      <c r="H742">
        <v>70807</v>
      </c>
      <c r="I742" s="6">
        <v>4.2319720112833696</v>
      </c>
      <c r="J742" s="1">
        <v>42378.535833333335</v>
      </c>
      <c r="K742">
        <v>15.35</v>
      </c>
      <c r="L742" s="6">
        <f>('Pizza Sales Calculations'!$J742-'Pizza Sales Calculations'!$C742)*24*60</f>
        <v>21.149999998742715</v>
      </c>
      <c r="M742">
        <f>COUNTA('Pizza Sales Calculations'!$D742:$F742)</f>
        <v>1</v>
      </c>
      <c r="R742" s="9">
        <f>IF('Pizza Sales Calculations'!$G742=TRUE, Parameters!$B$17*'Pizza Sales Calculations'!$L742*2, 0)</f>
        <v>5.9924999996437691</v>
      </c>
      <c r="T742" s="6"/>
      <c r="U742" s="9"/>
    </row>
    <row r="743" spans="1:21" x14ac:dyDescent="0.2">
      <c r="A743">
        <v>742</v>
      </c>
      <c r="B743" s="1">
        <v>42378.509930555556</v>
      </c>
      <c r="C743" s="1">
        <v>42378.520335648151</v>
      </c>
      <c r="D743" t="s">
        <v>35</v>
      </c>
      <c r="G743" t="b">
        <v>1</v>
      </c>
      <c r="H743">
        <v>70804</v>
      </c>
      <c r="I743" s="6">
        <v>2.0187844263736601</v>
      </c>
      <c r="J743" s="1">
        <v>42378.527337962965</v>
      </c>
      <c r="K743">
        <v>15.35</v>
      </c>
      <c r="L743" s="6">
        <f>('Pizza Sales Calculations'!$J743-'Pizza Sales Calculations'!$C743)*24*60</f>
        <v>10.083333333022892</v>
      </c>
      <c r="M743">
        <f>COUNTA('Pizza Sales Calculations'!$D743:$F743)</f>
        <v>1</v>
      </c>
      <c r="R743" s="9">
        <f>IF('Pizza Sales Calculations'!$G743=TRUE, Parameters!$B$17*'Pizza Sales Calculations'!$L743*2, 0)</f>
        <v>2.8569444443564862</v>
      </c>
      <c r="T743" s="6"/>
      <c r="U743" s="9"/>
    </row>
    <row r="744" spans="1:21" x14ac:dyDescent="0.2">
      <c r="A744">
        <v>743</v>
      </c>
      <c r="B744" s="1">
        <v>42378.483738425923</v>
      </c>
      <c r="C744" s="1">
        <v>42378.494143518517</v>
      </c>
      <c r="D744" t="s">
        <v>35</v>
      </c>
      <c r="G744" t="b">
        <v>1</v>
      </c>
      <c r="H744">
        <v>70807</v>
      </c>
      <c r="I744" s="6">
        <v>1.06464895473169</v>
      </c>
      <c r="J744" s="1">
        <v>42378.497835648152</v>
      </c>
      <c r="K744">
        <v>15.35</v>
      </c>
      <c r="L744" s="6">
        <f>('Pizza Sales Calculations'!$J744-'Pizza Sales Calculations'!$C744)*24*60</f>
        <v>5.3166666731704026</v>
      </c>
      <c r="M744">
        <f>COUNTA('Pizza Sales Calculations'!$D744:$F744)</f>
        <v>1</v>
      </c>
      <c r="R744" s="9">
        <f>IF('Pizza Sales Calculations'!$G744=TRUE, Parameters!$B$17*'Pizza Sales Calculations'!$L744*2, 0)</f>
        <v>1.5063888907316141</v>
      </c>
      <c r="T744" s="6"/>
      <c r="U744" s="9"/>
    </row>
    <row r="745" spans="1:21" x14ac:dyDescent="0.2">
      <c r="A745">
        <v>744</v>
      </c>
      <c r="B745" s="1">
        <v>42378.539930555555</v>
      </c>
      <c r="C745" s="1">
        <v>42378.550358796296</v>
      </c>
      <c r="D745" t="s">
        <v>1</v>
      </c>
      <c r="E745" t="s">
        <v>2</v>
      </c>
      <c r="G745" t="b">
        <v>0</v>
      </c>
      <c r="H745">
        <v>70805</v>
      </c>
      <c r="I745" s="6">
        <v>0</v>
      </c>
      <c r="J745" s="1">
        <v>42378.552418981482</v>
      </c>
      <c r="K745">
        <v>19.579999999999998</v>
      </c>
      <c r="L745" s="6">
        <f>('Pizza Sales Calculations'!$J745-'Pizza Sales Calculations'!$C745)*24*60</f>
        <v>2.9666666686534882</v>
      </c>
      <c r="M745">
        <f>COUNTA('Pizza Sales Calculations'!$D745:$F745)</f>
        <v>2</v>
      </c>
      <c r="R745" s="9">
        <f>IF('Pizza Sales Calculations'!$G745=TRUE, Parameters!$B$17*'Pizza Sales Calculations'!$L745*2, 0)</f>
        <v>0</v>
      </c>
      <c r="T745" s="6"/>
      <c r="U745" s="9"/>
    </row>
    <row r="746" spans="1:21" x14ac:dyDescent="0.2">
      <c r="A746">
        <v>745</v>
      </c>
      <c r="B746" s="1">
        <v>42378.471238425926</v>
      </c>
      <c r="C746" s="1">
        <v>42378.481666666667</v>
      </c>
      <c r="D746" t="s">
        <v>35</v>
      </c>
      <c r="G746" t="b">
        <v>0</v>
      </c>
      <c r="H746">
        <v>70804</v>
      </c>
      <c r="I746" s="6">
        <v>0</v>
      </c>
      <c r="J746" s="1">
        <v>42378.483761574076</v>
      </c>
      <c r="K746">
        <v>15.35</v>
      </c>
      <c r="L746" s="6">
        <f>('Pizza Sales Calculations'!$J746-'Pizza Sales Calculations'!$C746)*24*60</f>
        <v>3.0166666698642075</v>
      </c>
      <c r="M746">
        <f>COUNTA('Pizza Sales Calculations'!$D746:$F746)</f>
        <v>1</v>
      </c>
      <c r="R746" s="9">
        <f>IF('Pizza Sales Calculations'!$G746=TRUE, Parameters!$B$17*'Pizza Sales Calculations'!$L746*2, 0)</f>
        <v>0</v>
      </c>
      <c r="T746" s="6"/>
      <c r="U746" s="9"/>
    </row>
    <row r="747" spans="1:21" x14ac:dyDescent="0.2">
      <c r="A747">
        <v>746</v>
      </c>
      <c r="B747" s="1">
        <v>42378.480208333334</v>
      </c>
      <c r="C747" s="1">
        <v>42378.490624999999</v>
      </c>
      <c r="D747" t="s">
        <v>1</v>
      </c>
      <c r="E747" t="s">
        <v>2</v>
      </c>
      <c r="G747" t="b">
        <v>1</v>
      </c>
      <c r="H747">
        <v>70808</v>
      </c>
      <c r="I747" s="6">
        <v>3.5989731484552698</v>
      </c>
      <c r="J747" s="1">
        <v>42378.503113425926</v>
      </c>
      <c r="K747">
        <v>19.579999999999998</v>
      </c>
      <c r="L747" s="6">
        <f>('Pizza Sales Calculations'!$J747-'Pizza Sales Calculations'!$C747)*24*60</f>
        <v>17.983333335723728</v>
      </c>
      <c r="M747">
        <f>COUNTA('Pizza Sales Calculations'!$D747:$F747)</f>
        <v>2</v>
      </c>
      <c r="R747" s="9">
        <f>IF('Pizza Sales Calculations'!$G747=TRUE, Parameters!$B$17*'Pizza Sales Calculations'!$L747*2, 0)</f>
        <v>5.0952777784550563</v>
      </c>
      <c r="T747" s="6"/>
      <c r="U747" s="9"/>
    </row>
    <row r="748" spans="1:21" x14ac:dyDescent="0.2">
      <c r="A748">
        <v>747</v>
      </c>
      <c r="B748" s="1">
        <v>42378.483032407406</v>
      </c>
      <c r="C748" s="1">
        <v>42378.493449074071</v>
      </c>
      <c r="D748" t="s">
        <v>1</v>
      </c>
      <c r="E748" t="s">
        <v>2</v>
      </c>
      <c r="G748" t="b">
        <v>0</v>
      </c>
      <c r="H748">
        <v>70804</v>
      </c>
      <c r="I748" s="6">
        <v>0</v>
      </c>
      <c r="J748" s="1">
        <v>42378.495509259257</v>
      </c>
      <c r="K748">
        <v>19.579999999999998</v>
      </c>
      <c r="L748" s="6">
        <f>('Pizza Sales Calculations'!$J748-'Pizza Sales Calculations'!$C748)*24*60</f>
        <v>2.9666666686534882</v>
      </c>
      <c r="M748">
        <f>COUNTA('Pizza Sales Calculations'!$D748:$F748)</f>
        <v>2</v>
      </c>
      <c r="R748" s="9">
        <f>IF('Pizza Sales Calculations'!$G748=TRUE, Parameters!$B$17*'Pizza Sales Calculations'!$L748*2, 0)</f>
        <v>0</v>
      </c>
      <c r="T748" s="6"/>
      <c r="U748" s="9"/>
    </row>
    <row r="749" spans="1:21" x14ac:dyDescent="0.2">
      <c r="A749">
        <v>748</v>
      </c>
      <c r="B749" s="1">
        <v>42378.579305555555</v>
      </c>
      <c r="C749" s="1">
        <v>42378.58971064815</v>
      </c>
      <c r="D749" t="s">
        <v>1</v>
      </c>
      <c r="E749" t="s">
        <v>35</v>
      </c>
      <c r="G749" t="b">
        <v>1</v>
      </c>
      <c r="H749">
        <v>70807</v>
      </c>
      <c r="I749" s="6">
        <v>3.4846254166608901</v>
      </c>
      <c r="J749" s="1">
        <v>42378.601805555554</v>
      </c>
      <c r="K749">
        <v>23.34</v>
      </c>
      <c r="L749" s="6">
        <f>('Pizza Sales Calculations'!$J749-'Pizza Sales Calculations'!$C749)*24*60</f>
        <v>17.416666662320495</v>
      </c>
      <c r="M749">
        <f>COUNTA('Pizza Sales Calculations'!$D749:$F749)</f>
        <v>2</v>
      </c>
      <c r="R749" s="9">
        <f>IF('Pizza Sales Calculations'!$G749=TRUE, Parameters!$B$17*'Pizza Sales Calculations'!$L749*2, 0)</f>
        <v>4.9347222209908068</v>
      </c>
      <c r="T749" s="6"/>
      <c r="U749" s="9"/>
    </row>
    <row r="750" spans="1:21" x14ac:dyDescent="0.2">
      <c r="A750">
        <v>749</v>
      </c>
      <c r="B750" s="1">
        <v>42378.550451388888</v>
      </c>
      <c r="C750" s="1">
        <v>42378.560856481483</v>
      </c>
      <c r="D750" t="s">
        <v>1</v>
      </c>
      <c r="G750" t="b">
        <v>0</v>
      </c>
      <c r="H750">
        <v>70806</v>
      </c>
      <c r="I750" s="6">
        <v>0</v>
      </c>
      <c r="J750" s="1">
        <v>42378.562939814816</v>
      </c>
      <c r="K750">
        <v>7.99</v>
      </c>
      <c r="L750" s="6">
        <f>('Pizza Sales Calculations'!$J750-'Pizza Sales Calculations'!$C750)*24*60</f>
        <v>2.9999999993015081</v>
      </c>
      <c r="M750">
        <f>COUNTA('Pizza Sales Calculations'!$D750:$F750)</f>
        <v>1</v>
      </c>
      <c r="R750" s="9">
        <f>IF('Pizza Sales Calculations'!$G750=TRUE, Parameters!$B$17*'Pizza Sales Calculations'!$L750*2, 0)</f>
        <v>0</v>
      </c>
      <c r="T750" s="6"/>
      <c r="U750" s="9"/>
    </row>
    <row r="751" spans="1:21" x14ac:dyDescent="0.2">
      <c r="A751">
        <v>750</v>
      </c>
      <c r="B751" s="1">
        <v>42378.554652777777</v>
      </c>
      <c r="C751" s="1">
        <v>42378.565069444441</v>
      </c>
      <c r="D751" t="s">
        <v>1</v>
      </c>
      <c r="E751" t="s">
        <v>2</v>
      </c>
      <c r="G751" t="b">
        <v>0</v>
      </c>
      <c r="H751">
        <v>70806</v>
      </c>
      <c r="I751" s="6">
        <v>0</v>
      </c>
      <c r="J751" s="1">
        <v>42378.567152777781</v>
      </c>
      <c r="K751">
        <v>19.579999999999998</v>
      </c>
      <c r="L751" s="6">
        <f>('Pizza Sales Calculations'!$J751-'Pizza Sales Calculations'!$C751)*24*60</f>
        <v>3.000000009778887</v>
      </c>
      <c r="M751">
        <f>COUNTA('Pizza Sales Calculations'!$D751:$F751)</f>
        <v>2</v>
      </c>
      <c r="R751" s="9">
        <f>IF('Pizza Sales Calculations'!$G751=TRUE, Parameters!$B$17*'Pizza Sales Calculations'!$L751*2, 0)</f>
        <v>0</v>
      </c>
      <c r="T751" s="6"/>
      <c r="U751" s="9"/>
    </row>
    <row r="752" spans="1:21" x14ac:dyDescent="0.2">
      <c r="A752">
        <v>751</v>
      </c>
      <c r="B752" s="1">
        <v>42378.441793981481</v>
      </c>
      <c r="C752" s="1">
        <v>42378.452210648145</v>
      </c>
      <c r="D752" t="s">
        <v>2</v>
      </c>
      <c r="G752" t="b">
        <v>0</v>
      </c>
      <c r="H752">
        <v>70804</v>
      </c>
      <c r="I752" s="6">
        <v>0</v>
      </c>
      <c r="J752" s="1">
        <v>42378.454293981478</v>
      </c>
      <c r="K752">
        <v>11.59</v>
      </c>
      <c r="L752" s="6">
        <f>('Pizza Sales Calculations'!$J752-'Pizza Sales Calculations'!$C752)*24*60</f>
        <v>2.9999999993015081</v>
      </c>
      <c r="M752">
        <f>COUNTA('Pizza Sales Calculations'!$D752:$F752)</f>
        <v>1</v>
      </c>
      <c r="R752" s="9">
        <f>IF('Pizza Sales Calculations'!$G752=TRUE, Parameters!$B$17*'Pizza Sales Calculations'!$L752*2, 0)</f>
        <v>0</v>
      </c>
      <c r="T752" s="6"/>
      <c r="U752" s="9"/>
    </row>
    <row r="753" spans="1:21" x14ac:dyDescent="0.2">
      <c r="A753">
        <v>752</v>
      </c>
      <c r="B753" s="1">
        <v>42378.417442129627</v>
      </c>
      <c r="C753" s="1">
        <v>42378.427847222221</v>
      </c>
      <c r="D753" t="s">
        <v>1</v>
      </c>
      <c r="E753" t="s">
        <v>2</v>
      </c>
      <c r="G753" t="b">
        <v>1</v>
      </c>
      <c r="H753">
        <v>70805</v>
      </c>
      <c r="I753" s="6">
        <v>1.88551084156969</v>
      </c>
      <c r="J753" s="1">
        <v>42378.434386574074</v>
      </c>
      <c r="K753">
        <v>19.579999999999998</v>
      </c>
      <c r="L753" s="6">
        <f>('Pizza Sales Calculations'!$J753-'Pizza Sales Calculations'!$C753)*24*60</f>
        <v>9.4166666676755995</v>
      </c>
      <c r="M753">
        <f>COUNTA('Pizza Sales Calculations'!$D753:$F753)</f>
        <v>2</v>
      </c>
      <c r="R753" s="9">
        <f>IF('Pizza Sales Calculations'!$G753=TRUE, Parameters!$B$17*'Pizza Sales Calculations'!$L753*2, 0)</f>
        <v>2.6680555558414198</v>
      </c>
      <c r="T753" s="6"/>
      <c r="U753" s="9"/>
    </row>
    <row r="754" spans="1:21" x14ac:dyDescent="0.2">
      <c r="A754">
        <v>753</v>
      </c>
      <c r="B754" s="1">
        <v>42378.488287037035</v>
      </c>
      <c r="C754" s="1">
        <v>42378.498692129629</v>
      </c>
      <c r="D754" t="s">
        <v>1</v>
      </c>
      <c r="E754" t="s">
        <v>2</v>
      </c>
      <c r="G754" t="b">
        <v>0</v>
      </c>
      <c r="H754">
        <v>70804</v>
      </c>
      <c r="I754" s="6">
        <v>0</v>
      </c>
      <c r="J754" s="1">
        <v>42378.500787037039</v>
      </c>
      <c r="K754">
        <v>19.579999999999998</v>
      </c>
      <c r="L754" s="6">
        <f>('Pizza Sales Calculations'!$J754-'Pizza Sales Calculations'!$C754)*24*60</f>
        <v>3.0166666698642075</v>
      </c>
      <c r="M754">
        <f>COUNTA('Pizza Sales Calculations'!$D754:$F754)</f>
        <v>2</v>
      </c>
      <c r="R754" s="9">
        <f>IF('Pizza Sales Calculations'!$G754=TRUE, Parameters!$B$17*'Pizza Sales Calculations'!$L754*2, 0)</f>
        <v>0</v>
      </c>
      <c r="T754" s="6"/>
      <c r="U754" s="9"/>
    </row>
    <row r="755" spans="1:21" x14ac:dyDescent="0.2">
      <c r="A755">
        <v>754</v>
      </c>
      <c r="B755" s="1">
        <v>42378.462812500002</v>
      </c>
      <c r="C755" s="1">
        <v>42378.47320601852</v>
      </c>
      <c r="D755" t="s">
        <v>1</v>
      </c>
      <c r="G755" t="b">
        <v>0</v>
      </c>
      <c r="H755">
        <v>70803</v>
      </c>
      <c r="I755" s="6">
        <v>0</v>
      </c>
      <c r="J755" s="1">
        <v>42378.475277777776</v>
      </c>
      <c r="K755">
        <v>7.99</v>
      </c>
      <c r="L755" s="6">
        <f>('Pizza Sales Calculations'!$J755-'Pizza Sales Calculations'!$C755)*24*60</f>
        <v>2.9833333287388086</v>
      </c>
      <c r="M755">
        <f>COUNTA('Pizza Sales Calculations'!$D755:$F755)</f>
        <v>1</v>
      </c>
      <c r="R755" s="9">
        <f>IF('Pizza Sales Calculations'!$G755=TRUE, Parameters!$B$17*'Pizza Sales Calculations'!$L755*2, 0)</f>
        <v>0</v>
      </c>
      <c r="T755" s="6"/>
      <c r="U755" s="9"/>
    </row>
    <row r="756" spans="1:21" x14ac:dyDescent="0.2">
      <c r="A756">
        <v>755</v>
      </c>
      <c r="B756" s="1">
        <v>42378.444861111115</v>
      </c>
      <c r="C756" s="1">
        <v>42378.455266203702</v>
      </c>
      <c r="D756" t="s">
        <v>1</v>
      </c>
      <c r="G756" t="b">
        <v>0</v>
      </c>
      <c r="H756">
        <v>70807</v>
      </c>
      <c r="I756" s="6">
        <v>0</v>
      </c>
      <c r="J756" s="1">
        <v>42378.457337962966</v>
      </c>
      <c r="K756">
        <v>7.99</v>
      </c>
      <c r="L756" s="6">
        <f>('Pizza Sales Calculations'!$J756-'Pizza Sales Calculations'!$C756)*24*60</f>
        <v>2.9833333392161876</v>
      </c>
      <c r="M756">
        <f>COUNTA('Pizza Sales Calculations'!$D756:$F756)</f>
        <v>1</v>
      </c>
      <c r="R756" s="9">
        <f>IF('Pizza Sales Calculations'!$G756=TRUE, Parameters!$B$17*'Pizza Sales Calculations'!$L756*2, 0)</f>
        <v>0</v>
      </c>
      <c r="T756" s="6"/>
      <c r="U756" s="9"/>
    </row>
    <row r="757" spans="1:21" x14ac:dyDescent="0.2">
      <c r="A757">
        <v>756</v>
      </c>
      <c r="B757" s="1">
        <v>42378.510995370372</v>
      </c>
      <c r="C757" s="1">
        <v>42378.52140046296</v>
      </c>
      <c r="D757" t="s">
        <v>1</v>
      </c>
      <c r="E757" t="s">
        <v>2</v>
      </c>
      <c r="G757" t="b">
        <v>0</v>
      </c>
      <c r="H757">
        <v>70804</v>
      </c>
      <c r="I757" s="6">
        <v>0</v>
      </c>
      <c r="J757" s="1">
        <v>42378.523460648146</v>
      </c>
      <c r="K757">
        <v>19.579999999999998</v>
      </c>
      <c r="L757" s="6">
        <f>('Pizza Sales Calculations'!$J757-'Pizza Sales Calculations'!$C757)*24*60</f>
        <v>2.9666666686534882</v>
      </c>
      <c r="M757">
        <f>COUNTA('Pizza Sales Calculations'!$D757:$F757)</f>
        <v>2</v>
      </c>
      <c r="R757" s="9">
        <f>IF('Pizza Sales Calculations'!$G757=TRUE, Parameters!$B$17*'Pizza Sales Calculations'!$L757*2, 0)</f>
        <v>0</v>
      </c>
      <c r="T757" s="6"/>
      <c r="U757" s="9"/>
    </row>
    <row r="758" spans="1:21" x14ac:dyDescent="0.2">
      <c r="A758">
        <v>757</v>
      </c>
      <c r="B758" s="1">
        <v>42378.488449074073</v>
      </c>
      <c r="C758" s="1">
        <v>42378.498865740738</v>
      </c>
      <c r="D758" t="s">
        <v>1</v>
      </c>
      <c r="G758" t="b">
        <v>0</v>
      </c>
      <c r="H758">
        <v>70804</v>
      </c>
      <c r="I758" s="6">
        <v>0</v>
      </c>
      <c r="J758" s="1">
        <v>42378.500949074078</v>
      </c>
      <c r="K758">
        <v>7.99</v>
      </c>
      <c r="L758" s="6">
        <f>('Pizza Sales Calculations'!$J758-'Pizza Sales Calculations'!$C758)*24*60</f>
        <v>3.000000009778887</v>
      </c>
      <c r="M758">
        <f>COUNTA('Pizza Sales Calculations'!$D758:$F758)</f>
        <v>1</v>
      </c>
      <c r="R758" s="9">
        <f>IF('Pizza Sales Calculations'!$G758=TRUE, Parameters!$B$17*'Pizza Sales Calculations'!$L758*2, 0)</f>
        <v>0</v>
      </c>
      <c r="T758" s="6"/>
      <c r="U758" s="9"/>
    </row>
    <row r="759" spans="1:21" x14ac:dyDescent="0.2">
      <c r="A759">
        <v>758</v>
      </c>
      <c r="B759" s="1">
        <v>42378.511678240742</v>
      </c>
      <c r="C759" s="1">
        <v>42378.522094907406</v>
      </c>
      <c r="D759" t="s">
        <v>2</v>
      </c>
      <c r="G759" t="b">
        <v>0</v>
      </c>
      <c r="H759">
        <v>70807</v>
      </c>
      <c r="I759" s="6">
        <v>0</v>
      </c>
      <c r="J759" s="1">
        <v>42378.524155092593</v>
      </c>
      <c r="K759">
        <v>11.59</v>
      </c>
      <c r="L759" s="6">
        <f>('Pizza Sales Calculations'!$J759-'Pizza Sales Calculations'!$C759)*24*60</f>
        <v>2.9666666686534882</v>
      </c>
      <c r="M759">
        <f>COUNTA('Pizza Sales Calculations'!$D759:$F759)</f>
        <v>1</v>
      </c>
      <c r="R759" s="9">
        <f>IF('Pizza Sales Calculations'!$G759=TRUE, Parameters!$B$17*'Pizza Sales Calculations'!$L759*2, 0)</f>
        <v>0</v>
      </c>
      <c r="T759" s="6"/>
      <c r="U759" s="9"/>
    </row>
    <row r="760" spans="1:21" x14ac:dyDescent="0.2">
      <c r="A760">
        <v>759</v>
      </c>
      <c r="B760" s="1">
        <v>42378.573518518519</v>
      </c>
      <c r="C760" s="1">
        <v>42378.58394675926</v>
      </c>
      <c r="D760" t="s">
        <v>1</v>
      </c>
      <c r="E760" t="s">
        <v>2</v>
      </c>
      <c r="G760" t="b">
        <v>1</v>
      </c>
      <c r="H760">
        <v>70803</v>
      </c>
      <c r="I760" s="6">
        <v>0.92797085581516603</v>
      </c>
      <c r="J760" s="1">
        <v>42378.587164351855</v>
      </c>
      <c r="K760">
        <v>19.579999999999998</v>
      </c>
      <c r="L760" s="6">
        <f>('Pizza Sales Calculations'!$J760-'Pizza Sales Calculations'!$C760)*24*60</f>
        <v>4.6333333372604102</v>
      </c>
      <c r="M760">
        <f>COUNTA('Pizza Sales Calculations'!$D760:$F760)</f>
        <v>2</v>
      </c>
      <c r="R760" s="9">
        <f>IF('Pizza Sales Calculations'!$G760=TRUE, Parameters!$B$17*'Pizza Sales Calculations'!$L760*2, 0)</f>
        <v>1.3127777788904496</v>
      </c>
      <c r="T760" s="6"/>
      <c r="U760" s="9"/>
    </row>
    <row r="761" spans="1:21" x14ac:dyDescent="0.2">
      <c r="A761">
        <v>760</v>
      </c>
      <c r="B761" s="1">
        <v>42378.486932870372</v>
      </c>
      <c r="C761" s="1">
        <v>42378.497337962966</v>
      </c>
      <c r="D761" t="s">
        <v>35</v>
      </c>
      <c r="G761" t="b">
        <v>0</v>
      </c>
      <c r="H761">
        <v>70806</v>
      </c>
      <c r="I761" s="6">
        <v>0</v>
      </c>
      <c r="J761" s="1">
        <v>42378.499421296299</v>
      </c>
      <c r="K761">
        <v>15.35</v>
      </c>
      <c r="L761" s="6">
        <f>('Pizza Sales Calculations'!$J761-'Pizza Sales Calculations'!$C761)*24*60</f>
        <v>2.9999999993015081</v>
      </c>
      <c r="M761">
        <f>COUNTA('Pizza Sales Calculations'!$D761:$F761)</f>
        <v>1</v>
      </c>
      <c r="R761" s="9">
        <f>IF('Pizza Sales Calculations'!$G761=TRUE, Parameters!$B$17*'Pizza Sales Calculations'!$L761*2, 0)</f>
        <v>0</v>
      </c>
      <c r="T761" s="6"/>
      <c r="U761" s="9"/>
    </row>
    <row r="762" spans="1:21" x14ac:dyDescent="0.2">
      <c r="A762">
        <v>761</v>
      </c>
      <c r="B762" s="1">
        <v>42378.483634259261</v>
      </c>
      <c r="C762" s="1">
        <v>42378.494039351855</v>
      </c>
      <c r="D762" t="s">
        <v>35</v>
      </c>
      <c r="G762" t="b">
        <v>1</v>
      </c>
      <c r="H762">
        <v>70805</v>
      </c>
      <c r="I762" s="6">
        <v>2.9363794365297702</v>
      </c>
      <c r="J762" s="1">
        <v>42378.504224537035</v>
      </c>
      <c r="K762">
        <v>15.35</v>
      </c>
      <c r="L762" s="6">
        <f>('Pizza Sales Calculations'!$J762-'Pizza Sales Calculations'!$C762)*24*60</f>
        <v>14.666666658595204</v>
      </c>
      <c r="M762">
        <f>COUNTA('Pizza Sales Calculations'!$D762:$F762)</f>
        <v>1</v>
      </c>
      <c r="R762" s="9">
        <f>IF('Pizza Sales Calculations'!$G762=TRUE, Parameters!$B$17*'Pizza Sales Calculations'!$L762*2, 0)</f>
        <v>4.1555555532686412</v>
      </c>
      <c r="T762" s="6"/>
      <c r="U762" s="9"/>
    </row>
    <row r="763" spans="1:21" x14ac:dyDescent="0.2">
      <c r="A763">
        <v>762</v>
      </c>
      <c r="B763" s="1">
        <v>42378.464467592596</v>
      </c>
      <c r="C763" s="1">
        <v>42378.474872685183</v>
      </c>
      <c r="D763" t="s">
        <v>2</v>
      </c>
      <c r="G763" t="b">
        <v>0</v>
      </c>
      <c r="H763">
        <v>70805</v>
      </c>
      <c r="I763" s="6">
        <v>0</v>
      </c>
      <c r="J763" s="1">
        <v>42378.476944444446</v>
      </c>
      <c r="K763">
        <v>11.59</v>
      </c>
      <c r="L763" s="6">
        <f>('Pizza Sales Calculations'!$J763-'Pizza Sales Calculations'!$C763)*24*60</f>
        <v>2.9833333392161876</v>
      </c>
      <c r="M763">
        <f>COUNTA('Pizza Sales Calculations'!$D763:$F763)</f>
        <v>1</v>
      </c>
      <c r="R763" s="9">
        <f>IF('Pizza Sales Calculations'!$G763=TRUE, Parameters!$B$17*'Pizza Sales Calculations'!$L763*2, 0)</f>
        <v>0</v>
      </c>
      <c r="T763" s="6"/>
      <c r="U763" s="9"/>
    </row>
    <row r="764" spans="1:21" x14ac:dyDescent="0.2">
      <c r="A764">
        <v>763</v>
      </c>
      <c r="B764" s="1">
        <v>42378.488078703704</v>
      </c>
      <c r="C764" s="1">
        <v>42378.498495370368</v>
      </c>
      <c r="D764" t="s">
        <v>1</v>
      </c>
      <c r="G764" t="b">
        <v>1</v>
      </c>
      <c r="H764">
        <v>70804</v>
      </c>
      <c r="I764" s="6">
        <v>3.3577265439087198</v>
      </c>
      <c r="J764" s="1">
        <v>42378.510150462964</v>
      </c>
      <c r="K764">
        <v>7.99</v>
      </c>
      <c r="L764" s="6">
        <f>('Pizza Sales Calculations'!$J764-'Pizza Sales Calculations'!$C764)*24*60</f>
        <v>16.783333338098601</v>
      </c>
      <c r="M764">
        <f>COUNTA('Pizza Sales Calculations'!$D764:$F764)</f>
        <v>1</v>
      </c>
      <c r="R764" s="9">
        <f>IF('Pizza Sales Calculations'!$G764=TRUE, Parameters!$B$17*'Pizza Sales Calculations'!$L764*2, 0)</f>
        <v>4.7552777791279368</v>
      </c>
      <c r="T764" s="6"/>
      <c r="U764" s="9"/>
    </row>
    <row r="765" spans="1:21" x14ac:dyDescent="0.2">
      <c r="A765">
        <v>764</v>
      </c>
      <c r="B765" s="1">
        <v>42378.434328703705</v>
      </c>
      <c r="C765" s="1">
        <v>42378.444733796299</v>
      </c>
      <c r="D765" t="s">
        <v>2</v>
      </c>
      <c r="G765" t="b">
        <v>1</v>
      </c>
      <c r="H765">
        <v>70805</v>
      </c>
      <c r="I765" s="6">
        <v>3.4536753710331101</v>
      </c>
      <c r="J765" s="1">
        <v>42378.456724537034</v>
      </c>
      <c r="K765">
        <v>11.59</v>
      </c>
      <c r="L765" s="6">
        <f>('Pizza Sales Calculations'!$J765-'Pizza Sales Calculations'!$C765)*24*60</f>
        <v>17.266666658688337</v>
      </c>
      <c r="M765">
        <f>COUNTA('Pizza Sales Calculations'!$D765:$F765)</f>
        <v>1</v>
      </c>
      <c r="R765" s="9">
        <f>IF('Pizza Sales Calculations'!$G765=TRUE, Parameters!$B$17*'Pizza Sales Calculations'!$L765*2, 0)</f>
        <v>4.8922222199616954</v>
      </c>
      <c r="T765" s="6"/>
      <c r="U765" s="9"/>
    </row>
    <row r="766" spans="1:21" x14ac:dyDescent="0.2">
      <c r="A766">
        <v>765</v>
      </c>
      <c r="B766" s="1">
        <v>42378.515034722222</v>
      </c>
      <c r="C766" s="1">
        <v>42378.525462962964</v>
      </c>
      <c r="D766" t="s">
        <v>35</v>
      </c>
      <c r="G766" t="b">
        <v>1</v>
      </c>
      <c r="H766">
        <v>70806</v>
      </c>
      <c r="I766" s="6">
        <v>1.7217874084017299</v>
      </c>
      <c r="J766" s="1">
        <v>42378.531435185185</v>
      </c>
      <c r="K766">
        <v>15.35</v>
      </c>
      <c r="L766" s="6">
        <f>('Pizza Sales Calculations'!$J766-'Pizza Sales Calculations'!$C766)*24*60</f>
        <v>8.5999999986961484</v>
      </c>
      <c r="M766">
        <f>COUNTA('Pizza Sales Calculations'!$D766:$F766)</f>
        <v>1</v>
      </c>
      <c r="R766" s="9">
        <f>IF('Pizza Sales Calculations'!$G766=TRUE, Parameters!$B$17*'Pizza Sales Calculations'!$L766*2, 0)</f>
        <v>2.436666666297242</v>
      </c>
      <c r="T766" s="6"/>
      <c r="U766" s="9"/>
    </row>
    <row r="767" spans="1:21" x14ac:dyDescent="0.2">
      <c r="A767">
        <v>766</v>
      </c>
      <c r="B767" s="1">
        <v>42378.516828703701</v>
      </c>
      <c r="C767" s="1">
        <v>42378.527245370373</v>
      </c>
      <c r="D767" t="s">
        <v>2</v>
      </c>
      <c r="G767" t="b">
        <v>0</v>
      </c>
      <c r="H767">
        <v>70805</v>
      </c>
      <c r="I767" s="6">
        <v>0</v>
      </c>
      <c r="J767" s="1">
        <v>42378.529328703706</v>
      </c>
      <c r="K767">
        <v>11.59</v>
      </c>
      <c r="L767" s="6">
        <f>('Pizza Sales Calculations'!$J767-'Pizza Sales Calculations'!$C767)*24*60</f>
        <v>2.9999999993015081</v>
      </c>
      <c r="M767">
        <f>COUNTA('Pizza Sales Calculations'!$D767:$F767)</f>
        <v>1</v>
      </c>
      <c r="R767" s="9">
        <f>IF('Pizza Sales Calculations'!$G767=TRUE, Parameters!$B$17*'Pizza Sales Calculations'!$L767*2, 0)</f>
        <v>0</v>
      </c>
      <c r="T767" s="6"/>
      <c r="U767" s="9"/>
    </row>
    <row r="768" spans="1:21" x14ac:dyDescent="0.2">
      <c r="A768">
        <v>767</v>
      </c>
      <c r="B768" s="1">
        <v>42378.459641203706</v>
      </c>
      <c r="C768" s="1">
        <v>42378.470023148147</v>
      </c>
      <c r="D768" t="s">
        <v>1</v>
      </c>
      <c r="G768" t="b">
        <v>1</v>
      </c>
      <c r="H768">
        <v>70803</v>
      </c>
      <c r="I768" s="6">
        <v>1.6340450463954199</v>
      </c>
      <c r="J768" s="1">
        <v>42378.475694444445</v>
      </c>
      <c r="K768">
        <v>7.99</v>
      </c>
      <c r="L768" s="6">
        <f>('Pizza Sales Calculations'!$J768-'Pizza Sales Calculations'!$C768)*24*60</f>
        <v>8.1666666688397527</v>
      </c>
      <c r="M768">
        <f>COUNTA('Pizza Sales Calculations'!$D768:$F768)</f>
        <v>1</v>
      </c>
      <c r="R768" s="9">
        <f>IF('Pizza Sales Calculations'!$G768=TRUE, Parameters!$B$17*'Pizza Sales Calculations'!$L768*2, 0)</f>
        <v>2.3138888895045966</v>
      </c>
      <c r="T768" s="6"/>
      <c r="U768" s="9"/>
    </row>
    <row r="769" spans="1:21" x14ac:dyDescent="0.2">
      <c r="A769">
        <v>768</v>
      </c>
      <c r="B769" s="1">
        <v>42378.477939814817</v>
      </c>
      <c r="C769" s="1">
        <v>42378.488344907404</v>
      </c>
      <c r="D769" t="s">
        <v>35</v>
      </c>
      <c r="G769" t="b">
        <v>0</v>
      </c>
      <c r="H769">
        <v>70804</v>
      </c>
      <c r="I769" s="6">
        <v>0</v>
      </c>
      <c r="J769" s="1">
        <v>42378.490451388891</v>
      </c>
      <c r="K769">
        <v>15.35</v>
      </c>
      <c r="L769" s="6">
        <f>('Pizza Sales Calculations'!$J769-'Pizza Sales Calculations'!$C769)*24*60</f>
        <v>3.0333333404269069</v>
      </c>
      <c r="M769">
        <f>COUNTA('Pizza Sales Calculations'!$D769:$F769)</f>
        <v>1</v>
      </c>
      <c r="R769" s="9">
        <f>IF('Pizza Sales Calculations'!$G769=TRUE, Parameters!$B$17*'Pizza Sales Calculations'!$L769*2, 0)</f>
        <v>0</v>
      </c>
      <c r="T769" s="6"/>
      <c r="U769" s="9"/>
    </row>
    <row r="770" spans="1:21" x14ac:dyDescent="0.2">
      <c r="A770">
        <v>769</v>
      </c>
      <c r="B770" s="1">
        <v>42378.472696759258</v>
      </c>
      <c r="C770" s="1">
        <v>42378.483113425929</v>
      </c>
      <c r="D770" t="s">
        <v>2</v>
      </c>
      <c r="G770" t="b">
        <v>0</v>
      </c>
      <c r="H770">
        <v>70805</v>
      </c>
      <c r="I770" s="6">
        <v>0</v>
      </c>
      <c r="J770" s="1">
        <v>42378.485196759262</v>
      </c>
      <c r="K770">
        <v>11.59</v>
      </c>
      <c r="L770" s="6">
        <f>('Pizza Sales Calculations'!$J770-'Pizza Sales Calculations'!$C770)*24*60</f>
        <v>2.9999999993015081</v>
      </c>
      <c r="M770">
        <f>COUNTA('Pizza Sales Calculations'!$D770:$F770)</f>
        <v>1</v>
      </c>
      <c r="R770" s="9">
        <f>IF('Pizza Sales Calculations'!$G770=TRUE, Parameters!$B$17*'Pizza Sales Calculations'!$L770*2, 0)</f>
        <v>0</v>
      </c>
      <c r="T770" s="6"/>
      <c r="U770" s="9"/>
    </row>
    <row r="771" spans="1:21" x14ac:dyDescent="0.2">
      <c r="A771">
        <v>770</v>
      </c>
      <c r="B771" s="1">
        <v>42378.523622685185</v>
      </c>
      <c r="C771" s="1">
        <v>42378.53402777778</v>
      </c>
      <c r="D771" t="s">
        <v>1</v>
      </c>
      <c r="E771" t="s">
        <v>2</v>
      </c>
      <c r="G771" t="b">
        <v>0</v>
      </c>
      <c r="H771">
        <v>70805</v>
      </c>
      <c r="I771" s="6">
        <v>0</v>
      </c>
      <c r="J771" s="1">
        <v>42378.536099537036</v>
      </c>
      <c r="K771">
        <v>19.579999999999998</v>
      </c>
      <c r="L771" s="6">
        <f>('Pizza Sales Calculations'!$J771-'Pizza Sales Calculations'!$C771)*24*60</f>
        <v>2.9833333287388086</v>
      </c>
      <c r="M771">
        <f>COUNTA('Pizza Sales Calculations'!$D771:$F771)</f>
        <v>2</v>
      </c>
      <c r="R771" s="9">
        <f>IF('Pizza Sales Calculations'!$G771=TRUE, Parameters!$B$17*'Pizza Sales Calculations'!$L771*2, 0)</f>
        <v>0</v>
      </c>
      <c r="T771" s="6"/>
      <c r="U771" s="9"/>
    </row>
    <row r="772" spans="1:21" x14ac:dyDescent="0.2">
      <c r="A772">
        <v>771</v>
      </c>
      <c r="B772" s="1">
        <v>42378.486458333333</v>
      </c>
      <c r="C772" s="1">
        <v>42378.496886574074</v>
      </c>
      <c r="D772" t="s">
        <v>1</v>
      </c>
      <c r="E772" t="s">
        <v>35</v>
      </c>
      <c r="G772" t="b">
        <v>0</v>
      </c>
      <c r="H772">
        <v>70804</v>
      </c>
      <c r="I772" s="6">
        <v>0</v>
      </c>
      <c r="J772" s="1">
        <v>42378.49895833333</v>
      </c>
      <c r="K772">
        <v>23.34</v>
      </c>
      <c r="L772" s="6">
        <f>('Pizza Sales Calculations'!$J772-'Pizza Sales Calculations'!$C772)*24*60</f>
        <v>2.9833333287388086</v>
      </c>
      <c r="M772">
        <f>COUNTA('Pizza Sales Calculations'!$D772:$F772)</f>
        <v>2</v>
      </c>
      <c r="R772" s="9">
        <f>IF('Pizza Sales Calculations'!$G772=TRUE, Parameters!$B$17*'Pizza Sales Calculations'!$L772*2, 0)</f>
        <v>0</v>
      </c>
      <c r="T772" s="6"/>
      <c r="U772" s="9"/>
    </row>
    <row r="773" spans="1:21" x14ac:dyDescent="0.2">
      <c r="A773">
        <v>772</v>
      </c>
      <c r="B773" s="1">
        <v>42378.54928240741</v>
      </c>
      <c r="C773" s="1">
        <v>42378.559687499997</v>
      </c>
      <c r="D773" t="s">
        <v>35</v>
      </c>
      <c r="G773" t="b">
        <v>0</v>
      </c>
      <c r="H773">
        <v>70805</v>
      </c>
      <c r="I773" s="6">
        <v>0</v>
      </c>
      <c r="J773" s="1">
        <v>42378.561747685184</v>
      </c>
      <c r="K773">
        <v>15.35</v>
      </c>
      <c r="L773" s="6">
        <f>('Pizza Sales Calculations'!$J773-'Pizza Sales Calculations'!$C773)*24*60</f>
        <v>2.9666666686534882</v>
      </c>
      <c r="M773">
        <f>COUNTA('Pizza Sales Calculations'!$D773:$F773)</f>
        <v>1</v>
      </c>
      <c r="R773" s="9">
        <f>IF('Pizza Sales Calculations'!$G773=TRUE, Parameters!$B$17*'Pizza Sales Calculations'!$L773*2, 0)</f>
        <v>0</v>
      </c>
      <c r="T773" s="6"/>
      <c r="U773" s="9"/>
    </row>
    <row r="774" spans="1:21" x14ac:dyDescent="0.2">
      <c r="A774">
        <v>773</v>
      </c>
      <c r="B774" s="1">
        <v>42378.477210648147</v>
      </c>
      <c r="C774" s="1">
        <v>42378.487604166665</v>
      </c>
      <c r="D774" t="s">
        <v>1</v>
      </c>
      <c r="E774" t="s">
        <v>2</v>
      </c>
      <c r="G774" t="b">
        <v>0</v>
      </c>
      <c r="H774">
        <v>70803</v>
      </c>
      <c r="I774" s="6">
        <v>0</v>
      </c>
      <c r="J774" s="1">
        <v>42378.489675925928</v>
      </c>
      <c r="K774">
        <v>19.579999999999998</v>
      </c>
      <c r="L774" s="6">
        <f>('Pizza Sales Calculations'!$J774-'Pizza Sales Calculations'!$C774)*24*60</f>
        <v>2.9833333392161876</v>
      </c>
      <c r="M774">
        <f>COUNTA('Pizza Sales Calculations'!$D774:$F774)</f>
        <v>2</v>
      </c>
      <c r="R774" s="9">
        <f>IF('Pizza Sales Calculations'!$G774=TRUE, Parameters!$B$17*'Pizza Sales Calculations'!$L774*2, 0)</f>
        <v>0</v>
      </c>
      <c r="T774" s="6"/>
      <c r="U774" s="9"/>
    </row>
    <row r="775" spans="1:21" x14ac:dyDescent="0.2">
      <c r="A775">
        <v>774</v>
      </c>
      <c r="B775" s="1">
        <v>42378.519895833335</v>
      </c>
      <c r="C775" s="1">
        <v>42378.530312499999</v>
      </c>
      <c r="D775" t="s">
        <v>1</v>
      </c>
      <c r="G775" t="b">
        <v>1</v>
      </c>
      <c r="H775">
        <v>70804</v>
      </c>
      <c r="I775" s="6">
        <v>4.1469554065016601</v>
      </c>
      <c r="J775" s="1">
        <v>42378.544710648152</v>
      </c>
      <c r="K775">
        <v>7.99</v>
      </c>
      <c r="L775" s="6">
        <f>('Pizza Sales Calculations'!$J775-'Pizza Sales Calculations'!$C775)*24*60</f>
        <v>20.733333339449018</v>
      </c>
      <c r="M775">
        <f>COUNTA('Pizza Sales Calculations'!$D775:$F775)</f>
        <v>1</v>
      </c>
      <c r="R775" s="9">
        <f>IF('Pizza Sales Calculations'!$G775=TRUE, Parameters!$B$17*'Pizza Sales Calculations'!$L775*2, 0)</f>
        <v>5.8744444461772218</v>
      </c>
      <c r="T775" s="6"/>
      <c r="U775" s="9"/>
    </row>
    <row r="776" spans="1:21" x14ac:dyDescent="0.2">
      <c r="A776">
        <v>775</v>
      </c>
      <c r="B776" s="1">
        <v>42378.502928240741</v>
      </c>
      <c r="C776" s="1">
        <v>42378.513333333336</v>
      </c>
      <c r="D776" t="s">
        <v>2</v>
      </c>
      <c r="G776" t="b">
        <v>1</v>
      </c>
      <c r="H776">
        <v>70806</v>
      </c>
      <c r="I776" s="6">
        <v>3.5355441818789002</v>
      </c>
      <c r="J776" s="1">
        <v>42378.525601851848</v>
      </c>
      <c r="K776">
        <v>11.59</v>
      </c>
      <c r="L776" s="6">
        <f>('Pizza Sales Calculations'!$J776-'Pizza Sales Calculations'!$C776)*24*60</f>
        <v>17.666666657896712</v>
      </c>
      <c r="M776">
        <f>COUNTA('Pizza Sales Calculations'!$D776:$F776)</f>
        <v>1</v>
      </c>
      <c r="R776" s="9">
        <f>IF('Pizza Sales Calculations'!$G776=TRUE, Parameters!$B$17*'Pizza Sales Calculations'!$L776*2, 0)</f>
        <v>5.0055555530707352</v>
      </c>
      <c r="T776" s="6"/>
      <c r="U776" s="9"/>
    </row>
    <row r="777" spans="1:21" x14ac:dyDescent="0.2">
      <c r="A777">
        <v>776</v>
      </c>
      <c r="B777" s="1">
        <v>42378.540729166663</v>
      </c>
      <c r="C777" s="1">
        <v>42378.551134259258</v>
      </c>
      <c r="D777" t="s">
        <v>1</v>
      </c>
      <c r="G777" t="b">
        <v>0</v>
      </c>
      <c r="H777">
        <v>70803</v>
      </c>
      <c r="I777" s="6">
        <v>0</v>
      </c>
      <c r="J777" s="1">
        <v>42378.553206018521</v>
      </c>
      <c r="K777">
        <v>7.99</v>
      </c>
      <c r="L777" s="6">
        <f>('Pizza Sales Calculations'!$J777-'Pizza Sales Calculations'!$C777)*24*60</f>
        <v>2.9833333392161876</v>
      </c>
      <c r="M777">
        <f>COUNTA('Pizza Sales Calculations'!$D777:$F777)</f>
        <v>1</v>
      </c>
      <c r="R777" s="9">
        <f>IF('Pizza Sales Calculations'!$G777=TRUE, Parameters!$B$17*'Pizza Sales Calculations'!$L777*2, 0)</f>
        <v>0</v>
      </c>
      <c r="T777" s="6"/>
      <c r="U777" s="9"/>
    </row>
    <row r="778" spans="1:21" x14ac:dyDescent="0.2">
      <c r="A778">
        <v>777</v>
      </c>
      <c r="B778" s="1">
        <v>42378.521157407406</v>
      </c>
      <c r="C778" s="1">
        <v>42378.531550925924</v>
      </c>
      <c r="D778" t="s">
        <v>1</v>
      </c>
      <c r="E778" t="s">
        <v>2</v>
      </c>
      <c r="G778" t="b">
        <v>1</v>
      </c>
      <c r="H778">
        <v>70806</v>
      </c>
      <c r="I778" s="6">
        <v>2.7315567682930602</v>
      </c>
      <c r="J778" s="1">
        <v>42378.541030092594</v>
      </c>
      <c r="K778">
        <v>19.579999999999998</v>
      </c>
      <c r="L778" s="6">
        <f>('Pizza Sales Calculations'!$J778-'Pizza Sales Calculations'!$C778)*24*60</f>
        <v>13.650000005727634</v>
      </c>
      <c r="M778">
        <f>COUNTA('Pizza Sales Calculations'!$D778:$F778)</f>
        <v>2</v>
      </c>
      <c r="R778" s="9">
        <f>IF('Pizza Sales Calculations'!$G778=TRUE, Parameters!$B$17*'Pizza Sales Calculations'!$L778*2, 0)</f>
        <v>3.8675000016228296</v>
      </c>
      <c r="T778" s="6"/>
      <c r="U778" s="9"/>
    </row>
    <row r="779" spans="1:21" x14ac:dyDescent="0.2">
      <c r="A779">
        <v>778</v>
      </c>
      <c r="B779" s="1">
        <v>42378.492175925923</v>
      </c>
      <c r="C779" s="1">
        <v>42378.502569444441</v>
      </c>
      <c r="D779" t="s">
        <v>1</v>
      </c>
      <c r="E779" t="s">
        <v>35</v>
      </c>
      <c r="G779" t="b">
        <v>1</v>
      </c>
      <c r="H779">
        <v>70804</v>
      </c>
      <c r="I779" s="6">
        <v>3.9933480956849299</v>
      </c>
      <c r="J779" s="1">
        <v>42378.516435185185</v>
      </c>
      <c r="K779">
        <v>23.34</v>
      </c>
      <c r="L779" s="6">
        <f>('Pizza Sales Calculations'!$J779-'Pizza Sales Calculations'!$C779)*24*60</f>
        <v>19.966666671680287</v>
      </c>
      <c r="M779">
        <f>COUNTA('Pizza Sales Calculations'!$D779:$F779)</f>
        <v>2</v>
      </c>
      <c r="R779" s="9">
        <f>IF('Pizza Sales Calculations'!$G779=TRUE, Parameters!$B$17*'Pizza Sales Calculations'!$L779*2, 0)</f>
        <v>5.6572222236427478</v>
      </c>
      <c r="T779" s="6"/>
      <c r="U779" s="9"/>
    </row>
    <row r="780" spans="1:21" x14ac:dyDescent="0.2">
      <c r="A780">
        <v>779</v>
      </c>
      <c r="B780" s="1">
        <v>42378.472719907404</v>
      </c>
      <c r="C780" s="1">
        <v>42378.483136574076</v>
      </c>
      <c r="D780" t="s">
        <v>35</v>
      </c>
      <c r="G780" t="b">
        <v>1</v>
      </c>
      <c r="H780">
        <v>70804</v>
      </c>
      <c r="I780" s="6">
        <v>5.62978590768786</v>
      </c>
      <c r="J780" s="1">
        <v>42378.50267361111</v>
      </c>
      <c r="K780">
        <v>15.35</v>
      </c>
      <c r="L780" s="6">
        <f>('Pizza Sales Calculations'!$J780-'Pizza Sales Calculations'!$C780)*24*60</f>
        <v>28.13333333004266</v>
      </c>
      <c r="M780">
        <f>COUNTA('Pizza Sales Calculations'!$D780:$F780)</f>
        <v>1</v>
      </c>
      <c r="R780" s="9">
        <f>IF('Pizza Sales Calculations'!$G780=TRUE, Parameters!$B$17*'Pizza Sales Calculations'!$L780*2, 0)</f>
        <v>7.9711111101787537</v>
      </c>
      <c r="T780" s="6"/>
      <c r="U780" s="9"/>
    </row>
    <row r="781" spans="1:21" x14ac:dyDescent="0.2">
      <c r="A781">
        <v>780</v>
      </c>
      <c r="B781" s="1">
        <v>42378.517500000002</v>
      </c>
      <c r="C781" s="1">
        <v>42378.527916666666</v>
      </c>
      <c r="D781" t="s">
        <v>1</v>
      </c>
      <c r="E781" t="s">
        <v>2</v>
      </c>
      <c r="G781" t="b">
        <v>1</v>
      </c>
      <c r="H781">
        <v>70808</v>
      </c>
      <c r="I781" s="6">
        <v>4.2791438114174003</v>
      </c>
      <c r="J781" s="1">
        <v>42378.542766203704</v>
      </c>
      <c r="K781">
        <v>19.579999999999998</v>
      </c>
      <c r="L781" s="6">
        <f>('Pizza Sales Calculations'!$J781-'Pizza Sales Calculations'!$C781)*24*60</f>
        <v>21.383333334233612</v>
      </c>
      <c r="M781">
        <f>COUNTA('Pizza Sales Calculations'!$D781:$F781)</f>
        <v>2</v>
      </c>
      <c r="R781" s="9">
        <f>IF('Pizza Sales Calculations'!$G781=TRUE, Parameters!$B$17*'Pizza Sales Calculations'!$L781*2, 0)</f>
        <v>6.05861111136619</v>
      </c>
      <c r="T781" s="6"/>
      <c r="U781" s="9"/>
    </row>
    <row r="782" spans="1:21" x14ac:dyDescent="0.2">
      <c r="A782">
        <v>781</v>
      </c>
      <c r="B782" s="1">
        <v>42378.540196759262</v>
      </c>
      <c r="C782" s="1">
        <v>42378.550613425927</v>
      </c>
      <c r="D782" t="s">
        <v>35</v>
      </c>
      <c r="G782" t="b">
        <v>0</v>
      </c>
      <c r="H782">
        <v>70803</v>
      </c>
      <c r="I782" s="6">
        <v>0</v>
      </c>
      <c r="J782" s="1">
        <v>42378.552673611113</v>
      </c>
      <c r="K782">
        <v>15.35</v>
      </c>
      <c r="L782" s="6">
        <f>('Pizza Sales Calculations'!$J782-'Pizza Sales Calculations'!$C782)*24*60</f>
        <v>2.9666666686534882</v>
      </c>
      <c r="M782">
        <f>COUNTA('Pizza Sales Calculations'!$D782:$F782)</f>
        <v>1</v>
      </c>
      <c r="R782" s="9">
        <f>IF('Pizza Sales Calculations'!$G782=TRUE, Parameters!$B$17*'Pizza Sales Calculations'!$L782*2, 0)</f>
        <v>0</v>
      </c>
      <c r="T782" s="6"/>
      <c r="U782" s="9"/>
    </row>
    <row r="783" spans="1:21" x14ac:dyDescent="0.2">
      <c r="A783">
        <v>782</v>
      </c>
      <c r="B783" s="1">
        <v>42378.426435185182</v>
      </c>
      <c r="C783" s="1">
        <v>42378.43681712963</v>
      </c>
      <c r="D783" t="s">
        <v>35</v>
      </c>
      <c r="G783" t="b">
        <v>0</v>
      </c>
      <c r="H783">
        <v>70804</v>
      </c>
      <c r="I783" s="6">
        <v>0</v>
      </c>
      <c r="J783" s="1">
        <v>42378.438888888886</v>
      </c>
      <c r="K783">
        <v>15.35</v>
      </c>
      <c r="L783" s="6">
        <f>('Pizza Sales Calculations'!$J783-'Pizza Sales Calculations'!$C783)*24*60</f>
        <v>2.9833333287388086</v>
      </c>
      <c r="M783">
        <f>COUNTA('Pizza Sales Calculations'!$D783:$F783)</f>
        <v>1</v>
      </c>
      <c r="R783" s="9">
        <f>IF('Pizza Sales Calculations'!$G783=TRUE, Parameters!$B$17*'Pizza Sales Calculations'!$L783*2, 0)</f>
        <v>0</v>
      </c>
      <c r="T783" s="6"/>
      <c r="U783" s="9"/>
    </row>
    <row r="784" spans="1:21" x14ac:dyDescent="0.2">
      <c r="A784">
        <v>783</v>
      </c>
      <c r="B784" s="1">
        <v>42378.474872685183</v>
      </c>
      <c r="C784" s="1">
        <v>42378.485300925924</v>
      </c>
      <c r="D784" t="s">
        <v>1</v>
      </c>
      <c r="E784" t="s">
        <v>2</v>
      </c>
      <c r="G784" t="b">
        <v>1</v>
      </c>
      <c r="H784">
        <v>70804</v>
      </c>
      <c r="I784" s="6">
        <v>2.9042117652254702</v>
      </c>
      <c r="J784" s="1">
        <v>42378.495381944442</v>
      </c>
      <c r="K784">
        <v>19.579999999999998</v>
      </c>
      <c r="L784" s="6">
        <f>('Pizza Sales Calculations'!$J784-'Pizza Sales Calculations'!$C784)*24*60</f>
        <v>14.516666665440425</v>
      </c>
      <c r="M784">
        <f>COUNTA('Pizza Sales Calculations'!$D784:$F784)</f>
        <v>2</v>
      </c>
      <c r="R784" s="9">
        <f>IF('Pizza Sales Calculations'!$G784=TRUE, Parameters!$B$17*'Pizza Sales Calculations'!$L784*2, 0)</f>
        <v>4.1130555552081205</v>
      </c>
      <c r="T784" s="6"/>
      <c r="U784" s="9"/>
    </row>
    <row r="785" spans="1:21" x14ac:dyDescent="0.2">
      <c r="A785">
        <v>784</v>
      </c>
      <c r="B785" s="1">
        <v>42378.50880787037</v>
      </c>
      <c r="C785" s="1">
        <v>42378.519224537034</v>
      </c>
      <c r="D785" t="s">
        <v>2</v>
      </c>
      <c r="E785" t="s">
        <v>35</v>
      </c>
      <c r="G785" t="b">
        <v>1</v>
      </c>
      <c r="H785">
        <v>70806</v>
      </c>
      <c r="I785" s="6">
        <v>2.4657176224036101</v>
      </c>
      <c r="J785" s="1">
        <v>42378.527777777781</v>
      </c>
      <c r="K785">
        <v>25.94</v>
      </c>
      <c r="L785" s="6">
        <f>('Pizza Sales Calculations'!$J785-'Pizza Sales Calculations'!$C785)*24*60</f>
        <v>12.316666675033048</v>
      </c>
      <c r="M785">
        <f>COUNTA('Pizza Sales Calculations'!$D785:$F785)</f>
        <v>2</v>
      </c>
      <c r="R785" s="9">
        <f>IF('Pizza Sales Calculations'!$G785=TRUE, Parameters!$B$17*'Pizza Sales Calculations'!$L785*2, 0)</f>
        <v>3.4897222245926969</v>
      </c>
      <c r="T785" s="6"/>
      <c r="U785" s="9"/>
    </row>
    <row r="786" spans="1:21" x14ac:dyDescent="0.2">
      <c r="A786">
        <v>785</v>
      </c>
      <c r="B786" s="1">
        <v>42378.453969907408</v>
      </c>
      <c r="C786" s="1">
        <v>42378.464386574073</v>
      </c>
      <c r="D786" t="s">
        <v>1</v>
      </c>
      <c r="G786" t="b">
        <v>1</v>
      </c>
      <c r="H786">
        <v>70806</v>
      </c>
      <c r="I786" s="6">
        <v>2.6365137605756002</v>
      </c>
      <c r="J786" s="1">
        <v>42378.473530092589</v>
      </c>
      <c r="K786">
        <v>7.99</v>
      </c>
      <c r="L786" s="6">
        <f>('Pizza Sales Calculations'!$J786-'Pizza Sales Calculations'!$C786)*24*60</f>
        <v>13.16666666418314</v>
      </c>
      <c r="M786">
        <f>COUNTA('Pizza Sales Calculations'!$D786:$F786)</f>
        <v>1</v>
      </c>
      <c r="R786" s="9">
        <f>IF('Pizza Sales Calculations'!$G786=TRUE, Parameters!$B$17*'Pizza Sales Calculations'!$L786*2, 0)</f>
        <v>3.7305555548518896</v>
      </c>
      <c r="T786" s="6"/>
      <c r="U786" s="9"/>
    </row>
    <row r="787" spans="1:21" x14ac:dyDescent="0.2">
      <c r="A787">
        <v>786</v>
      </c>
      <c r="B787" s="1">
        <v>42378.514027777775</v>
      </c>
      <c r="C787" s="1">
        <v>42378.52443287037</v>
      </c>
      <c r="D787" t="s">
        <v>1</v>
      </c>
      <c r="G787" t="b">
        <v>1</v>
      </c>
      <c r="H787">
        <v>70804</v>
      </c>
      <c r="I787" s="6">
        <v>1.3545088655608</v>
      </c>
      <c r="J787" s="1">
        <v>42378.529131944444</v>
      </c>
      <c r="K787">
        <v>7.99</v>
      </c>
      <c r="L787" s="6">
        <f>('Pizza Sales Calculations'!$J787-'Pizza Sales Calculations'!$C787)*24*60</f>
        <v>6.7666666663717479</v>
      </c>
      <c r="M787">
        <f>COUNTA('Pizza Sales Calculations'!$D787:$F787)</f>
        <v>1</v>
      </c>
      <c r="R787" s="9">
        <f>IF('Pizza Sales Calculations'!$G787=TRUE, Parameters!$B$17*'Pizza Sales Calculations'!$L787*2, 0)</f>
        <v>1.9172222221386619</v>
      </c>
      <c r="T787" s="6"/>
      <c r="U787" s="9"/>
    </row>
    <row r="788" spans="1:21" x14ac:dyDescent="0.2">
      <c r="A788">
        <v>787</v>
      </c>
      <c r="B788" s="1">
        <v>42378.533726851849</v>
      </c>
      <c r="C788" s="1">
        <v>42378.544131944444</v>
      </c>
      <c r="D788" t="s">
        <v>1</v>
      </c>
      <c r="G788" t="b">
        <v>1</v>
      </c>
      <c r="H788">
        <v>70804</v>
      </c>
      <c r="I788" s="6">
        <v>1.7851147234587801</v>
      </c>
      <c r="J788" s="1">
        <v>42378.550324074073</v>
      </c>
      <c r="K788">
        <v>7.99</v>
      </c>
      <c r="L788" s="6">
        <f>('Pizza Sales Calculations'!$J788-'Pizza Sales Calculations'!$C788)*24*60</f>
        <v>8.916666666045785</v>
      </c>
      <c r="M788">
        <f>COUNTA('Pizza Sales Calculations'!$D788:$F788)</f>
        <v>1</v>
      </c>
      <c r="R788" s="9">
        <f>IF('Pizza Sales Calculations'!$G788=TRUE, Parameters!$B$17*'Pizza Sales Calculations'!$L788*2, 0)</f>
        <v>2.5263888887129724</v>
      </c>
      <c r="T788" s="6"/>
      <c r="U788" s="9"/>
    </row>
    <row r="789" spans="1:21" x14ac:dyDescent="0.2">
      <c r="A789">
        <v>788</v>
      </c>
      <c r="B789" s="1">
        <v>42378.52065972222</v>
      </c>
      <c r="C789" s="1">
        <v>42378.531076388892</v>
      </c>
      <c r="D789" t="s">
        <v>1</v>
      </c>
      <c r="G789" t="b">
        <v>0</v>
      </c>
      <c r="H789">
        <v>70806</v>
      </c>
      <c r="I789" s="6">
        <v>0</v>
      </c>
      <c r="J789" s="1">
        <v>42378.533159722225</v>
      </c>
      <c r="K789">
        <v>7.99</v>
      </c>
      <c r="L789" s="6">
        <f>('Pizza Sales Calculations'!$J789-'Pizza Sales Calculations'!$C789)*24*60</f>
        <v>2.9999999993015081</v>
      </c>
      <c r="M789">
        <f>COUNTA('Pizza Sales Calculations'!$D789:$F789)</f>
        <v>1</v>
      </c>
      <c r="R789" s="9">
        <f>IF('Pizza Sales Calculations'!$G789=TRUE, Parameters!$B$17*'Pizza Sales Calculations'!$L789*2, 0)</f>
        <v>0</v>
      </c>
      <c r="T789" s="6"/>
      <c r="U789" s="9"/>
    </row>
    <row r="790" spans="1:21" x14ac:dyDescent="0.2">
      <c r="A790">
        <v>789</v>
      </c>
      <c r="B790" s="1">
        <v>42378.421782407408</v>
      </c>
      <c r="C790" s="1">
        <v>42378.432175925926</v>
      </c>
      <c r="D790" t="s">
        <v>1</v>
      </c>
      <c r="E790" t="s">
        <v>2</v>
      </c>
      <c r="G790" t="b">
        <v>1</v>
      </c>
      <c r="H790">
        <v>70803</v>
      </c>
      <c r="I790" s="6">
        <v>1.526212594248</v>
      </c>
      <c r="J790" s="1">
        <v>42378.437465277777</v>
      </c>
      <c r="K790">
        <v>19.579999999999998</v>
      </c>
      <c r="L790" s="6">
        <f>('Pizza Sales Calculations'!$J790-'Pizza Sales Calculations'!$C790)*24*60</f>
        <v>7.6166666659992188</v>
      </c>
      <c r="M790">
        <f>COUNTA('Pizza Sales Calculations'!$D790:$F790)</f>
        <v>2</v>
      </c>
      <c r="R790" s="9">
        <f>IF('Pizza Sales Calculations'!$G790=TRUE, Parameters!$B$17*'Pizza Sales Calculations'!$L790*2, 0)</f>
        <v>2.1580555553664453</v>
      </c>
      <c r="T790" s="6"/>
      <c r="U790" s="9"/>
    </row>
    <row r="791" spans="1:21" x14ac:dyDescent="0.2">
      <c r="A791">
        <v>790</v>
      </c>
      <c r="B791" s="1">
        <v>42378.537118055552</v>
      </c>
      <c r="C791" s="1">
        <v>42378.547534722224</v>
      </c>
      <c r="D791" t="s">
        <v>2</v>
      </c>
      <c r="G791" t="b">
        <v>1</v>
      </c>
      <c r="H791">
        <v>70804</v>
      </c>
      <c r="I791" s="6">
        <v>3.24065469170651</v>
      </c>
      <c r="J791" s="1">
        <v>42378.55878472222</v>
      </c>
      <c r="K791">
        <v>11.59</v>
      </c>
      <c r="L791" s="6">
        <f>('Pizza Sales Calculations'!$J791-'Pizza Sales Calculations'!$C791)*24*60</f>
        <v>16.199999994132668</v>
      </c>
      <c r="M791">
        <f>COUNTA('Pizza Sales Calculations'!$D791:$F791)</f>
        <v>1</v>
      </c>
      <c r="R791" s="9">
        <f>IF('Pizza Sales Calculations'!$G791=TRUE, Parameters!$B$17*'Pizza Sales Calculations'!$L791*2, 0)</f>
        <v>4.5899999983375892</v>
      </c>
      <c r="T791" s="6"/>
      <c r="U791" s="9"/>
    </row>
    <row r="792" spans="1:21" x14ac:dyDescent="0.2">
      <c r="A792">
        <v>791</v>
      </c>
      <c r="B792" s="1">
        <v>42378.503645833334</v>
      </c>
      <c r="C792" s="1">
        <v>42378.514050925929</v>
      </c>
      <c r="D792" t="s">
        <v>35</v>
      </c>
      <c r="G792" t="b">
        <v>0</v>
      </c>
      <c r="H792">
        <v>70807</v>
      </c>
      <c r="I792" s="6">
        <v>0</v>
      </c>
      <c r="J792" s="1">
        <v>42378.516134259262</v>
      </c>
      <c r="K792">
        <v>15.35</v>
      </c>
      <c r="L792" s="6">
        <f>('Pizza Sales Calculations'!$J792-'Pizza Sales Calculations'!$C792)*24*60</f>
        <v>2.9999999993015081</v>
      </c>
      <c r="M792">
        <f>COUNTA('Pizza Sales Calculations'!$D792:$F792)</f>
        <v>1</v>
      </c>
      <c r="R792" s="9">
        <f>IF('Pizza Sales Calculations'!$G792=TRUE, Parameters!$B$17*'Pizza Sales Calculations'!$L792*2, 0)</f>
        <v>0</v>
      </c>
      <c r="T792" s="6"/>
      <c r="U792" s="9"/>
    </row>
    <row r="793" spans="1:21" x14ac:dyDescent="0.2">
      <c r="A793">
        <v>792</v>
      </c>
      <c r="B793" s="1">
        <v>42378.425358796296</v>
      </c>
      <c r="C793" s="1">
        <v>42378.435787037037</v>
      </c>
      <c r="D793" t="s">
        <v>1</v>
      </c>
      <c r="E793" t="s">
        <v>2</v>
      </c>
      <c r="G793" t="b">
        <v>0</v>
      </c>
      <c r="H793">
        <v>70803</v>
      </c>
      <c r="I793" s="6">
        <v>0</v>
      </c>
      <c r="J793" s="1">
        <v>42378.437858796293</v>
      </c>
      <c r="K793">
        <v>19.579999999999998</v>
      </c>
      <c r="L793" s="6">
        <f>('Pizza Sales Calculations'!$J793-'Pizza Sales Calculations'!$C793)*24*60</f>
        <v>2.9833333287388086</v>
      </c>
      <c r="M793">
        <f>COUNTA('Pizza Sales Calculations'!$D793:$F793)</f>
        <v>2</v>
      </c>
      <c r="R793" s="9">
        <f>IF('Pizza Sales Calculations'!$G793=TRUE, Parameters!$B$17*'Pizza Sales Calculations'!$L793*2, 0)</f>
        <v>0</v>
      </c>
      <c r="T793" s="6"/>
      <c r="U793" s="9"/>
    </row>
    <row r="794" spans="1:21" x14ac:dyDescent="0.2">
      <c r="A794">
        <v>793</v>
      </c>
      <c r="B794" s="1">
        <v>42378.436307870368</v>
      </c>
      <c r="C794" s="1">
        <v>42378.44672453704</v>
      </c>
      <c r="D794" t="s">
        <v>2</v>
      </c>
      <c r="G794" t="b">
        <v>1</v>
      </c>
      <c r="H794">
        <v>70805</v>
      </c>
      <c r="I794" s="6">
        <v>4.3616121884225603</v>
      </c>
      <c r="J794" s="1">
        <v>42378.461863425924</v>
      </c>
      <c r="K794">
        <v>11.59</v>
      </c>
      <c r="L794" s="6">
        <f>('Pizza Sales Calculations'!$J794-'Pizza Sales Calculations'!$C794)*24*60</f>
        <v>21.799999993527308</v>
      </c>
      <c r="M794">
        <f>COUNTA('Pizza Sales Calculations'!$D794:$F794)</f>
        <v>1</v>
      </c>
      <c r="R794" s="9">
        <f>IF('Pizza Sales Calculations'!$G794=TRUE, Parameters!$B$17*'Pizza Sales Calculations'!$L794*2, 0)</f>
        <v>6.1766666648327373</v>
      </c>
      <c r="T794" s="6"/>
      <c r="U794" s="9"/>
    </row>
    <row r="795" spans="1:21" x14ac:dyDescent="0.2">
      <c r="A795">
        <v>794</v>
      </c>
      <c r="B795" s="1">
        <v>42378.531747685185</v>
      </c>
      <c r="C795" s="1">
        <v>42378.542141203703</v>
      </c>
      <c r="D795" t="s">
        <v>35</v>
      </c>
      <c r="G795" t="b">
        <v>1</v>
      </c>
      <c r="H795">
        <v>70807</v>
      </c>
      <c r="I795" s="6">
        <v>2.7870530337550101</v>
      </c>
      <c r="J795" s="1">
        <v>42378.551817129628</v>
      </c>
      <c r="K795">
        <v>15.35</v>
      </c>
      <c r="L795" s="6">
        <f>('Pizza Sales Calculations'!$J795-'Pizza Sales Calculations'!$C795)*24*60</f>
        <v>13.933333331951872</v>
      </c>
      <c r="M795">
        <f>COUNTA('Pizza Sales Calculations'!$D795:$F795)</f>
        <v>1</v>
      </c>
      <c r="R795" s="9">
        <f>IF('Pizza Sales Calculations'!$G795=TRUE, Parameters!$B$17*'Pizza Sales Calculations'!$L795*2, 0)</f>
        <v>3.9477777773863636</v>
      </c>
      <c r="T795" s="6"/>
      <c r="U795" s="9"/>
    </row>
    <row r="796" spans="1:21" x14ac:dyDescent="0.2">
      <c r="A796">
        <v>795</v>
      </c>
      <c r="B796" s="1">
        <v>42378.526435185187</v>
      </c>
      <c r="C796" s="1">
        <v>42378.536863425928</v>
      </c>
      <c r="D796" t="s">
        <v>2</v>
      </c>
      <c r="G796" t="b">
        <v>0</v>
      </c>
      <c r="H796">
        <v>70805</v>
      </c>
      <c r="I796" s="6">
        <v>0</v>
      </c>
      <c r="J796" s="1">
        <v>42378.538912037038</v>
      </c>
      <c r="K796">
        <v>11.59</v>
      </c>
      <c r="L796" s="6">
        <f>('Pizza Sales Calculations'!$J796-'Pizza Sales Calculations'!$C796)*24*60</f>
        <v>2.9499999980907887</v>
      </c>
      <c r="M796">
        <f>COUNTA('Pizza Sales Calculations'!$D796:$F796)</f>
        <v>1</v>
      </c>
      <c r="R796" s="9">
        <f>IF('Pizza Sales Calculations'!$G796=TRUE, Parameters!$B$17*'Pizza Sales Calculations'!$L796*2, 0)</f>
        <v>0</v>
      </c>
      <c r="T796" s="6"/>
      <c r="U796" s="9"/>
    </row>
    <row r="797" spans="1:21" x14ac:dyDescent="0.2">
      <c r="A797">
        <v>796</v>
      </c>
      <c r="B797" s="1">
        <v>42378.510787037034</v>
      </c>
      <c r="C797" s="1">
        <v>42378.521192129629</v>
      </c>
      <c r="D797" t="s">
        <v>35</v>
      </c>
      <c r="G797" t="b">
        <v>1</v>
      </c>
      <c r="H797">
        <v>70804</v>
      </c>
      <c r="I797" s="6">
        <v>2.1820985834574702</v>
      </c>
      <c r="J797" s="1">
        <v>42378.528761574074</v>
      </c>
      <c r="K797">
        <v>15.35</v>
      </c>
      <c r="L797" s="6">
        <f>('Pizza Sales Calculations'!$J797-'Pizza Sales Calculations'!$C797)*24*60</f>
        <v>10.900000002002344</v>
      </c>
      <c r="M797">
        <f>COUNTA('Pizza Sales Calculations'!$D797:$F797)</f>
        <v>1</v>
      </c>
      <c r="R797" s="9">
        <f>IF('Pizza Sales Calculations'!$G797=TRUE, Parameters!$B$17*'Pizza Sales Calculations'!$L797*2, 0)</f>
        <v>3.088333333900664</v>
      </c>
      <c r="T797" s="6"/>
      <c r="U797" s="9"/>
    </row>
    <row r="798" spans="1:21" x14ac:dyDescent="0.2">
      <c r="A798">
        <v>797</v>
      </c>
      <c r="B798" s="1">
        <v>42378.479849537034</v>
      </c>
      <c r="C798" s="1">
        <v>42378.490254629629</v>
      </c>
      <c r="D798" t="s">
        <v>35</v>
      </c>
      <c r="G798" t="b">
        <v>0</v>
      </c>
      <c r="H798">
        <v>70805</v>
      </c>
      <c r="I798" s="6">
        <v>0</v>
      </c>
      <c r="J798" s="1">
        <v>42378.492326388892</v>
      </c>
      <c r="K798">
        <v>15.35</v>
      </c>
      <c r="L798" s="6">
        <f>('Pizza Sales Calculations'!$J798-'Pizza Sales Calculations'!$C798)*24*60</f>
        <v>2.9833333392161876</v>
      </c>
      <c r="M798">
        <f>COUNTA('Pizza Sales Calculations'!$D798:$F798)</f>
        <v>1</v>
      </c>
      <c r="R798" s="9">
        <f>IF('Pizza Sales Calculations'!$G798=TRUE, Parameters!$B$17*'Pizza Sales Calculations'!$L798*2, 0)</f>
        <v>0</v>
      </c>
      <c r="T798" s="6"/>
      <c r="U798" s="9"/>
    </row>
    <row r="799" spans="1:21" x14ac:dyDescent="0.2">
      <c r="A799">
        <v>798</v>
      </c>
      <c r="B799" s="1">
        <v>42378.448125000003</v>
      </c>
      <c r="C799" s="1">
        <v>42378.45853009259</v>
      </c>
      <c r="D799" t="s">
        <v>1</v>
      </c>
      <c r="G799" t="b">
        <v>0</v>
      </c>
      <c r="H799">
        <v>70803</v>
      </c>
      <c r="I799" s="6">
        <v>0</v>
      </c>
      <c r="J799" s="1">
        <v>42378.460613425923</v>
      </c>
      <c r="K799">
        <v>7.99</v>
      </c>
      <c r="L799" s="6">
        <f>('Pizza Sales Calculations'!$J799-'Pizza Sales Calculations'!$C799)*24*60</f>
        <v>2.9999999993015081</v>
      </c>
      <c r="M799">
        <f>COUNTA('Pizza Sales Calculations'!$D799:$F799)</f>
        <v>1</v>
      </c>
      <c r="R799" s="9">
        <f>IF('Pizza Sales Calculations'!$G799=TRUE, Parameters!$B$17*'Pizza Sales Calculations'!$L799*2, 0)</f>
        <v>0</v>
      </c>
      <c r="T799" s="6"/>
      <c r="U799" s="9"/>
    </row>
    <row r="800" spans="1:21" x14ac:dyDescent="0.2">
      <c r="A800">
        <v>799</v>
      </c>
      <c r="B800" s="1">
        <v>42378.495162037034</v>
      </c>
      <c r="C800" s="1">
        <v>42378.505555555559</v>
      </c>
      <c r="D800" t="s">
        <v>1</v>
      </c>
      <c r="G800" t="b">
        <v>1</v>
      </c>
      <c r="H800">
        <v>70803</v>
      </c>
      <c r="I800" s="6">
        <v>3.1335743376275</v>
      </c>
      <c r="J800" s="1">
        <v>42378.516435185185</v>
      </c>
      <c r="K800">
        <v>7.99</v>
      </c>
      <c r="L800" s="6">
        <f>('Pizza Sales Calculations'!$J800-'Pizza Sales Calculations'!$C800)*24*60</f>
        <v>15.666666661854833</v>
      </c>
      <c r="M800">
        <f>COUNTA('Pizza Sales Calculations'!$D800:$F800)</f>
        <v>1</v>
      </c>
      <c r="R800" s="9">
        <f>IF('Pizza Sales Calculations'!$G800=TRUE, Parameters!$B$17*'Pizza Sales Calculations'!$L800*2, 0)</f>
        <v>4.4388888875255361</v>
      </c>
      <c r="T800" s="6"/>
      <c r="U800" s="9"/>
    </row>
    <row r="801" spans="1:21" x14ac:dyDescent="0.2">
      <c r="A801">
        <v>800</v>
      </c>
      <c r="B801" s="1">
        <v>42378.496377314812</v>
      </c>
      <c r="C801" s="1">
        <v>42378.506782407407</v>
      </c>
      <c r="D801" t="s">
        <v>35</v>
      </c>
      <c r="G801" t="b">
        <v>0</v>
      </c>
      <c r="H801">
        <v>70807</v>
      </c>
      <c r="I801" s="6">
        <v>0</v>
      </c>
      <c r="J801" s="1">
        <v>42378.508842592593</v>
      </c>
      <c r="K801">
        <v>15.35</v>
      </c>
      <c r="L801" s="6">
        <f>('Pizza Sales Calculations'!$J801-'Pizza Sales Calculations'!$C801)*24*60</f>
        <v>2.9666666686534882</v>
      </c>
      <c r="M801">
        <f>COUNTA('Pizza Sales Calculations'!$D801:$F801)</f>
        <v>1</v>
      </c>
      <c r="R801" s="9">
        <f>IF('Pizza Sales Calculations'!$G801=TRUE, Parameters!$B$17*'Pizza Sales Calculations'!$L801*2, 0)</f>
        <v>0</v>
      </c>
      <c r="T801" s="6"/>
      <c r="U801" s="9"/>
    </row>
    <row r="802" spans="1:21" x14ac:dyDescent="0.2">
      <c r="A802">
        <v>801</v>
      </c>
      <c r="B802" s="1">
        <v>42378.455127314817</v>
      </c>
      <c r="C802" s="1">
        <v>42378.465543981481</v>
      </c>
      <c r="D802" t="s">
        <v>2</v>
      </c>
      <c r="G802" t="b">
        <v>0</v>
      </c>
      <c r="H802">
        <v>70804</v>
      </c>
      <c r="I802" s="6">
        <v>0</v>
      </c>
      <c r="J802" s="1">
        <v>42378.467638888891</v>
      </c>
      <c r="K802">
        <v>11.59</v>
      </c>
      <c r="L802" s="6">
        <f>('Pizza Sales Calculations'!$J802-'Pizza Sales Calculations'!$C802)*24*60</f>
        <v>3.0166666698642075</v>
      </c>
      <c r="M802">
        <f>COUNTA('Pizza Sales Calculations'!$D802:$F802)</f>
        <v>1</v>
      </c>
      <c r="R802" s="9">
        <f>IF('Pizza Sales Calculations'!$G802=TRUE, Parameters!$B$17*'Pizza Sales Calculations'!$L802*2, 0)</f>
        <v>0</v>
      </c>
      <c r="T802" s="6"/>
      <c r="U802" s="9"/>
    </row>
    <row r="803" spans="1:21" x14ac:dyDescent="0.2">
      <c r="A803">
        <v>802</v>
      </c>
      <c r="B803" s="1">
        <v>42378.523518518516</v>
      </c>
      <c r="C803" s="1">
        <v>42378.53392361111</v>
      </c>
      <c r="D803" t="s">
        <v>35</v>
      </c>
      <c r="G803" t="b">
        <v>0</v>
      </c>
      <c r="H803">
        <v>70805</v>
      </c>
      <c r="I803" s="6">
        <v>0</v>
      </c>
      <c r="J803" s="1">
        <v>42378.535995370374</v>
      </c>
      <c r="K803">
        <v>15.35</v>
      </c>
      <c r="L803" s="6">
        <f>('Pizza Sales Calculations'!$J803-'Pizza Sales Calculations'!$C803)*24*60</f>
        <v>2.9833333392161876</v>
      </c>
      <c r="M803">
        <f>COUNTA('Pizza Sales Calculations'!$D803:$F803)</f>
        <v>1</v>
      </c>
      <c r="R803" s="9">
        <f>IF('Pizza Sales Calculations'!$G803=TRUE, Parameters!$B$17*'Pizza Sales Calculations'!$L803*2, 0)</f>
        <v>0</v>
      </c>
      <c r="T803" s="6"/>
      <c r="U803" s="9"/>
    </row>
    <row r="804" spans="1:21" x14ac:dyDescent="0.2">
      <c r="A804">
        <v>803</v>
      </c>
      <c r="B804" s="1">
        <v>42378.486076388886</v>
      </c>
      <c r="C804" s="1">
        <v>42378.496481481481</v>
      </c>
      <c r="D804" t="s">
        <v>35</v>
      </c>
      <c r="G804" t="b">
        <v>0</v>
      </c>
      <c r="H804">
        <v>70805</v>
      </c>
      <c r="I804" s="6">
        <v>0</v>
      </c>
      <c r="J804" s="1">
        <v>42378.498576388891</v>
      </c>
      <c r="K804">
        <v>15.35</v>
      </c>
      <c r="L804" s="6">
        <f>('Pizza Sales Calculations'!$J804-'Pizza Sales Calculations'!$C804)*24*60</f>
        <v>3.0166666698642075</v>
      </c>
      <c r="M804">
        <f>COUNTA('Pizza Sales Calculations'!$D804:$F804)</f>
        <v>1</v>
      </c>
      <c r="R804" s="9">
        <f>IF('Pizza Sales Calculations'!$G804=TRUE, Parameters!$B$17*'Pizza Sales Calculations'!$L804*2, 0)</f>
        <v>0</v>
      </c>
      <c r="T804" s="6"/>
      <c r="U804" s="9"/>
    </row>
    <row r="805" spans="1:21" x14ac:dyDescent="0.2">
      <c r="A805">
        <v>804</v>
      </c>
      <c r="B805" s="1">
        <v>42378.444745370369</v>
      </c>
      <c r="C805" s="1">
        <v>42378.45516203704</v>
      </c>
      <c r="D805" t="s">
        <v>1</v>
      </c>
      <c r="G805" t="b">
        <v>0</v>
      </c>
      <c r="H805">
        <v>70805</v>
      </c>
      <c r="I805" s="6">
        <v>0</v>
      </c>
      <c r="J805" s="1">
        <v>42378.457256944443</v>
      </c>
      <c r="K805">
        <v>7.99</v>
      </c>
      <c r="L805" s="6">
        <f>('Pizza Sales Calculations'!$J805-'Pizza Sales Calculations'!$C805)*24*60</f>
        <v>3.0166666593868285</v>
      </c>
      <c r="M805">
        <f>COUNTA('Pizza Sales Calculations'!$D805:$F805)</f>
        <v>1</v>
      </c>
      <c r="R805" s="9">
        <f>IF('Pizza Sales Calculations'!$G805=TRUE, Parameters!$B$17*'Pizza Sales Calculations'!$L805*2, 0)</f>
        <v>0</v>
      </c>
      <c r="T805" s="6"/>
      <c r="U805" s="9"/>
    </row>
    <row r="806" spans="1:21" x14ac:dyDescent="0.2">
      <c r="A806">
        <v>805</v>
      </c>
      <c r="B806" s="1">
        <v>42378.470034722224</v>
      </c>
      <c r="C806" s="1">
        <v>42378.480451388888</v>
      </c>
      <c r="D806" t="s">
        <v>35</v>
      </c>
      <c r="G806" t="b">
        <v>0</v>
      </c>
      <c r="H806">
        <v>70803</v>
      </c>
      <c r="I806" s="6">
        <v>0</v>
      </c>
      <c r="J806" s="1">
        <v>42378.482523148145</v>
      </c>
      <c r="K806">
        <v>15.35</v>
      </c>
      <c r="L806" s="6">
        <f>('Pizza Sales Calculations'!$J806-'Pizza Sales Calculations'!$C806)*24*60</f>
        <v>2.9833333287388086</v>
      </c>
      <c r="M806">
        <f>COUNTA('Pizza Sales Calculations'!$D806:$F806)</f>
        <v>1</v>
      </c>
      <c r="R806" s="9">
        <f>IF('Pizza Sales Calculations'!$G806=TRUE, Parameters!$B$17*'Pizza Sales Calculations'!$L806*2, 0)</f>
        <v>0</v>
      </c>
      <c r="T806" s="6"/>
      <c r="U806" s="9"/>
    </row>
    <row r="807" spans="1:21" x14ac:dyDescent="0.2">
      <c r="A807">
        <v>806</v>
      </c>
      <c r="B807" s="1">
        <v>42378.485613425924</v>
      </c>
      <c r="C807" s="1">
        <v>42378.496006944442</v>
      </c>
      <c r="D807" t="s">
        <v>2</v>
      </c>
      <c r="G807" t="b">
        <v>0</v>
      </c>
      <c r="H807">
        <v>70804</v>
      </c>
      <c r="I807" s="6">
        <v>0</v>
      </c>
      <c r="J807" s="1">
        <v>42378.498055555552</v>
      </c>
      <c r="K807">
        <v>11.59</v>
      </c>
      <c r="L807" s="6">
        <f>('Pizza Sales Calculations'!$J807-'Pizza Sales Calculations'!$C807)*24*60</f>
        <v>2.9499999980907887</v>
      </c>
      <c r="M807">
        <f>COUNTA('Pizza Sales Calculations'!$D807:$F807)</f>
        <v>1</v>
      </c>
      <c r="R807" s="9">
        <f>IF('Pizza Sales Calculations'!$G807=TRUE, Parameters!$B$17*'Pizza Sales Calculations'!$L807*2, 0)</f>
        <v>0</v>
      </c>
      <c r="T807" s="6"/>
      <c r="U807" s="9"/>
    </row>
    <row r="808" spans="1:21" x14ac:dyDescent="0.2">
      <c r="A808">
        <v>807</v>
      </c>
      <c r="B808" s="1">
        <v>42378.530185185184</v>
      </c>
      <c r="C808" s="1">
        <v>42378.540613425925</v>
      </c>
      <c r="D808" t="s">
        <v>35</v>
      </c>
      <c r="G808" t="b">
        <v>1</v>
      </c>
      <c r="H808">
        <v>70804</v>
      </c>
      <c r="I808" s="6">
        <v>1.6507040634634</v>
      </c>
      <c r="J808" s="1">
        <v>42378.546342592592</v>
      </c>
      <c r="K808">
        <v>15.35</v>
      </c>
      <c r="L808" s="6">
        <f>('Pizza Sales Calculations'!$J808-'Pizza Sales Calculations'!$C808)*24*60</f>
        <v>8.2500000006984919</v>
      </c>
      <c r="M808">
        <f>COUNTA('Pizza Sales Calculations'!$D808:$F808)</f>
        <v>1</v>
      </c>
      <c r="R808" s="9">
        <f>IF('Pizza Sales Calculations'!$G808=TRUE, Parameters!$B$17*'Pizza Sales Calculations'!$L808*2, 0)</f>
        <v>2.337500000197906</v>
      </c>
      <c r="T808" s="6"/>
      <c r="U808" s="9"/>
    </row>
    <row r="809" spans="1:21" x14ac:dyDescent="0.2">
      <c r="A809">
        <v>808</v>
      </c>
      <c r="B809" s="1">
        <v>42378.475266203706</v>
      </c>
      <c r="C809" s="1">
        <v>42378.485671296294</v>
      </c>
      <c r="D809" t="s">
        <v>2</v>
      </c>
      <c r="G809" t="b">
        <v>0</v>
      </c>
      <c r="H809">
        <v>70804</v>
      </c>
      <c r="I809" s="6">
        <v>0</v>
      </c>
      <c r="J809" s="1">
        <v>42378.487766203703</v>
      </c>
      <c r="K809">
        <v>11.59</v>
      </c>
      <c r="L809" s="6">
        <f>('Pizza Sales Calculations'!$J809-'Pizza Sales Calculations'!$C809)*24*60</f>
        <v>3.0166666698642075</v>
      </c>
      <c r="M809">
        <f>COUNTA('Pizza Sales Calculations'!$D809:$F809)</f>
        <v>1</v>
      </c>
      <c r="R809" s="9">
        <f>IF('Pizza Sales Calculations'!$G809=TRUE, Parameters!$B$17*'Pizza Sales Calculations'!$L809*2, 0)</f>
        <v>0</v>
      </c>
      <c r="T809" s="6"/>
      <c r="U809" s="9"/>
    </row>
    <row r="810" spans="1:21" x14ac:dyDescent="0.2">
      <c r="A810">
        <v>809</v>
      </c>
      <c r="B810" s="1">
        <v>42378.510601851849</v>
      </c>
      <c r="C810" s="1">
        <v>42378.52103009259</v>
      </c>
      <c r="D810" t="s">
        <v>1</v>
      </c>
      <c r="E810" t="s">
        <v>2</v>
      </c>
      <c r="G810" t="b">
        <v>1</v>
      </c>
      <c r="H810">
        <v>70806</v>
      </c>
      <c r="I810" s="6">
        <v>1.8168331140715599</v>
      </c>
      <c r="J810" s="1">
        <v>42378.527337962965</v>
      </c>
      <c r="K810">
        <v>19.579999999999998</v>
      </c>
      <c r="L810" s="6">
        <f>('Pizza Sales Calculations'!$J810-'Pizza Sales Calculations'!$C810)*24*60</f>
        <v>9.0833333402406424</v>
      </c>
      <c r="M810">
        <f>COUNTA('Pizza Sales Calculations'!$D810:$F810)</f>
        <v>2</v>
      </c>
      <c r="R810" s="9">
        <f>IF('Pizza Sales Calculations'!$G810=TRUE, Parameters!$B$17*'Pizza Sales Calculations'!$L810*2, 0)</f>
        <v>2.573611113068182</v>
      </c>
      <c r="T810" s="6"/>
      <c r="U810" s="9"/>
    </row>
    <row r="811" spans="1:21" x14ac:dyDescent="0.2">
      <c r="A811">
        <v>810</v>
      </c>
      <c r="B811" s="1">
        <v>42378.497361111113</v>
      </c>
      <c r="C811" s="1">
        <v>42378.507777777777</v>
      </c>
      <c r="D811" t="s">
        <v>1</v>
      </c>
      <c r="G811" t="b">
        <v>0</v>
      </c>
      <c r="H811">
        <v>70805</v>
      </c>
      <c r="I811" s="6">
        <v>0</v>
      </c>
      <c r="J811" s="1">
        <v>42378.50984953704</v>
      </c>
      <c r="K811">
        <v>7.99</v>
      </c>
      <c r="L811" s="6">
        <f>('Pizza Sales Calculations'!$J811-'Pizza Sales Calculations'!$C811)*24*60</f>
        <v>2.9833333392161876</v>
      </c>
      <c r="M811">
        <f>COUNTA('Pizza Sales Calculations'!$D811:$F811)</f>
        <v>1</v>
      </c>
      <c r="R811" s="9">
        <f>IF('Pizza Sales Calculations'!$G811=TRUE, Parameters!$B$17*'Pizza Sales Calculations'!$L811*2, 0)</f>
        <v>0</v>
      </c>
      <c r="T811" s="6"/>
      <c r="U811" s="9"/>
    </row>
    <row r="812" spans="1:21" x14ac:dyDescent="0.2">
      <c r="A812">
        <v>811</v>
      </c>
      <c r="B812" s="1">
        <v>42378.497881944444</v>
      </c>
      <c r="C812" s="1">
        <v>42378.508287037039</v>
      </c>
      <c r="D812" t="s">
        <v>1</v>
      </c>
      <c r="G812" t="b">
        <v>1</v>
      </c>
      <c r="H812">
        <v>70806</v>
      </c>
      <c r="I812" s="6">
        <v>3.3255700704236801</v>
      </c>
      <c r="J812" s="1">
        <v>42378.519826388889</v>
      </c>
      <c r="K812">
        <v>7.99</v>
      </c>
      <c r="L812" s="6">
        <f>('Pizza Sales Calculations'!$J812-'Pizza Sales Calculations'!$C812)*24*60</f>
        <v>16.616666663903743</v>
      </c>
      <c r="M812">
        <f>COUNTA('Pizza Sales Calculations'!$D812:$F812)</f>
        <v>1</v>
      </c>
      <c r="R812" s="9">
        <f>IF('Pizza Sales Calculations'!$G812=TRUE, Parameters!$B$17*'Pizza Sales Calculations'!$L812*2, 0)</f>
        <v>4.7080555547727272</v>
      </c>
      <c r="T812" s="6"/>
      <c r="U812" s="9"/>
    </row>
    <row r="813" spans="1:21" x14ac:dyDescent="0.2">
      <c r="A813">
        <v>812</v>
      </c>
      <c r="B813" s="1">
        <v>42378.480879629627</v>
      </c>
      <c r="C813" s="1">
        <v>42378.491296296299</v>
      </c>
      <c r="D813" t="s">
        <v>35</v>
      </c>
      <c r="G813" t="b">
        <v>0</v>
      </c>
      <c r="H813">
        <v>70806</v>
      </c>
      <c r="I813" s="6">
        <v>0</v>
      </c>
      <c r="J813" s="1">
        <v>42378.493379629632</v>
      </c>
      <c r="K813">
        <v>15.35</v>
      </c>
      <c r="L813" s="6">
        <f>('Pizza Sales Calculations'!$J813-'Pizza Sales Calculations'!$C813)*24*60</f>
        <v>2.9999999993015081</v>
      </c>
      <c r="M813">
        <f>COUNTA('Pizza Sales Calculations'!$D813:$F813)</f>
        <v>1</v>
      </c>
      <c r="R813" s="9">
        <f>IF('Pizza Sales Calculations'!$G813=TRUE, Parameters!$B$17*'Pizza Sales Calculations'!$L813*2, 0)</f>
        <v>0</v>
      </c>
      <c r="T813" s="6"/>
      <c r="U813" s="9"/>
    </row>
    <row r="814" spans="1:21" x14ac:dyDescent="0.2">
      <c r="A814">
        <v>813</v>
      </c>
      <c r="B814" s="1">
        <v>42378.466539351852</v>
      </c>
      <c r="C814" s="1">
        <v>42378.47693287037</v>
      </c>
      <c r="D814" t="s">
        <v>35</v>
      </c>
      <c r="G814" t="b">
        <v>0</v>
      </c>
      <c r="H814">
        <v>70805</v>
      </c>
      <c r="I814" s="6">
        <v>0</v>
      </c>
      <c r="J814" s="1">
        <v>42378.479004629633</v>
      </c>
      <c r="K814">
        <v>15.35</v>
      </c>
      <c r="L814" s="6">
        <f>('Pizza Sales Calculations'!$J814-'Pizza Sales Calculations'!$C814)*24*60</f>
        <v>2.9833333392161876</v>
      </c>
      <c r="M814">
        <f>COUNTA('Pizza Sales Calculations'!$D814:$F814)</f>
        <v>1</v>
      </c>
      <c r="R814" s="9">
        <f>IF('Pizza Sales Calculations'!$G814=TRUE, Parameters!$B$17*'Pizza Sales Calculations'!$L814*2, 0)</f>
        <v>0</v>
      </c>
      <c r="T814" s="6"/>
      <c r="U814" s="9"/>
    </row>
    <row r="815" spans="1:21" x14ac:dyDescent="0.2">
      <c r="A815">
        <v>814</v>
      </c>
      <c r="B815" s="1">
        <v>42378.482789351852</v>
      </c>
      <c r="C815" s="1">
        <v>42378.49318287037</v>
      </c>
      <c r="D815" t="s">
        <v>35</v>
      </c>
      <c r="G815" t="b">
        <v>1</v>
      </c>
      <c r="H815">
        <v>70804</v>
      </c>
      <c r="I815" s="6">
        <v>4.0682276476745196</v>
      </c>
      <c r="J815" s="1">
        <v>42378.507303240738</v>
      </c>
      <c r="K815">
        <v>15.35</v>
      </c>
      <c r="L815" s="6">
        <f>('Pizza Sales Calculations'!$J815-'Pizza Sales Calculations'!$C815)*24*60</f>
        <v>20.333333329763263</v>
      </c>
      <c r="M815">
        <f>COUNTA('Pizza Sales Calculations'!$D815:$F815)</f>
        <v>1</v>
      </c>
      <c r="R815" s="9">
        <f>IF('Pizza Sales Calculations'!$G815=TRUE, Parameters!$B$17*'Pizza Sales Calculations'!$L815*2, 0)</f>
        <v>5.7611111100995913</v>
      </c>
      <c r="T815" s="6"/>
      <c r="U815" s="9"/>
    </row>
    <row r="816" spans="1:21" x14ac:dyDescent="0.2">
      <c r="A816">
        <v>815</v>
      </c>
      <c r="B816" s="1">
        <v>42378.524409722224</v>
      </c>
      <c r="C816" s="1">
        <v>42378.534814814811</v>
      </c>
      <c r="D816" t="s">
        <v>35</v>
      </c>
      <c r="G816" t="b">
        <v>0</v>
      </c>
      <c r="H816">
        <v>70806</v>
      </c>
      <c r="I816" s="6">
        <v>0</v>
      </c>
      <c r="J816" s="1">
        <v>42378.536909722221</v>
      </c>
      <c r="K816">
        <v>15.35</v>
      </c>
      <c r="L816" s="6">
        <f>('Pizza Sales Calculations'!$J816-'Pizza Sales Calculations'!$C816)*24*60</f>
        <v>3.0166666698642075</v>
      </c>
      <c r="M816">
        <f>COUNTA('Pizza Sales Calculations'!$D816:$F816)</f>
        <v>1</v>
      </c>
      <c r="R816" s="9">
        <f>IF('Pizza Sales Calculations'!$G816=TRUE, Parameters!$B$17*'Pizza Sales Calculations'!$L816*2, 0)</f>
        <v>0</v>
      </c>
      <c r="T816" s="6"/>
      <c r="U816" s="9"/>
    </row>
    <row r="817" spans="1:21" x14ac:dyDescent="0.2">
      <c r="A817">
        <v>816</v>
      </c>
      <c r="B817" s="1">
        <v>42378.487083333333</v>
      </c>
      <c r="C817" s="1">
        <v>42378.497488425928</v>
      </c>
      <c r="D817" t="s">
        <v>35</v>
      </c>
      <c r="G817" t="b">
        <v>1</v>
      </c>
      <c r="H817">
        <v>70804</v>
      </c>
      <c r="I817" s="6">
        <v>3.5826013878459801</v>
      </c>
      <c r="J817" s="1">
        <v>42378.509918981479</v>
      </c>
      <c r="K817">
        <v>15.35</v>
      </c>
      <c r="L817" s="6">
        <f>('Pizza Sales Calculations'!$J817-'Pizza Sales Calculations'!$C817)*24*60</f>
        <v>17.89999999338761</v>
      </c>
      <c r="M817">
        <f>COUNTA('Pizza Sales Calculations'!$D817:$F817)</f>
        <v>1</v>
      </c>
      <c r="R817" s="9">
        <f>IF('Pizza Sales Calculations'!$G817=TRUE, Parameters!$B$17*'Pizza Sales Calculations'!$L817*2, 0)</f>
        <v>5.0716666647931561</v>
      </c>
      <c r="T817" s="6"/>
      <c r="U817" s="9"/>
    </row>
    <row r="818" spans="1:21" x14ac:dyDescent="0.2">
      <c r="A818">
        <v>817</v>
      </c>
      <c r="B818" s="1">
        <v>42378.428530092591</v>
      </c>
      <c r="C818" s="1">
        <v>42378.438923611109</v>
      </c>
      <c r="D818" t="s">
        <v>1</v>
      </c>
      <c r="E818" t="s">
        <v>2</v>
      </c>
      <c r="G818" t="b">
        <v>1</v>
      </c>
      <c r="H818">
        <v>70805</v>
      </c>
      <c r="I818" s="6">
        <v>2.3815963935611899</v>
      </c>
      <c r="J818" s="1">
        <v>42378.447187500002</v>
      </c>
      <c r="K818">
        <v>19.579999999999998</v>
      </c>
      <c r="L818" s="6">
        <f>('Pizza Sales Calculations'!$J818-'Pizza Sales Calculations'!$C818)*24*60</f>
        <v>11.900000005261973</v>
      </c>
      <c r="M818">
        <f>COUNTA('Pizza Sales Calculations'!$D818:$F818)</f>
        <v>2</v>
      </c>
      <c r="R818" s="9">
        <f>IF('Pizza Sales Calculations'!$G818=TRUE, Parameters!$B$17*'Pizza Sales Calculations'!$L818*2, 0)</f>
        <v>3.3716666681575589</v>
      </c>
      <c r="T818" s="6"/>
      <c r="U818" s="9"/>
    </row>
    <row r="819" spans="1:21" x14ac:dyDescent="0.2">
      <c r="A819">
        <v>818</v>
      </c>
      <c r="B819" s="1">
        <v>42378.502812500003</v>
      </c>
      <c r="C819" s="1">
        <v>42378.513229166667</v>
      </c>
      <c r="D819" t="s">
        <v>1</v>
      </c>
      <c r="G819" t="b">
        <v>1</v>
      </c>
      <c r="H819">
        <v>70804</v>
      </c>
      <c r="I819" s="6">
        <v>6.1274753357750704</v>
      </c>
      <c r="J819" s="1">
        <v>42378.534502314818</v>
      </c>
      <c r="K819">
        <v>7.99</v>
      </c>
      <c r="L819" s="6">
        <f>('Pizza Sales Calculations'!$J819-'Pizza Sales Calculations'!$C819)*24*60</f>
        <v>30.633333338191733</v>
      </c>
      <c r="M819">
        <f>COUNTA('Pizza Sales Calculations'!$D819:$F819)</f>
        <v>1</v>
      </c>
      <c r="R819" s="9">
        <f>IF('Pizza Sales Calculations'!$G819=TRUE, Parameters!$B$17*'Pizza Sales Calculations'!$L819*2, 0)</f>
        <v>8.6794444458209909</v>
      </c>
      <c r="T819" s="6"/>
      <c r="U819" s="9"/>
    </row>
    <row r="820" spans="1:21" x14ac:dyDescent="0.2">
      <c r="A820">
        <v>819</v>
      </c>
      <c r="B820" s="1">
        <v>42378.512013888889</v>
      </c>
      <c r="C820" s="1">
        <v>42378.522407407407</v>
      </c>
      <c r="D820" t="s">
        <v>1</v>
      </c>
      <c r="G820" t="b">
        <v>1</v>
      </c>
      <c r="H820">
        <v>70806</v>
      </c>
      <c r="I820" s="6">
        <v>3.8217806096537501</v>
      </c>
      <c r="J820" s="1">
        <v>42378.535671296297</v>
      </c>
      <c r="K820">
        <v>7.99</v>
      </c>
      <c r="L820" s="6">
        <f>('Pizza Sales Calculations'!$J820-'Pizza Sales Calculations'!$C820)*24*60</f>
        <v>19.100000001490116</v>
      </c>
      <c r="M820">
        <f>COUNTA('Pizza Sales Calculations'!$D820:$F820)</f>
        <v>1</v>
      </c>
      <c r="R820" s="9">
        <f>IF('Pizza Sales Calculations'!$G820=TRUE, Parameters!$B$17*'Pizza Sales Calculations'!$L820*2, 0)</f>
        <v>5.4116666670888662</v>
      </c>
      <c r="T820" s="6"/>
      <c r="U820" s="9"/>
    </row>
    <row r="821" spans="1:21" x14ac:dyDescent="0.2">
      <c r="A821">
        <v>820</v>
      </c>
      <c r="B821" s="1">
        <v>42378.590011574073</v>
      </c>
      <c r="C821" s="1">
        <v>42378.600428240738</v>
      </c>
      <c r="D821" t="s">
        <v>1</v>
      </c>
      <c r="G821" t="b">
        <v>1</v>
      </c>
      <c r="H821">
        <v>70807</v>
      </c>
      <c r="I821" s="6">
        <v>3.0123519132261101</v>
      </c>
      <c r="J821" s="1">
        <v>42378.610879629632</v>
      </c>
      <c r="K821">
        <v>7.99</v>
      </c>
      <c r="L821" s="6">
        <f>('Pizza Sales Calculations'!$J821-'Pizza Sales Calculations'!$C821)*24*60</f>
        <v>15.050000008195639</v>
      </c>
      <c r="M821">
        <f>COUNTA('Pizza Sales Calculations'!$D821:$F821)</f>
        <v>1</v>
      </c>
      <c r="R821" s="9">
        <f>IF('Pizza Sales Calculations'!$G821=TRUE, Parameters!$B$17*'Pizza Sales Calculations'!$L821*2, 0)</f>
        <v>4.2641666689887643</v>
      </c>
      <c r="T821" s="6"/>
      <c r="U821" s="9"/>
    </row>
    <row r="822" spans="1:21" x14ac:dyDescent="0.2">
      <c r="A822">
        <v>821</v>
      </c>
      <c r="B822" s="1">
        <v>42378.433749999997</v>
      </c>
      <c r="C822" s="1">
        <v>42378.444155092591</v>
      </c>
      <c r="D822" t="s">
        <v>1</v>
      </c>
      <c r="E822" t="s">
        <v>35</v>
      </c>
      <c r="G822" t="b">
        <v>0</v>
      </c>
      <c r="H822">
        <v>70803</v>
      </c>
      <c r="I822" s="6">
        <v>0</v>
      </c>
      <c r="J822" s="1">
        <v>42378.446238425924</v>
      </c>
      <c r="K822">
        <v>23.34</v>
      </c>
      <c r="L822" s="6">
        <f>('Pizza Sales Calculations'!$J822-'Pizza Sales Calculations'!$C822)*24*60</f>
        <v>2.9999999993015081</v>
      </c>
      <c r="M822">
        <f>COUNTA('Pizza Sales Calculations'!$D822:$F822)</f>
        <v>2</v>
      </c>
      <c r="R822" s="9">
        <f>IF('Pizza Sales Calculations'!$G822=TRUE, Parameters!$B$17*'Pizza Sales Calculations'!$L822*2, 0)</f>
        <v>0</v>
      </c>
      <c r="T822" s="6"/>
      <c r="U822" s="9"/>
    </row>
    <row r="823" spans="1:21" x14ac:dyDescent="0.2">
      <c r="A823">
        <v>822</v>
      </c>
      <c r="B823" s="1">
        <v>42378.432916666665</v>
      </c>
      <c r="C823" s="1">
        <v>42378.443333333336</v>
      </c>
      <c r="D823" t="s">
        <v>2</v>
      </c>
      <c r="G823" t="b">
        <v>0</v>
      </c>
      <c r="H823">
        <v>70805</v>
      </c>
      <c r="I823" s="6">
        <v>0</v>
      </c>
      <c r="J823" s="1">
        <v>42378.445416666669</v>
      </c>
      <c r="K823">
        <v>11.59</v>
      </c>
      <c r="L823" s="6">
        <f>('Pizza Sales Calculations'!$J823-'Pizza Sales Calculations'!$C823)*24*60</f>
        <v>2.9999999993015081</v>
      </c>
      <c r="M823">
        <f>COUNTA('Pizza Sales Calculations'!$D823:$F823)</f>
        <v>1</v>
      </c>
      <c r="R823" s="9">
        <f>IF('Pizza Sales Calculations'!$G823=TRUE, Parameters!$B$17*'Pizza Sales Calculations'!$L823*2, 0)</f>
        <v>0</v>
      </c>
      <c r="T823" s="6"/>
      <c r="U823" s="9"/>
    </row>
    <row r="824" spans="1:21" x14ac:dyDescent="0.2">
      <c r="A824">
        <v>823</v>
      </c>
      <c r="B824" s="1">
        <v>42378.529861111114</v>
      </c>
      <c r="C824" s="1">
        <v>42378.540266203701</v>
      </c>
      <c r="D824" t="s">
        <v>35</v>
      </c>
      <c r="G824" t="b">
        <v>1</v>
      </c>
      <c r="H824">
        <v>70806</v>
      </c>
      <c r="I824" s="6">
        <v>5.8854886083103501</v>
      </c>
      <c r="J824" s="1">
        <v>42378.560694444444</v>
      </c>
      <c r="K824">
        <v>15.35</v>
      </c>
      <c r="L824" s="6">
        <f>('Pizza Sales Calculations'!$J824-'Pizza Sales Calculations'!$C824)*24*60</f>
        <v>29.416666670003906</v>
      </c>
      <c r="M824">
        <f>COUNTA('Pizza Sales Calculations'!$D824:$F824)</f>
        <v>1</v>
      </c>
      <c r="R824" s="9">
        <f>IF('Pizza Sales Calculations'!$G824=TRUE, Parameters!$B$17*'Pizza Sales Calculations'!$L824*2, 0)</f>
        <v>8.3347222231677733</v>
      </c>
      <c r="T824" s="6"/>
      <c r="U824" s="9"/>
    </row>
    <row r="825" spans="1:21" x14ac:dyDescent="0.2">
      <c r="A825">
        <v>824</v>
      </c>
      <c r="B825" s="1">
        <v>42378.431342592594</v>
      </c>
      <c r="C825" s="1">
        <v>42378.441747685189</v>
      </c>
      <c r="D825" t="s">
        <v>35</v>
      </c>
      <c r="G825" t="b">
        <v>0</v>
      </c>
      <c r="H825">
        <v>70806</v>
      </c>
      <c r="I825" s="6">
        <v>0</v>
      </c>
      <c r="J825" s="1">
        <v>42378.443807870368</v>
      </c>
      <c r="K825">
        <v>15.35</v>
      </c>
      <c r="L825" s="6">
        <f>('Pizza Sales Calculations'!$J825-'Pizza Sales Calculations'!$C825)*24*60</f>
        <v>2.9666666581761092</v>
      </c>
      <c r="M825">
        <f>COUNTA('Pizza Sales Calculations'!$D825:$F825)</f>
        <v>1</v>
      </c>
      <c r="R825" s="9">
        <f>IF('Pizza Sales Calculations'!$G825=TRUE, Parameters!$B$17*'Pizza Sales Calculations'!$L825*2, 0)</f>
        <v>0</v>
      </c>
      <c r="T825" s="6"/>
      <c r="U825" s="9"/>
    </row>
    <row r="826" spans="1:21" x14ac:dyDescent="0.2">
      <c r="A826">
        <v>825</v>
      </c>
      <c r="B826" s="1">
        <v>42378.553379629629</v>
      </c>
      <c r="C826" s="1">
        <v>42378.563773148147</v>
      </c>
      <c r="D826" t="s">
        <v>2</v>
      </c>
      <c r="G826" t="b">
        <v>1</v>
      </c>
      <c r="H826">
        <v>70804</v>
      </c>
      <c r="I826" s="6">
        <v>0.86531988152275296</v>
      </c>
      <c r="J826" s="1">
        <v>42378.566770833335</v>
      </c>
      <c r="K826">
        <v>11.59</v>
      </c>
      <c r="L826" s="6">
        <f>('Pizza Sales Calculations'!$J826-'Pizza Sales Calculations'!$C826)*24*60</f>
        <v>4.3166666699107736</v>
      </c>
      <c r="M826">
        <f>COUNTA('Pizza Sales Calculations'!$D826:$F826)</f>
        <v>1</v>
      </c>
      <c r="R826" s="9">
        <f>IF('Pizza Sales Calculations'!$G826=TRUE, Parameters!$B$17*'Pizza Sales Calculations'!$L826*2, 0)</f>
        <v>1.2230555564747192</v>
      </c>
      <c r="T826" s="6"/>
      <c r="U826" s="9"/>
    </row>
    <row r="827" spans="1:21" x14ac:dyDescent="0.2">
      <c r="A827">
        <v>826</v>
      </c>
      <c r="B827" s="1">
        <v>42378.535567129627</v>
      </c>
      <c r="C827" s="1">
        <v>42378.545972222222</v>
      </c>
      <c r="D827" t="s">
        <v>1</v>
      </c>
      <c r="E827" t="s">
        <v>35</v>
      </c>
      <c r="G827" t="b">
        <v>1</v>
      </c>
      <c r="H827">
        <v>70806</v>
      </c>
      <c r="I827" s="6">
        <v>4.0281283546124298</v>
      </c>
      <c r="J827" s="1">
        <v>42378.559953703705</v>
      </c>
      <c r="K827">
        <v>23.34</v>
      </c>
      <c r="L827" s="6">
        <f>('Pizza Sales Calculations'!$J827-'Pizza Sales Calculations'!$C827)*24*60</f>
        <v>20.133333335397765</v>
      </c>
      <c r="M827">
        <f>COUNTA('Pizza Sales Calculations'!$D827:$F827)</f>
        <v>2</v>
      </c>
      <c r="R827" s="9">
        <f>IF('Pizza Sales Calculations'!$G827=TRUE, Parameters!$B$17*'Pizza Sales Calculations'!$L827*2, 0)</f>
        <v>5.7044444450293668</v>
      </c>
      <c r="T827" s="6"/>
      <c r="U827" s="9"/>
    </row>
    <row r="828" spans="1:21" x14ac:dyDescent="0.2">
      <c r="A828">
        <v>827</v>
      </c>
      <c r="B828" s="1">
        <v>42378.446770833332</v>
      </c>
      <c r="C828" s="1">
        <v>42378.457175925927</v>
      </c>
      <c r="D828" t="s">
        <v>1</v>
      </c>
      <c r="G828" t="b">
        <v>0</v>
      </c>
      <c r="H828">
        <v>70807</v>
      </c>
      <c r="I828" s="6">
        <v>0</v>
      </c>
      <c r="J828" s="1">
        <v>42378.459236111114</v>
      </c>
      <c r="K828">
        <v>7.99</v>
      </c>
      <c r="L828" s="6">
        <f>('Pizza Sales Calculations'!$J828-'Pizza Sales Calculations'!$C828)*24*60</f>
        <v>2.9666666686534882</v>
      </c>
      <c r="M828">
        <f>COUNTA('Pizza Sales Calculations'!$D828:$F828)</f>
        <v>1</v>
      </c>
      <c r="R828" s="9">
        <f>IF('Pizza Sales Calculations'!$G828=TRUE, Parameters!$B$17*'Pizza Sales Calculations'!$L828*2, 0)</f>
        <v>0</v>
      </c>
      <c r="T828" s="6"/>
      <c r="U828" s="9"/>
    </row>
    <row r="829" spans="1:21" x14ac:dyDescent="0.2">
      <c r="A829">
        <v>828</v>
      </c>
      <c r="B829" s="1">
        <v>42378.477511574078</v>
      </c>
      <c r="C829" s="1">
        <v>42378.487916666665</v>
      </c>
      <c r="D829" t="s">
        <v>35</v>
      </c>
      <c r="G829" t="b">
        <v>1</v>
      </c>
      <c r="H829">
        <v>70805</v>
      </c>
      <c r="I829" s="6">
        <v>4.6927831425776096</v>
      </c>
      <c r="J829" s="1">
        <v>42378.504201388889</v>
      </c>
      <c r="K829">
        <v>15.35</v>
      </c>
      <c r="L829" s="6">
        <f>('Pizza Sales Calculations'!$J829-'Pizza Sales Calculations'!$C829)*24*60</f>
        <v>23.45000000204891</v>
      </c>
      <c r="M829">
        <f>COUNTA('Pizza Sales Calculations'!$D829:$F829)</f>
        <v>1</v>
      </c>
      <c r="R829" s="9">
        <f>IF('Pizza Sales Calculations'!$G829=TRUE, Parameters!$B$17*'Pizza Sales Calculations'!$L829*2, 0)</f>
        <v>6.6441666672471911</v>
      </c>
      <c r="T829" s="6"/>
      <c r="U829" s="9"/>
    </row>
    <row r="830" spans="1:21" x14ac:dyDescent="0.2">
      <c r="A830">
        <v>829</v>
      </c>
      <c r="B830" s="1">
        <v>42378.471516203703</v>
      </c>
      <c r="C830" s="1">
        <v>42378.481921296298</v>
      </c>
      <c r="D830" t="s">
        <v>1</v>
      </c>
      <c r="E830" t="s">
        <v>35</v>
      </c>
      <c r="G830" t="b">
        <v>0</v>
      </c>
      <c r="H830">
        <v>70803</v>
      </c>
      <c r="I830" s="6">
        <v>0</v>
      </c>
      <c r="J830" s="1">
        <v>42378.483981481484</v>
      </c>
      <c r="K830">
        <v>23.34</v>
      </c>
      <c r="L830" s="6">
        <f>('Pizza Sales Calculations'!$J830-'Pizza Sales Calculations'!$C830)*24*60</f>
        <v>2.9666666686534882</v>
      </c>
      <c r="M830">
        <f>COUNTA('Pizza Sales Calculations'!$D830:$F830)</f>
        <v>2</v>
      </c>
      <c r="R830" s="9">
        <f>IF('Pizza Sales Calculations'!$G830=TRUE, Parameters!$B$17*'Pizza Sales Calculations'!$L830*2, 0)</f>
        <v>0</v>
      </c>
      <c r="T830" s="6"/>
      <c r="U830" s="9"/>
    </row>
    <row r="831" spans="1:21" x14ac:dyDescent="0.2">
      <c r="A831">
        <v>830</v>
      </c>
      <c r="B831" s="1">
        <v>42378.537951388891</v>
      </c>
      <c r="C831" s="1">
        <v>42378.548356481479</v>
      </c>
      <c r="D831" t="s">
        <v>2</v>
      </c>
      <c r="G831" t="b">
        <v>1</v>
      </c>
      <c r="H831">
        <v>70804</v>
      </c>
      <c r="I831" s="6">
        <v>1.7332172622714499</v>
      </c>
      <c r="J831" s="1">
        <v>42378.554363425923</v>
      </c>
      <c r="K831">
        <v>11.59</v>
      </c>
      <c r="L831" s="6">
        <f>('Pizza Sales Calculations'!$J831-'Pizza Sales Calculations'!$C831)*24*60</f>
        <v>8.6499999999068677</v>
      </c>
      <c r="M831">
        <f>COUNTA('Pizza Sales Calculations'!$D831:$F831)</f>
        <v>1</v>
      </c>
      <c r="R831" s="9">
        <f>IF('Pizza Sales Calculations'!$G831=TRUE, Parameters!$B$17*'Pizza Sales Calculations'!$L831*2, 0)</f>
        <v>2.4508333333069459</v>
      </c>
      <c r="T831" s="6"/>
      <c r="U831" s="9"/>
    </row>
    <row r="832" spans="1:21" x14ac:dyDescent="0.2">
      <c r="A832">
        <v>831</v>
      </c>
      <c r="B832" s="1">
        <v>42378.487916666665</v>
      </c>
      <c r="C832" s="1">
        <v>42378.49832175926</v>
      </c>
      <c r="D832" t="s">
        <v>35</v>
      </c>
      <c r="G832" t="b">
        <v>1</v>
      </c>
      <c r="H832">
        <v>70806</v>
      </c>
      <c r="I832" s="6">
        <v>2.46126570697818</v>
      </c>
      <c r="J832" s="1">
        <v>42378.506863425922</v>
      </c>
      <c r="K832">
        <v>15.35</v>
      </c>
      <c r="L832" s="6">
        <f>('Pizza Sales Calculations'!$J832-'Pizza Sales Calculations'!$C832)*24*60</f>
        <v>12.299999993992969</v>
      </c>
      <c r="M832">
        <f>COUNTA('Pizza Sales Calculations'!$D832:$F832)</f>
        <v>1</v>
      </c>
      <c r="R832" s="9">
        <f>IF('Pizza Sales Calculations'!$G832=TRUE, Parameters!$B$17*'Pizza Sales Calculations'!$L832*2, 0)</f>
        <v>3.484999998298008</v>
      </c>
      <c r="T832" s="6"/>
      <c r="U832" s="9"/>
    </row>
    <row r="833" spans="1:21" x14ac:dyDescent="0.2">
      <c r="A833">
        <v>832</v>
      </c>
      <c r="B833" s="1">
        <v>42378.543483796297</v>
      </c>
      <c r="C833" s="1">
        <v>42378.553923611114</v>
      </c>
      <c r="D833" t="s">
        <v>1</v>
      </c>
      <c r="E833" t="s">
        <v>2</v>
      </c>
      <c r="G833" t="b">
        <v>1</v>
      </c>
      <c r="H833">
        <v>70805</v>
      </c>
      <c r="I833" s="6">
        <v>3.2476728502336698</v>
      </c>
      <c r="J833" s="1">
        <v>42378.565196759257</v>
      </c>
      <c r="K833">
        <v>19.579999999999998</v>
      </c>
      <c r="L833" s="6">
        <f>('Pizza Sales Calculations'!$J833-'Pizza Sales Calculations'!$C833)*24*60</f>
        <v>16.233333324780688</v>
      </c>
      <c r="M833">
        <f>COUNTA('Pizza Sales Calculations'!$D833:$F833)</f>
        <v>2</v>
      </c>
      <c r="R833" s="9">
        <f>IF('Pizza Sales Calculations'!$G833=TRUE, Parameters!$B$17*'Pizza Sales Calculations'!$L833*2, 0)</f>
        <v>4.5994444420211948</v>
      </c>
      <c r="T833" s="6"/>
      <c r="U833" s="9"/>
    </row>
    <row r="834" spans="1:21" x14ac:dyDescent="0.2">
      <c r="A834">
        <v>833</v>
      </c>
      <c r="B834" s="1">
        <v>42378.562268518515</v>
      </c>
      <c r="C834" s="1">
        <v>42378.572696759256</v>
      </c>
      <c r="D834" t="s">
        <v>2</v>
      </c>
      <c r="G834" t="b">
        <v>0</v>
      </c>
      <c r="H834">
        <v>70805</v>
      </c>
      <c r="I834" s="6">
        <v>0</v>
      </c>
      <c r="J834" s="1">
        <v>42378.574780092589</v>
      </c>
      <c r="K834">
        <v>11.59</v>
      </c>
      <c r="L834" s="6">
        <f>('Pizza Sales Calculations'!$J834-'Pizza Sales Calculations'!$C834)*24*60</f>
        <v>2.9999999993015081</v>
      </c>
      <c r="M834">
        <f>COUNTA('Pizza Sales Calculations'!$D834:$F834)</f>
        <v>1</v>
      </c>
      <c r="R834" s="9">
        <f>IF('Pizza Sales Calculations'!$G834=TRUE, Parameters!$B$17*'Pizza Sales Calculations'!$L834*2, 0)</f>
        <v>0</v>
      </c>
      <c r="T834" s="6"/>
      <c r="U834" s="9"/>
    </row>
    <row r="835" spans="1:21" x14ac:dyDescent="0.2">
      <c r="A835">
        <v>834</v>
      </c>
      <c r="B835" s="1">
        <v>42378.463194444441</v>
      </c>
      <c r="C835" s="1">
        <v>42378.473587962966</v>
      </c>
      <c r="D835" t="s">
        <v>1</v>
      </c>
      <c r="E835" t="s">
        <v>2</v>
      </c>
      <c r="G835" t="b">
        <v>0</v>
      </c>
      <c r="H835">
        <v>70804</v>
      </c>
      <c r="I835" s="6">
        <v>0</v>
      </c>
      <c r="J835" s="1">
        <v>42378.475636574076</v>
      </c>
      <c r="K835">
        <v>19.579999999999998</v>
      </c>
      <c r="L835" s="6">
        <f>('Pizza Sales Calculations'!$J835-'Pizza Sales Calculations'!$C835)*24*60</f>
        <v>2.9499999980907887</v>
      </c>
      <c r="M835">
        <f>COUNTA('Pizza Sales Calculations'!$D835:$F835)</f>
        <v>2</v>
      </c>
      <c r="R835" s="9">
        <f>IF('Pizza Sales Calculations'!$G835=TRUE, Parameters!$B$17*'Pizza Sales Calculations'!$L835*2, 0)</f>
        <v>0</v>
      </c>
      <c r="T835" s="6"/>
      <c r="U835" s="9"/>
    </row>
    <row r="836" spans="1:21" x14ac:dyDescent="0.2">
      <c r="A836">
        <v>835</v>
      </c>
      <c r="B836" s="1">
        <v>42378.502766203703</v>
      </c>
      <c r="C836" s="1">
        <v>42378.513182870367</v>
      </c>
      <c r="D836" t="s">
        <v>1</v>
      </c>
      <c r="G836" t="b">
        <v>1</v>
      </c>
      <c r="H836">
        <v>70804</v>
      </c>
      <c r="I836" s="6">
        <v>3.14186495215823</v>
      </c>
      <c r="J836" s="1">
        <v>42378.524085648147</v>
      </c>
      <c r="K836">
        <v>7.99</v>
      </c>
      <c r="L836" s="6">
        <f>('Pizza Sales Calculations'!$J836-'Pizza Sales Calculations'!$C836)*24*60</f>
        <v>15.700000002980232</v>
      </c>
      <c r="M836">
        <f>COUNTA('Pizza Sales Calculations'!$D836:$F836)</f>
        <v>1</v>
      </c>
      <c r="R836" s="9">
        <f>IF('Pizza Sales Calculations'!$G836=TRUE, Parameters!$B$17*'Pizza Sales Calculations'!$L836*2, 0)</f>
        <v>4.4483333341777325</v>
      </c>
      <c r="T836" s="6"/>
      <c r="U836" s="9"/>
    </row>
    <row r="837" spans="1:21" x14ac:dyDescent="0.2">
      <c r="A837">
        <v>836</v>
      </c>
      <c r="B837" s="1">
        <v>42378.42292824074</v>
      </c>
      <c r="C837" s="1">
        <v>42378.433344907404</v>
      </c>
      <c r="D837" t="s">
        <v>1</v>
      </c>
      <c r="E837" t="s">
        <v>2</v>
      </c>
      <c r="G837" t="b">
        <v>0</v>
      </c>
      <c r="H837">
        <v>70803</v>
      </c>
      <c r="I837" s="6">
        <v>0</v>
      </c>
      <c r="J837" s="1">
        <v>42378.435428240744</v>
      </c>
      <c r="K837">
        <v>19.579999999999998</v>
      </c>
      <c r="L837" s="6">
        <f>('Pizza Sales Calculations'!$J837-'Pizza Sales Calculations'!$C837)*24*60</f>
        <v>3.000000009778887</v>
      </c>
      <c r="M837">
        <f>COUNTA('Pizza Sales Calculations'!$D837:$F837)</f>
        <v>2</v>
      </c>
      <c r="R837" s="9">
        <f>IF('Pizza Sales Calculations'!$G837=TRUE, Parameters!$B$17*'Pizza Sales Calculations'!$L837*2, 0)</f>
        <v>0</v>
      </c>
      <c r="T837" s="6"/>
      <c r="U837" s="9"/>
    </row>
    <row r="838" spans="1:21" x14ac:dyDescent="0.2">
      <c r="A838">
        <v>837</v>
      </c>
      <c r="B838" s="1">
        <v>42378.511944444443</v>
      </c>
      <c r="C838" s="1">
        <v>42378.522361111114</v>
      </c>
      <c r="D838" t="s">
        <v>35</v>
      </c>
      <c r="G838" t="b">
        <v>0</v>
      </c>
      <c r="H838">
        <v>70806</v>
      </c>
      <c r="I838" s="6">
        <v>0</v>
      </c>
      <c r="J838" s="1">
        <v>42378.524444444447</v>
      </c>
      <c r="K838">
        <v>15.35</v>
      </c>
      <c r="L838" s="6">
        <f>('Pizza Sales Calculations'!$J838-'Pizza Sales Calculations'!$C838)*24*60</f>
        <v>2.9999999993015081</v>
      </c>
      <c r="M838">
        <f>COUNTA('Pizza Sales Calculations'!$D838:$F838)</f>
        <v>1</v>
      </c>
      <c r="R838" s="9">
        <f>IF('Pizza Sales Calculations'!$G838=TRUE, Parameters!$B$17*'Pizza Sales Calculations'!$L838*2, 0)</f>
        <v>0</v>
      </c>
      <c r="T838" s="6"/>
      <c r="U838" s="9"/>
    </row>
    <row r="839" spans="1:21" x14ac:dyDescent="0.2">
      <c r="A839">
        <v>838</v>
      </c>
      <c r="B839" s="1">
        <v>42378.496122685188</v>
      </c>
      <c r="C839" s="1">
        <v>42378.506527777776</v>
      </c>
      <c r="D839" t="s">
        <v>2</v>
      </c>
      <c r="G839" t="b">
        <v>1</v>
      </c>
      <c r="H839">
        <v>70805</v>
      </c>
      <c r="I839" s="6">
        <v>2.8480393256986098</v>
      </c>
      <c r="J839" s="1">
        <v>42378.516412037039</v>
      </c>
      <c r="K839">
        <v>11.59</v>
      </c>
      <c r="L839" s="6">
        <f>('Pizza Sales Calculations'!$J839-'Pizza Sales Calculations'!$C839)*24*60</f>
        <v>14.233333339216188</v>
      </c>
      <c r="M839">
        <f>COUNTA('Pizza Sales Calculations'!$D839:$F839)</f>
        <v>1</v>
      </c>
      <c r="R839" s="9">
        <f>IF('Pizza Sales Calculations'!$G839=TRUE, Parameters!$B$17*'Pizza Sales Calculations'!$L839*2, 0)</f>
        <v>4.0327777794445865</v>
      </c>
      <c r="T839" s="6"/>
      <c r="U839" s="9"/>
    </row>
    <row r="840" spans="1:21" x14ac:dyDescent="0.2">
      <c r="A840">
        <v>839</v>
      </c>
      <c r="B840" s="1">
        <v>42378.558657407404</v>
      </c>
      <c r="C840" s="1">
        <v>42378.569050925929</v>
      </c>
      <c r="D840" t="s">
        <v>1</v>
      </c>
      <c r="E840" t="s">
        <v>2</v>
      </c>
      <c r="G840" t="b">
        <v>1</v>
      </c>
      <c r="H840">
        <v>70803</v>
      </c>
      <c r="I840" s="6">
        <v>4.8086607524304199</v>
      </c>
      <c r="J840" s="1">
        <v>42378.585740740738</v>
      </c>
      <c r="K840">
        <v>19.579999999999998</v>
      </c>
      <c r="L840" s="6">
        <f>('Pizza Sales Calculations'!$J840-'Pizza Sales Calculations'!$C840)*24*60</f>
        <v>24.033333325060084</v>
      </c>
      <c r="M840">
        <f>COUNTA('Pizza Sales Calculations'!$D840:$F840)</f>
        <v>2</v>
      </c>
      <c r="R840" s="9">
        <f>IF('Pizza Sales Calculations'!$G840=TRUE, Parameters!$B$17*'Pizza Sales Calculations'!$L840*2, 0)</f>
        <v>6.8094444421003573</v>
      </c>
      <c r="T840" s="6"/>
      <c r="U840" s="9"/>
    </row>
    <row r="841" spans="1:21" x14ac:dyDescent="0.2">
      <c r="A841">
        <v>840</v>
      </c>
      <c r="B841" s="1">
        <v>42378.502523148149</v>
      </c>
      <c r="C841" s="1">
        <v>42378.512928240743</v>
      </c>
      <c r="D841" t="s">
        <v>1</v>
      </c>
      <c r="E841" t="s">
        <v>2</v>
      </c>
      <c r="G841" t="b">
        <v>1</v>
      </c>
      <c r="H841">
        <v>70805</v>
      </c>
      <c r="I841" s="6">
        <v>1.74704983030379</v>
      </c>
      <c r="J841" s="1">
        <v>42378.518993055557</v>
      </c>
      <c r="K841">
        <v>19.579999999999998</v>
      </c>
      <c r="L841" s="6">
        <f>('Pizza Sales Calculations'!$J841-'Pizza Sales Calculations'!$C841)*24*60</f>
        <v>8.733333331765607</v>
      </c>
      <c r="M841">
        <f>COUNTA('Pizza Sales Calculations'!$D841:$F841)</f>
        <v>2</v>
      </c>
      <c r="R841" s="9">
        <f>IF('Pizza Sales Calculations'!$G841=TRUE, Parameters!$B$17*'Pizza Sales Calculations'!$L841*2, 0)</f>
        <v>2.4744444440002553</v>
      </c>
      <c r="T841" s="6"/>
      <c r="U841" s="9"/>
    </row>
    <row r="842" spans="1:21" x14ac:dyDescent="0.2">
      <c r="A842">
        <v>841</v>
      </c>
      <c r="B842" s="1">
        <v>42378.521064814813</v>
      </c>
      <c r="C842" s="1">
        <v>42378.531469907408</v>
      </c>
      <c r="D842" t="s">
        <v>1</v>
      </c>
      <c r="E842" t="s">
        <v>2</v>
      </c>
      <c r="G842" t="b">
        <v>0</v>
      </c>
      <c r="H842">
        <v>70806</v>
      </c>
      <c r="I842" s="6">
        <v>0</v>
      </c>
      <c r="J842" s="1">
        <v>42378.533564814818</v>
      </c>
      <c r="K842">
        <v>19.579999999999998</v>
      </c>
      <c r="L842" s="6">
        <f>('Pizza Sales Calculations'!$J842-'Pizza Sales Calculations'!$C842)*24*60</f>
        <v>3.0166666698642075</v>
      </c>
      <c r="M842">
        <f>COUNTA('Pizza Sales Calculations'!$D842:$F842)</f>
        <v>2</v>
      </c>
      <c r="R842" s="9">
        <f>IF('Pizza Sales Calculations'!$G842=TRUE, Parameters!$B$17*'Pizza Sales Calculations'!$L842*2, 0)</f>
        <v>0</v>
      </c>
      <c r="T842" s="6"/>
      <c r="U842" s="9"/>
    </row>
    <row r="843" spans="1:21" x14ac:dyDescent="0.2">
      <c r="A843">
        <v>842</v>
      </c>
      <c r="B843" s="1">
        <v>42378.569918981484</v>
      </c>
      <c r="C843" s="1">
        <v>42378.580335648148</v>
      </c>
      <c r="D843" t="s">
        <v>2</v>
      </c>
      <c r="G843" t="b">
        <v>0</v>
      </c>
      <c r="H843">
        <v>70806</v>
      </c>
      <c r="I843" s="6">
        <v>0</v>
      </c>
      <c r="J843" s="1">
        <v>42378.582407407404</v>
      </c>
      <c r="K843">
        <v>11.59</v>
      </c>
      <c r="L843" s="6">
        <f>('Pizza Sales Calculations'!$J843-'Pizza Sales Calculations'!$C843)*24*60</f>
        <v>2.9833333287388086</v>
      </c>
      <c r="M843">
        <f>COUNTA('Pizza Sales Calculations'!$D843:$F843)</f>
        <v>1</v>
      </c>
      <c r="R843" s="9">
        <f>IF('Pizza Sales Calculations'!$G843=TRUE, Parameters!$B$17*'Pizza Sales Calculations'!$L843*2, 0)</f>
        <v>0</v>
      </c>
      <c r="T843" s="6"/>
      <c r="U843" s="9"/>
    </row>
    <row r="844" spans="1:21" x14ac:dyDescent="0.2">
      <c r="A844">
        <v>843</v>
      </c>
      <c r="B844" s="1">
        <v>42378.438472222224</v>
      </c>
      <c r="C844" s="1">
        <v>42378.448877314811</v>
      </c>
      <c r="D844" t="s">
        <v>1</v>
      </c>
      <c r="G844" t="b">
        <v>1</v>
      </c>
      <c r="H844">
        <v>70806</v>
      </c>
      <c r="I844" s="6">
        <v>1.7538188821176901</v>
      </c>
      <c r="J844" s="1">
        <v>42378.454965277779</v>
      </c>
      <c r="K844">
        <v>7.99</v>
      </c>
      <c r="L844" s="6">
        <f>('Pizza Sales Calculations'!$J844-'Pizza Sales Calculations'!$C844)*24*60</f>
        <v>8.7666666728910059</v>
      </c>
      <c r="M844">
        <f>COUNTA('Pizza Sales Calculations'!$D844:$F844)</f>
        <v>1</v>
      </c>
      <c r="R844" s="9">
        <f>IF('Pizza Sales Calculations'!$G844=TRUE, Parameters!$B$17*'Pizza Sales Calculations'!$L844*2, 0)</f>
        <v>2.4838888906524517</v>
      </c>
      <c r="T844" s="6"/>
      <c r="U844" s="9"/>
    </row>
    <row r="845" spans="1:21" x14ac:dyDescent="0.2">
      <c r="A845">
        <v>844</v>
      </c>
      <c r="B845" s="1">
        <v>42378.494050925925</v>
      </c>
      <c r="C845" s="1">
        <v>42378.504467592589</v>
      </c>
      <c r="D845" t="s">
        <v>1</v>
      </c>
      <c r="G845" t="b">
        <v>0</v>
      </c>
      <c r="H845">
        <v>70804</v>
      </c>
      <c r="I845" s="6">
        <v>0</v>
      </c>
      <c r="J845" s="1">
        <v>42378.506527777776</v>
      </c>
      <c r="K845">
        <v>7.99</v>
      </c>
      <c r="L845" s="6">
        <f>('Pizza Sales Calculations'!$J845-'Pizza Sales Calculations'!$C845)*24*60</f>
        <v>2.9666666686534882</v>
      </c>
      <c r="M845">
        <f>COUNTA('Pizza Sales Calculations'!$D845:$F845)</f>
        <v>1</v>
      </c>
      <c r="R845" s="9">
        <f>IF('Pizza Sales Calculations'!$G845=TRUE, Parameters!$B$17*'Pizza Sales Calculations'!$L845*2, 0)</f>
        <v>0</v>
      </c>
      <c r="T845" s="6"/>
      <c r="U845" s="9"/>
    </row>
    <row r="846" spans="1:21" x14ac:dyDescent="0.2">
      <c r="A846">
        <v>845</v>
      </c>
      <c r="B846" s="1">
        <v>42378.499386574076</v>
      </c>
      <c r="C846" s="1">
        <v>42378.50980324074</v>
      </c>
      <c r="D846" t="s">
        <v>2</v>
      </c>
      <c r="G846" t="b">
        <v>0</v>
      </c>
      <c r="H846">
        <v>70805</v>
      </c>
      <c r="I846" s="6">
        <v>0</v>
      </c>
      <c r="J846" s="1">
        <v>42378.511886574073</v>
      </c>
      <c r="K846">
        <v>11.59</v>
      </c>
      <c r="L846" s="6">
        <f>('Pizza Sales Calculations'!$J846-'Pizza Sales Calculations'!$C846)*24*60</f>
        <v>2.9999999993015081</v>
      </c>
      <c r="M846">
        <f>COUNTA('Pizza Sales Calculations'!$D846:$F846)</f>
        <v>1</v>
      </c>
      <c r="R846" s="9">
        <f>IF('Pizza Sales Calculations'!$G846=TRUE, Parameters!$B$17*'Pizza Sales Calculations'!$L846*2, 0)</f>
        <v>0</v>
      </c>
      <c r="T846" s="6"/>
      <c r="U846" s="9"/>
    </row>
    <row r="847" spans="1:21" x14ac:dyDescent="0.2">
      <c r="A847">
        <v>846</v>
      </c>
      <c r="B847" s="1">
        <v>42378.527962962966</v>
      </c>
      <c r="C847" s="1">
        <v>42378.53837962963</v>
      </c>
      <c r="D847" t="s">
        <v>2</v>
      </c>
      <c r="G847" t="b">
        <v>1</v>
      </c>
      <c r="H847">
        <v>70803</v>
      </c>
      <c r="I847" s="6">
        <v>5.3887251510513297</v>
      </c>
      <c r="J847" s="1">
        <v>42378.557083333333</v>
      </c>
      <c r="K847">
        <v>11.59</v>
      </c>
      <c r="L847" s="6">
        <f>('Pizza Sales Calculations'!$J847-'Pizza Sales Calculations'!$C847)*24*60</f>
        <v>26.933333332417533</v>
      </c>
      <c r="M847">
        <f>COUNTA('Pizza Sales Calculations'!$D847:$F847)</f>
        <v>1</v>
      </c>
      <c r="R847" s="9">
        <f>IF('Pizza Sales Calculations'!$G847=TRUE, Parameters!$B$17*'Pizza Sales Calculations'!$L847*2, 0)</f>
        <v>7.6311111108516343</v>
      </c>
      <c r="T847" s="6"/>
      <c r="U847" s="9"/>
    </row>
    <row r="848" spans="1:21" x14ac:dyDescent="0.2">
      <c r="A848">
        <v>847</v>
      </c>
      <c r="B848" s="1">
        <v>42379.49417824074</v>
      </c>
      <c r="C848" s="1">
        <v>42379.504583333335</v>
      </c>
      <c r="D848" t="s">
        <v>2</v>
      </c>
      <c r="G848" t="b">
        <v>1</v>
      </c>
      <c r="H848">
        <v>70805</v>
      </c>
      <c r="I848" s="6">
        <v>2.8069874550129001</v>
      </c>
      <c r="J848" s="1">
        <v>42379.514328703706</v>
      </c>
      <c r="K848">
        <v>11.59</v>
      </c>
      <c r="L848" s="6">
        <f>('Pizza Sales Calculations'!$J848-'Pizza Sales Calculations'!$C848)*24*60</f>
        <v>14.03333333437331</v>
      </c>
      <c r="M848">
        <f>COUNTA('Pizza Sales Calculations'!$D848:$F848)</f>
        <v>1</v>
      </c>
      <c r="R848" s="9">
        <f>IF('Pizza Sales Calculations'!$G848=TRUE, Parameters!$B$17*'Pizza Sales Calculations'!$L848*2, 0)</f>
        <v>3.9761111114057712</v>
      </c>
      <c r="T848" s="6"/>
      <c r="U848" s="9"/>
    </row>
    <row r="849" spans="1:21" x14ac:dyDescent="0.2">
      <c r="A849">
        <v>848</v>
      </c>
      <c r="B849" s="1">
        <v>42379.559236111112</v>
      </c>
      <c r="C849" s="1">
        <v>42379.569652777776</v>
      </c>
      <c r="D849" t="s">
        <v>35</v>
      </c>
      <c r="G849" t="b">
        <v>0</v>
      </c>
      <c r="H849">
        <v>70807</v>
      </c>
      <c r="I849" s="6">
        <v>0</v>
      </c>
      <c r="J849" s="1">
        <v>42379.571736111109</v>
      </c>
      <c r="K849">
        <v>15.35</v>
      </c>
      <c r="L849" s="6">
        <f>('Pizza Sales Calculations'!$J849-'Pizza Sales Calculations'!$C849)*24*60</f>
        <v>2.9999999993015081</v>
      </c>
      <c r="M849">
        <f>COUNTA('Pizza Sales Calculations'!$D849:$F849)</f>
        <v>1</v>
      </c>
      <c r="R849" s="9">
        <f>IF('Pizza Sales Calculations'!$G849=TRUE, Parameters!$B$17*'Pizza Sales Calculations'!$L849*2, 0)</f>
        <v>0</v>
      </c>
      <c r="T849" s="6"/>
      <c r="U849" s="9"/>
    </row>
    <row r="850" spans="1:21" x14ac:dyDescent="0.2">
      <c r="A850">
        <v>849</v>
      </c>
      <c r="B850" s="1">
        <v>42379.4533912037</v>
      </c>
      <c r="C850" s="1">
        <v>42379.463807870372</v>
      </c>
      <c r="D850" t="s">
        <v>1</v>
      </c>
      <c r="G850" t="b">
        <v>0</v>
      </c>
      <c r="H850">
        <v>70804</v>
      </c>
      <c r="I850" s="6">
        <v>0</v>
      </c>
      <c r="J850" s="1">
        <v>42379.465891203705</v>
      </c>
      <c r="K850">
        <v>7.99</v>
      </c>
      <c r="L850" s="6">
        <f>('Pizza Sales Calculations'!$J850-'Pizza Sales Calculations'!$C850)*24*60</f>
        <v>2.9999999993015081</v>
      </c>
      <c r="M850">
        <f>COUNTA('Pizza Sales Calculations'!$D850:$F850)</f>
        <v>1</v>
      </c>
      <c r="R850" s="9">
        <f>IF('Pizza Sales Calculations'!$G850=TRUE, Parameters!$B$17*'Pizza Sales Calculations'!$L850*2, 0)</f>
        <v>0</v>
      </c>
      <c r="T850" s="6"/>
      <c r="U850" s="9"/>
    </row>
    <row r="851" spans="1:21" x14ac:dyDescent="0.2">
      <c r="A851">
        <v>850</v>
      </c>
      <c r="B851" s="1">
        <v>42379.56554398148</v>
      </c>
      <c r="C851" s="1">
        <v>42379.575972222221</v>
      </c>
      <c r="D851" t="s">
        <v>35</v>
      </c>
      <c r="G851" t="b">
        <v>1</v>
      </c>
      <c r="H851">
        <v>70805</v>
      </c>
      <c r="I851" s="6">
        <v>3.68547671574817</v>
      </c>
      <c r="J851" s="1">
        <v>42379.588761574072</v>
      </c>
      <c r="K851">
        <v>15.35</v>
      </c>
      <c r="L851" s="6">
        <f>('Pizza Sales Calculations'!$J851-'Pizza Sales Calculations'!$C851)*24*60</f>
        <v>18.416666665580124</v>
      </c>
      <c r="M851">
        <f>COUNTA('Pizza Sales Calculations'!$D851:$F851)</f>
        <v>1</v>
      </c>
      <c r="R851" s="9">
        <f>IF('Pizza Sales Calculations'!$G851=TRUE, Parameters!$B$17*'Pizza Sales Calculations'!$L851*2, 0)</f>
        <v>5.2180555552477017</v>
      </c>
      <c r="T851" s="6"/>
      <c r="U851" s="9"/>
    </row>
    <row r="852" spans="1:21" x14ac:dyDescent="0.2">
      <c r="A852">
        <v>851</v>
      </c>
      <c r="B852" s="1">
        <v>42379.479699074072</v>
      </c>
      <c r="C852" s="1">
        <v>42379.490104166667</v>
      </c>
      <c r="D852" t="s">
        <v>1</v>
      </c>
      <c r="E852" t="s">
        <v>2</v>
      </c>
      <c r="G852" t="b">
        <v>1</v>
      </c>
      <c r="H852">
        <v>70807</v>
      </c>
      <c r="I852" s="6">
        <v>4.3980272128297999</v>
      </c>
      <c r="J852" s="1">
        <v>42379.505370370367</v>
      </c>
      <c r="K852">
        <v>19.579999999999998</v>
      </c>
      <c r="L852" s="6">
        <f>('Pizza Sales Calculations'!$J852-'Pizza Sales Calculations'!$C852)*24*60</f>
        <v>21.983333327807486</v>
      </c>
      <c r="M852">
        <f>COUNTA('Pizza Sales Calculations'!$D852:$F852)</f>
        <v>2</v>
      </c>
      <c r="R852" s="9">
        <f>IF('Pizza Sales Calculations'!$G852=TRUE, Parameters!$B$17*'Pizza Sales Calculations'!$L852*2, 0)</f>
        <v>6.2286111095454544</v>
      </c>
      <c r="T852" s="6"/>
      <c r="U852" s="9"/>
    </row>
    <row r="853" spans="1:21" x14ac:dyDescent="0.2">
      <c r="A853">
        <v>852</v>
      </c>
      <c r="B853" s="1">
        <v>42379.508240740739</v>
      </c>
      <c r="C853" s="1">
        <v>42379.518645833334</v>
      </c>
      <c r="D853" t="s">
        <v>1</v>
      </c>
      <c r="E853" t="s">
        <v>2</v>
      </c>
      <c r="G853" t="b">
        <v>1</v>
      </c>
      <c r="H853">
        <v>70806</v>
      </c>
      <c r="I853" s="6">
        <v>2.4182480340558401</v>
      </c>
      <c r="J853" s="1">
        <v>42379.527037037034</v>
      </c>
      <c r="K853">
        <v>19.579999999999998</v>
      </c>
      <c r="L853" s="6">
        <f>('Pizza Sales Calculations'!$J853-'Pizza Sales Calculations'!$C853)*24*60</f>
        <v>12.083333329064772</v>
      </c>
      <c r="M853">
        <f>COUNTA('Pizza Sales Calculations'!$D853:$F853)</f>
        <v>2</v>
      </c>
      <c r="R853" s="9">
        <f>IF('Pizza Sales Calculations'!$G853=TRUE, Parameters!$B$17*'Pizza Sales Calculations'!$L853*2, 0)</f>
        <v>3.4236111099016853</v>
      </c>
      <c r="T853" s="6"/>
      <c r="U853" s="9"/>
    </row>
    <row r="854" spans="1:21" x14ac:dyDescent="0.2">
      <c r="A854">
        <v>853</v>
      </c>
      <c r="B854" s="1">
        <v>42379.549930555557</v>
      </c>
      <c r="C854" s="1">
        <v>42379.560324074075</v>
      </c>
      <c r="D854" t="s">
        <v>1</v>
      </c>
      <c r="E854" t="s">
        <v>2</v>
      </c>
      <c r="F854" t="s">
        <v>35</v>
      </c>
      <c r="G854" t="b">
        <v>1</v>
      </c>
      <c r="H854">
        <v>70804</v>
      </c>
      <c r="I854" s="6">
        <v>2.9373704764113802</v>
      </c>
      <c r="J854" s="1">
        <v>42379.570520833331</v>
      </c>
      <c r="K854">
        <v>33.93</v>
      </c>
      <c r="L854" s="6">
        <f>('Pizza Sales Calculations'!$J854-'Pizza Sales Calculations'!$C854)*24*60</f>
        <v>14.683333329157904</v>
      </c>
      <c r="M854">
        <f>COUNTA('Pizza Sales Calculations'!$D854:$F854)</f>
        <v>3</v>
      </c>
      <c r="R854" s="9">
        <f>IF('Pizza Sales Calculations'!$G854=TRUE, Parameters!$B$17*'Pizza Sales Calculations'!$L854*2, 0)</f>
        <v>4.1602777765947394</v>
      </c>
      <c r="T854" s="6"/>
      <c r="U854" s="9"/>
    </row>
    <row r="855" spans="1:21" x14ac:dyDescent="0.2">
      <c r="A855">
        <v>854</v>
      </c>
      <c r="B855" s="1">
        <v>42379.479062500002</v>
      </c>
      <c r="C855" s="1">
        <v>42379.48946759259</v>
      </c>
      <c r="D855" t="s">
        <v>1</v>
      </c>
      <c r="E855" t="s">
        <v>2</v>
      </c>
      <c r="G855" t="b">
        <v>1</v>
      </c>
      <c r="H855">
        <v>70805</v>
      </c>
      <c r="I855" s="6">
        <v>2.5761821611095201</v>
      </c>
      <c r="J855" s="1">
        <v>42379.498402777775</v>
      </c>
      <c r="K855">
        <v>19.579999999999998</v>
      </c>
      <c r="L855" s="6">
        <f>('Pizza Sales Calculations'!$J855-'Pizza Sales Calculations'!$C855)*24*60</f>
        <v>12.866666667396203</v>
      </c>
      <c r="M855">
        <f>COUNTA('Pizza Sales Calculations'!$D855:$F855)</f>
        <v>2</v>
      </c>
      <c r="R855" s="9">
        <f>IF('Pizza Sales Calculations'!$G855=TRUE, Parameters!$B$17*'Pizza Sales Calculations'!$L855*2, 0)</f>
        <v>3.6455555557622574</v>
      </c>
      <c r="T855" s="6"/>
      <c r="U855" s="9"/>
    </row>
    <row r="856" spans="1:21" x14ac:dyDescent="0.2">
      <c r="A856">
        <v>855</v>
      </c>
      <c r="B856" s="1">
        <v>42379.527858796297</v>
      </c>
      <c r="C856" s="1">
        <v>42379.538275462961</v>
      </c>
      <c r="D856" t="s">
        <v>2</v>
      </c>
      <c r="G856" t="b">
        <v>1</v>
      </c>
      <c r="H856">
        <v>70803</v>
      </c>
      <c r="I856" s="6">
        <v>4.5175073631567599</v>
      </c>
      <c r="J856" s="1">
        <v>42379.55395833333</v>
      </c>
      <c r="K856">
        <v>11.59</v>
      </c>
      <c r="L856" s="6">
        <f>('Pizza Sales Calculations'!$J856-'Pizza Sales Calculations'!$C856)*24*60</f>
        <v>22.583333331858739</v>
      </c>
      <c r="M856">
        <f>COUNTA('Pizza Sales Calculations'!$D856:$F856)</f>
        <v>1</v>
      </c>
      <c r="R856" s="9">
        <f>IF('Pizza Sales Calculations'!$G856=TRUE, Parameters!$B$17*'Pizza Sales Calculations'!$L856*2, 0)</f>
        <v>6.3986111106933095</v>
      </c>
      <c r="T856" s="6"/>
      <c r="U856" s="9"/>
    </row>
    <row r="857" spans="1:21" x14ac:dyDescent="0.2">
      <c r="A857">
        <v>856</v>
      </c>
      <c r="B857" s="1">
        <v>42379.482430555552</v>
      </c>
      <c r="C857" s="1">
        <v>42379.492835648147</v>
      </c>
      <c r="D857" t="s">
        <v>35</v>
      </c>
      <c r="G857" t="b">
        <v>1</v>
      </c>
      <c r="H857">
        <v>70805</v>
      </c>
      <c r="I857" s="6">
        <v>4.2532017188839504</v>
      </c>
      <c r="J857" s="1">
        <v>42379.507592592592</v>
      </c>
      <c r="K857">
        <v>15.35</v>
      </c>
      <c r="L857" s="6">
        <f>('Pizza Sales Calculations'!$J857-'Pizza Sales Calculations'!$C857)*24*60</f>
        <v>21.250000001164153</v>
      </c>
      <c r="M857">
        <f>COUNTA('Pizza Sales Calculations'!$D857:$F857)</f>
        <v>1</v>
      </c>
      <c r="R857" s="9">
        <f>IF('Pizza Sales Calculations'!$G857=TRUE, Parameters!$B$17*'Pizza Sales Calculations'!$L857*2, 0)</f>
        <v>6.0208333336631767</v>
      </c>
      <c r="T857" s="6"/>
      <c r="U857" s="9"/>
    </row>
    <row r="858" spans="1:21" x14ac:dyDescent="0.2">
      <c r="A858">
        <v>857</v>
      </c>
      <c r="B858" s="1">
        <v>42379.484594907408</v>
      </c>
      <c r="C858" s="1">
        <v>42379.494988425926</v>
      </c>
      <c r="D858" t="s">
        <v>2</v>
      </c>
      <c r="G858" t="b">
        <v>1</v>
      </c>
      <c r="H858">
        <v>70807</v>
      </c>
      <c r="I858" s="6">
        <v>1.93227988850185</v>
      </c>
      <c r="J858" s="1">
        <v>42379.501689814817</v>
      </c>
      <c r="K858">
        <v>11.59</v>
      </c>
      <c r="L858" s="6">
        <f>('Pizza Sales Calculations'!$J858-'Pizza Sales Calculations'!$C858)*24*60</f>
        <v>9.6500000031664968</v>
      </c>
      <c r="M858">
        <f>COUNTA('Pizza Sales Calculations'!$D858:$F858)</f>
        <v>1</v>
      </c>
      <c r="R858" s="9">
        <f>IF('Pizza Sales Calculations'!$G858=TRUE, Parameters!$B$17*'Pizza Sales Calculations'!$L858*2, 0)</f>
        <v>2.7341666675638407</v>
      </c>
      <c r="T858" s="6"/>
      <c r="U858" s="9"/>
    </row>
    <row r="859" spans="1:21" x14ac:dyDescent="0.2">
      <c r="A859">
        <v>858</v>
      </c>
      <c r="B859" s="1">
        <v>42379.450335648151</v>
      </c>
      <c r="C859" s="1">
        <v>42379.460752314815</v>
      </c>
      <c r="D859" t="s">
        <v>1</v>
      </c>
      <c r="G859" t="b">
        <v>0</v>
      </c>
      <c r="H859">
        <v>70805</v>
      </c>
      <c r="I859" s="6">
        <v>0</v>
      </c>
      <c r="J859" s="1">
        <v>42379.462835648148</v>
      </c>
      <c r="K859">
        <v>7.99</v>
      </c>
      <c r="L859" s="6">
        <f>('Pizza Sales Calculations'!$J859-'Pizza Sales Calculations'!$C859)*24*60</f>
        <v>2.9999999993015081</v>
      </c>
      <c r="M859">
        <f>COUNTA('Pizza Sales Calculations'!$D859:$F859)</f>
        <v>1</v>
      </c>
      <c r="R859" s="9">
        <f>IF('Pizza Sales Calculations'!$G859=TRUE, Parameters!$B$17*'Pizza Sales Calculations'!$L859*2, 0)</f>
        <v>0</v>
      </c>
      <c r="T859" s="6"/>
      <c r="U859" s="9"/>
    </row>
    <row r="860" spans="1:21" x14ac:dyDescent="0.2">
      <c r="A860">
        <v>859</v>
      </c>
      <c r="B860" s="1">
        <v>42379.427997685183</v>
      </c>
      <c r="C860" s="1">
        <v>42379.438379629632</v>
      </c>
      <c r="D860" t="s">
        <v>2</v>
      </c>
      <c r="G860" t="b">
        <v>0</v>
      </c>
      <c r="H860">
        <v>70805</v>
      </c>
      <c r="I860" s="6">
        <v>0</v>
      </c>
      <c r="J860" s="1">
        <v>42379.440462962964</v>
      </c>
      <c r="K860">
        <v>11.59</v>
      </c>
      <c r="L860" s="6">
        <f>('Pizza Sales Calculations'!$J860-'Pizza Sales Calculations'!$C860)*24*60</f>
        <v>2.9999999993015081</v>
      </c>
      <c r="M860">
        <f>COUNTA('Pizza Sales Calculations'!$D860:$F860)</f>
        <v>1</v>
      </c>
      <c r="R860" s="9">
        <f>IF('Pizza Sales Calculations'!$G860=TRUE, Parameters!$B$17*'Pizza Sales Calculations'!$L860*2, 0)</f>
        <v>0</v>
      </c>
      <c r="T860" s="6"/>
      <c r="U860" s="9"/>
    </row>
    <row r="861" spans="1:21" x14ac:dyDescent="0.2">
      <c r="A861">
        <v>860</v>
      </c>
      <c r="B861" s="1">
        <v>42379.559745370374</v>
      </c>
      <c r="C861" s="1">
        <v>42379.570150462961</v>
      </c>
      <c r="D861" t="s">
        <v>35</v>
      </c>
      <c r="G861" t="b">
        <v>0</v>
      </c>
      <c r="H861">
        <v>70805</v>
      </c>
      <c r="I861" s="6">
        <v>0</v>
      </c>
      <c r="J861" s="1">
        <v>42379.572222222225</v>
      </c>
      <c r="K861">
        <v>15.35</v>
      </c>
      <c r="L861" s="6">
        <f>('Pizza Sales Calculations'!$J861-'Pizza Sales Calculations'!$C861)*24*60</f>
        <v>2.9833333392161876</v>
      </c>
      <c r="M861">
        <f>COUNTA('Pizza Sales Calculations'!$D861:$F861)</f>
        <v>1</v>
      </c>
      <c r="R861" s="9">
        <f>IF('Pizza Sales Calculations'!$G861=TRUE, Parameters!$B$17*'Pizza Sales Calculations'!$L861*2, 0)</f>
        <v>0</v>
      </c>
      <c r="T861" s="6"/>
      <c r="U861" s="9"/>
    </row>
    <row r="862" spans="1:21" x14ac:dyDescent="0.2">
      <c r="A862">
        <v>861</v>
      </c>
      <c r="B862" s="1">
        <v>42379.437256944446</v>
      </c>
      <c r="C862" s="1">
        <v>42379.447662037041</v>
      </c>
      <c r="D862" t="s">
        <v>35</v>
      </c>
      <c r="G862" t="b">
        <v>1</v>
      </c>
      <c r="H862">
        <v>70805</v>
      </c>
      <c r="I862" s="6">
        <v>1.96620491700108</v>
      </c>
      <c r="J862" s="1">
        <v>42379.454479166663</v>
      </c>
      <c r="K862">
        <v>15.35</v>
      </c>
      <c r="L862" s="6">
        <f>('Pizza Sales Calculations'!$J862-'Pizza Sales Calculations'!$C862)*24*60</f>
        <v>9.8166666564065963</v>
      </c>
      <c r="M862">
        <f>COUNTA('Pizza Sales Calculations'!$D862:$F862)</f>
        <v>1</v>
      </c>
      <c r="R862" s="9">
        <f>IF('Pizza Sales Calculations'!$G862=TRUE, Parameters!$B$17*'Pizza Sales Calculations'!$L862*2, 0)</f>
        <v>2.781388885981869</v>
      </c>
      <c r="T862" s="6"/>
      <c r="U862" s="9"/>
    </row>
    <row r="863" spans="1:21" x14ac:dyDescent="0.2">
      <c r="A863">
        <v>862</v>
      </c>
      <c r="B863" s="1">
        <v>42379.480810185189</v>
      </c>
      <c r="C863" s="1">
        <v>42379.491215277776</v>
      </c>
      <c r="D863" t="s">
        <v>35</v>
      </c>
      <c r="G863" t="b">
        <v>0</v>
      </c>
      <c r="H863">
        <v>70804</v>
      </c>
      <c r="I863" s="6">
        <v>0</v>
      </c>
      <c r="J863" s="1">
        <v>42379.493298611109</v>
      </c>
      <c r="K863">
        <v>15.35</v>
      </c>
      <c r="L863" s="6">
        <f>('Pizza Sales Calculations'!$J863-'Pizza Sales Calculations'!$C863)*24*60</f>
        <v>2.9999999993015081</v>
      </c>
      <c r="M863">
        <f>COUNTA('Pizza Sales Calculations'!$D863:$F863)</f>
        <v>1</v>
      </c>
      <c r="R863" s="9">
        <f>IF('Pizza Sales Calculations'!$G863=TRUE, Parameters!$B$17*'Pizza Sales Calculations'!$L863*2, 0)</f>
        <v>0</v>
      </c>
      <c r="T863" s="6"/>
      <c r="U863" s="9"/>
    </row>
    <row r="864" spans="1:21" x14ac:dyDescent="0.2">
      <c r="A864">
        <v>863</v>
      </c>
      <c r="B864" s="1">
        <v>42379.478912037041</v>
      </c>
      <c r="C864" s="1">
        <v>42379.489340277774</v>
      </c>
      <c r="D864" t="s">
        <v>35</v>
      </c>
      <c r="G864" t="b">
        <v>1</v>
      </c>
      <c r="H864">
        <v>70804</v>
      </c>
      <c r="I864" s="6">
        <v>1.91410225616569</v>
      </c>
      <c r="J864" s="1">
        <v>42379.495983796296</v>
      </c>
      <c r="K864">
        <v>15.35</v>
      </c>
      <c r="L864" s="6">
        <f>('Pizza Sales Calculations'!$J864-'Pizza Sales Calculations'!$C864)*24*60</f>
        <v>9.5666666713077575</v>
      </c>
      <c r="M864">
        <f>COUNTA('Pizza Sales Calculations'!$D864:$F864)</f>
        <v>1</v>
      </c>
      <c r="R864" s="9">
        <f>IF('Pizza Sales Calculations'!$G864=TRUE, Parameters!$B$17*'Pizza Sales Calculations'!$L864*2, 0)</f>
        <v>2.7105555568705313</v>
      </c>
      <c r="T864" s="6"/>
      <c r="U864" s="9"/>
    </row>
    <row r="865" spans="1:21" x14ac:dyDescent="0.2">
      <c r="A865">
        <v>864</v>
      </c>
      <c r="B865" s="1">
        <v>42379.493993055556</v>
      </c>
      <c r="C865" s="1">
        <v>42379.50440972222</v>
      </c>
      <c r="D865" t="s">
        <v>2</v>
      </c>
      <c r="G865" t="b">
        <v>0</v>
      </c>
      <c r="H865">
        <v>70804</v>
      </c>
      <c r="I865" s="6">
        <v>0</v>
      </c>
      <c r="J865" s="1">
        <v>42379.506493055553</v>
      </c>
      <c r="K865">
        <v>11.59</v>
      </c>
      <c r="L865" s="6">
        <f>('Pizza Sales Calculations'!$J865-'Pizza Sales Calculations'!$C865)*24*60</f>
        <v>2.9999999993015081</v>
      </c>
      <c r="M865">
        <f>COUNTA('Pizza Sales Calculations'!$D865:$F865)</f>
        <v>1</v>
      </c>
      <c r="R865" s="9">
        <f>IF('Pizza Sales Calculations'!$G865=TRUE, Parameters!$B$17*'Pizza Sales Calculations'!$L865*2, 0)</f>
        <v>0</v>
      </c>
      <c r="T865" s="6"/>
      <c r="U865" s="9"/>
    </row>
    <row r="866" spans="1:21" x14ac:dyDescent="0.2">
      <c r="A866">
        <v>865</v>
      </c>
      <c r="B866" s="1">
        <v>42379.488738425927</v>
      </c>
      <c r="C866" s="1">
        <v>42379.499131944445</v>
      </c>
      <c r="D866" t="s">
        <v>35</v>
      </c>
      <c r="G866" t="b">
        <v>1</v>
      </c>
      <c r="H866">
        <v>70807</v>
      </c>
      <c r="I866" s="6">
        <v>4.3532467782117603</v>
      </c>
      <c r="J866" s="1">
        <v>42379.514236111114</v>
      </c>
      <c r="K866">
        <v>15.35</v>
      </c>
      <c r="L866" s="6">
        <f>('Pizza Sales Calculations'!$J866-'Pizza Sales Calculations'!$C866)*24*60</f>
        <v>21.750000002793968</v>
      </c>
      <c r="M866">
        <f>COUNTA('Pizza Sales Calculations'!$D866:$F866)</f>
        <v>1</v>
      </c>
      <c r="R866" s="9">
        <f>IF('Pizza Sales Calculations'!$G866=TRUE, Parameters!$B$17*'Pizza Sales Calculations'!$L866*2, 0)</f>
        <v>6.1625000007916242</v>
      </c>
      <c r="T866" s="6"/>
      <c r="U866" s="9"/>
    </row>
    <row r="867" spans="1:21" x14ac:dyDescent="0.2">
      <c r="A867">
        <v>866</v>
      </c>
      <c r="B867" s="1">
        <v>42379.48510416667</v>
      </c>
      <c r="C867" s="1">
        <v>42379.495520833334</v>
      </c>
      <c r="D867" t="s">
        <v>2</v>
      </c>
      <c r="G867" t="b">
        <v>1</v>
      </c>
      <c r="H867">
        <v>70807</v>
      </c>
      <c r="I867" s="6">
        <v>2.3736965504682201</v>
      </c>
      <c r="J867" s="1">
        <v>42379.503761574073</v>
      </c>
      <c r="K867">
        <v>11.59</v>
      </c>
      <c r="L867" s="6">
        <f>('Pizza Sales Calculations'!$J867-'Pizza Sales Calculations'!$C867)*24*60</f>
        <v>11.866666664136574</v>
      </c>
      <c r="M867">
        <f>COUNTA('Pizza Sales Calculations'!$D867:$F867)</f>
        <v>1</v>
      </c>
      <c r="R867" s="9">
        <f>IF('Pizza Sales Calculations'!$G867=TRUE, Parameters!$B$17*'Pizza Sales Calculations'!$L867*2, 0)</f>
        <v>3.3622222215053625</v>
      </c>
      <c r="T867" s="6"/>
      <c r="U867" s="9"/>
    </row>
    <row r="868" spans="1:21" x14ac:dyDescent="0.2">
      <c r="A868">
        <v>867</v>
      </c>
      <c r="B868" s="1">
        <v>42379.439756944441</v>
      </c>
      <c r="C868" s="1">
        <v>42379.450173611112</v>
      </c>
      <c r="D868" t="s">
        <v>1</v>
      </c>
      <c r="G868" t="b">
        <v>1</v>
      </c>
      <c r="H868">
        <v>70805</v>
      </c>
      <c r="I868" s="6">
        <v>3.86548517847769</v>
      </c>
      <c r="J868" s="1">
        <v>42379.463587962964</v>
      </c>
      <c r="K868">
        <v>7.99</v>
      </c>
      <c r="L868" s="6">
        <f>('Pizza Sales Calculations'!$J868-'Pizza Sales Calculations'!$C868)*24*60</f>
        <v>19.316666666418314</v>
      </c>
      <c r="M868">
        <f>COUNTA('Pizza Sales Calculations'!$D868:$F868)</f>
        <v>1</v>
      </c>
      <c r="R868" s="9">
        <f>IF('Pizza Sales Calculations'!$G868=TRUE, Parameters!$B$17*'Pizza Sales Calculations'!$L868*2, 0)</f>
        <v>5.473055555485189</v>
      </c>
      <c r="T868" s="6"/>
      <c r="U868" s="9"/>
    </row>
    <row r="869" spans="1:21" x14ac:dyDescent="0.2">
      <c r="A869">
        <v>868</v>
      </c>
      <c r="B869" s="1">
        <v>42379.527372685188</v>
      </c>
      <c r="C869" s="1">
        <v>42379.537789351853</v>
      </c>
      <c r="D869" t="s">
        <v>1</v>
      </c>
      <c r="G869" t="b">
        <v>0</v>
      </c>
      <c r="H869">
        <v>70804</v>
      </c>
      <c r="I869" s="6">
        <v>0</v>
      </c>
      <c r="J869" s="1">
        <v>42379.539837962962</v>
      </c>
      <c r="K869">
        <v>7.99</v>
      </c>
      <c r="L869" s="6">
        <f>('Pizza Sales Calculations'!$J869-'Pizza Sales Calculations'!$C869)*24*60</f>
        <v>2.9499999980907887</v>
      </c>
      <c r="M869">
        <f>COUNTA('Pizza Sales Calculations'!$D869:$F869)</f>
        <v>1</v>
      </c>
      <c r="R869" s="9">
        <f>IF('Pizza Sales Calculations'!$G869=TRUE, Parameters!$B$17*'Pizza Sales Calculations'!$L869*2, 0)</f>
        <v>0</v>
      </c>
      <c r="T869" s="6"/>
      <c r="U869" s="9"/>
    </row>
    <row r="870" spans="1:21" x14ac:dyDescent="0.2">
      <c r="A870">
        <v>869</v>
      </c>
      <c r="B870" s="1">
        <v>42379.435925925929</v>
      </c>
      <c r="C870" s="1">
        <v>42379.446331018517</v>
      </c>
      <c r="D870" t="s">
        <v>2</v>
      </c>
      <c r="G870" t="b">
        <v>0</v>
      </c>
      <c r="H870">
        <v>70805</v>
      </c>
      <c r="I870" s="6">
        <v>0</v>
      </c>
      <c r="J870" s="1">
        <v>42379.44840277778</v>
      </c>
      <c r="K870">
        <v>11.59</v>
      </c>
      <c r="L870" s="6">
        <f>('Pizza Sales Calculations'!$J870-'Pizza Sales Calculations'!$C870)*24*60</f>
        <v>2.9833333392161876</v>
      </c>
      <c r="M870">
        <f>COUNTA('Pizza Sales Calculations'!$D870:$F870)</f>
        <v>1</v>
      </c>
      <c r="R870" s="9">
        <f>IF('Pizza Sales Calculations'!$G870=TRUE, Parameters!$B$17*'Pizza Sales Calculations'!$L870*2, 0)</f>
        <v>0</v>
      </c>
      <c r="T870" s="6"/>
      <c r="U870" s="9"/>
    </row>
    <row r="871" spans="1:21" x14ac:dyDescent="0.2">
      <c r="A871">
        <v>870</v>
      </c>
      <c r="B871" s="1">
        <v>42379.541412037041</v>
      </c>
      <c r="C871" s="1">
        <v>42379.551828703705</v>
      </c>
      <c r="D871" t="s">
        <v>1</v>
      </c>
      <c r="G871" t="b">
        <v>1</v>
      </c>
      <c r="H871">
        <v>70804</v>
      </c>
      <c r="I871" s="6">
        <v>3.84249502025046</v>
      </c>
      <c r="J871" s="1">
        <v>42379.565162037034</v>
      </c>
      <c r="K871">
        <v>7.99</v>
      </c>
      <c r="L871" s="6">
        <f>('Pizza Sales Calculations'!$J871-'Pizza Sales Calculations'!$C871)*24*60</f>
        <v>19.199999993434176</v>
      </c>
      <c r="M871">
        <f>COUNTA('Pizza Sales Calculations'!$D871:$F871)</f>
        <v>1</v>
      </c>
      <c r="R871" s="9">
        <f>IF('Pizza Sales Calculations'!$G871=TRUE, Parameters!$B$17*'Pizza Sales Calculations'!$L871*2, 0)</f>
        <v>5.4399999981396832</v>
      </c>
      <c r="T871" s="6"/>
      <c r="U871" s="9"/>
    </row>
    <row r="872" spans="1:21" x14ac:dyDescent="0.2">
      <c r="A872">
        <v>871</v>
      </c>
      <c r="B872" s="1">
        <v>42379.480914351851</v>
      </c>
      <c r="C872" s="1">
        <v>42379.491342592592</v>
      </c>
      <c r="D872" t="s">
        <v>2</v>
      </c>
      <c r="G872" t="b">
        <v>0</v>
      </c>
      <c r="H872">
        <v>70803</v>
      </c>
      <c r="I872" s="6">
        <v>0</v>
      </c>
      <c r="J872" s="1">
        <v>42379.493414351855</v>
      </c>
      <c r="K872">
        <v>11.59</v>
      </c>
      <c r="L872" s="6">
        <f>('Pizza Sales Calculations'!$J872-'Pizza Sales Calculations'!$C872)*24*60</f>
        <v>2.9833333392161876</v>
      </c>
      <c r="M872">
        <f>COUNTA('Pizza Sales Calculations'!$D872:$F872)</f>
        <v>1</v>
      </c>
      <c r="R872" s="9">
        <f>IF('Pizza Sales Calculations'!$G872=TRUE, Parameters!$B$17*'Pizza Sales Calculations'!$L872*2, 0)</f>
        <v>0</v>
      </c>
      <c r="T872" s="6"/>
      <c r="U872" s="9"/>
    </row>
    <row r="873" spans="1:21" x14ac:dyDescent="0.2">
      <c r="A873">
        <v>872</v>
      </c>
      <c r="B873" s="1">
        <v>42379.480474537035</v>
      </c>
      <c r="C873" s="1">
        <v>42379.490891203706</v>
      </c>
      <c r="D873" t="s">
        <v>1</v>
      </c>
      <c r="G873" t="b">
        <v>1</v>
      </c>
      <c r="H873">
        <v>70804</v>
      </c>
      <c r="I873" s="6">
        <v>2.0548380071142902</v>
      </c>
      <c r="J873" s="1">
        <v>42379.498020833336</v>
      </c>
      <c r="K873">
        <v>7.99</v>
      </c>
      <c r="L873" s="6">
        <f>('Pizza Sales Calculations'!$J873-'Pizza Sales Calculations'!$C873)*24*60</f>
        <v>10.26666666730307</v>
      </c>
      <c r="M873">
        <f>COUNTA('Pizza Sales Calculations'!$D873:$F873)</f>
        <v>1</v>
      </c>
      <c r="R873" s="9">
        <f>IF('Pizza Sales Calculations'!$G873=TRUE, Parameters!$B$17*'Pizza Sales Calculations'!$L873*2, 0)</f>
        <v>2.9088888890692033</v>
      </c>
      <c r="T873" s="6"/>
      <c r="U873" s="9"/>
    </row>
    <row r="874" spans="1:21" x14ac:dyDescent="0.2">
      <c r="A874">
        <v>873</v>
      </c>
      <c r="B874" s="1">
        <v>42379.469826388886</v>
      </c>
      <c r="C874" s="1">
        <v>42379.480243055557</v>
      </c>
      <c r="D874" t="s">
        <v>1</v>
      </c>
      <c r="E874" t="s">
        <v>2</v>
      </c>
      <c r="G874" t="b">
        <v>1</v>
      </c>
      <c r="H874">
        <v>70805</v>
      </c>
      <c r="I874" s="6">
        <v>4.1860693819960701</v>
      </c>
      <c r="J874" s="1">
        <v>42379.494768518518</v>
      </c>
      <c r="K874">
        <v>19.579999999999998</v>
      </c>
      <c r="L874" s="6">
        <f>('Pizza Sales Calculations'!$J874-'Pizza Sales Calculations'!$C874)*24*60</f>
        <v>20.916666663251817</v>
      </c>
      <c r="M874">
        <f>COUNTA('Pizza Sales Calculations'!$D874:$F874)</f>
        <v>2</v>
      </c>
      <c r="R874" s="9">
        <f>IF('Pizza Sales Calculations'!$G874=TRUE, Parameters!$B$17*'Pizza Sales Calculations'!$L874*2, 0)</f>
        <v>5.9263888879213482</v>
      </c>
      <c r="T874" s="6"/>
      <c r="U874" s="9"/>
    </row>
    <row r="875" spans="1:21" x14ac:dyDescent="0.2">
      <c r="A875">
        <v>874</v>
      </c>
      <c r="B875" s="1">
        <v>42379.573009259257</v>
      </c>
      <c r="C875" s="1">
        <v>42379.583414351851</v>
      </c>
      <c r="D875" t="s">
        <v>2</v>
      </c>
      <c r="G875" t="b">
        <v>0</v>
      </c>
      <c r="H875">
        <v>70806</v>
      </c>
      <c r="I875" s="6">
        <v>0</v>
      </c>
      <c r="J875" s="1">
        <v>42379.585497685184</v>
      </c>
      <c r="K875">
        <v>11.59</v>
      </c>
      <c r="L875" s="6">
        <f>('Pizza Sales Calculations'!$J875-'Pizza Sales Calculations'!$C875)*24*60</f>
        <v>2.9999999993015081</v>
      </c>
      <c r="M875">
        <f>COUNTA('Pizza Sales Calculations'!$D875:$F875)</f>
        <v>1</v>
      </c>
      <c r="R875" s="9">
        <f>IF('Pizza Sales Calculations'!$G875=TRUE, Parameters!$B$17*'Pizza Sales Calculations'!$L875*2, 0)</f>
        <v>0</v>
      </c>
      <c r="T875" s="6"/>
      <c r="U875" s="9"/>
    </row>
    <row r="876" spans="1:21" x14ac:dyDescent="0.2">
      <c r="A876">
        <v>875</v>
      </c>
      <c r="B876" s="1">
        <v>42379.480821759258</v>
      </c>
      <c r="C876" s="1">
        <v>42379.491215277776</v>
      </c>
      <c r="D876" t="s">
        <v>1</v>
      </c>
      <c r="E876" t="s">
        <v>35</v>
      </c>
      <c r="G876" t="b">
        <v>1</v>
      </c>
      <c r="H876">
        <v>70805</v>
      </c>
      <c r="I876" s="6">
        <v>4.9485738443802001</v>
      </c>
      <c r="J876" s="1">
        <v>42379.508391203701</v>
      </c>
      <c r="K876">
        <v>23.34</v>
      </c>
      <c r="L876" s="6">
        <f>('Pizza Sales Calculations'!$J876-'Pizza Sales Calculations'!$C876)*24*60</f>
        <v>24.733333331532776</v>
      </c>
      <c r="M876">
        <f>COUNTA('Pizza Sales Calculations'!$D876:$F876)</f>
        <v>2</v>
      </c>
      <c r="R876" s="9">
        <f>IF('Pizza Sales Calculations'!$G876=TRUE, Parameters!$B$17*'Pizza Sales Calculations'!$L876*2, 0)</f>
        <v>7.00777777726762</v>
      </c>
      <c r="T876" s="6"/>
      <c r="U876" s="9"/>
    </row>
    <row r="877" spans="1:21" x14ac:dyDescent="0.2">
      <c r="A877">
        <v>876</v>
      </c>
      <c r="B877" s="1">
        <v>42379.492280092592</v>
      </c>
      <c r="C877" s="1">
        <v>42379.502708333333</v>
      </c>
      <c r="D877" t="s">
        <v>35</v>
      </c>
      <c r="G877" t="b">
        <v>0</v>
      </c>
      <c r="H877">
        <v>70806</v>
      </c>
      <c r="I877" s="6">
        <v>0</v>
      </c>
      <c r="J877" s="1">
        <v>42379.504803240743</v>
      </c>
      <c r="K877">
        <v>15.35</v>
      </c>
      <c r="L877" s="6">
        <f>('Pizza Sales Calculations'!$J877-'Pizza Sales Calculations'!$C877)*24*60</f>
        <v>3.0166666698642075</v>
      </c>
      <c r="M877">
        <f>COUNTA('Pizza Sales Calculations'!$D877:$F877)</f>
        <v>1</v>
      </c>
      <c r="R877" s="9">
        <f>IF('Pizza Sales Calculations'!$G877=TRUE, Parameters!$B$17*'Pizza Sales Calculations'!$L877*2, 0)</f>
        <v>0</v>
      </c>
      <c r="T877" s="6"/>
      <c r="U877" s="9"/>
    </row>
    <row r="878" spans="1:21" x14ac:dyDescent="0.2">
      <c r="A878">
        <v>877</v>
      </c>
      <c r="B878" s="1">
        <v>42379.521562499998</v>
      </c>
      <c r="C878" s="1">
        <v>42379.53197916667</v>
      </c>
      <c r="D878" t="s">
        <v>1</v>
      </c>
      <c r="E878" t="s">
        <v>2</v>
      </c>
      <c r="G878" t="b">
        <v>1</v>
      </c>
      <c r="H878">
        <v>70805</v>
      </c>
      <c r="I878" s="6">
        <v>3.6455596246731901</v>
      </c>
      <c r="J878" s="1">
        <v>42379.544629629629</v>
      </c>
      <c r="K878">
        <v>19.579999999999998</v>
      </c>
      <c r="L878" s="6">
        <f>('Pizza Sales Calculations'!$J878-'Pizza Sales Calculations'!$C878)*24*60</f>
        <v>18.216666660737246</v>
      </c>
      <c r="M878">
        <f>COUNTA('Pizza Sales Calculations'!$D878:$F878)</f>
        <v>2</v>
      </c>
      <c r="R878" s="9">
        <f>IF('Pizza Sales Calculations'!$G878=TRUE, Parameters!$B$17*'Pizza Sales Calculations'!$L878*2, 0)</f>
        <v>5.1613888872088864</v>
      </c>
      <c r="T878" s="6"/>
      <c r="U878" s="9"/>
    </row>
    <row r="879" spans="1:21" x14ac:dyDescent="0.2">
      <c r="A879">
        <v>878</v>
      </c>
      <c r="B879" s="1">
        <v>42379.559953703705</v>
      </c>
      <c r="C879" s="1">
        <v>42379.570370370369</v>
      </c>
      <c r="D879" t="s">
        <v>2</v>
      </c>
      <c r="G879" t="b">
        <v>0</v>
      </c>
      <c r="H879">
        <v>70806</v>
      </c>
      <c r="I879" s="6">
        <v>0</v>
      </c>
      <c r="J879" s="1">
        <v>42379.572465277779</v>
      </c>
      <c r="K879">
        <v>11.59</v>
      </c>
      <c r="L879" s="6">
        <f>('Pizza Sales Calculations'!$J879-'Pizza Sales Calculations'!$C879)*24*60</f>
        <v>3.0166666698642075</v>
      </c>
      <c r="M879">
        <f>COUNTA('Pizza Sales Calculations'!$D879:$F879)</f>
        <v>1</v>
      </c>
      <c r="R879" s="9">
        <f>IF('Pizza Sales Calculations'!$G879=TRUE, Parameters!$B$17*'Pizza Sales Calculations'!$L879*2, 0)</f>
        <v>0</v>
      </c>
      <c r="T879" s="6"/>
      <c r="U879" s="9"/>
    </row>
    <row r="880" spans="1:21" x14ac:dyDescent="0.2">
      <c r="A880">
        <v>879</v>
      </c>
      <c r="B880" s="1">
        <v>42379.485474537039</v>
      </c>
      <c r="C880" s="1">
        <v>42379.495879629627</v>
      </c>
      <c r="D880" t="s">
        <v>1</v>
      </c>
      <c r="G880" t="b">
        <v>0</v>
      </c>
      <c r="H880">
        <v>70805</v>
      </c>
      <c r="I880" s="6">
        <v>0</v>
      </c>
      <c r="J880" s="1">
        <v>42379.49795138889</v>
      </c>
      <c r="K880">
        <v>7.99</v>
      </c>
      <c r="L880" s="6">
        <f>('Pizza Sales Calculations'!$J880-'Pizza Sales Calculations'!$C880)*24*60</f>
        <v>2.9833333392161876</v>
      </c>
      <c r="M880">
        <f>COUNTA('Pizza Sales Calculations'!$D880:$F880)</f>
        <v>1</v>
      </c>
      <c r="R880" s="9">
        <f>IF('Pizza Sales Calculations'!$G880=TRUE, Parameters!$B$17*'Pizza Sales Calculations'!$L880*2, 0)</f>
        <v>0</v>
      </c>
      <c r="T880" s="6"/>
      <c r="U880" s="9"/>
    </row>
    <row r="881" spans="1:21" x14ac:dyDescent="0.2">
      <c r="A881">
        <v>880</v>
      </c>
      <c r="B881" s="1">
        <v>42379.47042824074</v>
      </c>
      <c r="C881" s="1">
        <v>42379.480856481481</v>
      </c>
      <c r="D881" t="s">
        <v>1</v>
      </c>
      <c r="E881" t="s">
        <v>35</v>
      </c>
      <c r="G881" t="b">
        <v>1</v>
      </c>
      <c r="H881">
        <v>70805</v>
      </c>
      <c r="I881" s="6">
        <v>2.21162932189341</v>
      </c>
      <c r="J881" s="1">
        <v>42379.488530092596</v>
      </c>
      <c r="K881">
        <v>23.34</v>
      </c>
      <c r="L881" s="6">
        <f>('Pizza Sales Calculations'!$J881-'Pizza Sales Calculations'!$C881)*24*60</f>
        <v>11.050000005634502</v>
      </c>
      <c r="M881">
        <f>COUNTA('Pizza Sales Calculations'!$D881:$F881)</f>
        <v>2</v>
      </c>
      <c r="R881" s="9">
        <f>IF('Pizza Sales Calculations'!$G881=TRUE, Parameters!$B$17*'Pizza Sales Calculations'!$L881*2, 0)</f>
        <v>3.1308333349297754</v>
      </c>
      <c r="T881" s="6"/>
      <c r="U881" s="9"/>
    </row>
    <row r="882" spans="1:21" x14ac:dyDescent="0.2">
      <c r="A882">
        <v>881</v>
      </c>
      <c r="B882" s="1">
        <v>42379.607662037037</v>
      </c>
      <c r="C882" s="1">
        <v>42379.618055555555</v>
      </c>
      <c r="D882" t="s">
        <v>35</v>
      </c>
      <c r="G882" t="b">
        <v>0</v>
      </c>
      <c r="H882">
        <v>70807</v>
      </c>
      <c r="I882" s="6">
        <v>0</v>
      </c>
      <c r="J882" s="1">
        <v>42379.620127314818</v>
      </c>
      <c r="K882">
        <v>15.35</v>
      </c>
      <c r="L882" s="6">
        <f>('Pizza Sales Calculations'!$J882-'Pizza Sales Calculations'!$C882)*24*60</f>
        <v>2.9833333392161876</v>
      </c>
      <c r="M882">
        <f>COUNTA('Pizza Sales Calculations'!$D882:$F882)</f>
        <v>1</v>
      </c>
      <c r="R882" s="9">
        <f>IF('Pizza Sales Calculations'!$G882=TRUE, Parameters!$B$17*'Pizza Sales Calculations'!$L882*2, 0)</f>
        <v>0</v>
      </c>
      <c r="T882" s="6"/>
      <c r="U882" s="9"/>
    </row>
    <row r="883" spans="1:21" x14ac:dyDescent="0.2">
      <c r="A883">
        <v>882</v>
      </c>
      <c r="B883" s="1">
        <v>42379.442685185182</v>
      </c>
      <c r="C883" s="1">
        <v>42379.453090277777</v>
      </c>
      <c r="D883" t="s">
        <v>1</v>
      </c>
      <c r="E883" t="s">
        <v>2</v>
      </c>
      <c r="G883" t="b">
        <v>1</v>
      </c>
      <c r="H883">
        <v>70806</v>
      </c>
      <c r="I883" s="6">
        <v>2.14428518401902</v>
      </c>
      <c r="J883" s="1">
        <v>42379.460532407407</v>
      </c>
      <c r="K883">
        <v>19.579999999999998</v>
      </c>
      <c r="L883" s="6">
        <f>('Pizza Sales Calculations'!$J883-'Pizza Sales Calculations'!$C883)*24*60</f>
        <v>10.716666667722166</v>
      </c>
      <c r="M883">
        <f>COUNTA('Pizza Sales Calculations'!$D883:$F883)</f>
        <v>2</v>
      </c>
      <c r="R883" s="9">
        <f>IF('Pizza Sales Calculations'!$G883=TRUE, Parameters!$B$17*'Pizza Sales Calculations'!$L883*2, 0)</f>
        <v>3.0363888891879469</v>
      </c>
      <c r="T883" s="6"/>
      <c r="U883" s="9"/>
    </row>
    <row r="884" spans="1:21" x14ac:dyDescent="0.2">
      <c r="A884">
        <v>883</v>
      </c>
      <c r="B884" s="1">
        <v>42379.483402777776</v>
      </c>
      <c r="C884" s="1">
        <v>42379.493796296294</v>
      </c>
      <c r="D884" t="s">
        <v>1</v>
      </c>
      <c r="E884" t="s">
        <v>35</v>
      </c>
      <c r="G884" t="b">
        <v>1</v>
      </c>
      <c r="H884">
        <v>70807</v>
      </c>
      <c r="I884" s="6">
        <v>1.9876421463982701</v>
      </c>
      <c r="J884" s="1">
        <v>42379.500694444447</v>
      </c>
      <c r="K884">
        <v>23.34</v>
      </c>
      <c r="L884" s="6">
        <f>('Pizza Sales Calculations'!$J884-'Pizza Sales Calculations'!$C884)*24*60</f>
        <v>9.9333333398681134</v>
      </c>
      <c r="M884">
        <f>COUNTA('Pizza Sales Calculations'!$D884:$F884)</f>
        <v>2</v>
      </c>
      <c r="R884" s="9">
        <f>IF('Pizza Sales Calculations'!$G884=TRUE, Parameters!$B$17*'Pizza Sales Calculations'!$L884*2, 0)</f>
        <v>2.8144444462959655</v>
      </c>
      <c r="T884" s="6"/>
      <c r="U884" s="9"/>
    </row>
    <row r="885" spans="1:21" x14ac:dyDescent="0.2">
      <c r="A885">
        <v>884</v>
      </c>
      <c r="B885" s="1">
        <v>42379.469918981478</v>
      </c>
      <c r="C885" s="1">
        <v>42379.48033564815</v>
      </c>
      <c r="D885" t="s">
        <v>2</v>
      </c>
      <c r="G885" t="b">
        <v>1</v>
      </c>
      <c r="H885">
        <v>70805</v>
      </c>
      <c r="I885" s="6">
        <v>5.1834778423221097</v>
      </c>
      <c r="J885" s="1">
        <v>42379.498333333337</v>
      </c>
      <c r="K885">
        <v>11.59</v>
      </c>
      <c r="L885" s="6">
        <f>('Pizza Sales Calculations'!$J885-'Pizza Sales Calculations'!$C885)*24*60</f>
        <v>25.916666669072583</v>
      </c>
      <c r="M885">
        <f>COUNTA('Pizza Sales Calculations'!$D885:$F885)</f>
        <v>1</v>
      </c>
      <c r="R885" s="9">
        <f>IF('Pizza Sales Calculations'!$G885=TRUE, Parameters!$B$17*'Pizza Sales Calculations'!$L885*2, 0)</f>
        <v>7.3430555562372319</v>
      </c>
      <c r="T885" s="6"/>
      <c r="U885" s="9"/>
    </row>
    <row r="886" spans="1:21" x14ac:dyDescent="0.2">
      <c r="A886">
        <v>885</v>
      </c>
      <c r="B886" s="1">
        <v>42379.449606481481</v>
      </c>
      <c r="C886" s="1">
        <v>42379.460023148145</v>
      </c>
      <c r="D886" t="s">
        <v>35</v>
      </c>
      <c r="G886" t="b">
        <v>0</v>
      </c>
      <c r="H886">
        <v>70804</v>
      </c>
      <c r="I886" s="6">
        <v>0</v>
      </c>
      <c r="J886" s="1">
        <v>42379.462094907409</v>
      </c>
      <c r="K886">
        <v>15.35</v>
      </c>
      <c r="L886" s="6">
        <f>('Pizza Sales Calculations'!$J886-'Pizza Sales Calculations'!$C886)*24*60</f>
        <v>2.9833333392161876</v>
      </c>
      <c r="M886">
        <f>COUNTA('Pizza Sales Calculations'!$D886:$F886)</f>
        <v>1</v>
      </c>
      <c r="R886" s="9">
        <f>IF('Pizza Sales Calculations'!$G886=TRUE, Parameters!$B$17*'Pizza Sales Calculations'!$L886*2, 0)</f>
        <v>0</v>
      </c>
      <c r="T886" s="6"/>
      <c r="U886" s="9"/>
    </row>
    <row r="887" spans="1:21" x14ac:dyDescent="0.2">
      <c r="A887">
        <v>886</v>
      </c>
      <c r="B887" s="1">
        <v>42379.576574074075</v>
      </c>
      <c r="C887" s="1">
        <v>42379.58697916667</v>
      </c>
      <c r="D887" t="s">
        <v>1</v>
      </c>
      <c r="G887" t="b">
        <v>1</v>
      </c>
      <c r="H887">
        <v>70808</v>
      </c>
      <c r="I887" s="6">
        <v>1.8057750150668901</v>
      </c>
      <c r="J887" s="1">
        <v>42379.593240740738</v>
      </c>
      <c r="K887">
        <v>7.99</v>
      </c>
      <c r="L887" s="6">
        <f>('Pizza Sales Calculations'!$J887-'Pizza Sales Calculations'!$C887)*24*60</f>
        <v>9.0166666579898447</v>
      </c>
      <c r="M887">
        <f>COUNTA('Pizza Sales Calculations'!$D887:$F887)</f>
        <v>1</v>
      </c>
      <c r="R887" s="9">
        <f>IF('Pizza Sales Calculations'!$G887=TRUE, Parameters!$B$17*'Pizza Sales Calculations'!$L887*2, 0)</f>
        <v>2.5547222197637893</v>
      </c>
      <c r="T887" s="6"/>
      <c r="U887" s="9"/>
    </row>
    <row r="888" spans="1:21" x14ac:dyDescent="0.2">
      <c r="A888">
        <v>887</v>
      </c>
      <c r="B888" s="1">
        <v>42379.435659722221</v>
      </c>
      <c r="C888" s="1">
        <v>42379.446076388886</v>
      </c>
      <c r="D888" t="s">
        <v>35</v>
      </c>
      <c r="G888" t="b">
        <v>1</v>
      </c>
      <c r="H888">
        <v>70805</v>
      </c>
      <c r="I888" s="6">
        <v>2.8019141396937601</v>
      </c>
      <c r="J888" s="1">
        <v>42379.45579861111</v>
      </c>
      <c r="K888">
        <v>15.35</v>
      </c>
      <c r="L888" s="6">
        <f>('Pizza Sales Calculations'!$J888-'Pizza Sales Calculations'!$C888)*24*60</f>
        <v>14.00000000372529</v>
      </c>
      <c r="M888">
        <f>COUNTA('Pizza Sales Calculations'!$D888:$F888)</f>
        <v>1</v>
      </c>
      <c r="R888" s="9">
        <f>IF('Pizza Sales Calculations'!$G888=TRUE, Parameters!$B$17*'Pizza Sales Calculations'!$L888*2, 0)</f>
        <v>3.9666666677221656</v>
      </c>
      <c r="T888" s="6"/>
      <c r="U888" s="9"/>
    </row>
    <row r="889" spans="1:21" x14ac:dyDescent="0.2">
      <c r="A889">
        <v>888</v>
      </c>
      <c r="B889" s="1">
        <v>42379.495486111111</v>
      </c>
      <c r="C889" s="1">
        <v>42379.505902777775</v>
      </c>
      <c r="D889" t="s">
        <v>2</v>
      </c>
      <c r="G889" t="b">
        <v>0</v>
      </c>
      <c r="H889">
        <v>70806</v>
      </c>
      <c r="I889" s="6">
        <v>0</v>
      </c>
      <c r="J889" s="1">
        <v>42379.507986111108</v>
      </c>
      <c r="K889">
        <v>11.59</v>
      </c>
      <c r="L889" s="6">
        <f>('Pizza Sales Calculations'!$J889-'Pizza Sales Calculations'!$C889)*24*60</f>
        <v>2.9999999993015081</v>
      </c>
      <c r="M889">
        <f>COUNTA('Pizza Sales Calculations'!$D889:$F889)</f>
        <v>1</v>
      </c>
      <c r="R889" s="9">
        <f>IF('Pizza Sales Calculations'!$G889=TRUE, Parameters!$B$17*'Pizza Sales Calculations'!$L889*2, 0)</f>
        <v>0</v>
      </c>
      <c r="T889" s="6"/>
      <c r="U889" s="9"/>
    </row>
    <row r="890" spans="1:21" x14ac:dyDescent="0.2">
      <c r="A890">
        <v>889</v>
      </c>
      <c r="B890" s="1">
        <v>42379.507905092592</v>
      </c>
      <c r="C890" s="1">
        <v>42379.518333333333</v>
      </c>
      <c r="D890" t="s">
        <v>1</v>
      </c>
      <c r="G890" t="b">
        <v>1</v>
      </c>
      <c r="H890">
        <v>70805</v>
      </c>
      <c r="I890" s="6">
        <v>2.12428824528756</v>
      </c>
      <c r="J890" s="1">
        <v>42379.525706018518</v>
      </c>
      <c r="K890">
        <v>7.99</v>
      </c>
      <c r="L890" s="6">
        <f>('Pizza Sales Calculations'!$J890-'Pizza Sales Calculations'!$C890)*24*60</f>
        <v>10.616666665300727</v>
      </c>
      <c r="M890">
        <f>COUNTA('Pizza Sales Calculations'!$D890:$F890)</f>
        <v>1</v>
      </c>
      <c r="R890" s="9">
        <f>IF('Pizza Sales Calculations'!$G890=TRUE, Parameters!$B$17*'Pizza Sales Calculations'!$L890*2, 0)</f>
        <v>3.0080555551685393</v>
      </c>
      <c r="T890" s="6"/>
      <c r="U890" s="9"/>
    </row>
    <row r="891" spans="1:21" x14ac:dyDescent="0.2">
      <c r="A891">
        <v>890</v>
      </c>
      <c r="B891" s="1">
        <v>42379.478622685187</v>
      </c>
      <c r="C891" s="1">
        <v>42379.489027777781</v>
      </c>
      <c r="D891" t="s">
        <v>1</v>
      </c>
      <c r="E891" t="s">
        <v>35</v>
      </c>
      <c r="G891" t="b">
        <v>1</v>
      </c>
      <c r="H891">
        <v>70806</v>
      </c>
      <c r="I891" s="6">
        <v>2.8449629223818298</v>
      </c>
      <c r="J891" s="1">
        <v>42379.498900462961</v>
      </c>
      <c r="K891">
        <v>23.34</v>
      </c>
      <c r="L891" s="6">
        <f>('Pizza Sales Calculations'!$J891-'Pizza Sales Calculations'!$C891)*24*60</f>
        <v>14.216666658176109</v>
      </c>
      <c r="M891">
        <f>COUNTA('Pizza Sales Calculations'!$D891:$F891)</f>
        <v>2</v>
      </c>
      <c r="R891" s="9">
        <f>IF('Pizza Sales Calculations'!$G891=TRUE, Parameters!$B$17*'Pizza Sales Calculations'!$L891*2, 0)</f>
        <v>4.0280555531498976</v>
      </c>
      <c r="T891" s="6"/>
      <c r="U891" s="9"/>
    </row>
    <row r="892" spans="1:21" x14ac:dyDescent="0.2">
      <c r="A892">
        <v>891</v>
      </c>
      <c r="B892" s="1">
        <v>42379.537685185183</v>
      </c>
      <c r="C892" s="1">
        <v>42379.548090277778</v>
      </c>
      <c r="D892" t="s">
        <v>2</v>
      </c>
      <c r="G892" t="b">
        <v>0</v>
      </c>
      <c r="H892">
        <v>70804</v>
      </c>
      <c r="I892" s="6">
        <v>0</v>
      </c>
      <c r="J892" s="1">
        <v>42379.550173611111</v>
      </c>
      <c r="K892">
        <v>11.59</v>
      </c>
      <c r="L892" s="6">
        <f>('Pizza Sales Calculations'!$J892-'Pizza Sales Calculations'!$C892)*24*60</f>
        <v>2.9999999993015081</v>
      </c>
      <c r="M892">
        <f>COUNTA('Pizza Sales Calculations'!$D892:$F892)</f>
        <v>1</v>
      </c>
      <c r="R892" s="9">
        <f>IF('Pizza Sales Calculations'!$G892=TRUE, Parameters!$B$17*'Pizza Sales Calculations'!$L892*2, 0)</f>
        <v>0</v>
      </c>
      <c r="T892" s="6"/>
      <c r="U892" s="9"/>
    </row>
    <row r="893" spans="1:21" x14ac:dyDescent="0.2">
      <c r="A893">
        <v>892</v>
      </c>
      <c r="B893" s="1">
        <v>42379.62394675926</v>
      </c>
      <c r="C893" s="1">
        <v>42379.634363425925</v>
      </c>
      <c r="D893" t="s">
        <v>1</v>
      </c>
      <c r="E893" t="s">
        <v>35</v>
      </c>
      <c r="G893" t="b">
        <v>0</v>
      </c>
      <c r="H893">
        <v>70804</v>
      </c>
      <c r="I893" s="6">
        <v>0</v>
      </c>
      <c r="J893" s="1">
        <v>42379.636446759258</v>
      </c>
      <c r="K893">
        <v>23.34</v>
      </c>
      <c r="L893" s="6">
        <f>('Pizza Sales Calculations'!$J893-'Pizza Sales Calculations'!$C893)*24*60</f>
        <v>2.9999999993015081</v>
      </c>
      <c r="M893">
        <f>COUNTA('Pizza Sales Calculations'!$D893:$F893)</f>
        <v>2</v>
      </c>
      <c r="R893" s="9">
        <f>IF('Pizza Sales Calculations'!$G893=TRUE, Parameters!$B$17*'Pizza Sales Calculations'!$L893*2, 0)</f>
        <v>0</v>
      </c>
      <c r="T893" s="6"/>
      <c r="U893" s="9"/>
    </row>
    <row r="894" spans="1:21" x14ac:dyDescent="0.2">
      <c r="A894">
        <v>893</v>
      </c>
      <c r="B894" s="1">
        <v>42379.540023148147</v>
      </c>
      <c r="C894" s="1">
        <v>42379.550428240742</v>
      </c>
      <c r="D894" t="s">
        <v>35</v>
      </c>
      <c r="G894" t="b">
        <v>1</v>
      </c>
      <c r="H894">
        <v>70804</v>
      </c>
      <c r="I894" s="6">
        <v>4.9877939863742196</v>
      </c>
      <c r="J894" s="1">
        <v>42379.567743055559</v>
      </c>
      <c r="K894">
        <v>15.35</v>
      </c>
      <c r="L894" s="6">
        <f>('Pizza Sales Calculations'!$J894-'Pizza Sales Calculations'!$C894)*24*60</f>
        <v>24.933333336375654</v>
      </c>
      <c r="M894">
        <f>COUNTA('Pizza Sales Calculations'!$D894:$F894)</f>
        <v>1</v>
      </c>
      <c r="R894" s="9">
        <f>IF('Pizza Sales Calculations'!$G894=TRUE, Parameters!$B$17*'Pizza Sales Calculations'!$L894*2, 0)</f>
        <v>7.0644444453064352</v>
      </c>
      <c r="T894" s="6"/>
      <c r="U894" s="9"/>
    </row>
    <row r="895" spans="1:21" x14ac:dyDescent="0.2">
      <c r="A895">
        <v>894</v>
      </c>
      <c r="B895" s="1">
        <v>42379.482592592591</v>
      </c>
      <c r="C895" s="1">
        <v>42379.493009259262</v>
      </c>
      <c r="D895" t="s">
        <v>2</v>
      </c>
      <c r="G895" t="b">
        <v>1</v>
      </c>
      <c r="H895">
        <v>70806</v>
      </c>
      <c r="I895" s="6">
        <v>2.4328743336674798</v>
      </c>
      <c r="J895" s="1">
        <v>42379.501446759263</v>
      </c>
      <c r="K895">
        <v>11.59</v>
      </c>
      <c r="L895" s="6">
        <f>('Pizza Sales Calculations'!$J895-'Pizza Sales Calculations'!$C895)*24*60</f>
        <v>12.15000000083819</v>
      </c>
      <c r="M895">
        <f>COUNTA('Pizza Sales Calculations'!$D895:$F895)</f>
        <v>1</v>
      </c>
      <c r="R895" s="9">
        <f>IF('Pizza Sales Calculations'!$G895=TRUE, Parameters!$B$17*'Pizza Sales Calculations'!$L895*2, 0)</f>
        <v>3.4425000002374873</v>
      </c>
      <c r="T895" s="6"/>
      <c r="U895" s="9"/>
    </row>
    <row r="896" spans="1:21" x14ac:dyDescent="0.2">
      <c r="A896">
        <v>895</v>
      </c>
      <c r="B896" s="1">
        <v>42379.533252314817</v>
      </c>
      <c r="C896" s="1">
        <v>42379.543657407405</v>
      </c>
      <c r="D896" t="s">
        <v>1</v>
      </c>
      <c r="G896" t="b">
        <v>1</v>
      </c>
      <c r="H896">
        <v>70804</v>
      </c>
      <c r="I896" s="6">
        <v>2.4054974468144099</v>
      </c>
      <c r="J896" s="1">
        <v>42379.552002314813</v>
      </c>
      <c r="K896">
        <v>7.99</v>
      </c>
      <c r="L896" s="6">
        <f>('Pizza Sales Calculations'!$J896-'Pizza Sales Calculations'!$C896)*24*60</f>
        <v>12.016666667768732</v>
      </c>
      <c r="M896">
        <f>COUNTA('Pizza Sales Calculations'!$D896:$F896)</f>
        <v>1</v>
      </c>
      <c r="R896" s="9">
        <f>IF('Pizza Sales Calculations'!$G896=TRUE, Parameters!$B$17*'Pizza Sales Calculations'!$L896*2, 0)</f>
        <v>3.404722222534474</v>
      </c>
      <c r="T896" s="6"/>
      <c r="U896" s="9"/>
    </row>
    <row r="897" spans="1:21" x14ac:dyDescent="0.2">
      <c r="A897">
        <v>896</v>
      </c>
      <c r="B897" s="1">
        <v>42379.491053240738</v>
      </c>
      <c r="C897" s="1">
        <v>42379.501469907409</v>
      </c>
      <c r="D897" t="s">
        <v>2</v>
      </c>
      <c r="G897" t="b">
        <v>0</v>
      </c>
      <c r="H897">
        <v>70803</v>
      </c>
      <c r="I897" s="6">
        <v>0</v>
      </c>
      <c r="J897" s="1">
        <v>42379.503541666665</v>
      </c>
      <c r="K897">
        <v>11.59</v>
      </c>
      <c r="L897" s="6">
        <f>('Pizza Sales Calculations'!$J897-'Pizza Sales Calculations'!$C897)*24*60</f>
        <v>2.9833333287388086</v>
      </c>
      <c r="M897">
        <f>COUNTA('Pizza Sales Calculations'!$D897:$F897)</f>
        <v>1</v>
      </c>
      <c r="R897" s="9">
        <f>IF('Pizza Sales Calculations'!$G897=TRUE, Parameters!$B$17*'Pizza Sales Calculations'!$L897*2, 0)</f>
        <v>0</v>
      </c>
      <c r="T897" s="6"/>
      <c r="U897" s="9"/>
    </row>
    <row r="898" spans="1:21" x14ac:dyDescent="0.2">
      <c r="A898">
        <v>897</v>
      </c>
      <c r="B898" s="1">
        <v>42379.500601851854</v>
      </c>
      <c r="C898" s="1">
        <v>42379.510995370372</v>
      </c>
      <c r="D898" t="s">
        <v>1</v>
      </c>
      <c r="E898" t="s">
        <v>2</v>
      </c>
      <c r="G898" t="b">
        <v>0</v>
      </c>
      <c r="H898">
        <v>70804</v>
      </c>
      <c r="I898" s="6">
        <v>0</v>
      </c>
      <c r="J898" s="1">
        <v>42379.513078703705</v>
      </c>
      <c r="K898">
        <v>19.579999999999998</v>
      </c>
      <c r="L898" s="6">
        <f>('Pizza Sales Calculations'!$J898-'Pizza Sales Calculations'!$C898)*24*60</f>
        <v>2.9999999993015081</v>
      </c>
      <c r="M898">
        <f>COUNTA('Pizza Sales Calculations'!$D898:$F898)</f>
        <v>2</v>
      </c>
      <c r="R898" s="9">
        <f>IF('Pizza Sales Calculations'!$G898=TRUE, Parameters!$B$17*'Pizza Sales Calculations'!$L898*2, 0)</f>
        <v>0</v>
      </c>
      <c r="T898" s="6"/>
      <c r="U898" s="9"/>
    </row>
    <row r="899" spans="1:21" x14ac:dyDescent="0.2">
      <c r="A899">
        <v>898</v>
      </c>
      <c r="B899" s="1">
        <v>42379.428935185184</v>
      </c>
      <c r="C899" s="1">
        <v>42379.439328703702</v>
      </c>
      <c r="D899" t="s">
        <v>1</v>
      </c>
      <c r="G899" t="b">
        <v>1</v>
      </c>
      <c r="H899">
        <v>70805</v>
      </c>
      <c r="I899" s="6">
        <v>3.1359943294791401</v>
      </c>
      <c r="J899" s="1">
        <v>42379.450208333335</v>
      </c>
      <c r="K899">
        <v>7.99</v>
      </c>
      <c r="L899" s="6">
        <f>('Pizza Sales Calculations'!$J899-'Pizza Sales Calculations'!$C899)*24*60</f>
        <v>15.666666672332212</v>
      </c>
      <c r="M899">
        <f>COUNTA('Pizza Sales Calculations'!$D899:$F899)</f>
        <v>1</v>
      </c>
      <c r="R899" s="9">
        <f>IF('Pizza Sales Calculations'!$G899=TRUE, Parameters!$B$17*'Pizza Sales Calculations'!$L899*2, 0)</f>
        <v>4.4388888904941268</v>
      </c>
      <c r="T899" s="6"/>
      <c r="U899" s="9"/>
    </row>
    <row r="900" spans="1:21" x14ac:dyDescent="0.2">
      <c r="A900">
        <v>899</v>
      </c>
      <c r="B900" s="1">
        <v>42379.432754629626</v>
      </c>
      <c r="C900" s="1">
        <v>42379.443159722221</v>
      </c>
      <c r="D900" t="s">
        <v>35</v>
      </c>
      <c r="G900" t="b">
        <v>0</v>
      </c>
      <c r="H900">
        <v>70804</v>
      </c>
      <c r="I900" s="6">
        <v>0</v>
      </c>
      <c r="J900" s="1">
        <v>42379.445243055554</v>
      </c>
      <c r="K900">
        <v>15.35</v>
      </c>
      <c r="L900" s="6">
        <f>('Pizza Sales Calculations'!$J900-'Pizza Sales Calculations'!$C900)*24*60</f>
        <v>2.9999999993015081</v>
      </c>
      <c r="M900">
        <f>COUNTA('Pizza Sales Calculations'!$D900:$F900)</f>
        <v>1</v>
      </c>
      <c r="R900" s="9">
        <f>IF('Pizza Sales Calculations'!$G900=TRUE, Parameters!$B$17*'Pizza Sales Calculations'!$L900*2, 0)</f>
        <v>0</v>
      </c>
      <c r="T900" s="6"/>
      <c r="U900" s="9"/>
    </row>
    <row r="901" spans="1:21" x14ac:dyDescent="0.2">
      <c r="A901">
        <v>900</v>
      </c>
      <c r="B901" s="1">
        <v>42379.529467592591</v>
      </c>
      <c r="C901" s="1">
        <v>42379.539884259262</v>
      </c>
      <c r="D901" t="s">
        <v>2</v>
      </c>
      <c r="G901" t="b">
        <v>1</v>
      </c>
      <c r="H901">
        <v>70804</v>
      </c>
      <c r="I901" s="6">
        <v>2.4600320892918202</v>
      </c>
      <c r="J901" s="1">
        <v>42379.548425925925</v>
      </c>
      <c r="K901">
        <v>11.59</v>
      </c>
      <c r="L901" s="6">
        <f>('Pizza Sales Calculations'!$J901-'Pizza Sales Calculations'!$C901)*24*60</f>
        <v>12.299999993992969</v>
      </c>
      <c r="M901">
        <f>COUNTA('Pizza Sales Calculations'!$D901:$F901)</f>
        <v>1</v>
      </c>
      <c r="R901" s="9">
        <f>IF('Pizza Sales Calculations'!$G901=TRUE, Parameters!$B$17*'Pizza Sales Calculations'!$L901*2, 0)</f>
        <v>3.484999998298008</v>
      </c>
      <c r="T901" s="6"/>
      <c r="U901" s="9"/>
    </row>
    <row r="902" spans="1:21" x14ac:dyDescent="0.2">
      <c r="A902">
        <v>901</v>
      </c>
      <c r="B902" s="1">
        <v>42379.572569444441</v>
      </c>
      <c r="C902" s="1">
        <v>42379.582986111112</v>
      </c>
      <c r="D902" t="s">
        <v>1</v>
      </c>
      <c r="G902" t="b">
        <v>0</v>
      </c>
      <c r="H902">
        <v>70804</v>
      </c>
      <c r="I902" s="6">
        <v>0</v>
      </c>
      <c r="J902" s="1">
        <v>42379.585069444445</v>
      </c>
      <c r="K902">
        <v>7.99</v>
      </c>
      <c r="L902" s="6">
        <f>('Pizza Sales Calculations'!$J902-'Pizza Sales Calculations'!$C902)*24*60</f>
        <v>2.9999999993015081</v>
      </c>
      <c r="M902">
        <f>COUNTA('Pizza Sales Calculations'!$D902:$F902)</f>
        <v>1</v>
      </c>
      <c r="R902" s="9">
        <f>IF('Pizza Sales Calculations'!$G902=TRUE, Parameters!$B$17*'Pizza Sales Calculations'!$L902*2, 0)</f>
        <v>0</v>
      </c>
      <c r="T902" s="6"/>
      <c r="U902" s="9"/>
    </row>
    <row r="903" spans="1:21" x14ac:dyDescent="0.2">
      <c r="A903">
        <v>902</v>
      </c>
      <c r="B903" s="1">
        <v>42379.529756944445</v>
      </c>
      <c r="C903" s="1">
        <v>42379.540185185186</v>
      </c>
      <c r="D903" t="s">
        <v>1</v>
      </c>
      <c r="G903" t="b">
        <v>1</v>
      </c>
      <c r="H903">
        <v>70806</v>
      </c>
      <c r="I903" s="6">
        <v>3.8398502230304898</v>
      </c>
      <c r="J903" s="1">
        <v>42379.553506944445</v>
      </c>
      <c r="K903">
        <v>7.99</v>
      </c>
      <c r="L903" s="6">
        <f>('Pizza Sales Calculations'!$J903-'Pizza Sales Calculations'!$C903)*24*60</f>
        <v>19.183333333348855</v>
      </c>
      <c r="M903">
        <f>COUNTA('Pizza Sales Calculations'!$D903:$F903)</f>
        <v>1</v>
      </c>
      <c r="R903" s="9">
        <f>IF('Pizza Sales Calculations'!$G903=TRUE, Parameters!$B$17*'Pizza Sales Calculations'!$L903*2, 0)</f>
        <v>5.4352777777821757</v>
      </c>
      <c r="T903" s="6"/>
      <c r="U903" s="9"/>
    </row>
    <row r="904" spans="1:21" x14ac:dyDescent="0.2">
      <c r="A904">
        <v>903</v>
      </c>
      <c r="B904" s="1">
        <v>42379.539768518516</v>
      </c>
      <c r="C904" s="1">
        <v>42379.550185185188</v>
      </c>
      <c r="D904" t="s">
        <v>1</v>
      </c>
      <c r="G904" t="b">
        <v>1</v>
      </c>
      <c r="H904">
        <v>70803</v>
      </c>
      <c r="I904" s="6">
        <v>3.0347664604903799</v>
      </c>
      <c r="J904" s="1">
        <v>42379.560717592591</v>
      </c>
      <c r="K904">
        <v>7.99</v>
      </c>
      <c r="L904" s="6">
        <f>('Pizza Sales Calculations'!$J904-'Pizza Sales Calculations'!$C904)*24*60</f>
        <v>15.166666660225019</v>
      </c>
      <c r="M904">
        <f>COUNTA('Pizza Sales Calculations'!$D904:$F904)</f>
        <v>1</v>
      </c>
      <c r="R904" s="9">
        <f>IF('Pizza Sales Calculations'!$G904=TRUE, Parameters!$B$17*'Pizza Sales Calculations'!$L904*2, 0)</f>
        <v>4.2972222203970887</v>
      </c>
      <c r="T904" s="6"/>
      <c r="U904" s="9"/>
    </row>
    <row r="905" spans="1:21" x14ac:dyDescent="0.2">
      <c r="A905">
        <v>904</v>
      </c>
      <c r="B905" s="1">
        <v>42379.536574074074</v>
      </c>
      <c r="C905" s="1">
        <v>42379.546979166669</v>
      </c>
      <c r="D905" t="s">
        <v>35</v>
      </c>
      <c r="G905" t="b">
        <v>1</v>
      </c>
      <c r="H905">
        <v>70805</v>
      </c>
      <c r="I905" s="6">
        <v>2.6873318709862</v>
      </c>
      <c r="J905" s="1">
        <v>42379.556307870371</v>
      </c>
      <c r="K905">
        <v>15.35</v>
      </c>
      <c r="L905" s="6">
        <f>('Pizza Sales Calculations'!$J905-'Pizza Sales Calculations'!$C905)*24*60</f>
        <v>13.433333330322057</v>
      </c>
      <c r="M905">
        <f>COUNTA('Pizza Sales Calculations'!$D905:$F905)</f>
        <v>1</v>
      </c>
      <c r="R905" s="9">
        <f>IF('Pizza Sales Calculations'!$G905=TRUE, Parameters!$B$17*'Pizza Sales Calculations'!$L905*2, 0)</f>
        <v>3.8061111102579162</v>
      </c>
      <c r="T905" s="6"/>
      <c r="U905" s="9"/>
    </row>
    <row r="906" spans="1:21" x14ac:dyDescent="0.2">
      <c r="A906">
        <v>905</v>
      </c>
      <c r="B906" s="1">
        <v>42379.512060185189</v>
      </c>
      <c r="C906" s="1">
        <v>42379.52244212963</v>
      </c>
      <c r="D906" t="s">
        <v>2</v>
      </c>
      <c r="G906" t="b">
        <v>0</v>
      </c>
      <c r="H906">
        <v>70806</v>
      </c>
      <c r="I906" s="6">
        <v>0</v>
      </c>
      <c r="J906" s="1">
        <v>42379.524513888886</v>
      </c>
      <c r="K906">
        <v>11.59</v>
      </c>
      <c r="L906" s="6">
        <f>('Pizza Sales Calculations'!$J906-'Pizza Sales Calculations'!$C906)*24*60</f>
        <v>2.9833333287388086</v>
      </c>
      <c r="M906">
        <f>COUNTA('Pizza Sales Calculations'!$D906:$F906)</f>
        <v>1</v>
      </c>
      <c r="R906" s="9">
        <f>IF('Pizza Sales Calculations'!$G906=TRUE, Parameters!$B$17*'Pizza Sales Calculations'!$L906*2, 0)</f>
        <v>0</v>
      </c>
      <c r="T906" s="6"/>
      <c r="U906" s="9"/>
    </row>
    <row r="907" spans="1:21" x14ac:dyDescent="0.2">
      <c r="A907">
        <v>906</v>
      </c>
      <c r="B907" s="1">
        <v>42379.497673611113</v>
      </c>
      <c r="C907" s="1">
        <v>42379.508067129631</v>
      </c>
      <c r="D907" t="s">
        <v>35</v>
      </c>
      <c r="G907" t="b">
        <v>0</v>
      </c>
      <c r="H907">
        <v>70803</v>
      </c>
      <c r="I907" s="6">
        <v>0</v>
      </c>
      <c r="J907" s="1">
        <v>42379.510127314818</v>
      </c>
      <c r="K907">
        <v>15.35</v>
      </c>
      <c r="L907" s="6">
        <f>('Pizza Sales Calculations'!$J907-'Pizza Sales Calculations'!$C907)*24*60</f>
        <v>2.9666666686534882</v>
      </c>
      <c r="M907">
        <f>COUNTA('Pizza Sales Calculations'!$D907:$F907)</f>
        <v>1</v>
      </c>
      <c r="R907" s="9">
        <f>IF('Pizza Sales Calculations'!$G907=TRUE, Parameters!$B$17*'Pizza Sales Calculations'!$L907*2, 0)</f>
        <v>0</v>
      </c>
      <c r="T907" s="6"/>
      <c r="U907" s="9"/>
    </row>
    <row r="908" spans="1:21" x14ac:dyDescent="0.2">
      <c r="A908">
        <v>907</v>
      </c>
      <c r="B908" s="1">
        <v>42379.498645833337</v>
      </c>
      <c r="C908" s="1">
        <v>42379.509097222224</v>
      </c>
      <c r="D908" t="s">
        <v>1</v>
      </c>
      <c r="G908" t="b">
        <v>0</v>
      </c>
      <c r="H908">
        <v>70804</v>
      </c>
      <c r="I908" s="6">
        <v>0</v>
      </c>
      <c r="J908" s="1">
        <v>42379.51116898148</v>
      </c>
      <c r="K908">
        <v>7.99</v>
      </c>
      <c r="L908" s="6">
        <f>('Pizza Sales Calculations'!$J908-'Pizza Sales Calculations'!$C908)*24*60</f>
        <v>2.9833333287388086</v>
      </c>
      <c r="M908">
        <f>COUNTA('Pizza Sales Calculations'!$D908:$F908)</f>
        <v>1</v>
      </c>
      <c r="R908" s="9">
        <f>IF('Pizza Sales Calculations'!$G908=TRUE, Parameters!$B$17*'Pizza Sales Calculations'!$L908*2, 0)</f>
        <v>0</v>
      </c>
      <c r="T908" s="6"/>
      <c r="U908" s="9"/>
    </row>
    <row r="909" spans="1:21" x14ac:dyDescent="0.2">
      <c r="A909">
        <v>908</v>
      </c>
      <c r="B909" s="1">
        <v>42379.476238425923</v>
      </c>
      <c r="C909" s="1">
        <v>42379.486643518518</v>
      </c>
      <c r="D909" t="s">
        <v>35</v>
      </c>
      <c r="G909" t="b">
        <v>1</v>
      </c>
      <c r="H909">
        <v>70807</v>
      </c>
      <c r="I909" s="6">
        <v>3.0531799425625801</v>
      </c>
      <c r="J909" s="1">
        <v>42379.497233796297</v>
      </c>
      <c r="K909">
        <v>15.35</v>
      </c>
      <c r="L909" s="6">
        <f>('Pizza Sales Calculations'!$J909-'Pizza Sales Calculations'!$C909)*24*60</f>
        <v>15.250000002561137</v>
      </c>
      <c r="M909">
        <f>COUNTA('Pizza Sales Calculations'!$D909:$F909)</f>
        <v>1</v>
      </c>
      <c r="R909" s="9">
        <f>IF('Pizza Sales Calculations'!$G909=TRUE, Parameters!$B$17*'Pizza Sales Calculations'!$L909*2, 0)</f>
        <v>4.3208333340589888</v>
      </c>
      <c r="T909" s="6"/>
      <c r="U909" s="9"/>
    </row>
    <row r="910" spans="1:21" x14ac:dyDescent="0.2">
      <c r="A910">
        <v>909</v>
      </c>
      <c r="B910" s="1">
        <v>42379.54824074074</v>
      </c>
      <c r="C910" s="1">
        <v>42379.558645833335</v>
      </c>
      <c r="D910" t="s">
        <v>1</v>
      </c>
      <c r="E910" t="s">
        <v>35</v>
      </c>
      <c r="G910" t="b">
        <v>0</v>
      </c>
      <c r="H910">
        <v>70804</v>
      </c>
      <c r="I910" s="6">
        <v>0</v>
      </c>
      <c r="J910" s="1">
        <v>42379.560740740744</v>
      </c>
      <c r="K910">
        <v>23.34</v>
      </c>
      <c r="L910" s="6">
        <f>('Pizza Sales Calculations'!$J910-'Pizza Sales Calculations'!$C910)*24*60</f>
        <v>3.0166666698642075</v>
      </c>
      <c r="M910">
        <f>COUNTA('Pizza Sales Calculations'!$D910:$F910)</f>
        <v>2</v>
      </c>
      <c r="R910" s="9">
        <f>IF('Pizza Sales Calculations'!$G910=TRUE, Parameters!$B$17*'Pizza Sales Calculations'!$L910*2, 0)</f>
        <v>0</v>
      </c>
      <c r="T910" s="6"/>
      <c r="U910" s="9"/>
    </row>
    <row r="911" spans="1:21" x14ac:dyDescent="0.2">
      <c r="A911">
        <v>910</v>
      </c>
      <c r="B911" s="1">
        <v>42379.441412037035</v>
      </c>
      <c r="C911" s="1">
        <v>42379.451805555553</v>
      </c>
      <c r="D911" t="s">
        <v>2</v>
      </c>
      <c r="G911" t="b">
        <v>1</v>
      </c>
      <c r="H911">
        <v>70804</v>
      </c>
      <c r="I911" s="6">
        <v>2.8748132223085201</v>
      </c>
      <c r="J911" s="1">
        <v>42379.461782407408</v>
      </c>
      <c r="K911">
        <v>11.59</v>
      </c>
      <c r="L911" s="6">
        <f>('Pizza Sales Calculations'!$J911-'Pizza Sales Calculations'!$C911)*24*60</f>
        <v>14.366666672285646</v>
      </c>
      <c r="M911">
        <f>COUNTA('Pizza Sales Calculations'!$D911:$F911)</f>
        <v>1</v>
      </c>
      <c r="R911" s="9">
        <f>IF('Pizza Sales Calculations'!$G911=TRUE, Parameters!$B$17*'Pizza Sales Calculations'!$L911*2, 0)</f>
        <v>4.0705555571475998</v>
      </c>
      <c r="T911" s="6"/>
      <c r="U911" s="9"/>
    </row>
    <row r="912" spans="1:21" x14ac:dyDescent="0.2">
      <c r="A912">
        <v>911</v>
      </c>
      <c r="B912" s="1">
        <v>42379.424502314818</v>
      </c>
      <c r="C912" s="1">
        <v>42379.434930555559</v>
      </c>
      <c r="D912" t="s">
        <v>1</v>
      </c>
      <c r="E912" t="s">
        <v>2</v>
      </c>
      <c r="G912" t="b">
        <v>0</v>
      </c>
      <c r="H912">
        <v>70805</v>
      </c>
      <c r="I912" s="6">
        <v>0</v>
      </c>
      <c r="J912" s="1">
        <v>42379.437002314815</v>
      </c>
      <c r="K912">
        <v>19.579999999999998</v>
      </c>
      <c r="L912" s="6">
        <f>('Pizza Sales Calculations'!$J912-'Pizza Sales Calculations'!$C912)*24*60</f>
        <v>2.9833333287388086</v>
      </c>
      <c r="M912">
        <f>COUNTA('Pizza Sales Calculations'!$D912:$F912)</f>
        <v>2</v>
      </c>
      <c r="R912" s="9">
        <f>IF('Pizza Sales Calculations'!$G912=TRUE, Parameters!$B$17*'Pizza Sales Calculations'!$L912*2, 0)</f>
        <v>0</v>
      </c>
      <c r="T912" s="6"/>
      <c r="U912" s="9"/>
    </row>
    <row r="913" spans="1:21" x14ac:dyDescent="0.2">
      <c r="A913">
        <v>912</v>
      </c>
      <c r="B913" s="1">
        <v>42379.507395833331</v>
      </c>
      <c r="C913" s="1">
        <v>42379.517800925925</v>
      </c>
      <c r="D913" t="s">
        <v>1</v>
      </c>
      <c r="E913" t="s">
        <v>2</v>
      </c>
      <c r="G913" t="b">
        <v>0</v>
      </c>
      <c r="H913">
        <v>70804</v>
      </c>
      <c r="I913" s="6">
        <v>0</v>
      </c>
      <c r="J913" s="1">
        <v>42379.519872685189</v>
      </c>
      <c r="K913">
        <v>19.579999999999998</v>
      </c>
      <c r="L913" s="6">
        <f>('Pizza Sales Calculations'!$J913-'Pizza Sales Calculations'!$C913)*24*60</f>
        <v>2.9833333392161876</v>
      </c>
      <c r="M913">
        <f>COUNTA('Pizza Sales Calculations'!$D913:$F913)</f>
        <v>2</v>
      </c>
      <c r="R913" s="9">
        <f>IF('Pizza Sales Calculations'!$G913=TRUE, Parameters!$B$17*'Pizza Sales Calculations'!$L913*2, 0)</f>
        <v>0</v>
      </c>
      <c r="T913" s="6"/>
      <c r="U913" s="9"/>
    </row>
    <row r="914" spans="1:21" x14ac:dyDescent="0.2">
      <c r="A914">
        <v>913</v>
      </c>
      <c r="B914" s="1">
        <v>42379.481458333335</v>
      </c>
      <c r="C914" s="1">
        <v>42379.491875</v>
      </c>
      <c r="D914" t="s">
        <v>35</v>
      </c>
      <c r="G914" t="b">
        <v>0</v>
      </c>
      <c r="H914">
        <v>70804</v>
      </c>
      <c r="I914" s="6">
        <v>0</v>
      </c>
      <c r="J914" s="1">
        <v>42379.493958333333</v>
      </c>
      <c r="K914">
        <v>15.35</v>
      </c>
      <c r="L914" s="6">
        <f>('Pizza Sales Calculations'!$J914-'Pizza Sales Calculations'!$C914)*24*60</f>
        <v>2.9999999993015081</v>
      </c>
      <c r="M914">
        <f>COUNTA('Pizza Sales Calculations'!$D914:$F914)</f>
        <v>1</v>
      </c>
      <c r="R914" s="9">
        <f>IF('Pizza Sales Calculations'!$G914=TRUE, Parameters!$B$17*'Pizza Sales Calculations'!$L914*2, 0)</f>
        <v>0</v>
      </c>
      <c r="T914" s="6"/>
      <c r="U914" s="9"/>
    </row>
    <row r="915" spans="1:21" x14ac:dyDescent="0.2">
      <c r="A915">
        <v>914</v>
      </c>
      <c r="B915" s="1">
        <v>42379.510949074072</v>
      </c>
      <c r="C915" s="1">
        <v>42379.521365740744</v>
      </c>
      <c r="D915" t="s">
        <v>1</v>
      </c>
      <c r="G915" t="b">
        <v>0</v>
      </c>
      <c r="H915">
        <v>70803</v>
      </c>
      <c r="I915" s="6">
        <v>0</v>
      </c>
      <c r="J915" s="1">
        <v>42379.523449074077</v>
      </c>
      <c r="K915">
        <v>7.99</v>
      </c>
      <c r="L915" s="6">
        <f>('Pizza Sales Calculations'!$J915-'Pizza Sales Calculations'!$C915)*24*60</f>
        <v>2.9999999993015081</v>
      </c>
      <c r="M915">
        <f>COUNTA('Pizza Sales Calculations'!$D915:$F915)</f>
        <v>1</v>
      </c>
      <c r="R915" s="9">
        <f>IF('Pizza Sales Calculations'!$G915=TRUE, Parameters!$B$17*'Pizza Sales Calculations'!$L915*2, 0)</f>
        <v>0</v>
      </c>
      <c r="T915" s="6"/>
      <c r="U915" s="9"/>
    </row>
    <row r="916" spans="1:21" x14ac:dyDescent="0.2">
      <c r="A916">
        <v>915</v>
      </c>
      <c r="B916" s="1">
        <v>42379.434282407405</v>
      </c>
      <c r="C916" s="1">
        <v>42379.444675925923</v>
      </c>
      <c r="D916" t="s">
        <v>1</v>
      </c>
      <c r="E916" t="s">
        <v>35</v>
      </c>
      <c r="G916" t="b">
        <v>0</v>
      </c>
      <c r="H916">
        <v>70807</v>
      </c>
      <c r="I916" s="6">
        <v>0</v>
      </c>
      <c r="J916" s="1">
        <v>42379.446770833332</v>
      </c>
      <c r="K916">
        <v>23.34</v>
      </c>
      <c r="L916" s="6">
        <f>('Pizza Sales Calculations'!$J916-'Pizza Sales Calculations'!$C916)*24*60</f>
        <v>3.0166666698642075</v>
      </c>
      <c r="M916">
        <f>COUNTA('Pizza Sales Calculations'!$D916:$F916)</f>
        <v>2</v>
      </c>
      <c r="R916" s="9">
        <f>IF('Pizza Sales Calculations'!$G916=TRUE, Parameters!$B$17*'Pizza Sales Calculations'!$L916*2, 0)</f>
        <v>0</v>
      </c>
      <c r="T916" s="6"/>
      <c r="U916" s="9"/>
    </row>
    <row r="917" spans="1:21" x14ac:dyDescent="0.2">
      <c r="A917">
        <v>916</v>
      </c>
      <c r="B917" s="1">
        <v>42379.509560185186</v>
      </c>
      <c r="C917" s="1">
        <v>42379.519953703704</v>
      </c>
      <c r="D917" t="s">
        <v>2</v>
      </c>
      <c r="G917" t="b">
        <v>1</v>
      </c>
      <c r="H917">
        <v>70803</v>
      </c>
      <c r="I917" s="6">
        <v>2.33662399940083</v>
      </c>
      <c r="J917" s="1">
        <v>42379.528055555558</v>
      </c>
      <c r="K917">
        <v>11.59</v>
      </c>
      <c r="L917" s="6">
        <f>('Pizza Sales Calculations'!$J917-'Pizza Sales Calculations'!$C917)*24*60</f>
        <v>11.666666669771075</v>
      </c>
      <c r="M917">
        <f>COUNTA('Pizza Sales Calculations'!$D917:$F917)</f>
        <v>1</v>
      </c>
      <c r="R917" s="9">
        <f>IF('Pizza Sales Calculations'!$G917=TRUE, Parameters!$B$17*'Pizza Sales Calculations'!$L917*2, 0)</f>
        <v>3.305555556435138</v>
      </c>
      <c r="T917" s="6"/>
      <c r="U917" s="9"/>
    </row>
    <row r="918" spans="1:21" x14ac:dyDescent="0.2">
      <c r="A918">
        <v>917</v>
      </c>
      <c r="B918" s="1">
        <v>42379.525983796295</v>
      </c>
      <c r="C918" s="1">
        <v>42379.53638888889</v>
      </c>
      <c r="D918" t="s">
        <v>35</v>
      </c>
      <c r="G918" t="b">
        <v>1</v>
      </c>
      <c r="H918">
        <v>70805</v>
      </c>
      <c r="I918" s="6">
        <v>4.48417859515492</v>
      </c>
      <c r="J918" s="1">
        <v>42379.55195601852</v>
      </c>
      <c r="K918">
        <v>15.35</v>
      </c>
      <c r="L918" s="6">
        <f>('Pizza Sales Calculations'!$J918-'Pizza Sales Calculations'!$C918)*24*60</f>
        <v>22.416666668141261</v>
      </c>
      <c r="M918">
        <f>COUNTA('Pizza Sales Calculations'!$D918:$F918)</f>
        <v>1</v>
      </c>
      <c r="R918" s="9">
        <f>IF('Pizza Sales Calculations'!$G918=TRUE, Parameters!$B$17*'Pizza Sales Calculations'!$L918*2, 0)</f>
        <v>6.3513888893066905</v>
      </c>
      <c r="T918" s="6"/>
      <c r="U918" s="9"/>
    </row>
    <row r="919" spans="1:21" x14ac:dyDescent="0.2">
      <c r="A919">
        <v>918</v>
      </c>
      <c r="B919" s="1">
        <v>42379.504606481481</v>
      </c>
      <c r="C919" s="1">
        <v>42379.514988425923</v>
      </c>
      <c r="D919" t="s">
        <v>1</v>
      </c>
      <c r="E919" t="s">
        <v>35</v>
      </c>
      <c r="G919" t="b">
        <v>1</v>
      </c>
      <c r="H919">
        <v>70805</v>
      </c>
      <c r="I919" s="6">
        <v>3.54731064851627</v>
      </c>
      <c r="J919" s="1">
        <v>42379.527303240742</v>
      </c>
      <c r="K919">
        <v>23.34</v>
      </c>
      <c r="L919" s="6">
        <f>('Pizza Sales Calculations'!$J919-'Pizza Sales Calculations'!$C919)*24*60</f>
        <v>17.73333334014751</v>
      </c>
      <c r="M919">
        <f>COUNTA('Pizza Sales Calculations'!$D919:$F919)</f>
        <v>2</v>
      </c>
      <c r="R919" s="9">
        <f>IF('Pizza Sales Calculations'!$G919=TRUE, Parameters!$B$17*'Pizza Sales Calculations'!$L919*2, 0)</f>
        <v>5.0244444463751279</v>
      </c>
      <c r="T919" s="6"/>
      <c r="U919" s="9"/>
    </row>
    <row r="920" spans="1:21" x14ac:dyDescent="0.2">
      <c r="A920">
        <v>919</v>
      </c>
      <c r="B920" s="1">
        <v>42379.475023148145</v>
      </c>
      <c r="C920" s="1">
        <v>42379.485439814816</v>
      </c>
      <c r="D920" t="s">
        <v>1</v>
      </c>
      <c r="E920" t="s">
        <v>2</v>
      </c>
      <c r="G920" t="b">
        <v>1</v>
      </c>
      <c r="H920">
        <v>70804</v>
      </c>
      <c r="I920" s="6">
        <v>5.1782596108877801</v>
      </c>
      <c r="J920" s="1">
        <v>42379.50341435185</v>
      </c>
      <c r="K920">
        <v>19.579999999999998</v>
      </c>
      <c r="L920" s="6">
        <f>('Pizza Sales Calculations'!$J920-'Pizza Sales Calculations'!$C920)*24*60</f>
        <v>25.883333327947184</v>
      </c>
      <c r="M920">
        <f>COUNTA('Pizza Sales Calculations'!$D920:$F920)</f>
        <v>2</v>
      </c>
      <c r="R920" s="9">
        <f>IF('Pizza Sales Calculations'!$G920=TRUE, Parameters!$B$17*'Pizza Sales Calculations'!$L920*2, 0)</f>
        <v>7.3336111095850356</v>
      </c>
      <c r="T920" s="6"/>
      <c r="U920" s="9"/>
    </row>
    <row r="921" spans="1:21" x14ac:dyDescent="0.2">
      <c r="A921">
        <v>920</v>
      </c>
      <c r="B921" s="1">
        <v>42379.480046296296</v>
      </c>
      <c r="C921" s="1">
        <v>42379.490439814814</v>
      </c>
      <c r="D921" t="s">
        <v>1</v>
      </c>
      <c r="G921" t="b">
        <v>0</v>
      </c>
      <c r="H921">
        <v>70803</v>
      </c>
      <c r="I921" s="6">
        <v>0</v>
      </c>
      <c r="J921" s="1">
        <v>42379.492523148147</v>
      </c>
      <c r="K921">
        <v>7.99</v>
      </c>
      <c r="L921" s="6">
        <f>('Pizza Sales Calculations'!$J921-'Pizza Sales Calculations'!$C921)*24*60</f>
        <v>2.9999999993015081</v>
      </c>
      <c r="M921">
        <f>COUNTA('Pizza Sales Calculations'!$D921:$F921)</f>
        <v>1</v>
      </c>
      <c r="R921" s="9">
        <f>IF('Pizza Sales Calculations'!$G921=TRUE, Parameters!$B$17*'Pizza Sales Calculations'!$L921*2, 0)</f>
        <v>0</v>
      </c>
      <c r="T921" s="6"/>
      <c r="U921" s="9"/>
    </row>
    <row r="922" spans="1:21" x14ac:dyDescent="0.2">
      <c r="A922">
        <v>921</v>
      </c>
      <c r="B922" s="1">
        <v>42379.617974537039</v>
      </c>
      <c r="C922" s="1">
        <v>42379.628391203703</v>
      </c>
      <c r="D922" t="s">
        <v>2</v>
      </c>
      <c r="G922" t="b">
        <v>1</v>
      </c>
      <c r="H922">
        <v>70807</v>
      </c>
      <c r="I922" s="6">
        <v>2.9859387890778999</v>
      </c>
      <c r="J922" s="1">
        <v>42379.638749999998</v>
      </c>
      <c r="K922">
        <v>11.59</v>
      </c>
      <c r="L922" s="6">
        <f>('Pizza Sales Calculations'!$J922-'Pizza Sales Calculations'!$C922)*24*60</f>
        <v>14.916666664648801</v>
      </c>
      <c r="M922">
        <f>COUNTA('Pizza Sales Calculations'!$D922:$F922)</f>
        <v>1</v>
      </c>
      <c r="R922" s="9">
        <f>IF('Pizza Sales Calculations'!$G922=TRUE, Parameters!$B$17*'Pizza Sales Calculations'!$L922*2, 0)</f>
        <v>4.2263888883171603</v>
      </c>
      <c r="T922" s="6"/>
      <c r="U922" s="9"/>
    </row>
    <row r="923" spans="1:21" x14ac:dyDescent="0.2">
      <c r="A923">
        <v>922</v>
      </c>
      <c r="B923" s="1">
        <v>42379.482476851852</v>
      </c>
      <c r="C923" s="1">
        <v>42379.492893518516</v>
      </c>
      <c r="D923" t="s">
        <v>1</v>
      </c>
      <c r="E923" t="s">
        <v>2</v>
      </c>
      <c r="G923" t="b">
        <v>1</v>
      </c>
      <c r="H923">
        <v>70806</v>
      </c>
      <c r="I923" s="6">
        <v>3.4575552337618101</v>
      </c>
      <c r="J923" s="1">
        <v>42379.504895833335</v>
      </c>
      <c r="K923">
        <v>19.579999999999998</v>
      </c>
      <c r="L923" s="6">
        <f>('Pizza Sales Calculations'!$J923-'Pizza Sales Calculations'!$C923)*24*60</f>
        <v>17.283333339728415</v>
      </c>
      <c r="M923">
        <f>COUNTA('Pizza Sales Calculations'!$D923:$F923)</f>
        <v>2</v>
      </c>
      <c r="R923" s="9">
        <f>IF('Pizza Sales Calculations'!$G923=TRUE, Parameters!$B$17*'Pizza Sales Calculations'!$L923*2, 0)</f>
        <v>4.8969444462563843</v>
      </c>
      <c r="T923" s="6"/>
      <c r="U923" s="9"/>
    </row>
    <row r="924" spans="1:21" x14ac:dyDescent="0.2">
      <c r="A924">
        <v>923</v>
      </c>
      <c r="B924" s="1">
        <v>42379.510150462964</v>
      </c>
      <c r="C924" s="1">
        <v>42379.520543981482</v>
      </c>
      <c r="D924" t="s">
        <v>2</v>
      </c>
      <c r="G924" t="b">
        <v>1</v>
      </c>
      <c r="H924">
        <v>70805</v>
      </c>
      <c r="I924" s="6">
        <v>2.7022890649689</v>
      </c>
      <c r="J924" s="1">
        <v>42379.529918981483</v>
      </c>
      <c r="K924">
        <v>11.59</v>
      </c>
      <c r="L924" s="6">
        <f>('Pizza Sales Calculations'!$J924-'Pizza Sales Calculations'!$C924)*24*60</f>
        <v>13.500000002095476</v>
      </c>
      <c r="M924">
        <f>COUNTA('Pizza Sales Calculations'!$D924:$F924)</f>
        <v>1</v>
      </c>
      <c r="R924" s="9">
        <f>IF('Pizza Sales Calculations'!$G924=TRUE, Parameters!$B$17*'Pizza Sales Calculations'!$L924*2, 0)</f>
        <v>3.8250000005937181</v>
      </c>
      <c r="T924" s="6"/>
      <c r="U924" s="9"/>
    </row>
    <row r="925" spans="1:21" x14ac:dyDescent="0.2">
      <c r="A925">
        <v>924</v>
      </c>
      <c r="B925" s="1">
        <v>42379.520729166667</v>
      </c>
      <c r="C925" s="1">
        <v>42379.531134259261</v>
      </c>
      <c r="D925" t="s">
        <v>2</v>
      </c>
      <c r="G925" t="b">
        <v>0</v>
      </c>
      <c r="H925">
        <v>70805</v>
      </c>
      <c r="I925" s="6">
        <v>0</v>
      </c>
      <c r="J925" s="1">
        <v>42379.533217592594</v>
      </c>
      <c r="K925">
        <v>11.59</v>
      </c>
      <c r="L925" s="6">
        <f>('Pizza Sales Calculations'!$J925-'Pizza Sales Calculations'!$C925)*24*60</f>
        <v>2.9999999993015081</v>
      </c>
      <c r="M925">
        <f>COUNTA('Pizza Sales Calculations'!$D925:$F925)</f>
        <v>1</v>
      </c>
      <c r="R925" s="9">
        <f>IF('Pizza Sales Calculations'!$G925=TRUE, Parameters!$B$17*'Pizza Sales Calculations'!$L925*2, 0)</f>
        <v>0</v>
      </c>
      <c r="T925" s="6"/>
      <c r="U925" s="9"/>
    </row>
    <row r="926" spans="1:21" x14ac:dyDescent="0.2">
      <c r="A926">
        <v>925</v>
      </c>
      <c r="B926" s="1">
        <v>42379.473043981481</v>
      </c>
      <c r="C926" s="1">
        <v>42379.483460648145</v>
      </c>
      <c r="D926" t="s">
        <v>2</v>
      </c>
      <c r="G926" t="b">
        <v>0</v>
      </c>
      <c r="H926">
        <v>70804</v>
      </c>
      <c r="I926" s="6">
        <v>0</v>
      </c>
      <c r="J926" s="1">
        <v>42379.485555555555</v>
      </c>
      <c r="K926">
        <v>11.59</v>
      </c>
      <c r="L926" s="6">
        <f>('Pizza Sales Calculations'!$J926-'Pizza Sales Calculations'!$C926)*24*60</f>
        <v>3.0166666698642075</v>
      </c>
      <c r="M926">
        <f>COUNTA('Pizza Sales Calculations'!$D926:$F926)</f>
        <v>1</v>
      </c>
      <c r="R926" s="9">
        <f>IF('Pizza Sales Calculations'!$G926=TRUE, Parameters!$B$17*'Pizza Sales Calculations'!$L926*2, 0)</f>
        <v>0</v>
      </c>
      <c r="T926" s="6"/>
      <c r="U926" s="9"/>
    </row>
    <row r="927" spans="1:21" x14ac:dyDescent="0.2">
      <c r="A927">
        <v>926</v>
      </c>
      <c r="B927" s="1">
        <v>42379.485138888886</v>
      </c>
      <c r="C927" s="1">
        <v>42379.495532407411</v>
      </c>
      <c r="D927" t="s">
        <v>2</v>
      </c>
      <c r="G927" t="b">
        <v>1</v>
      </c>
      <c r="H927">
        <v>70805</v>
      </c>
      <c r="I927" s="6">
        <v>3.97726183589204</v>
      </c>
      <c r="J927" s="1">
        <v>42379.509340277778</v>
      </c>
      <c r="K927">
        <v>11.59</v>
      </c>
      <c r="L927" s="6">
        <f>('Pizza Sales Calculations'!$J927-'Pizza Sales Calculations'!$C927)*24*60</f>
        <v>19.883333329344168</v>
      </c>
      <c r="M927">
        <f>COUNTA('Pizza Sales Calculations'!$D927:$F927)</f>
        <v>1</v>
      </c>
      <c r="R927" s="9">
        <f>IF('Pizza Sales Calculations'!$G927=TRUE, Parameters!$B$17*'Pizza Sales Calculations'!$L927*2, 0)</f>
        <v>5.6336111099808477</v>
      </c>
      <c r="T927" s="6"/>
      <c r="U927" s="9"/>
    </row>
    <row r="928" spans="1:21" x14ac:dyDescent="0.2">
      <c r="A928">
        <v>927</v>
      </c>
      <c r="B928" s="1">
        <v>42379.490277777775</v>
      </c>
      <c r="C928" s="1">
        <v>42379.50068287037</v>
      </c>
      <c r="D928" t="s">
        <v>1</v>
      </c>
      <c r="E928" t="s">
        <v>2</v>
      </c>
      <c r="G928" t="b">
        <v>1</v>
      </c>
      <c r="H928">
        <v>70806</v>
      </c>
      <c r="I928" s="6">
        <v>1.84923975819326</v>
      </c>
      <c r="J928" s="1">
        <v>42379.507094907407</v>
      </c>
      <c r="K928">
        <v>19.579999999999998</v>
      </c>
      <c r="L928" s="6">
        <f>('Pizza Sales Calculations'!$J928-'Pizza Sales Calculations'!$C928)*24*60</f>
        <v>9.2333333333954215</v>
      </c>
      <c r="M928">
        <f>COUNTA('Pizza Sales Calculations'!$D928:$F928)</f>
        <v>2</v>
      </c>
      <c r="R928" s="9">
        <f>IF('Pizza Sales Calculations'!$G928=TRUE, Parameters!$B$17*'Pizza Sales Calculations'!$L928*2, 0)</f>
        <v>2.6161111111287028</v>
      </c>
      <c r="T928" s="6"/>
      <c r="U928" s="9"/>
    </row>
    <row r="929" spans="1:21" x14ac:dyDescent="0.2">
      <c r="A929">
        <v>928</v>
      </c>
      <c r="B929" s="1">
        <v>42379.475405092591</v>
      </c>
      <c r="C929" s="1">
        <v>42379.485821759263</v>
      </c>
      <c r="D929" t="s">
        <v>2</v>
      </c>
      <c r="G929" t="b">
        <v>1</v>
      </c>
      <c r="H929">
        <v>70805</v>
      </c>
      <c r="I929" s="6">
        <v>4.7506546503479896</v>
      </c>
      <c r="J929" s="1">
        <v>42379.502314814818</v>
      </c>
      <c r="K929">
        <v>11.59</v>
      </c>
      <c r="L929" s="6">
        <f>('Pizza Sales Calculations'!$J929-'Pizza Sales Calculations'!$C929)*24*60</f>
        <v>23.749999998835847</v>
      </c>
      <c r="M929">
        <f>COUNTA('Pizza Sales Calculations'!$D929:$F929)</f>
        <v>1</v>
      </c>
      <c r="R929" s="9">
        <f>IF('Pizza Sales Calculations'!$G929=TRUE, Parameters!$B$17*'Pizza Sales Calculations'!$L929*2, 0)</f>
        <v>6.7291666663368233</v>
      </c>
      <c r="T929" s="6"/>
      <c r="U929" s="9"/>
    </row>
    <row r="930" spans="1:21" x14ac:dyDescent="0.2">
      <c r="A930">
        <v>929</v>
      </c>
      <c r="B930" s="1">
        <v>42379.572152777779</v>
      </c>
      <c r="C930" s="1">
        <v>42379.58258101852</v>
      </c>
      <c r="D930" t="s">
        <v>35</v>
      </c>
      <c r="G930" t="b">
        <v>1</v>
      </c>
      <c r="H930">
        <v>70806</v>
      </c>
      <c r="I930" s="6">
        <v>3.1023243278382</v>
      </c>
      <c r="J930" s="1">
        <v>42379.593344907407</v>
      </c>
      <c r="K930">
        <v>15.35</v>
      </c>
      <c r="L930" s="6">
        <f>('Pizza Sales Calculations'!$J930-'Pizza Sales Calculations'!$C930)*24*60</f>
        <v>15.499999998137355</v>
      </c>
      <c r="M930">
        <f>COUNTA('Pizza Sales Calculations'!$D930:$F930)</f>
        <v>1</v>
      </c>
      <c r="R930" s="9">
        <f>IF('Pizza Sales Calculations'!$G930=TRUE, Parameters!$B$17*'Pizza Sales Calculations'!$L930*2, 0)</f>
        <v>4.3916666661389172</v>
      </c>
      <c r="T930" s="6"/>
      <c r="U930" s="9"/>
    </row>
    <row r="931" spans="1:21" x14ac:dyDescent="0.2">
      <c r="A931">
        <v>930</v>
      </c>
      <c r="B931" s="1">
        <v>42379.535543981481</v>
      </c>
      <c r="C931" s="1">
        <v>42379.545949074076</v>
      </c>
      <c r="D931" t="s">
        <v>2</v>
      </c>
      <c r="G931" t="b">
        <v>0</v>
      </c>
      <c r="H931">
        <v>70806</v>
      </c>
      <c r="I931" s="6">
        <v>0</v>
      </c>
      <c r="J931" s="1">
        <v>42379.548032407409</v>
      </c>
      <c r="K931">
        <v>11.59</v>
      </c>
      <c r="L931" s="6">
        <f>('Pizza Sales Calculations'!$J931-'Pizza Sales Calculations'!$C931)*24*60</f>
        <v>2.9999999993015081</v>
      </c>
      <c r="M931">
        <f>COUNTA('Pizza Sales Calculations'!$D931:$F931)</f>
        <v>1</v>
      </c>
      <c r="R931" s="9">
        <f>IF('Pizza Sales Calculations'!$G931=TRUE, Parameters!$B$17*'Pizza Sales Calculations'!$L931*2, 0)</f>
        <v>0</v>
      </c>
      <c r="T931" s="6"/>
      <c r="U931" s="9"/>
    </row>
    <row r="932" spans="1:21" x14ac:dyDescent="0.2">
      <c r="A932">
        <v>931</v>
      </c>
      <c r="B932" s="1">
        <v>42379.527430555558</v>
      </c>
      <c r="C932" s="1">
        <v>42379.537824074076</v>
      </c>
      <c r="D932" t="s">
        <v>2</v>
      </c>
      <c r="G932" t="b">
        <v>1</v>
      </c>
      <c r="H932">
        <v>70805</v>
      </c>
      <c r="I932" s="6">
        <v>5.1775428339325202</v>
      </c>
      <c r="J932" s="1">
        <v>42379.555798611109</v>
      </c>
      <c r="K932">
        <v>11.59</v>
      </c>
      <c r="L932" s="6">
        <f>('Pizza Sales Calculations'!$J932-'Pizza Sales Calculations'!$C932)*24*60</f>
        <v>25.883333327947184</v>
      </c>
      <c r="M932">
        <f>COUNTA('Pizza Sales Calculations'!$D932:$F932)</f>
        <v>1</v>
      </c>
      <c r="R932" s="9">
        <f>IF('Pizza Sales Calculations'!$G932=TRUE, Parameters!$B$17*'Pizza Sales Calculations'!$L932*2, 0)</f>
        <v>7.3336111095850356</v>
      </c>
      <c r="T932" s="6"/>
      <c r="U932" s="9"/>
    </row>
    <row r="933" spans="1:21" x14ac:dyDescent="0.2">
      <c r="A933">
        <v>932</v>
      </c>
      <c r="B933" s="1">
        <v>42379.532766203702</v>
      </c>
      <c r="C933" s="1">
        <v>42379.543171296296</v>
      </c>
      <c r="D933" t="s">
        <v>1</v>
      </c>
      <c r="G933" t="b">
        <v>1</v>
      </c>
      <c r="H933">
        <v>70803</v>
      </c>
      <c r="I933" s="6">
        <v>3.77398552803729</v>
      </c>
      <c r="J933" s="1">
        <v>42379.556273148148</v>
      </c>
      <c r="K933">
        <v>7.99</v>
      </c>
      <c r="L933" s="6">
        <f>('Pizza Sales Calculations'!$J933-'Pizza Sales Calculations'!$C933)*24*60</f>
        <v>18.866666665999219</v>
      </c>
      <c r="M933">
        <f>COUNTA('Pizza Sales Calculations'!$D933:$F933)</f>
        <v>1</v>
      </c>
      <c r="R933" s="9">
        <f>IF('Pizza Sales Calculations'!$G933=TRUE, Parameters!$B$17*'Pizza Sales Calculations'!$L933*2, 0)</f>
        <v>5.3455555553664453</v>
      </c>
      <c r="T933" s="6"/>
      <c r="U933" s="9"/>
    </row>
    <row r="934" spans="1:21" x14ac:dyDescent="0.2">
      <c r="A934">
        <v>933</v>
      </c>
      <c r="B934" s="1">
        <v>42379.489837962959</v>
      </c>
      <c r="C934" s="1">
        <v>42379.500231481485</v>
      </c>
      <c r="D934" t="s">
        <v>1</v>
      </c>
      <c r="G934" t="b">
        <v>0</v>
      </c>
      <c r="H934">
        <v>70806</v>
      </c>
      <c r="I934" s="6">
        <v>0</v>
      </c>
      <c r="J934" s="1">
        <v>42379.502314814818</v>
      </c>
      <c r="K934">
        <v>7.99</v>
      </c>
      <c r="L934" s="6">
        <f>('Pizza Sales Calculations'!$J934-'Pizza Sales Calculations'!$C934)*24*60</f>
        <v>2.9999999993015081</v>
      </c>
      <c r="M934">
        <f>COUNTA('Pizza Sales Calculations'!$D934:$F934)</f>
        <v>1</v>
      </c>
      <c r="R934" s="9">
        <f>IF('Pizza Sales Calculations'!$G934=TRUE, Parameters!$B$17*'Pizza Sales Calculations'!$L934*2, 0)</f>
        <v>0</v>
      </c>
      <c r="T934" s="6"/>
      <c r="U934" s="9"/>
    </row>
    <row r="935" spans="1:21" x14ac:dyDescent="0.2">
      <c r="A935">
        <v>934</v>
      </c>
      <c r="B935" s="1">
        <v>42379.549895833334</v>
      </c>
      <c r="C935" s="1">
        <v>42379.560312499998</v>
      </c>
      <c r="D935" t="s">
        <v>35</v>
      </c>
      <c r="G935" t="b">
        <v>0</v>
      </c>
      <c r="H935">
        <v>70806</v>
      </c>
      <c r="I935" s="6">
        <v>0</v>
      </c>
      <c r="J935" s="1">
        <v>42379.562407407408</v>
      </c>
      <c r="K935">
        <v>15.35</v>
      </c>
      <c r="L935" s="6">
        <f>('Pizza Sales Calculations'!$J935-'Pizza Sales Calculations'!$C935)*24*60</f>
        <v>3.0166666698642075</v>
      </c>
      <c r="M935">
        <f>COUNTA('Pizza Sales Calculations'!$D935:$F935)</f>
        <v>1</v>
      </c>
      <c r="R935" s="9">
        <f>IF('Pizza Sales Calculations'!$G935=TRUE, Parameters!$B$17*'Pizza Sales Calculations'!$L935*2, 0)</f>
        <v>0</v>
      </c>
      <c r="T935" s="6"/>
      <c r="U935" s="9"/>
    </row>
    <row r="936" spans="1:21" x14ac:dyDescent="0.2">
      <c r="A936">
        <v>935</v>
      </c>
      <c r="B936" s="1">
        <v>42379.582905092589</v>
      </c>
      <c r="C936" s="1">
        <v>42379.593298611115</v>
      </c>
      <c r="D936" t="s">
        <v>35</v>
      </c>
      <c r="G936" t="b">
        <v>0</v>
      </c>
      <c r="H936">
        <v>70806</v>
      </c>
      <c r="I936" s="6">
        <v>0</v>
      </c>
      <c r="J936" s="1">
        <v>42379.595370370371</v>
      </c>
      <c r="K936">
        <v>15.35</v>
      </c>
      <c r="L936" s="6">
        <f>('Pizza Sales Calculations'!$J936-'Pizza Sales Calculations'!$C936)*24*60</f>
        <v>2.9833333287388086</v>
      </c>
      <c r="M936">
        <f>COUNTA('Pizza Sales Calculations'!$D936:$F936)</f>
        <v>1</v>
      </c>
      <c r="R936" s="9">
        <f>IF('Pizza Sales Calculations'!$G936=TRUE, Parameters!$B$17*'Pizza Sales Calculations'!$L936*2, 0)</f>
        <v>0</v>
      </c>
      <c r="T936" s="6"/>
      <c r="U936" s="9"/>
    </row>
    <row r="937" spans="1:21" x14ac:dyDescent="0.2">
      <c r="A937">
        <v>936</v>
      </c>
      <c r="B937" s="1">
        <v>42379.469722222224</v>
      </c>
      <c r="C937" s="1">
        <v>42379.480127314811</v>
      </c>
      <c r="D937" t="s">
        <v>1</v>
      </c>
      <c r="E937" t="s">
        <v>2</v>
      </c>
      <c r="G937" t="b">
        <v>1</v>
      </c>
      <c r="H937">
        <v>70806</v>
      </c>
      <c r="I937" s="6">
        <v>0.96980497349091199</v>
      </c>
      <c r="J937" s="1">
        <v>42379.483483796299</v>
      </c>
      <c r="K937">
        <v>19.579999999999998</v>
      </c>
      <c r="L937" s="6">
        <f>('Pizza Sales Calculations'!$J937-'Pizza Sales Calculations'!$C937)*24*60</f>
        <v>4.8333333421032876</v>
      </c>
      <c r="M937">
        <f>COUNTA('Pizza Sales Calculations'!$D937:$F937)</f>
        <v>2</v>
      </c>
      <c r="R937" s="9">
        <f>IF('Pizza Sales Calculations'!$G937=TRUE, Parameters!$B$17*'Pizza Sales Calculations'!$L937*2, 0)</f>
        <v>1.3694444469292648</v>
      </c>
      <c r="T937" s="6"/>
      <c r="U937" s="9"/>
    </row>
    <row r="938" spans="1:21" x14ac:dyDescent="0.2">
      <c r="A938">
        <v>937</v>
      </c>
      <c r="B938" s="1">
        <v>42379.543900462966</v>
      </c>
      <c r="C938" s="1">
        <v>42379.55431712963</v>
      </c>
      <c r="D938" t="s">
        <v>1</v>
      </c>
      <c r="E938" t="s">
        <v>2</v>
      </c>
      <c r="G938" t="b">
        <v>0</v>
      </c>
      <c r="H938">
        <v>70805</v>
      </c>
      <c r="I938" s="6">
        <v>0</v>
      </c>
      <c r="J938" s="1">
        <v>42379.55641203704</v>
      </c>
      <c r="K938">
        <v>19.579999999999998</v>
      </c>
      <c r="L938" s="6">
        <f>('Pizza Sales Calculations'!$J938-'Pizza Sales Calculations'!$C938)*24*60</f>
        <v>3.0166666698642075</v>
      </c>
      <c r="M938">
        <f>COUNTA('Pizza Sales Calculations'!$D938:$F938)</f>
        <v>2</v>
      </c>
      <c r="R938" s="9">
        <f>IF('Pizza Sales Calculations'!$G938=TRUE, Parameters!$B$17*'Pizza Sales Calculations'!$L938*2, 0)</f>
        <v>0</v>
      </c>
      <c r="T938" s="6"/>
      <c r="U938" s="9"/>
    </row>
    <row r="939" spans="1:21" x14ac:dyDescent="0.2">
      <c r="A939">
        <v>938</v>
      </c>
      <c r="B939" s="1">
        <v>42379.523263888892</v>
      </c>
      <c r="C939" s="1">
        <v>42379.533692129633</v>
      </c>
      <c r="D939" t="s">
        <v>1</v>
      </c>
      <c r="E939" t="s">
        <v>2</v>
      </c>
      <c r="G939" t="b">
        <v>1</v>
      </c>
      <c r="H939">
        <v>70806</v>
      </c>
      <c r="I939" s="6">
        <v>3.77616396846078</v>
      </c>
      <c r="J939" s="1">
        <v>42379.546793981484</v>
      </c>
      <c r="K939">
        <v>19.579999999999998</v>
      </c>
      <c r="L939" s="6">
        <f>('Pizza Sales Calculations'!$J939-'Pizza Sales Calculations'!$C939)*24*60</f>
        <v>18.866666665999219</v>
      </c>
      <c r="M939">
        <f>COUNTA('Pizza Sales Calculations'!$D939:$F939)</f>
        <v>2</v>
      </c>
      <c r="R939" s="9">
        <f>IF('Pizza Sales Calculations'!$G939=TRUE, Parameters!$B$17*'Pizza Sales Calculations'!$L939*2, 0)</f>
        <v>5.3455555553664453</v>
      </c>
      <c r="T939" s="6"/>
      <c r="U939" s="9"/>
    </row>
    <row r="940" spans="1:21" x14ac:dyDescent="0.2">
      <c r="A940">
        <v>939</v>
      </c>
      <c r="B940" s="1">
        <v>42379.472893518519</v>
      </c>
      <c r="C940" s="1">
        <v>42379.483298611114</v>
      </c>
      <c r="D940" t="s">
        <v>2</v>
      </c>
      <c r="G940" t="b">
        <v>1</v>
      </c>
      <c r="H940">
        <v>70805</v>
      </c>
      <c r="I940" s="6">
        <v>4.07464166218438</v>
      </c>
      <c r="J940" s="1">
        <v>42379.497442129628</v>
      </c>
      <c r="K940">
        <v>11.59</v>
      </c>
      <c r="L940" s="6">
        <f>('Pizza Sales Calculations'!$J940-'Pizza Sales Calculations'!$C940)*24*60</f>
        <v>20.366666660411283</v>
      </c>
      <c r="M940">
        <f>COUNTA('Pizza Sales Calculations'!$D940:$F940)</f>
        <v>1</v>
      </c>
      <c r="R940" s="9">
        <f>IF('Pizza Sales Calculations'!$G940=TRUE, Parameters!$B$17*'Pizza Sales Calculations'!$L940*2, 0)</f>
        <v>5.770555553783197</v>
      </c>
      <c r="T940" s="6"/>
      <c r="U940" s="9"/>
    </row>
    <row r="941" spans="1:21" x14ac:dyDescent="0.2">
      <c r="A941">
        <v>940</v>
      </c>
      <c r="B941" s="1">
        <v>42379.616886574076</v>
      </c>
      <c r="C941" s="1">
        <v>42379.627291666664</v>
      </c>
      <c r="D941" t="s">
        <v>1</v>
      </c>
      <c r="G941" t="b">
        <v>0</v>
      </c>
      <c r="H941">
        <v>70806</v>
      </c>
      <c r="I941" s="6">
        <v>0</v>
      </c>
      <c r="J941" s="1">
        <v>42379.629340277781</v>
      </c>
      <c r="K941">
        <v>7.99</v>
      </c>
      <c r="L941" s="6">
        <f>('Pizza Sales Calculations'!$J941-'Pizza Sales Calculations'!$C941)*24*60</f>
        <v>2.9500000085681677</v>
      </c>
      <c r="M941">
        <f>COUNTA('Pizza Sales Calculations'!$D941:$F941)</f>
        <v>1</v>
      </c>
      <c r="R941" s="9">
        <f>IF('Pizza Sales Calculations'!$G941=TRUE, Parameters!$B$17*'Pizza Sales Calculations'!$L941*2, 0)</f>
        <v>0</v>
      </c>
      <c r="T941" s="6"/>
      <c r="U941" s="9"/>
    </row>
    <row r="942" spans="1:21" x14ac:dyDescent="0.2">
      <c r="A942">
        <v>941</v>
      </c>
      <c r="B942" s="1">
        <v>42379.464201388888</v>
      </c>
      <c r="C942" s="1">
        <v>42379.474618055552</v>
      </c>
      <c r="D942" t="s">
        <v>1</v>
      </c>
      <c r="E942" t="s">
        <v>2</v>
      </c>
      <c r="G942" t="b">
        <v>0</v>
      </c>
      <c r="H942">
        <v>70808</v>
      </c>
      <c r="I942" s="6">
        <v>0</v>
      </c>
      <c r="J942" s="1">
        <v>42379.476689814815</v>
      </c>
      <c r="K942">
        <v>19.579999999999998</v>
      </c>
      <c r="L942" s="6">
        <f>('Pizza Sales Calculations'!$J942-'Pizza Sales Calculations'!$C942)*24*60</f>
        <v>2.9833333392161876</v>
      </c>
      <c r="M942">
        <f>COUNTA('Pizza Sales Calculations'!$D942:$F942)</f>
        <v>2</v>
      </c>
      <c r="R942" s="9">
        <f>IF('Pizza Sales Calculations'!$G942=TRUE, Parameters!$B$17*'Pizza Sales Calculations'!$L942*2, 0)</f>
        <v>0</v>
      </c>
      <c r="T942" s="6"/>
      <c r="U942" s="9"/>
    </row>
    <row r="943" spans="1:21" x14ac:dyDescent="0.2">
      <c r="A943">
        <v>942</v>
      </c>
      <c r="B943" s="1">
        <v>42379.519687499997</v>
      </c>
      <c r="C943" s="1">
        <v>42379.530092592591</v>
      </c>
      <c r="D943" t="s">
        <v>1</v>
      </c>
      <c r="E943" t="s">
        <v>2</v>
      </c>
      <c r="G943" t="b">
        <v>1</v>
      </c>
      <c r="H943">
        <v>70804</v>
      </c>
      <c r="I943" s="6">
        <v>1.7857933280786999</v>
      </c>
      <c r="J943" s="1">
        <v>42379.53628472222</v>
      </c>
      <c r="K943">
        <v>19.579999999999998</v>
      </c>
      <c r="L943" s="6">
        <f>('Pizza Sales Calculations'!$J943-'Pizza Sales Calculations'!$C943)*24*60</f>
        <v>8.916666666045785</v>
      </c>
      <c r="M943">
        <f>COUNTA('Pizza Sales Calculations'!$D943:$F943)</f>
        <v>2</v>
      </c>
      <c r="R943" s="9">
        <f>IF('Pizza Sales Calculations'!$G943=TRUE, Parameters!$B$17*'Pizza Sales Calculations'!$L943*2, 0)</f>
        <v>2.5263888887129724</v>
      </c>
      <c r="T943" s="6"/>
      <c r="U943" s="9"/>
    </row>
    <row r="944" spans="1:21" x14ac:dyDescent="0.2">
      <c r="A944">
        <v>943</v>
      </c>
      <c r="B944" s="1">
        <v>42379.436261574076</v>
      </c>
      <c r="C944" s="1">
        <v>42379.44667824074</v>
      </c>
      <c r="D944" t="s">
        <v>1</v>
      </c>
      <c r="E944" t="s">
        <v>2</v>
      </c>
      <c r="G944" t="b">
        <v>1</v>
      </c>
      <c r="H944">
        <v>70805</v>
      </c>
      <c r="I944" s="6">
        <v>4.9406293825716396</v>
      </c>
      <c r="J944" s="1">
        <v>42379.463831018518</v>
      </c>
      <c r="K944">
        <v>19.579999999999998</v>
      </c>
      <c r="L944" s="6">
        <f>('Pizza Sales Calculations'!$J944-'Pizza Sales Calculations'!$C944)*24*60</f>
        <v>24.700000000884756</v>
      </c>
      <c r="M944">
        <f>COUNTA('Pizza Sales Calculations'!$D944:$F944)</f>
        <v>2</v>
      </c>
      <c r="R944" s="9">
        <f>IF('Pizza Sales Calculations'!$G944=TRUE, Parameters!$B$17*'Pizza Sales Calculations'!$L944*2, 0)</f>
        <v>6.9983333335840143</v>
      </c>
      <c r="T944" s="6"/>
      <c r="U944" s="9"/>
    </row>
    <row r="945" spans="1:21" x14ac:dyDescent="0.2">
      <c r="A945">
        <v>944</v>
      </c>
      <c r="B945" s="1">
        <v>42379.52002314815</v>
      </c>
      <c r="C945" s="1">
        <v>42379.530428240738</v>
      </c>
      <c r="D945" t="s">
        <v>1</v>
      </c>
      <c r="E945" t="s">
        <v>35</v>
      </c>
      <c r="G945" t="b">
        <v>0</v>
      </c>
      <c r="H945">
        <v>70803</v>
      </c>
      <c r="I945" s="6">
        <v>0</v>
      </c>
      <c r="J945" s="1">
        <v>42379.532511574071</v>
      </c>
      <c r="K945">
        <v>23.34</v>
      </c>
      <c r="L945" s="6">
        <f>('Pizza Sales Calculations'!$J945-'Pizza Sales Calculations'!$C945)*24*60</f>
        <v>2.9999999993015081</v>
      </c>
      <c r="M945">
        <f>COUNTA('Pizza Sales Calculations'!$D945:$F945)</f>
        <v>2</v>
      </c>
      <c r="R945" s="9">
        <f>IF('Pizza Sales Calculations'!$G945=TRUE, Parameters!$B$17*'Pizza Sales Calculations'!$L945*2, 0)</f>
        <v>0</v>
      </c>
      <c r="T945" s="6"/>
      <c r="U945" s="9"/>
    </row>
    <row r="946" spans="1:21" x14ac:dyDescent="0.2">
      <c r="A946">
        <v>945</v>
      </c>
      <c r="B946" s="1">
        <v>42379.591504629629</v>
      </c>
      <c r="C946" s="1">
        <v>42379.601956018516</v>
      </c>
      <c r="D946" t="s">
        <v>1</v>
      </c>
      <c r="G946" t="b">
        <v>1</v>
      </c>
      <c r="H946">
        <v>70804</v>
      </c>
      <c r="I946" s="6">
        <v>4.95042246420119</v>
      </c>
      <c r="J946" s="1">
        <v>42379.619143518517</v>
      </c>
      <c r="K946">
        <v>7.99</v>
      </c>
      <c r="L946" s="6">
        <f>('Pizza Sales Calculations'!$J946-'Pizza Sales Calculations'!$C946)*24*60</f>
        <v>24.750000002095476</v>
      </c>
      <c r="M946">
        <f>COUNTA('Pizza Sales Calculations'!$D946:$F946)</f>
        <v>1</v>
      </c>
      <c r="R946" s="9">
        <f>IF('Pizza Sales Calculations'!$G946=TRUE, Parameters!$B$17*'Pizza Sales Calculations'!$L946*2, 0)</f>
        <v>7.0125000005937181</v>
      </c>
      <c r="T946" s="6"/>
      <c r="U946" s="9"/>
    </row>
    <row r="947" spans="1:21" x14ac:dyDescent="0.2">
      <c r="A947">
        <v>946</v>
      </c>
      <c r="B947" s="1">
        <v>42379.516273148147</v>
      </c>
      <c r="C947" s="1">
        <v>42379.526689814818</v>
      </c>
      <c r="D947" t="s">
        <v>1</v>
      </c>
      <c r="E947" t="s">
        <v>2</v>
      </c>
      <c r="G947" t="b">
        <v>1</v>
      </c>
      <c r="H947">
        <v>70805</v>
      </c>
      <c r="I947" s="6">
        <v>1.8818063061553101</v>
      </c>
      <c r="J947" s="1">
        <v>42379.533217592594</v>
      </c>
      <c r="K947">
        <v>19.579999999999998</v>
      </c>
      <c r="L947" s="6">
        <f>('Pizza Sales Calculations'!$J947-'Pizza Sales Calculations'!$C947)*24*60</f>
        <v>9.3999999971129</v>
      </c>
      <c r="M947">
        <f>COUNTA('Pizza Sales Calculations'!$D947:$F947)</f>
        <v>2</v>
      </c>
      <c r="R947" s="9">
        <f>IF('Pizza Sales Calculations'!$G947=TRUE, Parameters!$B$17*'Pizza Sales Calculations'!$L947*2, 0)</f>
        <v>2.6633333325153217</v>
      </c>
      <c r="T947" s="6"/>
      <c r="U947" s="9"/>
    </row>
    <row r="948" spans="1:21" x14ac:dyDescent="0.2">
      <c r="A948">
        <v>947</v>
      </c>
      <c r="B948" s="1">
        <v>42379.529317129629</v>
      </c>
      <c r="C948" s="1">
        <v>42379.539722222224</v>
      </c>
      <c r="D948" t="s">
        <v>2</v>
      </c>
      <c r="G948" t="b">
        <v>1</v>
      </c>
      <c r="H948">
        <v>70803</v>
      </c>
      <c r="I948" s="6">
        <v>4.5330480230164003</v>
      </c>
      <c r="J948" s="1">
        <v>42379.555451388886</v>
      </c>
      <c r="K948">
        <v>11.59</v>
      </c>
      <c r="L948" s="6">
        <f>('Pizza Sales Calculations'!$J948-'Pizza Sales Calculations'!$C948)*24*60</f>
        <v>22.649999993154779</v>
      </c>
      <c r="M948">
        <f>COUNTA('Pizza Sales Calculations'!$D948:$F948)</f>
        <v>1</v>
      </c>
      <c r="R948" s="9">
        <f>IF('Pizza Sales Calculations'!$G948=TRUE, Parameters!$B$17*'Pizza Sales Calculations'!$L948*2, 0)</f>
        <v>6.4174999980605207</v>
      </c>
      <c r="T948" s="6"/>
      <c r="U948" s="9"/>
    </row>
    <row r="949" spans="1:21" x14ac:dyDescent="0.2">
      <c r="A949">
        <v>948</v>
      </c>
      <c r="B949" s="1">
        <v>42379.495347222219</v>
      </c>
      <c r="C949" s="1">
        <v>42379.50577546296</v>
      </c>
      <c r="D949" t="s">
        <v>2</v>
      </c>
      <c r="G949" t="b">
        <v>1</v>
      </c>
      <c r="H949">
        <v>70805</v>
      </c>
      <c r="I949" s="6">
        <v>1.70168758641454</v>
      </c>
      <c r="J949" s="1">
        <v>42379.511678240742</v>
      </c>
      <c r="K949">
        <v>11.59</v>
      </c>
      <c r="L949" s="6">
        <f>('Pizza Sales Calculations'!$J949-'Pizza Sales Calculations'!$C949)*24*60</f>
        <v>8.5000000067520887</v>
      </c>
      <c r="M949">
        <f>COUNTA('Pizza Sales Calculations'!$D949:$F949)</f>
        <v>1</v>
      </c>
      <c r="R949" s="9">
        <f>IF('Pizza Sales Calculations'!$G949=TRUE, Parameters!$B$17*'Pizza Sales Calculations'!$L949*2, 0)</f>
        <v>2.4083333352464251</v>
      </c>
      <c r="T949" s="6"/>
      <c r="U949" s="9"/>
    </row>
    <row r="950" spans="1:21" x14ac:dyDescent="0.2">
      <c r="A950">
        <v>949</v>
      </c>
      <c r="B950" s="1">
        <v>42379.459155092591</v>
      </c>
      <c r="C950" s="1">
        <v>42379.469560185185</v>
      </c>
      <c r="D950" t="s">
        <v>35</v>
      </c>
      <c r="G950" t="b">
        <v>0</v>
      </c>
      <c r="H950">
        <v>70805</v>
      </c>
      <c r="I950" s="6">
        <v>0</v>
      </c>
      <c r="J950" s="1">
        <v>42379.471631944441</v>
      </c>
      <c r="K950">
        <v>15.35</v>
      </c>
      <c r="L950" s="6">
        <f>('Pizza Sales Calculations'!$J950-'Pizza Sales Calculations'!$C950)*24*60</f>
        <v>2.9833333287388086</v>
      </c>
      <c r="M950">
        <f>COUNTA('Pizza Sales Calculations'!$D950:$F950)</f>
        <v>1</v>
      </c>
      <c r="R950" s="9">
        <f>IF('Pizza Sales Calculations'!$G950=TRUE, Parameters!$B$17*'Pizza Sales Calculations'!$L950*2, 0)</f>
        <v>0</v>
      </c>
      <c r="T950" s="6"/>
      <c r="U950" s="9"/>
    </row>
    <row r="951" spans="1:21" x14ac:dyDescent="0.2">
      <c r="A951">
        <v>950</v>
      </c>
      <c r="B951" s="1">
        <v>42379.496840277781</v>
      </c>
      <c r="C951" s="1">
        <v>42379.507245370369</v>
      </c>
      <c r="D951" t="s">
        <v>2</v>
      </c>
      <c r="G951" t="b">
        <v>1</v>
      </c>
      <c r="H951">
        <v>70805</v>
      </c>
      <c r="I951" s="6">
        <v>2.5914535966379</v>
      </c>
      <c r="J951" s="1">
        <v>42379.516238425924</v>
      </c>
      <c r="K951">
        <v>11.59</v>
      </c>
      <c r="L951" s="6">
        <f>('Pizza Sales Calculations'!$J951-'Pizza Sales Calculations'!$C951)*24*60</f>
        <v>12.949999999254942</v>
      </c>
      <c r="M951">
        <f>COUNTA('Pizza Sales Calculations'!$D951:$F951)</f>
        <v>1</v>
      </c>
      <c r="R951" s="9">
        <f>IF('Pizza Sales Calculations'!$G951=TRUE, Parameters!$B$17*'Pizza Sales Calculations'!$L951*2, 0)</f>
        <v>3.6691666664555669</v>
      </c>
      <c r="T951" s="6"/>
      <c r="U951" s="9"/>
    </row>
    <row r="952" spans="1:21" x14ac:dyDescent="0.2">
      <c r="A952">
        <v>951</v>
      </c>
      <c r="B952" s="1">
        <v>42379.452199074076</v>
      </c>
      <c r="C952" s="1">
        <v>42379.462604166663</v>
      </c>
      <c r="D952" t="s">
        <v>35</v>
      </c>
      <c r="G952" t="b">
        <v>0</v>
      </c>
      <c r="H952">
        <v>70806</v>
      </c>
      <c r="I952" s="6">
        <v>0</v>
      </c>
      <c r="J952" s="1">
        <v>42379.464675925927</v>
      </c>
      <c r="K952">
        <v>15.35</v>
      </c>
      <c r="L952" s="6">
        <f>('Pizza Sales Calculations'!$J952-'Pizza Sales Calculations'!$C952)*24*60</f>
        <v>2.9833333392161876</v>
      </c>
      <c r="M952">
        <f>COUNTA('Pizza Sales Calculations'!$D952:$F952)</f>
        <v>1</v>
      </c>
      <c r="R952" s="9">
        <f>IF('Pizza Sales Calculations'!$G952=TRUE, Parameters!$B$17*'Pizza Sales Calculations'!$L952*2, 0)</f>
        <v>0</v>
      </c>
      <c r="T952" s="6"/>
      <c r="U952" s="9"/>
    </row>
    <row r="953" spans="1:21" x14ac:dyDescent="0.2">
      <c r="A953">
        <v>952</v>
      </c>
      <c r="B953" s="1">
        <v>42379.516481481478</v>
      </c>
      <c r="C953" s="1">
        <v>42379.526875000003</v>
      </c>
      <c r="D953" t="s">
        <v>1</v>
      </c>
      <c r="E953" t="s">
        <v>2</v>
      </c>
      <c r="G953" t="b">
        <v>0</v>
      </c>
      <c r="H953">
        <v>70804</v>
      </c>
      <c r="I953" s="6">
        <v>0</v>
      </c>
      <c r="J953" s="1">
        <v>42379.528923611113</v>
      </c>
      <c r="K953">
        <v>19.579999999999998</v>
      </c>
      <c r="L953" s="6">
        <f>('Pizza Sales Calculations'!$J953-'Pizza Sales Calculations'!$C953)*24*60</f>
        <v>2.9499999980907887</v>
      </c>
      <c r="M953">
        <f>COUNTA('Pizza Sales Calculations'!$D953:$F953)</f>
        <v>2</v>
      </c>
      <c r="R953" s="9">
        <f>IF('Pizza Sales Calculations'!$G953=TRUE, Parameters!$B$17*'Pizza Sales Calculations'!$L953*2, 0)</f>
        <v>0</v>
      </c>
      <c r="T953" s="6"/>
      <c r="U953" s="9"/>
    </row>
    <row r="954" spans="1:21" x14ac:dyDescent="0.2">
      <c r="A954">
        <v>953</v>
      </c>
      <c r="B954" s="1">
        <v>42379.459398148145</v>
      </c>
      <c r="C954" s="1">
        <v>42379.469826388886</v>
      </c>
      <c r="D954" t="s">
        <v>35</v>
      </c>
      <c r="G954" t="b">
        <v>1</v>
      </c>
      <c r="H954">
        <v>70807</v>
      </c>
      <c r="I954" s="6">
        <v>4.5024779959774897</v>
      </c>
      <c r="J954" s="1">
        <v>42379.485451388886</v>
      </c>
      <c r="K954">
        <v>15.35</v>
      </c>
      <c r="L954" s="6">
        <f>('Pizza Sales Calculations'!$J954-'Pizza Sales Calculations'!$C954)*24*60</f>
        <v>22.5</v>
      </c>
      <c r="M954">
        <f>COUNTA('Pizza Sales Calculations'!$D954:$F954)</f>
        <v>1</v>
      </c>
      <c r="R954" s="9">
        <f>IF('Pizza Sales Calculations'!$G954=TRUE, Parameters!$B$17*'Pizza Sales Calculations'!$L954*2, 0)</f>
        <v>6.375</v>
      </c>
      <c r="T954" s="6"/>
      <c r="U954" s="9"/>
    </row>
    <row r="955" spans="1:21" x14ac:dyDescent="0.2">
      <c r="A955">
        <v>954</v>
      </c>
      <c r="B955" s="1">
        <v>42379.482916666668</v>
      </c>
      <c r="C955" s="1">
        <v>42379.493321759262</v>
      </c>
      <c r="D955" t="s">
        <v>35</v>
      </c>
      <c r="G955" t="b">
        <v>0</v>
      </c>
      <c r="H955">
        <v>70804</v>
      </c>
      <c r="I955" s="6">
        <v>0</v>
      </c>
      <c r="J955" s="1">
        <v>42379.495416666665</v>
      </c>
      <c r="K955">
        <v>15.35</v>
      </c>
      <c r="L955" s="6">
        <f>('Pizza Sales Calculations'!$J955-'Pizza Sales Calculations'!$C955)*24*60</f>
        <v>3.0166666593868285</v>
      </c>
      <c r="M955">
        <f>COUNTA('Pizza Sales Calculations'!$D955:$F955)</f>
        <v>1</v>
      </c>
      <c r="R955" s="9">
        <f>IF('Pizza Sales Calculations'!$G955=TRUE, Parameters!$B$17*'Pizza Sales Calculations'!$L955*2, 0)</f>
        <v>0</v>
      </c>
      <c r="T955" s="6"/>
      <c r="U955" s="9"/>
    </row>
    <row r="956" spans="1:21" x14ac:dyDescent="0.2">
      <c r="A956">
        <v>955</v>
      </c>
      <c r="B956" s="1">
        <v>42379.486909722225</v>
      </c>
      <c r="C956" s="1">
        <v>42379.497337962966</v>
      </c>
      <c r="D956" t="s">
        <v>2</v>
      </c>
      <c r="G956" t="b">
        <v>1</v>
      </c>
      <c r="H956">
        <v>70805</v>
      </c>
      <c r="I956" s="6">
        <v>4.1306200285256596</v>
      </c>
      <c r="J956" s="1">
        <v>42379.511678240742</v>
      </c>
      <c r="K956">
        <v>11.59</v>
      </c>
      <c r="L956" s="6">
        <f>('Pizza Sales Calculations'!$J956-'Pizza Sales Calculations'!$C956)*24*60</f>
        <v>20.6499999971129</v>
      </c>
      <c r="M956">
        <f>COUNTA('Pizza Sales Calculations'!$D956:$F956)</f>
        <v>1</v>
      </c>
      <c r="R956" s="9">
        <f>IF('Pizza Sales Calculations'!$G956=TRUE, Parameters!$B$17*'Pizza Sales Calculations'!$L956*2, 0)</f>
        <v>5.8508333325153217</v>
      </c>
      <c r="T956" s="6"/>
      <c r="U956" s="9"/>
    </row>
    <row r="957" spans="1:21" x14ac:dyDescent="0.2">
      <c r="A957">
        <v>956</v>
      </c>
      <c r="B957" s="1">
        <v>42379.540706018517</v>
      </c>
      <c r="C957" s="1">
        <v>42379.551111111112</v>
      </c>
      <c r="D957" t="s">
        <v>2</v>
      </c>
      <c r="G957" t="b">
        <v>0</v>
      </c>
      <c r="H957">
        <v>70804</v>
      </c>
      <c r="I957" s="6">
        <v>0</v>
      </c>
      <c r="J957" s="1">
        <v>42379.553171296298</v>
      </c>
      <c r="K957">
        <v>11.59</v>
      </c>
      <c r="L957" s="6">
        <f>('Pizza Sales Calculations'!$J957-'Pizza Sales Calculations'!$C957)*24*60</f>
        <v>2.9666666686534882</v>
      </c>
      <c r="M957">
        <f>COUNTA('Pizza Sales Calculations'!$D957:$F957)</f>
        <v>1</v>
      </c>
      <c r="R957" s="9">
        <f>IF('Pizza Sales Calculations'!$G957=TRUE, Parameters!$B$17*'Pizza Sales Calculations'!$L957*2, 0)</f>
        <v>0</v>
      </c>
      <c r="T957" s="6"/>
      <c r="U957" s="9"/>
    </row>
    <row r="958" spans="1:21" x14ac:dyDescent="0.2">
      <c r="A958">
        <v>957</v>
      </c>
      <c r="B958" s="1">
        <v>42379.432256944441</v>
      </c>
      <c r="C958" s="1">
        <v>42379.442685185182</v>
      </c>
      <c r="D958" t="s">
        <v>2</v>
      </c>
      <c r="G958" t="b">
        <v>0</v>
      </c>
      <c r="H958">
        <v>70804</v>
      </c>
      <c r="I958" s="6">
        <v>0</v>
      </c>
      <c r="J958" s="1">
        <v>42379.444745370369</v>
      </c>
      <c r="K958">
        <v>11.59</v>
      </c>
      <c r="L958" s="6">
        <f>('Pizza Sales Calculations'!$J958-'Pizza Sales Calculations'!$C958)*24*60</f>
        <v>2.9666666686534882</v>
      </c>
      <c r="M958">
        <f>COUNTA('Pizza Sales Calculations'!$D958:$F958)</f>
        <v>1</v>
      </c>
      <c r="R958" s="9">
        <f>IF('Pizza Sales Calculations'!$G958=TRUE, Parameters!$B$17*'Pizza Sales Calculations'!$L958*2, 0)</f>
        <v>0</v>
      </c>
      <c r="T958" s="6"/>
      <c r="U958" s="9"/>
    </row>
    <row r="959" spans="1:21" x14ac:dyDescent="0.2">
      <c r="A959">
        <v>958</v>
      </c>
      <c r="B959" s="1">
        <v>42379.555844907409</v>
      </c>
      <c r="C959" s="1">
        <v>42379.566250000003</v>
      </c>
      <c r="D959" t="s">
        <v>35</v>
      </c>
      <c r="G959" t="b">
        <v>1</v>
      </c>
      <c r="H959">
        <v>70805</v>
      </c>
      <c r="I959" s="6">
        <v>5.3192652960415199</v>
      </c>
      <c r="J959" s="1">
        <v>42379.584710648145</v>
      </c>
      <c r="K959">
        <v>15.35</v>
      </c>
      <c r="L959" s="6">
        <f>('Pizza Sales Calculations'!$J959-'Pizza Sales Calculations'!$C959)*24*60</f>
        <v>26.583333323942497</v>
      </c>
      <c r="M959">
        <f>COUNTA('Pizza Sales Calculations'!$D959:$F959)</f>
        <v>1</v>
      </c>
      <c r="R959" s="9">
        <f>IF('Pizza Sales Calculations'!$G959=TRUE, Parameters!$B$17*'Pizza Sales Calculations'!$L959*2, 0)</f>
        <v>7.5319444417837076</v>
      </c>
      <c r="T959" s="6"/>
      <c r="U959" s="9"/>
    </row>
    <row r="960" spans="1:21" x14ac:dyDescent="0.2">
      <c r="A960">
        <v>959</v>
      </c>
      <c r="B960" s="1">
        <v>42379.54105324074</v>
      </c>
      <c r="C960" s="1">
        <v>42379.551481481481</v>
      </c>
      <c r="D960" t="s">
        <v>1</v>
      </c>
      <c r="E960" t="s">
        <v>2</v>
      </c>
      <c r="G960" t="b">
        <v>0</v>
      </c>
      <c r="H960">
        <v>70805</v>
      </c>
      <c r="I960" s="6">
        <v>0</v>
      </c>
      <c r="J960" s="1">
        <v>42379.553553240738</v>
      </c>
      <c r="K960">
        <v>19.579999999999998</v>
      </c>
      <c r="L960" s="6">
        <f>('Pizza Sales Calculations'!$J960-'Pizza Sales Calculations'!$C960)*24*60</f>
        <v>2.9833333287388086</v>
      </c>
      <c r="M960">
        <f>COUNTA('Pizza Sales Calculations'!$D960:$F960)</f>
        <v>2</v>
      </c>
      <c r="R960" s="9">
        <f>IF('Pizza Sales Calculations'!$G960=TRUE, Parameters!$B$17*'Pizza Sales Calculations'!$L960*2, 0)</f>
        <v>0</v>
      </c>
      <c r="T960" s="6"/>
      <c r="U960" s="9"/>
    </row>
    <row r="961" spans="1:21" x14ac:dyDescent="0.2">
      <c r="A961">
        <v>960</v>
      </c>
      <c r="B961" s="1">
        <v>42379.525868055556</v>
      </c>
      <c r="C961" s="1">
        <v>42379.536273148151</v>
      </c>
      <c r="D961" t="s">
        <v>2</v>
      </c>
      <c r="G961" t="b">
        <v>1</v>
      </c>
      <c r="H961">
        <v>70804</v>
      </c>
      <c r="I961" s="6">
        <v>2.2436849201818401</v>
      </c>
      <c r="J961" s="1">
        <v>42379.544062499997</v>
      </c>
      <c r="K961">
        <v>11.59</v>
      </c>
      <c r="L961" s="6">
        <f>('Pizza Sales Calculations'!$J961-'Pizza Sales Calculations'!$C961)*24*60</f>
        <v>11.216666658874601</v>
      </c>
      <c r="M961">
        <f>COUNTA('Pizza Sales Calculations'!$D961:$F961)</f>
        <v>1</v>
      </c>
      <c r="R961" s="9">
        <f>IF('Pizza Sales Calculations'!$G961=TRUE, Parameters!$B$17*'Pizza Sales Calculations'!$L961*2, 0)</f>
        <v>3.1780555533478037</v>
      </c>
      <c r="T961" s="6"/>
      <c r="U961" s="9"/>
    </row>
    <row r="962" spans="1:21" x14ac:dyDescent="0.2">
      <c r="A962">
        <v>961</v>
      </c>
      <c r="B962" s="1">
        <v>42379.545787037037</v>
      </c>
      <c r="C962" s="1">
        <v>42379.556215277778</v>
      </c>
      <c r="D962" t="s">
        <v>2</v>
      </c>
      <c r="G962" t="b">
        <v>1</v>
      </c>
      <c r="H962">
        <v>70804</v>
      </c>
      <c r="I962" s="6">
        <v>2.7055843350253301</v>
      </c>
      <c r="J962" s="1">
        <v>42379.565601851849</v>
      </c>
      <c r="K962">
        <v>11.59</v>
      </c>
      <c r="L962" s="6">
        <f>('Pizza Sales Calculations'!$J962-'Pizza Sales Calculations'!$C962)*24*60</f>
        <v>13.516666662180796</v>
      </c>
      <c r="M962">
        <f>COUNTA('Pizza Sales Calculations'!$D962:$F962)</f>
        <v>1</v>
      </c>
      <c r="R962" s="9">
        <f>IF('Pizza Sales Calculations'!$G962=TRUE, Parameters!$B$17*'Pizza Sales Calculations'!$L962*2, 0)</f>
        <v>3.8297222209512256</v>
      </c>
      <c r="T962" s="6"/>
      <c r="U962" s="9"/>
    </row>
    <row r="963" spans="1:21" x14ac:dyDescent="0.2">
      <c r="A963">
        <v>962</v>
      </c>
      <c r="B963" s="1">
        <v>42379.546805555554</v>
      </c>
      <c r="C963" s="1">
        <v>42379.557233796295</v>
      </c>
      <c r="D963" t="s">
        <v>2</v>
      </c>
      <c r="G963" t="b">
        <v>1</v>
      </c>
      <c r="H963">
        <v>70805</v>
      </c>
      <c r="I963" s="6">
        <v>2.7266263014096901</v>
      </c>
      <c r="J963" s="1">
        <v>42379.566689814812</v>
      </c>
      <c r="K963">
        <v>11.59</v>
      </c>
      <c r="L963" s="6">
        <f>('Pizza Sales Calculations'!$J963-'Pizza Sales Calculations'!$C963)*24*60</f>
        <v>13.616666664602235</v>
      </c>
      <c r="M963">
        <f>COUNTA('Pizza Sales Calculations'!$D963:$F963)</f>
        <v>1</v>
      </c>
      <c r="R963" s="9">
        <f>IF('Pizza Sales Calculations'!$G963=TRUE, Parameters!$B$17*'Pizza Sales Calculations'!$L963*2, 0)</f>
        <v>3.8580555549706332</v>
      </c>
      <c r="T963" s="6"/>
      <c r="U963" s="9"/>
    </row>
    <row r="964" spans="1:21" x14ac:dyDescent="0.2">
      <c r="A964">
        <v>963</v>
      </c>
      <c r="B964" s="1">
        <v>42379.475405092591</v>
      </c>
      <c r="C964" s="1">
        <v>42379.485821759263</v>
      </c>
      <c r="D964" t="s">
        <v>35</v>
      </c>
      <c r="G964" t="b">
        <v>1</v>
      </c>
      <c r="H964">
        <v>70804</v>
      </c>
      <c r="I964" s="6">
        <v>3.1900397344552101</v>
      </c>
      <c r="J964" s="1">
        <v>42379.496898148151</v>
      </c>
      <c r="K964">
        <v>15.35</v>
      </c>
      <c r="L964" s="6">
        <f>('Pizza Sales Calculations'!$J964-'Pizza Sales Calculations'!$C964)*24*60</f>
        <v>15.94999999855645</v>
      </c>
      <c r="M964">
        <f>COUNTA('Pizza Sales Calculations'!$D964:$F964)</f>
        <v>1</v>
      </c>
      <c r="R964" s="9">
        <f>IF('Pizza Sales Calculations'!$G964=TRUE, Parameters!$B$17*'Pizza Sales Calculations'!$L964*2, 0)</f>
        <v>4.5191666662576608</v>
      </c>
      <c r="T964" s="6"/>
      <c r="U964" s="9"/>
    </row>
    <row r="965" spans="1:21" x14ac:dyDescent="0.2">
      <c r="A965">
        <v>964</v>
      </c>
      <c r="B965" s="1">
        <v>42379.464953703704</v>
      </c>
      <c r="C965" s="1">
        <v>42379.475370370368</v>
      </c>
      <c r="D965" t="s">
        <v>2</v>
      </c>
      <c r="G965" t="b">
        <v>1</v>
      </c>
      <c r="H965">
        <v>70805</v>
      </c>
      <c r="I965" s="6">
        <v>3.9118802218409199</v>
      </c>
      <c r="J965" s="1">
        <v>42379.488946759258</v>
      </c>
      <c r="K965">
        <v>11.59</v>
      </c>
      <c r="L965" s="6">
        <f>('Pizza Sales Calculations'!$J965-'Pizza Sales Calculations'!$C965)*24*60</f>
        <v>19.550000001909211</v>
      </c>
      <c r="M965">
        <f>COUNTA('Pizza Sales Calculations'!$D965:$F965)</f>
        <v>1</v>
      </c>
      <c r="R965" s="9">
        <f>IF('Pizza Sales Calculations'!$G965=TRUE, Parameters!$B$17*'Pizza Sales Calculations'!$L965*2, 0)</f>
        <v>5.5391666672076099</v>
      </c>
      <c r="T965" s="6"/>
      <c r="U965" s="9"/>
    </row>
    <row r="966" spans="1:21" x14ac:dyDescent="0.2">
      <c r="A966">
        <v>965</v>
      </c>
      <c r="B966" s="1">
        <v>42380.465428240743</v>
      </c>
      <c r="C966" s="1">
        <v>42380.47583333333</v>
      </c>
      <c r="D966" t="s">
        <v>1</v>
      </c>
      <c r="G966" t="b">
        <v>1</v>
      </c>
      <c r="H966">
        <v>70804</v>
      </c>
      <c r="I966" s="6">
        <v>5.0029703802554497</v>
      </c>
      <c r="J966" s="1">
        <v>42380.493194444447</v>
      </c>
      <c r="K966">
        <v>7.99</v>
      </c>
      <c r="L966" s="6">
        <f>('Pizza Sales Calculations'!$J966-'Pizza Sales Calculations'!$C966)*24*60</f>
        <v>25.000000008149073</v>
      </c>
      <c r="M966">
        <f>COUNTA('Pizza Sales Calculations'!$D966:$F966)</f>
        <v>1</v>
      </c>
      <c r="R966" s="9">
        <f>IF('Pizza Sales Calculations'!$G966=TRUE, Parameters!$B$17*'Pizza Sales Calculations'!$L966*2, 0)</f>
        <v>7.0833333356422372</v>
      </c>
      <c r="T966" s="6"/>
      <c r="U966" s="9"/>
    </row>
    <row r="967" spans="1:21" x14ac:dyDescent="0.2">
      <c r="A967">
        <v>966</v>
      </c>
      <c r="B967" s="1">
        <v>42380.488749999997</v>
      </c>
      <c r="C967" s="1">
        <v>42380.499131944445</v>
      </c>
      <c r="D967" t="s">
        <v>1</v>
      </c>
      <c r="G967" t="b">
        <v>1</v>
      </c>
      <c r="H967">
        <v>70805</v>
      </c>
      <c r="I967" s="6">
        <v>4.6381335542169602</v>
      </c>
      <c r="J967" s="1">
        <v>42380.515231481484</v>
      </c>
      <c r="K967">
        <v>7.99</v>
      </c>
      <c r="L967" s="6">
        <f>('Pizza Sales Calculations'!$J967-'Pizza Sales Calculations'!$C967)*24*60</f>
        <v>23.183333335909992</v>
      </c>
      <c r="M967">
        <f>COUNTA('Pizza Sales Calculations'!$D967:$F967)</f>
        <v>1</v>
      </c>
      <c r="R967" s="9">
        <f>IF('Pizza Sales Calculations'!$G967=TRUE, Parameters!$B$17*'Pizza Sales Calculations'!$L967*2, 0)</f>
        <v>6.5686111118411645</v>
      </c>
      <c r="T967" s="6"/>
      <c r="U967" s="9"/>
    </row>
    <row r="968" spans="1:21" x14ac:dyDescent="0.2">
      <c r="A968">
        <v>967</v>
      </c>
      <c r="B968" s="1">
        <v>42380.503391203703</v>
      </c>
      <c r="C968" s="1">
        <v>42380.513796296298</v>
      </c>
      <c r="D968" t="s">
        <v>2</v>
      </c>
      <c r="G968" t="b">
        <v>0</v>
      </c>
      <c r="H968">
        <v>70804</v>
      </c>
      <c r="I968" s="6">
        <v>0</v>
      </c>
      <c r="J968" s="1">
        <v>42380.5158912037</v>
      </c>
      <c r="K968">
        <v>11.59</v>
      </c>
      <c r="L968" s="6">
        <f>('Pizza Sales Calculations'!$J968-'Pizza Sales Calculations'!$C968)*24*60</f>
        <v>3.0166666593868285</v>
      </c>
      <c r="M968">
        <f>COUNTA('Pizza Sales Calculations'!$D968:$F968)</f>
        <v>1</v>
      </c>
      <c r="R968" s="9">
        <f>IF('Pizza Sales Calculations'!$G968=TRUE, Parameters!$B$17*'Pizza Sales Calculations'!$L968*2, 0)</f>
        <v>0</v>
      </c>
      <c r="T968" s="6"/>
      <c r="U968" s="9"/>
    </row>
    <row r="969" spans="1:21" x14ac:dyDescent="0.2">
      <c r="A969">
        <v>968</v>
      </c>
      <c r="B969" s="1">
        <v>42380.524444444447</v>
      </c>
      <c r="C969" s="1">
        <v>42380.534849537034</v>
      </c>
      <c r="D969" t="s">
        <v>2</v>
      </c>
      <c r="G969" t="b">
        <v>1</v>
      </c>
      <c r="H969">
        <v>70806</v>
      </c>
      <c r="I969" s="6">
        <v>1.12286084305772</v>
      </c>
      <c r="J969" s="1">
        <v>42380.538738425923</v>
      </c>
      <c r="K969">
        <v>11.59</v>
      </c>
      <c r="L969" s="6">
        <f>('Pizza Sales Calculations'!$J969-'Pizza Sales Calculations'!$C969)*24*60</f>
        <v>5.5999999993946403</v>
      </c>
      <c r="M969">
        <f>COUNTA('Pizza Sales Calculations'!$D969:$F969)</f>
        <v>1</v>
      </c>
      <c r="R969" s="9">
        <f>IF('Pizza Sales Calculations'!$G969=TRUE, Parameters!$B$17*'Pizza Sales Calculations'!$L969*2, 0)</f>
        <v>1.5866666664951481</v>
      </c>
      <c r="T969" s="6"/>
      <c r="U969" s="9"/>
    </row>
    <row r="970" spans="1:21" x14ac:dyDescent="0.2">
      <c r="A970">
        <v>969</v>
      </c>
      <c r="B970" s="1">
        <v>42380.559490740743</v>
      </c>
      <c r="C970" s="1">
        <v>42380.569884259261</v>
      </c>
      <c r="D970" t="s">
        <v>1</v>
      </c>
      <c r="G970" t="b">
        <v>1</v>
      </c>
      <c r="H970">
        <v>70805</v>
      </c>
      <c r="I970" s="6">
        <v>3.3520562463035999</v>
      </c>
      <c r="J970" s="1">
        <v>42380.581516203703</v>
      </c>
      <c r="K970">
        <v>7.99</v>
      </c>
      <c r="L970" s="6">
        <f>('Pizza Sales Calculations'!$J970-'Pizza Sales Calculations'!$C970)*24*60</f>
        <v>16.749999996973202</v>
      </c>
      <c r="M970">
        <f>COUNTA('Pizza Sales Calculations'!$D970:$F970)</f>
        <v>1</v>
      </c>
      <c r="R970" s="9">
        <f>IF('Pizza Sales Calculations'!$G970=TRUE, Parameters!$B$17*'Pizza Sales Calculations'!$L970*2, 0)</f>
        <v>4.7458333324757405</v>
      </c>
      <c r="T970" s="6"/>
      <c r="U970" s="9"/>
    </row>
    <row r="971" spans="1:21" x14ac:dyDescent="0.2">
      <c r="A971">
        <v>970</v>
      </c>
      <c r="B971" s="1">
        <v>42380.592916666668</v>
      </c>
      <c r="C971" s="1">
        <v>42380.603333333333</v>
      </c>
      <c r="D971" t="s">
        <v>1</v>
      </c>
      <c r="E971" t="s">
        <v>35</v>
      </c>
      <c r="G971" t="b">
        <v>1</v>
      </c>
      <c r="H971">
        <v>70806</v>
      </c>
      <c r="I971" s="6">
        <v>4.2264476510380202</v>
      </c>
      <c r="J971" s="1">
        <v>42380.617997685185</v>
      </c>
      <c r="K971">
        <v>23.34</v>
      </c>
      <c r="L971" s="6">
        <f>('Pizza Sales Calculations'!$J971-'Pizza Sales Calculations'!$C971)*24*60</f>
        <v>21.116666668094695</v>
      </c>
      <c r="M971">
        <f>COUNTA('Pizza Sales Calculations'!$D971:$F971)</f>
        <v>2</v>
      </c>
      <c r="R971" s="9">
        <f>IF('Pizza Sales Calculations'!$G971=TRUE, Parameters!$B$17*'Pizza Sales Calculations'!$L971*2, 0)</f>
        <v>5.9830555559601635</v>
      </c>
      <c r="T971" s="6"/>
      <c r="U971" s="9"/>
    </row>
    <row r="972" spans="1:21" x14ac:dyDescent="0.2">
      <c r="A972">
        <v>971</v>
      </c>
      <c r="B972" s="1">
        <v>42380.478946759256</v>
      </c>
      <c r="C972" s="1">
        <v>42380.489363425928</v>
      </c>
      <c r="D972" t="s">
        <v>1</v>
      </c>
      <c r="E972" t="s">
        <v>2</v>
      </c>
      <c r="F972" t="s">
        <v>35</v>
      </c>
      <c r="G972" t="b">
        <v>1</v>
      </c>
      <c r="H972">
        <v>70804</v>
      </c>
      <c r="I972" s="6">
        <v>2.5904276121458398</v>
      </c>
      <c r="J972" s="1">
        <v>42380.498356481483</v>
      </c>
      <c r="K972">
        <v>33.93</v>
      </c>
      <c r="L972" s="6">
        <f>('Pizza Sales Calculations'!$J972-'Pizza Sales Calculations'!$C972)*24*60</f>
        <v>12.949999999254942</v>
      </c>
      <c r="M972">
        <f>COUNTA('Pizza Sales Calculations'!$D972:$F972)</f>
        <v>3</v>
      </c>
      <c r="R972" s="9">
        <f>IF('Pizza Sales Calculations'!$G972=TRUE, Parameters!$B$17*'Pizza Sales Calculations'!$L972*2, 0)</f>
        <v>3.6691666664555669</v>
      </c>
      <c r="T972" s="6"/>
      <c r="U972" s="9"/>
    </row>
    <row r="973" spans="1:21" x14ac:dyDescent="0.2">
      <c r="A973">
        <v>972</v>
      </c>
      <c r="B973" s="1">
        <v>42380.582465277781</v>
      </c>
      <c r="C973" s="1">
        <v>42380.592893518522</v>
      </c>
      <c r="D973" t="s">
        <v>1</v>
      </c>
      <c r="G973" t="b">
        <v>1</v>
      </c>
      <c r="H973">
        <v>70804</v>
      </c>
      <c r="I973" s="6">
        <v>1.94425431047178</v>
      </c>
      <c r="J973" s="1">
        <v>42380.599641203706</v>
      </c>
      <c r="K973">
        <v>7.99</v>
      </c>
      <c r="L973" s="6">
        <f>('Pizza Sales Calculations'!$J973-'Pizza Sales Calculations'!$C973)*24*60</f>
        <v>9.7166666644625366</v>
      </c>
      <c r="M973">
        <f>COUNTA('Pizza Sales Calculations'!$D973:$F973)</f>
        <v>1</v>
      </c>
      <c r="R973" s="9">
        <f>IF('Pizza Sales Calculations'!$G973=TRUE, Parameters!$B$17*'Pizza Sales Calculations'!$L973*2, 0)</f>
        <v>2.753055554931052</v>
      </c>
      <c r="T973" s="6"/>
      <c r="U973" s="9"/>
    </row>
    <row r="974" spans="1:21" x14ac:dyDescent="0.2">
      <c r="A974">
        <v>973</v>
      </c>
      <c r="B974" s="1">
        <v>42380.490995370368</v>
      </c>
      <c r="C974" s="1">
        <v>42380.501400462963</v>
      </c>
      <c r="D974" t="s">
        <v>1</v>
      </c>
      <c r="E974" t="s">
        <v>2</v>
      </c>
      <c r="G974" t="b">
        <v>0</v>
      </c>
      <c r="H974">
        <v>70805</v>
      </c>
      <c r="I974" s="6">
        <v>0</v>
      </c>
      <c r="J974" s="1">
        <v>42380.503472222219</v>
      </c>
      <c r="K974">
        <v>19.579999999999998</v>
      </c>
      <c r="L974" s="6">
        <f>('Pizza Sales Calculations'!$J974-'Pizza Sales Calculations'!$C974)*24*60</f>
        <v>2.9833333287388086</v>
      </c>
      <c r="M974">
        <f>COUNTA('Pizza Sales Calculations'!$D974:$F974)</f>
        <v>2</v>
      </c>
      <c r="R974" s="9">
        <f>IF('Pizza Sales Calculations'!$G974=TRUE, Parameters!$B$17*'Pizza Sales Calculations'!$L974*2, 0)</f>
        <v>0</v>
      </c>
      <c r="T974" s="6"/>
      <c r="U974" s="9"/>
    </row>
    <row r="975" spans="1:21" x14ac:dyDescent="0.2">
      <c r="A975">
        <v>974</v>
      </c>
      <c r="B975" s="1">
        <v>42380.518217592595</v>
      </c>
      <c r="C975" s="1">
        <v>42380.528622685182</v>
      </c>
      <c r="D975" t="s">
        <v>1</v>
      </c>
      <c r="E975" t="s">
        <v>2</v>
      </c>
      <c r="G975" t="b">
        <v>1</v>
      </c>
      <c r="H975">
        <v>70805</v>
      </c>
      <c r="I975" s="6">
        <v>3.01970799804125</v>
      </c>
      <c r="J975" s="1">
        <v>42380.539097222223</v>
      </c>
      <c r="K975">
        <v>19.579999999999998</v>
      </c>
      <c r="L975" s="6">
        <f>('Pizza Sales Calculations'!$J975-'Pizza Sales Calculations'!$C975)*24*60</f>
        <v>15.083333338843659</v>
      </c>
      <c r="M975">
        <f>COUNTA('Pizza Sales Calculations'!$D975:$F975)</f>
        <v>2</v>
      </c>
      <c r="R975" s="9">
        <f>IF('Pizza Sales Calculations'!$G975=TRUE, Parameters!$B$17*'Pizza Sales Calculations'!$L975*2, 0)</f>
        <v>4.2736111126723699</v>
      </c>
      <c r="T975" s="6"/>
      <c r="U975" s="9"/>
    </row>
    <row r="976" spans="1:21" x14ac:dyDescent="0.2">
      <c r="A976">
        <v>975</v>
      </c>
      <c r="B976" s="1">
        <v>42380.469641203701</v>
      </c>
      <c r="C976" s="1">
        <v>42380.480046296296</v>
      </c>
      <c r="D976" t="s">
        <v>1</v>
      </c>
      <c r="E976" t="s">
        <v>2</v>
      </c>
      <c r="G976" t="b">
        <v>1</v>
      </c>
      <c r="H976">
        <v>70805</v>
      </c>
      <c r="I976" s="6">
        <v>2.56196176503934</v>
      </c>
      <c r="J976" s="1">
        <v>42380.488935185182</v>
      </c>
      <c r="K976">
        <v>19.579999999999998</v>
      </c>
      <c r="L976" s="6">
        <f>('Pizza Sales Calculations'!$J976-'Pizza Sales Calculations'!$C976)*24*60</f>
        <v>12.799999995622784</v>
      </c>
      <c r="M976">
        <f>COUNTA('Pizza Sales Calculations'!$D976:$F976)</f>
        <v>2</v>
      </c>
      <c r="R976" s="9">
        <f>IF('Pizza Sales Calculations'!$G976=TRUE, Parameters!$B$17*'Pizza Sales Calculations'!$L976*2, 0)</f>
        <v>3.6266666654264554</v>
      </c>
      <c r="T976" s="6"/>
      <c r="U976" s="9"/>
    </row>
    <row r="977" spans="1:21" x14ac:dyDescent="0.2">
      <c r="A977">
        <v>976</v>
      </c>
      <c r="B977" s="1">
        <v>42380.522627314815</v>
      </c>
      <c r="C977" s="1">
        <v>42380.533043981479</v>
      </c>
      <c r="D977" t="s">
        <v>1</v>
      </c>
      <c r="G977" t="b">
        <v>1</v>
      </c>
      <c r="H977">
        <v>70808</v>
      </c>
      <c r="I977" s="6">
        <v>0.88712829595254095</v>
      </c>
      <c r="J977" s="1">
        <v>42380.536122685182</v>
      </c>
      <c r="K977">
        <v>7.99</v>
      </c>
      <c r="L977" s="6">
        <f>('Pizza Sales Calculations'!$J977-'Pizza Sales Calculations'!$C977)*24*60</f>
        <v>4.4333333324175328</v>
      </c>
      <c r="M977">
        <f>COUNTA('Pizza Sales Calculations'!$D977:$F977)</f>
        <v>1</v>
      </c>
      <c r="R977" s="9">
        <f>IF('Pizza Sales Calculations'!$G977=TRUE, Parameters!$B$17*'Pizza Sales Calculations'!$L977*2, 0)</f>
        <v>1.2561111108516343</v>
      </c>
      <c r="T977" s="6"/>
      <c r="U977" s="9"/>
    </row>
    <row r="978" spans="1:21" x14ac:dyDescent="0.2">
      <c r="A978">
        <v>977</v>
      </c>
      <c r="B978" s="1">
        <v>42380.477025462962</v>
      </c>
      <c r="C978" s="1">
        <v>42380.487430555557</v>
      </c>
      <c r="D978" t="s">
        <v>2</v>
      </c>
      <c r="G978" t="b">
        <v>1</v>
      </c>
      <c r="H978">
        <v>70806</v>
      </c>
      <c r="I978" s="6">
        <v>3.9579237755916399</v>
      </c>
      <c r="J978" s="1">
        <v>42380.501168981478</v>
      </c>
      <c r="K978">
        <v>11.59</v>
      </c>
      <c r="L978" s="6">
        <f>('Pizza Sales Calculations'!$J978-'Pizza Sales Calculations'!$C978)*24*60</f>
        <v>19.78333332692273</v>
      </c>
      <c r="M978">
        <f>COUNTA('Pizza Sales Calculations'!$D978:$F978)</f>
        <v>1</v>
      </c>
      <c r="R978" s="9">
        <f>IF('Pizza Sales Calculations'!$G978=TRUE, Parameters!$B$17*'Pizza Sales Calculations'!$L978*2, 0)</f>
        <v>5.6052777759614401</v>
      </c>
      <c r="T978" s="6"/>
      <c r="U978" s="9"/>
    </row>
    <row r="979" spans="1:21" x14ac:dyDescent="0.2">
      <c r="A979">
        <v>978</v>
      </c>
      <c r="B979" s="1">
        <v>42380.442442129628</v>
      </c>
      <c r="C979" s="1">
        <v>42380.452847222223</v>
      </c>
      <c r="D979" t="s">
        <v>1</v>
      </c>
      <c r="G979" t="b">
        <v>0</v>
      </c>
      <c r="H979">
        <v>70805</v>
      </c>
      <c r="I979" s="6">
        <v>0</v>
      </c>
      <c r="J979" s="1">
        <v>42380.454918981479</v>
      </c>
      <c r="K979">
        <v>7.99</v>
      </c>
      <c r="L979" s="6">
        <f>('Pizza Sales Calculations'!$J979-'Pizza Sales Calculations'!$C979)*24*60</f>
        <v>2.9833333287388086</v>
      </c>
      <c r="M979">
        <f>COUNTA('Pizza Sales Calculations'!$D979:$F979)</f>
        <v>1</v>
      </c>
      <c r="R979" s="9">
        <f>IF('Pizza Sales Calculations'!$G979=TRUE, Parameters!$B$17*'Pizza Sales Calculations'!$L979*2, 0)</f>
        <v>0</v>
      </c>
      <c r="T979" s="6"/>
      <c r="U979" s="9"/>
    </row>
    <row r="980" spans="1:21" x14ac:dyDescent="0.2">
      <c r="A980">
        <v>979</v>
      </c>
      <c r="B980" s="1">
        <v>42380.467766203707</v>
      </c>
      <c r="C980" s="1">
        <v>42380.478206018517</v>
      </c>
      <c r="D980" t="s">
        <v>1</v>
      </c>
      <c r="G980" t="b">
        <v>1</v>
      </c>
      <c r="H980">
        <v>70804</v>
      </c>
      <c r="I980" s="6">
        <v>1.70835536586235</v>
      </c>
      <c r="J980" s="1">
        <v>42380.484131944446</v>
      </c>
      <c r="K980">
        <v>7.99</v>
      </c>
      <c r="L980" s="6">
        <f>('Pizza Sales Calculations'!$J980-'Pizza Sales Calculations'!$C980)*24*60</f>
        <v>8.5333333374001086</v>
      </c>
      <c r="M980">
        <f>COUNTA('Pizza Sales Calculations'!$D980:$F980)</f>
        <v>1</v>
      </c>
      <c r="R980" s="9">
        <f>IF('Pizza Sales Calculations'!$G980=TRUE, Parameters!$B$17*'Pizza Sales Calculations'!$L980*2, 0)</f>
        <v>2.4177777789300308</v>
      </c>
      <c r="T980" s="6"/>
      <c r="U980" s="9"/>
    </row>
    <row r="981" spans="1:21" x14ac:dyDescent="0.2">
      <c r="A981">
        <v>980</v>
      </c>
      <c r="B981" s="1">
        <v>42380.473657407405</v>
      </c>
      <c r="C981" s="1">
        <v>42380.4840625</v>
      </c>
      <c r="D981" t="s">
        <v>1</v>
      </c>
      <c r="E981" t="s">
        <v>2</v>
      </c>
      <c r="G981" t="b">
        <v>0</v>
      </c>
      <c r="H981">
        <v>70805</v>
      </c>
      <c r="I981" s="6">
        <v>0</v>
      </c>
      <c r="J981" s="1">
        <v>42380.486134259256</v>
      </c>
      <c r="K981">
        <v>19.579999999999998</v>
      </c>
      <c r="L981" s="6">
        <f>('Pizza Sales Calculations'!$J981-'Pizza Sales Calculations'!$C981)*24*60</f>
        <v>2.9833333287388086</v>
      </c>
      <c r="M981">
        <f>COUNTA('Pizza Sales Calculations'!$D981:$F981)</f>
        <v>2</v>
      </c>
      <c r="R981" s="9">
        <f>IF('Pizza Sales Calculations'!$G981=TRUE, Parameters!$B$17*'Pizza Sales Calculations'!$L981*2, 0)</f>
        <v>0</v>
      </c>
      <c r="T981" s="6"/>
      <c r="U981" s="9"/>
    </row>
    <row r="982" spans="1:21" x14ac:dyDescent="0.2">
      <c r="A982">
        <v>981</v>
      </c>
      <c r="B982" s="1">
        <v>42380.571400462963</v>
      </c>
      <c r="C982" s="1">
        <v>42380.581828703704</v>
      </c>
      <c r="D982" t="s">
        <v>1</v>
      </c>
      <c r="G982" t="b">
        <v>1</v>
      </c>
      <c r="H982">
        <v>70805</v>
      </c>
      <c r="I982" s="6">
        <v>4.9282707790035101</v>
      </c>
      <c r="J982" s="1">
        <v>42380.598935185182</v>
      </c>
      <c r="K982">
        <v>7.99</v>
      </c>
      <c r="L982" s="6">
        <f>('Pizza Sales Calculations'!$J982-'Pizza Sales Calculations'!$C982)*24*60</f>
        <v>24.633333329111338</v>
      </c>
      <c r="M982">
        <f>COUNTA('Pizza Sales Calculations'!$D982:$F982)</f>
        <v>1</v>
      </c>
      <c r="R982" s="9">
        <f>IF('Pizza Sales Calculations'!$G982=TRUE, Parameters!$B$17*'Pizza Sales Calculations'!$L982*2, 0)</f>
        <v>6.9794444432482123</v>
      </c>
      <c r="T982" s="6"/>
      <c r="U982" s="9"/>
    </row>
    <row r="983" spans="1:21" x14ac:dyDescent="0.2">
      <c r="A983">
        <v>982</v>
      </c>
      <c r="B983" s="1">
        <v>42380.480208333334</v>
      </c>
      <c r="C983" s="1">
        <v>42380.490601851852</v>
      </c>
      <c r="D983" t="s">
        <v>1</v>
      </c>
      <c r="G983" t="b">
        <v>0</v>
      </c>
      <c r="H983">
        <v>70804</v>
      </c>
      <c r="I983" s="6">
        <v>0</v>
      </c>
      <c r="J983" s="1">
        <v>42380.492673611108</v>
      </c>
      <c r="K983">
        <v>7.99</v>
      </c>
      <c r="L983" s="6">
        <f>('Pizza Sales Calculations'!$J983-'Pizza Sales Calculations'!$C983)*24*60</f>
        <v>2.9833333287388086</v>
      </c>
      <c r="M983">
        <f>COUNTA('Pizza Sales Calculations'!$D983:$F983)</f>
        <v>1</v>
      </c>
      <c r="R983" s="9">
        <f>IF('Pizza Sales Calculations'!$G983=TRUE, Parameters!$B$17*'Pizza Sales Calculations'!$L983*2, 0)</f>
        <v>0</v>
      </c>
      <c r="T983" s="6"/>
      <c r="U983" s="9"/>
    </row>
    <row r="984" spans="1:21" x14ac:dyDescent="0.2">
      <c r="A984">
        <v>983</v>
      </c>
      <c r="B984" s="1">
        <v>42380.529456018521</v>
      </c>
      <c r="C984" s="1">
        <v>42380.539861111109</v>
      </c>
      <c r="D984" t="s">
        <v>2</v>
      </c>
      <c r="G984" t="b">
        <v>0</v>
      </c>
      <c r="H984">
        <v>70804</v>
      </c>
      <c r="I984" s="6">
        <v>0</v>
      </c>
      <c r="J984" s="1">
        <v>42380.541921296295</v>
      </c>
      <c r="K984">
        <v>11.59</v>
      </c>
      <c r="L984" s="6">
        <f>('Pizza Sales Calculations'!$J984-'Pizza Sales Calculations'!$C984)*24*60</f>
        <v>2.9666666686534882</v>
      </c>
      <c r="M984">
        <f>COUNTA('Pizza Sales Calculations'!$D984:$F984)</f>
        <v>1</v>
      </c>
      <c r="R984" s="9">
        <f>IF('Pizza Sales Calculations'!$G984=TRUE, Parameters!$B$17*'Pizza Sales Calculations'!$L984*2, 0)</f>
        <v>0</v>
      </c>
      <c r="T984" s="6"/>
      <c r="U984" s="9"/>
    </row>
    <row r="985" spans="1:21" x14ac:dyDescent="0.2">
      <c r="A985">
        <v>984</v>
      </c>
      <c r="B985" s="1">
        <v>42380.469085648147</v>
      </c>
      <c r="C985" s="1">
        <v>42380.479502314818</v>
      </c>
      <c r="D985" t="s">
        <v>2</v>
      </c>
      <c r="G985" t="b">
        <v>1</v>
      </c>
      <c r="H985">
        <v>70805</v>
      </c>
      <c r="I985" s="6">
        <v>3.06105434523987</v>
      </c>
      <c r="J985" s="1">
        <v>42380.490127314813</v>
      </c>
      <c r="K985">
        <v>11.59</v>
      </c>
      <c r="L985" s="6">
        <f>('Pizza Sales Calculations'!$J985-'Pizza Sales Calculations'!$C985)*24*60</f>
        <v>15.299999993294477</v>
      </c>
      <c r="M985">
        <f>COUNTA('Pizza Sales Calculations'!$D985:$F985)</f>
        <v>1</v>
      </c>
      <c r="R985" s="9">
        <f>IF('Pizza Sales Calculations'!$G985=TRUE, Parameters!$B$17*'Pizza Sales Calculations'!$L985*2, 0)</f>
        <v>4.3349999981001019</v>
      </c>
      <c r="T985" s="6"/>
      <c r="U985" s="9"/>
    </row>
    <row r="986" spans="1:21" x14ac:dyDescent="0.2">
      <c r="A986">
        <v>985</v>
      </c>
      <c r="B986" s="1">
        <v>42380.435231481482</v>
      </c>
      <c r="C986" s="1">
        <v>42380.445648148147</v>
      </c>
      <c r="D986" t="s">
        <v>35</v>
      </c>
      <c r="G986" t="b">
        <v>0</v>
      </c>
      <c r="H986">
        <v>70804</v>
      </c>
      <c r="I986" s="6">
        <v>0</v>
      </c>
      <c r="J986" s="1">
        <v>42380.44771990741</v>
      </c>
      <c r="K986">
        <v>15.35</v>
      </c>
      <c r="L986" s="6">
        <f>('Pizza Sales Calculations'!$J986-'Pizza Sales Calculations'!$C986)*24*60</f>
        <v>2.9833333392161876</v>
      </c>
      <c r="M986">
        <f>COUNTA('Pizza Sales Calculations'!$D986:$F986)</f>
        <v>1</v>
      </c>
      <c r="R986" s="9">
        <f>IF('Pizza Sales Calculations'!$G986=TRUE, Parameters!$B$17*'Pizza Sales Calculations'!$L986*2, 0)</f>
        <v>0</v>
      </c>
      <c r="T986" s="6"/>
      <c r="U986" s="9"/>
    </row>
    <row r="987" spans="1:21" x14ac:dyDescent="0.2">
      <c r="A987">
        <v>986</v>
      </c>
      <c r="B987" s="1">
        <v>42380.461736111109</v>
      </c>
      <c r="C987" s="1">
        <v>42380.472141203703</v>
      </c>
      <c r="D987" t="s">
        <v>1</v>
      </c>
      <c r="E987" t="s">
        <v>2</v>
      </c>
      <c r="G987" t="b">
        <v>1</v>
      </c>
      <c r="H987">
        <v>70805</v>
      </c>
      <c r="I987" s="6">
        <v>1.74756379576123</v>
      </c>
      <c r="J987" s="1">
        <v>42380.478206018517</v>
      </c>
      <c r="K987">
        <v>19.579999999999998</v>
      </c>
      <c r="L987" s="6">
        <f>('Pizza Sales Calculations'!$J987-'Pizza Sales Calculations'!$C987)*24*60</f>
        <v>8.733333331765607</v>
      </c>
      <c r="M987">
        <f>COUNTA('Pizza Sales Calculations'!$D987:$F987)</f>
        <v>2</v>
      </c>
      <c r="R987" s="9">
        <f>IF('Pizza Sales Calculations'!$G987=TRUE, Parameters!$B$17*'Pizza Sales Calculations'!$L987*2, 0)</f>
        <v>2.4744444440002553</v>
      </c>
      <c r="T987" s="6"/>
      <c r="U987" s="9"/>
    </row>
    <row r="988" spans="1:21" x14ac:dyDescent="0.2">
      <c r="A988">
        <v>987</v>
      </c>
      <c r="B988" s="1">
        <v>42380.474803240744</v>
      </c>
      <c r="C988" s="1">
        <v>42380.485208333332</v>
      </c>
      <c r="D988" t="s">
        <v>2</v>
      </c>
      <c r="G988" t="b">
        <v>1</v>
      </c>
      <c r="H988">
        <v>70803</v>
      </c>
      <c r="I988" s="6">
        <v>1.63707859158011</v>
      </c>
      <c r="J988" s="1">
        <v>42380.490891203706</v>
      </c>
      <c r="K988">
        <v>11.59</v>
      </c>
      <c r="L988" s="6">
        <f>('Pizza Sales Calculations'!$J988-'Pizza Sales Calculations'!$C988)*24*60</f>
        <v>8.1833333394024521</v>
      </c>
      <c r="M988">
        <f>COUNTA('Pizza Sales Calculations'!$D988:$F988)</f>
        <v>1</v>
      </c>
      <c r="R988" s="9">
        <f>IF('Pizza Sales Calculations'!$G988=TRUE, Parameters!$B$17*'Pizza Sales Calculations'!$L988*2, 0)</f>
        <v>2.3186111128306948</v>
      </c>
      <c r="T988" s="6"/>
      <c r="U988" s="9"/>
    </row>
    <row r="989" spans="1:21" x14ac:dyDescent="0.2">
      <c r="A989">
        <v>988</v>
      </c>
      <c r="B989" s="1">
        <v>42380.469247685185</v>
      </c>
      <c r="C989" s="1">
        <v>42380.479664351849</v>
      </c>
      <c r="D989" t="s">
        <v>1</v>
      </c>
      <c r="E989" t="s">
        <v>2</v>
      </c>
      <c r="G989" t="b">
        <v>1</v>
      </c>
      <c r="H989">
        <v>70804</v>
      </c>
      <c r="I989" s="6">
        <v>2.4127197532775901</v>
      </c>
      <c r="J989" s="1">
        <v>42380.488032407404</v>
      </c>
      <c r="K989">
        <v>19.579999999999998</v>
      </c>
      <c r="L989" s="6">
        <f>('Pizza Sales Calculations'!$J989-'Pizza Sales Calculations'!$C989)*24*60</f>
        <v>12.049999998416752</v>
      </c>
      <c r="M989">
        <f>COUNTA('Pizza Sales Calculations'!$D989:$F989)</f>
        <v>2</v>
      </c>
      <c r="R989" s="9">
        <f>IF('Pizza Sales Calculations'!$G989=TRUE, Parameters!$B$17*'Pizza Sales Calculations'!$L989*2, 0)</f>
        <v>3.4141666662180796</v>
      </c>
      <c r="T989" s="6"/>
      <c r="U989" s="9"/>
    </row>
    <row r="990" spans="1:21" x14ac:dyDescent="0.2">
      <c r="A990">
        <v>989</v>
      </c>
      <c r="B990" s="1">
        <v>42380.46497685185</v>
      </c>
      <c r="C990" s="1">
        <v>42380.475381944445</v>
      </c>
      <c r="D990" t="s">
        <v>2</v>
      </c>
      <c r="G990" t="b">
        <v>0</v>
      </c>
      <c r="H990">
        <v>70803</v>
      </c>
      <c r="I990" s="6">
        <v>0</v>
      </c>
      <c r="J990" s="1">
        <v>42380.477476851855</v>
      </c>
      <c r="K990">
        <v>11.59</v>
      </c>
      <c r="L990" s="6">
        <f>('Pizza Sales Calculations'!$J990-'Pizza Sales Calculations'!$C990)*24*60</f>
        <v>3.0166666698642075</v>
      </c>
      <c r="M990">
        <f>COUNTA('Pizza Sales Calculations'!$D990:$F990)</f>
        <v>1</v>
      </c>
      <c r="R990" s="9">
        <f>IF('Pizza Sales Calculations'!$G990=TRUE, Parameters!$B$17*'Pizza Sales Calculations'!$L990*2, 0)</f>
        <v>0</v>
      </c>
      <c r="T990" s="6"/>
      <c r="U990" s="9"/>
    </row>
    <row r="991" spans="1:21" x14ac:dyDescent="0.2">
      <c r="A991">
        <v>990</v>
      </c>
      <c r="B991" s="1">
        <v>42380.561423611114</v>
      </c>
      <c r="C991" s="1">
        <v>42380.571851851855</v>
      </c>
      <c r="D991" t="s">
        <v>2</v>
      </c>
      <c r="G991" t="b">
        <v>0</v>
      </c>
      <c r="H991">
        <v>70806</v>
      </c>
      <c r="I991" s="6">
        <v>0</v>
      </c>
      <c r="J991" s="1">
        <v>42380.573912037034</v>
      </c>
      <c r="K991">
        <v>11.59</v>
      </c>
      <c r="L991" s="6">
        <f>('Pizza Sales Calculations'!$J991-'Pizza Sales Calculations'!$C991)*24*60</f>
        <v>2.9666666581761092</v>
      </c>
      <c r="M991">
        <f>COUNTA('Pizza Sales Calculations'!$D991:$F991)</f>
        <v>1</v>
      </c>
      <c r="R991" s="9">
        <f>IF('Pizza Sales Calculations'!$G991=TRUE, Parameters!$B$17*'Pizza Sales Calculations'!$L991*2, 0)</f>
        <v>0</v>
      </c>
      <c r="T991" s="6"/>
      <c r="U991" s="9"/>
    </row>
    <row r="992" spans="1:21" x14ac:dyDescent="0.2">
      <c r="A992">
        <v>991</v>
      </c>
      <c r="B992" s="1">
        <v>42380.476099537038</v>
      </c>
      <c r="C992" s="1">
        <v>42380.486504629633</v>
      </c>
      <c r="D992" t="s">
        <v>1</v>
      </c>
      <c r="E992" t="s">
        <v>35</v>
      </c>
      <c r="G992" t="b">
        <v>1</v>
      </c>
      <c r="H992">
        <v>70804</v>
      </c>
      <c r="I992" s="6">
        <v>2.0956189567229999</v>
      </c>
      <c r="J992" s="1">
        <v>42380.493773148148</v>
      </c>
      <c r="K992">
        <v>23.34</v>
      </c>
      <c r="L992" s="6">
        <f>('Pizza Sales Calculations'!$J992-'Pizza Sales Calculations'!$C992)*24*60</f>
        <v>10.466666661668569</v>
      </c>
      <c r="M992">
        <f>COUNTA('Pizza Sales Calculations'!$D992:$F992)</f>
        <v>2</v>
      </c>
      <c r="R992" s="9">
        <f>IF('Pizza Sales Calculations'!$G992=TRUE, Parameters!$B$17*'Pizza Sales Calculations'!$L992*2, 0)</f>
        <v>2.9655555541394278</v>
      </c>
      <c r="T992" s="6"/>
      <c r="U992" s="9"/>
    </row>
    <row r="993" spans="1:21" x14ac:dyDescent="0.2">
      <c r="A993">
        <v>992</v>
      </c>
      <c r="B993" s="1">
        <v>42380.43608796296</v>
      </c>
      <c r="C993" s="1">
        <v>42380.446481481478</v>
      </c>
      <c r="D993" t="s">
        <v>35</v>
      </c>
      <c r="G993" t="b">
        <v>0</v>
      </c>
      <c r="H993">
        <v>70806</v>
      </c>
      <c r="I993" s="6">
        <v>0</v>
      </c>
      <c r="J993" s="1">
        <v>42380.448564814818</v>
      </c>
      <c r="K993">
        <v>15.35</v>
      </c>
      <c r="L993" s="6">
        <f>('Pizza Sales Calculations'!$J993-'Pizza Sales Calculations'!$C993)*24*60</f>
        <v>3.000000009778887</v>
      </c>
      <c r="M993">
        <f>COUNTA('Pizza Sales Calculations'!$D993:$F993)</f>
        <v>1</v>
      </c>
      <c r="R993" s="9">
        <f>IF('Pizza Sales Calculations'!$G993=TRUE, Parameters!$B$17*'Pizza Sales Calculations'!$L993*2, 0)</f>
        <v>0</v>
      </c>
      <c r="T993" s="6"/>
      <c r="U993" s="9"/>
    </row>
    <row r="994" spans="1:21" x14ac:dyDescent="0.2">
      <c r="A994">
        <v>993</v>
      </c>
      <c r="B994" s="1">
        <v>42380.538206018522</v>
      </c>
      <c r="C994" s="1">
        <v>42380.54859953704</v>
      </c>
      <c r="D994" t="s">
        <v>1</v>
      </c>
      <c r="E994" t="s">
        <v>2</v>
      </c>
      <c r="G994" t="b">
        <v>0</v>
      </c>
      <c r="H994">
        <v>70807</v>
      </c>
      <c r="I994" s="6">
        <v>0</v>
      </c>
      <c r="J994" s="1">
        <v>42380.550682870373</v>
      </c>
      <c r="K994">
        <v>19.579999999999998</v>
      </c>
      <c r="L994" s="6">
        <f>('Pizza Sales Calculations'!$J994-'Pizza Sales Calculations'!$C994)*24*60</f>
        <v>2.9999999993015081</v>
      </c>
      <c r="M994">
        <f>COUNTA('Pizza Sales Calculations'!$D994:$F994)</f>
        <v>2</v>
      </c>
      <c r="R994" s="9">
        <f>IF('Pizza Sales Calculations'!$G994=TRUE, Parameters!$B$17*'Pizza Sales Calculations'!$L994*2, 0)</f>
        <v>0</v>
      </c>
      <c r="T994" s="6"/>
      <c r="U994" s="9"/>
    </row>
    <row r="995" spans="1:21" x14ac:dyDescent="0.2">
      <c r="A995">
        <v>994</v>
      </c>
      <c r="B995" s="1">
        <v>42380.428101851852</v>
      </c>
      <c r="C995" s="1">
        <v>42380.438506944447</v>
      </c>
      <c r="D995" t="s">
        <v>35</v>
      </c>
      <c r="G995" t="b">
        <v>1</v>
      </c>
      <c r="H995">
        <v>70805</v>
      </c>
      <c r="I995" s="6">
        <v>4.1060321902483103</v>
      </c>
      <c r="J995" s="1">
        <v>42380.45275462963</v>
      </c>
      <c r="K995">
        <v>15.35</v>
      </c>
      <c r="L995" s="6">
        <f>('Pizza Sales Calculations'!$J995-'Pizza Sales Calculations'!$C995)*24*60</f>
        <v>20.516666664043441</v>
      </c>
      <c r="M995">
        <f>COUNTA('Pizza Sales Calculations'!$D995:$F995)</f>
        <v>1</v>
      </c>
      <c r="R995" s="9">
        <f>IF('Pizza Sales Calculations'!$G995=TRUE, Parameters!$B$17*'Pizza Sales Calculations'!$L995*2, 0)</f>
        <v>5.8130555548123084</v>
      </c>
      <c r="T995" s="6"/>
      <c r="U995" s="9"/>
    </row>
    <row r="996" spans="1:21" x14ac:dyDescent="0.2">
      <c r="A996">
        <v>995</v>
      </c>
      <c r="B996" s="1">
        <v>42380.473587962966</v>
      </c>
      <c r="C996" s="1">
        <v>42380.48400462963</v>
      </c>
      <c r="D996" t="s">
        <v>2</v>
      </c>
      <c r="G996" t="b">
        <v>0</v>
      </c>
      <c r="H996">
        <v>70806</v>
      </c>
      <c r="I996" s="6">
        <v>0</v>
      </c>
      <c r="J996" s="1">
        <v>42380.486087962963</v>
      </c>
      <c r="K996">
        <v>11.59</v>
      </c>
      <c r="L996" s="6">
        <f>('Pizza Sales Calculations'!$J996-'Pizza Sales Calculations'!$C996)*24*60</f>
        <v>2.9999999993015081</v>
      </c>
      <c r="M996">
        <f>COUNTA('Pizza Sales Calculations'!$D996:$F996)</f>
        <v>1</v>
      </c>
      <c r="R996" s="9">
        <f>IF('Pizza Sales Calculations'!$G996=TRUE, Parameters!$B$17*'Pizza Sales Calculations'!$L996*2, 0)</f>
        <v>0</v>
      </c>
      <c r="T996" s="6"/>
      <c r="U996" s="9"/>
    </row>
    <row r="997" spans="1:21" x14ac:dyDescent="0.2">
      <c r="A997">
        <v>996</v>
      </c>
      <c r="B997" s="1">
        <v>42380.439236111109</v>
      </c>
      <c r="C997" s="1">
        <v>42380.449641203704</v>
      </c>
      <c r="D997" t="s">
        <v>2</v>
      </c>
      <c r="G997" t="b">
        <v>0</v>
      </c>
      <c r="H997">
        <v>70804</v>
      </c>
      <c r="I997" s="6">
        <v>0</v>
      </c>
      <c r="J997" s="1">
        <v>42380.45171296296</v>
      </c>
      <c r="K997">
        <v>11.59</v>
      </c>
      <c r="L997" s="6">
        <f>('Pizza Sales Calculations'!$J997-'Pizza Sales Calculations'!$C997)*24*60</f>
        <v>2.9833333287388086</v>
      </c>
      <c r="M997">
        <f>COUNTA('Pizza Sales Calculations'!$D997:$F997)</f>
        <v>1</v>
      </c>
      <c r="R997" s="9">
        <f>IF('Pizza Sales Calculations'!$G997=TRUE, Parameters!$B$17*'Pizza Sales Calculations'!$L997*2, 0)</f>
        <v>0</v>
      </c>
      <c r="T997" s="6"/>
      <c r="U997" s="9"/>
    </row>
    <row r="998" spans="1:21" x14ac:dyDescent="0.2">
      <c r="A998">
        <v>997</v>
      </c>
      <c r="B998" s="1">
        <v>42380.448414351849</v>
      </c>
      <c r="C998" s="1">
        <v>42380.458819444444</v>
      </c>
      <c r="D998" t="s">
        <v>2</v>
      </c>
      <c r="G998" t="b">
        <v>0</v>
      </c>
      <c r="H998">
        <v>70808</v>
      </c>
      <c r="I998" s="6">
        <v>0</v>
      </c>
      <c r="J998" s="1">
        <v>42380.4608912037</v>
      </c>
      <c r="K998">
        <v>11.59</v>
      </c>
      <c r="L998" s="6">
        <f>('Pizza Sales Calculations'!$J998-'Pizza Sales Calculations'!$C998)*24*60</f>
        <v>2.9833333287388086</v>
      </c>
      <c r="M998">
        <f>COUNTA('Pizza Sales Calculations'!$D998:$F998)</f>
        <v>1</v>
      </c>
      <c r="R998" s="9">
        <f>IF('Pizza Sales Calculations'!$G998=TRUE, Parameters!$B$17*'Pizza Sales Calculations'!$L998*2, 0)</f>
        <v>0</v>
      </c>
      <c r="T998" s="6"/>
      <c r="U998" s="9"/>
    </row>
    <row r="999" spans="1:21" x14ac:dyDescent="0.2">
      <c r="A999">
        <v>998</v>
      </c>
      <c r="B999" s="1">
        <v>42380.494108796294</v>
      </c>
      <c r="C999" s="1">
        <v>42380.504513888889</v>
      </c>
      <c r="D999" t="s">
        <v>1</v>
      </c>
      <c r="G999" t="b">
        <v>1</v>
      </c>
      <c r="H999">
        <v>70804</v>
      </c>
      <c r="I999" s="6">
        <v>3.09713517372733</v>
      </c>
      <c r="J999" s="1">
        <v>42380.515266203707</v>
      </c>
      <c r="K999">
        <v>7.99</v>
      </c>
      <c r="L999" s="6">
        <f>('Pizza Sales Calculations'!$J999-'Pizza Sales Calculations'!$C999)*24*60</f>
        <v>15.483333338052034</v>
      </c>
      <c r="M999">
        <f>COUNTA('Pizza Sales Calculations'!$D999:$F999)</f>
        <v>1</v>
      </c>
      <c r="R999" s="9">
        <f>IF('Pizza Sales Calculations'!$G999=TRUE, Parameters!$B$17*'Pizza Sales Calculations'!$L999*2, 0)</f>
        <v>4.3869444457814097</v>
      </c>
      <c r="T999" s="6"/>
      <c r="U999" s="9"/>
    </row>
    <row r="1000" spans="1:21" x14ac:dyDescent="0.2">
      <c r="A1000">
        <v>999</v>
      </c>
      <c r="B1000" s="1">
        <v>42380.478298611109</v>
      </c>
      <c r="C1000" s="1">
        <v>42380.488703703704</v>
      </c>
      <c r="D1000" t="s">
        <v>2</v>
      </c>
      <c r="G1000" t="b">
        <v>1</v>
      </c>
      <c r="H1000">
        <v>70804</v>
      </c>
      <c r="I1000" s="6">
        <v>3.7480151284650001</v>
      </c>
      <c r="J1000" s="1">
        <v>42380.501712962963</v>
      </c>
      <c r="K1000">
        <v>11.59</v>
      </c>
      <c r="L1000" s="6">
        <f>('Pizza Sales Calculations'!$J1000-'Pizza Sales Calculations'!$C1000)*24*60</f>
        <v>18.73333333292976</v>
      </c>
      <c r="M1000">
        <f>COUNTA('Pizza Sales Calculations'!$D1000:$F1000)</f>
        <v>1</v>
      </c>
      <c r="R1000" s="9">
        <f>IF('Pizza Sales Calculations'!$G1000=TRUE, Parameters!$B$17*'Pizza Sales Calculations'!$L1000*2, 0)</f>
        <v>5.3077777776634321</v>
      </c>
      <c r="T1000" s="6"/>
      <c r="U1000" s="9"/>
    </row>
    <row r="1001" spans="1:21" x14ac:dyDescent="0.2">
      <c r="A1001">
        <v>1000</v>
      </c>
      <c r="B1001" s="1">
        <v>42380.53570601852</v>
      </c>
      <c r="C1001" s="1">
        <v>42380.546111111114</v>
      </c>
      <c r="D1001" t="s">
        <v>2</v>
      </c>
      <c r="G1001" t="b">
        <v>1</v>
      </c>
      <c r="H1001">
        <v>70805</v>
      </c>
      <c r="I1001" s="6">
        <v>2.4956274696621898</v>
      </c>
      <c r="J1001" s="1">
        <v>42380.554768518516</v>
      </c>
      <c r="K1001">
        <v>11.59</v>
      </c>
      <c r="L1001" s="6">
        <f>('Pizza Sales Calculations'!$J1001-'Pizza Sales Calculations'!$C1001)*24*60</f>
        <v>12.466666657710448</v>
      </c>
      <c r="M1001">
        <f>COUNTA('Pizza Sales Calculations'!$D1001:$F1001)</f>
        <v>1</v>
      </c>
      <c r="R1001" s="9">
        <f>IF('Pizza Sales Calculations'!$G1001=TRUE, Parameters!$B$17*'Pizza Sales Calculations'!$L1001*2, 0)</f>
        <v>3.5322222196846269</v>
      </c>
      <c r="T1001" s="6"/>
      <c r="U1001" s="9"/>
    </row>
    <row r="1002" spans="1:21" x14ac:dyDescent="0.2">
      <c r="A1002">
        <v>1001</v>
      </c>
      <c r="B1002" s="1">
        <v>42380.524606481478</v>
      </c>
      <c r="C1002" s="1">
        <v>42380.535034722219</v>
      </c>
      <c r="D1002" t="s">
        <v>2</v>
      </c>
      <c r="G1002" t="b">
        <v>0</v>
      </c>
      <c r="H1002">
        <v>70804</v>
      </c>
      <c r="I1002" s="6">
        <v>0</v>
      </c>
      <c r="J1002" s="1">
        <v>42380.537118055552</v>
      </c>
      <c r="K1002">
        <v>11.59</v>
      </c>
      <c r="L1002" s="6">
        <f>('Pizza Sales Calculations'!$J1002-'Pizza Sales Calculations'!$C1002)*24*60</f>
        <v>2.9999999993015081</v>
      </c>
      <c r="M1002">
        <f>COUNTA('Pizza Sales Calculations'!$D1002:$F1002)</f>
        <v>1</v>
      </c>
      <c r="R1002" s="9">
        <f>IF('Pizza Sales Calculations'!$G1002=TRUE, Parameters!$B$17*'Pizza Sales Calculations'!$L1002*2, 0)</f>
        <v>0</v>
      </c>
      <c r="T1002" s="6"/>
      <c r="U1002" s="9"/>
    </row>
    <row r="1003" spans="1:21" x14ac:dyDescent="0.2">
      <c r="A1003">
        <v>1002</v>
      </c>
      <c r="B1003" s="1">
        <v>42380.515879629631</v>
      </c>
      <c r="C1003" s="1">
        <v>42380.526296296295</v>
      </c>
      <c r="D1003" t="s">
        <v>35</v>
      </c>
      <c r="G1003" t="b">
        <v>1</v>
      </c>
      <c r="H1003">
        <v>70805</v>
      </c>
      <c r="I1003" s="6">
        <v>1.4968833848190199</v>
      </c>
      <c r="J1003" s="1">
        <v>42380.531493055554</v>
      </c>
      <c r="K1003">
        <v>15.35</v>
      </c>
      <c r="L1003" s="6">
        <f>('Pizza Sales Calculations'!$J1003-'Pizza Sales Calculations'!$C1003)*24*60</f>
        <v>7.4833333329297602</v>
      </c>
      <c r="M1003">
        <f>COUNTA('Pizza Sales Calculations'!$D1003:$F1003)</f>
        <v>1</v>
      </c>
      <c r="R1003" s="9">
        <f>IF('Pizza Sales Calculations'!$G1003=TRUE, Parameters!$B$17*'Pizza Sales Calculations'!$L1003*2, 0)</f>
        <v>2.1202777776634321</v>
      </c>
      <c r="T1003" s="6"/>
      <c r="U1003" s="9"/>
    </row>
    <row r="1004" spans="1:21" x14ac:dyDescent="0.2">
      <c r="A1004">
        <v>1003</v>
      </c>
      <c r="B1004" s="1">
        <v>42380.434351851851</v>
      </c>
      <c r="C1004" s="1">
        <v>42380.444780092592</v>
      </c>
      <c r="D1004" t="s">
        <v>1</v>
      </c>
      <c r="E1004" t="s">
        <v>35</v>
      </c>
      <c r="G1004" t="b">
        <v>0</v>
      </c>
      <c r="H1004">
        <v>70804</v>
      </c>
      <c r="I1004" s="6">
        <v>0</v>
      </c>
      <c r="J1004" s="1">
        <v>42380.446875000001</v>
      </c>
      <c r="K1004">
        <v>23.34</v>
      </c>
      <c r="L1004" s="6">
        <f>('Pizza Sales Calculations'!$J1004-'Pizza Sales Calculations'!$C1004)*24*60</f>
        <v>3.0166666698642075</v>
      </c>
      <c r="M1004">
        <f>COUNTA('Pizza Sales Calculations'!$D1004:$F1004)</f>
        <v>2</v>
      </c>
      <c r="R1004" s="9">
        <f>IF('Pizza Sales Calculations'!$G1004=TRUE, Parameters!$B$17*'Pizza Sales Calculations'!$L1004*2, 0)</f>
        <v>0</v>
      </c>
      <c r="T1004" s="6"/>
      <c r="U1004" s="9"/>
    </row>
    <row r="1005" spans="1:21" x14ac:dyDescent="0.2">
      <c r="A1005">
        <v>1004</v>
      </c>
      <c r="B1005" s="1">
        <v>42380.571273148147</v>
      </c>
      <c r="C1005" s="1">
        <v>42380.581689814811</v>
      </c>
      <c r="D1005" t="s">
        <v>2</v>
      </c>
      <c r="G1005" t="b">
        <v>0</v>
      </c>
      <c r="H1005">
        <v>70806</v>
      </c>
      <c r="I1005" s="6">
        <v>0</v>
      </c>
      <c r="J1005" s="1">
        <v>42380.583761574075</v>
      </c>
      <c r="K1005">
        <v>11.59</v>
      </c>
      <c r="L1005" s="6">
        <f>('Pizza Sales Calculations'!$J1005-'Pizza Sales Calculations'!$C1005)*24*60</f>
        <v>2.9833333392161876</v>
      </c>
      <c r="M1005">
        <f>COUNTA('Pizza Sales Calculations'!$D1005:$F1005)</f>
        <v>1</v>
      </c>
      <c r="R1005" s="9">
        <f>IF('Pizza Sales Calculations'!$G1005=TRUE, Parameters!$B$17*'Pizza Sales Calculations'!$L1005*2, 0)</f>
        <v>0</v>
      </c>
      <c r="T1005" s="6"/>
      <c r="U1005" s="9"/>
    </row>
    <row r="1006" spans="1:21" x14ac:dyDescent="0.2">
      <c r="A1006">
        <v>1005</v>
      </c>
      <c r="B1006" s="1">
        <v>42380.466365740744</v>
      </c>
      <c r="C1006" s="1">
        <v>42380.476793981485</v>
      </c>
      <c r="D1006" t="s">
        <v>1</v>
      </c>
      <c r="E1006" t="s">
        <v>35</v>
      </c>
      <c r="G1006" t="b">
        <v>1</v>
      </c>
      <c r="H1006">
        <v>70805</v>
      </c>
      <c r="I1006" s="6">
        <v>3.8917914303085799</v>
      </c>
      <c r="J1006" s="1">
        <v>42380.490300925929</v>
      </c>
      <c r="K1006">
        <v>23.34</v>
      </c>
      <c r="L1006" s="6">
        <f>('Pizza Sales Calculations'!$J1006-'Pizza Sales Calculations'!$C1006)*24*60</f>
        <v>19.449999999487773</v>
      </c>
      <c r="M1006">
        <f>COUNTA('Pizza Sales Calculations'!$D1006:$F1006)</f>
        <v>2</v>
      </c>
      <c r="R1006" s="9">
        <f>IF('Pizza Sales Calculations'!$G1006=TRUE, Parameters!$B$17*'Pizza Sales Calculations'!$L1006*2, 0)</f>
        <v>5.5108333331882022</v>
      </c>
      <c r="T1006" s="6"/>
      <c r="U1006" s="9"/>
    </row>
    <row r="1007" spans="1:21" x14ac:dyDescent="0.2">
      <c r="A1007">
        <v>1006</v>
      </c>
      <c r="B1007" s="1">
        <v>42380.518599537034</v>
      </c>
      <c r="C1007" s="1">
        <v>42380.529016203705</v>
      </c>
      <c r="D1007" t="s">
        <v>1</v>
      </c>
      <c r="E1007" t="s">
        <v>2</v>
      </c>
      <c r="G1007" t="b">
        <v>1</v>
      </c>
      <c r="H1007">
        <v>70804</v>
      </c>
      <c r="I1007" s="6">
        <v>2.79604109235818</v>
      </c>
      <c r="J1007" s="1">
        <v>42380.538715277777</v>
      </c>
      <c r="K1007">
        <v>19.579999999999998</v>
      </c>
      <c r="L1007" s="6">
        <f>('Pizza Sales Calculations'!$J1007-'Pizza Sales Calculations'!$C1007)*24*60</f>
        <v>13.966666662599891</v>
      </c>
      <c r="M1007">
        <f>COUNTA('Pizza Sales Calculations'!$D1007:$F1007)</f>
        <v>2</v>
      </c>
      <c r="R1007" s="9">
        <f>IF('Pizza Sales Calculations'!$G1007=TRUE, Parameters!$B$17*'Pizza Sales Calculations'!$L1007*2, 0)</f>
        <v>3.9572222210699692</v>
      </c>
      <c r="T1007" s="6"/>
      <c r="U1007" s="9"/>
    </row>
    <row r="1008" spans="1:21" x14ac:dyDescent="0.2">
      <c r="A1008">
        <v>1007</v>
      </c>
      <c r="B1008" s="1">
        <v>42380.566504629627</v>
      </c>
      <c r="C1008" s="1">
        <v>42380.576909722222</v>
      </c>
      <c r="D1008" t="s">
        <v>2</v>
      </c>
      <c r="G1008" t="b">
        <v>0</v>
      </c>
      <c r="H1008">
        <v>70805</v>
      </c>
      <c r="I1008" s="6">
        <v>0</v>
      </c>
      <c r="J1008" s="1">
        <v>42380.578981481478</v>
      </c>
      <c r="K1008">
        <v>11.59</v>
      </c>
      <c r="L1008" s="6">
        <f>('Pizza Sales Calculations'!$J1008-'Pizza Sales Calculations'!$C1008)*24*60</f>
        <v>2.9833333287388086</v>
      </c>
      <c r="M1008">
        <f>COUNTA('Pizza Sales Calculations'!$D1008:$F1008)</f>
        <v>1</v>
      </c>
      <c r="R1008" s="9">
        <f>IF('Pizza Sales Calculations'!$G1008=TRUE, Parameters!$B$17*'Pizza Sales Calculations'!$L1008*2, 0)</f>
        <v>0</v>
      </c>
      <c r="T1008" s="6"/>
      <c r="U1008" s="9"/>
    </row>
    <row r="1009" spans="1:21" x14ac:dyDescent="0.2">
      <c r="A1009">
        <v>1008</v>
      </c>
      <c r="B1009" s="1">
        <v>42380.505879629629</v>
      </c>
      <c r="C1009" s="1">
        <v>42380.516296296293</v>
      </c>
      <c r="D1009" t="s">
        <v>1</v>
      </c>
      <c r="E1009" t="s">
        <v>2</v>
      </c>
      <c r="G1009" t="b">
        <v>0</v>
      </c>
      <c r="H1009">
        <v>70807</v>
      </c>
      <c r="I1009" s="6">
        <v>0</v>
      </c>
      <c r="J1009" s="1">
        <v>42380.518391203703</v>
      </c>
      <c r="K1009">
        <v>19.579999999999998</v>
      </c>
      <c r="L1009" s="6">
        <f>('Pizza Sales Calculations'!$J1009-'Pizza Sales Calculations'!$C1009)*24*60</f>
        <v>3.0166666698642075</v>
      </c>
      <c r="M1009">
        <f>COUNTA('Pizza Sales Calculations'!$D1009:$F1009)</f>
        <v>2</v>
      </c>
      <c r="R1009" s="9">
        <f>IF('Pizza Sales Calculations'!$G1009=TRUE, Parameters!$B$17*'Pizza Sales Calculations'!$L1009*2, 0)</f>
        <v>0</v>
      </c>
      <c r="T1009" s="6"/>
      <c r="U1009" s="9"/>
    </row>
    <row r="1010" spans="1:21" x14ac:dyDescent="0.2">
      <c r="A1010">
        <v>1009</v>
      </c>
      <c r="B1010" s="1">
        <v>42380.477581018517</v>
      </c>
      <c r="C1010" s="1">
        <v>42380.487997685188</v>
      </c>
      <c r="D1010" t="s">
        <v>2</v>
      </c>
      <c r="G1010" t="b">
        <v>1</v>
      </c>
      <c r="H1010">
        <v>70805</v>
      </c>
      <c r="I1010" s="6">
        <v>1.9595570890155201</v>
      </c>
      <c r="J1010" s="1">
        <v>42380.494791666664</v>
      </c>
      <c r="K1010">
        <v>11.59</v>
      </c>
      <c r="L1010" s="6">
        <f>('Pizza Sales Calculations'!$J1010-'Pizza Sales Calculations'!$C1010)*24*60</f>
        <v>9.7833333257585764</v>
      </c>
      <c r="M1010">
        <f>COUNTA('Pizza Sales Calculations'!$D1010:$F1010)</f>
        <v>1</v>
      </c>
      <c r="R1010" s="9">
        <f>IF('Pizza Sales Calculations'!$G1010=TRUE, Parameters!$B$17*'Pizza Sales Calculations'!$L1010*2, 0)</f>
        <v>2.7719444422982633</v>
      </c>
      <c r="T1010" s="6"/>
      <c r="U1010" s="9"/>
    </row>
    <row r="1011" spans="1:21" x14ac:dyDescent="0.2">
      <c r="A1011">
        <v>1010</v>
      </c>
      <c r="B1011" s="1">
        <v>42380.468090277776</v>
      </c>
      <c r="C1011" s="1">
        <v>42380.478506944448</v>
      </c>
      <c r="D1011" t="s">
        <v>1</v>
      </c>
      <c r="E1011" t="s">
        <v>2</v>
      </c>
      <c r="G1011" t="b">
        <v>1</v>
      </c>
      <c r="H1011">
        <v>70808</v>
      </c>
      <c r="I1011" s="6">
        <v>1.8735961521715201</v>
      </c>
      <c r="J1011" s="1">
        <v>42380.485011574077</v>
      </c>
      <c r="K1011">
        <v>19.579999999999998</v>
      </c>
      <c r="L1011" s="6">
        <f>('Pizza Sales Calculations'!$J1011-'Pizza Sales Calculations'!$C1011)*24*60</f>
        <v>9.3666666664648801</v>
      </c>
      <c r="M1011">
        <f>COUNTA('Pizza Sales Calculations'!$D1011:$F1011)</f>
        <v>2</v>
      </c>
      <c r="R1011" s="9">
        <f>IF('Pizza Sales Calculations'!$G1011=TRUE, Parameters!$B$17*'Pizza Sales Calculations'!$L1011*2, 0)</f>
        <v>2.653888888831716</v>
      </c>
      <c r="T1011" s="6"/>
      <c r="U1011" s="9"/>
    </row>
    <row r="1012" spans="1:21" x14ac:dyDescent="0.2">
      <c r="A1012">
        <v>1011</v>
      </c>
      <c r="B1012" s="1">
        <v>42380.46298611111</v>
      </c>
      <c r="C1012" s="1">
        <v>42380.473402777781</v>
      </c>
      <c r="D1012" t="s">
        <v>35</v>
      </c>
      <c r="G1012" t="b">
        <v>0</v>
      </c>
      <c r="H1012">
        <v>70805</v>
      </c>
      <c r="I1012" s="6">
        <v>0</v>
      </c>
      <c r="J1012" s="1">
        <v>42380.475497685184</v>
      </c>
      <c r="K1012">
        <v>15.35</v>
      </c>
      <c r="L1012" s="6">
        <f>('Pizza Sales Calculations'!$J1012-'Pizza Sales Calculations'!$C1012)*24*60</f>
        <v>3.0166666593868285</v>
      </c>
      <c r="M1012">
        <f>COUNTA('Pizza Sales Calculations'!$D1012:$F1012)</f>
        <v>1</v>
      </c>
      <c r="R1012" s="9">
        <f>IF('Pizza Sales Calculations'!$G1012=TRUE, Parameters!$B$17*'Pizza Sales Calculations'!$L1012*2, 0)</f>
        <v>0</v>
      </c>
      <c r="T1012" s="6"/>
      <c r="U1012" s="9"/>
    </row>
    <row r="1013" spans="1:21" x14ac:dyDescent="0.2">
      <c r="A1013">
        <v>1012</v>
      </c>
      <c r="B1013" s="1">
        <v>42380.519837962966</v>
      </c>
      <c r="C1013" s="1">
        <v>42380.530243055553</v>
      </c>
      <c r="D1013" t="s">
        <v>2</v>
      </c>
      <c r="G1013" t="b">
        <v>1</v>
      </c>
      <c r="H1013">
        <v>70805</v>
      </c>
      <c r="I1013" s="6">
        <v>3.8912597164256799</v>
      </c>
      <c r="J1013" s="1">
        <v>42380.543749999997</v>
      </c>
      <c r="K1013">
        <v>11.59</v>
      </c>
      <c r="L1013" s="6">
        <f>('Pizza Sales Calculations'!$J1013-'Pizza Sales Calculations'!$C1013)*24*60</f>
        <v>19.449999999487773</v>
      </c>
      <c r="M1013">
        <f>COUNTA('Pizza Sales Calculations'!$D1013:$F1013)</f>
        <v>1</v>
      </c>
      <c r="R1013" s="9">
        <f>IF('Pizza Sales Calculations'!$G1013=TRUE, Parameters!$B$17*'Pizza Sales Calculations'!$L1013*2, 0)</f>
        <v>5.5108333331882022</v>
      </c>
      <c r="T1013" s="6"/>
      <c r="U1013" s="9"/>
    </row>
    <row r="1014" spans="1:21" x14ac:dyDescent="0.2">
      <c r="A1014">
        <v>1013</v>
      </c>
      <c r="B1014" s="1">
        <v>42380.507361111115</v>
      </c>
      <c r="C1014" s="1">
        <v>42380.517800925925</v>
      </c>
      <c r="D1014" t="s">
        <v>2</v>
      </c>
      <c r="G1014" t="b">
        <v>1</v>
      </c>
      <c r="H1014">
        <v>70805</v>
      </c>
      <c r="I1014" s="6">
        <v>0.92288771619889898</v>
      </c>
      <c r="J1014" s="1">
        <v>42380.520995370367</v>
      </c>
      <c r="K1014">
        <v>11.59</v>
      </c>
      <c r="L1014" s="6">
        <f>('Pizza Sales Calculations'!$J1014-'Pizza Sales Calculations'!$C1014)*24*60</f>
        <v>4.5999999961350113</v>
      </c>
      <c r="M1014">
        <f>COUNTA('Pizza Sales Calculations'!$D1014:$F1014)</f>
        <v>1</v>
      </c>
      <c r="R1014" s="9">
        <f>IF('Pizza Sales Calculations'!$G1014=TRUE, Parameters!$B$17*'Pizza Sales Calculations'!$L1014*2, 0)</f>
        <v>1.3033333322382532</v>
      </c>
      <c r="T1014" s="6"/>
      <c r="U1014" s="9"/>
    </row>
    <row r="1015" spans="1:21" x14ac:dyDescent="0.2">
      <c r="A1015">
        <v>1014</v>
      </c>
      <c r="B1015" s="1">
        <v>42380.482395833336</v>
      </c>
      <c r="C1015" s="1">
        <v>42380.492824074077</v>
      </c>
      <c r="D1015" t="s">
        <v>2</v>
      </c>
      <c r="G1015" t="b">
        <v>0</v>
      </c>
      <c r="H1015">
        <v>70805</v>
      </c>
      <c r="I1015" s="6">
        <v>0</v>
      </c>
      <c r="J1015" s="1">
        <v>42380.494884259257</v>
      </c>
      <c r="K1015">
        <v>11.59</v>
      </c>
      <c r="L1015" s="6">
        <f>('Pizza Sales Calculations'!$J1015-'Pizza Sales Calculations'!$C1015)*24*60</f>
        <v>2.9666666581761092</v>
      </c>
      <c r="M1015">
        <f>COUNTA('Pizza Sales Calculations'!$D1015:$F1015)</f>
        <v>1</v>
      </c>
      <c r="R1015" s="9">
        <f>IF('Pizza Sales Calculations'!$G1015=TRUE, Parameters!$B$17*'Pizza Sales Calculations'!$L1015*2, 0)</f>
        <v>0</v>
      </c>
      <c r="T1015" s="6"/>
      <c r="U1015" s="9"/>
    </row>
    <row r="1016" spans="1:21" x14ac:dyDescent="0.2">
      <c r="A1016">
        <v>1015</v>
      </c>
      <c r="B1016" s="1">
        <v>42380.475983796299</v>
      </c>
      <c r="C1016" s="1">
        <v>42380.486388888887</v>
      </c>
      <c r="D1016" t="s">
        <v>1</v>
      </c>
      <c r="E1016" t="s">
        <v>2</v>
      </c>
      <c r="G1016" t="b">
        <v>0</v>
      </c>
      <c r="H1016">
        <v>70804</v>
      </c>
      <c r="I1016" s="6">
        <v>0</v>
      </c>
      <c r="J1016" s="1">
        <v>42380.48846064815</v>
      </c>
      <c r="K1016">
        <v>19.579999999999998</v>
      </c>
      <c r="L1016" s="6">
        <f>('Pizza Sales Calculations'!$J1016-'Pizza Sales Calculations'!$C1016)*24*60</f>
        <v>2.9833333392161876</v>
      </c>
      <c r="M1016">
        <f>COUNTA('Pizza Sales Calculations'!$D1016:$F1016)</f>
        <v>2</v>
      </c>
      <c r="R1016" s="9">
        <f>IF('Pizza Sales Calculations'!$G1016=TRUE, Parameters!$B$17*'Pizza Sales Calculations'!$L1016*2, 0)</f>
        <v>0</v>
      </c>
      <c r="T1016" s="6"/>
      <c r="U1016" s="9"/>
    </row>
    <row r="1017" spans="1:21" x14ac:dyDescent="0.2">
      <c r="A1017">
        <v>1016</v>
      </c>
      <c r="B1017" s="1">
        <v>42380.538773148146</v>
      </c>
      <c r="C1017" s="1">
        <v>42380.549178240741</v>
      </c>
      <c r="D1017" t="s">
        <v>1</v>
      </c>
      <c r="E1017" t="s">
        <v>35</v>
      </c>
      <c r="G1017" t="b">
        <v>1</v>
      </c>
      <c r="H1017">
        <v>70803</v>
      </c>
      <c r="I1017" s="6">
        <v>1.71825832419332</v>
      </c>
      <c r="J1017" s="1">
        <v>42380.555138888885</v>
      </c>
      <c r="K1017">
        <v>23.34</v>
      </c>
      <c r="L1017" s="6">
        <f>('Pizza Sales Calculations'!$J1017-'Pizza Sales Calculations'!$C1017)*24*60</f>
        <v>8.583333328133449</v>
      </c>
      <c r="M1017">
        <f>COUNTA('Pizza Sales Calculations'!$D1017:$F1017)</f>
        <v>2</v>
      </c>
      <c r="R1017" s="9">
        <f>IF('Pizza Sales Calculations'!$G1017=TRUE, Parameters!$B$17*'Pizza Sales Calculations'!$L1017*2, 0)</f>
        <v>2.4319444429711439</v>
      </c>
      <c r="T1017" s="6"/>
      <c r="U1017" s="9"/>
    </row>
    <row r="1018" spans="1:21" x14ac:dyDescent="0.2">
      <c r="A1018">
        <v>1017</v>
      </c>
      <c r="B1018" s="1">
        <v>42380.464432870373</v>
      </c>
      <c r="C1018" s="1">
        <v>42380.474861111114</v>
      </c>
      <c r="D1018" t="s">
        <v>1</v>
      </c>
      <c r="E1018" t="s">
        <v>35</v>
      </c>
      <c r="G1018" t="b">
        <v>1</v>
      </c>
      <c r="H1018">
        <v>70805</v>
      </c>
      <c r="I1018" s="6">
        <v>2.66467987052035</v>
      </c>
      <c r="J1018" s="1">
        <v>42380.4841087963</v>
      </c>
      <c r="K1018">
        <v>23.34</v>
      </c>
      <c r="L1018" s="6">
        <f>('Pizza Sales Calculations'!$J1018-'Pizza Sales Calculations'!$C1018)*24*60</f>
        <v>13.316666667815298</v>
      </c>
      <c r="M1018">
        <f>COUNTA('Pizza Sales Calculations'!$D1018:$F1018)</f>
        <v>2</v>
      </c>
      <c r="R1018" s="9">
        <f>IF('Pizza Sales Calculations'!$G1018=TRUE, Parameters!$B$17*'Pizza Sales Calculations'!$L1018*2, 0)</f>
        <v>3.7730555558810011</v>
      </c>
      <c r="T1018" s="6"/>
      <c r="U1018" s="9"/>
    </row>
    <row r="1019" spans="1:21" x14ac:dyDescent="0.2">
      <c r="A1019">
        <v>1018</v>
      </c>
      <c r="B1019" s="1">
        <v>42380.530601851853</v>
      </c>
      <c r="C1019" s="1">
        <v>42380.540995370371</v>
      </c>
      <c r="D1019" t="s">
        <v>2</v>
      </c>
      <c r="G1019" t="b">
        <v>0</v>
      </c>
      <c r="H1019">
        <v>70804</v>
      </c>
      <c r="I1019" s="6">
        <v>0</v>
      </c>
      <c r="J1019" s="1">
        <v>42380.543055555558</v>
      </c>
      <c r="K1019">
        <v>11.59</v>
      </c>
      <c r="L1019" s="6">
        <f>('Pizza Sales Calculations'!$J1019-'Pizza Sales Calculations'!$C1019)*24*60</f>
        <v>2.9666666686534882</v>
      </c>
      <c r="M1019">
        <f>COUNTA('Pizza Sales Calculations'!$D1019:$F1019)</f>
        <v>1</v>
      </c>
      <c r="R1019" s="9">
        <f>IF('Pizza Sales Calculations'!$G1019=TRUE, Parameters!$B$17*'Pizza Sales Calculations'!$L1019*2, 0)</f>
        <v>0</v>
      </c>
      <c r="T1019" s="6"/>
      <c r="U1019" s="9"/>
    </row>
    <row r="1020" spans="1:21" x14ac:dyDescent="0.2">
      <c r="A1020">
        <v>1019</v>
      </c>
      <c r="B1020" s="1">
        <v>42380.530300925922</v>
      </c>
      <c r="C1020" s="1">
        <v>42380.540717592594</v>
      </c>
      <c r="D1020" t="s">
        <v>1</v>
      </c>
      <c r="E1020" t="s">
        <v>2</v>
      </c>
      <c r="G1020" t="b">
        <v>0</v>
      </c>
      <c r="H1020">
        <v>70806</v>
      </c>
      <c r="I1020" s="6">
        <v>0</v>
      </c>
      <c r="J1020" s="1">
        <v>42380.542800925927</v>
      </c>
      <c r="K1020">
        <v>19.579999999999998</v>
      </c>
      <c r="L1020" s="6">
        <f>('Pizza Sales Calculations'!$J1020-'Pizza Sales Calculations'!$C1020)*24*60</f>
        <v>2.9999999993015081</v>
      </c>
      <c r="M1020">
        <f>COUNTA('Pizza Sales Calculations'!$D1020:$F1020)</f>
        <v>2</v>
      </c>
      <c r="R1020" s="9">
        <f>IF('Pizza Sales Calculations'!$G1020=TRUE, Parameters!$B$17*'Pizza Sales Calculations'!$L1020*2, 0)</f>
        <v>0</v>
      </c>
      <c r="T1020" s="6"/>
      <c r="U1020" s="9"/>
    </row>
    <row r="1021" spans="1:21" x14ac:dyDescent="0.2">
      <c r="A1021">
        <v>1020</v>
      </c>
      <c r="B1021" s="1">
        <v>42380.509340277778</v>
      </c>
      <c r="C1021" s="1">
        <v>42380.519756944443</v>
      </c>
      <c r="D1021" t="s">
        <v>2</v>
      </c>
      <c r="G1021" t="b">
        <v>0</v>
      </c>
      <c r="H1021">
        <v>70804</v>
      </c>
      <c r="I1021" s="6">
        <v>0</v>
      </c>
      <c r="J1021" s="1">
        <v>42380.521840277775</v>
      </c>
      <c r="K1021">
        <v>11.59</v>
      </c>
      <c r="L1021" s="6">
        <f>('Pizza Sales Calculations'!$J1021-'Pizza Sales Calculations'!$C1021)*24*60</f>
        <v>2.9999999993015081</v>
      </c>
      <c r="M1021">
        <f>COUNTA('Pizza Sales Calculations'!$D1021:$F1021)</f>
        <v>1</v>
      </c>
      <c r="R1021" s="9">
        <f>IF('Pizza Sales Calculations'!$G1021=TRUE, Parameters!$B$17*'Pizza Sales Calculations'!$L1021*2, 0)</f>
        <v>0</v>
      </c>
      <c r="T1021" s="6"/>
      <c r="U1021" s="9"/>
    </row>
    <row r="1022" spans="1:21" x14ac:dyDescent="0.2">
      <c r="A1022">
        <v>1021</v>
      </c>
      <c r="B1022" s="1">
        <v>42380.562858796293</v>
      </c>
      <c r="C1022" s="1">
        <v>42380.573275462964</v>
      </c>
      <c r="D1022" t="s">
        <v>35</v>
      </c>
      <c r="G1022" t="b">
        <v>0</v>
      </c>
      <c r="H1022">
        <v>70804</v>
      </c>
      <c r="I1022" s="6">
        <v>0</v>
      </c>
      <c r="J1022" s="1">
        <v>42380.57534722222</v>
      </c>
      <c r="K1022">
        <v>15.35</v>
      </c>
      <c r="L1022" s="6">
        <f>('Pizza Sales Calculations'!$J1022-'Pizza Sales Calculations'!$C1022)*24*60</f>
        <v>2.9833333287388086</v>
      </c>
      <c r="M1022">
        <f>COUNTA('Pizza Sales Calculations'!$D1022:$F1022)</f>
        <v>1</v>
      </c>
      <c r="R1022" s="9">
        <f>IF('Pizza Sales Calculations'!$G1022=TRUE, Parameters!$B$17*'Pizza Sales Calculations'!$L1022*2, 0)</f>
        <v>0</v>
      </c>
      <c r="T1022" s="6"/>
      <c r="U1022" s="9"/>
    </row>
    <row r="1023" spans="1:21" x14ac:dyDescent="0.2">
      <c r="A1023">
        <v>1022</v>
      </c>
      <c r="B1023" s="1">
        <v>42380.47320601852</v>
      </c>
      <c r="C1023" s="1">
        <v>42380.483611111114</v>
      </c>
      <c r="D1023" t="s">
        <v>2</v>
      </c>
      <c r="E1023" t="s">
        <v>35</v>
      </c>
      <c r="G1023" t="b">
        <v>0</v>
      </c>
      <c r="H1023">
        <v>70803</v>
      </c>
      <c r="I1023" s="6">
        <v>0</v>
      </c>
      <c r="J1023" s="1">
        <v>42380.485694444447</v>
      </c>
      <c r="K1023">
        <v>25.94</v>
      </c>
      <c r="L1023" s="6">
        <f>('Pizza Sales Calculations'!$J1023-'Pizza Sales Calculations'!$C1023)*24*60</f>
        <v>2.9999999993015081</v>
      </c>
      <c r="M1023">
        <f>COUNTA('Pizza Sales Calculations'!$D1023:$F1023)</f>
        <v>2</v>
      </c>
      <c r="R1023" s="9">
        <f>IF('Pizza Sales Calculations'!$G1023=TRUE, Parameters!$B$17*'Pizza Sales Calculations'!$L1023*2, 0)</f>
        <v>0</v>
      </c>
      <c r="T1023" s="6"/>
      <c r="U1023" s="9"/>
    </row>
    <row r="1024" spans="1:21" x14ac:dyDescent="0.2">
      <c r="A1024">
        <v>1023</v>
      </c>
      <c r="B1024" s="1">
        <v>42380.487824074073</v>
      </c>
      <c r="C1024" s="1">
        <v>42380.498240740744</v>
      </c>
      <c r="D1024" t="s">
        <v>35</v>
      </c>
      <c r="G1024" t="b">
        <v>0</v>
      </c>
      <c r="H1024">
        <v>70806</v>
      </c>
      <c r="I1024" s="6">
        <v>0</v>
      </c>
      <c r="J1024" s="1">
        <v>42380.5003125</v>
      </c>
      <c r="K1024">
        <v>15.35</v>
      </c>
      <c r="L1024" s="6">
        <f>('Pizza Sales Calculations'!$J1024-'Pizza Sales Calculations'!$C1024)*24*60</f>
        <v>2.9833333287388086</v>
      </c>
      <c r="M1024">
        <f>COUNTA('Pizza Sales Calculations'!$D1024:$F1024)</f>
        <v>1</v>
      </c>
      <c r="R1024" s="9">
        <f>IF('Pizza Sales Calculations'!$G1024=TRUE, Parameters!$B$17*'Pizza Sales Calculations'!$L1024*2, 0)</f>
        <v>0</v>
      </c>
      <c r="T1024" s="6"/>
      <c r="U1024" s="9"/>
    </row>
    <row r="1025" spans="1:21" x14ac:dyDescent="0.2">
      <c r="A1025">
        <v>1024</v>
      </c>
      <c r="B1025" s="1">
        <v>42380.507488425923</v>
      </c>
      <c r="C1025" s="1">
        <v>42380.517893518518</v>
      </c>
      <c r="D1025" t="s">
        <v>1</v>
      </c>
      <c r="E1025" t="s">
        <v>35</v>
      </c>
      <c r="G1025" t="b">
        <v>0</v>
      </c>
      <c r="H1025">
        <v>70803</v>
      </c>
      <c r="I1025" s="6">
        <v>0</v>
      </c>
      <c r="J1025" s="1">
        <v>42380.519976851851</v>
      </c>
      <c r="K1025">
        <v>23.34</v>
      </c>
      <c r="L1025" s="6">
        <f>('Pizza Sales Calculations'!$J1025-'Pizza Sales Calculations'!$C1025)*24*60</f>
        <v>2.9999999993015081</v>
      </c>
      <c r="M1025">
        <f>COUNTA('Pizza Sales Calculations'!$D1025:$F1025)</f>
        <v>2</v>
      </c>
      <c r="R1025" s="9">
        <f>IF('Pizza Sales Calculations'!$G1025=TRUE, Parameters!$B$17*'Pizza Sales Calculations'!$L1025*2, 0)</f>
        <v>0</v>
      </c>
      <c r="T1025" s="6"/>
      <c r="U1025" s="9"/>
    </row>
    <row r="1026" spans="1:21" x14ac:dyDescent="0.2">
      <c r="A1026">
        <v>1025</v>
      </c>
      <c r="B1026" s="1">
        <v>42380.519953703704</v>
      </c>
      <c r="C1026" s="1">
        <v>42380.530381944445</v>
      </c>
      <c r="D1026" t="s">
        <v>2</v>
      </c>
      <c r="G1026" t="b">
        <v>0</v>
      </c>
      <c r="H1026">
        <v>70803</v>
      </c>
      <c r="I1026" s="6">
        <v>0</v>
      </c>
      <c r="J1026" s="1">
        <v>42380.532476851855</v>
      </c>
      <c r="K1026">
        <v>11.59</v>
      </c>
      <c r="L1026" s="6">
        <f>('Pizza Sales Calculations'!$J1026-'Pizza Sales Calculations'!$C1026)*24*60</f>
        <v>3.0166666698642075</v>
      </c>
      <c r="M1026">
        <f>COUNTA('Pizza Sales Calculations'!$D1026:$F1026)</f>
        <v>1</v>
      </c>
      <c r="R1026" s="9">
        <f>IF('Pizza Sales Calculations'!$G1026=TRUE, Parameters!$B$17*'Pizza Sales Calculations'!$L1026*2, 0)</f>
        <v>0</v>
      </c>
      <c r="T1026" s="6"/>
      <c r="U1026" s="9"/>
    </row>
    <row r="1027" spans="1:21" x14ac:dyDescent="0.2">
      <c r="A1027">
        <v>1026</v>
      </c>
      <c r="B1027" s="1">
        <v>42380.514085648145</v>
      </c>
      <c r="C1027" s="1">
        <v>42380.52449074074</v>
      </c>
      <c r="D1027" t="s">
        <v>2</v>
      </c>
      <c r="G1027" t="b">
        <v>0</v>
      </c>
      <c r="H1027">
        <v>70805</v>
      </c>
      <c r="I1027" s="6">
        <v>0</v>
      </c>
      <c r="J1027" s="1">
        <v>42380.526550925926</v>
      </c>
      <c r="K1027">
        <v>11.59</v>
      </c>
      <c r="L1027" s="6">
        <f>('Pizza Sales Calculations'!$J1027-'Pizza Sales Calculations'!$C1027)*24*60</f>
        <v>2.9666666686534882</v>
      </c>
      <c r="M1027">
        <f>COUNTA('Pizza Sales Calculations'!$D1027:$F1027)</f>
        <v>1</v>
      </c>
      <c r="R1027" s="9">
        <f>IF('Pizza Sales Calculations'!$G1027=TRUE, Parameters!$B$17*'Pizza Sales Calculations'!$L1027*2, 0)</f>
        <v>0</v>
      </c>
      <c r="T1027" s="6"/>
      <c r="U1027" s="9"/>
    </row>
    <row r="1028" spans="1:21" x14ac:dyDescent="0.2">
      <c r="A1028">
        <v>1027</v>
      </c>
      <c r="B1028" s="1">
        <v>42380.520682870374</v>
      </c>
      <c r="C1028" s="1">
        <v>42380.531087962961</v>
      </c>
      <c r="D1028" t="s">
        <v>1</v>
      </c>
      <c r="G1028" t="b">
        <v>0</v>
      </c>
      <c r="H1028">
        <v>70806</v>
      </c>
      <c r="I1028" s="6">
        <v>0</v>
      </c>
      <c r="J1028" s="1">
        <v>42380.533159722225</v>
      </c>
      <c r="K1028">
        <v>7.99</v>
      </c>
      <c r="L1028" s="6">
        <f>('Pizza Sales Calculations'!$J1028-'Pizza Sales Calculations'!$C1028)*24*60</f>
        <v>2.9833333392161876</v>
      </c>
      <c r="M1028">
        <f>COUNTA('Pizza Sales Calculations'!$D1028:$F1028)</f>
        <v>1</v>
      </c>
      <c r="R1028" s="9">
        <f>IF('Pizza Sales Calculations'!$G1028=TRUE, Parameters!$B$17*'Pizza Sales Calculations'!$L1028*2, 0)</f>
        <v>0</v>
      </c>
      <c r="T1028" s="6"/>
      <c r="U1028" s="9"/>
    </row>
    <row r="1029" spans="1:21" x14ac:dyDescent="0.2">
      <c r="A1029">
        <v>1028</v>
      </c>
      <c r="B1029" s="1">
        <v>42380.502662037034</v>
      </c>
      <c r="C1029" s="1">
        <v>42380.513067129628</v>
      </c>
      <c r="D1029" t="s">
        <v>1</v>
      </c>
      <c r="E1029" t="s">
        <v>2</v>
      </c>
      <c r="G1029" t="b">
        <v>0</v>
      </c>
      <c r="H1029">
        <v>70804</v>
      </c>
      <c r="I1029" s="6">
        <v>0</v>
      </c>
      <c r="J1029" s="1">
        <v>42380.515150462961</v>
      </c>
      <c r="K1029">
        <v>19.579999999999998</v>
      </c>
      <c r="L1029" s="6">
        <f>('Pizza Sales Calculations'!$J1029-'Pizza Sales Calculations'!$C1029)*24*60</f>
        <v>2.9999999993015081</v>
      </c>
      <c r="M1029">
        <f>COUNTA('Pizza Sales Calculations'!$D1029:$F1029)</f>
        <v>2</v>
      </c>
      <c r="R1029" s="9">
        <f>IF('Pizza Sales Calculations'!$G1029=TRUE, Parameters!$B$17*'Pizza Sales Calculations'!$L1029*2, 0)</f>
        <v>0</v>
      </c>
      <c r="T1029" s="6"/>
      <c r="U1029" s="9"/>
    </row>
    <row r="1030" spans="1:21" x14ac:dyDescent="0.2">
      <c r="A1030">
        <v>1029</v>
      </c>
      <c r="B1030" s="1">
        <v>42380.562511574077</v>
      </c>
      <c r="C1030" s="1">
        <v>42380.572916666664</v>
      </c>
      <c r="D1030" t="s">
        <v>35</v>
      </c>
      <c r="G1030" t="b">
        <v>0</v>
      </c>
      <c r="H1030">
        <v>70805</v>
      </c>
      <c r="I1030" s="6">
        <v>0</v>
      </c>
      <c r="J1030" s="1">
        <v>42380.574999999997</v>
      </c>
      <c r="K1030">
        <v>15.35</v>
      </c>
      <c r="L1030" s="6">
        <f>('Pizza Sales Calculations'!$J1030-'Pizza Sales Calculations'!$C1030)*24*60</f>
        <v>2.9999999993015081</v>
      </c>
      <c r="M1030">
        <f>COUNTA('Pizza Sales Calculations'!$D1030:$F1030)</f>
        <v>1</v>
      </c>
      <c r="R1030" s="9">
        <f>IF('Pizza Sales Calculations'!$G1030=TRUE, Parameters!$B$17*'Pizza Sales Calculations'!$L1030*2, 0)</f>
        <v>0</v>
      </c>
      <c r="T1030" s="6"/>
      <c r="U1030" s="9"/>
    </row>
    <row r="1031" spans="1:21" x14ac:dyDescent="0.2">
      <c r="A1031">
        <v>1030</v>
      </c>
      <c r="B1031" s="1">
        <v>42380.417592592596</v>
      </c>
      <c r="C1031" s="1">
        <v>42380.42800925926</v>
      </c>
      <c r="D1031" t="s">
        <v>35</v>
      </c>
      <c r="G1031" t="b">
        <v>0</v>
      </c>
      <c r="H1031">
        <v>70805</v>
      </c>
      <c r="I1031" s="6">
        <v>0</v>
      </c>
      <c r="J1031" s="1">
        <v>42380.430104166669</v>
      </c>
      <c r="K1031">
        <v>15.35</v>
      </c>
      <c r="L1031" s="6">
        <f>('Pizza Sales Calculations'!$J1031-'Pizza Sales Calculations'!$C1031)*24*60</f>
        <v>3.0166666698642075</v>
      </c>
      <c r="M1031">
        <f>COUNTA('Pizza Sales Calculations'!$D1031:$F1031)</f>
        <v>1</v>
      </c>
      <c r="R1031" s="9">
        <f>IF('Pizza Sales Calculations'!$G1031=TRUE, Parameters!$B$17*'Pizza Sales Calculations'!$L1031*2, 0)</f>
        <v>0</v>
      </c>
      <c r="T1031" s="6"/>
      <c r="U1031" s="9"/>
    </row>
    <row r="1032" spans="1:21" x14ac:dyDescent="0.2">
      <c r="A1032">
        <v>1031</v>
      </c>
      <c r="B1032" s="1">
        <v>42380.562118055554</v>
      </c>
      <c r="C1032" s="1">
        <v>42380.572523148148</v>
      </c>
      <c r="D1032" t="s">
        <v>1</v>
      </c>
      <c r="G1032" t="b">
        <v>1</v>
      </c>
      <c r="H1032">
        <v>70804</v>
      </c>
      <c r="I1032" s="6">
        <v>1.80069833455121</v>
      </c>
      <c r="J1032" s="1">
        <v>42380.578773148147</v>
      </c>
      <c r="K1032">
        <v>7.99</v>
      </c>
      <c r="L1032" s="6">
        <f>('Pizza Sales Calculations'!$J1032-'Pizza Sales Calculations'!$C1032)*24*60</f>
        <v>8.9999999979045242</v>
      </c>
      <c r="M1032">
        <f>COUNTA('Pizza Sales Calculations'!$D1032:$F1032)</f>
        <v>1</v>
      </c>
      <c r="R1032" s="9">
        <f>IF('Pizza Sales Calculations'!$G1032=TRUE, Parameters!$B$17*'Pizza Sales Calculations'!$L1032*2, 0)</f>
        <v>2.5499999994062819</v>
      </c>
      <c r="T1032" s="6"/>
      <c r="U1032" s="9"/>
    </row>
    <row r="1033" spans="1:21" x14ac:dyDescent="0.2">
      <c r="A1033">
        <v>1032</v>
      </c>
      <c r="B1033" s="1">
        <v>42380.49046296296</v>
      </c>
      <c r="C1033" s="1">
        <v>42380.500879629632</v>
      </c>
      <c r="D1033" t="s">
        <v>1</v>
      </c>
      <c r="G1033" t="b">
        <v>0</v>
      </c>
      <c r="H1033">
        <v>70804</v>
      </c>
      <c r="I1033" s="6">
        <v>0</v>
      </c>
      <c r="J1033" s="1">
        <v>42380.502962962964</v>
      </c>
      <c r="K1033">
        <v>7.99</v>
      </c>
      <c r="L1033" s="6">
        <f>('Pizza Sales Calculations'!$J1033-'Pizza Sales Calculations'!$C1033)*24*60</f>
        <v>2.9999999993015081</v>
      </c>
      <c r="M1033">
        <f>COUNTA('Pizza Sales Calculations'!$D1033:$F1033)</f>
        <v>1</v>
      </c>
      <c r="R1033" s="9">
        <f>IF('Pizza Sales Calculations'!$G1033=TRUE, Parameters!$B$17*'Pizza Sales Calculations'!$L1033*2, 0)</f>
        <v>0</v>
      </c>
      <c r="T1033" s="6"/>
      <c r="U1033" s="9"/>
    </row>
    <row r="1034" spans="1:21" x14ac:dyDescent="0.2">
      <c r="A1034">
        <v>1033</v>
      </c>
      <c r="B1034" s="1">
        <v>42380.474050925928</v>
      </c>
      <c r="C1034" s="1">
        <v>42380.484479166669</v>
      </c>
      <c r="D1034" t="s">
        <v>2</v>
      </c>
      <c r="E1034" t="s">
        <v>35</v>
      </c>
      <c r="G1034" t="b">
        <v>1</v>
      </c>
      <c r="H1034">
        <v>70805</v>
      </c>
      <c r="I1034" s="6">
        <v>3.47148089091595</v>
      </c>
      <c r="J1034" s="1">
        <v>42380.496527777781</v>
      </c>
      <c r="K1034">
        <v>25.94</v>
      </c>
      <c r="L1034" s="6">
        <f>('Pizza Sales Calculations'!$J1034-'Pizza Sales Calculations'!$C1034)*24*60</f>
        <v>17.350000001024455</v>
      </c>
      <c r="M1034">
        <f>COUNTA('Pizza Sales Calculations'!$D1034:$F1034)</f>
        <v>2</v>
      </c>
      <c r="R1034" s="9">
        <f>IF('Pizza Sales Calculations'!$G1034=TRUE, Parameters!$B$17*'Pizza Sales Calculations'!$L1034*2, 0)</f>
        <v>4.9158333336235955</v>
      </c>
      <c r="T1034" s="6"/>
      <c r="U1034" s="9"/>
    </row>
    <row r="1035" spans="1:21" x14ac:dyDescent="0.2">
      <c r="A1035">
        <v>1034</v>
      </c>
      <c r="B1035" s="1">
        <v>42380.473194444443</v>
      </c>
      <c r="C1035" s="1">
        <v>42380.483611111114</v>
      </c>
      <c r="D1035" t="s">
        <v>1</v>
      </c>
      <c r="E1035" t="s">
        <v>2</v>
      </c>
      <c r="G1035" t="b">
        <v>1</v>
      </c>
      <c r="H1035">
        <v>70803</v>
      </c>
      <c r="I1035" s="6">
        <v>2.69124057712007</v>
      </c>
      <c r="J1035" s="1">
        <v>42380.492951388886</v>
      </c>
      <c r="K1035">
        <v>19.579999999999998</v>
      </c>
      <c r="L1035" s="6">
        <f>('Pizza Sales Calculations'!$J1035-'Pizza Sales Calculations'!$C1035)*24*60</f>
        <v>13.449999990407377</v>
      </c>
      <c r="M1035">
        <f>COUNTA('Pizza Sales Calculations'!$D1035:$F1035)</f>
        <v>2</v>
      </c>
      <c r="R1035" s="9">
        <f>IF('Pizza Sales Calculations'!$G1035=TRUE, Parameters!$B$17*'Pizza Sales Calculations'!$L1035*2, 0)</f>
        <v>3.8108333306154236</v>
      </c>
      <c r="T1035" s="6"/>
      <c r="U1035" s="9"/>
    </row>
    <row r="1036" spans="1:21" x14ac:dyDescent="0.2">
      <c r="A1036">
        <v>1035</v>
      </c>
      <c r="B1036" s="1">
        <v>42380.458564814813</v>
      </c>
      <c r="C1036" s="1">
        <v>42380.468981481485</v>
      </c>
      <c r="D1036" t="s">
        <v>1</v>
      </c>
      <c r="E1036" t="s">
        <v>35</v>
      </c>
      <c r="G1036" t="b">
        <v>0</v>
      </c>
      <c r="H1036">
        <v>70804</v>
      </c>
      <c r="I1036" s="6">
        <v>0</v>
      </c>
      <c r="J1036" s="1">
        <v>42380.471076388887</v>
      </c>
      <c r="K1036">
        <v>23.34</v>
      </c>
      <c r="L1036" s="6">
        <f>('Pizza Sales Calculations'!$J1036-'Pizza Sales Calculations'!$C1036)*24*60</f>
        <v>3.0166666593868285</v>
      </c>
      <c r="M1036">
        <f>COUNTA('Pizza Sales Calculations'!$D1036:$F1036)</f>
        <v>2</v>
      </c>
      <c r="R1036" s="9">
        <f>IF('Pizza Sales Calculations'!$G1036=TRUE, Parameters!$B$17*'Pizza Sales Calculations'!$L1036*2, 0)</f>
        <v>0</v>
      </c>
      <c r="T1036" s="6"/>
      <c r="U1036" s="9"/>
    </row>
    <row r="1037" spans="1:21" x14ac:dyDescent="0.2">
      <c r="A1037">
        <v>1036</v>
      </c>
      <c r="B1037" s="1">
        <v>42380.529386574075</v>
      </c>
      <c r="C1037" s="1">
        <v>42380.539826388886</v>
      </c>
      <c r="D1037" t="s">
        <v>35</v>
      </c>
      <c r="G1037" t="b">
        <v>1</v>
      </c>
      <c r="H1037">
        <v>70805</v>
      </c>
      <c r="I1037" s="6">
        <v>1.47140063351807</v>
      </c>
      <c r="J1037" s="1">
        <v>42380.544930555552</v>
      </c>
      <c r="K1037">
        <v>15.35</v>
      </c>
      <c r="L1037" s="6">
        <f>('Pizza Sales Calculations'!$J1037-'Pizza Sales Calculations'!$C1037)*24*60</f>
        <v>7.3499999998603016</v>
      </c>
      <c r="M1037">
        <f>COUNTA('Pizza Sales Calculations'!$D1037:$F1037)</f>
        <v>1</v>
      </c>
      <c r="R1037" s="9">
        <f>IF('Pizza Sales Calculations'!$G1037=TRUE, Parameters!$B$17*'Pizza Sales Calculations'!$L1037*2, 0)</f>
        <v>2.0824999999604188</v>
      </c>
      <c r="T1037" s="6"/>
      <c r="U1037" s="9"/>
    </row>
    <row r="1038" spans="1:21" x14ac:dyDescent="0.2">
      <c r="A1038">
        <v>1037</v>
      </c>
      <c r="B1038" s="1">
        <v>42380.553541666668</v>
      </c>
      <c r="C1038" s="1">
        <v>42380.563946759263</v>
      </c>
      <c r="D1038" t="s">
        <v>2</v>
      </c>
      <c r="G1038" t="b">
        <v>1</v>
      </c>
      <c r="H1038">
        <v>70805</v>
      </c>
      <c r="I1038" s="6">
        <v>4.4197353147674496</v>
      </c>
      <c r="J1038" s="1">
        <v>42380.579282407409</v>
      </c>
      <c r="K1038">
        <v>11.59</v>
      </c>
      <c r="L1038" s="6">
        <f>('Pizza Sales Calculations'!$J1038-'Pizza Sales Calculations'!$C1038)*24*60</f>
        <v>22.083333330228925</v>
      </c>
      <c r="M1038">
        <f>COUNTA('Pizza Sales Calculations'!$D1038:$F1038)</f>
        <v>1</v>
      </c>
      <c r="R1038" s="9">
        <f>IF('Pizza Sales Calculations'!$G1038=TRUE, Parameters!$B$17*'Pizza Sales Calculations'!$L1038*2, 0)</f>
        <v>6.256944443564862</v>
      </c>
      <c r="T1038" s="6"/>
      <c r="U1038" s="9"/>
    </row>
    <row r="1039" spans="1:21" x14ac:dyDescent="0.2">
      <c r="A1039">
        <v>1038</v>
      </c>
      <c r="B1039" s="1">
        <v>42380.512835648151</v>
      </c>
      <c r="C1039" s="1">
        <v>42380.523252314815</v>
      </c>
      <c r="D1039" t="s">
        <v>1</v>
      </c>
      <c r="E1039" t="s">
        <v>2</v>
      </c>
      <c r="G1039" t="b">
        <v>0</v>
      </c>
      <c r="H1039">
        <v>70806</v>
      </c>
      <c r="I1039" s="6">
        <v>0</v>
      </c>
      <c r="J1039" s="1">
        <v>42380.525347222225</v>
      </c>
      <c r="K1039">
        <v>19.579999999999998</v>
      </c>
      <c r="L1039" s="6">
        <f>('Pizza Sales Calculations'!$J1039-'Pizza Sales Calculations'!$C1039)*24*60</f>
        <v>3.0166666698642075</v>
      </c>
      <c r="M1039">
        <f>COUNTA('Pizza Sales Calculations'!$D1039:$F1039)</f>
        <v>2</v>
      </c>
      <c r="R1039" s="9">
        <f>IF('Pizza Sales Calculations'!$G1039=TRUE, Parameters!$B$17*'Pizza Sales Calculations'!$L1039*2, 0)</f>
        <v>0</v>
      </c>
      <c r="T1039" s="6"/>
      <c r="U1039" s="9"/>
    </row>
    <row r="1040" spans="1:21" x14ac:dyDescent="0.2">
      <c r="A1040">
        <v>1039</v>
      </c>
      <c r="B1040" s="1">
        <v>42380.426238425927</v>
      </c>
      <c r="C1040" s="1">
        <v>42380.436643518522</v>
      </c>
      <c r="D1040" t="s">
        <v>35</v>
      </c>
      <c r="G1040" t="b">
        <v>1</v>
      </c>
      <c r="H1040">
        <v>70804</v>
      </c>
      <c r="I1040" s="6">
        <v>3.9443710126478901</v>
      </c>
      <c r="J1040" s="1">
        <v>42380.450335648151</v>
      </c>
      <c r="K1040">
        <v>15.35</v>
      </c>
      <c r="L1040" s="6">
        <f>('Pizza Sales Calculations'!$J1040-'Pizza Sales Calculations'!$C1040)*24*60</f>
        <v>19.71666666562669</v>
      </c>
      <c r="M1040">
        <f>COUNTA('Pizza Sales Calculations'!$D1040:$F1040)</f>
        <v>1</v>
      </c>
      <c r="R1040" s="9">
        <f>IF('Pizza Sales Calculations'!$G1040=TRUE, Parameters!$B$17*'Pizza Sales Calculations'!$L1040*2, 0)</f>
        <v>5.5863888885942288</v>
      </c>
      <c r="T1040" s="6"/>
      <c r="U1040" s="9"/>
    </row>
    <row r="1041" spans="1:21" x14ac:dyDescent="0.2">
      <c r="A1041">
        <v>1040</v>
      </c>
      <c r="B1041" s="1">
        <v>42380.535416666666</v>
      </c>
      <c r="C1041" s="1">
        <v>42380.54582175926</v>
      </c>
      <c r="D1041" t="s">
        <v>35</v>
      </c>
      <c r="G1041" t="b">
        <v>0</v>
      </c>
      <c r="H1041">
        <v>70803</v>
      </c>
      <c r="I1041" s="6">
        <v>0</v>
      </c>
      <c r="J1041" s="1">
        <v>42380.547893518517</v>
      </c>
      <c r="K1041">
        <v>15.35</v>
      </c>
      <c r="L1041" s="6">
        <f>('Pizza Sales Calculations'!$J1041-'Pizza Sales Calculations'!$C1041)*24*60</f>
        <v>2.9833333287388086</v>
      </c>
      <c r="M1041">
        <f>COUNTA('Pizza Sales Calculations'!$D1041:$F1041)</f>
        <v>1</v>
      </c>
      <c r="R1041" s="9">
        <f>IF('Pizza Sales Calculations'!$G1041=TRUE, Parameters!$B$17*'Pizza Sales Calculations'!$L1041*2, 0)</f>
        <v>0</v>
      </c>
      <c r="T1041" s="6"/>
      <c r="U1041" s="9"/>
    </row>
    <row r="1042" spans="1:21" x14ac:dyDescent="0.2">
      <c r="A1042">
        <v>1041</v>
      </c>
      <c r="B1042" s="1">
        <v>42380.507939814815</v>
      </c>
      <c r="C1042" s="1">
        <v>42380.51835648148</v>
      </c>
      <c r="D1042" t="s">
        <v>1</v>
      </c>
      <c r="E1042" t="s">
        <v>35</v>
      </c>
      <c r="G1042" t="b">
        <v>1</v>
      </c>
      <c r="H1042">
        <v>70805</v>
      </c>
      <c r="I1042" s="6">
        <v>4.4174067075365198</v>
      </c>
      <c r="J1042" s="1">
        <v>42380.533692129633</v>
      </c>
      <c r="K1042">
        <v>23.34</v>
      </c>
      <c r="L1042" s="6">
        <f>('Pizza Sales Calculations'!$J1042-'Pizza Sales Calculations'!$C1042)*24*60</f>
        <v>22.083333340706304</v>
      </c>
      <c r="M1042">
        <f>COUNTA('Pizza Sales Calculations'!$D1042:$F1042)</f>
        <v>2</v>
      </c>
      <c r="R1042" s="9">
        <f>IF('Pizza Sales Calculations'!$G1042=TRUE, Parameters!$B$17*'Pizza Sales Calculations'!$L1042*2, 0)</f>
        <v>6.2569444465334527</v>
      </c>
      <c r="T1042" s="6"/>
      <c r="U1042" s="9"/>
    </row>
    <row r="1043" spans="1:21" x14ac:dyDescent="0.2">
      <c r="A1043">
        <v>1042</v>
      </c>
      <c r="B1043" s="1">
        <v>42380.523726851854</v>
      </c>
      <c r="C1043" s="1">
        <v>42380.534108796295</v>
      </c>
      <c r="D1043" t="s">
        <v>35</v>
      </c>
      <c r="G1043" t="b">
        <v>0</v>
      </c>
      <c r="H1043">
        <v>70806</v>
      </c>
      <c r="I1043" s="6">
        <v>0</v>
      </c>
      <c r="J1043" s="1">
        <v>42380.536180555559</v>
      </c>
      <c r="K1043">
        <v>15.35</v>
      </c>
      <c r="L1043" s="6">
        <f>('Pizza Sales Calculations'!$J1043-'Pizza Sales Calculations'!$C1043)*24*60</f>
        <v>2.9833333392161876</v>
      </c>
      <c r="M1043">
        <f>COUNTA('Pizza Sales Calculations'!$D1043:$F1043)</f>
        <v>1</v>
      </c>
      <c r="R1043" s="9">
        <f>IF('Pizza Sales Calculations'!$G1043=TRUE, Parameters!$B$17*'Pizza Sales Calculations'!$L1043*2, 0)</f>
        <v>0</v>
      </c>
      <c r="T1043" s="6"/>
      <c r="U1043" s="9"/>
    </row>
    <row r="1044" spans="1:21" x14ac:dyDescent="0.2">
      <c r="A1044">
        <v>1043</v>
      </c>
      <c r="B1044" s="1">
        <v>42380.525995370372</v>
      </c>
      <c r="C1044" s="1">
        <v>42380.536412037036</v>
      </c>
      <c r="D1044" t="s">
        <v>2</v>
      </c>
      <c r="G1044" t="b">
        <v>0</v>
      </c>
      <c r="H1044">
        <v>70806</v>
      </c>
      <c r="I1044" s="6">
        <v>0</v>
      </c>
      <c r="J1044" s="1">
        <v>42380.538483796299</v>
      </c>
      <c r="K1044">
        <v>11.59</v>
      </c>
      <c r="L1044" s="6">
        <f>('Pizza Sales Calculations'!$J1044-'Pizza Sales Calculations'!$C1044)*24*60</f>
        <v>2.9833333392161876</v>
      </c>
      <c r="M1044">
        <f>COUNTA('Pizza Sales Calculations'!$D1044:$F1044)</f>
        <v>1</v>
      </c>
      <c r="R1044" s="9">
        <f>IF('Pizza Sales Calculations'!$G1044=TRUE, Parameters!$B$17*'Pizza Sales Calculations'!$L1044*2, 0)</f>
        <v>0</v>
      </c>
      <c r="T1044" s="6"/>
      <c r="U1044" s="9"/>
    </row>
    <row r="1045" spans="1:21" x14ac:dyDescent="0.2">
      <c r="A1045">
        <v>1044</v>
      </c>
      <c r="B1045" s="1">
        <v>42380.429224537038</v>
      </c>
      <c r="C1045" s="1">
        <v>42380.439641203702</v>
      </c>
      <c r="D1045" t="s">
        <v>35</v>
      </c>
      <c r="G1045" t="b">
        <v>1</v>
      </c>
      <c r="H1045">
        <v>70805</v>
      </c>
      <c r="I1045" s="6">
        <v>1.7892688407108399</v>
      </c>
      <c r="J1045" s="1">
        <v>42380.445844907408</v>
      </c>
      <c r="K1045">
        <v>15.35</v>
      </c>
      <c r="L1045" s="6">
        <f>('Pizza Sales Calculations'!$J1045-'Pizza Sales Calculations'!$C1045)*24*60</f>
        <v>8.9333333366084844</v>
      </c>
      <c r="M1045">
        <f>COUNTA('Pizza Sales Calculations'!$D1045:$F1045)</f>
        <v>1</v>
      </c>
      <c r="R1045" s="9">
        <f>IF('Pizza Sales Calculations'!$G1045=TRUE, Parameters!$B$17*'Pizza Sales Calculations'!$L1045*2, 0)</f>
        <v>2.5311111120390706</v>
      </c>
      <c r="T1045" s="6"/>
      <c r="U1045" s="9"/>
    </row>
    <row r="1046" spans="1:21" x14ac:dyDescent="0.2">
      <c r="A1046">
        <v>1045</v>
      </c>
      <c r="B1046" s="1">
        <v>42380.552488425928</v>
      </c>
      <c r="C1046" s="1">
        <v>42380.562905092593</v>
      </c>
      <c r="D1046" t="s">
        <v>35</v>
      </c>
      <c r="G1046" t="b">
        <v>1</v>
      </c>
      <c r="H1046">
        <v>70806</v>
      </c>
      <c r="I1046" s="6">
        <v>4.6413605475594304</v>
      </c>
      <c r="J1046" s="1">
        <v>42380.579016203701</v>
      </c>
      <c r="K1046">
        <v>15.35</v>
      </c>
      <c r="L1046" s="6">
        <f>('Pizza Sales Calculations'!$J1046-'Pizza Sales Calculations'!$C1046)*24*60</f>
        <v>23.199999995995313</v>
      </c>
      <c r="M1046">
        <f>COUNTA('Pizza Sales Calculations'!$D1046:$F1046)</f>
        <v>1</v>
      </c>
      <c r="R1046" s="9">
        <f>IF('Pizza Sales Calculations'!$G1046=TRUE, Parameters!$B$17*'Pizza Sales Calculations'!$L1046*2, 0)</f>
        <v>6.573333332198672</v>
      </c>
      <c r="T1046" s="6"/>
      <c r="U1046" s="9"/>
    </row>
    <row r="1047" spans="1:21" x14ac:dyDescent="0.2">
      <c r="A1047">
        <v>1046</v>
      </c>
      <c r="B1047" s="1">
        <v>42380.494768518518</v>
      </c>
      <c r="C1047" s="1">
        <v>42380.505196759259</v>
      </c>
      <c r="D1047" t="s">
        <v>35</v>
      </c>
      <c r="G1047" t="b">
        <v>1</v>
      </c>
      <c r="H1047">
        <v>70806</v>
      </c>
      <c r="I1047" s="6">
        <v>1.96122431781192</v>
      </c>
      <c r="J1047" s="1">
        <v>42380.512002314812</v>
      </c>
      <c r="K1047">
        <v>15.35</v>
      </c>
      <c r="L1047" s="6">
        <f>('Pizza Sales Calculations'!$J1047-'Pizza Sales Calculations'!$C1047)*24*60</f>
        <v>9.7999999963212758</v>
      </c>
      <c r="M1047">
        <f>COUNTA('Pizza Sales Calculations'!$D1047:$F1047)</f>
        <v>1</v>
      </c>
      <c r="R1047" s="9">
        <f>IF('Pizza Sales Calculations'!$G1047=TRUE, Parameters!$B$17*'Pizza Sales Calculations'!$L1047*2, 0)</f>
        <v>2.7766666656243615</v>
      </c>
      <c r="T1047" s="6"/>
      <c r="U1047" s="9"/>
    </row>
    <row r="1048" spans="1:21" x14ac:dyDescent="0.2">
      <c r="A1048">
        <v>1047</v>
      </c>
      <c r="B1048" s="1">
        <v>42380.523263888892</v>
      </c>
      <c r="C1048" s="1">
        <v>42380.533668981479</v>
      </c>
      <c r="D1048" t="s">
        <v>1</v>
      </c>
      <c r="E1048" t="s">
        <v>2</v>
      </c>
      <c r="G1048" t="b">
        <v>1</v>
      </c>
      <c r="H1048">
        <v>70805</v>
      </c>
      <c r="I1048" s="6">
        <v>3.1597813876807401</v>
      </c>
      <c r="J1048" s="1">
        <v>42380.544629629629</v>
      </c>
      <c r="K1048">
        <v>19.579999999999998</v>
      </c>
      <c r="L1048" s="6">
        <f>('Pizza Sales Calculations'!$J1048-'Pizza Sales Calculations'!$C1048)*24*60</f>
        <v>15.783333334838971</v>
      </c>
      <c r="M1048">
        <f>COUNTA('Pizza Sales Calculations'!$D1048:$F1048)</f>
        <v>2</v>
      </c>
      <c r="R1048" s="9">
        <f>IF('Pizza Sales Calculations'!$G1048=TRUE, Parameters!$B$17*'Pizza Sales Calculations'!$L1048*2, 0)</f>
        <v>4.4719444448710419</v>
      </c>
      <c r="T1048" s="6"/>
      <c r="U1048" s="9"/>
    </row>
    <row r="1049" spans="1:21" x14ac:dyDescent="0.2">
      <c r="A1049">
        <v>1048</v>
      </c>
      <c r="B1049" s="1">
        <v>42380.615694444445</v>
      </c>
      <c r="C1049" s="1">
        <v>42380.626111111109</v>
      </c>
      <c r="D1049" t="s">
        <v>1</v>
      </c>
      <c r="E1049" t="s">
        <v>2</v>
      </c>
      <c r="G1049" t="b">
        <v>0</v>
      </c>
      <c r="H1049">
        <v>70804</v>
      </c>
      <c r="I1049" s="6">
        <v>0</v>
      </c>
      <c r="J1049" s="1">
        <v>42380.628182870372</v>
      </c>
      <c r="K1049">
        <v>19.579999999999998</v>
      </c>
      <c r="L1049" s="6">
        <f>('Pizza Sales Calculations'!$J1049-'Pizza Sales Calculations'!$C1049)*24*60</f>
        <v>2.9833333392161876</v>
      </c>
      <c r="M1049">
        <f>COUNTA('Pizza Sales Calculations'!$D1049:$F1049)</f>
        <v>2</v>
      </c>
      <c r="R1049" s="9">
        <f>IF('Pizza Sales Calculations'!$G1049=TRUE, Parameters!$B$17*'Pizza Sales Calculations'!$L1049*2, 0)</f>
        <v>0</v>
      </c>
      <c r="T1049" s="6"/>
      <c r="U1049" s="9"/>
    </row>
    <row r="1050" spans="1:21" x14ac:dyDescent="0.2">
      <c r="A1050">
        <v>1049</v>
      </c>
      <c r="B1050" s="1">
        <v>42380.530787037038</v>
      </c>
      <c r="C1050" s="1">
        <v>42380.541192129633</v>
      </c>
      <c r="D1050" t="s">
        <v>1</v>
      </c>
      <c r="G1050" t="b">
        <v>1</v>
      </c>
      <c r="H1050">
        <v>70805</v>
      </c>
      <c r="I1050" s="6">
        <v>3.92893299886186</v>
      </c>
      <c r="J1050" s="1">
        <v>42380.554826388892</v>
      </c>
      <c r="K1050">
        <v>7.99</v>
      </c>
      <c r="L1050" s="6">
        <f>('Pizza Sales Calculations'!$J1050-'Pizza Sales Calculations'!$C1050)*24*60</f>
        <v>19.633333333767951</v>
      </c>
      <c r="M1050">
        <f>COUNTA('Pizza Sales Calculations'!$D1050:$F1050)</f>
        <v>1</v>
      </c>
      <c r="R1050" s="9">
        <f>IF('Pizza Sales Calculations'!$G1050=TRUE, Parameters!$B$17*'Pizza Sales Calculations'!$L1050*2, 0)</f>
        <v>5.5627777779009193</v>
      </c>
      <c r="T1050" s="6"/>
      <c r="U1050" s="9"/>
    </row>
    <row r="1051" spans="1:21" x14ac:dyDescent="0.2">
      <c r="A1051">
        <v>1050</v>
      </c>
      <c r="B1051" s="1">
        <v>42380.487222222226</v>
      </c>
      <c r="C1051" s="1">
        <v>42380.49763888889</v>
      </c>
      <c r="D1051" t="s">
        <v>2</v>
      </c>
      <c r="G1051" t="b">
        <v>1</v>
      </c>
      <c r="H1051">
        <v>70806</v>
      </c>
      <c r="I1051" s="6">
        <v>2.4682333351030699</v>
      </c>
      <c r="J1051" s="1">
        <v>42380.506203703706</v>
      </c>
      <c r="K1051">
        <v>11.59</v>
      </c>
      <c r="L1051" s="6">
        <f>('Pizza Sales Calculations'!$J1051-'Pizza Sales Calculations'!$C1051)*24*60</f>
        <v>12.333333335118368</v>
      </c>
      <c r="M1051">
        <f>COUNTA('Pizza Sales Calculations'!$D1051:$F1051)</f>
        <v>1</v>
      </c>
      <c r="R1051" s="9">
        <f>IF('Pizza Sales Calculations'!$G1051=TRUE, Parameters!$B$17*'Pizza Sales Calculations'!$L1051*2, 0)</f>
        <v>3.4944444449502043</v>
      </c>
      <c r="T1051" s="6"/>
      <c r="U1051" s="9"/>
    </row>
    <row r="1052" spans="1:21" x14ac:dyDescent="0.2">
      <c r="A1052">
        <v>1051</v>
      </c>
      <c r="B1052" s="1">
        <v>42380.519548611112</v>
      </c>
      <c r="C1052" s="1">
        <v>42380.529976851853</v>
      </c>
      <c r="D1052" t="s">
        <v>2</v>
      </c>
      <c r="G1052" t="b">
        <v>0</v>
      </c>
      <c r="H1052">
        <v>70803</v>
      </c>
      <c r="I1052" s="6">
        <v>0</v>
      </c>
      <c r="J1052" s="1">
        <v>42380.532048611109</v>
      </c>
      <c r="K1052">
        <v>11.59</v>
      </c>
      <c r="L1052" s="6">
        <f>('Pizza Sales Calculations'!$J1052-'Pizza Sales Calculations'!$C1052)*24*60</f>
        <v>2.9833333287388086</v>
      </c>
      <c r="M1052">
        <f>COUNTA('Pizza Sales Calculations'!$D1052:$F1052)</f>
        <v>1</v>
      </c>
      <c r="R1052" s="9">
        <f>IF('Pizza Sales Calculations'!$G1052=TRUE, Parameters!$B$17*'Pizza Sales Calculations'!$L1052*2, 0)</f>
        <v>0</v>
      </c>
      <c r="T1052" s="6"/>
      <c r="U1052" s="9"/>
    </row>
    <row r="1053" spans="1:21" x14ac:dyDescent="0.2">
      <c r="A1053">
        <v>1052</v>
      </c>
      <c r="B1053" s="1">
        <v>42380.518761574072</v>
      </c>
      <c r="C1053" s="1">
        <v>42380.529189814813</v>
      </c>
      <c r="D1053" t="s">
        <v>2</v>
      </c>
      <c r="G1053" t="b">
        <v>1</v>
      </c>
      <c r="H1053">
        <v>70805</v>
      </c>
      <c r="I1053" s="6">
        <v>3.0995608183440901</v>
      </c>
      <c r="J1053" s="1">
        <v>42380.539942129632</v>
      </c>
      <c r="K1053">
        <v>11.59</v>
      </c>
      <c r="L1053" s="6">
        <f>('Pizza Sales Calculations'!$J1053-'Pizza Sales Calculations'!$C1053)*24*60</f>
        <v>15.483333338052034</v>
      </c>
      <c r="M1053">
        <f>COUNTA('Pizza Sales Calculations'!$D1053:$F1053)</f>
        <v>1</v>
      </c>
      <c r="R1053" s="9">
        <f>IF('Pizza Sales Calculations'!$G1053=TRUE, Parameters!$B$17*'Pizza Sales Calculations'!$L1053*2, 0)</f>
        <v>4.3869444457814097</v>
      </c>
      <c r="T1053" s="6"/>
      <c r="U1053" s="9"/>
    </row>
    <row r="1054" spans="1:21" x14ac:dyDescent="0.2">
      <c r="A1054">
        <v>1053</v>
      </c>
      <c r="B1054" s="1">
        <v>42380.468217592592</v>
      </c>
      <c r="C1054" s="1">
        <v>42380.478634259256</v>
      </c>
      <c r="D1054" t="s">
        <v>1</v>
      </c>
      <c r="G1054" t="b">
        <v>0</v>
      </c>
      <c r="H1054">
        <v>70805</v>
      </c>
      <c r="I1054" s="6">
        <v>0</v>
      </c>
      <c r="J1054" s="1">
        <v>42380.480706018519</v>
      </c>
      <c r="K1054">
        <v>7.99</v>
      </c>
      <c r="L1054" s="6">
        <f>('Pizza Sales Calculations'!$J1054-'Pizza Sales Calculations'!$C1054)*24*60</f>
        <v>2.9833333392161876</v>
      </c>
      <c r="M1054">
        <f>COUNTA('Pizza Sales Calculations'!$D1054:$F1054)</f>
        <v>1</v>
      </c>
      <c r="R1054" s="9">
        <f>IF('Pizza Sales Calculations'!$G1054=TRUE, Parameters!$B$17*'Pizza Sales Calculations'!$L1054*2, 0)</f>
        <v>0</v>
      </c>
      <c r="T1054" s="6"/>
      <c r="U1054" s="9"/>
    </row>
    <row r="1055" spans="1:21" x14ac:dyDescent="0.2">
      <c r="A1055">
        <v>1054</v>
      </c>
      <c r="B1055" s="1">
        <v>42380.47142361111</v>
      </c>
      <c r="C1055" s="1">
        <v>42380.481828703705</v>
      </c>
      <c r="D1055" t="s">
        <v>1</v>
      </c>
      <c r="E1055" t="s">
        <v>2</v>
      </c>
      <c r="G1055" t="b">
        <v>1</v>
      </c>
      <c r="H1055">
        <v>70803</v>
      </c>
      <c r="I1055" s="6">
        <v>2.9050772180635702</v>
      </c>
      <c r="J1055" s="1">
        <v>42380.491909722223</v>
      </c>
      <c r="K1055">
        <v>19.579999999999998</v>
      </c>
      <c r="L1055" s="6">
        <f>('Pizza Sales Calculations'!$J1055-'Pizza Sales Calculations'!$C1055)*24*60</f>
        <v>14.516666665440425</v>
      </c>
      <c r="M1055">
        <f>COUNTA('Pizza Sales Calculations'!$D1055:$F1055)</f>
        <v>2</v>
      </c>
      <c r="R1055" s="9">
        <f>IF('Pizza Sales Calculations'!$G1055=TRUE, Parameters!$B$17*'Pizza Sales Calculations'!$L1055*2, 0)</f>
        <v>4.1130555552081205</v>
      </c>
      <c r="T1055" s="6"/>
      <c r="U1055" s="9"/>
    </row>
    <row r="1056" spans="1:21" x14ac:dyDescent="0.2">
      <c r="A1056">
        <v>1055</v>
      </c>
      <c r="B1056" s="1">
        <v>42380.546747685185</v>
      </c>
      <c r="C1056" s="1">
        <v>42380.557141203702</v>
      </c>
      <c r="D1056" t="s">
        <v>1</v>
      </c>
      <c r="G1056" t="b">
        <v>1</v>
      </c>
      <c r="H1056">
        <v>70805</v>
      </c>
      <c r="I1056" s="6">
        <v>3.31177772055617</v>
      </c>
      <c r="J1056" s="1">
        <v>42380.56863425926</v>
      </c>
      <c r="K1056">
        <v>7.99</v>
      </c>
      <c r="L1056" s="6">
        <f>('Pizza Sales Calculations'!$J1056-'Pizza Sales Calculations'!$C1056)*24*60</f>
        <v>16.550000002607703</v>
      </c>
      <c r="M1056">
        <f>COUNTA('Pizza Sales Calculations'!$D1056:$F1056)</f>
        <v>1</v>
      </c>
      <c r="R1056" s="9">
        <f>IF('Pizza Sales Calculations'!$G1056=TRUE, Parameters!$B$17*'Pizza Sales Calculations'!$L1056*2, 0)</f>
        <v>4.6891666674055159</v>
      </c>
      <c r="T1056" s="6"/>
      <c r="U1056" s="9"/>
    </row>
    <row r="1057" spans="1:21" x14ac:dyDescent="0.2">
      <c r="A1057">
        <v>1056</v>
      </c>
      <c r="B1057" s="1">
        <v>42380.449780092589</v>
      </c>
      <c r="C1057" s="1">
        <v>42380.460196759261</v>
      </c>
      <c r="D1057" t="s">
        <v>2</v>
      </c>
      <c r="G1057" t="b">
        <v>1</v>
      </c>
      <c r="H1057">
        <v>70808</v>
      </c>
      <c r="I1057" s="6">
        <v>3.2433501561889302</v>
      </c>
      <c r="J1057" s="1">
        <v>42380.471458333333</v>
      </c>
      <c r="K1057">
        <v>11.59</v>
      </c>
      <c r="L1057" s="6">
        <f>('Pizza Sales Calculations'!$J1057-'Pizza Sales Calculations'!$C1057)*24*60</f>
        <v>16.216666664695367</v>
      </c>
      <c r="M1057">
        <f>COUNTA('Pizza Sales Calculations'!$D1057:$F1057)</f>
        <v>1</v>
      </c>
      <c r="R1057" s="9">
        <f>IF('Pizza Sales Calculations'!$G1057=TRUE, Parameters!$B$17*'Pizza Sales Calculations'!$L1057*2, 0)</f>
        <v>4.5947222216636874</v>
      </c>
      <c r="T1057" s="6"/>
      <c r="U1057" s="9"/>
    </row>
    <row r="1058" spans="1:21" x14ac:dyDescent="0.2">
      <c r="A1058">
        <v>1057</v>
      </c>
      <c r="B1058" s="1">
        <v>42380.52039351852</v>
      </c>
      <c r="C1058" s="1">
        <v>42380.530798611115</v>
      </c>
      <c r="D1058" t="s">
        <v>2</v>
      </c>
      <c r="G1058" t="b">
        <v>1</v>
      </c>
      <c r="H1058">
        <v>70803</v>
      </c>
      <c r="I1058" s="6">
        <v>3.3767469409949902</v>
      </c>
      <c r="J1058" s="1">
        <v>42380.542523148149</v>
      </c>
      <c r="K1058">
        <v>11.59</v>
      </c>
      <c r="L1058" s="6">
        <f>('Pizza Sales Calculations'!$J1058-'Pizza Sales Calculations'!$C1058)*24*60</f>
        <v>16.88333333004266</v>
      </c>
      <c r="M1058">
        <f>COUNTA('Pizza Sales Calculations'!$D1058:$F1058)</f>
        <v>1</v>
      </c>
      <c r="R1058" s="9">
        <f>IF('Pizza Sales Calculations'!$G1058=TRUE, Parameters!$B$17*'Pizza Sales Calculations'!$L1058*2, 0)</f>
        <v>4.7836111101787537</v>
      </c>
      <c r="T1058" s="6"/>
      <c r="U1058" s="9"/>
    </row>
    <row r="1059" spans="1:21" x14ac:dyDescent="0.2">
      <c r="A1059">
        <v>1058</v>
      </c>
      <c r="B1059" s="1">
        <v>42380.532592592594</v>
      </c>
      <c r="C1059" s="1">
        <v>42380.542974537035</v>
      </c>
      <c r="D1059" t="s">
        <v>35</v>
      </c>
      <c r="G1059" t="b">
        <v>1</v>
      </c>
      <c r="H1059">
        <v>70805</v>
      </c>
      <c r="I1059" s="6">
        <v>3.02554281507425</v>
      </c>
      <c r="J1059" s="1">
        <v>42380.553472222222</v>
      </c>
      <c r="K1059">
        <v>15.35</v>
      </c>
      <c r="L1059" s="6">
        <f>('Pizza Sales Calculations'!$J1059-'Pizza Sales Calculations'!$C1059)*24*60</f>
        <v>15.116666669491678</v>
      </c>
      <c r="M1059">
        <f>COUNTA('Pizza Sales Calculations'!$D1059:$F1059)</f>
        <v>1</v>
      </c>
      <c r="R1059" s="9">
        <f>IF('Pizza Sales Calculations'!$G1059=TRUE, Parameters!$B$17*'Pizza Sales Calculations'!$L1059*2, 0)</f>
        <v>4.2830555563559756</v>
      </c>
      <c r="T1059" s="6"/>
      <c r="U1059" s="9"/>
    </row>
    <row r="1060" spans="1:21" x14ac:dyDescent="0.2">
      <c r="A1060">
        <v>1059</v>
      </c>
      <c r="B1060" s="1">
        <v>42380.482523148145</v>
      </c>
      <c r="C1060" s="1">
        <v>42380.492939814816</v>
      </c>
      <c r="D1060" t="s">
        <v>35</v>
      </c>
      <c r="G1060" t="b">
        <v>0</v>
      </c>
      <c r="H1060">
        <v>70804</v>
      </c>
      <c r="I1060" s="6">
        <v>0</v>
      </c>
      <c r="J1060" s="1">
        <v>42380.495011574072</v>
      </c>
      <c r="K1060">
        <v>15.35</v>
      </c>
      <c r="L1060" s="6">
        <f>('Pizza Sales Calculations'!$J1060-'Pizza Sales Calculations'!$C1060)*24*60</f>
        <v>2.9833333287388086</v>
      </c>
      <c r="M1060">
        <f>COUNTA('Pizza Sales Calculations'!$D1060:$F1060)</f>
        <v>1</v>
      </c>
      <c r="R1060" s="9">
        <f>IF('Pizza Sales Calculations'!$G1060=TRUE, Parameters!$B$17*'Pizza Sales Calculations'!$L1060*2, 0)</f>
        <v>0</v>
      </c>
      <c r="T1060" s="6"/>
      <c r="U1060" s="9"/>
    </row>
    <row r="1061" spans="1:21" x14ac:dyDescent="0.2">
      <c r="A1061">
        <v>1060</v>
      </c>
      <c r="B1061" s="1">
        <v>42380.575023148151</v>
      </c>
      <c r="C1061" s="1">
        <v>42380.585439814815</v>
      </c>
      <c r="D1061" t="s">
        <v>1</v>
      </c>
      <c r="E1061" t="s">
        <v>35</v>
      </c>
      <c r="G1061" t="b">
        <v>0</v>
      </c>
      <c r="H1061">
        <v>70805</v>
      </c>
      <c r="I1061" s="6">
        <v>0</v>
      </c>
      <c r="J1061" s="1">
        <v>42380.587523148148</v>
      </c>
      <c r="K1061">
        <v>23.34</v>
      </c>
      <c r="L1061" s="6">
        <f>('Pizza Sales Calculations'!$J1061-'Pizza Sales Calculations'!$C1061)*24*60</f>
        <v>2.9999999993015081</v>
      </c>
      <c r="M1061">
        <f>COUNTA('Pizza Sales Calculations'!$D1061:$F1061)</f>
        <v>2</v>
      </c>
      <c r="R1061" s="9">
        <f>IF('Pizza Sales Calculations'!$G1061=TRUE, Parameters!$B$17*'Pizza Sales Calculations'!$L1061*2, 0)</f>
        <v>0</v>
      </c>
      <c r="T1061" s="6"/>
      <c r="U1061" s="9"/>
    </row>
    <row r="1062" spans="1:21" x14ac:dyDescent="0.2">
      <c r="A1062">
        <v>1061</v>
      </c>
      <c r="B1062" s="1">
        <v>42380.50644675926</v>
      </c>
      <c r="C1062" s="1">
        <v>42380.516851851855</v>
      </c>
      <c r="D1062" t="s">
        <v>2</v>
      </c>
      <c r="G1062" t="b">
        <v>1</v>
      </c>
      <c r="H1062">
        <v>70803</v>
      </c>
      <c r="I1062" s="6">
        <v>2.7736722899243298</v>
      </c>
      <c r="J1062" s="1">
        <v>42380.52648148148</v>
      </c>
      <c r="K1062">
        <v>11.59</v>
      </c>
      <c r="L1062" s="6">
        <f>('Pizza Sales Calculations'!$J1062-'Pizza Sales Calculations'!$C1062)*24*60</f>
        <v>13.866666660178453</v>
      </c>
      <c r="M1062">
        <f>COUNTA('Pizza Sales Calculations'!$D1062:$F1062)</f>
        <v>1</v>
      </c>
      <c r="R1062" s="9">
        <f>IF('Pizza Sales Calculations'!$G1062=TRUE, Parameters!$B$17*'Pizza Sales Calculations'!$L1062*2, 0)</f>
        <v>3.9288888870505616</v>
      </c>
      <c r="T1062" s="6"/>
      <c r="U1062" s="9"/>
    </row>
    <row r="1063" spans="1:21" x14ac:dyDescent="0.2">
      <c r="A1063">
        <v>1062</v>
      </c>
      <c r="B1063" s="1">
        <v>42380.481851851851</v>
      </c>
      <c r="C1063" s="1">
        <v>42380.492291666669</v>
      </c>
      <c r="D1063" t="s">
        <v>35</v>
      </c>
      <c r="G1063" t="b">
        <v>0</v>
      </c>
      <c r="H1063">
        <v>70805</v>
      </c>
      <c r="I1063" s="6">
        <v>0</v>
      </c>
      <c r="J1063" s="1">
        <v>42380.494375000002</v>
      </c>
      <c r="K1063">
        <v>15.35</v>
      </c>
      <c r="L1063" s="6">
        <f>('Pizza Sales Calculations'!$J1063-'Pizza Sales Calculations'!$C1063)*24*60</f>
        <v>2.9999999993015081</v>
      </c>
      <c r="M1063">
        <f>COUNTA('Pizza Sales Calculations'!$D1063:$F1063)</f>
        <v>1</v>
      </c>
      <c r="R1063" s="9">
        <f>IF('Pizza Sales Calculations'!$G1063=TRUE, Parameters!$B$17*'Pizza Sales Calculations'!$L1063*2, 0)</f>
        <v>0</v>
      </c>
      <c r="T1063" s="6"/>
      <c r="U1063" s="9"/>
    </row>
    <row r="1064" spans="1:21" x14ac:dyDescent="0.2">
      <c r="A1064">
        <v>1063</v>
      </c>
      <c r="B1064" s="1">
        <v>42380.521898148145</v>
      </c>
      <c r="C1064" s="1">
        <v>42380.53229166667</v>
      </c>
      <c r="D1064" t="s">
        <v>1</v>
      </c>
      <c r="E1064" t="s">
        <v>2</v>
      </c>
      <c r="G1064" t="b">
        <v>0</v>
      </c>
      <c r="H1064">
        <v>70806</v>
      </c>
      <c r="I1064" s="6">
        <v>0</v>
      </c>
      <c r="J1064" s="1">
        <v>42380.534375000003</v>
      </c>
      <c r="K1064">
        <v>19.579999999999998</v>
      </c>
      <c r="L1064" s="6">
        <f>('Pizza Sales Calculations'!$J1064-'Pizza Sales Calculations'!$C1064)*24*60</f>
        <v>2.9999999993015081</v>
      </c>
      <c r="M1064">
        <f>COUNTA('Pizza Sales Calculations'!$D1064:$F1064)</f>
        <v>2</v>
      </c>
      <c r="R1064" s="9">
        <f>IF('Pizza Sales Calculations'!$G1064=TRUE, Parameters!$B$17*'Pizza Sales Calculations'!$L1064*2, 0)</f>
        <v>0</v>
      </c>
      <c r="T1064" s="6"/>
      <c r="U1064" s="9"/>
    </row>
    <row r="1065" spans="1:21" x14ac:dyDescent="0.2">
      <c r="A1065">
        <v>1064</v>
      </c>
      <c r="B1065" s="1">
        <v>42380.480185185188</v>
      </c>
      <c r="C1065" s="1">
        <v>42380.490601851852</v>
      </c>
      <c r="D1065" t="s">
        <v>2</v>
      </c>
      <c r="G1065" t="b">
        <v>1</v>
      </c>
      <c r="H1065">
        <v>70805</v>
      </c>
      <c r="I1065" s="6">
        <v>5.1963751196643804</v>
      </c>
      <c r="J1065" s="1">
        <v>42380.508634259262</v>
      </c>
      <c r="K1065">
        <v>11.59</v>
      </c>
      <c r="L1065" s="6">
        <f>('Pizza Sales Calculations'!$J1065-'Pizza Sales Calculations'!$C1065)*24*60</f>
        <v>25.966666670283303</v>
      </c>
      <c r="M1065">
        <f>COUNTA('Pizza Sales Calculations'!$D1065:$F1065)</f>
        <v>1</v>
      </c>
      <c r="R1065" s="9">
        <f>IF('Pizza Sales Calculations'!$G1065=TRUE, Parameters!$B$17*'Pizza Sales Calculations'!$L1065*2, 0)</f>
        <v>7.3572222232469358</v>
      </c>
      <c r="T1065" s="6"/>
      <c r="U1065" s="9"/>
    </row>
    <row r="1066" spans="1:21" x14ac:dyDescent="0.2">
      <c r="A1066">
        <v>1065</v>
      </c>
      <c r="B1066" s="1">
        <v>42380.507974537039</v>
      </c>
      <c r="C1066" s="1">
        <v>42380.518391203703</v>
      </c>
      <c r="D1066" t="s">
        <v>2</v>
      </c>
      <c r="G1066" t="b">
        <v>0</v>
      </c>
      <c r="H1066">
        <v>70805</v>
      </c>
      <c r="I1066" s="6">
        <v>0</v>
      </c>
      <c r="J1066" s="1">
        <v>42380.520451388889</v>
      </c>
      <c r="K1066">
        <v>11.59</v>
      </c>
      <c r="L1066" s="6">
        <f>('Pizza Sales Calculations'!$J1066-'Pizza Sales Calculations'!$C1066)*24*60</f>
        <v>2.9666666686534882</v>
      </c>
      <c r="M1066">
        <f>COUNTA('Pizza Sales Calculations'!$D1066:$F1066)</f>
        <v>1</v>
      </c>
      <c r="R1066" s="9">
        <f>IF('Pizza Sales Calculations'!$G1066=TRUE, Parameters!$B$17*'Pizza Sales Calculations'!$L1066*2, 0)</f>
        <v>0</v>
      </c>
      <c r="T1066" s="6"/>
      <c r="U1066" s="9"/>
    </row>
    <row r="1067" spans="1:21" x14ac:dyDescent="0.2">
      <c r="A1067">
        <v>1066</v>
      </c>
      <c r="B1067" s="1">
        <v>42380.4452662037</v>
      </c>
      <c r="C1067" s="1">
        <v>42380.455671296295</v>
      </c>
      <c r="D1067" t="s">
        <v>35</v>
      </c>
      <c r="G1067" t="b">
        <v>0</v>
      </c>
      <c r="H1067">
        <v>70806</v>
      </c>
      <c r="I1067" s="6">
        <v>0</v>
      </c>
      <c r="J1067" s="1">
        <v>42380.457743055558</v>
      </c>
      <c r="K1067">
        <v>15.35</v>
      </c>
      <c r="L1067" s="6">
        <f>('Pizza Sales Calculations'!$J1067-'Pizza Sales Calculations'!$C1067)*24*60</f>
        <v>2.9833333392161876</v>
      </c>
      <c r="M1067">
        <f>COUNTA('Pizza Sales Calculations'!$D1067:$F1067)</f>
        <v>1</v>
      </c>
      <c r="R1067" s="9">
        <f>IF('Pizza Sales Calculations'!$G1067=TRUE, Parameters!$B$17*'Pizza Sales Calculations'!$L1067*2, 0)</f>
        <v>0</v>
      </c>
      <c r="T1067" s="6"/>
      <c r="U1067" s="9"/>
    </row>
    <row r="1068" spans="1:21" x14ac:dyDescent="0.2">
      <c r="A1068">
        <v>1067</v>
      </c>
      <c r="B1068" s="1">
        <v>42381.493518518517</v>
      </c>
      <c r="C1068" s="1">
        <v>42381.503935185188</v>
      </c>
      <c r="D1068" t="s">
        <v>2</v>
      </c>
      <c r="G1068" t="b">
        <v>1</v>
      </c>
      <c r="H1068">
        <v>70804</v>
      </c>
      <c r="I1068" s="6">
        <v>2.8808286075674001</v>
      </c>
      <c r="J1068" s="1">
        <v>42381.513935185183</v>
      </c>
      <c r="K1068">
        <v>11.59</v>
      </c>
      <c r="L1068" s="6">
        <f>('Pizza Sales Calculations'!$J1068-'Pizza Sales Calculations'!$C1068)*24*60</f>
        <v>14.399999992456287</v>
      </c>
      <c r="M1068">
        <f>COUNTA('Pizza Sales Calculations'!$D1068:$F1068)</f>
        <v>1</v>
      </c>
      <c r="R1068" s="9">
        <f>IF('Pizza Sales Calculations'!$G1068=TRUE, Parameters!$B$17*'Pizza Sales Calculations'!$L1068*2, 0)</f>
        <v>4.0799999978626147</v>
      </c>
      <c r="T1068" s="6"/>
      <c r="U1068" s="9"/>
    </row>
    <row r="1069" spans="1:21" x14ac:dyDescent="0.2">
      <c r="A1069">
        <v>1068</v>
      </c>
      <c r="B1069" s="1">
        <v>42381.492997685185</v>
      </c>
      <c r="C1069" s="1">
        <v>42381.50340277778</v>
      </c>
      <c r="D1069" t="s">
        <v>2</v>
      </c>
      <c r="G1069" t="b">
        <v>1</v>
      </c>
      <c r="H1069">
        <v>70805</v>
      </c>
      <c r="I1069" s="6">
        <v>4.1406875820225997</v>
      </c>
      <c r="J1069" s="1">
        <v>42381.517777777779</v>
      </c>
      <c r="K1069">
        <v>11.59</v>
      </c>
      <c r="L1069" s="6">
        <f>('Pizza Sales Calculations'!$J1069-'Pizza Sales Calculations'!$C1069)*24*60</f>
        <v>20.699999998323619</v>
      </c>
      <c r="M1069">
        <f>COUNTA('Pizza Sales Calculations'!$D1069:$F1069)</f>
        <v>1</v>
      </c>
      <c r="R1069" s="9">
        <f>IF('Pizza Sales Calculations'!$G1069=TRUE, Parameters!$B$17*'Pizza Sales Calculations'!$L1069*2, 0)</f>
        <v>5.8649999995250255</v>
      </c>
      <c r="T1069" s="6"/>
      <c r="U1069" s="9"/>
    </row>
    <row r="1070" spans="1:21" x14ac:dyDescent="0.2">
      <c r="A1070">
        <v>1069</v>
      </c>
      <c r="B1070" s="1">
        <v>42381.479050925926</v>
      </c>
      <c r="C1070" s="1">
        <v>42381.48945601852</v>
      </c>
      <c r="D1070" t="s">
        <v>2</v>
      </c>
      <c r="G1070" t="b">
        <v>1</v>
      </c>
      <c r="H1070">
        <v>70805</v>
      </c>
      <c r="I1070" s="6">
        <v>1.6673817068354599</v>
      </c>
      <c r="J1070" s="1">
        <v>42381.495243055557</v>
      </c>
      <c r="K1070">
        <v>11.59</v>
      </c>
      <c r="L1070" s="6">
        <f>('Pizza Sales Calculations'!$J1070-'Pizza Sales Calculations'!$C1070)*24*60</f>
        <v>8.3333333325572312</v>
      </c>
      <c r="M1070">
        <f>COUNTA('Pizza Sales Calculations'!$D1070:$F1070)</f>
        <v>1</v>
      </c>
      <c r="R1070" s="9">
        <f>IF('Pizza Sales Calculations'!$G1070=TRUE, Parameters!$B$17*'Pizza Sales Calculations'!$L1070*2, 0)</f>
        <v>2.3611111108912155</v>
      </c>
      <c r="T1070" s="6"/>
      <c r="U1070" s="9"/>
    </row>
    <row r="1071" spans="1:21" x14ac:dyDescent="0.2">
      <c r="A1071">
        <v>1070</v>
      </c>
      <c r="B1071" s="1">
        <v>42381.449282407404</v>
      </c>
      <c r="C1071" s="1">
        <v>42381.459687499999</v>
      </c>
      <c r="D1071" t="s">
        <v>2</v>
      </c>
      <c r="G1071" t="b">
        <v>1</v>
      </c>
      <c r="H1071">
        <v>70805</v>
      </c>
      <c r="I1071" s="6">
        <v>2.28297191816897</v>
      </c>
      <c r="J1071" s="1">
        <v>42381.467604166668</v>
      </c>
      <c r="K1071">
        <v>11.59</v>
      </c>
      <c r="L1071" s="6">
        <f>('Pizza Sales Calculations'!$J1071-'Pizza Sales Calculations'!$C1071)*24*60</f>
        <v>11.400000003632158</v>
      </c>
      <c r="M1071">
        <f>COUNTA('Pizza Sales Calculations'!$D1071:$F1071)</f>
        <v>1</v>
      </c>
      <c r="R1071" s="9">
        <f>IF('Pizza Sales Calculations'!$G1071=TRUE, Parameters!$B$17*'Pizza Sales Calculations'!$L1071*2, 0)</f>
        <v>3.2300000010291114</v>
      </c>
      <c r="T1071" s="6"/>
      <c r="U1071" s="9"/>
    </row>
    <row r="1072" spans="1:21" x14ac:dyDescent="0.2">
      <c r="A1072">
        <v>1071</v>
      </c>
      <c r="B1072" s="1">
        <v>42381.600983796299</v>
      </c>
      <c r="C1072" s="1">
        <v>42381.61141203704</v>
      </c>
      <c r="D1072" t="s">
        <v>35</v>
      </c>
      <c r="G1072" t="b">
        <v>0</v>
      </c>
      <c r="H1072">
        <v>70803</v>
      </c>
      <c r="I1072" s="6">
        <v>0</v>
      </c>
      <c r="J1072" s="1">
        <v>42381.613483796296</v>
      </c>
      <c r="K1072">
        <v>15.35</v>
      </c>
      <c r="L1072" s="6">
        <f>('Pizza Sales Calculations'!$J1072-'Pizza Sales Calculations'!$C1072)*24*60</f>
        <v>2.9833333287388086</v>
      </c>
      <c r="M1072">
        <f>COUNTA('Pizza Sales Calculations'!$D1072:$F1072)</f>
        <v>1</v>
      </c>
      <c r="R1072" s="9">
        <f>IF('Pizza Sales Calculations'!$G1072=TRUE, Parameters!$B$17*'Pizza Sales Calculations'!$L1072*2, 0)</f>
        <v>0</v>
      </c>
      <c r="T1072" s="6"/>
      <c r="U1072" s="9"/>
    </row>
    <row r="1073" spans="1:21" x14ac:dyDescent="0.2">
      <c r="A1073">
        <v>1072</v>
      </c>
      <c r="B1073" s="1">
        <v>42381.453738425924</v>
      </c>
      <c r="C1073" s="1">
        <v>42381.464143518519</v>
      </c>
      <c r="D1073" t="s">
        <v>35</v>
      </c>
      <c r="G1073" t="b">
        <v>1</v>
      </c>
      <c r="H1073">
        <v>70804</v>
      </c>
      <c r="I1073" s="6">
        <v>1.41203102819736</v>
      </c>
      <c r="J1073" s="1">
        <v>42381.469039351854</v>
      </c>
      <c r="K1073">
        <v>15.35</v>
      </c>
      <c r="L1073" s="6">
        <f>('Pizza Sales Calculations'!$J1073-'Pizza Sales Calculations'!$C1073)*24*60</f>
        <v>7.0500000030733645</v>
      </c>
      <c r="M1073">
        <f>COUNTA('Pizza Sales Calculations'!$D1073:$F1073)</f>
        <v>1</v>
      </c>
      <c r="R1073" s="9">
        <f>IF('Pizza Sales Calculations'!$G1073=TRUE, Parameters!$B$17*'Pizza Sales Calculations'!$L1073*2, 0)</f>
        <v>1.9975000008707866</v>
      </c>
      <c r="T1073" s="6"/>
      <c r="U1073" s="9"/>
    </row>
    <row r="1074" spans="1:21" x14ac:dyDescent="0.2">
      <c r="A1074">
        <v>1073</v>
      </c>
      <c r="B1074" s="1">
        <v>42381.480856481481</v>
      </c>
      <c r="C1074" s="1">
        <v>42381.491284722222</v>
      </c>
      <c r="D1074" t="s">
        <v>1</v>
      </c>
      <c r="E1074" t="s">
        <v>2</v>
      </c>
      <c r="G1074" t="b">
        <v>0</v>
      </c>
      <c r="H1074">
        <v>70805</v>
      </c>
      <c r="I1074" s="6">
        <v>0</v>
      </c>
      <c r="J1074" s="1">
        <v>42381.493356481478</v>
      </c>
      <c r="K1074">
        <v>19.579999999999998</v>
      </c>
      <c r="L1074" s="6">
        <f>('Pizza Sales Calculations'!$J1074-'Pizza Sales Calculations'!$C1074)*24*60</f>
        <v>2.9833333287388086</v>
      </c>
      <c r="M1074">
        <f>COUNTA('Pizza Sales Calculations'!$D1074:$F1074)</f>
        <v>2</v>
      </c>
      <c r="R1074" s="9">
        <f>IF('Pizza Sales Calculations'!$G1074=TRUE, Parameters!$B$17*'Pizza Sales Calculations'!$L1074*2, 0)</f>
        <v>0</v>
      </c>
      <c r="T1074" s="6"/>
      <c r="U1074" s="9"/>
    </row>
    <row r="1075" spans="1:21" x14ac:dyDescent="0.2">
      <c r="A1075">
        <v>1074</v>
      </c>
      <c r="B1075" s="1">
        <v>42381.456990740742</v>
      </c>
      <c r="C1075" s="1">
        <v>42381.467407407406</v>
      </c>
      <c r="D1075" t="s">
        <v>2</v>
      </c>
      <c r="G1075" t="b">
        <v>0</v>
      </c>
      <c r="H1075">
        <v>70805</v>
      </c>
      <c r="I1075" s="6">
        <v>0</v>
      </c>
      <c r="J1075" s="1">
        <v>42381.46947916667</v>
      </c>
      <c r="K1075">
        <v>11.59</v>
      </c>
      <c r="L1075" s="6">
        <f>('Pizza Sales Calculations'!$J1075-'Pizza Sales Calculations'!$C1075)*24*60</f>
        <v>2.9833333392161876</v>
      </c>
      <c r="M1075">
        <f>COUNTA('Pizza Sales Calculations'!$D1075:$F1075)</f>
        <v>1</v>
      </c>
      <c r="R1075" s="9">
        <f>IF('Pizza Sales Calculations'!$G1075=TRUE, Parameters!$B$17*'Pizza Sales Calculations'!$L1075*2, 0)</f>
        <v>0</v>
      </c>
      <c r="T1075" s="6"/>
      <c r="U1075" s="9"/>
    </row>
    <row r="1076" spans="1:21" x14ac:dyDescent="0.2">
      <c r="A1076">
        <v>1075</v>
      </c>
      <c r="B1076" s="1">
        <v>42381.440243055556</v>
      </c>
      <c r="C1076" s="1">
        <v>42381.450659722221</v>
      </c>
      <c r="D1076" t="s">
        <v>35</v>
      </c>
      <c r="G1076" t="b">
        <v>1</v>
      </c>
      <c r="H1076">
        <v>70808</v>
      </c>
      <c r="I1076" s="6">
        <v>3.3426306697128201</v>
      </c>
      <c r="J1076" s="1">
        <v>42381.462256944447</v>
      </c>
      <c r="K1076">
        <v>15.35</v>
      </c>
      <c r="L1076" s="6">
        <f>('Pizza Sales Calculations'!$J1076-'Pizza Sales Calculations'!$C1076)*24*60</f>
        <v>16.700000006239861</v>
      </c>
      <c r="M1076">
        <f>COUNTA('Pizza Sales Calculations'!$D1076:$F1076)</f>
        <v>1</v>
      </c>
      <c r="R1076" s="9">
        <f>IF('Pizza Sales Calculations'!$G1076=TRUE, Parameters!$B$17*'Pizza Sales Calculations'!$L1076*2, 0)</f>
        <v>4.7316666684346274</v>
      </c>
      <c r="T1076" s="6"/>
      <c r="U1076" s="9"/>
    </row>
    <row r="1077" spans="1:21" x14ac:dyDescent="0.2">
      <c r="A1077">
        <v>1076</v>
      </c>
      <c r="B1077" s="1">
        <v>42381.534039351849</v>
      </c>
      <c r="C1077" s="1">
        <v>42381.544444444444</v>
      </c>
      <c r="D1077" t="s">
        <v>1</v>
      </c>
      <c r="G1077" t="b">
        <v>1</v>
      </c>
      <c r="H1077">
        <v>70805</v>
      </c>
      <c r="I1077" s="6">
        <v>2.3746878313540498</v>
      </c>
      <c r="J1077" s="1">
        <v>42381.552685185183</v>
      </c>
      <c r="K1077">
        <v>7.99</v>
      </c>
      <c r="L1077" s="6">
        <f>('Pizza Sales Calculations'!$J1077-'Pizza Sales Calculations'!$C1077)*24*60</f>
        <v>11.866666664136574</v>
      </c>
      <c r="M1077">
        <f>COUNTA('Pizza Sales Calculations'!$D1077:$F1077)</f>
        <v>1</v>
      </c>
      <c r="R1077" s="9">
        <f>IF('Pizza Sales Calculations'!$G1077=TRUE, Parameters!$B$17*'Pizza Sales Calculations'!$L1077*2, 0)</f>
        <v>3.3622222215053625</v>
      </c>
      <c r="T1077" s="6"/>
      <c r="U1077" s="9"/>
    </row>
    <row r="1078" spans="1:21" x14ac:dyDescent="0.2">
      <c r="A1078">
        <v>1077</v>
      </c>
      <c r="B1078" s="1">
        <v>42381.578680555554</v>
      </c>
      <c r="C1078" s="1">
        <v>42381.589085648149</v>
      </c>
      <c r="D1078" t="s">
        <v>35</v>
      </c>
      <c r="G1078" t="b">
        <v>0</v>
      </c>
      <c r="H1078">
        <v>70803</v>
      </c>
      <c r="I1078" s="6">
        <v>0</v>
      </c>
      <c r="J1078" s="1">
        <v>42381.591168981482</v>
      </c>
      <c r="K1078">
        <v>15.35</v>
      </c>
      <c r="L1078" s="6">
        <f>('Pizza Sales Calculations'!$J1078-'Pizza Sales Calculations'!$C1078)*24*60</f>
        <v>2.9999999993015081</v>
      </c>
      <c r="M1078">
        <f>COUNTA('Pizza Sales Calculations'!$D1078:$F1078)</f>
        <v>1</v>
      </c>
      <c r="R1078" s="9">
        <f>IF('Pizza Sales Calculations'!$G1078=TRUE, Parameters!$B$17*'Pizza Sales Calculations'!$L1078*2, 0)</f>
        <v>0</v>
      </c>
      <c r="T1078" s="6"/>
      <c r="U1078" s="9"/>
    </row>
    <row r="1079" spans="1:21" x14ac:dyDescent="0.2">
      <c r="A1079">
        <v>1078</v>
      </c>
      <c r="B1079" s="1">
        <v>42381.525972222225</v>
      </c>
      <c r="C1079" s="1">
        <v>42381.53638888889</v>
      </c>
      <c r="D1079" t="s">
        <v>35</v>
      </c>
      <c r="G1079" t="b">
        <v>1</v>
      </c>
      <c r="H1079">
        <v>70804</v>
      </c>
      <c r="I1079" s="6">
        <v>3.7932380702744601</v>
      </c>
      <c r="J1079" s="1">
        <v>42381.54954861111</v>
      </c>
      <c r="K1079">
        <v>15.35</v>
      </c>
      <c r="L1079" s="6">
        <f>('Pizza Sales Calculations'!$J1079-'Pizza Sales Calculations'!$C1079)*24*60</f>
        <v>18.949999997857958</v>
      </c>
      <c r="M1079">
        <f>COUNTA('Pizza Sales Calculations'!$D1079:$F1079)</f>
        <v>1</v>
      </c>
      <c r="R1079" s="9">
        <f>IF('Pizza Sales Calculations'!$G1079=TRUE, Parameters!$B$17*'Pizza Sales Calculations'!$L1079*2, 0)</f>
        <v>5.3691666660597548</v>
      </c>
      <c r="T1079" s="6"/>
      <c r="U1079" s="9"/>
    </row>
    <row r="1080" spans="1:21" x14ac:dyDescent="0.2">
      <c r="A1080">
        <v>1079</v>
      </c>
      <c r="B1080" s="1">
        <v>42381.492361111108</v>
      </c>
      <c r="C1080" s="1">
        <v>42381.502754629626</v>
      </c>
      <c r="D1080" t="s">
        <v>2</v>
      </c>
      <c r="G1080" t="b">
        <v>1</v>
      </c>
      <c r="H1080">
        <v>70803</v>
      </c>
      <c r="I1080" s="6">
        <v>4.1979388085134604</v>
      </c>
      <c r="J1080" s="1">
        <v>42381.517326388886</v>
      </c>
      <c r="K1080">
        <v>11.59</v>
      </c>
      <c r="L1080" s="6">
        <f>('Pizza Sales Calculations'!$J1080-'Pizza Sales Calculations'!$C1080)*24*60</f>
        <v>20.983333335025236</v>
      </c>
      <c r="M1080">
        <f>COUNTA('Pizza Sales Calculations'!$D1080:$F1080)</f>
        <v>1</v>
      </c>
      <c r="R1080" s="9">
        <f>IF('Pizza Sales Calculations'!$G1080=TRUE, Parameters!$B$17*'Pizza Sales Calculations'!$L1080*2, 0)</f>
        <v>5.9452777782571502</v>
      </c>
      <c r="T1080" s="6"/>
      <c r="U1080" s="9"/>
    </row>
    <row r="1081" spans="1:21" x14ac:dyDescent="0.2">
      <c r="A1081">
        <v>1080</v>
      </c>
      <c r="B1081" s="1">
        <v>42381.491400462961</v>
      </c>
      <c r="C1081" s="1">
        <v>42381.501828703702</v>
      </c>
      <c r="D1081" t="s">
        <v>1</v>
      </c>
      <c r="E1081" t="s">
        <v>2</v>
      </c>
      <c r="G1081" t="b">
        <v>1</v>
      </c>
      <c r="H1081">
        <v>70804</v>
      </c>
      <c r="I1081" s="6">
        <v>1.6667947869811399</v>
      </c>
      <c r="J1081" s="1">
        <v>42381.507615740738</v>
      </c>
      <c r="K1081">
        <v>19.579999999999998</v>
      </c>
      <c r="L1081" s="6">
        <f>('Pizza Sales Calculations'!$J1081-'Pizza Sales Calculations'!$C1081)*24*60</f>
        <v>8.3333333325572312</v>
      </c>
      <c r="M1081">
        <f>COUNTA('Pizza Sales Calculations'!$D1081:$F1081)</f>
        <v>2</v>
      </c>
      <c r="R1081" s="9">
        <f>IF('Pizza Sales Calculations'!$G1081=TRUE, Parameters!$B$17*'Pizza Sales Calculations'!$L1081*2, 0)</f>
        <v>2.3611111108912155</v>
      </c>
      <c r="T1081" s="6"/>
      <c r="U1081" s="9"/>
    </row>
    <row r="1082" spans="1:21" x14ac:dyDescent="0.2">
      <c r="A1082">
        <v>1081</v>
      </c>
      <c r="B1082" s="1">
        <v>42381.489791666667</v>
      </c>
      <c r="C1082" s="1">
        <v>42381.500185185185</v>
      </c>
      <c r="D1082" t="s">
        <v>1</v>
      </c>
      <c r="E1082" t="s">
        <v>35</v>
      </c>
      <c r="G1082" t="b">
        <v>0</v>
      </c>
      <c r="H1082">
        <v>70806</v>
      </c>
      <c r="I1082" s="6">
        <v>0</v>
      </c>
      <c r="J1082" s="1">
        <v>42381.502268518518</v>
      </c>
      <c r="K1082">
        <v>23.34</v>
      </c>
      <c r="L1082" s="6">
        <f>('Pizza Sales Calculations'!$J1082-'Pizza Sales Calculations'!$C1082)*24*60</f>
        <v>2.9999999993015081</v>
      </c>
      <c r="M1082">
        <f>COUNTA('Pizza Sales Calculations'!$D1082:$F1082)</f>
        <v>2</v>
      </c>
      <c r="R1082" s="9">
        <f>IF('Pizza Sales Calculations'!$G1082=TRUE, Parameters!$B$17*'Pizza Sales Calculations'!$L1082*2, 0)</f>
        <v>0</v>
      </c>
      <c r="T1082" s="6"/>
      <c r="U1082" s="9"/>
    </row>
    <row r="1083" spans="1:21" x14ac:dyDescent="0.2">
      <c r="A1083">
        <v>1082</v>
      </c>
      <c r="B1083" s="1">
        <v>42381.499421296299</v>
      </c>
      <c r="C1083" s="1">
        <v>42381.509826388887</v>
      </c>
      <c r="D1083" t="s">
        <v>35</v>
      </c>
      <c r="G1083" t="b">
        <v>1</v>
      </c>
      <c r="H1083">
        <v>70806</v>
      </c>
      <c r="I1083" s="6">
        <v>4.38264169789056</v>
      </c>
      <c r="J1083" s="1">
        <v>42381.525034722225</v>
      </c>
      <c r="K1083">
        <v>15.35</v>
      </c>
      <c r="L1083" s="6">
        <f>('Pizza Sales Calculations'!$J1083-'Pizza Sales Calculations'!$C1083)*24*60</f>
        <v>21.900000006426126</v>
      </c>
      <c r="M1083">
        <f>COUNTA('Pizza Sales Calculations'!$D1083:$F1083)</f>
        <v>1</v>
      </c>
      <c r="R1083" s="9">
        <f>IF('Pizza Sales Calculations'!$G1083=TRUE, Parameters!$B$17*'Pizza Sales Calculations'!$L1083*2, 0)</f>
        <v>6.2050000018207356</v>
      </c>
      <c r="T1083" s="6"/>
      <c r="U1083" s="9"/>
    </row>
    <row r="1084" spans="1:21" x14ac:dyDescent="0.2">
      <c r="A1084">
        <v>1083</v>
      </c>
      <c r="B1084" s="1">
        <v>42381.507928240739</v>
      </c>
      <c r="C1084" s="1">
        <v>42381.518321759257</v>
      </c>
      <c r="D1084" t="s">
        <v>2</v>
      </c>
      <c r="G1084" t="b">
        <v>1</v>
      </c>
      <c r="H1084">
        <v>70804</v>
      </c>
      <c r="I1084" s="6">
        <v>3.3098200725698801</v>
      </c>
      <c r="J1084" s="1">
        <v>42381.529803240737</v>
      </c>
      <c r="K1084">
        <v>11.59</v>
      </c>
      <c r="L1084" s="6">
        <f>('Pizza Sales Calculations'!$J1084-'Pizza Sales Calculations'!$C1084)*24*60</f>
        <v>16.533333332045004</v>
      </c>
      <c r="M1084">
        <f>COUNTA('Pizza Sales Calculations'!$D1084:$F1084)</f>
        <v>1</v>
      </c>
      <c r="R1084" s="9">
        <f>IF('Pizza Sales Calculations'!$G1084=TRUE, Parameters!$B$17*'Pizza Sales Calculations'!$L1084*2, 0)</f>
        <v>4.6844444440794177</v>
      </c>
      <c r="T1084" s="6"/>
      <c r="U1084" s="9"/>
    </row>
    <row r="1085" spans="1:21" x14ac:dyDescent="0.2">
      <c r="A1085">
        <v>1084</v>
      </c>
      <c r="B1085" s="1">
        <v>42381.510763888888</v>
      </c>
      <c r="C1085" s="1">
        <v>42381.521180555559</v>
      </c>
      <c r="D1085" t="s">
        <v>2</v>
      </c>
      <c r="G1085" t="b">
        <v>0</v>
      </c>
      <c r="H1085">
        <v>70804</v>
      </c>
      <c r="I1085" s="6">
        <v>0</v>
      </c>
      <c r="J1085" s="1">
        <v>42381.523252314815</v>
      </c>
      <c r="K1085">
        <v>11.59</v>
      </c>
      <c r="L1085" s="6">
        <f>('Pizza Sales Calculations'!$J1085-'Pizza Sales Calculations'!$C1085)*24*60</f>
        <v>2.9833333287388086</v>
      </c>
      <c r="M1085">
        <f>COUNTA('Pizza Sales Calculations'!$D1085:$F1085)</f>
        <v>1</v>
      </c>
      <c r="R1085" s="9">
        <f>IF('Pizza Sales Calculations'!$G1085=TRUE, Parameters!$B$17*'Pizza Sales Calculations'!$L1085*2, 0)</f>
        <v>0</v>
      </c>
      <c r="T1085" s="6"/>
      <c r="U1085" s="9"/>
    </row>
    <row r="1086" spans="1:21" x14ac:dyDescent="0.2">
      <c r="A1086">
        <v>1085</v>
      </c>
      <c r="B1086" s="1">
        <v>42381.515787037039</v>
      </c>
      <c r="C1086" s="1">
        <v>42381.526192129626</v>
      </c>
      <c r="D1086" t="s">
        <v>1</v>
      </c>
      <c r="E1086" t="s">
        <v>2</v>
      </c>
      <c r="G1086" t="b">
        <v>0</v>
      </c>
      <c r="H1086">
        <v>70808</v>
      </c>
      <c r="I1086" s="6">
        <v>0</v>
      </c>
      <c r="J1086" s="1">
        <v>42381.528287037036</v>
      </c>
      <c r="K1086">
        <v>19.579999999999998</v>
      </c>
      <c r="L1086" s="6">
        <f>('Pizza Sales Calculations'!$J1086-'Pizza Sales Calculations'!$C1086)*24*60</f>
        <v>3.0166666698642075</v>
      </c>
      <c r="M1086">
        <f>COUNTA('Pizza Sales Calculations'!$D1086:$F1086)</f>
        <v>2</v>
      </c>
      <c r="R1086" s="9">
        <f>IF('Pizza Sales Calculations'!$G1086=TRUE, Parameters!$B$17*'Pizza Sales Calculations'!$L1086*2, 0)</f>
        <v>0</v>
      </c>
      <c r="T1086" s="6"/>
      <c r="U1086" s="9"/>
    </row>
    <row r="1087" spans="1:21" x14ac:dyDescent="0.2">
      <c r="A1087">
        <v>1086</v>
      </c>
      <c r="B1087" s="1">
        <v>42381.433113425926</v>
      </c>
      <c r="C1087" s="1">
        <v>42381.443506944444</v>
      </c>
      <c r="D1087" t="s">
        <v>1</v>
      </c>
      <c r="G1087" t="b">
        <v>1</v>
      </c>
      <c r="H1087">
        <v>70804</v>
      </c>
      <c r="I1087" s="6">
        <v>3.7466325935879898</v>
      </c>
      <c r="J1087" s="1">
        <v>42381.456504629627</v>
      </c>
      <c r="K1087">
        <v>7.99</v>
      </c>
      <c r="L1087" s="6">
        <f>('Pizza Sales Calculations'!$J1087-'Pizza Sales Calculations'!$C1087)*24*60</f>
        <v>18.716666662367061</v>
      </c>
      <c r="M1087">
        <f>COUNTA('Pizza Sales Calculations'!$D1087:$F1087)</f>
        <v>1</v>
      </c>
      <c r="R1087" s="9">
        <f>IF('Pizza Sales Calculations'!$G1087=TRUE, Parameters!$B$17*'Pizza Sales Calculations'!$L1087*2, 0)</f>
        <v>5.3030555543373339</v>
      </c>
      <c r="T1087" s="6"/>
      <c r="U1087" s="9"/>
    </row>
    <row r="1088" spans="1:21" x14ac:dyDescent="0.2">
      <c r="A1088">
        <v>1087</v>
      </c>
      <c r="B1088" s="1">
        <v>42381.512638888889</v>
      </c>
      <c r="C1088" s="1">
        <v>42381.523043981484</v>
      </c>
      <c r="D1088" t="s">
        <v>2</v>
      </c>
      <c r="G1088" t="b">
        <v>0</v>
      </c>
      <c r="H1088">
        <v>70804</v>
      </c>
      <c r="I1088" s="6">
        <v>0</v>
      </c>
      <c r="J1088" s="1">
        <v>42381.525138888886</v>
      </c>
      <c r="K1088">
        <v>11.59</v>
      </c>
      <c r="L1088" s="6">
        <f>('Pizza Sales Calculations'!$J1088-'Pizza Sales Calculations'!$C1088)*24*60</f>
        <v>3.0166666593868285</v>
      </c>
      <c r="M1088">
        <f>COUNTA('Pizza Sales Calculations'!$D1088:$F1088)</f>
        <v>1</v>
      </c>
      <c r="R1088" s="9">
        <f>IF('Pizza Sales Calculations'!$G1088=TRUE, Parameters!$B$17*'Pizza Sales Calculations'!$L1088*2, 0)</f>
        <v>0</v>
      </c>
      <c r="T1088" s="6"/>
      <c r="U1088" s="9"/>
    </row>
    <row r="1089" spans="1:21" x14ac:dyDescent="0.2">
      <c r="A1089">
        <v>1088</v>
      </c>
      <c r="B1089" s="1">
        <v>42381.44363425926</v>
      </c>
      <c r="C1089" s="1">
        <v>42381.454074074078</v>
      </c>
      <c r="D1089" t="s">
        <v>2</v>
      </c>
      <c r="G1089" t="b">
        <v>1</v>
      </c>
      <c r="H1089">
        <v>70804</v>
      </c>
      <c r="I1089" s="6">
        <v>2.74246590847428</v>
      </c>
      <c r="J1089" s="1">
        <v>42381.463587962964</v>
      </c>
      <c r="K1089">
        <v>11.59</v>
      </c>
      <c r="L1089" s="6">
        <f>('Pizza Sales Calculations'!$J1089-'Pizza Sales Calculations'!$C1089)*24*60</f>
        <v>13.699999996460974</v>
      </c>
      <c r="M1089">
        <f>COUNTA('Pizza Sales Calculations'!$D1089:$F1089)</f>
        <v>1</v>
      </c>
      <c r="R1089" s="9">
        <f>IF('Pizza Sales Calculations'!$G1089=TRUE, Parameters!$B$17*'Pizza Sales Calculations'!$L1089*2, 0)</f>
        <v>3.8816666656639427</v>
      </c>
      <c r="T1089" s="6"/>
      <c r="U1089" s="9"/>
    </row>
    <row r="1090" spans="1:21" x14ac:dyDescent="0.2">
      <c r="A1090">
        <v>1089</v>
      </c>
      <c r="B1090" s="1">
        <v>42381.517824074072</v>
      </c>
      <c r="C1090" s="1">
        <v>42381.528240740743</v>
      </c>
      <c r="D1090" t="s">
        <v>1</v>
      </c>
      <c r="E1090" t="s">
        <v>2</v>
      </c>
      <c r="G1090" t="b">
        <v>0</v>
      </c>
      <c r="H1090">
        <v>70804</v>
      </c>
      <c r="I1090" s="6">
        <v>0</v>
      </c>
      <c r="J1090" s="1">
        <v>42381.530312499999</v>
      </c>
      <c r="K1090">
        <v>19.579999999999998</v>
      </c>
      <c r="L1090" s="6">
        <f>('Pizza Sales Calculations'!$J1090-'Pizza Sales Calculations'!$C1090)*24*60</f>
        <v>2.9833333287388086</v>
      </c>
      <c r="M1090">
        <f>COUNTA('Pizza Sales Calculations'!$D1090:$F1090)</f>
        <v>2</v>
      </c>
      <c r="R1090" s="9">
        <f>IF('Pizza Sales Calculations'!$G1090=TRUE, Parameters!$B$17*'Pizza Sales Calculations'!$L1090*2, 0)</f>
        <v>0</v>
      </c>
      <c r="T1090" s="6"/>
      <c r="U1090" s="9"/>
    </row>
    <row r="1091" spans="1:21" x14ac:dyDescent="0.2">
      <c r="A1091">
        <v>1090</v>
      </c>
      <c r="B1091" s="1">
        <v>42381.522800925923</v>
      </c>
      <c r="C1091" s="1">
        <v>42381.533229166664</v>
      </c>
      <c r="D1091" t="s">
        <v>1</v>
      </c>
      <c r="E1091" t="s">
        <v>2</v>
      </c>
      <c r="G1091" t="b">
        <v>1</v>
      </c>
      <c r="H1091">
        <v>70808</v>
      </c>
      <c r="I1091" s="6">
        <v>1.5988477288799201</v>
      </c>
      <c r="J1091" s="1">
        <v>42381.538773148146</v>
      </c>
      <c r="K1091">
        <v>19.579999999999998</v>
      </c>
      <c r="L1091" s="6">
        <f>('Pizza Sales Calculations'!$J1091-'Pizza Sales Calculations'!$C1091)*24*60</f>
        <v>7.9833333345595747</v>
      </c>
      <c r="M1091">
        <f>COUNTA('Pizza Sales Calculations'!$D1091:$F1091)</f>
        <v>2</v>
      </c>
      <c r="R1091" s="9">
        <f>IF('Pizza Sales Calculations'!$G1091=TRUE, Parameters!$B$17*'Pizza Sales Calculations'!$L1091*2, 0)</f>
        <v>2.2619444447918795</v>
      </c>
      <c r="T1091" s="6"/>
      <c r="U1091" s="9"/>
    </row>
    <row r="1092" spans="1:21" x14ac:dyDescent="0.2">
      <c r="A1092">
        <v>1091</v>
      </c>
      <c r="B1092" s="1">
        <v>42381.480312500003</v>
      </c>
      <c r="C1092" s="1">
        <v>42381.490729166668</v>
      </c>
      <c r="D1092" t="s">
        <v>35</v>
      </c>
      <c r="G1092" t="b">
        <v>1</v>
      </c>
      <c r="H1092">
        <v>70806</v>
      </c>
      <c r="I1092" s="6">
        <v>3.7245432057616501</v>
      </c>
      <c r="J1092" s="1">
        <v>42381.503657407404</v>
      </c>
      <c r="K1092">
        <v>15.35</v>
      </c>
      <c r="L1092" s="6">
        <f>('Pizza Sales Calculations'!$J1092-'Pizza Sales Calculations'!$C1092)*24*60</f>
        <v>18.616666659945622</v>
      </c>
      <c r="M1092">
        <f>COUNTA('Pizza Sales Calculations'!$D1092:$F1092)</f>
        <v>1</v>
      </c>
      <c r="R1092" s="9">
        <f>IF('Pizza Sales Calculations'!$G1092=TRUE, Parameters!$B$17*'Pizza Sales Calculations'!$L1092*2, 0)</f>
        <v>5.2747222203179263</v>
      </c>
      <c r="T1092" s="6"/>
      <c r="U1092" s="9"/>
    </row>
    <row r="1093" spans="1:21" x14ac:dyDescent="0.2">
      <c r="A1093">
        <v>1092</v>
      </c>
      <c r="B1093" s="1">
        <v>42381.465682870374</v>
      </c>
      <c r="C1093" s="1">
        <v>42381.476076388892</v>
      </c>
      <c r="D1093" t="s">
        <v>1</v>
      </c>
      <c r="E1093" t="s">
        <v>35</v>
      </c>
      <c r="G1093" t="b">
        <v>1</v>
      </c>
      <c r="H1093">
        <v>70805</v>
      </c>
      <c r="I1093" s="6">
        <v>0.56447470376956899</v>
      </c>
      <c r="J1093" s="1">
        <v>42381.478032407409</v>
      </c>
      <c r="K1093">
        <v>23.34</v>
      </c>
      <c r="L1093" s="6">
        <f>('Pizza Sales Calculations'!$J1093-'Pizza Sales Calculations'!$C1093)*24*60</f>
        <v>2.8166666650213301</v>
      </c>
      <c r="M1093">
        <f>COUNTA('Pizza Sales Calculations'!$D1093:$F1093)</f>
        <v>2</v>
      </c>
      <c r="R1093" s="9">
        <f>IF('Pizza Sales Calculations'!$G1093=TRUE, Parameters!$B$17*'Pizza Sales Calculations'!$L1093*2, 0)</f>
        <v>0.79805555508937687</v>
      </c>
      <c r="T1093" s="6"/>
      <c r="U1093" s="9"/>
    </row>
    <row r="1094" spans="1:21" x14ac:dyDescent="0.2">
      <c r="A1094">
        <v>1093</v>
      </c>
      <c r="B1094" s="1">
        <v>42381.477638888886</v>
      </c>
      <c r="C1094" s="1">
        <v>42381.488055555557</v>
      </c>
      <c r="D1094" t="s">
        <v>35</v>
      </c>
      <c r="G1094" t="b">
        <v>1</v>
      </c>
      <c r="H1094">
        <v>70804</v>
      </c>
      <c r="I1094" s="6">
        <v>2.72737606218644</v>
      </c>
      <c r="J1094" s="1">
        <v>42381.497523148151</v>
      </c>
      <c r="K1094">
        <v>15.35</v>
      </c>
      <c r="L1094" s="6">
        <f>('Pizza Sales Calculations'!$J1094-'Pizza Sales Calculations'!$C1094)*24*60</f>
        <v>13.633333335164934</v>
      </c>
      <c r="M1094">
        <f>COUNTA('Pizza Sales Calculations'!$D1094:$F1094)</f>
        <v>1</v>
      </c>
      <c r="R1094" s="9">
        <f>IF('Pizza Sales Calculations'!$G1094=TRUE, Parameters!$B$17*'Pizza Sales Calculations'!$L1094*2, 0)</f>
        <v>3.8627777782967314</v>
      </c>
      <c r="T1094" s="6"/>
      <c r="U1094" s="9"/>
    </row>
    <row r="1095" spans="1:21" x14ac:dyDescent="0.2">
      <c r="A1095">
        <v>1094</v>
      </c>
      <c r="B1095" s="1">
        <v>42381.508645833332</v>
      </c>
      <c r="C1095" s="1">
        <v>42381.519074074073</v>
      </c>
      <c r="D1095" t="s">
        <v>35</v>
      </c>
      <c r="G1095" t="b">
        <v>0</v>
      </c>
      <c r="H1095">
        <v>70804</v>
      </c>
      <c r="I1095" s="6">
        <v>0</v>
      </c>
      <c r="J1095" s="1">
        <v>42381.521157407406</v>
      </c>
      <c r="K1095">
        <v>15.35</v>
      </c>
      <c r="L1095" s="6">
        <f>('Pizza Sales Calculations'!$J1095-'Pizza Sales Calculations'!$C1095)*24*60</f>
        <v>2.9999999993015081</v>
      </c>
      <c r="M1095">
        <f>COUNTA('Pizza Sales Calculations'!$D1095:$F1095)</f>
        <v>1</v>
      </c>
      <c r="R1095" s="9">
        <f>IF('Pizza Sales Calculations'!$G1095=TRUE, Parameters!$B$17*'Pizza Sales Calculations'!$L1095*2, 0)</f>
        <v>0</v>
      </c>
      <c r="T1095" s="6"/>
      <c r="U1095" s="9"/>
    </row>
    <row r="1096" spans="1:21" x14ac:dyDescent="0.2">
      <c r="A1096">
        <v>1095</v>
      </c>
      <c r="B1096" s="1">
        <v>42381.521215277775</v>
      </c>
      <c r="C1096" s="1">
        <v>42381.53162037037</v>
      </c>
      <c r="D1096" t="s">
        <v>1</v>
      </c>
      <c r="G1096" t="b">
        <v>0</v>
      </c>
      <c r="H1096">
        <v>70804</v>
      </c>
      <c r="I1096" s="6">
        <v>0</v>
      </c>
      <c r="J1096" s="1">
        <v>42381.533680555556</v>
      </c>
      <c r="K1096">
        <v>7.99</v>
      </c>
      <c r="L1096" s="6">
        <f>('Pizza Sales Calculations'!$J1096-'Pizza Sales Calculations'!$C1096)*24*60</f>
        <v>2.9666666686534882</v>
      </c>
      <c r="M1096">
        <f>COUNTA('Pizza Sales Calculations'!$D1096:$F1096)</f>
        <v>1</v>
      </c>
      <c r="R1096" s="9">
        <f>IF('Pizza Sales Calculations'!$G1096=TRUE, Parameters!$B$17*'Pizza Sales Calculations'!$L1096*2, 0)</f>
        <v>0</v>
      </c>
      <c r="T1096" s="6"/>
      <c r="U1096" s="9"/>
    </row>
    <row r="1097" spans="1:21" x14ac:dyDescent="0.2">
      <c r="A1097">
        <v>1096</v>
      </c>
      <c r="B1097" s="1">
        <v>42381.558831018519</v>
      </c>
      <c r="C1097" s="1">
        <v>42381.569224537037</v>
      </c>
      <c r="D1097" t="s">
        <v>1</v>
      </c>
      <c r="E1097" t="s">
        <v>35</v>
      </c>
      <c r="G1097" t="b">
        <v>0</v>
      </c>
      <c r="H1097">
        <v>70804</v>
      </c>
      <c r="I1097" s="6">
        <v>0</v>
      </c>
      <c r="J1097" s="1">
        <v>42381.571296296293</v>
      </c>
      <c r="K1097">
        <v>23.34</v>
      </c>
      <c r="L1097" s="6">
        <f>('Pizza Sales Calculations'!$J1097-'Pizza Sales Calculations'!$C1097)*24*60</f>
        <v>2.9833333287388086</v>
      </c>
      <c r="M1097">
        <f>COUNTA('Pizza Sales Calculations'!$D1097:$F1097)</f>
        <v>2</v>
      </c>
      <c r="R1097" s="9">
        <f>IF('Pizza Sales Calculations'!$G1097=TRUE, Parameters!$B$17*'Pizza Sales Calculations'!$L1097*2, 0)</f>
        <v>0</v>
      </c>
      <c r="T1097" s="6"/>
      <c r="U1097" s="9"/>
    </row>
    <row r="1098" spans="1:21" x14ac:dyDescent="0.2">
      <c r="A1098">
        <v>1097</v>
      </c>
      <c r="B1098" s="1">
        <v>42381.529756944445</v>
      </c>
      <c r="C1098" s="1">
        <v>42381.540150462963</v>
      </c>
      <c r="D1098" t="s">
        <v>2</v>
      </c>
      <c r="E1098" t="s">
        <v>35</v>
      </c>
      <c r="G1098" t="b">
        <v>1</v>
      </c>
      <c r="H1098">
        <v>70804</v>
      </c>
      <c r="I1098" s="6">
        <v>4.4176507503456701</v>
      </c>
      <c r="J1098" s="1">
        <v>42381.555486111109</v>
      </c>
      <c r="K1098">
        <v>25.94</v>
      </c>
      <c r="L1098" s="6">
        <f>('Pizza Sales Calculations'!$J1098-'Pizza Sales Calculations'!$C1098)*24*60</f>
        <v>22.083333330228925</v>
      </c>
      <c r="M1098">
        <f>COUNTA('Pizza Sales Calculations'!$D1098:$F1098)</f>
        <v>2</v>
      </c>
      <c r="R1098" s="9">
        <f>IF('Pizza Sales Calculations'!$G1098=TRUE, Parameters!$B$17*'Pizza Sales Calculations'!$L1098*2, 0)</f>
        <v>6.256944443564862</v>
      </c>
      <c r="T1098" s="6"/>
      <c r="U1098" s="9"/>
    </row>
    <row r="1099" spans="1:21" x14ac:dyDescent="0.2">
      <c r="A1099">
        <v>1098</v>
      </c>
      <c r="B1099" s="1">
        <v>42381.489895833336</v>
      </c>
      <c r="C1099" s="1">
        <v>42381.5003125</v>
      </c>
      <c r="D1099" t="s">
        <v>35</v>
      </c>
      <c r="G1099" t="b">
        <v>1</v>
      </c>
      <c r="H1099">
        <v>70805</v>
      </c>
      <c r="I1099" s="6">
        <v>3.3463877901419599</v>
      </c>
      <c r="J1099" s="1">
        <v>42381.511921296296</v>
      </c>
      <c r="K1099">
        <v>15.35</v>
      </c>
      <c r="L1099" s="6">
        <f>('Pizza Sales Calculations'!$J1099-'Pizza Sales Calculations'!$C1099)*24*60</f>
        <v>16.716666666325182</v>
      </c>
      <c r="M1099">
        <f>COUNTA('Pizza Sales Calculations'!$D1099:$F1099)</f>
        <v>1</v>
      </c>
      <c r="R1099" s="9">
        <f>IF('Pizza Sales Calculations'!$G1099=TRUE, Parameters!$B$17*'Pizza Sales Calculations'!$L1099*2, 0)</f>
        <v>4.7363888887921348</v>
      </c>
      <c r="T1099" s="6"/>
      <c r="U1099" s="9"/>
    </row>
    <row r="1100" spans="1:21" x14ac:dyDescent="0.2">
      <c r="A1100">
        <v>1099</v>
      </c>
      <c r="B1100" s="1">
        <v>42381.482824074075</v>
      </c>
      <c r="C1100" s="1">
        <v>42381.49324074074</v>
      </c>
      <c r="D1100" t="s">
        <v>35</v>
      </c>
      <c r="G1100" t="b">
        <v>0</v>
      </c>
      <c r="H1100">
        <v>70806</v>
      </c>
      <c r="I1100" s="6">
        <v>0</v>
      </c>
      <c r="J1100" s="1">
        <v>42381.495289351849</v>
      </c>
      <c r="K1100">
        <v>15.35</v>
      </c>
      <c r="L1100" s="6">
        <f>('Pizza Sales Calculations'!$J1100-'Pizza Sales Calculations'!$C1100)*24*60</f>
        <v>2.9499999980907887</v>
      </c>
      <c r="M1100">
        <f>COUNTA('Pizza Sales Calculations'!$D1100:$F1100)</f>
        <v>1</v>
      </c>
      <c r="R1100" s="9">
        <f>IF('Pizza Sales Calculations'!$G1100=TRUE, Parameters!$B$17*'Pizza Sales Calculations'!$L1100*2, 0)</f>
        <v>0</v>
      </c>
      <c r="T1100" s="6"/>
      <c r="U1100" s="9"/>
    </row>
    <row r="1101" spans="1:21" x14ac:dyDescent="0.2">
      <c r="A1101">
        <v>1100</v>
      </c>
      <c r="B1101" s="1">
        <v>42381.437060185184</v>
      </c>
      <c r="C1101" s="1">
        <v>42381.447465277779</v>
      </c>
      <c r="D1101" t="s">
        <v>2</v>
      </c>
      <c r="G1101" t="b">
        <v>0</v>
      </c>
      <c r="H1101">
        <v>70808</v>
      </c>
      <c r="I1101" s="6">
        <v>0</v>
      </c>
      <c r="J1101" s="1">
        <v>42381.449548611112</v>
      </c>
      <c r="K1101">
        <v>11.59</v>
      </c>
      <c r="L1101" s="6">
        <f>('Pizza Sales Calculations'!$J1101-'Pizza Sales Calculations'!$C1101)*24*60</f>
        <v>2.9999999993015081</v>
      </c>
      <c r="M1101">
        <f>COUNTA('Pizza Sales Calculations'!$D1101:$F1101)</f>
        <v>1</v>
      </c>
      <c r="R1101" s="9">
        <f>IF('Pizza Sales Calculations'!$G1101=TRUE, Parameters!$B$17*'Pizza Sales Calculations'!$L1101*2, 0)</f>
        <v>0</v>
      </c>
      <c r="T1101" s="6"/>
      <c r="U1101" s="9"/>
    </row>
    <row r="1102" spans="1:21" x14ac:dyDescent="0.2">
      <c r="A1102">
        <v>1101</v>
      </c>
      <c r="B1102" s="1">
        <v>42381.508900462963</v>
      </c>
      <c r="C1102" s="1">
        <v>42381.519328703704</v>
      </c>
      <c r="D1102" t="s">
        <v>35</v>
      </c>
      <c r="G1102" t="b">
        <v>1</v>
      </c>
      <c r="H1102">
        <v>70803</v>
      </c>
      <c r="I1102" s="6">
        <v>4.0938711846218796</v>
      </c>
      <c r="J1102" s="1">
        <v>42381.533541666664</v>
      </c>
      <c r="K1102">
        <v>15.35</v>
      </c>
      <c r="L1102" s="6">
        <f>('Pizza Sales Calculations'!$J1102-'Pizza Sales Calculations'!$C1102)*24*60</f>
        <v>20.466666662832722</v>
      </c>
      <c r="M1102">
        <f>COUNTA('Pizza Sales Calculations'!$D1102:$F1102)</f>
        <v>1</v>
      </c>
      <c r="R1102" s="9">
        <f>IF('Pizza Sales Calculations'!$G1102=TRUE, Parameters!$B$17*'Pizza Sales Calculations'!$L1102*2, 0)</f>
        <v>5.7988888878026046</v>
      </c>
      <c r="T1102" s="6"/>
      <c r="U1102" s="9"/>
    </row>
    <row r="1103" spans="1:21" x14ac:dyDescent="0.2">
      <c r="A1103">
        <v>1102</v>
      </c>
      <c r="B1103" s="1">
        <v>42381.613217592596</v>
      </c>
      <c r="C1103" s="1">
        <v>42381.623645833337</v>
      </c>
      <c r="D1103" t="s">
        <v>35</v>
      </c>
      <c r="G1103" t="b">
        <v>1</v>
      </c>
      <c r="H1103">
        <v>70806</v>
      </c>
      <c r="I1103" s="6">
        <v>3.3575348201255601</v>
      </c>
      <c r="J1103" s="1">
        <v>42381.635300925926</v>
      </c>
      <c r="K1103">
        <v>15.35</v>
      </c>
      <c r="L1103" s="6">
        <f>('Pizza Sales Calculations'!$J1103-'Pizza Sales Calculations'!$C1103)*24*60</f>
        <v>16.783333327621222</v>
      </c>
      <c r="M1103">
        <f>COUNTA('Pizza Sales Calculations'!$D1103:$F1103)</f>
        <v>1</v>
      </c>
      <c r="R1103" s="9">
        <f>IF('Pizza Sales Calculations'!$G1103=TRUE, Parameters!$B$17*'Pizza Sales Calculations'!$L1103*2, 0)</f>
        <v>4.7552777761593461</v>
      </c>
      <c r="T1103" s="6"/>
      <c r="U1103" s="9"/>
    </row>
    <row r="1104" spans="1:21" x14ac:dyDescent="0.2">
      <c r="A1104">
        <v>1103</v>
      </c>
      <c r="B1104" s="1">
        <v>42381.518726851849</v>
      </c>
      <c r="C1104" s="1">
        <v>42381.529143518521</v>
      </c>
      <c r="D1104" t="s">
        <v>1</v>
      </c>
      <c r="E1104" t="s">
        <v>2</v>
      </c>
      <c r="G1104" t="b">
        <v>1</v>
      </c>
      <c r="H1104">
        <v>70803</v>
      </c>
      <c r="I1104" s="6">
        <v>5.1312441956947001</v>
      </c>
      <c r="J1104" s="1">
        <v>42381.546956018516</v>
      </c>
      <c r="K1104">
        <v>19.579999999999998</v>
      </c>
      <c r="L1104" s="6">
        <f>('Pizza Sales Calculations'!$J1104-'Pizza Sales Calculations'!$C1104)*24*60</f>
        <v>25.649999992456287</v>
      </c>
      <c r="M1104">
        <f>COUNTA('Pizza Sales Calculations'!$D1104:$F1104)</f>
        <v>2</v>
      </c>
      <c r="R1104" s="9">
        <f>IF('Pizza Sales Calculations'!$G1104=TRUE, Parameters!$B$17*'Pizza Sales Calculations'!$L1104*2, 0)</f>
        <v>7.2674999978626147</v>
      </c>
      <c r="T1104" s="6"/>
      <c r="U1104" s="9"/>
    </row>
    <row r="1105" spans="1:21" x14ac:dyDescent="0.2">
      <c r="A1105">
        <v>1104</v>
      </c>
      <c r="B1105" s="1">
        <v>42381.531053240738</v>
      </c>
      <c r="C1105" s="1">
        <v>42381.541446759256</v>
      </c>
      <c r="D1105" t="s">
        <v>35</v>
      </c>
      <c r="G1105" t="b">
        <v>1</v>
      </c>
      <c r="H1105">
        <v>70806</v>
      </c>
      <c r="I1105" s="6">
        <v>2.8814140906533998</v>
      </c>
      <c r="J1105" s="1">
        <v>42381.551446759258</v>
      </c>
      <c r="K1105">
        <v>15.35</v>
      </c>
      <c r="L1105" s="6">
        <f>('Pizza Sales Calculations'!$J1105-'Pizza Sales Calculations'!$C1105)*24*60</f>
        <v>14.400000002933666</v>
      </c>
      <c r="M1105">
        <f>COUNTA('Pizza Sales Calculations'!$D1105:$F1105)</f>
        <v>1</v>
      </c>
      <c r="R1105" s="9">
        <f>IF('Pizza Sales Calculations'!$G1105=TRUE, Parameters!$B$17*'Pizza Sales Calculations'!$L1105*2, 0)</f>
        <v>4.0800000008312054</v>
      </c>
      <c r="T1105" s="6"/>
      <c r="U1105" s="9"/>
    </row>
    <row r="1106" spans="1:21" x14ac:dyDescent="0.2">
      <c r="A1106">
        <v>1105</v>
      </c>
      <c r="B1106" s="1">
        <v>42381.497534722221</v>
      </c>
      <c r="C1106" s="1">
        <v>42381.507962962962</v>
      </c>
      <c r="D1106" t="s">
        <v>35</v>
      </c>
      <c r="G1106" t="b">
        <v>1</v>
      </c>
      <c r="H1106">
        <v>70806</v>
      </c>
      <c r="I1106" s="6">
        <v>1.42307126887312</v>
      </c>
      <c r="J1106" s="1">
        <v>42381.51289351852</v>
      </c>
      <c r="K1106">
        <v>15.35</v>
      </c>
      <c r="L1106" s="6">
        <f>('Pizza Sales Calculations'!$J1106-'Pizza Sales Calculations'!$C1106)*24*60</f>
        <v>7.1000000042840838</v>
      </c>
      <c r="M1106">
        <f>COUNTA('Pizza Sales Calculations'!$D1106:$F1106)</f>
        <v>1</v>
      </c>
      <c r="R1106" s="9">
        <f>IF('Pizza Sales Calculations'!$G1106=TRUE, Parameters!$B$17*'Pizza Sales Calculations'!$L1106*2, 0)</f>
        <v>2.0116666678804904</v>
      </c>
      <c r="T1106" s="6"/>
      <c r="U1106" s="9"/>
    </row>
    <row r="1107" spans="1:21" x14ac:dyDescent="0.2">
      <c r="A1107">
        <v>1106</v>
      </c>
      <c r="B1107" s="1">
        <v>42381.500648148147</v>
      </c>
      <c r="C1107" s="1">
        <v>42381.511064814818</v>
      </c>
      <c r="D1107" t="s">
        <v>1</v>
      </c>
      <c r="G1107" t="b">
        <v>1</v>
      </c>
      <c r="H1107">
        <v>70804</v>
      </c>
      <c r="I1107" s="6">
        <v>3.9887029192671402</v>
      </c>
      <c r="J1107" s="1">
        <v>42381.524907407409</v>
      </c>
      <c r="K1107">
        <v>7.99</v>
      </c>
      <c r="L1107" s="6">
        <f>('Pizza Sales Calculations'!$J1107-'Pizza Sales Calculations'!$C1107)*24*60</f>
        <v>19.933333330554888</v>
      </c>
      <c r="M1107">
        <f>COUNTA('Pizza Sales Calculations'!$D1107:$F1107)</f>
        <v>1</v>
      </c>
      <c r="R1107" s="9">
        <f>IF('Pizza Sales Calculations'!$G1107=TRUE, Parameters!$B$17*'Pizza Sales Calculations'!$L1107*2, 0)</f>
        <v>5.6477777769905515</v>
      </c>
      <c r="T1107" s="6"/>
      <c r="U1107" s="9"/>
    </row>
    <row r="1108" spans="1:21" x14ac:dyDescent="0.2">
      <c r="A1108">
        <v>1107</v>
      </c>
      <c r="B1108" s="1">
        <v>42381.492488425924</v>
      </c>
      <c r="C1108" s="1">
        <v>42381.502893518518</v>
      </c>
      <c r="D1108" t="s">
        <v>35</v>
      </c>
      <c r="G1108" t="b">
        <v>0</v>
      </c>
      <c r="H1108">
        <v>70806</v>
      </c>
      <c r="I1108" s="6">
        <v>0</v>
      </c>
      <c r="J1108" s="1">
        <v>42381.504988425928</v>
      </c>
      <c r="K1108">
        <v>15.35</v>
      </c>
      <c r="L1108" s="6">
        <f>('Pizza Sales Calculations'!$J1108-'Pizza Sales Calculations'!$C1108)*24*60</f>
        <v>3.0166666698642075</v>
      </c>
      <c r="M1108">
        <f>COUNTA('Pizza Sales Calculations'!$D1108:$F1108)</f>
        <v>1</v>
      </c>
      <c r="R1108" s="9">
        <f>IF('Pizza Sales Calculations'!$G1108=TRUE, Parameters!$B$17*'Pizza Sales Calculations'!$L1108*2, 0)</f>
        <v>0</v>
      </c>
      <c r="T1108" s="6"/>
      <c r="U1108" s="9"/>
    </row>
    <row r="1109" spans="1:21" x14ac:dyDescent="0.2">
      <c r="A1109">
        <v>1108</v>
      </c>
      <c r="B1109" s="1">
        <v>42381.478715277779</v>
      </c>
      <c r="C1109" s="1">
        <v>42381.489131944443</v>
      </c>
      <c r="D1109" t="s">
        <v>1</v>
      </c>
      <c r="E1109" t="s">
        <v>2</v>
      </c>
      <c r="G1109" t="b">
        <v>0</v>
      </c>
      <c r="H1109">
        <v>70804</v>
      </c>
      <c r="I1109" s="6">
        <v>0</v>
      </c>
      <c r="J1109" s="1">
        <v>42381.491215277776</v>
      </c>
      <c r="K1109">
        <v>19.579999999999998</v>
      </c>
      <c r="L1109" s="6">
        <f>('Pizza Sales Calculations'!$J1109-'Pizza Sales Calculations'!$C1109)*24*60</f>
        <v>2.9999999993015081</v>
      </c>
      <c r="M1109">
        <f>COUNTA('Pizza Sales Calculations'!$D1109:$F1109)</f>
        <v>2</v>
      </c>
      <c r="R1109" s="9">
        <f>IF('Pizza Sales Calculations'!$G1109=TRUE, Parameters!$B$17*'Pizza Sales Calculations'!$L1109*2, 0)</f>
        <v>0</v>
      </c>
      <c r="T1109" s="6"/>
      <c r="U1109" s="9"/>
    </row>
    <row r="1110" spans="1:21" x14ac:dyDescent="0.2">
      <c r="A1110">
        <v>1109</v>
      </c>
      <c r="B1110" s="1">
        <v>42381.482812499999</v>
      </c>
      <c r="C1110" s="1">
        <v>42381.49324074074</v>
      </c>
      <c r="D1110" t="s">
        <v>2</v>
      </c>
      <c r="G1110" t="b">
        <v>1</v>
      </c>
      <c r="H1110">
        <v>70807</v>
      </c>
      <c r="I1110" s="6">
        <v>3.8524290859392898</v>
      </c>
      <c r="J1110" s="1">
        <v>42381.506608796299</v>
      </c>
      <c r="K1110">
        <v>11.59</v>
      </c>
      <c r="L1110" s="6">
        <f>('Pizza Sales Calculations'!$J1110-'Pizza Sales Calculations'!$C1110)*24*60</f>
        <v>19.250000005122274</v>
      </c>
      <c r="M1110">
        <f>COUNTA('Pizza Sales Calculations'!$D1110:$F1110)</f>
        <v>1</v>
      </c>
      <c r="R1110" s="9">
        <f>IF('Pizza Sales Calculations'!$G1110=TRUE, Parameters!$B$17*'Pizza Sales Calculations'!$L1110*2, 0)</f>
        <v>5.4541666681179777</v>
      </c>
      <c r="T1110" s="6"/>
      <c r="U1110" s="9"/>
    </row>
    <row r="1111" spans="1:21" x14ac:dyDescent="0.2">
      <c r="A1111">
        <v>1110</v>
      </c>
      <c r="B1111" s="1">
        <v>42381.534733796296</v>
      </c>
      <c r="C1111" s="1">
        <v>42381.545162037037</v>
      </c>
      <c r="D1111" t="s">
        <v>35</v>
      </c>
      <c r="G1111" t="b">
        <v>1</v>
      </c>
      <c r="H1111">
        <v>70805</v>
      </c>
      <c r="I1111" s="6">
        <v>4.0204124251681099</v>
      </c>
      <c r="J1111" s="1">
        <v>42381.559120370373</v>
      </c>
      <c r="K1111">
        <v>15.35</v>
      </c>
      <c r="L1111" s="6">
        <f>('Pizza Sales Calculations'!$J1111-'Pizza Sales Calculations'!$C1111)*24*60</f>
        <v>20.100000004749745</v>
      </c>
      <c r="M1111">
        <f>COUNTA('Pizza Sales Calculations'!$D1111:$F1111)</f>
        <v>1</v>
      </c>
      <c r="R1111" s="9">
        <f>IF('Pizza Sales Calculations'!$G1111=TRUE, Parameters!$B$17*'Pizza Sales Calculations'!$L1111*2, 0)</f>
        <v>5.6950000013457611</v>
      </c>
      <c r="T1111" s="6"/>
      <c r="U1111" s="9"/>
    </row>
    <row r="1112" spans="1:21" x14ac:dyDescent="0.2">
      <c r="A1112">
        <v>1111</v>
      </c>
      <c r="B1112" s="1">
        <v>42381.469108796293</v>
      </c>
      <c r="C1112" s="1">
        <v>42381.479537037034</v>
      </c>
      <c r="D1112" t="s">
        <v>1</v>
      </c>
      <c r="E1112" t="s">
        <v>35</v>
      </c>
      <c r="G1112" t="b">
        <v>0</v>
      </c>
      <c r="H1112">
        <v>70805</v>
      </c>
      <c r="I1112" s="6">
        <v>0</v>
      </c>
      <c r="J1112" s="1">
        <v>42381.481620370374</v>
      </c>
      <c r="K1112">
        <v>23.34</v>
      </c>
      <c r="L1112" s="6">
        <f>('Pizza Sales Calculations'!$J1112-'Pizza Sales Calculations'!$C1112)*24*60</f>
        <v>3.000000009778887</v>
      </c>
      <c r="M1112">
        <f>COUNTA('Pizza Sales Calculations'!$D1112:$F1112)</f>
        <v>2</v>
      </c>
      <c r="R1112" s="9">
        <f>IF('Pizza Sales Calculations'!$G1112=TRUE, Parameters!$B$17*'Pizza Sales Calculations'!$L1112*2, 0)</f>
        <v>0</v>
      </c>
      <c r="T1112" s="6"/>
      <c r="U1112" s="9"/>
    </row>
    <row r="1113" spans="1:21" x14ac:dyDescent="0.2">
      <c r="A1113">
        <v>1112</v>
      </c>
      <c r="B1113" s="1">
        <v>42381.46361111111</v>
      </c>
      <c r="C1113" s="1">
        <v>42381.474016203705</v>
      </c>
      <c r="D1113" t="s">
        <v>35</v>
      </c>
      <c r="G1113" t="b">
        <v>1</v>
      </c>
      <c r="H1113">
        <v>70805</v>
      </c>
      <c r="I1113" s="6">
        <v>3.7333103372069201</v>
      </c>
      <c r="J1113" s="1">
        <v>42381.486967592595</v>
      </c>
      <c r="K1113">
        <v>15.35</v>
      </c>
      <c r="L1113" s="6">
        <f>('Pizza Sales Calculations'!$J1113-'Pizza Sales Calculations'!$C1113)*24*60</f>
        <v>18.650000001071021</v>
      </c>
      <c r="M1113">
        <f>COUNTA('Pizza Sales Calculations'!$D1113:$F1113)</f>
        <v>1</v>
      </c>
      <c r="R1113" s="9">
        <f>IF('Pizza Sales Calculations'!$G1113=TRUE, Parameters!$B$17*'Pizza Sales Calculations'!$L1113*2, 0)</f>
        <v>5.2841666669701226</v>
      </c>
      <c r="T1113" s="6"/>
      <c r="U1113" s="9"/>
    </row>
    <row r="1114" spans="1:21" x14ac:dyDescent="0.2">
      <c r="A1114">
        <v>1113</v>
      </c>
      <c r="B1114" s="1">
        <v>42381.58121527778</v>
      </c>
      <c r="C1114" s="1">
        <v>42381.591608796298</v>
      </c>
      <c r="D1114" t="s">
        <v>35</v>
      </c>
      <c r="G1114" t="b">
        <v>0</v>
      </c>
      <c r="H1114">
        <v>70807</v>
      </c>
      <c r="I1114" s="6">
        <v>0</v>
      </c>
      <c r="J1114" s="1">
        <v>42381.593680555554</v>
      </c>
      <c r="K1114">
        <v>15.35</v>
      </c>
      <c r="L1114" s="6">
        <f>('Pizza Sales Calculations'!$J1114-'Pizza Sales Calculations'!$C1114)*24*60</f>
        <v>2.9833333287388086</v>
      </c>
      <c r="M1114">
        <f>COUNTA('Pizza Sales Calculations'!$D1114:$F1114)</f>
        <v>1</v>
      </c>
      <c r="R1114" s="9">
        <f>IF('Pizza Sales Calculations'!$G1114=TRUE, Parameters!$B$17*'Pizza Sales Calculations'!$L1114*2, 0)</f>
        <v>0</v>
      </c>
      <c r="T1114" s="6"/>
      <c r="U1114" s="9"/>
    </row>
    <row r="1115" spans="1:21" x14ac:dyDescent="0.2">
      <c r="A1115">
        <v>1114</v>
      </c>
      <c r="B1115" s="1">
        <v>42381.517164351855</v>
      </c>
      <c r="C1115" s="1">
        <v>42381.527592592596</v>
      </c>
      <c r="D1115" t="s">
        <v>2</v>
      </c>
      <c r="G1115" t="b">
        <v>0</v>
      </c>
      <c r="H1115">
        <v>70804</v>
      </c>
      <c r="I1115" s="6">
        <v>0</v>
      </c>
      <c r="J1115" s="1">
        <v>42381.529664351852</v>
      </c>
      <c r="K1115">
        <v>11.59</v>
      </c>
      <c r="L1115" s="6">
        <f>('Pizza Sales Calculations'!$J1115-'Pizza Sales Calculations'!$C1115)*24*60</f>
        <v>2.9833333287388086</v>
      </c>
      <c r="M1115">
        <f>COUNTA('Pizza Sales Calculations'!$D1115:$F1115)</f>
        <v>1</v>
      </c>
      <c r="R1115" s="9">
        <f>IF('Pizza Sales Calculations'!$G1115=TRUE, Parameters!$B$17*'Pizza Sales Calculations'!$L1115*2, 0)</f>
        <v>0</v>
      </c>
      <c r="T1115" s="6"/>
      <c r="U1115" s="9"/>
    </row>
    <row r="1116" spans="1:21" x14ac:dyDescent="0.2">
      <c r="A1116">
        <v>1115</v>
      </c>
      <c r="B1116" s="1">
        <v>42381.517569444448</v>
      </c>
      <c r="C1116" s="1">
        <v>42381.527974537035</v>
      </c>
      <c r="D1116" t="s">
        <v>2</v>
      </c>
      <c r="G1116" t="b">
        <v>0</v>
      </c>
      <c r="H1116">
        <v>70806</v>
      </c>
      <c r="I1116" s="6">
        <v>0</v>
      </c>
      <c r="J1116" s="1">
        <v>42381.530057870368</v>
      </c>
      <c r="K1116">
        <v>11.59</v>
      </c>
      <c r="L1116" s="6">
        <f>('Pizza Sales Calculations'!$J1116-'Pizza Sales Calculations'!$C1116)*24*60</f>
        <v>2.9999999993015081</v>
      </c>
      <c r="M1116">
        <f>COUNTA('Pizza Sales Calculations'!$D1116:$F1116)</f>
        <v>1</v>
      </c>
      <c r="R1116" s="9">
        <f>IF('Pizza Sales Calculations'!$G1116=TRUE, Parameters!$B$17*'Pizza Sales Calculations'!$L1116*2, 0)</f>
        <v>0</v>
      </c>
      <c r="T1116" s="6"/>
      <c r="U1116" s="9"/>
    </row>
    <row r="1117" spans="1:21" x14ac:dyDescent="0.2">
      <c r="A1117">
        <v>1116</v>
      </c>
      <c r="B1117" s="1">
        <v>42381.559872685182</v>
      </c>
      <c r="C1117" s="1">
        <v>42381.570289351854</v>
      </c>
      <c r="D1117" t="s">
        <v>1</v>
      </c>
      <c r="G1117" t="b">
        <v>1</v>
      </c>
      <c r="H1117">
        <v>70805</v>
      </c>
      <c r="I1117" s="6">
        <v>2.8280466933444699</v>
      </c>
      <c r="J1117" s="1">
        <v>42381.580104166664</v>
      </c>
      <c r="K1117">
        <v>7.99</v>
      </c>
      <c r="L1117" s="6">
        <f>('Pizza Sales Calculations'!$J1117-'Pizza Sales Calculations'!$C1117)*24*60</f>
        <v>14.13333332631737</v>
      </c>
      <c r="M1117">
        <f>COUNTA('Pizza Sales Calculations'!$D1117:$F1117)</f>
        <v>1</v>
      </c>
      <c r="R1117" s="9">
        <f>IF('Pizza Sales Calculations'!$G1117=TRUE, Parameters!$B$17*'Pizza Sales Calculations'!$L1117*2, 0)</f>
        <v>4.0044444424565881</v>
      </c>
      <c r="T1117" s="6"/>
      <c r="U1117" s="9"/>
    </row>
    <row r="1118" spans="1:21" x14ac:dyDescent="0.2">
      <c r="A1118">
        <v>1117</v>
      </c>
      <c r="B1118" s="1">
        <v>42381.530763888892</v>
      </c>
      <c r="C1118" s="1">
        <v>42381.541192129633</v>
      </c>
      <c r="D1118" t="s">
        <v>2</v>
      </c>
      <c r="G1118" t="b">
        <v>0</v>
      </c>
      <c r="H1118">
        <v>70807</v>
      </c>
      <c r="I1118" s="6">
        <v>0</v>
      </c>
      <c r="J1118" s="1">
        <v>42381.543263888889</v>
      </c>
      <c r="K1118">
        <v>11.59</v>
      </c>
      <c r="L1118" s="6">
        <f>('Pizza Sales Calculations'!$J1118-'Pizza Sales Calculations'!$C1118)*24*60</f>
        <v>2.9833333287388086</v>
      </c>
      <c r="M1118">
        <f>COUNTA('Pizza Sales Calculations'!$D1118:$F1118)</f>
        <v>1</v>
      </c>
      <c r="R1118" s="9">
        <f>IF('Pizza Sales Calculations'!$G1118=TRUE, Parameters!$B$17*'Pizza Sales Calculations'!$L1118*2, 0)</f>
        <v>0</v>
      </c>
      <c r="T1118" s="6"/>
      <c r="U1118" s="9"/>
    </row>
    <row r="1119" spans="1:21" x14ac:dyDescent="0.2">
      <c r="A1119">
        <v>1118</v>
      </c>
      <c r="B1119" s="1">
        <v>42381.437974537039</v>
      </c>
      <c r="C1119" s="1">
        <v>42381.448379629626</v>
      </c>
      <c r="D1119" t="s">
        <v>1</v>
      </c>
      <c r="E1119" t="s">
        <v>2</v>
      </c>
      <c r="G1119" t="b">
        <v>0</v>
      </c>
      <c r="H1119">
        <v>70805</v>
      </c>
      <c r="I1119" s="6">
        <v>0</v>
      </c>
      <c r="J1119" s="1">
        <v>42381.450439814813</v>
      </c>
      <c r="K1119">
        <v>19.579999999999998</v>
      </c>
      <c r="L1119" s="6">
        <f>('Pizza Sales Calculations'!$J1119-'Pizza Sales Calculations'!$C1119)*24*60</f>
        <v>2.9666666686534882</v>
      </c>
      <c r="M1119">
        <f>COUNTA('Pizza Sales Calculations'!$D1119:$F1119)</f>
        <v>2</v>
      </c>
      <c r="R1119" s="9">
        <f>IF('Pizza Sales Calculations'!$G1119=TRUE, Parameters!$B$17*'Pizza Sales Calculations'!$L1119*2, 0)</f>
        <v>0</v>
      </c>
      <c r="T1119" s="6"/>
      <c r="U1119" s="9"/>
    </row>
    <row r="1120" spans="1:21" x14ac:dyDescent="0.2">
      <c r="A1120">
        <v>1119</v>
      </c>
      <c r="B1120" s="1">
        <v>42381.52171296296</v>
      </c>
      <c r="C1120" s="1">
        <v>42381.532129629632</v>
      </c>
      <c r="D1120" t="s">
        <v>1</v>
      </c>
      <c r="E1120" t="s">
        <v>2</v>
      </c>
      <c r="G1120" t="b">
        <v>1</v>
      </c>
      <c r="H1120">
        <v>70805</v>
      </c>
      <c r="I1120" s="6">
        <v>3.5389578277735301</v>
      </c>
      <c r="J1120" s="1">
        <v>42381.544409722221</v>
      </c>
      <c r="K1120">
        <v>19.579999999999998</v>
      </c>
      <c r="L1120" s="6">
        <f>('Pizza Sales Calculations'!$J1120-'Pizza Sales Calculations'!$C1120)*24*60</f>
        <v>17.683333328459412</v>
      </c>
      <c r="M1120">
        <f>COUNTA('Pizza Sales Calculations'!$D1120:$F1120)</f>
        <v>2</v>
      </c>
      <c r="R1120" s="9">
        <f>IF('Pizza Sales Calculations'!$G1120=TRUE, Parameters!$B$17*'Pizza Sales Calculations'!$L1120*2, 0)</f>
        <v>5.0102777763968334</v>
      </c>
      <c r="T1120" s="6"/>
      <c r="U1120" s="9"/>
    </row>
    <row r="1121" spans="1:21" x14ac:dyDescent="0.2">
      <c r="A1121">
        <v>1120</v>
      </c>
      <c r="B1121" s="1">
        <v>42381.466562499998</v>
      </c>
      <c r="C1121" s="1">
        <v>42381.476979166669</v>
      </c>
      <c r="D1121" t="s">
        <v>35</v>
      </c>
      <c r="G1121" t="b">
        <v>0</v>
      </c>
      <c r="H1121">
        <v>70804</v>
      </c>
      <c r="I1121" s="6">
        <v>0</v>
      </c>
      <c r="J1121" s="1">
        <v>42381.479039351849</v>
      </c>
      <c r="K1121">
        <v>15.35</v>
      </c>
      <c r="L1121" s="6">
        <f>('Pizza Sales Calculations'!$J1121-'Pizza Sales Calculations'!$C1121)*24*60</f>
        <v>2.9666666581761092</v>
      </c>
      <c r="M1121">
        <f>COUNTA('Pizza Sales Calculations'!$D1121:$F1121)</f>
        <v>1</v>
      </c>
      <c r="R1121" s="9">
        <f>IF('Pizza Sales Calculations'!$G1121=TRUE, Parameters!$B$17*'Pizza Sales Calculations'!$L1121*2, 0)</f>
        <v>0</v>
      </c>
      <c r="T1121" s="6"/>
      <c r="U1121" s="9"/>
    </row>
    <row r="1122" spans="1:21" x14ac:dyDescent="0.2">
      <c r="A1122">
        <v>1121</v>
      </c>
      <c r="B1122" s="1">
        <v>42381.53707175926</v>
      </c>
      <c r="C1122" s="1">
        <v>42381.547488425924</v>
      </c>
      <c r="D1122" t="s">
        <v>2</v>
      </c>
      <c r="G1122" t="b">
        <v>1</v>
      </c>
      <c r="H1122">
        <v>70806</v>
      </c>
      <c r="I1122" s="6">
        <v>3.37228450871048</v>
      </c>
      <c r="J1122" s="1">
        <v>42381.559189814812</v>
      </c>
      <c r="K1122">
        <v>11.59</v>
      </c>
      <c r="L1122" s="6">
        <f>('Pizza Sales Calculations'!$J1122-'Pizza Sales Calculations'!$C1122)*24*60</f>
        <v>16.84999999939464</v>
      </c>
      <c r="M1122">
        <f>COUNTA('Pizza Sales Calculations'!$D1122:$F1122)</f>
        <v>1</v>
      </c>
      <c r="R1122" s="9">
        <f>IF('Pizza Sales Calculations'!$G1122=TRUE, Parameters!$B$17*'Pizza Sales Calculations'!$L1122*2, 0)</f>
        <v>4.7741666664951481</v>
      </c>
      <c r="T1122" s="6"/>
      <c r="U1122" s="9"/>
    </row>
    <row r="1123" spans="1:21" x14ac:dyDescent="0.2">
      <c r="A1123">
        <v>1122</v>
      </c>
      <c r="B1123" s="1">
        <v>42381.559884259259</v>
      </c>
      <c r="C1123" s="1">
        <v>42381.570277777777</v>
      </c>
      <c r="D1123" t="s">
        <v>35</v>
      </c>
      <c r="G1123" t="b">
        <v>0</v>
      </c>
      <c r="H1123">
        <v>70805</v>
      </c>
      <c r="I1123" s="6">
        <v>0</v>
      </c>
      <c r="J1123" s="1">
        <v>42381.57236111111</v>
      </c>
      <c r="K1123">
        <v>15.35</v>
      </c>
      <c r="L1123" s="6">
        <f>('Pizza Sales Calculations'!$J1123-'Pizza Sales Calculations'!$C1123)*24*60</f>
        <v>2.9999999993015081</v>
      </c>
      <c r="M1123">
        <f>COUNTA('Pizza Sales Calculations'!$D1123:$F1123)</f>
        <v>1</v>
      </c>
      <c r="R1123" s="9">
        <f>IF('Pizza Sales Calculations'!$G1123=TRUE, Parameters!$B$17*'Pizza Sales Calculations'!$L1123*2, 0)</f>
        <v>0</v>
      </c>
      <c r="T1123" s="6"/>
      <c r="U1123" s="9"/>
    </row>
    <row r="1124" spans="1:21" x14ac:dyDescent="0.2">
      <c r="A1124">
        <v>1123</v>
      </c>
      <c r="B1124" s="1">
        <v>42381.421643518515</v>
      </c>
      <c r="C1124" s="1">
        <v>42381.43204861111</v>
      </c>
      <c r="D1124" t="s">
        <v>1</v>
      </c>
      <c r="E1124" t="s">
        <v>35</v>
      </c>
      <c r="G1124" t="b">
        <v>1</v>
      </c>
      <c r="H1124">
        <v>70804</v>
      </c>
      <c r="I1124" s="6">
        <v>2.1033815236784998</v>
      </c>
      <c r="J1124" s="1">
        <v>42381.439351851855</v>
      </c>
      <c r="K1124">
        <v>23.34</v>
      </c>
      <c r="L1124" s="6">
        <f>('Pizza Sales Calculations'!$J1124-'Pizza Sales Calculations'!$C1124)*24*60</f>
        <v>10.516666673356667</v>
      </c>
      <c r="M1124">
        <f>COUNTA('Pizza Sales Calculations'!$D1124:$F1124)</f>
        <v>2</v>
      </c>
      <c r="R1124" s="9">
        <f>IF('Pizza Sales Calculations'!$G1124=TRUE, Parameters!$B$17*'Pizza Sales Calculations'!$L1124*2, 0)</f>
        <v>2.9797222241177224</v>
      </c>
      <c r="T1124" s="6"/>
      <c r="U1124" s="9"/>
    </row>
    <row r="1125" spans="1:21" x14ac:dyDescent="0.2">
      <c r="A1125">
        <v>1124</v>
      </c>
      <c r="B1125" s="1">
        <v>42381.536446759259</v>
      </c>
      <c r="C1125" s="1">
        <v>42381.546851851854</v>
      </c>
      <c r="D1125" t="s">
        <v>2</v>
      </c>
      <c r="G1125" t="b">
        <v>1</v>
      </c>
      <c r="H1125">
        <v>70803</v>
      </c>
      <c r="I1125" s="6">
        <v>3.9939006629182199</v>
      </c>
      <c r="J1125" s="1">
        <v>42381.560717592591</v>
      </c>
      <c r="K1125">
        <v>11.59</v>
      </c>
      <c r="L1125" s="6">
        <f>('Pizza Sales Calculations'!$J1125-'Pizza Sales Calculations'!$C1125)*24*60</f>
        <v>19.966666661202908</v>
      </c>
      <c r="M1125">
        <f>COUNTA('Pizza Sales Calculations'!$D1125:$F1125)</f>
        <v>1</v>
      </c>
      <c r="R1125" s="9">
        <f>IF('Pizza Sales Calculations'!$G1125=TRUE, Parameters!$B$17*'Pizza Sales Calculations'!$L1125*2, 0)</f>
        <v>5.6572222206741571</v>
      </c>
      <c r="T1125" s="6"/>
      <c r="U1125" s="9"/>
    </row>
    <row r="1126" spans="1:21" x14ac:dyDescent="0.2">
      <c r="A1126">
        <v>1125</v>
      </c>
      <c r="B1126" s="1">
        <v>42381.485682870371</v>
      </c>
      <c r="C1126" s="1">
        <v>42381.496099537035</v>
      </c>
      <c r="D1126" t="s">
        <v>2</v>
      </c>
      <c r="G1126" t="b">
        <v>0</v>
      </c>
      <c r="H1126">
        <v>70805</v>
      </c>
      <c r="I1126" s="6">
        <v>0</v>
      </c>
      <c r="J1126" s="1">
        <v>42381.498194444444</v>
      </c>
      <c r="K1126">
        <v>11.59</v>
      </c>
      <c r="L1126" s="6">
        <f>('Pizza Sales Calculations'!$J1126-'Pizza Sales Calculations'!$C1126)*24*60</f>
        <v>3.0166666698642075</v>
      </c>
      <c r="M1126">
        <f>COUNTA('Pizza Sales Calculations'!$D1126:$F1126)</f>
        <v>1</v>
      </c>
      <c r="R1126" s="9">
        <f>IF('Pizza Sales Calculations'!$G1126=TRUE, Parameters!$B$17*'Pizza Sales Calculations'!$L1126*2, 0)</f>
        <v>0</v>
      </c>
      <c r="T1126" s="6"/>
      <c r="U1126" s="9"/>
    </row>
    <row r="1127" spans="1:21" x14ac:dyDescent="0.2">
      <c r="A1127">
        <v>1126</v>
      </c>
      <c r="B1127" s="1">
        <v>42381.527465277781</v>
      </c>
      <c r="C1127" s="1">
        <v>42381.537870370368</v>
      </c>
      <c r="D1127" t="s">
        <v>1</v>
      </c>
      <c r="G1127" t="b">
        <v>0</v>
      </c>
      <c r="H1127">
        <v>70807</v>
      </c>
      <c r="I1127" s="6">
        <v>0</v>
      </c>
      <c r="J1127" s="1">
        <v>42381.539942129632</v>
      </c>
      <c r="K1127">
        <v>7.99</v>
      </c>
      <c r="L1127" s="6">
        <f>('Pizza Sales Calculations'!$J1127-'Pizza Sales Calculations'!$C1127)*24*60</f>
        <v>2.9833333392161876</v>
      </c>
      <c r="M1127">
        <f>COUNTA('Pizza Sales Calculations'!$D1127:$F1127)</f>
        <v>1</v>
      </c>
      <c r="R1127" s="9">
        <f>IF('Pizza Sales Calculations'!$G1127=TRUE, Parameters!$B$17*'Pizza Sales Calculations'!$L1127*2, 0)</f>
        <v>0</v>
      </c>
      <c r="T1127" s="6"/>
      <c r="U1127" s="9"/>
    </row>
    <row r="1128" spans="1:21" x14ac:dyDescent="0.2">
      <c r="A1128">
        <v>1127</v>
      </c>
      <c r="B1128" s="1">
        <v>42381.528113425928</v>
      </c>
      <c r="C1128" s="1">
        <v>42381.538518518515</v>
      </c>
      <c r="D1128" t="s">
        <v>35</v>
      </c>
      <c r="G1128" t="b">
        <v>1</v>
      </c>
      <c r="H1128">
        <v>70804</v>
      </c>
      <c r="I1128" s="6">
        <v>3.4056420268776799</v>
      </c>
      <c r="J1128" s="1">
        <v>42381.550335648149</v>
      </c>
      <c r="K1128">
        <v>15.35</v>
      </c>
      <c r="L1128" s="6">
        <f>('Pizza Sales Calculations'!$J1128-'Pizza Sales Calculations'!$C1128)*24*60</f>
        <v>17.016666673589498</v>
      </c>
      <c r="M1128">
        <f>COUNTA('Pizza Sales Calculations'!$D1128:$F1128)</f>
        <v>1</v>
      </c>
      <c r="R1128" s="9">
        <f>IF('Pizza Sales Calculations'!$G1128=TRUE, Parameters!$B$17*'Pizza Sales Calculations'!$L1128*2, 0)</f>
        <v>4.8213888908503577</v>
      </c>
      <c r="T1128" s="6"/>
      <c r="U1128" s="9"/>
    </row>
    <row r="1129" spans="1:21" x14ac:dyDescent="0.2">
      <c r="A1129">
        <v>1128</v>
      </c>
      <c r="B1129" s="1">
        <v>42381.516087962962</v>
      </c>
      <c r="C1129" s="1">
        <v>42381.526493055557</v>
      </c>
      <c r="D1129" t="s">
        <v>1</v>
      </c>
      <c r="E1129" t="s">
        <v>2</v>
      </c>
      <c r="G1129" t="b">
        <v>0</v>
      </c>
      <c r="H1129">
        <v>70804</v>
      </c>
      <c r="I1129" s="6">
        <v>0</v>
      </c>
      <c r="J1129" s="1">
        <v>42381.52857638889</v>
      </c>
      <c r="K1129">
        <v>19.579999999999998</v>
      </c>
      <c r="L1129" s="6">
        <f>('Pizza Sales Calculations'!$J1129-'Pizza Sales Calculations'!$C1129)*24*60</f>
        <v>2.9999999993015081</v>
      </c>
      <c r="M1129">
        <f>COUNTA('Pizza Sales Calculations'!$D1129:$F1129)</f>
        <v>2</v>
      </c>
      <c r="R1129" s="9">
        <f>IF('Pizza Sales Calculations'!$G1129=TRUE, Parameters!$B$17*'Pizza Sales Calculations'!$L1129*2, 0)</f>
        <v>0</v>
      </c>
      <c r="T1129" s="6"/>
      <c r="U1129" s="9"/>
    </row>
    <row r="1130" spans="1:21" x14ac:dyDescent="0.2">
      <c r="A1130">
        <v>1129</v>
      </c>
      <c r="B1130" s="1">
        <v>42381.56523148148</v>
      </c>
      <c r="C1130" s="1">
        <v>42381.575659722221</v>
      </c>
      <c r="D1130" t="s">
        <v>1</v>
      </c>
      <c r="G1130" t="b">
        <v>0</v>
      </c>
      <c r="H1130">
        <v>70804</v>
      </c>
      <c r="I1130" s="6">
        <v>0</v>
      </c>
      <c r="J1130" s="1">
        <v>42381.577743055554</v>
      </c>
      <c r="K1130">
        <v>7.99</v>
      </c>
      <c r="L1130" s="6">
        <f>('Pizza Sales Calculations'!$J1130-'Pizza Sales Calculations'!$C1130)*24*60</f>
        <v>2.9999999993015081</v>
      </c>
      <c r="M1130">
        <f>COUNTA('Pizza Sales Calculations'!$D1130:$F1130)</f>
        <v>1</v>
      </c>
      <c r="R1130" s="9">
        <f>IF('Pizza Sales Calculations'!$G1130=TRUE, Parameters!$B$17*'Pizza Sales Calculations'!$L1130*2, 0)</f>
        <v>0</v>
      </c>
      <c r="T1130" s="6"/>
      <c r="U1130" s="9"/>
    </row>
    <row r="1131" spans="1:21" x14ac:dyDescent="0.2">
      <c r="A1131">
        <v>1130</v>
      </c>
      <c r="B1131" s="1">
        <v>42381.422407407408</v>
      </c>
      <c r="C1131" s="1">
        <v>42381.432824074072</v>
      </c>
      <c r="D1131" t="s">
        <v>35</v>
      </c>
      <c r="G1131" t="b">
        <v>1</v>
      </c>
      <c r="H1131">
        <v>70805</v>
      </c>
      <c r="I1131" s="6">
        <v>3.2821086101749501</v>
      </c>
      <c r="J1131" s="1">
        <v>42381.444212962961</v>
      </c>
      <c r="K1131">
        <v>15.35</v>
      </c>
      <c r="L1131" s="6">
        <f>('Pizza Sales Calculations'!$J1131-'Pizza Sales Calculations'!$C1131)*24*60</f>
        <v>16.399999998975545</v>
      </c>
      <c r="M1131">
        <f>COUNTA('Pizza Sales Calculations'!$D1131:$F1131)</f>
        <v>1</v>
      </c>
      <c r="R1131" s="9">
        <f>IF('Pizza Sales Calculations'!$G1131=TRUE, Parameters!$B$17*'Pizza Sales Calculations'!$L1131*2, 0)</f>
        <v>4.6466666663764045</v>
      </c>
      <c r="T1131" s="6"/>
      <c r="U1131" s="9"/>
    </row>
    <row r="1132" spans="1:21" x14ac:dyDescent="0.2">
      <c r="A1132">
        <v>1131</v>
      </c>
      <c r="B1132" s="1">
        <v>42381.523078703707</v>
      </c>
      <c r="C1132" s="1">
        <v>42381.533506944441</v>
      </c>
      <c r="D1132" t="s">
        <v>2</v>
      </c>
      <c r="G1132" t="b">
        <v>0</v>
      </c>
      <c r="H1132">
        <v>70805</v>
      </c>
      <c r="I1132" s="6">
        <v>0</v>
      </c>
      <c r="J1132" s="1">
        <v>42381.535601851851</v>
      </c>
      <c r="K1132">
        <v>11.59</v>
      </c>
      <c r="L1132" s="6">
        <f>('Pizza Sales Calculations'!$J1132-'Pizza Sales Calculations'!$C1132)*24*60</f>
        <v>3.0166666698642075</v>
      </c>
      <c r="M1132">
        <f>COUNTA('Pizza Sales Calculations'!$D1132:$F1132)</f>
        <v>1</v>
      </c>
      <c r="R1132" s="9">
        <f>IF('Pizza Sales Calculations'!$G1132=TRUE, Parameters!$B$17*'Pizza Sales Calculations'!$L1132*2, 0)</f>
        <v>0</v>
      </c>
      <c r="T1132" s="6"/>
      <c r="U1132" s="9"/>
    </row>
    <row r="1133" spans="1:21" x14ac:dyDescent="0.2">
      <c r="A1133">
        <v>1132</v>
      </c>
      <c r="B1133" s="1">
        <v>42381.59642361111</v>
      </c>
      <c r="C1133" s="1">
        <v>42381.606863425928</v>
      </c>
      <c r="D1133" t="s">
        <v>2</v>
      </c>
      <c r="E1133" t="s">
        <v>35</v>
      </c>
      <c r="G1133" t="b">
        <v>1</v>
      </c>
      <c r="H1133">
        <v>70805</v>
      </c>
      <c r="I1133" s="6">
        <v>2.6985372707335902</v>
      </c>
      <c r="J1133" s="1">
        <v>42381.616226851853</v>
      </c>
      <c r="K1133">
        <v>25.94</v>
      </c>
      <c r="L1133" s="6">
        <f>('Pizza Sales Calculations'!$J1133-'Pizza Sales Calculations'!$C1133)*24*60</f>
        <v>13.483333331532776</v>
      </c>
      <c r="M1133">
        <f>COUNTA('Pizza Sales Calculations'!$D1133:$F1133)</f>
        <v>2</v>
      </c>
      <c r="R1133" s="9">
        <f>IF('Pizza Sales Calculations'!$G1133=TRUE, Parameters!$B$17*'Pizza Sales Calculations'!$L1133*2, 0)</f>
        <v>3.82027777726762</v>
      </c>
      <c r="T1133" s="6"/>
      <c r="U1133" s="9"/>
    </row>
    <row r="1134" spans="1:21" x14ac:dyDescent="0.2">
      <c r="A1134">
        <v>1133</v>
      </c>
      <c r="B1134" s="1">
        <v>42381.535925925928</v>
      </c>
      <c r="C1134" s="1">
        <v>42381.546342592592</v>
      </c>
      <c r="D1134" t="s">
        <v>35</v>
      </c>
      <c r="G1134" t="b">
        <v>1</v>
      </c>
      <c r="H1134">
        <v>70806</v>
      </c>
      <c r="I1134" s="6">
        <v>2.3821901090442399</v>
      </c>
      <c r="J1134" s="1">
        <v>42381.554606481484</v>
      </c>
      <c r="K1134">
        <v>15.35</v>
      </c>
      <c r="L1134" s="6">
        <f>('Pizza Sales Calculations'!$J1134-'Pizza Sales Calculations'!$C1134)*24*60</f>
        <v>11.900000005261973</v>
      </c>
      <c r="M1134">
        <f>COUNTA('Pizza Sales Calculations'!$D1134:$F1134)</f>
        <v>1</v>
      </c>
      <c r="R1134" s="9">
        <f>IF('Pizza Sales Calculations'!$G1134=TRUE, Parameters!$B$17*'Pizza Sales Calculations'!$L1134*2, 0)</f>
        <v>3.3716666681575589</v>
      </c>
      <c r="T1134" s="6"/>
      <c r="U1134" s="9"/>
    </row>
    <row r="1135" spans="1:21" x14ac:dyDescent="0.2">
      <c r="A1135">
        <v>1134</v>
      </c>
      <c r="B1135" s="1">
        <v>42381.484120370369</v>
      </c>
      <c r="C1135" s="1">
        <v>42381.494537037041</v>
      </c>
      <c r="D1135" t="s">
        <v>1</v>
      </c>
      <c r="E1135" t="s">
        <v>2</v>
      </c>
      <c r="G1135" t="b">
        <v>1</v>
      </c>
      <c r="H1135">
        <v>70803</v>
      </c>
      <c r="I1135" s="6">
        <v>2.78353897059392</v>
      </c>
      <c r="J1135" s="1">
        <v>42381.504201388889</v>
      </c>
      <c r="K1135">
        <v>19.579999999999998</v>
      </c>
      <c r="L1135" s="6">
        <f>('Pizza Sales Calculations'!$J1135-'Pizza Sales Calculations'!$C1135)*24*60</f>
        <v>13.916666661389172</v>
      </c>
      <c r="M1135">
        <f>COUNTA('Pizza Sales Calculations'!$D1135:$F1135)</f>
        <v>2</v>
      </c>
      <c r="R1135" s="9">
        <f>IF('Pizza Sales Calculations'!$G1135=TRUE, Parameters!$B$17*'Pizza Sales Calculations'!$L1135*2, 0)</f>
        <v>3.9430555540602654</v>
      </c>
      <c r="T1135" s="6"/>
      <c r="U1135" s="9"/>
    </row>
    <row r="1136" spans="1:21" x14ac:dyDescent="0.2">
      <c r="A1136">
        <v>1135</v>
      </c>
      <c r="B1136" s="1">
        <v>42381.533807870372</v>
      </c>
      <c r="C1136" s="1">
        <v>42381.544212962966</v>
      </c>
      <c r="D1136" t="s">
        <v>1</v>
      </c>
      <c r="E1136" t="s">
        <v>2</v>
      </c>
      <c r="G1136" t="b">
        <v>1</v>
      </c>
      <c r="H1136">
        <v>70803</v>
      </c>
      <c r="I1136" s="6">
        <v>0.58841113329234895</v>
      </c>
      <c r="J1136" s="1">
        <v>42381.546249999999</v>
      </c>
      <c r="K1136">
        <v>19.579999999999998</v>
      </c>
      <c r="L1136" s="6">
        <f>('Pizza Sales Calculations'!$J1136-'Pizza Sales Calculations'!$C1136)*24*60</f>
        <v>2.9333333275280893</v>
      </c>
      <c r="M1136">
        <f>COUNTA('Pizza Sales Calculations'!$D1136:$F1136)</f>
        <v>2</v>
      </c>
      <c r="R1136" s="9">
        <f>IF('Pizza Sales Calculations'!$G1136=TRUE, Parameters!$B$17*'Pizza Sales Calculations'!$L1136*2, 0)</f>
        <v>0.83111110946629196</v>
      </c>
      <c r="T1136" s="6"/>
      <c r="U1136" s="9"/>
    </row>
    <row r="1137" spans="1:21" x14ac:dyDescent="0.2">
      <c r="A1137">
        <v>1136</v>
      </c>
      <c r="B1137" s="1">
        <v>42381.46775462963</v>
      </c>
      <c r="C1137" s="1">
        <v>42381.478159722225</v>
      </c>
      <c r="D1137" t="s">
        <v>35</v>
      </c>
      <c r="G1137" t="b">
        <v>1</v>
      </c>
      <c r="H1137">
        <v>70803</v>
      </c>
      <c r="I1137" s="6">
        <v>2.2109623085488601</v>
      </c>
      <c r="J1137" s="1">
        <v>42381.485833333332</v>
      </c>
      <c r="K1137">
        <v>15.35</v>
      </c>
      <c r="L1137" s="6">
        <f>('Pizza Sales Calculations'!$J1137-'Pizza Sales Calculations'!$C1137)*24*60</f>
        <v>11.049999995157123</v>
      </c>
      <c r="M1137">
        <f>COUNTA('Pizza Sales Calculations'!$D1137:$F1137)</f>
        <v>1</v>
      </c>
      <c r="R1137" s="9">
        <f>IF('Pizza Sales Calculations'!$G1137=TRUE, Parameters!$B$17*'Pizza Sales Calculations'!$L1137*2, 0)</f>
        <v>3.1308333319611847</v>
      </c>
      <c r="T1137" s="6"/>
      <c r="U1137" s="9"/>
    </row>
    <row r="1138" spans="1:21" x14ac:dyDescent="0.2">
      <c r="A1138">
        <v>1137</v>
      </c>
      <c r="B1138" s="1">
        <v>42381.498425925929</v>
      </c>
      <c r="C1138" s="1">
        <v>42381.50885416667</v>
      </c>
      <c r="D1138" t="s">
        <v>35</v>
      </c>
      <c r="G1138" t="b">
        <v>0</v>
      </c>
      <c r="H1138">
        <v>70804</v>
      </c>
      <c r="I1138" s="6">
        <v>0</v>
      </c>
      <c r="J1138" s="1">
        <v>42381.510891203703</v>
      </c>
      <c r="K1138">
        <v>15.35</v>
      </c>
      <c r="L1138" s="6">
        <f>('Pizza Sales Calculations'!$J1138-'Pizza Sales Calculations'!$C1138)*24*60</f>
        <v>2.9333333275280893</v>
      </c>
      <c r="M1138">
        <f>COUNTA('Pizza Sales Calculations'!$D1138:$F1138)</f>
        <v>1</v>
      </c>
      <c r="R1138" s="9">
        <f>IF('Pizza Sales Calculations'!$G1138=TRUE, Parameters!$B$17*'Pizza Sales Calculations'!$L1138*2, 0)</f>
        <v>0</v>
      </c>
      <c r="T1138" s="6"/>
      <c r="U1138" s="9"/>
    </row>
    <row r="1139" spans="1:21" x14ac:dyDescent="0.2">
      <c r="A1139">
        <v>1138</v>
      </c>
      <c r="B1139" s="1">
        <v>42381.457002314812</v>
      </c>
      <c r="C1139" s="1">
        <v>42381.467395833337</v>
      </c>
      <c r="D1139" t="s">
        <v>2</v>
      </c>
      <c r="G1139" t="b">
        <v>1</v>
      </c>
      <c r="H1139">
        <v>70805</v>
      </c>
      <c r="I1139" s="6">
        <v>1.55988152163801</v>
      </c>
      <c r="J1139" s="1">
        <v>42381.472800925927</v>
      </c>
      <c r="K1139">
        <v>11.59</v>
      </c>
      <c r="L1139" s="6">
        <f>('Pizza Sales Calculations'!$J1139-'Pizza Sales Calculations'!$C1139)*24*60</f>
        <v>7.7833333297166973</v>
      </c>
      <c r="M1139">
        <f>COUNTA('Pizza Sales Calculations'!$D1139:$F1139)</f>
        <v>1</v>
      </c>
      <c r="R1139" s="9">
        <f>IF('Pizza Sales Calculations'!$G1139=TRUE, Parameters!$B$17*'Pizza Sales Calculations'!$L1139*2, 0)</f>
        <v>2.2052777767530642</v>
      </c>
      <c r="T1139" s="6"/>
      <c r="U1139" s="9"/>
    </row>
    <row r="1140" spans="1:21" x14ac:dyDescent="0.2">
      <c r="A1140">
        <v>1139</v>
      </c>
      <c r="B1140" s="1">
        <v>42381.530798611115</v>
      </c>
      <c r="C1140" s="1">
        <v>42381.541203703702</v>
      </c>
      <c r="D1140" t="s">
        <v>2</v>
      </c>
      <c r="G1140" t="b">
        <v>1</v>
      </c>
      <c r="H1140">
        <v>70806</v>
      </c>
      <c r="I1140" s="6">
        <v>3.0507717518782802</v>
      </c>
      <c r="J1140" s="1">
        <v>42381.551793981482</v>
      </c>
      <c r="K1140">
        <v>11.59</v>
      </c>
      <c r="L1140" s="6">
        <f>('Pizza Sales Calculations'!$J1140-'Pizza Sales Calculations'!$C1140)*24*60</f>
        <v>15.250000002561137</v>
      </c>
      <c r="M1140">
        <f>COUNTA('Pizza Sales Calculations'!$D1140:$F1140)</f>
        <v>1</v>
      </c>
      <c r="R1140" s="9">
        <f>IF('Pizza Sales Calculations'!$G1140=TRUE, Parameters!$B$17*'Pizza Sales Calculations'!$L1140*2, 0)</f>
        <v>4.3208333340589888</v>
      </c>
      <c r="T1140" s="6"/>
      <c r="U1140" s="9"/>
    </row>
    <row r="1141" spans="1:21" x14ac:dyDescent="0.2">
      <c r="A1141">
        <v>1140</v>
      </c>
      <c r="B1141" s="1">
        <v>42381.620405092595</v>
      </c>
      <c r="C1141" s="1">
        <v>42381.63082175926</v>
      </c>
      <c r="D1141" t="s">
        <v>2</v>
      </c>
      <c r="G1141" t="b">
        <v>1</v>
      </c>
      <c r="H1141">
        <v>70805</v>
      </c>
      <c r="I1141" s="6">
        <v>3.7535614742122601</v>
      </c>
      <c r="J1141" s="1">
        <v>42381.643854166665</v>
      </c>
      <c r="K1141">
        <v>11.59</v>
      </c>
      <c r="L1141" s="6">
        <f>('Pizza Sales Calculations'!$J1141-'Pizza Sales Calculations'!$C1141)*24*60</f>
        <v>18.76666666357778</v>
      </c>
      <c r="M1141">
        <f>COUNTA('Pizza Sales Calculations'!$D1141:$F1141)</f>
        <v>1</v>
      </c>
      <c r="R1141" s="9">
        <f>IF('Pizza Sales Calculations'!$G1141=TRUE, Parameters!$B$17*'Pizza Sales Calculations'!$L1141*2, 0)</f>
        <v>5.3172222213470377</v>
      </c>
      <c r="T1141" s="6"/>
      <c r="U1141" s="9"/>
    </row>
    <row r="1142" spans="1:21" x14ac:dyDescent="0.2">
      <c r="A1142">
        <v>1141</v>
      </c>
      <c r="B1142" s="1">
        <v>42381.485520833332</v>
      </c>
      <c r="C1142" s="1">
        <v>42381.495937500003</v>
      </c>
      <c r="D1142" t="s">
        <v>1</v>
      </c>
      <c r="E1142" t="s">
        <v>2</v>
      </c>
      <c r="G1142" t="b">
        <v>1</v>
      </c>
      <c r="H1142">
        <v>70805</v>
      </c>
      <c r="I1142" s="6">
        <v>3.7931249623855101</v>
      </c>
      <c r="J1142" s="1">
        <v>42381.509097222224</v>
      </c>
      <c r="K1142">
        <v>19.579999999999998</v>
      </c>
      <c r="L1142" s="6">
        <f>('Pizza Sales Calculations'!$J1142-'Pizza Sales Calculations'!$C1142)*24*60</f>
        <v>18.949999997857958</v>
      </c>
      <c r="M1142">
        <f>COUNTA('Pizza Sales Calculations'!$D1142:$F1142)</f>
        <v>2</v>
      </c>
      <c r="R1142" s="9">
        <f>IF('Pizza Sales Calculations'!$G1142=TRUE, Parameters!$B$17*'Pizza Sales Calculations'!$L1142*2, 0)</f>
        <v>5.3691666660597548</v>
      </c>
      <c r="T1142" s="6"/>
      <c r="U1142" s="9"/>
    </row>
    <row r="1143" spans="1:21" x14ac:dyDescent="0.2">
      <c r="A1143">
        <v>1142</v>
      </c>
      <c r="B1143" s="1">
        <v>42381.530358796299</v>
      </c>
      <c r="C1143" s="1">
        <v>42381.540763888886</v>
      </c>
      <c r="D1143" t="s">
        <v>2</v>
      </c>
      <c r="G1143" t="b">
        <v>0</v>
      </c>
      <c r="H1143">
        <v>70804</v>
      </c>
      <c r="I1143" s="6">
        <v>0</v>
      </c>
      <c r="J1143" s="1">
        <v>42381.542847222219</v>
      </c>
      <c r="K1143">
        <v>11.59</v>
      </c>
      <c r="L1143" s="6">
        <f>('Pizza Sales Calculations'!$J1143-'Pizza Sales Calculations'!$C1143)*24*60</f>
        <v>2.9999999993015081</v>
      </c>
      <c r="M1143">
        <f>COUNTA('Pizza Sales Calculations'!$D1143:$F1143)</f>
        <v>1</v>
      </c>
      <c r="R1143" s="9">
        <f>IF('Pizza Sales Calculations'!$G1143=TRUE, Parameters!$B$17*'Pizza Sales Calculations'!$L1143*2, 0)</f>
        <v>0</v>
      </c>
      <c r="T1143" s="6"/>
      <c r="U1143" s="9"/>
    </row>
    <row r="1144" spans="1:21" x14ac:dyDescent="0.2">
      <c r="A1144">
        <v>1143</v>
      </c>
      <c r="B1144" s="1">
        <v>42381.477141203701</v>
      </c>
      <c r="C1144" s="1">
        <v>42381.487557870372</v>
      </c>
      <c r="D1144" t="s">
        <v>1</v>
      </c>
      <c r="G1144" t="b">
        <v>0</v>
      </c>
      <c r="H1144">
        <v>70803</v>
      </c>
      <c r="I1144" s="6">
        <v>0</v>
      </c>
      <c r="J1144" s="1">
        <v>42381.489641203705</v>
      </c>
      <c r="K1144">
        <v>7.99</v>
      </c>
      <c r="L1144" s="6">
        <f>('Pizza Sales Calculations'!$J1144-'Pizza Sales Calculations'!$C1144)*24*60</f>
        <v>2.9999999993015081</v>
      </c>
      <c r="M1144">
        <f>COUNTA('Pizza Sales Calculations'!$D1144:$F1144)</f>
        <v>1</v>
      </c>
      <c r="R1144" s="9">
        <f>IF('Pizza Sales Calculations'!$G1144=TRUE, Parameters!$B$17*'Pizza Sales Calculations'!$L1144*2, 0)</f>
        <v>0</v>
      </c>
      <c r="T1144" s="6"/>
      <c r="U1144" s="9"/>
    </row>
    <row r="1145" spans="1:21" x14ac:dyDescent="0.2">
      <c r="A1145">
        <v>1144</v>
      </c>
      <c r="B1145" s="1">
        <v>42381.428136574075</v>
      </c>
      <c r="C1145" s="1">
        <v>42381.43854166667</v>
      </c>
      <c r="D1145" t="s">
        <v>35</v>
      </c>
      <c r="G1145" t="b">
        <v>1</v>
      </c>
      <c r="H1145">
        <v>70804</v>
      </c>
      <c r="I1145" s="6">
        <v>5.3819089435210099</v>
      </c>
      <c r="J1145" s="1">
        <v>42381.45722222222</v>
      </c>
      <c r="K1145">
        <v>15.35</v>
      </c>
      <c r="L1145" s="6">
        <f>('Pizza Sales Calculations'!$J1145-'Pizza Sales Calculations'!$C1145)*24*60</f>
        <v>26.899999991292134</v>
      </c>
      <c r="M1145">
        <f>COUNTA('Pizza Sales Calculations'!$D1145:$F1145)</f>
        <v>1</v>
      </c>
      <c r="R1145" s="9">
        <f>IF('Pizza Sales Calculations'!$G1145=TRUE, Parameters!$B$17*'Pizza Sales Calculations'!$L1145*2, 0)</f>
        <v>7.6216666641994379</v>
      </c>
      <c r="T1145" s="6"/>
      <c r="U1145" s="9"/>
    </row>
    <row r="1146" spans="1:21" x14ac:dyDescent="0.2">
      <c r="A1146">
        <v>1145</v>
      </c>
      <c r="B1146" s="1">
        <v>42381.492835648147</v>
      </c>
      <c r="C1146" s="1">
        <v>42381.503263888888</v>
      </c>
      <c r="D1146" t="s">
        <v>2</v>
      </c>
      <c r="G1146" t="b">
        <v>0</v>
      </c>
      <c r="H1146">
        <v>70803</v>
      </c>
      <c r="I1146" s="6">
        <v>0</v>
      </c>
      <c r="J1146" s="1">
        <v>42381.505358796298</v>
      </c>
      <c r="K1146">
        <v>11.59</v>
      </c>
      <c r="L1146" s="6">
        <f>('Pizza Sales Calculations'!$J1146-'Pizza Sales Calculations'!$C1146)*24*60</f>
        <v>3.0166666698642075</v>
      </c>
      <c r="M1146">
        <f>COUNTA('Pizza Sales Calculations'!$D1146:$F1146)</f>
        <v>1</v>
      </c>
      <c r="R1146" s="9">
        <f>IF('Pizza Sales Calculations'!$G1146=TRUE, Parameters!$B$17*'Pizza Sales Calculations'!$L1146*2, 0)</f>
        <v>0</v>
      </c>
      <c r="T1146" s="6"/>
      <c r="U1146" s="9"/>
    </row>
    <row r="1147" spans="1:21" x14ac:dyDescent="0.2">
      <c r="A1147">
        <v>1146</v>
      </c>
      <c r="B1147" s="1">
        <v>42381.457511574074</v>
      </c>
      <c r="C1147" s="1">
        <v>42381.467916666668</v>
      </c>
      <c r="D1147" t="s">
        <v>2</v>
      </c>
      <c r="G1147" t="b">
        <v>1</v>
      </c>
      <c r="H1147">
        <v>70804</v>
      </c>
      <c r="I1147" s="6">
        <v>2.6996363531395802</v>
      </c>
      <c r="J1147" s="1">
        <v>42381.477280092593</v>
      </c>
      <c r="K1147">
        <v>11.59</v>
      </c>
      <c r="L1147" s="6">
        <f>('Pizza Sales Calculations'!$J1147-'Pizza Sales Calculations'!$C1147)*24*60</f>
        <v>13.483333331532776</v>
      </c>
      <c r="M1147">
        <f>COUNTA('Pizza Sales Calculations'!$D1147:$F1147)</f>
        <v>1</v>
      </c>
      <c r="R1147" s="9">
        <f>IF('Pizza Sales Calculations'!$G1147=TRUE, Parameters!$B$17*'Pizza Sales Calculations'!$L1147*2, 0)</f>
        <v>3.82027777726762</v>
      </c>
      <c r="T1147" s="6"/>
      <c r="U1147" s="9"/>
    </row>
    <row r="1148" spans="1:21" x14ac:dyDescent="0.2">
      <c r="A1148">
        <v>1147</v>
      </c>
      <c r="B1148" s="1">
        <v>42381.504583333335</v>
      </c>
      <c r="C1148" s="1">
        <v>42381.514988425923</v>
      </c>
      <c r="D1148" t="s">
        <v>1</v>
      </c>
      <c r="E1148" t="s">
        <v>35</v>
      </c>
      <c r="G1148" t="b">
        <v>0</v>
      </c>
      <c r="H1148">
        <v>70804</v>
      </c>
      <c r="I1148" s="6">
        <v>0</v>
      </c>
      <c r="J1148" s="1">
        <v>42381.517071759263</v>
      </c>
      <c r="K1148">
        <v>23.34</v>
      </c>
      <c r="L1148" s="6">
        <f>('Pizza Sales Calculations'!$J1148-'Pizza Sales Calculations'!$C1148)*24*60</f>
        <v>3.000000009778887</v>
      </c>
      <c r="M1148">
        <f>COUNTA('Pizza Sales Calculations'!$D1148:$F1148)</f>
        <v>2</v>
      </c>
      <c r="R1148" s="9">
        <f>IF('Pizza Sales Calculations'!$G1148=TRUE, Parameters!$B$17*'Pizza Sales Calculations'!$L1148*2, 0)</f>
        <v>0</v>
      </c>
      <c r="T1148" s="6"/>
      <c r="U1148" s="9"/>
    </row>
    <row r="1149" spans="1:21" x14ac:dyDescent="0.2">
      <c r="A1149">
        <v>1148</v>
      </c>
      <c r="B1149" s="1">
        <v>42381.424988425926</v>
      </c>
      <c r="C1149" s="1">
        <v>42381.435393518521</v>
      </c>
      <c r="D1149" t="s">
        <v>1</v>
      </c>
      <c r="G1149" t="b">
        <v>0</v>
      </c>
      <c r="H1149">
        <v>70806</v>
      </c>
      <c r="I1149" s="6">
        <v>0</v>
      </c>
      <c r="J1149" s="1">
        <v>42381.437476851854</v>
      </c>
      <c r="K1149">
        <v>7.99</v>
      </c>
      <c r="L1149" s="6">
        <f>('Pizza Sales Calculations'!$J1149-'Pizza Sales Calculations'!$C1149)*24*60</f>
        <v>2.9999999993015081</v>
      </c>
      <c r="M1149">
        <f>COUNTA('Pizza Sales Calculations'!$D1149:$F1149)</f>
        <v>1</v>
      </c>
      <c r="R1149" s="9">
        <f>IF('Pizza Sales Calculations'!$G1149=TRUE, Parameters!$B$17*'Pizza Sales Calculations'!$L1149*2, 0)</f>
        <v>0</v>
      </c>
      <c r="T1149" s="6"/>
      <c r="U1149" s="9"/>
    </row>
    <row r="1150" spans="1:21" x14ac:dyDescent="0.2">
      <c r="A1150">
        <v>1149</v>
      </c>
      <c r="B1150" s="1">
        <v>42381.537291666667</v>
      </c>
      <c r="C1150" s="1">
        <v>42381.547685185185</v>
      </c>
      <c r="D1150" t="s">
        <v>1</v>
      </c>
      <c r="G1150" t="b">
        <v>1</v>
      </c>
      <c r="H1150">
        <v>70803</v>
      </c>
      <c r="I1150" s="6">
        <v>2.7910737267099401</v>
      </c>
      <c r="J1150" s="1">
        <v>42381.557372685187</v>
      </c>
      <c r="K1150">
        <v>7.99</v>
      </c>
      <c r="L1150" s="6">
        <f>('Pizza Sales Calculations'!$J1150-'Pizza Sales Calculations'!$C1150)*24*60</f>
        <v>13.950000002514571</v>
      </c>
      <c r="M1150">
        <f>COUNTA('Pizza Sales Calculations'!$D1150:$F1150)</f>
        <v>1</v>
      </c>
      <c r="R1150" s="9">
        <f>IF('Pizza Sales Calculations'!$G1150=TRUE, Parameters!$B$17*'Pizza Sales Calculations'!$L1150*2, 0)</f>
        <v>3.9525000007124618</v>
      </c>
      <c r="T1150" s="6"/>
      <c r="U1150" s="9"/>
    </row>
    <row r="1151" spans="1:21" x14ac:dyDescent="0.2">
      <c r="A1151">
        <v>1150</v>
      </c>
      <c r="B1151" s="1">
        <v>42381.462789351855</v>
      </c>
      <c r="C1151" s="1">
        <v>42381.473194444443</v>
      </c>
      <c r="D1151" t="s">
        <v>35</v>
      </c>
      <c r="G1151" t="b">
        <v>0</v>
      </c>
      <c r="H1151">
        <v>70805</v>
      </c>
      <c r="I1151" s="6">
        <v>0</v>
      </c>
      <c r="J1151" s="1">
        <v>42381.475266203706</v>
      </c>
      <c r="K1151">
        <v>15.35</v>
      </c>
      <c r="L1151" s="6">
        <f>('Pizza Sales Calculations'!$J1151-'Pizza Sales Calculations'!$C1151)*24*60</f>
        <v>2.9833333392161876</v>
      </c>
      <c r="M1151">
        <f>COUNTA('Pizza Sales Calculations'!$D1151:$F1151)</f>
        <v>1</v>
      </c>
      <c r="R1151" s="9">
        <f>IF('Pizza Sales Calculations'!$G1151=TRUE, Parameters!$B$17*'Pizza Sales Calculations'!$L1151*2, 0)</f>
        <v>0</v>
      </c>
      <c r="T1151" s="6"/>
      <c r="U1151" s="9"/>
    </row>
    <row r="1152" spans="1:21" x14ac:dyDescent="0.2">
      <c r="A1152">
        <v>1151</v>
      </c>
      <c r="B1152" s="1">
        <v>42381.576423611114</v>
      </c>
      <c r="C1152" s="1">
        <v>42381.586817129632</v>
      </c>
      <c r="D1152" t="s">
        <v>1</v>
      </c>
      <c r="E1152" t="s">
        <v>2</v>
      </c>
      <c r="G1152" t="b">
        <v>0</v>
      </c>
      <c r="H1152">
        <v>70805</v>
      </c>
      <c r="I1152" s="6">
        <v>0</v>
      </c>
      <c r="J1152" s="1">
        <v>42381.588900462964</v>
      </c>
      <c r="K1152">
        <v>19.579999999999998</v>
      </c>
      <c r="L1152" s="6">
        <f>('Pizza Sales Calculations'!$J1152-'Pizza Sales Calculations'!$C1152)*24*60</f>
        <v>2.9999999993015081</v>
      </c>
      <c r="M1152">
        <f>COUNTA('Pizza Sales Calculations'!$D1152:$F1152)</f>
        <v>2</v>
      </c>
      <c r="R1152" s="9">
        <f>IF('Pizza Sales Calculations'!$G1152=TRUE, Parameters!$B$17*'Pizza Sales Calculations'!$L1152*2, 0)</f>
        <v>0</v>
      </c>
      <c r="T1152" s="6"/>
      <c r="U1152" s="9"/>
    </row>
    <row r="1153" spans="1:21" x14ac:dyDescent="0.2">
      <c r="A1153">
        <v>1152</v>
      </c>
      <c r="B1153" s="1">
        <v>42381.467210648145</v>
      </c>
      <c r="C1153" s="1">
        <v>42381.477638888886</v>
      </c>
      <c r="D1153" t="s">
        <v>1</v>
      </c>
      <c r="G1153" t="b">
        <v>0</v>
      </c>
      <c r="H1153">
        <v>70804</v>
      </c>
      <c r="I1153" s="6">
        <v>0</v>
      </c>
      <c r="J1153" s="1">
        <v>42381.479710648149</v>
      </c>
      <c r="K1153">
        <v>7.99</v>
      </c>
      <c r="L1153" s="6">
        <f>('Pizza Sales Calculations'!$J1153-'Pizza Sales Calculations'!$C1153)*24*60</f>
        <v>2.9833333392161876</v>
      </c>
      <c r="M1153">
        <f>COUNTA('Pizza Sales Calculations'!$D1153:$F1153)</f>
        <v>1</v>
      </c>
      <c r="R1153" s="9">
        <f>IF('Pizza Sales Calculations'!$G1153=TRUE, Parameters!$B$17*'Pizza Sales Calculations'!$L1153*2, 0)</f>
        <v>0</v>
      </c>
      <c r="T1153" s="6"/>
      <c r="U1153" s="9"/>
    </row>
    <row r="1154" spans="1:21" x14ac:dyDescent="0.2">
      <c r="A1154">
        <v>1153</v>
      </c>
      <c r="B1154" s="1">
        <v>42381.531550925924</v>
      </c>
      <c r="C1154" s="1">
        <v>42381.541979166665</v>
      </c>
      <c r="D1154" t="s">
        <v>35</v>
      </c>
      <c r="G1154" t="b">
        <v>0</v>
      </c>
      <c r="H1154">
        <v>70804</v>
      </c>
      <c r="I1154" s="6">
        <v>0</v>
      </c>
      <c r="J1154" s="1">
        <v>42381.544050925928</v>
      </c>
      <c r="K1154">
        <v>15.35</v>
      </c>
      <c r="L1154" s="6">
        <f>('Pizza Sales Calculations'!$J1154-'Pizza Sales Calculations'!$C1154)*24*60</f>
        <v>2.9833333392161876</v>
      </c>
      <c r="M1154">
        <f>COUNTA('Pizza Sales Calculations'!$D1154:$F1154)</f>
        <v>1</v>
      </c>
      <c r="R1154" s="9">
        <f>IF('Pizza Sales Calculations'!$G1154=TRUE, Parameters!$B$17*'Pizza Sales Calculations'!$L1154*2, 0)</f>
        <v>0</v>
      </c>
      <c r="T1154" s="6"/>
      <c r="U1154" s="9"/>
    </row>
    <row r="1155" spans="1:21" x14ac:dyDescent="0.2">
      <c r="A1155">
        <v>1154</v>
      </c>
      <c r="B1155" s="1">
        <v>42381.536203703705</v>
      </c>
      <c r="C1155" s="1">
        <v>42381.546620370369</v>
      </c>
      <c r="D1155" t="s">
        <v>35</v>
      </c>
      <c r="G1155" t="b">
        <v>1</v>
      </c>
      <c r="H1155">
        <v>70805</v>
      </c>
      <c r="I1155" s="6">
        <v>2.86643234886348</v>
      </c>
      <c r="J1155" s="1">
        <v>42381.556562500002</v>
      </c>
      <c r="K1155">
        <v>15.35</v>
      </c>
      <c r="L1155" s="6">
        <f>('Pizza Sales Calculations'!$J1155-'Pizza Sales Calculations'!$C1155)*24*60</f>
        <v>14.316666671074927</v>
      </c>
      <c r="M1155">
        <f>COUNTA('Pizza Sales Calculations'!$D1155:$F1155)</f>
        <v>1</v>
      </c>
      <c r="R1155" s="9">
        <f>IF('Pizza Sales Calculations'!$G1155=TRUE, Parameters!$B$17*'Pizza Sales Calculations'!$L1155*2, 0)</f>
        <v>4.0563888901378959</v>
      </c>
      <c r="T1155" s="6"/>
      <c r="U1155" s="9"/>
    </row>
    <row r="1156" spans="1:21" x14ac:dyDescent="0.2">
      <c r="A1156">
        <v>1155</v>
      </c>
      <c r="B1156" s="1">
        <v>42381.547152777777</v>
      </c>
      <c r="C1156" s="1">
        <v>42381.557569444441</v>
      </c>
      <c r="D1156" t="s">
        <v>1</v>
      </c>
      <c r="E1156" t="s">
        <v>35</v>
      </c>
      <c r="G1156" t="b">
        <v>1</v>
      </c>
      <c r="H1156">
        <v>70806</v>
      </c>
      <c r="I1156" s="6">
        <v>3.9161564119549399</v>
      </c>
      <c r="J1156" s="1">
        <v>42381.571157407408</v>
      </c>
      <c r="K1156">
        <v>23.34</v>
      </c>
      <c r="L1156" s="6">
        <f>('Pizza Sales Calculations'!$J1156-'Pizza Sales Calculations'!$C1156)*24*60</f>
        <v>19.566666672471911</v>
      </c>
      <c r="M1156">
        <f>COUNTA('Pizza Sales Calculations'!$D1156:$F1156)</f>
        <v>2</v>
      </c>
      <c r="R1156" s="9">
        <f>IF('Pizza Sales Calculations'!$G1156=TRUE, Parameters!$B$17*'Pizza Sales Calculations'!$L1156*2, 0)</f>
        <v>5.543888890533708</v>
      </c>
      <c r="T1156" s="6"/>
      <c r="U1156" s="9"/>
    </row>
    <row r="1157" spans="1:21" x14ac:dyDescent="0.2">
      <c r="A1157">
        <v>1156</v>
      </c>
      <c r="B1157" s="1">
        <v>42381.475428240738</v>
      </c>
      <c r="C1157" s="1">
        <v>42381.485821759263</v>
      </c>
      <c r="D1157" t="s">
        <v>35</v>
      </c>
      <c r="G1157" t="b">
        <v>0</v>
      </c>
      <c r="H1157">
        <v>70804</v>
      </c>
      <c r="I1157" s="6">
        <v>0</v>
      </c>
      <c r="J1157" s="1">
        <v>42381.487893518519</v>
      </c>
      <c r="K1157">
        <v>15.35</v>
      </c>
      <c r="L1157" s="6">
        <f>('Pizza Sales Calculations'!$J1157-'Pizza Sales Calculations'!$C1157)*24*60</f>
        <v>2.9833333287388086</v>
      </c>
      <c r="M1157">
        <f>COUNTA('Pizza Sales Calculations'!$D1157:$F1157)</f>
        <v>1</v>
      </c>
      <c r="R1157" s="9">
        <f>IF('Pizza Sales Calculations'!$G1157=TRUE, Parameters!$B$17*'Pizza Sales Calculations'!$L1157*2, 0)</f>
        <v>0</v>
      </c>
      <c r="T1157" s="6"/>
      <c r="U1157" s="9"/>
    </row>
    <row r="1158" spans="1:21" x14ac:dyDescent="0.2">
      <c r="A1158">
        <v>1157</v>
      </c>
      <c r="B1158" s="1">
        <v>42381.458877314813</v>
      </c>
      <c r="C1158" s="1">
        <v>42381.469270833331</v>
      </c>
      <c r="D1158" t="s">
        <v>2</v>
      </c>
      <c r="G1158" t="b">
        <v>0</v>
      </c>
      <c r="H1158">
        <v>70807</v>
      </c>
      <c r="I1158" s="6">
        <v>0</v>
      </c>
      <c r="J1158" s="1">
        <v>42381.471354166664</v>
      </c>
      <c r="K1158">
        <v>11.59</v>
      </c>
      <c r="L1158" s="6">
        <f>('Pizza Sales Calculations'!$J1158-'Pizza Sales Calculations'!$C1158)*24*60</f>
        <v>2.9999999993015081</v>
      </c>
      <c r="M1158">
        <f>COUNTA('Pizza Sales Calculations'!$D1158:$F1158)</f>
        <v>1</v>
      </c>
      <c r="R1158" s="9">
        <f>IF('Pizza Sales Calculations'!$G1158=TRUE, Parameters!$B$17*'Pizza Sales Calculations'!$L1158*2, 0)</f>
        <v>0</v>
      </c>
      <c r="T1158" s="6"/>
      <c r="U1158" s="9"/>
    </row>
    <row r="1159" spans="1:21" x14ac:dyDescent="0.2">
      <c r="A1159">
        <v>1158</v>
      </c>
      <c r="B1159" s="1">
        <v>42381.472291666665</v>
      </c>
      <c r="C1159" s="1">
        <v>42381.48269675926</v>
      </c>
      <c r="D1159" t="s">
        <v>2</v>
      </c>
      <c r="G1159" t="b">
        <v>0</v>
      </c>
      <c r="H1159">
        <v>70803</v>
      </c>
      <c r="I1159" s="6">
        <v>0</v>
      </c>
      <c r="J1159" s="1">
        <v>42381.484733796293</v>
      </c>
      <c r="K1159">
        <v>11.59</v>
      </c>
      <c r="L1159" s="6">
        <f>('Pizza Sales Calculations'!$J1159-'Pizza Sales Calculations'!$C1159)*24*60</f>
        <v>2.9333333275280893</v>
      </c>
      <c r="M1159">
        <f>COUNTA('Pizza Sales Calculations'!$D1159:$F1159)</f>
        <v>1</v>
      </c>
      <c r="R1159" s="9">
        <f>IF('Pizza Sales Calculations'!$G1159=TRUE, Parameters!$B$17*'Pizza Sales Calculations'!$L1159*2, 0)</f>
        <v>0</v>
      </c>
      <c r="T1159" s="6"/>
      <c r="U1159" s="9"/>
    </row>
    <row r="1160" spans="1:21" x14ac:dyDescent="0.2">
      <c r="A1160">
        <v>1159</v>
      </c>
      <c r="B1160" s="1">
        <v>42381.559571759259</v>
      </c>
      <c r="C1160" s="1">
        <v>42381.569976851853</v>
      </c>
      <c r="D1160" t="s">
        <v>2</v>
      </c>
      <c r="G1160" t="b">
        <v>1</v>
      </c>
      <c r="H1160">
        <v>70804</v>
      </c>
      <c r="I1160" s="6">
        <v>2.0142192796397</v>
      </c>
      <c r="J1160" s="1">
        <v>42381.576967592591</v>
      </c>
      <c r="K1160">
        <v>11.59</v>
      </c>
      <c r="L1160" s="6">
        <f>('Pizza Sales Calculations'!$J1160-'Pizza Sales Calculations'!$C1160)*24*60</f>
        <v>10.066666662460193</v>
      </c>
      <c r="M1160">
        <f>COUNTA('Pizza Sales Calculations'!$D1160:$F1160)</f>
        <v>1</v>
      </c>
      <c r="R1160" s="9">
        <f>IF('Pizza Sales Calculations'!$G1160=TRUE, Parameters!$B$17*'Pizza Sales Calculations'!$L1160*2, 0)</f>
        <v>2.852222221030388</v>
      </c>
      <c r="T1160" s="6"/>
      <c r="U1160" s="9"/>
    </row>
    <row r="1161" spans="1:21" x14ac:dyDescent="0.2">
      <c r="A1161">
        <v>1160</v>
      </c>
      <c r="B1161" s="1">
        <v>42382.476875</v>
      </c>
      <c r="C1161" s="1">
        <v>42382.487303240741</v>
      </c>
      <c r="D1161" t="s">
        <v>1</v>
      </c>
      <c r="G1161" t="b">
        <v>0</v>
      </c>
      <c r="H1161">
        <v>70803</v>
      </c>
      <c r="I1161" s="6">
        <v>0</v>
      </c>
      <c r="J1161" s="1">
        <v>42382.48940972222</v>
      </c>
      <c r="K1161">
        <v>7.99</v>
      </c>
      <c r="L1161" s="6">
        <f>('Pizza Sales Calculations'!$J1161-'Pizza Sales Calculations'!$C1161)*24*60</f>
        <v>3.033333329949528</v>
      </c>
      <c r="M1161">
        <f>COUNTA('Pizza Sales Calculations'!$D1161:$F1161)</f>
        <v>1</v>
      </c>
      <c r="R1161" s="9">
        <f>IF('Pizza Sales Calculations'!$G1161=TRUE, Parameters!$B$17*'Pizza Sales Calculations'!$L1161*2, 0)</f>
        <v>0</v>
      </c>
      <c r="T1161" s="6"/>
      <c r="U1161" s="9"/>
    </row>
    <row r="1162" spans="1:21" x14ac:dyDescent="0.2">
      <c r="A1162">
        <v>1161</v>
      </c>
      <c r="B1162" s="1">
        <v>42382.447650462964</v>
      </c>
      <c r="C1162" s="1">
        <v>42382.458055555559</v>
      </c>
      <c r="D1162" t="s">
        <v>1</v>
      </c>
      <c r="E1162" t="s">
        <v>2</v>
      </c>
      <c r="G1162" t="b">
        <v>1</v>
      </c>
      <c r="H1162">
        <v>70804</v>
      </c>
      <c r="I1162" s="6">
        <v>1.9675562975721901</v>
      </c>
      <c r="J1162" s="1">
        <v>42382.464884259258</v>
      </c>
      <c r="K1162">
        <v>19.579999999999998</v>
      </c>
      <c r="L1162" s="6">
        <f>('Pizza Sales Calculations'!$J1162-'Pizza Sales Calculations'!$C1162)*24*60</f>
        <v>9.8333333269692957</v>
      </c>
      <c r="M1162">
        <f>COUNTA('Pizza Sales Calculations'!$D1162:$F1162)</f>
        <v>2</v>
      </c>
      <c r="R1162" s="9">
        <f>IF('Pizza Sales Calculations'!$G1162=TRUE, Parameters!$B$17*'Pizza Sales Calculations'!$L1162*2, 0)</f>
        <v>2.7861111093079671</v>
      </c>
      <c r="T1162" s="6"/>
      <c r="U1162" s="9"/>
    </row>
    <row r="1163" spans="1:21" x14ac:dyDescent="0.2">
      <c r="A1163">
        <v>1162</v>
      </c>
      <c r="B1163" s="1">
        <v>42382.510138888887</v>
      </c>
      <c r="C1163" s="1">
        <v>42382.520555555559</v>
      </c>
      <c r="D1163" t="s">
        <v>2</v>
      </c>
      <c r="G1163" t="b">
        <v>0</v>
      </c>
      <c r="H1163">
        <v>70805</v>
      </c>
      <c r="I1163" s="6">
        <v>0</v>
      </c>
      <c r="J1163" s="1">
        <v>42382.522627314815</v>
      </c>
      <c r="K1163">
        <v>11.59</v>
      </c>
      <c r="L1163" s="6">
        <f>('Pizza Sales Calculations'!$J1163-'Pizza Sales Calculations'!$C1163)*24*60</f>
        <v>2.9833333287388086</v>
      </c>
      <c r="M1163">
        <f>COUNTA('Pizza Sales Calculations'!$D1163:$F1163)</f>
        <v>1</v>
      </c>
      <c r="R1163" s="9">
        <f>IF('Pizza Sales Calculations'!$G1163=TRUE, Parameters!$B$17*'Pizza Sales Calculations'!$L1163*2, 0)</f>
        <v>0</v>
      </c>
      <c r="T1163" s="6"/>
      <c r="U1163" s="9"/>
    </row>
    <row r="1164" spans="1:21" x14ac:dyDescent="0.2">
      <c r="A1164">
        <v>1163</v>
      </c>
      <c r="B1164" s="1">
        <v>42382.514317129629</v>
      </c>
      <c r="C1164" s="1">
        <v>42382.524722222224</v>
      </c>
      <c r="D1164" t="s">
        <v>1</v>
      </c>
      <c r="E1164" t="s">
        <v>2</v>
      </c>
      <c r="G1164" t="b">
        <v>1</v>
      </c>
      <c r="H1164">
        <v>70804</v>
      </c>
      <c r="I1164" s="6">
        <v>2.6534439736269002</v>
      </c>
      <c r="J1164" s="1">
        <v>42382.533935185187</v>
      </c>
      <c r="K1164">
        <v>19.579999999999998</v>
      </c>
      <c r="L1164" s="6">
        <f>('Pizza Sales Calculations'!$J1164-'Pizza Sales Calculations'!$C1164)*24*60</f>
        <v>13.266666666604578</v>
      </c>
      <c r="M1164">
        <f>COUNTA('Pizza Sales Calculations'!$D1164:$F1164)</f>
        <v>2</v>
      </c>
      <c r="R1164" s="9">
        <f>IF('Pizza Sales Calculations'!$G1164=TRUE, Parameters!$B$17*'Pizza Sales Calculations'!$L1164*2, 0)</f>
        <v>3.7588888888712972</v>
      </c>
      <c r="T1164" s="6"/>
      <c r="U1164" s="9"/>
    </row>
    <row r="1165" spans="1:21" x14ac:dyDescent="0.2">
      <c r="A1165">
        <v>1164</v>
      </c>
      <c r="B1165" s="1">
        <v>42382.426655092589</v>
      </c>
      <c r="C1165" s="1">
        <v>42382.437048611115</v>
      </c>
      <c r="D1165" t="s">
        <v>1</v>
      </c>
      <c r="E1165" t="s">
        <v>2</v>
      </c>
      <c r="G1165" t="b">
        <v>1</v>
      </c>
      <c r="H1165">
        <v>70803</v>
      </c>
      <c r="I1165" s="6">
        <v>2.9921372792493699</v>
      </c>
      <c r="J1165" s="1">
        <v>42382.447430555556</v>
      </c>
      <c r="K1165">
        <v>19.579999999999998</v>
      </c>
      <c r="L1165" s="6">
        <f>('Pizza Sales Calculations'!$J1165-'Pizza Sales Calculations'!$C1165)*24*60</f>
        <v>14.949999995296821</v>
      </c>
      <c r="M1165">
        <f>COUNTA('Pizza Sales Calculations'!$D1165:$F1165)</f>
        <v>2</v>
      </c>
      <c r="R1165" s="9">
        <f>IF('Pizza Sales Calculations'!$G1165=TRUE, Parameters!$B$17*'Pizza Sales Calculations'!$L1165*2, 0)</f>
        <v>4.2358333320007659</v>
      </c>
      <c r="T1165" s="6"/>
      <c r="U1165" s="9"/>
    </row>
    <row r="1166" spans="1:21" x14ac:dyDescent="0.2">
      <c r="A1166">
        <v>1165</v>
      </c>
      <c r="B1166" s="1">
        <v>42382.564363425925</v>
      </c>
      <c r="C1166" s="1">
        <v>42382.57476851852</v>
      </c>
      <c r="D1166" t="s">
        <v>1</v>
      </c>
      <c r="G1166" t="b">
        <v>1</v>
      </c>
      <c r="H1166">
        <v>70808</v>
      </c>
      <c r="I1166" s="6">
        <v>3.5297198052762999</v>
      </c>
      <c r="J1166" s="1">
        <v>42382.587013888886</v>
      </c>
      <c r="K1166">
        <v>7.99</v>
      </c>
      <c r="L1166" s="6">
        <f>('Pizza Sales Calculations'!$J1166-'Pizza Sales Calculations'!$C1166)*24*60</f>
        <v>17.633333327248693</v>
      </c>
      <c r="M1166">
        <f>COUNTA('Pizza Sales Calculations'!$D1166:$F1166)</f>
        <v>1</v>
      </c>
      <c r="R1166" s="9">
        <f>IF('Pizza Sales Calculations'!$G1166=TRUE, Parameters!$B$17*'Pizza Sales Calculations'!$L1166*2, 0)</f>
        <v>4.9961111093871295</v>
      </c>
      <c r="T1166" s="6"/>
      <c r="U1166" s="9"/>
    </row>
    <row r="1167" spans="1:21" x14ac:dyDescent="0.2">
      <c r="A1167">
        <v>1166</v>
      </c>
      <c r="B1167" s="1">
        <v>42382.497499999998</v>
      </c>
      <c r="C1167" s="1">
        <v>42382.507905092592</v>
      </c>
      <c r="D1167" t="s">
        <v>2</v>
      </c>
      <c r="G1167" t="b">
        <v>0</v>
      </c>
      <c r="H1167">
        <v>70805</v>
      </c>
      <c r="I1167" s="6">
        <v>0</v>
      </c>
      <c r="J1167" s="1">
        <v>42382.509965277779</v>
      </c>
      <c r="K1167">
        <v>11.59</v>
      </c>
      <c r="L1167" s="6">
        <f>('Pizza Sales Calculations'!$J1167-'Pizza Sales Calculations'!$C1167)*24*60</f>
        <v>2.9666666686534882</v>
      </c>
      <c r="M1167">
        <f>COUNTA('Pizza Sales Calculations'!$D1167:$F1167)</f>
        <v>1</v>
      </c>
      <c r="R1167" s="9">
        <f>IF('Pizza Sales Calculations'!$G1167=TRUE, Parameters!$B$17*'Pizza Sales Calculations'!$L1167*2, 0)</f>
        <v>0</v>
      </c>
      <c r="T1167" s="6"/>
      <c r="U1167" s="9"/>
    </row>
    <row r="1168" spans="1:21" x14ac:dyDescent="0.2">
      <c r="A1168">
        <v>1167</v>
      </c>
      <c r="B1168" s="1">
        <v>42382.489884259259</v>
      </c>
      <c r="C1168" s="1">
        <v>42382.500277777777</v>
      </c>
      <c r="D1168" t="s">
        <v>1</v>
      </c>
      <c r="E1168" t="s">
        <v>2</v>
      </c>
      <c r="G1168" t="b">
        <v>1</v>
      </c>
      <c r="H1168">
        <v>70805</v>
      </c>
      <c r="I1168" s="6">
        <v>3.4544310162489098</v>
      </c>
      <c r="J1168" s="1">
        <v>42382.51226851852</v>
      </c>
      <c r="K1168">
        <v>19.579999999999998</v>
      </c>
      <c r="L1168" s="6">
        <f>('Pizza Sales Calculations'!$J1168-'Pizza Sales Calculations'!$C1168)*24*60</f>
        <v>17.266666669165716</v>
      </c>
      <c r="M1168">
        <f>COUNTA('Pizza Sales Calculations'!$D1168:$F1168)</f>
        <v>2</v>
      </c>
      <c r="R1168" s="9">
        <f>IF('Pizza Sales Calculations'!$G1168=TRUE, Parameters!$B$17*'Pizza Sales Calculations'!$L1168*2, 0)</f>
        <v>4.8922222229302861</v>
      </c>
      <c r="T1168" s="6"/>
      <c r="U1168" s="9"/>
    </row>
    <row r="1169" spans="1:21" x14ac:dyDescent="0.2">
      <c r="A1169">
        <v>1168</v>
      </c>
      <c r="B1169" s="1">
        <v>42382.515324074076</v>
      </c>
      <c r="C1169" s="1">
        <v>42382.525752314818</v>
      </c>
      <c r="D1169" t="s">
        <v>35</v>
      </c>
      <c r="G1169" t="b">
        <v>1</v>
      </c>
      <c r="H1169">
        <v>70808</v>
      </c>
      <c r="I1169" s="6">
        <v>2.54360658327179</v>
      </c>
      <c r="J1169" s="1">
        <v>42382.534583333334</v>
      </c>
      <c r="K1169">
        <v>15.35</v>
      </c>
      <c r="L1169" s="6">
        <f>('Pizza Sales Calculations'!$J1169-'Pizza Sales Calculations'!$C1169)*24*60</f>
        <v>12.716666663764045</v>
      </c>
      <c r="M1169">
        <f>COUNTA('Pizza Sales Calculations'!$D1169:$F1169)</f>
        <v>1</v>
      </c>
      <c r="R1169" s="9">
        <f>IF('Pizza Sales Calculations'!$G1169=TRUE, Parameters!$B$17*'Pizza Sales Calculations'!$L1169*2, 0)</f>
        <v>3.603055554733146</v>
      </c>
      <c r="T1169" s="6"/>
      <c r="U1169" s="9"/>
    </row>
    <row r="1170" spans="1:21" x14ac:dyDescent="0.2">
      <c r="A1170">
        <v>1169</v>
      </c>
      <c r="B1170" s="1">
        <v>42382.570740740739</v>
      </c>
      <c r="C1170" s="1">
        <v>42382.58116898148</v>
      </c>
      <c r="D1170" t="s">
        <v>1</v>
      </c>
      <c r="E1170" t="s">
        <v>2</v>
      </c>
      <c r="G1170" t="b">
        <v>0</v>
      </c>
      <c r="H1170">
        <v>70806</v>
      </c>
      <c r="I1170" s="6">
        <v>0</v>
      </c>
      <c r="J1170" s="1">
        <v>42382.583252314813</v>
      </c>
      <c r="K1170">
        <v>19.579999999999998</v>
      </c>
      <c r="L1170" s="6">
        <f>('Pizza Sales Calculations'!$J1170-'Pizza Sales Calculations'!$C1170)*24*60</f>
        <v>2.9999999993015081</v>
      </c>
      <c r="M1170">
        <f>COUNTA('Pizza Sales Calculations'!$D1170:$F1170)</f>
        <v>2</v>
      </c>
      <c r="R1170" s="9">
        <f>IF('Pizza Sales Calculations'!$G1170=TRUE, Parameters!$B$17*'Pizza Sales Calculations'!$L1170*2, 0)</f>
        <v>0</v>
      </c>
      <c r="T1170" s="6"/>
      <c r="U1170" s="9"/>
    </row>
    <row r="1171" spans="1:21" x14ac:dyDescent="0.2">
      <c r="A1171">
        <v>1170</v>
      </c>
      <c r="B1171" s="1">
        <v>42382.466435185182</v>
      </c>
      <c r="C1171" s="1">
        <v>42382.476840277777</v>
      </c>
      <c r="D1171" t="s">
        <v>2</v>
      </c>
      <c r="G1171" t="b">
        <v>0</v>
      </c>
      <c r="H1171">
        <v>70807</v>
      </c>
      <c r="I1171" s="6">
        <v>0</v>
      </c>
      <c r="J1171" s="1">
        <v>42382.47892361111</v>
      </c>
      <c r="K1171">
        <v>11.59</v>
      </c>
      <c r="L1171" s="6">
        <f>('Pizza Sales Calculations'!$J1171-'Pizza Sales Calculations'!$C1171)*24*60</f>
        <v>2.9999999993015081</v>
      </c>
      <c r="M1171">
        <f>COUNTA('Pizza Sales Calculations'!$D1171:$F1171)</f>
        <v>1</v>
      </c>
      <c r="R1171" s="9">
        <f>IF('Pizza Sales Calculations'!$G1171=TRUE, Parameters!$B$17*'Pizza Sales Calculations'!$L1171*2, 0)</f>
        <v>0</v>
      </c>
      <c r="T1171" s="6"/>
      <c r="U1171" s="9"/>
    </row>
    <row r="1172" spans="1:21" x14ac:dyDescent="0.2">
      <c r="A1172">
        <v>1171</v>
      </c>
      <c r="B1172" s="1">
        <v>42382.50335648148</v>
      </c>
      <c r="C1172" s="1">
        <v>42382.513761574075</v>
      </c>
      <c r="D1172" t="s">
        <v>2</v>
      </c>
      <c r="E1172" t="s">
        <v>35</v>
      </c>
      <c r="G1172" t="b">
        <v>1</v>
      </c>
      <c r="H1172">
        <v>70806</v>
      </c>
      <c r="I1172" s="6">
        <v>2.40931406043928</v>
      </c>
      <c r="J1172" s="1">
        <v>42382.522118055553</v>
      </c>
      <c r="K1172">
        <v>25.94</v>
      </c>
      <c r="L1172" s="6">
        <f>('Pizza Sales Calculations'!$J1172-'Pizza Sales Calculations'!$C1172)*24*60</f>
        <v>12.033333327854052</v>
      </c>
      <c r="M1172">
        <f>COUNTA('Pizza Sales Calculations'!$D1172:$F1172)</f>
        <v>2</v>
      </c>
      <c r="R1172" s="9">
        <f>IF('Pizza Sales Calculations'!$G1172=TRUE, Parameters!$B$17*'Pizza Sales Calculations'!$L1172*2, 0)</f>
        <v>3.4094444428919815</v>
      </c>
      <c r="T1172" s="6"/>
      <c r="U1172" s="9"/>
    </row>
    <row r="1173" spans="1:21" x14ac:dyDescent="0.2">
      <c r="A1173">
        <v>1172</v>
      </c>
      <c r="B1173" s="1">
        <v>42382.528680555559</v>
      </c>
      <c r="C1173" s="1">
        <v>42382.539074074077</v>
      </c>
      <c r="D1173" t="s">
        <v>1</v>
      </c>
      <c r="G1173" t="b">
        <v>1</v>
      </c>
      <c r="H1173">
        <v>70805</v>
      </c>
      <c r="I1173" s="6">
        <v>2.5940128852450801</v>
      </c>
      <c r="J1173" s="1">
        <v>42382.548078703701</v>
      </c>
      <c r="K1173">
        <v>7.99</v>
      </c>
      <c r="L1173" s="6">
        <f>('Pizza Sales Calculations'!$J1173-'Pizza Sales Calculations'!$C1173)*24*60</f>
        <v>12.966666659340262</v>
      </c>
      <c r="M1173">
        <f>COUNTA('Pizza Sales Calculations'!$D1173:$F1173)</f>
        <v>1</v>
      </c>
      <c r="R1173" s="9">
        <f>IF('Pizza Sales Calculations'!$G1173=TRUE, Parameters!$B$17*'Pizza Sales Calculations'!$L1173*2, 0)</f>
        <v>3.6738888868130744</v>
      </c>
      <c r="T1173" s="6"/>
      <c r="U1173" s="9"/>
    </row>
    <row r="1174" spans="1:21" x14ac:dyDescent="0.2">
      <c r="A1174">
        <v>1173</v>
      </c>
      <c r="B1174" s="1">
        <v>42382.543738425928</v>
      </c>
      <c r="C1174" s="1">
        <v>42382.554155092592</v>
      </c>
      <c r="D1174" t="s">
        <v>2</v>
      </c>
      <c r="G1174" t="b">
        <v>0</v>
      </c>
      <c r="H1174">
        <v>70805</v>
      </c>
      <c r="I1174" s="6">
        <v>0</v>
      </c>
      <c r="J1174" s="1">
        <v>42382.556261574071</v>
      </c>
      <c r="K1174">
        <v>11.59</v>
      </c>
      <c r="L1174" s="6">
        <f>('Pizza Sales Calculations'!$J1174-'Pizza Sales Calculations'!$C1174)*24*60</f>
        <v>3.033333329949528</v>
      </c>
      <c r="M1174">
        <f>COUNTA('Pizza Sales Calculations'!$D1174:$F1174)</f>
        <v>1</v>
      </c>
      <c r="R1174" s="9">
        <f>IF('Pizza Sales Calculations'!$G1174=TRUE, Parameters!$B$17*'Pizza Sales Calculations'!$L1174*2, 0)</f>
        <v>0</v>
      </c>
      <c r="T1174" s="6"/>
      <c r="U1174" s="9"/>
    </row>
    <row r="1175" spans="1:21" x14ac:dyDescent="0.2">
      <c r="A1175">
        <v>1174</v>
      </c>
      <c r="B1175" s="1">
        <v>42382.483182870368</v>
      </c>
      <c r="C1175" s="1">
        <v>42382.49359953704</v>
      </c>
      <c r="D1175" t="s">
        <v>1</v>
      </c>
      <c r="E1175" t="s">
        <v>35</v>
      </c>
      <c r="G1175" t="b">
        <v>0</v>
      </c>
      <c r="H1175">
        <v>70803</v>
      </c>
      <c r="I1175" s="6">
        <v>0</v>
      </c>
      <c r="J1175" s="1">
        <v>42382.495671296296</v>
      </c>
      <c r="K1175">
        <v>23.34</v>
      </c>
      <c r="L1175" s="6">
        <f>('Pizza Sales Calculations'!$J1175-'Pizza Sales Calculations'!$C1175)*24*60</f>
        <v>2.9833333287388086</v>
      </c>
      <c r="M1175">
        <f>COUNTA('Pizza Sales Calculations'!$D1175:$F1175)</f>
        <v>2</v>
      </c>
      <c r="R1175" s="9">
        <f>IF('Pizza Sales Calculations'!$G1175=TRUE, Parameters!$B$17*'Pizza Sales Calculations'!$L1175*2, 0)</f>
        <v>0</v>
      </c>
      <c r="T1175" s="6"/>
      <c r="U1175" s="9"/>
    </row>
    <row r="1176" spans="1:21" x14ac:dyDescent="0.2">
      <c r="A1176">
        <v>1175</v>
      </c>
      <c r="B1176" s="1">
        <v>42382.487974537034</v>
      </c>
      <c r="C1176" s="1">
        <v>42382.498368055552</v>
      </c>
      <c r="D1176" t="s">
        <v>35</v>
      </c>
      <c r="G1176" t="b">
        <v>1</v>
      </c>
      <c r="H1176">
        <v>70805</v>
      </c>
      <c r="I1176" s="6">
        <v>4.3503869114279796</v>
      </c>
      <c r="J1176" s="1">
        <v>42382.513472222221</v>
      </c>
      <c r="K1176">
        <v>15.35</v>
      </c>
      <c r="L1176" s="6">
        <f>('Pizza Sales Calculations'!$J1176-'Pizza Sales Calculations'!$C1176)*24*60</f>
        <v>21.750000002793968</v>
      </c>
      <c r="M1176">
        <f>COUNTA('Pizza Sales Calculations'!$D1176:$F1176)</f>
        <v>1</v>
      </c>
      <c r="R1176" s="9">
        <f>IF('Pizza Sales Calculations'!$G1176=TRUE, Parameters!$B$17*'Pizza Sales Calculations'!$L1176*2, 0)</f>
        <v>6.1625000007916242</v>
      </c>
      <c r="T1176" s="6"/>
      <c r="U1176" s="9"/>
    </row>
    <row r="1177" spans="1:21" x14ac:dyDescent="0.2">
      <c r="A1177">
        <v>1176</v>
      </c>
      <c r="B1177" s="1">
        <v>42382.533090277779</v>
      </c>
      <c r="C1177" s="1">
        <v>42382.543495370373</v>
      </c>
      <c r="D1177" t="s">
        <v>1</v>
      </c>
      <c r="G1177" t="b">
        <v>0</v>
      </c>
      <c r="H1177">
        <v>70805</v>
      </c>
      <c r="I1177" s="6">
        <v>0</v>
      </c>
      <c r="J1177" s="1">
        <v>42382.545567129629</v>
      </c>
      <c r="K1177">
        <v>7.99</v>
      </c>
      <c r="L1177" s="6">
        <f>('Pizza Sales Calculations'!$J1177-'Pizza Sales Calculations'!$C1177)*24*60</f>
        <v>2.9833333287388086</v>
      </c>
      <c r="M1177">
        <f>COUNTA('Pizza Sales Calculations'!$D1177:$F1177)</f>
        <v>1</v>
      </c>
      <c r="R1177" s="9">
        <f>IF('Pizza Sales Calculations'!$G1177=TRUE, Parameters!$B$17*'Pizza Sales Calculations'!$L1177*2, 0)</f>
        <v>0</v>
      </c>
      <c r="T1177" s="6"/>
      <c r="U1177" s="9"/>
    </row>
    <row r="1178" spans="1:21" x14ac:dyDescent="0.2">
      <c r="A1178">
        <v>1177</v>
      </c>
      <c r="B1178" s="1">
        <v>42382.488449074073</v>
      </c>
      <c r="C1178" s="1">
        <v>42382.498854166668</v>
      </c>
      <c r="D1178" t="s">
        <v>1</v>
      </c>
      <c r="G1178" t="b">
        <v>0</v>
      </c>
      <c r="H1178">
        <v>70803</v>
      </c>
      <c r="I1178" s="6">
        <v>0</v>
      </c>
      <c r="J1178" s="1">
        <v>42382.500949074078</v>
      </c>
      <c r="K1178">
        <v>7.99</v>
      </c>
      <c r="L1178" s="6">
        <f>('Pizza Sales Calculations'!$J1178-'Pizza Sales Calculations'!$C1178)*24*60</f>
        <v>3.0166666698642075</v>
      </c>
      <c r="M1178">
        <f>COUNTA('Pizza Sales Calculations'!$D1178:$F1178)</f>
        <v>1</v>
      </c>
      <c r="R1178" s="9">
        <f>IF('Pizza Sales Calculations'!$G1178=TRUE, Parameters!$B$17*'Pizza Sales Calculations'!$L1178*2, 0)</f>
        <v>0</v>
      </c>
      <c r="T1178" s="6"/>
      <c r="U1178" s="9"/>
    </row>
    <row r="1179" spans="1:21" x14ac:dyDescent="0.2">
      <c r="A1179">
        <v>1178</v>
      </c>
      <c r="B1179" s="1">
        <v>42382.442789351851</v>
      </c>
      <c r="C1179" s="1">
        <v>42382.453182870369</v>
      </c>
      <c r="D1179" t="s">
        <v>1</v>
      </c>
      <c r="G1179" t="b">
        <v>0</v>
      </c>
      <c r="H1179">
        <v>70806</v>
      </c>
      <c r="I1179" s="6">
        <v>0</v>
      </c>
      <c r="J1179" s="1">
        <v>42382.455243055556</v>
      </c>
      <c r="K1179">
        <v>7.99</v>
      </c>
      <c r="L1179" s="6">
        <f>('Pizza Sales Calculations'!$J1179-'Pizza Sales Calculations'!$C1179)*24*60</f>
        <v>2.9666666686534882</v>
      </c>
      <c r="M1179">
        <f>COUNTA('Pizza Sales Calculations'!$D1179:$F1179)</f>
        <v>1</v>
      </c>
      <c r="R1179" s="9">
        <f>IF('Pizza Sales Calculations'!$G1179=TRUE, Parameters!$B$17*'Pizza Sales Calculations'!$L1179*2, 0)</f>
        <v>0</v>
      </c>
      <c r="T1179" s="6"/>
      <c r="U1179" s="9"/>
    </row>
    <row r="1180" spans="1:21" x14ac:dyDescent="0.2">
      <c r="A1180">
        <v>1179</v>
      </c>
      <c r="B1180" s="1">
        <v>42382.486666666664</v>
      </c>
      <c r="C1180" s="1">
        <v>42382.497083333335</v>
      </c>
      <c r="D1180" t="s">
        <v>35</v>
      </c>
      <c r="G1180" t="b">
        <v>1</v>
      </c>
      <c r="H1180">
        <v>70803</v>
      </c>
      <c r="I1180" s="6">
        <v>3.7309273318098599</v>
      </c>
      <c r="J1180" s="1">
        <v>42382.510034722225</v>
      </c>
      <c r="K1180">
        <v>15.35</v>
      </c>
      <c r="L1180" s="6">
        <f>('Pizza Sales Calculations'!$J1180-'Pizza Sales Calculations'!$C1180)*24*60</f>
        <v>18.650000001071021</v>
      </c>
      <c r="M1180">
        <f>COUNTA('Pizza Sales Calculations'!$D1180:$F1180)</f>
        <v>1</v>
      </c>
      <c r="R1180" s="9">
        <f>IF('Pizza Sales Calculations'!$G1180=TRUE, Parameters!$B$17*'Pizza Sales Calculations'!$L1180*2, 0)</f>
        <v>5.2841666669701226</v>
      </c>
      <c r="T1180" s="6"/>
      <c r="U1180" s="9"/>
    </row>
    <row r="1181" spans="1:21" x14ac:dyDescent="0.2">
      <c r="A1181">
        <v>1180</v>
      </c>
      <c r="B1181" s="1">
        <v>42382.559548611112</v>
      </c>
      <c r="C1181" s="1">
        <v>42382.569953703707</v>
      </c>
      <c r="D1181" t="s">
        <v>2</v>
      </c>
      <c r="G1181" t="b">
        <v>0</v>
      </c>
      <c r="H1181">
        <v>70805</v>
      </c>
      <c r="I1181" s="6">
        <v>0</v>
      </c>
      <c r="J1181" s="1">
        <v>42382.57203703704</v>
      </c>
      <c r="K1181">
        <v>11.59</v>
      </c>
      <c r="L1181" s="6">
        <f>('Pizza Sales Calculations'!$J1181-'Pizza Sales Calculations'!$C1181)*24*60</f>
        <v>2.9999999993015081</v>
      </c>
      <c r="M1181">
        <f>COUNTA('Pizza Sales Calculations'!$D1181:$F1181)</f>
        <v>1</v>
      </c>
      <c r="R1181" s="9">
        <f>IF('Pizza Sales Calculations'!$G1181=TRUE, Parameters!$B$17*'Pizza Sales Calculations'!$L1181*2, 0)</f>
        <v>0</v>
      </c>
      <c r="T1181" s="6"/>
      <c r="U1181" s="9"/>
    </row>
    <row r="1182" spans="1:21" x14ac:dyDescent="0.2">
      <c r="A1182">
        <v>1181</v>
      </c>
      <c r="B1182" s="1">
        <v>42382.515555555554</v>
      </c>
      <c r="C1182" s="1">
        <v>42382.525972222225</v>
      </c>
      <c r="D1182" t="s">
        <v>1</v>
      </c>
      <c r="E1182" t="s">
        <v>2</v>
      </c>
      <c r="G1182" t="b">
        <v>1</v>
      </c>
      <c r="H1182">
        <v>70804</v>
      </c>
      <c r="I1182" s="6">
        <v>2.6650403580201201</v>
      </c>
      <c r="J1182" s="1">
        <v>42382.535219907404</v>
      </c>
      <c r="K1182">
        <v>19.579999999999998</v>
      </c>
      <c r="L1182" s="6">
        <f>('Pizza Sales Calculations'!$J1182-'Pizza Sales Calculations'!$C1182)*24*60</f>
        <v>13.316666657337919</v>
      </c>
      <c r="M1182">
        <f>COUNTA('Pizza Sales Calculations'!$D1182:$F1182)</f>
        <v>2</v>
      </c>
      <c r="R1182" s="9">
        <f>IF('Pizza Sales Calculations'!$G1182=TRUE, Parameters!$B$17*'Pizza Sales Calculations'!$L1182*2, 0)</f>
        <v>3.7730555529124103</v>
      </c>
      <c r="T1182" s="6"/>
      <c r="U1182" s="9"/>
    </row>
    <row r="1183" spans="1:21" x14ac:dyDescent="0.2">
      <c r="A1183">
        <v>1182</v>
      </c>
      <c r="B1183" s="1">
        <v>42382.526967592596</v>
      </c>
      <c r="C1183" s="1">
        <v>42382.53738425926</v>
      </c>
      <c r="D1183" t="s">
        <v>2</v>
      </c>
      <c r="G1183" t="b">
        <v>0</v>
      </c>
      <c r="H1183">
        <v>70804</v>
      </c>
      <c r="I1183" s="6">
        <v>0</v>
      </c>
      <c r="J1183" s="1">
        <v>42382.539456018516</v>
      </c>
      <c r="K1183">
        <v>11.59</v>
      </c>
      <c r="L1183" s="6">
        <f>('Pizza Sales Calculations'!$J1183-'Pizza Sales Calculations'!$C1183)*24*60</f>
        <v>2.9833333287388086</v>
      </c>
      <c r="M1183">
        <f>COUNTA('Pizza Sales Calculations'!$D1183:$F1183)</f>
        <v>1</v>
      </c>
      <c r="R1183" s="9">
        <f>IF('Pizza Sales Calculations'!$G1183=TRUE, Parameters!$B$17*'Pizza Sales Calculations'!$L1183*2, 0)</f>
        <v>0</v>
      </c>
      <c r="T1183" s="6"/>
      <c r="U1183" s="9"/>
    </row>
    <row r="1184" spans="1:21" x14ac:dyDescent="0.2">
      <c r="A1184">
        <v>1183</v>
      </c>
      <c r="B1184" s="1">
        <v>42382.493194444447</v>
      </c>
      <c r="C1184" s="1">
        <v>42382.503622685188</v>
      </c>
      <c r="D1184" t="s">
        <v>1</v>
      </c>
      <c r="G1184" t="b">
        <v>1</v>
      </c>
      <c r="H1184">
        <v>70805</v>
      </c>
      <c r="I1184" s="6">
        <v>4.04015551092506</v>
      </c>
      <c r="J1184" s="1">
        <v>42382.517650462964</v>
      </c>
      <c r="K1184">
        <v>7.99</v>
      </c>
      <c r="L1184" s="6">
        <f>('Pizza Sales Calculations'!$J1184-'Pizza Sales Calculations'!$C1184)*24*60</f>
        <v>20.199999996693805</v>
      </c>
      <c r="M1184">
        <f>COUNTA('Pizza Sales Calculations'!$D1184:$F1184)</f>
        <v>1</v>
      </c>
      <c r="R1184" s="9">
        <f>IF('Pizza Sales Calculations'!$G1184=TRUE, Parameters!$B$17*'Pizza Sales Calculations'!$L1184*2, 0)</f>
        <v>5.723333332396578</v>
      </c>
      <c r="T1184" s="6"/>
      <c r="U1184" s="9"/>
    </row>
    <row r="1185" spans="1:21" x14ac:dyDescent="0.2">
      <c r="A1185">
        <v>1184</v>
      </c>
      <c r="B1185" s="1">
        <v>42382.518703703703</v>
      </c>
      <c r="C1185" s="1">
        <v>42382.529131944444</v>
      </c>
      <c r="D1185" t="s">
        <v>2</v>
      </c>
      <c r="G1185" t="b">
        <v>0</v>
      </c>
      <c r="H1185">
        <v>70805</v>
      </c>
      <c r="I1185" s="6">
        <v>0</v>
      </c>
      <c r="J1185" s="1">
        <v>42382.531215277777</v>
      </c>
      <c r="K1185">
        <v>11.59</v>
      </c>
      <c r="L1185" s="6">
        <f>('Pizza Sales Calculations'!$J1185-'Pizza Sales Calculations'!$C1185)*24*60</f>
        <v>2.9999999993015081</v>
      </c>
      <c r="M1185">
        <f>COUNTA('Pizza Sales Calculations'!$D1185:$F1185)</f>
        <v>1</v>
      </c>
      <c r="R1185" s="9">
        <f>IF('Pizza Sales Calculations'!$G1185=TRUE, Parameters!$B$17*'Pizza Sales Calculations'!$L1185*2, 0)</f>
        <v>0</v>
      </c>
      <c r="T1185" s="6"/>
      <c r="U1185" s="9"/>
    </row>
    <row r="1186" spans="1:21" x14ac:dyDescent="0.2">
      <c r="A1186">
        <v>1185</v>
      </c>
      <c r="B1186" s="1">
        <v>42382.517083333332</v>
      </c>
      <c r="C1186" s="1">
        <v>42382.527511574073</v>
      </c>
      <c r="D1186" t="s">
        <v>1</v>
      </c>
      <c r="E1186" t="s">
        <v>35</v>
      </c>
      <c r="G1186" t="b">
        <v>1</v>
      </c>
      <c r="H1186">
        <v>70804</v>
      </c>
      <c r="I1186" s="6">
        <v>2.8084128216128899</v>
      </c>
      <c r="J1186" s="1">
        <v>42382.537256944444</v>
      </c>
      <c r="K1186">
        <v>23.34</v>
      </c>
      <c r="L1186" s="6">
        <f>('Pizza Sales Calculations'!$J1186-'Pizza Sales Calculations'!$C1186)*24*60</f>
        <v>14.03333333437331</v>
      </c>
      <c r="M1186">
        <f>COUNTA('Pizza Sales Calculations'!$D1186:$F1186)</f>
        <v>2</v>
      </c>
      <c r="R1186" s="9">
        <f>IF('Pizza Sales Calculations'!$G1186=TRUE, Parameters!$B$17*'Pizza Sales Calculations'!$L1186*2, 0)</f>
        <v>3.9761111114057712</v>
      </c>
      <c r="T1186" s="6"/>
      <c r="U1186" s="9"/>
    </row>
    <row r="1187" spans="1:21" x14ac:dyDescent="0.2">
      <c r="A1187">
        <v>1186</v>
      </c>
      <c r="B1187" s="1">
        <v>42382.469733796293</v>
      </c>
      <c r="C1187" s="1">
        <v>42382.480138888888</v>
      </c>
      <c r="D1187" t="s">
        <v>1</v>
      </c>
      <c r="E1187" t="s">
        <v>2</v>
      </c>
      <c r="G1187" t="b">
        <v>1</v>
      </c>
      <c r="H1187">
        <v>70804</v>
      </c>
      <c r="I1187" s="6">
        <v>1.86948525715975</v>
      </c>
      <c r="J1187" s="1">
        <v>42382.486620370371</v>
      </c>
      <c r="K1187">
        <v>19.579999999999998</v>
      </c>
      <c r="L1187" s="6">
        <f>('Pizza Sales Calculations'!$J1187-'Pizza Sales Calculations'!$C1187)*24*60</f>
        <v>9.3333333358168602</v>
      </c>
      <c r="M1187">
        <f>COUNTA('Pizza Sales Calculations'!$D1187:$F1187)</f>
        <v>2</v>
      </c>
      <c r="R1187" s="9">
        <f>IF('Pizza Sales Calculations'!$G1187=TRUE, Parameters!$B$17*'Pizza Sales Calculations'!$L1187*2, 0)</f>
        <v>2.6444444451481104</v>
      </c>
      <c r="T1187" s="6"/>
      <c r="U1187" s="9"/>
    </row>
    <row r="1188" spans="1:21" x14ac:dyDescent="0.2">
      <c r="A1188">
        <v>1187</v>
      </c>
      <c r="B1188" s="1">
        <v>42382.513124999998</v>
      </c>
      <c r="C1188" s="1">
        <v>42382.523541666669</v>
      </c>
      <c r="D1188" t="s">
        <v>1</v>
      </c>
      <c r="E1188" t="s">
        <v>35</v>
      </c>
      <c r="G1188" t="b">
        <v>0</v>
      </c>
      <c r="H1188">
        <v>70803</v>
      </c>
      <c r="I1188" s="6">
        <v>0</v>
      </c>
      <c r="J1188" s="1">
        <v>42382.525625000002</v>
      </c>
      <c r="K1188">
        <v>23.34</v>
      </c>
      <c r="L1188" s="6">
        <f>('Pizza Sales Calculations'!$J1188-'Pizza Sales Calculations'!$C1188)*24*60</f>
        <v>2.9999999993015081</v>
      </c>
      <c r="M1188">
        <f>COUNTA('Pizza Sales Calculations'!$D1188:$F1188)</f>
        <v>2</v>
      </c>
      <c r="R1188" s="9">
        <f>IF('Pizza Sales Calculations'!$G1188=TRUE, Parameters!$B$17*'Pizza Sales Calculations'!$L1188*2, 0)</f>
        <v>0</v>
      </c>
      <c r="T1188" s="6"/>
      <c r="U1188" s="9"/>
    </row>
    <row r="1189" spans="1:21" x14ac:dyDescent="0.2">
      <c r="A1189">
        <v>1188</v>
      </c>
      <c r="B1189" s="1">
        <v>42382.527129629627</v>
      </c>
      <c r="C1189" s="1">
        <v>42382.537569444445</v>
      </c>
      <c r="D1189" t="s">
        <v>2</v>
      </c>
      <c r="G1189" t="b">
        <v>0</v>
      </c>
      <c r="H1189">
        <v>70805</v>
      </c>
      <c r="I1189" s="6">
        <v>0</v>
      </c>
      <c r="J1189" s="1">
        <v>42382.539652777778</v>
      </c>
      <c r="K1189">
        <v>11.59</v>
      </c>
      <c r="L1189" s="6">
        <f>('Pizza Sales Calculations'!$J1189-'Pizza Sales Calculations'!$C1189)*24*60</f>
        <v>2.9999999993015081</v>
      </c>
      <c r="M1189">
        <f>COUNTA('Pizza Sales Calculations'!$D1189:$F1189)</f>
        <v>1</v>
      </c>
      <c r="R1189" s="9">
        <f>IF('Pizza Sales Calculations'!$G1189=TRUE, Parameters!$B$17*'Pizza Sales Calculations'!$L1189*2, 0)</f>
        <v>0</v>
      </c>
      <c r="T1189" s="6"/>
      <c r="U1189" s="9"/>
    </row>
    <row r="1190" spans="1:21" x14ac:dyDescent="0.2">
      <c r="A1190">
        <v>1189</v>
      </c>
      <c r="B1190" s="1">
        <v>42382.477430555555</v>
      </c>
      <c r="C1190" s="1">
        <v>42382.487847222219</v>
      </c>
      <c r="D1190" t="s">
        <v>35</v>
      </c>
      <c r="G1190" t="b">
        <v>0</v>
      </c>
      <c r="H1190">
        <v>70805</v>
      </c>
      <c r="I1190" s="6">
        <v>0</v>
      </c>
      <c r="J1190" s="1">
        <v>42382.489918981482</v>
      </c>
      <c r="K1190">
        <v>15.35</v>
      </c>
      <c r="L1190" s="6">
        <f>('Pizza Sales Calculations'!$J1190-'Pizza Sales Calculations'!$C1190)*24*60</f>
        <v>2.9833333392161876</v>
      </c>
      <c r="M1190">
        <f>COUNTA('Pizza Sales Calculations'!$D1190:$F1190)</f>
        <v>1</v>
      </c>
      <c r="R1190" s="9">
        <f>IF('Pizza Sales Calculations'!$G1190=TRUE, Parameters!$B$17*'Pizza Sales Calculations'!$L1190*2, 0)</f>
        <v>0</v>
      </c>
      <c r="T1190" s="6"/>
      <c r="U1190" s="9"/>
    </row>
    <row r="1191" spans="1:21" x14ac:dyDescent="0.2">
      <c r="A1191">
        <v>1190</v>
      </c>
      <c r="B1191" s="1">
        <v>42382.610925925925</v>
      </c>
      <c r="C1191" s="1">
        <v>42382.621331018519</v>
      </c>
      <c r="D1191" t="s">
        <v>2</v>
      </c>
      <c r="G1191" t="b">
        <v>1</v>
      </c>
      <c r="H1191">
        <v>70807</v>
      </c>
      <c r="I1191" s="6">
        <v>1.3617271658500301</v>
      </c>
      <c r="J1191" s="1">
        <v>42382.62605324074</v>
      </c>
      <c r="K1191">
        <v>11.59</v>
      </c>
      <c r="L1191" s="6">
        <f>('Pizza Sales Calculations'!$J1191-'Pizza Sales Calculations'!$C1191)*24*60</f>
        <v>6.7999999970197678</v>
      </c>
      <c r="M1191">
        <f>COUNTA('Pizza Sales Calculations'!$D1191:$F1191)</f>
        <v>1</v>
      </c>
      <c r="R1191" s="9">
        <f>IF('Pizza Sales Calculations'!$G1191=TRUE, Parameters!$B$17*'Pizza Sales Calculations'!$L1191*2, 0)</f>
        <v>1.9266666658222675</v>
      </c>
      <c r="T1191" s="6"/>
      <c r="U1191" s="9"/>
    </row>
    <row r="1192" spans="1:21" x14ac:dyDescent="0.2">
      <c r="A1192">
        <v>1191</v>
      </c>
      <c r="B1192" s="1">
        <v>42382.493333333332</v>
      </c>
      <c r="C1192" s="1">
        <v>42382.503750000003</v>
      </c>
      <c r="D1192" t="s">
        <v>2</v>
      </c>
      <c r="G1192" t="b">
        <v>0</v>
      </c>
      <c r="H1192">
        <v>70805</v>
      </c>
      <c r="I1192" s="6">
        <v>0</v>
      </c>
      <c r="J1192" s="1">
        <v>42382.50582175926</v>
      </c>
      <c r="K1192">
        <v>11.59</v>
      </c>
      <c r="L1192" s="6">
        <f>('Pizza Sales Calculations'!$J1192-'Pizza Sales Calculations'!$C1192)*24*60</f>
        <v>2.9833333287388086</v>
      </c>
      <c r="M1192">
        <f>COUNTA('Pizza Sales Calculations'!$D1192:$F1192)</f>
        <v>1</v>
      </c>
      <c r="R1192" s="9">
        <f>IF('Pizza Sales Calculations'!$G1192=TRUE, Parameters!$B$17*'Pizza Sales Calculations'!$L1192*2, 0)</f>
        <v>0</v>
      </c>
      <c r="T1192" s="6"/>
      <c r="U1192" s="9"/>
    </row>
    <row r="1193" spans="1:21" x14ac:dyDescent="0.2">
      <c r="A1193">
        <v>1192</v>
      </c>
      <c r="B1193" s="1">
        <v>42382.473657407405</v>
      </c>
      <c r="C1193" s="1">
        <v>42382.4840625</v>
      </c>
      <c r="D1193" t="s">
        <v>1</v>
      </c>
      <c r="E1193" t="s">
        <v>2</v>
      </c>
      <c r="G1193" t="b">
        <v>0</v>
      </c>
      <c r="H1193">
        <v>70804</v>
      </c>
      <c r="I1193" s="6">
        <v>0</v>
      </c>
      <c r="J1193" s="1">
        <v>42382.486122685186</v>
      </c>
      <c r="K1193">
        <v>19.579999999999998</v>
      </c>
      <c r="L1193" s="6">
        <f>('Pizza Sales Calculations'!$J1193-'Pizza Sales Calculations'!$C1193)*24*60</f>
        <v>2.9666666686534882</v>
      </c>
      <c r="M1193">
        <f>COUNTA('Pizza Sales Calculations'!$D1193:$F1193)</f>
        <v>2</v>
      </c>
      <c r="R1193" s="9">
        <f>IF('Pizza Sales Calculations'!$G1193=TRUE, Parameters!$B$17*'Pizza Sales Calculations'!$L1193*2, 0)</f>
        <v>0</v>
      </c>
      <c r="T1193" s="6"/>
      <c r="U1193" s="9"/>
    </row>
    <row r="1194" spans="1:21" x14ac:dyDescent="0.2">
      <c r="A1194">
        <v>1193</v>
      </c>
      <c r="B1194" s="1">
        <v>42382.476099537038</v>
      </c>
      <c r="C1194" s="1">
        <v>42382.486504629633</v>
      </c>
      <c r="D1194" t="s">
        <v>1</v>
      </c>
      <c r="E1194" t="s">
        <v>2</v>
      </c>
      <c r="G1194" t="b">
        <v>0</v>
      </c>
      <c r="H1194">
        <v>70805</v>
      </c>
      <c r="I1194" s="6">
        <v>0</v>
      </c>
      <c r="J1194" s="1">
        <v>42382.488587962966</v>
      </c>
      <c r="K1194">
        <v>19.579999999999998</v>
      </c>
      <c r="L1194" s="6">
        <f>('Pizza Sales Calculations'!$J1194-'Pizza Sales Calculations'!$C1194)*24*60</f>
        <v>2.9999999993015081</v>
      </c>
      <c r="M1194">
        <f>COUNTA('Pizza Sales Calculations'!$D1194:$F1194)</f>
        <v>2</v>
      </c>
      <c r="R1194" s="9">
        <f>IF('Pizza Sales Calculations'!$G1194=TRUE, Parameters!$B$17*'Pizza Sales Calculations'!$L1194*2, 0)</f>
        <v>0</v>
      </c>
      <c r="T1194" s="6"/>
      <c r="U1194" s="9"/>
    </row>
    <row r="1195" spans="1:21" x14ac:dyDescent="0.2">
      <c r="A1195">
        <v>1194</v>
      </c>
      <c r="B1195" s="1">
        <v>42382.465949074074</v>
      </c>
      <c r="C1195" s="1">
        <v>42382.476377314815</v>
      </c>
      <c r="D1195" t="s">
        <v>2</v>
      </c>
      <c r="G1195" t="b">
        <v>0</v>
      </c>
      <c r="H1195">
        <v>70806</v>
      </c>
      <c r="I1195" s="6">
        <v>0</v>
      </c>
      <c r="J1195" s="1">
        <v>42382.478460648148</v>
      </c>
      <c r="K1195">
        <v>11.59</v>
      </c>
      <c r="L1195" s="6">
        <f>('Pizza Sales Calculations'!$J1195-'Pizza Sales Calculations'!$C1195)*24*60</f>
        <v>2.9999999993015081</v>
      </c>
      <c r="M1195">
        <f>COUNTA('Pizza Sales Calculations'!$D1195:$F1195)</f>
        <v>1</v>
      </c>
      <c r="R1195" s="9">
        <f>IF('Pizza Sales Calculations'!$G1195=TRUE, Parameters!$B$17*'Pizza Sales Calculations'!$L1195*2, 0)</f>
        <v>0</v>
      </c>
      <c r="T1195" s="6"/>
      <c r="U1195" s="9"/>
    </row>
    <row r="1196" spans="1:21" x14ac:dyDescent="0.2">
      <c r="A1196">
        <v>1195</v>
      </c>
      <c r="B1196" s="1">
        <v>42382.580972222226</v>
      </c>
      <c r="C1196" s="1">
        <v>42382.59138888889</v>
      </c>
      <c r="D1196" t="s">
        <v>2</v>
      </c>
      <c r="G1196" t="b">
        <v>1</v>
      </c>
      <c r="H1196">
        <v>70806</v>
      </c>
      <c r="I1196" s="6">
        <v>1.6582241970827001</v>
      </c>
      <c r="J1196" s="1">
        <v>42382.597141203703</v>
      </c>
      <c r="K1196">
        <v>11.59</v>
      </c>
      <c r="L1196" s="6">
        <f>('Pizza Sales Calculations'!$J1196-'Pizza Sales Calculations'!$C1196)*24*60</f>
        <v>8.2833333313465118</v>
      </c>
      <c r="M1196">
        <f>COUNTA('Pizza Sales Calculations'!$D1196:$F1196)</f>
        <v>1</v>
      </c>
      <c r="R1196" s="9">
        <f>IF('Pizza Sales Calculations'!$G1196=TRUE, Parameters!$B$17*'Pizza Sales Calculations'!$L1196*2, 0)</f>
        <v>2.3469444438815117</v>
      </c>
      <c r="T1196" s="6"/>
      <c r="U1196" s="9"/>
    </row>
    <row r="1197" spans="1:21" x14ac:dyDescent="0.2">
      <c r="A1197">
        <v>1196</v>
      </c>
      <c r="B1197" s="1">
        <v>42382.49015046296</v>
      </c>
      <c r="C1197" s="1">
        <v>42382.500543981485</v>
      </c>
      <c r="D1197" t="s">
        <v>1</v>
      </c>
      <c r="E1197" t="s">
        <v>2</v>
      </c>
      <c r="G1197" t="b">
        <v>0</v>
      </c>
      <c r="H1197">
        <v>70807</v>
      </c>
      <c r="I1197" s="6">
        <v>0</v>
      </c>
      <c r="J1197" s="1">
        <v>42382.502615740741</v>
      </c>
      <c r="K1197">
        <v>19.579999999999998</v>
      </c>
      <c r="L1197" s="6">
        <f>('Pizza Sales Calculations'!$J1197-'Pizza Sales Calculations'!$C1197)*24*60</f>
        <v>2.9833333287388086</v>
      </c>
      <c r="M1197">
        <f>COUNTA('Pizza Sales Calculations'!$D1197:$F1197)</f>
        <v>2</v>
      </c>
      <c r="R1197" s="9">
        <f>IF('Pizza Sales Calculations'!$G1197=TRUE, Parameters!$B$17*'Pizza Sales Calculations'!$L1197*2, 0)</f>
        <v>0</v>
      </c>
      <c r="T1197" s="6"/>
      <c r="U1197" s="9"/>
    </row>
    <row r="1198" spans="1:21" x14ac:dyDescent="0.2">
      <c r="A1198">
        <v>1197</v>
      </c>
      <c r="B1198" s="1">
        <v>42382.548125000001</v>
      </c>
      <c r="C1198" s="1">
        <v>42382.558518518519</v>
      </c>
      <c r="D1198" t="s">
        <v>1</v>
      </c>
      <c r="G1198" t="b">
        <v>1</v>
      </c>
      <c r="H1198">
        <v>70803</v>
      </c>
      <c r="I1198" s="6">
        <v>3.8112519777276601</v>
      </c>
      <c r="J1198" s="1">
        <v>42382.571747685186</v>
      </c>
      <c r="K1198">
        <v>7.99</v>
      </c>
      <c r="L1198" s="6">
        <f>('Pizza Sales Calculations'!$J1198-'Pizza Sales Calculations'!$C1198)*24*60</f>
        <v>19.050000000279397</v>
      </c>
      <c r="M1198">
        <f>COUNTA('Pizza Sales Calculations'!$D1198:$F1198)</f>
        <v>1</v>
      </c>
      <c r="R1198" s="9">
        <f>IF('Pizza Sales Calculations'!$G1198=TRUE, Parameters!$B$17*'Pizza Sales Calculations'!$L1198*2, 0)</f>
        <v>5.3975000000791624</v>
      </c>
      <c r="T1198" s="6"/>
      <c r="U1198" s="9"/>
    </row>
    <row r="1199" spans="1:21" x14ac:dyDescent="0.2">
      <c r="A1199">
        <v>1198</v>
      </c>
      <c r="B1199" s="1">
        <v>42382.531157407408</v>
      </c>
      <c r="C1199" s="1">
        <v>42382.541574074072</v>
      </c>
      <c r="D1199" t="s">
        <v>35</v>
      </c>
      <c r="G1199" t="b">
        <v>1</v>
      </c>
      <c r="H1199">
        <v>70805</v>
      </c>
      <c r="I1199" s="6">
        <v>1.9508736267851301</v>
      </c>
      <c r="J1199" s="1">
        <v>42382.548344907409</v>
      </c>
      <c r="K1199">
        <v>15.35</v>
      </c>
      <c r="L1199" s="6">
        <f>('Pizza Sales Calculations'!$J1199-'Pizza Sales Calculations'!$C1199)*24*60</f>
        <v>9.7500000055879354</v>
      </c>
      <c r="M1199">
        <f>COUNTA('Pizza Sales Calculations'!$D1199:$F1199)</f>
        <v>1</v>
      </c>
      <c r="R1199" s="9">
        <f>IF('Pizza Sales Calculations'!$G1199=TRUE, Parameters!$B$17*'Pizza Sales Calculations'!$L1199*2, 0)</f>
        <v>2.7625000015832484</v>
      </c>
      <c r="T1199" s="6"/>
      <c r="U1199" s="9"/>
    </row>
    <row r="1200" spans="1:21" x14ac:dyDescent="0.2">
      <c r="A1200">
        <v>1199</v>
      </c>
      <c r="B1200" s="1">
        <v>42382.552094907405</v>
      </c>
      <c r="C1200" s="1">
        <v>42382.562523148146</v>
      </c>
      <c r="D1200" t="s">
        <v>1</v>
      </c>
      <c r="E1200" t="s">
        <v>2</v>
      </c>
      <c r="G1200" t="b">
        <v>1</v>
      </c>
      <c r="H1200">
        <v>70804</v>
      </c>
      <c r="I1200" s="6">
        <v>3.46256831611311</v>
      </c>
      <c r="J1200" s="1">
        <v>42382.574537037035</v>
      </c>
      <c r="K1200">
        <v>19.579999999999998</v>
      </c>
      <c r="L1200" s="6">
        <f>('Pizza Sales Calculations'!$J1200-'Pizza Sales Calculations'!$C1200)*24*60</f>
        <v>17.299999999813735</v>
      </c>
      <c r="M1200">
        <f>COUNTA('Pizza Sales Calculations'!$D1200:$F1200)</f>
        <v>2</v>
      </c>
      <c r="R1200" s="9">
        <f>IF('Pizza Sales Calculations'!$G1200=TRUE, Parameters!$B$17*'Pizza Sales Calculations'!$L1200*2, 0)</f>
        <v>4.9016666666138917</v>
      </c>
      <c r="T1200" s="6"/>
      <c r="U1200" s="9"/>
    </row>
    <row r="1201" spans="1:21" x14ac:dyDescent="0.2">
      <c r="A1201">
        <v>1200</v>
      </c>
      <c r="B1201" s="1">
        <v>42382.562986111108</v>
      </c>
      <c r="C1201" s="1">
        <v>42382.573391203703</v>
      </c>
      <c r="D1201" t="s">
        <v>35</v>
      </c>
      <c r="G1201" t="b">
        <v>0</v>
      </c>
      <c r="H1201">
        <v>70805</v>
      </c>
      <c r="I1201" s="6">
        <v>0</v>
      </c>
      <c r="J1201" s="1">
        <v>42382.575462962966</v>
      </c>
      <c r="K1201">
        <v>15.35</v>
      </c>
      <c r="L1201" s="6">
        <f>('Pizza Sales Calculations'!$J1201-'Pizza Sales Calculations'!$C1201)*24*60</f>
        <v>2.9833333392161876</v>
      </c>
      <c r="M1201">
        <f>COUNTA('Pizza Sales Calculations'!$D1201:$F1201)</f>
        <v>1</v>
      </c>
      <c r="R1201" s="9">
        <f>IF('Pizza Sales Calculations'!$G1201=TRUE, Parameters!$B$17*'Pizza Sales Calculations'!$L1201*2, 0)</f>
        <v>0</v>
      </c>
      <c r="T1201" s="6"/>
      <c r="U1201" s="9"/>
    </row>
    <row r="1202" spans="1:21" x14ac:dyDescent="0.2">
      <c r="A1202">
        <v>1201</v>
      </c>
      <c r="B1202" s="1">
        <v>42382.560162037036</v>
      </c>
      <c r="C1202" s="1">
        <v>42382.570555555554</v>
      </c>
      <c r="D1202" t="s">
        <v>1</v>
      </c>
      <c r="E1202" t="s">
        <v>35</v>
      </c>
      <c r="G1202" t="b">
        <v>1</v>
      </c>
      <c r="H1202">
        <v>70806</v>
      </c>
      <c r="I1202" s="6">
        <v>3.4174311859044102</v>
      </c>
      <c r="J1202" s="1">
        <v>42382.582418981481</v>
      </c>
      <c r="K1202">
        <v>23.34</v>
      </c>
      <c r="L1202" s="6">
        <f>('Pizza Sales Calculations'!$J1202-'Pizza Sales Calculations'!$C1202)*24*60</f>
        <v>17.083333334885538</v>
      </c>
      <c r="M1202">
        <f>COUNTA('Pizza Sales Calculations'!$D1202:$F1202)</f>
        <v>2</v>
      </c>
      <c r="R1202" s="9">
        <f>IF('Pizza Sales Calculations'!$G1202=TRUE, Parameters!$B$17*'Pizza Sales Calculations'!$L1202*2, 0)</f>
        <v>4.840277778217569</v>
      </c>
      <c r="T1202" s="6"/>
      <c r="U1202" s="9"/>
    </row>
    <row r="1203" spans="1:21" x14ac:dyDescent="0.2">
      <c r="A1203">
        <v>1202</v>
      </c>
      <c r="B1203" s="1">
        <v>42382.465104166666</v>
      </c>
      <c r="C1203" s="1">
        <v>42382.47552083333</v>
      </c>
      <c r="D1203" t="s">
        <v>2</v>
      </c>
      <c r="G1203" t="b">
        <v>1</v>
      </c>
      <c r="H1203">
        <v>70805</v>
      </c>
      <c r="I1203" s="6">
        <v>5.2669655076570496</v>
      </c>
      <c r="J1203" s="1">
        <v>42382.493807870371</v>
      </c>
      <c r="K1203">
        <v>11.59</v>
      </c>
      <c r="L1203" s="6">
        <f>('Pizza Sales Calculations'!$J1203-'Pizza Sales Calculations'!$C1203)*24*60</f>
        <v>26.333333338843659</v>
      </c>
      <c r="M1203">
        <f>COUNTA('Pizza Sales Calculations'!$D1203:$F1203)</f>
        <v>1</v>
      </c>
      <c r="R1203" s="9">
        <f>IF('Pizza Sales Calculations'!$G1203=TRUE, Parameters!$B$17*'Pizza Sales Calculations'!$L1203*2, 0)</f>
        <v>7.4611111126723699</v>
      </c>
      <c r="T1203" s="6"/>
      <c r="U1203" s="9"/>
    </row>
    <row r="1204" spans="1:21" x14ac:dyDescent="0.2">
      <c r="A1204">
        <v>1203</v>
      </c>
      <c r="B1204" s="1">
        <v>42382.464201388888</v>
      </c>
      <c r="C1204" s="1">
        <v>42382.474618055552</v>
      </c>
      <c r="D1204" t="s">
        <v>1</v>
      </c>
      <c r="G1204" t="b">
        <v>1</v>
      </c>
      <c r="H1204">
        <v>70804</v>
      </c>
      <c r="I1204" s="6">
        <v>2.8360615756644698</v>
      </c>
      <c r="J1204" s="1">
        <v>42382.484456018516</v>
      </c>
      <c r="K1204">
        <v>7.99</v>
      </c>
      <c r="L1204" s="6">
        <f>('Pizza Sales Calculations'!$J1204-'Pizza Sales Calculations'!$C1204)*24*60</f>
        <v>14.166666667442769</v>
      </c>
      <c r="M1204">
        <f>COUNTA('Pizza Sales Calculations'!$D1204:$F1204)</f>
        <v>1</v>
      </c>
      <c r="R1204" s="9">
        <f>IF('Pizza Sales Calculations'!$G1204=TRUE, Parameters!$B$17*'Pizza Sales Calculations'!$L1204*2, 0)</f>
        <v>4.0138888891087845</v>
      </c>
      <c r="T1204" s="6"/>
      <c r="U1204" s="9"/>
    </row>
    <row r="1205" spans="1:21" x14ac:dyDescent="0.2">
      <c r="A1205">
        <v>1204</v>
      </c>
      <c r="B1205" s="1">
        <v>42382.528344907405</v>
      </c>
      <c r="C1205" s="1">
        <v>42382.538738425923</v>
      </c>
      <c r="D1205" t="s">
        <v>2</v>
      </c>
      <c r="G1205" t="b">
        <v>0</v>
      </c>
      <c r="H1205">
        <v>70805</v>
      </c>
      <c r="I1205" s="6">
        <v>0</v>
      </c>
      <c r="J1205" s="1">
        <v>42382.540821759256</v>
      </c>
      <c r="K1205">
        <v>11.59</v>
      </c>
      <c r="L1205" s="6">
        <f>('Pizza Sales Calculations'!$J1205-'Pizza Sales Calculations'!$C1205)*24*60</f>
        <v>2.9999999993015081</v>
      </c>
      <c r="M1205">
        <f>COUNTA('Pizza Sales Calculations'!$D1205:$F1205)</f>
        <v>1</v>
      </c>
      <c r="R1205" s="9">
        <f>IF('Pizza Sales Calculations'!$G1205=TRUE, Parameters!$B$17*'Pizza Sales Calculations'!$L1205*2, 0)</f>
        <v>0</v>
      </c>
      <c r="T1205" s="6"/>
      <c r="U1205" s="9"/>
    </row>
    <row r="1206" spans="1:21" x14ac:dyDescent="0.2">
      <c r="A1206">
        <v>1205</v>
      </c>
      <c r="B1206" s="1">
        <v>42382.569039351853</v>
      </c>
      <c r="C1206" s="1">
        <v>42382.579444444447</v>
      </c>
      <c r="D1206" t="s">
        <v>1</v>
      </c>
      <c r="G1206" t="b">
        <v>0</v>
      </c>
      <c r="H1206">
        <v>70803</v>
      </c>
      <c r="I1206" s="6">
        <v>0</v>
      </c>
      <c r="J1206" s="1">
        <v>42382.58152777778</v>
      </c>
      <c r="K1206">
        <v>7.99</v>
      </c>
      <c r="L1206" s="6">
        <f>('Pizza Sales Calculations'!$J1206-'Pizza Sales Calculations'!$C1206)*24*60</f>
        <v>2.9999999993015081</v>
      </c>
      <c r="M1206">
        <f>COUNTA('Pizza Sales Calculations'!$D1206:$F1206)</f>
        <v>1</v>
      </c>
      <c r="R1206" s="9">
        <f>IF('Pizza Sales Calculations'!$G1206=TRUE, Parameters!$B$17*'Pizza Sales Calculations'!$L1206*2, 0)</f>
        <v>0</v>
      </c>
      <c r="T1206" s="6"/>
      <c r="U1206" s="9"/>
    </row>
    <row r="1207" spans="1:21" x14ac:dyDescent="0.2">
      <c r="A1207">
        <v>1206</v>
      </c>
      <c r="B1207" s="1">
        <v>42382.462465277778</v>
      </c>
      <c r="C1207" s="1">
        <v>42382.472881944443</v>
      </c>
      <c r="D1207" t="s">
        <v>2</v>
      </c>
      <c r="E1207" t="s">
        <v>35</v>
      </c>
      <c r="G1207" t="b">
        <v>1</v>
      </c>
      <c r="H1207">
        <v>70808</v>
      </c>
      <c r="I1207" s="6">
        <v>3.1954898542434802</v>
      </c>
      <c r="J1207" s="1">
        <v>42382.483969907407</v>
      </c>
      <c r="K1207">
        <v>25.94</v>
      </c>
      <c r="L1207" s="6">
        <f>('Pizza Sales Calculations'!$J1207-'Pizza Sales Calculations'!$C1207)*24*60</f>
        <v>15.966666669119149</v>
      </c>
      <c r="M1207">
        <f>COUNTA('Pizza Sales Calculations'!$D1207:$F1207)</f>
        <v>2</v>
      </c>
      <c r="R1207" s="9">
        <f>IF('Pizza Sales Calculations'!$G1207=TRUE, Parameters!$B$17*'Pizza Sales Calculations'!$L1207*2, 0)</f>
        <v>4.523888889583759</v>
      </c>
      <c r="T1207" s="6"/>
      <c r="U1207" s="9"/>
    </row>
    <row r="1208" spans="1:21" x14ac:dyDescent="0.2">
      <c r="A1208">
        <v>1207</v>
      </c>
      <c r="B1208" s="1">
        <v>42382.468657407408</v>
      </c>
      <c r="C1208" s="1">
        <v>42382.479074074072</v>
      </c>
      <c r="D1208" t="s">
        <v>35</v>
      </c>
      <c r="G1208" t="b">
        <v>0</v>
      </c>
      <c r="H1208">
        <v>70804</v>
      </c>
      <c r="I1208" s="6">
        <v>0</v>
      </c>
      <c r="J1208" s="1">
        <v>42382.481145833335</v>
      </c>
      <c r="K1208">
        <v>15.35</v>
      </c>
      <c r="L1208" s="6">
        <f>('Pizza Sales Calculations'!$J1208-'Pizza Sales Calculations'!$C1208)*24*60</f>
        <v>2.9833333392161876</v>
      </c>
      <c r="M1208">
        <f>COUNTA('Pizza Sales Calculations'!$D1208:$F1208)</f>
        <v>1</v>
      </c>
      <c r="R1208" s="9">
        <f>IF('Pizza Sales Calculations'!$G1208=TRUE, Parameters!$B$17*'Pizza Sales Calculations'!$L1208*2, 0)</f>
        <v>0</v>
      </c>
      <c r="T1208" s="6"/>
      <c r="U1208" s="9"/>
    </row>
    <row r="1209" spans="1:21" x14ac:dyDescent="0.2">
      <c r="A1209">
        <v>1208</v>
      </c>
      <c r="B1209" s="1">
        <v>42382.535798611112</v>
      </c>
      <c r="C1209" s="1">
        <v>42382.546203703707</v>
      </c>
      <c r="D1209" t="s">
        <v>1</v>
      </c>
      <c r="E1209" t="s">
        <v>2</v>
      </c>
      <c r="G1209" t="b">
        <v>0</v>
      </c>
      <c r="H1209">
        <v>70805</v>
      </c>
      <c r="I1209" s="6">
        <v>0</v>
      </c>
      <c r="J1209" s="1">
        <v>42382.548275462963</v>
      </c>
      <c r="K1209">
        <v>19.579999999999998</v>
      </c>
      <c r="L1209" s="6">
        <f>('Pizza Sales Calculations'!$J1209-'Pizza Sales Calculations'!$C1209)*24*60</f>
        <v>2.9833333287388086</v>
      </c>
      <c r="M1209">
        <f>COUNTA('Pizza Sales Calculations'!$D1209:$F1209)</f>
        <v>2</v>
      </c>
      <c r="R1209" s="9">
        <f>IF('Pizza Sales Calculations'!$G1209=TRUE, Parameters!$B$17*'Pizza Sales Calculations'!$L1209*2, 0)</f>
        <v>0</v>
      </c>
      <c r="T1209" s="6"/>
      <c r="U1209" s="9"/>
    </row>
    <row r="1210" spans="1:21" x14ac:dyDescent="0.2">
      <c r="A1210">
        <v>1209</v>
      </c>
      <c r="B1210" s="1">
        <v>42382.604560185187</v>
      </c>
      <c r="C1210" s="1">
        <v>42382.614999999998</v>
      </c>
      <c r="D1210" t="s">
        <v>2</v>
      </c>
      <c r="G1210" t="b">
        <v>1</v>
      </c>
      <c r="H1210">
        <v>70805</v>
      </c>
      <c r="I1210" s="6">
        <v>1.7471153657733101</v>
      </c>
      <c r="J1210" s="1">
        <v>42382.621064814812</v>
      </c>
      <c r="K1210">
        <v>11.59</v>
      </c>
      <c r="L1210" s="6">
        <f>('Pizza Sales Calculations'!$J1210-'Pizza Sales Calculations'!$C1210)*24*60</f>
        <v>8.733333331765607</v>
      </c>
      <c r="M1210">
        <f>COUNTA('Pizza Sales Calculations'!$D1210:$F1210)</f>
        <v>1</v>
      </c>
      <c r="R1210" s="9">
        <f>IF('Pizza Sales Calculations'!$G1210=TRUE, Parameters!$B$17*'Pizza Sales Calculations'!$L1210*2, 0)</f>
        <v>2.4744444440002553</v>
      </c>
      <c r="T1210" s="6"/>
      <c r="U1210" s="9"/>
    </row>
    <row r="1211" spans="1:21" x14ac:dyDescent="0.2">
      <c r="A1211">
        <v>1210</v>
      </c>
      <c r="B1211" s="1">
        <v>42382.462777777779</v>
      </c>
      <c r="C1211" s="1">
        <v>42382.473194444443</v>
      </c>
      <c r="D1211" t="s">
        <v>1</v>
      </c>
      <c r="E1211" t="s">
        <v>2</v>
      </c>
      <c r="G1211" t="b">
        <v>0</v>
      </c>
      <c r="H1211">
        <v>70806</v>
      </c>
      <c r="I1211" s="6">
        <v>0</v>
      </c>
      <c r="J1211" s="1">
        <v>42382.475277777776</v>
      </c>
      <c r="K1211">
        <v>19.579999999999998</v>
      </c>
      <c r="L1211" s="6">
        <f>('Pizza Sales Calculations'!$J1211-'Pizza Sales Calculations'!$C1211)*24*60</f>
        <v>2.9999999993015081</v>
      </c>
      <c r="M1211">
        <f>COUNTA('Pizza Sales Calculations'!$D1211:$F1211)</f>
        <v>2</v>
      </c>
      <c r="R1211" s="9">
        <f>IF('Pizza Sales Calculations'!$G1211=TRUE, Parameters!$B$17*'Pizza Sales Calculations'!$L1211*2, 0)</f>
        <v>0</v>
      </c>
      <c r="T1211" s="6"/>
      <c r="U1211" s="9"/>
    </row>
    <row r="1212" spans="1:21" x14ac:dyDescent="0.2">
      <c r="A1212">
        <v>1211</v>
      </c>
      <c r="B1212" s="1">
        <v>42382.514293981483</v>
      </c>
      <c r="C1212" s="1">
        <v>42382.524722222224</v>
      </c>
      <c r="D1212" t="s">
        <v>35</v>
      </c>
      <c r="G1212" t="b">
        <v>1</v>
      </c>
      <c r="H1212">
        <v>70805</v>
      </c>
      <c r="I1212" s="6">
        <v>2.4661045731325002</v>
      </c>
      <c r="J1212" s="1">
        <v>42382.533275462964</v>
      </c>
      <c r="K1212">
        <v>15.35</v>
      </c>
      <c r="L1212" s="6">
        <f>('Pizza Sales Calculations'!$J1212-'Pizza Sales Calculations'!$C1212)*24*60</f>
        <v>12.316666664555669</v>
      </c>
      <c r="M1212">
        <f>COUNTA('Pizza Sales Calculations'!$D1212:$F1212)</f>
        <v>1</v>
      </c>
      <c r="R1212" s="9">
        <f>IF('Pizza Sales Calculations'!$G1212=TRUE, Parameters!$B$17*'Pizza Sales Calculations'!$L1212*2, 0)</f>
        <v>3.4897222216241062</v>
      </c>
      <c r="T1212" s="6"/>
      <c r="U1212" s="9"/>
    </row>
    <row r="1213" spans="1:21" x14ac:dyDescent="0.2">
      <c r="A1213">
        <v>1212</v>
      </c>
      <c r="B1213" s="1">
        <v>42382.447372685187</v>
      </c>
      <c r="C1213" s="1">
        <v>42382.457777777781</v>
      </c>
      <c r="D1213" t="s">
        <v>1</v>
      </c>
      <c r="G1213" t="b">
        <v>1</v>
      </c>
      <c r="H1213">
        <v>70804</v>
      </c>
      <c r="I1213" s="6">
        <v>3.57573829100942</v>
      </c>
      <c r="J1213" s="1">
        <v>42382.470185185186</v>
      </c>
      <c r="K1213">
        <v>7.99</v>
      </c>
      <c r="L1213" s="6">
        <f>('Pizza Sales Calculations'!$J1213-'Pizza Sales Calculations'!$C1213)*24*60</f>
        <v>17.86666666273959</v>
      </c>
      <c r="M1213">
        <f>COUNTA('Pizza Sales Calculations'!$D1213:$F1213)</f>
        <v>1</v>
      </c>
      <c r="R1213" s="9">
        <f>IF('Pizza Sales Calculations'!$G1213=TRUE, Parameters!$B$17*'Pizza Sales Calculations'!$L1213*2, 0)</f>
        <v>5.0622222211095504</v>
      </c>
      <c r="T1213" s="6"/>
      <c r="U1213" s="9"/>
    </row>
    <row r="1214" spans="1:21" x14ac:dyDescent="0.2">
      <c r="A1214">
        <v>1213</v>
      </c>
      <c r="B1214" s="1">
        <v>42382.617199074077</v>
      </c>
      <c r="C1214" s="1">
        <v>42382.627604166664</v>
      </c>
      <c r="D1214" t="s">
        <v>2</v>
      </c>
      <c r="G1214" t="b">
        <v>1</v>
      </c>
      <c r="H1214">
        <v>70805</v>
      </c>
      <c r="I1214" s="6">
        <v>2.4591858965944802</v>
      </c>
      <c r="J1214" s="1">
        <v>42382.636134259257</v>
      </c>
      <c r="K1214">
        <v>11.59</v>
      </c>
      <c r="L1214" s="6">
        <f>('Pizza Sales Calculations'!$J1214-'Pizza Sales Calculations'!$C1214)*24*60</f>
        <v>12.283333333907649</v>
      </c>
      <c r="M1214">
        <f>COUNTA('Pizza Sales Calculations'!$D1214:$F1214)</f>
        <v>1</v>
      </c>
      <c r="R1214" s="9">
        <f>IF('Pizza Sales Calculations'!$G1214=TRUE, Parameters!$B$17*'Pizza Sales Calculations'!$L1214*2, 0)</f>
        <v>3.4802777779405005</v>
      </c>
      <c r="T1214" s="6"/>
      <c r="U1214" s="9"/>
    </row>
    <row r="1215" spans="1:21" x14ac:dyDescent="0.2">
      <c r="A1215">
        <v>1214</v>
      </c>
      <c r="B1215" s="1">
        <v>42382.605497685188</v>
      </c>
      <c r="C1215" s="1">
        <v>42382.615914351853</v>
      </c>
      <c r="D1215" t="s">
        <v>1</v>
      </c>
      <c r="E1215" t="s">
        <v>2</v>
      </c>
      <c r="G1215" t="b">
        <v>1</v>
      </c>
      <c r="H1215">
        <v>70805</v>
      </c>
      <c r="I1215" s="6">
        <v>2.3391705283306199</v>
      </c>
      <c r="J1215" s="1">
        <v>42382.624027777776</v>
      </c>
      <c r="K1215">
        <v>19.579999999999998</v>
      </c>
      <c r="L1215" s="6">
        <f>('Pizza Sales Calculations'!$J1215-'Pizza Sales Calculations'!$C1215)*24*60</f>
        <v>11.683333329856396</v>
      </c>
      <c r="M1215">
        <f>COUNTA('Pizza Sales Calculations'!$D1215:$F1215)</f>
        <v>2</v>
      </c>
      <c r="R1215" s="9">
        <f>IF('Pizza Sales Calculations'!$G1215=TRUE, Parameters!$B$17*'Pizza Sales Calculations'!$L1215*2, 0)</f>
        <v>3.3102777767926455</v>
      </c>
      <c r="T1215" s="6"/>
      <c r="U1215" s="9"/>
    </row>
    <row r="1216" spans="1:21" x14ac:dyDescent="0.2">
      <c r="A1216">
        <v>1215</v>
      </c>
      <c r="B1216" s="1">
        <v>42382.48201388889</v>
      </c>
      <c r="C1216" s="1">
        <v>42382.492442129631</v>
      </c>
      <c r="D1216" t="s">
        <v>1</v>
      </c>
      <c r="G1216" t="b">
        <v>0</v>
      </c>
      <c r="H1216">
        <v>70806</v>
      </c>
      <c r="I1216" s="6">
        <v>0</v>
      </c>
      <c r="J1216" s="1">
        <v>42382.494513888887</v>
      </c>
      <c r="K1216">
        <v>7.99</v>
      </c>
      <c r="L1216" s="6">
        <f>('Pizza Sales Calculations'!$J1216-'Pizza Sales Calculations'!$C1216)*24*60</f>
        <v>2.9833333287388086</v>
      </c>
      <c r="M1216">
        <f>COUNTA('Pizza Sales Calculations'!$D1216:$F1216)</f>
        <v>1</v>
      </c>
      <c r="R1216" s="9">
        <f>IF('Pizza Sales Calculations'!$G1216=TRUE, Parameters!$B$17*'Pizza Sales Calculations'!$L1216*2, 0)</f>
        <v>0</v>
      </c>
      <c r="T1216" s="6"/>
      <c r="U1216" s="9"/>
    </row>
    <row r="1217" spans="1:21" x14ac:dyDescent="0.2">
      <c r="A1217">
        <v>1216</v>
      </c>
      <c r="B1217" s="1">
        <v>42382.546631944446</v>
      </c>
      <c r="C1217" s="1">
        <v>42382.557060185187</v>
      </c>
      <c r="D1217" t="s">
        <v>35</v>
      </c>
      <c r="G1217" t="b">
        <v>0</v>
      </c>
      <c r="H1217">
        <v>70805</v>
      </c>
      <c r="I1217" s="6">
        <v>0</v>
      </c>
      <c r="J1217" s="1">
        <v>42382.559155092589</v>
      </c>
      <c r="K1217">
        <v>15.35</v>
      </c>
      <c r="L1217" s="6">
        <f>('Pizza Sales Calculations'!$J1217-'Pizza Sales Calculations'!$C1217)*24*60</f>
        <v>3.0166666593868285</v>
      </c>
      <c r="M1217">
        <f>COUNTA('Pizza Sales Calculations'!$D1217:$F1217)</f>
        <v>1</v>
      </c>
      <c r="R1217" s="9">
        <f>IF('Pizza Sales Calculations'!$G1217=TRUE, Parameters!$B$17*'Pizza Sales Calculations'!$L1217*2, 0)</f>
        <v>0</v>
      </c>
      <c r="T1217" s="6"/>
      <c r="U1217" s="9"/>
    </row>
    <row r="1218" spans="1:21" x14ac:dyDescent="0.2">
      <c r="A1218">
        <v>1217</v>
      </c>
      <c r="B1218" s="1">
        <v>42382.508009259262</v>
      </c>
      <c r="C1218" s="1">
        <v>42382.518437500003</v>
      </c>
      <c r="D1218" t="s">
        <v>2</v>
      </c>
      <c r="G1218" t="b">
        <v>0</v>
      </c>
      <c r="H1218">
        <v>70806</v>
      </c>
      <c r="I1218" s="6">
        <v>0</v>
      </c>
      <c r="J1218" s="1">
        <v>42382.520520833335</v>
      </c>
      <c r="K1218">
        <v>11.59</v>
      </c>
      <c r="L1218" s="6">
        <f>('Pizza Sales Calculations'!$J1218-'Pizza Sales Calculations'!$C1218)*24*60</f>
        <v>2.9999999993015081</v>
      </c>
      <c r="M1218">
        <f>COUNTA('Pizza Sales Calculations'!$D1218:$F1218)</f>
        <v>1</v>
      </c>
      <c r="R1218" s="9">
        <f>IF('Pizza Sales Calculations'!$G1218=TRUE, Parameters!$B$17*'Pizza Sales Calculations'!$L1218*2, 0)</f>
        <v>0</v>
      </c>
      <c r="T1218" s="6"/>
      <c r="U1218" s="9"/>
    </row>
    <row r="1219" spans="1:21" x14ac:dyDescent="0.2">
      <c r="A1219">
        <v>1218</v>
      </c>
      <c r="B1219" s="1">
        <v>42382.44054398148</v>
      </c>
      <c r="C1219" s="1">
        <v>42382.450949074075</v>
      </c>
      <c r="D1219" t="s">
        <v>35</v>
      </c>
      <c r="G1219" t="b">
        <v>1</v>
      </c>
      <c r="H1219">
        <v>70803</v>
      </c>
      <c r="I1219" s="6">
        <v>3.95950858469384</v>
      </c>
      <c r="J1219" s="1">
        <v>42382.464687500003</v>
      </c>
      <c r="K1219">
        <v>15.35</v>
      </c>
      <c r="L1219" s="6">
        <f>('Pizza Sales Calculations'!$J1219-'Pizza Sales Calculations'!$C1219)*24*60</f>
        <v>19.783333337400109</v>
      </c>
      <c r="M1219">
        <f>COUNTA('Pizza Sales Calculations'!$D1219:$F1219)</f>
        <v>1</v>
      </c>
      <c r="R1219" s="9">
        <f>IF('Pizza Sales Calculations'!$G1219=TRUE, Parameters!$B$17*'Pizza Sales Calculations'!$L1219*2, 0)</f>
        <v>5.6052777789300308</v>
      </c>
      <c r="T1219" s="6"/>
      <c r="U1219" s="9"/>
    </row>
    <row r="1220" spans="1:21" x14ac:dyDescent="0.2">
      <c r="A1220">
        <v>1219</v>
      </c>
      <c r="B1220" s="1">
        <v>42382.496180555558</v>
      </c>
      <c r="C1220" s="1">
        <v>42382.506585648145</v>
      </c>
      <c r="D1220" t="s">
        <v>1</v>
      </c>
      <c r="E1220" t="s">
        <v>35</v>
      </c>
      <c r="G1220" t="b">
        <v>1</v>
      </c>
      <c r="H1220">
        <v>70804</v>
      </c>
      <c r="I1220" s="6">
        <v>2.3359625215003801</v>
      </c>
      <c r="J1220" s="1">
        <v>42382.514687499999</v>
      </c>
      <c r="K1220">
        <v>23.34</v>
      </c>
      <c r="L1220" s="6">
        <f>('Pizza Sales Calculations'!$J1220-'Pizza Sales Calculations'!$C1220)*24*60</f>
        <v>11.666666669771075</v>
      </c>
      <c r="M1220">
        <f>COUNTA('Pizza Sales Calculations'!$D1220:$F1220)</f>
        <v>2</v>
      </c>
      <c r="R1220" s="9">
        <f>IF('Pizza Sales Calculations'!$G1220=TRUE, Parameters!$B$17*'Pizza Sales Calculations'!$L1220*2, 0)</f>
        <v>3.305555556435138</v>
      </c>
      <c r="T1220" s="6"/>
      <c r="U1220" s="9"/>
    </row>
    <row r="1221" spans="1:21" x14ac:dyDescent="0.2">
      <c r="A1221">
        <v>1220</v>
      </c>
      <c r="B1221" s="1">
        <v>42382.470520833333</v>
      </c>
      <c r="C1221" s="1">
        <v>42382.480937499997</v>
      </c>
      <c r="D1221" t="s">
        <v>1</v>
      </c>
      <c r="E1221" t="s">
        <v>2</v>
      </c>
      <c r="G1221" t="b">
        <v>0</v>
      </c>
      <c r="H1221">
        <v>70804</v>
      </c>
      <c r="I1221" s="6">
        <v>0</v>
      </c>
      <c r="J1221" s="1">
        <v>42382.483020833337</v>
      </c>
      <c r="K1221">
        <v>19.579999999999998</v>
      </c>
      <c r="L1221" s="6">
        <f>('Pizza Sales Calculations'!$J1221-'Pizza Sales Calculations'!$C1221)*24*60</f>
        <v>3.000000009778887</v>
      </c>
      <c r="M1221">
        <f>COUNTA('Pizza Sales Calculations'!$D1221:$F1221)</f>
        <v>2</v>
      </c>
      <c r="R1221" s="9">
        <f>IF('Pizza Sales Calculations'!$G1221=TRUE, Parameters!$B$17*'Pizza Sales Calculations'!$L1221*2, 0)</f>
        <v>0</v>
      </c>
      <c r="T1221" s="6"/>
      <c r="U1221" s="9"/>
    </row>
    <row r="1222" spans="1:21" x14ac:dyDescent="0.2">
      <c r="A1222">
        <v>1221</v>
      </c>
      <c r="B1222" s="1">
        <v>42382.520092592589</v>
      </c>
      <c r="C1222" s="1">
        <v>42382.530497685184</v>
      </c>
      <c r="D1222" t="s">
        <v>1</v>
      </c>
      <c r="E1222" t="s">
        <v>2</v>
      </c>
      <c r="G1222" t="b">
        <v>1</v>
      </c>
      <c r="H1222">
        <v>70803</v>
      </c>
      <c r="I1222" s="6">
        <v>2.0228570583078498</v>
      </c>
      <c r="J1222" s="1">
        <v>42382.537511574075</v>
      </c>
      <c r="K1222">
        <v>19.579999999999998</v>
      </c>
      <c r="L1222" s="6">
        <f>('Pizza Sales Calculations'!$J1222-'Pizza Sales Calculations'!$C1222)*24*60</f>
        <v>10.100000003585592</v>
      </c>
      <c r="M1222">
        <f>COUNTA('Pizza Sales Calculations'!$D1222:$F1222)</f>
        <v>2</v>
      </c>
      <c r="R1222" s="9">
        <f>IF('Pizza Sales Calculations'!$G1222=TRUE, Parameters!$B$17*'Pizza Sales Calculations'!$L1222*2, 0)</f>
        <v>2.8616666676825844</v>
      </c>
      <c r="T1222" s="6"/>
      <c r="U1222" s="9"/>
    </row>
    <row r="1223" spans="1:21" x14ac:dyDescent="0.2">
      <c r="A1223">
        <v>1222</v>
      </c>
      <c r="B1223" s="1">
        <v>42382.506597222222</v>
      </c>
      <c r="C1223" s="1">
        <v>42382.517025462963</v>
      </c>
      <c r="D1223" t="s">
        <v>35</v>
      </c>
      <c r="G1223" t="b">
        <v>1</v>
      </c>
      <c r="H1223">
        <v>70804</v>
      </c>
      <c r="I1223" s="6">
        <v>1.1041806734280499</v>
      </c>
      <c r="J1223" s="1">
        <v>42382.520856481482</v>
      </c>
      <c r="K1223">
        <v>15.35</v>
      </c>
      <c r="L1223" s="6">
        <f>('Pizza Sales Calculations'!$J1223-'Pizza Sales Calculations'!$C1223)*24*60</f>
        <v>5.5166666675359011</v>
      </c>
      <c r="M1223">
        <f>COUNTA('Pizza Sales Calculations'!$D1223:$F1223)</f>
        <v>1</v>
      </c>
      <c r="R1223" s="9">
        <f>IF('Pizza Sales Calculations'!$G1223=TRUE, Parameters!$B$17*'Pizza Sales Calculations'!$L1223*2, 0)</f>
        <v>1.5630555558018386</v>
      </c>
      <c r="T1223" s="6"/>
      <c r="U1223" s="9"/>
    </row>
    <row r="1224" spans="1:21" x14ac:dyDescent="0.2">
      <c r="A1224">
        <v>1223</v>
      </c>
      <c r="B1224" s="1">
        <v>42382.581770833334</v>
      </c>
      <c r="C1224" s="1">
        <v>42382.592187499999</v>
      </c>
      <c r="D1224" t="s">
        <v>2</v>
      </c>
      <c r="E1224" t="s">
        <v>35</v>
      </c>
      <c r="G1224" t="b">
        <v>1</v>
      </c>
      <c r="H1224">
        <v>70805</v>
      </c>
      <c r="I1224" s="6">
        <v>2.0394656004281102</v>
      </c>
      <c r="J1224" s="1">
        <v>42382.599259259259</v>
      </c>
      <c r="K1224">
        <v>25.94</v>
      </c>
      <c r="L1224" s="6">
        <f>('Pizza Sales Calculations'!$J1224-'Pizza Sales Calculations'!$C1224)*24*60</f>
        <v>10.183333335444331</v>
      </c>
      <c r="M1224">
        <f>COUNTA('Pizza Sales Calculations'!$D1224:$F1224)</f>
        <v>2</v>
      </c>
      <c r="R1224" s="9">
        <f>IF('Pizza Sales Calculations'!$G1224=TRUE, Parameters!$B$17*'Pizza Sales Calculations'!$L1224*2, 0)</f>
        <v>2.8852777783758938</v>
      </c>
      <c r="T1224" s="6"/>
      <c r="U1224" s="9"/>
    </row>
    <row r="1225" spans="1:21" x14ac:dyDescent="0.2">
      <c r="A1225">
        <v>1224</v>
      </c>
      <c r="B1225" s="1">
        <v>42382.522569444445</v>
      </c>
      <c r="C1225" s="1">
        <v>42382.532997685186</v>
      </c>
      <c r="D1225" t="s">
        <v>1</v>
      </c>
      <c r="E1225" t="s">
        <v>2</v>
      </c>
      <c r="G1225" t="b">
        <v>1</v>
      </c>
      <c r="H1225">
        <v>70806</v>
      </c>
      <c r="I1225" s="6">
        <v>2.7064579403922799</v>
      </c>
      <c r="J1225" s="1">
        <v>42382.542384259257</v>
      </c>
      <c r="K1225">
        <v>19.579999999999998</v>
      </c>
      <c r="L1225" s="6">
        <f>('Pizza Sales Calculations'!$J1225-'Pizza Sales Calculations'!$C1225)*24*60</f>
        <v>13.516666662180796</v>
      </c>
      <c r="M1225">
        <f>COUNTA('Pizza Sales Calculations'!$D1225:$F1225)</f>
        <v>2</v>
      </c>
      <c r="R1225" s="9">
        <f>IF('Pizza Sales Calculations'!$G1225=TRUE, Parameters!$B$17*'Pizza Sales Calculations'!$L1225*2, 0)</f>
        <v>3.8297222209512256</v>
      </c>
      <c r="T1225" s="6"/>
      <c r="U1225" s="9"/>
    </row>
    <row r="1226" spans="1:21" x14ac:dyDescent="0.2">
      <c r="A1226">
        <v>1225</v>
      </c>
      <c r="B1226" s="1">
        <v>42382.484930555554</v>
      </c>
      <c r="C1226" s="1">
        <v>42382.495347222219</v>
      </c>
      <c r="D1226" t="s">
        <v>1</v>
      </c>
      <c r="E1226" t="s">
        <v>2</v>
      </c>
      <c r="G1226" t="b">
        <v>1</v>
      </c>
      <c r="H1226">
        <v>70804</v>
      </c>
      <c r="I1226" s="6">
        <v>3.7343564265826199</v>
      </c>
      <c r="J1226" s="1">
        <v>42382.508310185185</v>
      </c>
      <c r="K1226">
        <v>19.579999999999998</v>
      </c>
      <c r="L1226" s="6">
        <f>('Pizza Sales Calculations'!$J1226-'Pizza Sales Calculations'!$C1226)*24*60</f>
        <v>18.66666667163372</v>
      </c>
      <c r="M1226">
        <f>COUNTA('Pizza Sales Calculations'!$D1226:$F1226)</f>
        <v>2</v>
      </c>
      <c r="R1226" s="9">
        <f>IF('Pizza Sales Calculations'!$G1226=TRUE, Parameters!$B$17*'Pizza Sales Calculations'!$L1226*2, 0)</f>
        <v>5.2888888902962208</v>
      </c>
      <c r="T1226" s="6"/>
      <c r="U1226" s="9"/>
    </row>
    <row r="1227" spans="1:21" x14ac:dyDescent="0.2">
      <c r="A1227">
        <v>1226</v>
      </c>
      <c r="B1227" s="1">
        <v>42382.463287037041</v>
      </c>
      <c r="C1227" s="1">
        <v>42382.473692129628</v>
      </c>
      <c r="D1227" t="s">
        <v>1</v>
      </c>
      <c r="E1227" t="s">
        <v>2</v>
      </c>
      <c r="G1227" t="b">
        <v>0</v>
      </c>
      <c r="H1227">
        <v>70807</v>
      </c>
      <c r="I1227" s="6">
        <v>0</v>
      </c>
      <c r="J1227" s="1">
        <v>42382.475787037038</v>
      </c>
      <c r="K1227">
        <v>19.579999999999998</v>
      </c>
      <c r="L1227" s="6">
        <f>('Pizza Sales Calculations'!$J1227-'Pizza Sales Calculations'!$C1227)*24*60</f>
        <v>3.0166666698642075</v>
      </c>
      <c r="M1227">
        <f>COUNTA('Pizza Sales Calculations'!$D1227:$F1227)</f>
        <v>2</v>
      </c>
      <c r="R1227" s="9">
        <f>IF('Pizza Sales Calculations'!$G1227=TRUE, Parameters!$B$17*'Pizza Sales Calculations'!$L1227*2, 0)</f>
        <v>0</v>
      </c>
      <c r="T1227" s="6"/>
      <c r="U1227" s="9"/>
    </row>
    <row r="1228" spans="1:21" x14ac:dyDescent="0.2">
      <c r="A1228">
        <v>1227</v>
      </c>
      <c r="B1228" s="1">
        <v>42382.532418981478</v>
      </c>
      <c r="C1228" s="1">
        <v>42382.542824074073</v>
      </c>
      <c r="D1228" t="s">
        <v>1</v>
      </c>
      <c r="G1228" t="b">
        <v>1</v>
      </c>
      <c r="H1228">
        <v>70803</v>
      </c>
      <c r="I1228" s="6">
        <v>2.31473315501878</v>
      </c>
      <c r="J1228" s="1">
        <v>42382.550856481481</v>
      </c>
      <c r="K1228">
        <v>7.99</v>
      </c>
      <c r="L1228" s="6">
        <f>('Pizza Sales Calculations'!$J1228-'Pizza Sales Calculations'!$C1228)*24*60</f>
        <v>11.566666667349637</v>
      </c>
      <c r="M1228">
        <f>COUNTA('Pizza Sales Calculations'!$D1228:$F1228)</f>
        <v>1</v>
      </c>
      <c r="R1228" s="9">
        <f>IF('Pizza Sales Calculations'!$G1228=TRUE, Parameters!$B$17*'Pizza Sales Calculations'!$L1228*2, 0)</f>
        <v>3.2772222224157304</v>
      </c>
      <c r="T1228" s="6"/>
      <c r="U1228" s="9"/>
    </row>
    <row r="1229" spans="1:21" x14ac:dyDescent="0.2">
      <c r="A1229">
        <v>1228</v>
      </c>
      <c r="B1229" s="1">
        <v>42382.508506944447</v>
      </c>
      <c r="C1229" s="1">
        <v>42382.518912037034</v>
      </c>
      <c r="D1229" t="s">
        <v>35</v>
      </c>
      <c r="G1229" t="b">
        <v>1</v>
      </c>
      <c r="H1229">
        <v>70805</v>
      </c>
      <c r="I1229" s="6">
        <v>4.6021967599168203</v>
      </c>
      <c r="J1229" s="1">
        <v>42382.534884259258</v>
      </c>
      <c r="K1229">
        <v>15.35</v>
      </c>
      <c r="L1229" s="6">
        <f>('Pizza Sales Calculations'!$J1229-'Pizza Sales Calculations'!$C1229)*24*60</f>
        <v>23.000000001629815</v>
      </c>
      <c r="M1229">
        <f>COUNTA('Pizza Sales Calculations'!$D1229:$F1229)</f>
        <v>1</v>
      </c>
      <c r="R1229" s="9">
        <f>IF('Pizza Sales Calculations'!$G1229=TRUE, Parameters!$B$17*'Pizza Sales Calculations'!$L1229*2, 0)</f>
        <v>6.5166666671284474</v>
      </c>
      <c r="T1229" s="6"/>
      <c r="U1229" s="9"/>
    </row>
    <row r="1230" spans="1:21" x14ac:dyDescent="0.2">
      <c r="A1230">
        <v>1229</v>
      </c>
      <c r="B1230" s="1">
        <v>42382.538773148146</v>
      </c>
      <c r="C1230" s="1">
        <v>42382.549166666664</v>
      </c>
      <c r="D1230" t="s">
        <v>35</v>
      </c>
      <c r="G1230" t="b">
        <v>0</v>
      </c>
      <c r="H1230">
        <v>70804</v>
      </c>
      <c r="I1230" s="6">
        <v>0</v>
      </c>
      <c r="J1230" s="1">
        <v>42382.551238425927</v>
      </c>
      <c r="K1230">
        <v>15.35</v>
      </c>
      <c r="L1230" s="6">
        <f>('Pizza Sales Calculations'!$J1230-'Pizza Sales Calculations'!$C1230)*24*60</f>
        <v>2.9833333392161876</v>
      </c>
      <c r="M1230">
        <f>COUNTA('Pizza Sales Calculations'!$D1230:$F1230)</f>
        <v>1</v>
      </c>
      <c r="R1230" s="9">
        <f>IF('Pizza Sales Calculations'!$G1230=TRUE, Parameters!$B$17*'Pizza Sales Calculations'!$L1230*2, 0)</f>
        <v>0</v>
      </c>
      <c r="T1230" s="6"/>
      <c r="U1230" s="9"/>
    </row>
    <row r="1231" spans="1:21" x14ac:dyDescent="0.2">
      <c r="A1231">
        <v>1230</v>
      </c>
      <c r="B1231" s="1">
        <v>42382.506643518522</v>
      </c>
      <c r="C1231" s="1">
        <v>42382.517060185186</v>
      </c>
      <c r="D1231" t="s">
        <v>1</v>
      </c>
      <c r="E1231" t="s">
        <v>2</v>
      </c>
      <c r="G1231" t="b">
        <v>0</v>
      </c>
      <c r="H1231">
        <v>70806</v>
      </c>
      <c r="I1231" s="6">
        <v>0</v>
      </c>
      <c r="J1231" s="1">
        <v>42382.519131944442</v>
      </c>
      <c r="K1231">
        <v>19.579999999999998</v>
      </c>
      <c r="L1231" s="6">
        <f>('Pizza Sales Calculations'!$J1231-'Pizza Sales Calculations'!$C1231)*24*60</f>
        <v>2.9833333287388086</v>
      </c>
      <c r="M1231">
        <f>COUNTA('Pizza Sales Calculations'!$D1231:$F1231)</f>
        <v>2</v>
      </c>
      <c r="R1231" s="9">
        <f>IF('Pizza Sales Calculations'!$G1231=TRUE, Parameters!$B$17*'Pizza Sales Calculations'!$L1231*2, 0)</f>
        <v>0</v>
      </c>
      <c r="T1231" s="6"/>
      <c r="U1231" s="9"/>
    </row>
    <row r="1232" spans="1:21" x14ac:dyDescent="0.2">
      <c r="A1232">
        <v>1231</v>
      </c>
      <c r="B1232" s="1">
        <v>42382.504305555558</v>
      </c>
      <c r="C1232" s="1">
        <v>42382.514699074076</v>
      </c>
      <c r="D1232" t="s">
        <v>2</v>
      </c>
      <c r="E1232" t="s">
        <v>35</v>
      </c>
      <c r="G1232" t="b">
        <v>1</v>
      </c>
      <c r="H1232">
        <v>70806</v>
      </c>
      <c r="I1232" s="6">
        <v>4.0394413927823596</v>
      </c>
      <c r="J1232" s="1">
        <v>42382.528715277775</v>
      </c>
      <c r="K1232">
        <v>25.94</v>
      </c>
      <c r="L1232" s="6">
        <f>('Pizza Sales Calculations'!$J1232-'Pizza Sales Calculations'!$C1232)*24*60</f>
        <v>20.183333326131105</v>
      </c>
      <c r="M1232">
        <f>COUNTA('Pizza Sales Calculations'!$D1232:$F1232)</f>
        <v>2</v>
      </c>
      <c r="R1232" s="9">
        <f>IF('Pizza Sales Calculations'!$G1232=TRUE, Parameters!$B$17*'Pizza Sales Calculations'!$L1232*2, 0)</f>
        <v>5.7186111090704799</v>
      </c>
      <c r="T1232" s="6"/>
      <c r="U1232" s="9"/>
    </row>
    <row r="1233" spans="1:21" x14ac:dyDescent="0.2">
      <c r="A1233">
        <v>1232</v>
      </c>
      <c r="B1233" s="1">
        <v>42382.564664351848</v>
      </c>
      <c r="C1233" s="1">
        <v>42382.57508101852</v>
      </c>
      <c r="D1233" t="s">
        <v>1</v>
      </c>
      <c r="E1233" t="s">
        <v>2</v>
      </c>
      <c r="G1233" t="b">
        <v>0</v>
      </c>
      <c r="H1233">
        <v>70804</v>
      </c>
      <c r="I1233" s="6">
        <v>0</v>
      </c>
      <c r="J1233" s="1">
        <v>42382.577152777776</v>
      </c>
      <c r="K1233">
        <v>19.579999999999998</v>
      </c>
      <c r="L1233" s="6">
        <f>('Pizza Sales Calculations'!$J1233-'Pizza Sales Calculations'!$C1233)*24*60</f>
        <v>2.9833333287388086</v>
      </c>
      <c r="M1233">
        <f>COUNTA('Pizza Sales Calculations'!$D1233:$F1233)</f>
        <v>2</v>
      </c>
      <c r="R1233" s="9">
        <f>IF('Pizza Sales Calculations'!$G1233=TRUE, Parameters!$B$17*'Pizza Sales Calculations'!$L1233*2, 0)</f>
        <v>0</v>
      </c>
      <c r="T1233" s="6"/>
      <c r="U1233" s="9"/>
    </row>
    <row r="1234" spans="1:21" x14ac:dyDescent="0.2">
      <c r="A1234">
        <v>1233</v>
      </c>
      <c r="B1234" s="1">
        <v>42382.472141203703</v>
      </c>
      <c r="C1234" s="1">
        <v>42382.482546296298</v>
      </c>
      <c r="D1234" t="s">
        <v>2</v>
      </c>
      <c r="G1234" t="b">
        <v>1</v>
      </c>
      <c r="H1234">
        <v>70805</v>
      </c>
      <c r="I1234" s="6">
        <v>3.4413180757557802</v>
      </c>
      <c r="J1234" s="1">
        <v>42382.494490740741</v>
      </c>
      <c r="K1234">
        <v>11.59</v>
      </c>
      <c r="L1234" s="6">
        <f>('Pizza Sales Calculations'!$J1234-'Pizza Sales Calculations'!$C1234)*24*60</f>
        <v>17.199999997392297</v>
      </c>
      <c r="M1234">
        <f>COUNTA('Pizza Sales Calculations'!$D1234:$F1234)</f>
        <v>1</v>
      </c>
      <c r="R1234" s="9">
        <f>IF('Pizza Sales Calculations'!$G1234=TRUE, Parameters!$B$17*'Pizza Sales Calculations'!$L1234*2, 0)</f>
        <v>4.8733333325944841</v>
      </c>
      <c r="T1234" s="6"/>
      <c r="U1234" s="9"/>
    </row>
    <row r="1235" spans="1:21" x14ac:dyDescent="0.2">
      <c r="A1235">
        <v>1234</v>
      </c>
      <c r="B1235" s="1">
        <v>42382.532997685186</v>
      </c>
      <c r="C1235" s="1">
        <v>42382.543402777781</v>
      </c>
      <c r="D1235" t="s">
        <v>35</v>
      </c>
      <c r="G1235" t="b">
        <v>1</v>
      </c>
      <c r="H1235">
        <v>70806</v>
      </c>
      <c r="I1235" s="6">
        <v>1.6262347046243899</v>
      </c>
      <c r="J1235" s="1">
        <v>42382.549039351848</v>
      </c>
      <c r="K1235">
        <v>15.35</v>
      </c>
      <c r="L1235" s="6">
        <f>('Pizza Sales Calculations'!$J1235-'Pizza Sales Calculations'!$C1235)*24*60</f>
        <v>8.1166666571516544</v>
      </c>
      <c r="M1235">
        <f>COUNTA('Pizza Sales Calculations'!$D1235:$F1235)</f>
        <v>1</v>
      </c>
      <c r="R1235" s="9">
        <f>IF('Pizza Sales Calculations'!$G1235=TRUE, Parameters!$B$17*'Pizza Sales Calculations'!$L1235*2, 0)</f>
        <v>2.2997222195263021</v>
      </c>
      <c r="T1235" s="6"/>
      <c r="U1235" s="9"/>
    </row>
    <row r="1236" spans="1:21" x14ac:dyDescent="0.2">
      <c r="A1236">
        <v>1235</v>
      </c>
      <c r="B1236" s="1">
        <v>42382.475034722222</v>
      </c>
      <c r="C1236" s="1">
        <v>42382.485451388886</v>
      </c>
      <c r="D1236" t="s">
        <v>1</v>
      </c>
      <c r="E1236" t="s">
        <v>2</v>
      </c>
      <c r="G1236" t="b">
        <v>0</v>
      </c>
      <c r="H1236">
        <v>70805</v>
      </c>
      <c r="I1236" s="6">
        <v>0</v>
      </c>
      <c r="J1236" s="1">
        <v>42382.487534722219</v>
      </c>
      <c r="K1236">
        <v>19.579999999999998</v>
      </c>
      <c r="L1236" s="6">
        <f>('Pizza Sales Calculations'!$J1236-'Pizza Sales Calculations'!$C1236)*24*60</f>
        <v>2.9999999993015081</v>
      </c>
      <c r="M1236">
        <f>COUNTA('Pizza Sales Calculations'!$D1236:$F1236)</f>
        <v>2</v>
      </c>
      <c r="R1236" s="9">
        <f>IF('Pizza Sales Calculations'!$G1236=TRUE, Parameters!$B$17*'Pizza Sales Calculations'!$L1236*2, 0)</f>
        <v>0</v>
      </c>
      <c r="T1236" s="6"/>
      <c r="U1236" s="9"/>
    </row>
    <row r="1237" spans="1:21" x14ac:dyDescent="0.2">
      <c r="A1237">
        <v>1236</v>
      </c>
      <c r="B1237" s="1">
        <v>42382.473599537036</v>
      </c>
      <c r="C1237" s="1">
        <v>42382.48400462963</v>
      </c>
      <c r="D1237" t="s">
        <v>2</v>
      </c>
      <c r="G1237" t="b">
        <v>0</v>
      </c>
      <c r="H1237">
        <v>70804</v>
      </c>
      <c r="I1237" s="6">
        <v>0</v>
      </c>
      <c r="J1237" s="1">
        <v>42382.486076388886</v>
      </c>
      <c r="K1237">
        <v>11.59</v>
      </c>
      <c r="L1237" s="6">
        <f>('Pizza Sales Calculations'!$J1237-'Pizza Sales Calculations'!$C1237)*24*60</f>
        <v>2.9833333287388086</v>
      </c>
      <c r="M1237">
        <f>COUNTA('Pizza Sales Calculations'!$D1237:$F1237)</f>
        <v>1</v>
      </c>
      <c r="R1237" s="9">
        <f>IF('Pizza Sales Calculations'!$G1237=TRUE, Parameters!$B$17*'Pizza Sales Calculations'!$L1237*2, 0)</f>
        <v>0</v>
      </c>
      <c r="T1237" s="6"/>
      <c r="U1237" s="9"/>
    </row>
    <row r="1238" spans="1:21" x14ac:dyDescent="0.2">
      <c r="A1238">
        <v>1237</v>
      </c>
      <c r="B1238" s="1">
        <v>42382.45921296296</v>
      </c>
      <c r="C1238" s="1">
        <v>42382.469629629632</v>
      </c>
      <c r="D1238" t="s">
        <v>1</v>
      </c>
      <c r="E1238" t="s">
        <v>2</v>
      </c>
      <c r="G1238" t="b">
        <v>1</v>
      </c>
      <c r="H1238">
        <v>70804</v>
      </c>
      <c r="I1238" s="6">
        <v>4.3008801660245801</v>
      </c>
      <c r="J1238" s="1">
        <v>42382.484560185185</v>
      </c>
      <c r="K1238">
        <v>19.579999999999998</v>
      </c>
      <c r="L1238" s="6">
        <f>('Pizza Sales Calculations'!$J1238-'Pizza Sales Calculations'!$C1238)*24*60</f>
        <v>21.499999996740371</v>
      </c>
      <c r="M1238">
        <f>COUNTA('Pizza Sales Calculations'!$D1238:$F1238)</f>
        <v>2</v>
      </c>
      <c r="R1238" s="9">
        <f>IF('Pizza Sales Calculations'!$G1238=TRUE, Parameters!$B$17*'Pizza Sales Calculations'!$L1238*2, 0)</f>
        <v>6.0916666657431051</v>
      </c>
      <c r="T1238" s="6"/>
      <c r="U1238" s="9"/>
    </row>
    <row r="1239" spans="1:21" x14ac:dyDescent="0.2">
      <c r="A1239">
        <v>1238</v>
      </c>
      <c r="B1239" s="1">
        <v>42382.523819444446</v>
      </c>
      <c r="C1239" s="1">
        <v>42382.534212962964</v>
      </c>
      <c r="D1239" t="s">
        <v>2</v>
      </c>
      <c r="G1239" t="b">
        <v>1</v>
      </c>
      <c r="H1239">
        <v>70805</v>
      </c>
      <c r="I1239" s="6">
        <v>4.0743961337657302</v>
      </c>
      <c r="J1239" s="1">
        <v>42382.548356481479</v>
      </c>
      <c r="K1239">
        <v>11.59</v>
      </c>
      <c r="L1239" s="6">
        <f>('Pizza Sales Calculations'!$J1239-'Pizza Sales Calculations'!$C1239)*24*60</f>
        <v>20.366666660411283</v>
      </c>
      <c r="M1239">
        <f>COUNTA('Pizza Sales Calculations'!$D1239:$F1239)</f>
        <v>1</v>
      </c>
      <c r="R1239" s="9">
        <f>IF('Pizza Sales Calculations'!$G1239=TRUE, Parameters!$B$17*'Pizza Sales Calculations'!$L1239*2, 0)</f>
        <v>5.770555553783197</v>
      </c>
      <c r="T1239" s="6"/>
      <c r="U1239" s="9"/>
    </row>
    <row r="1240" spans="1:21" x14ac:dyDescent="0.2">
      <c r="A1240">
        <v>1239</v>
      </c>
      <c r="B1240" s="1">
        <v>42382.508414351854</v>
      </c>
      <c r="C1240" s="1">
        <v>42382.518831018519</v>
      </c>
      <c r="D1240" t="s">
        <v>35</v>
      </c>
      <c r="G1240" t="b">
        <v>1</v>
      </c>
      <c r="H1240">
        <v>70806</v>
      </c>
      <c r="I1240" s="6">
        <v>6.01543451158342</v>
      </c>
      <c r="J1240" s="1">
        <v>42382.539710648147</v>
      </c>
      <c r="K1240">
        <v>15.35</v>
      </c>
      <c r="L1240" s="6">
        <f>('Pizza Sales Calculations'!$J1240-'Pizza Sales Calculations'!$C1240)*24*60</f>
        <v>30.066666664788499</v>
      </c>
      <c r="M1240">
        <f>COUNTA('Pizza Sales Calculations'!$D1240:$F1240)</f>
        <v>1</v>
      </c>
      <c r="R1240" s="9">
        <f>IF('Pizza Sales Calculations'!$G1240=TRUE, Parameters!$B$17*'Pizza Sales Calculations'!$L1240*2, 0)</f>
        <v>8.5188888883567415</v>
      </c>
      <c r="T1240" s="6"/>
      <c r="U1240" s="9"/>
    </row>
    <row r="1241" spans="1:21" x14ac:dyDescent="0.2">
      <c r="A1241">
        <v>1240</v>
      </c>
      <c r="B1241" s="1">
        <v>42382.518321759257</v>
      </c>
      <c r="C1241" s="1">
        <v>42382.528738425928</v>
      </c>
      <c r="D1241" t="s">
        <v>35</v>
      </c>
      <c r="G1241" t="b">
        <v>0</v>
      </c>
      <c r="H1241">
        <v>70807</v>
      </c>
      <c r="I1241" s="6">
        <v>0</v>
      </c>
      <c r="J1241" s="1">
        <v>42382.530821759261</v>
      </c>
      <c r="K1241">
        <v>15.35</v>
      </c>
      <c r="L1241" s="6">
        <f>('Pizza Sales Calculations'!$J1241-'Pizza Sales Calculations'!$C1241)*24*60</f>
        <v>2.9999999993015081</v>
      </c>
      <c r="M1241">
        <f>COUNTA('Pizza Sales Calculations'!$D1241:$F1241)</f>
        <v>1</v>
      </c>
      <c r="R1241" s="9">
        <f>IF('Pizza Sales Calculations'!$G1241=TRUE, Parameters!$B$17*'Pizza Sales Calculations'!$L1241*2, 0)</f>
        <v>0</v>
      </c>
      <c r="T1241" s="6"/>
      <c r="U1241" s="9"/>
    </row>
    <row r="1242" spans="1:21" x14ac:dyDescent="0.2">
      <c r="A1242">
        <v>1241</v>
      </c>
      <c r="B1242" s="1">
        <v>42382.514097222222</v>
      </c>
      <c r="C1242" s="1">
        <v>42382.524525462963</v>
      </c>
      <c r="D1242" t="s">
        <v>2</v>
      </c>
      <c r="E1242" t="s">
        <v>35</v>
      </c>
      <c r="G1242" t="b">
        <v>1</v>
      </c>
      <c r="H1242">
        <v>70803</v>
      </c>
      <c r="I1242" s="6">
        <v>4.2093384244352396</v>
      </c>
      <c r="J1242" s="1">
        <v>42382.539131944446</v>
      </c>
      <c r="K1242">
        <v>25.94</v>
      </c>
      <c r="L1242" s="6">
        <f>('Pizza Sales Calculations'!$J1242-'Pizza Sales Calculations'!$C1242)*24*60</f>
        <v>21.033333336235955</v>
      </c>
      <c r="M1242">
        <f>COUNTA('Pizza Sales Calculations'!$D1242:$F1242)</f>
        <v>2</v>
      </c>
      <c r="R1242" s="9">
        <f>IF('Pizza Sales Calculations'!$G1242=TRUE, Parameters!$B$17*'Pizza Sales Calculations'!$L1242*2, 0)</f>
        <v>5.959444445266854</v>
      </c>
      <c r="T1242" s="6"/>
      <c r="U1242" s="9"/>
    </row>
    <row r="1243" spans="1:21" x14ac:dyDescent="0.2">
      <c r="A1243">
        <v>1242</v>
      </c>
      <c r="B1243" s="1">
        <v>42382.554699074077</v>
      </c>
      <c r="C1243" s="1">
        <v>42382.565092592595</v>
      </c>
      <c r="D1243" t="s">
        <v>1</v>
      </c>
      <c r="E1243" t="s">
        <v>2</v>
      </c>
      <c r="G1243" t="b">
        <v>0</v>
      </c>
      <c r="H1243">
        <v>70806</v>
      </c>
      <c r="I1243" s="6">
        <v>0</v>
      </c>
      <c r="J1243" s="1">
        <v>42382.567175925928</v>
      </c>
      <c r="K1243">
        <v>19.579999999999998</v>
      </c>
      <c r="L1243" s="6">
        <f>('Pizza Sales Calculations'!$J1243-'Pizza Sales Calculations'!$C1243)*24*60</f>
        <v>2.9999999993015081</v>
      </c>
      <c r="M1243">
        <f>COUNTA('Pizza Sales Calculations'!$D1243:$F1243)</f>
        <v>2</v>
      </c>
      <c r="R1243" s="9">
        <f>IF('Pizza Sales Calculations'!$G1243=TRUE, Parameters!$B$17*'Pizza Sales Calculations'!$L1243*2, 0)</f>
        <v>0</v>
      </c>
      <c r="T1243" s="6"/>
      <c r="U1243" s="9"/>
    </row>
    <row r="1244" spans="1:21" x14ac:dyDescent="0.2">
      <c r="A1244">
        <v>1243</v>
      </c>
      <c r="B1244" s="1">
        <v>42382.435567129629</v>
      </c>
      <c r="C1244" s="1">
        <v>42382.445972222224</v>
      </c>
      <c r="D1244" t="s">
        <v>35</v>
      </c>
      <c r="G1244" t="b">
        <v>0</v>
      </c>
      <c r="H1244">
        <v>70807</v>
      </c>
      <c r="I1244" s="6">
        <v>0</v>
      </c>
      <c r="J1244" s="1">
        <v>42382.44803240741</v>
      </c>
      <c r="K1244">
        <v>15.35</v>
      </c>
      <c r="L1244" s="6">
        <f>('Pizza Sales Calculations'!$J1244-'Pizza Sales Calculations'!$C1244)*24*60</f>
        <v>2.9666666686534882</v>
      </c>
      <c r="M1244">
        <f>COUNTA('Pizza Sales Calculations'!$D1244:$F1244)</f>
        <v>1</v>
      </c>
      <c r="R1244" s="9">
        <f>IF('Pizza Sales Calculations'!$G1244=TRUE, Parameters!$B$17*'Pizza Sales Calculations'!$L1244*2, 0)</f>
        <v>0</v>
      </c>
      <c r="T1244" s="6"/>
      <c r="U1244" s="9"/>
    </row>
    <row r="1245" spans="1:21" x14ac:dyDescent="0.2">
      <c r="A1245">
        <v>1244</v>
      </c>
      <c r="B1245" s="1">
        <v>42382.514247685183</v>
      </c>
      <c r="C1245" s="1">
        <v>42382.524629629632</v>
      </c>
      <c r="D1245" t="s">
        <v>2</v>
      </c>
      <c r="G1245" t="b">
        <v>0</v>
      </c>
      <c r="H1245">
        <v>70806</v>
      </c>
      <c r="I1245" s="6">
        <v>0</v>
      </c>
      <c r="J1245" s="1">
        <v>42382.526701388888</v>
      </c>
      <c r="K1245">
        <v>11.59</v>
      </c>
      <c r="L1245" s="6">
        <f>('Pizza Sales Calculations'!$J1245-'Pizza Sales Calculations'!$C1245)*24*60</f>
        <v>2.9833333287388086</v>
      </c>
      <c r="M1245">
        <f>COUNTA('Pizza Sales Calculations'!$D1245:$F1245)</f>
        <v>1</v>
      </c>
      <c r="R1245" s="9">
        <f>IF('Pizza Sales Calculations'!$G1245=TRUE, Parameters!$B$17*'Pizza Sales Calculations'!$L1245*2, 0)</f>
        <v>0</v>
      </c>
      <c r="T1245" s="6"/>
      <c r="U1245" s="9"/>
    </row>
    <row r="1246" spans="1:21" x14ac:dyDescent="0.2">
      <c r="A1246">
        <v>1245</v>
      </c>
      <c r="B1246" s="1">
        <v>42382.519907407404</v>
      </c>
      <c r="C1246" s="1">
        <v>42382.530335648145</v>
      </c>
      <c r="D1246" t="s">
        <v>35</v>
      </c>
      <c r="G1246" t="b">
        <v>1</v>
      </c>
      <c r="H1246">
        <v>70804</v>
      </c>
      <c r="I1246" s="6">
        <v>5.14672268160776</v>
      </c>
      <c r="J1246" s="1">
        <v>42382.548206018517</v>
      </c>
      <c r="K1246">
        <v>15.35</v>
      </c>
      <c r="L1246" s="6">
        <f>('Pizza Sales Calculations'!$J1246-'Pizza Sales Calculations'!$C1246)*24*60</f>
        <v>25.733333334792405</v>
      </c>
      <c r="M1246">
        <f>COUNTA('Pizza Sales Calculations'!$D1246:$F1246)</f>
        <v>1</v>
      </c>
      <c r="R1246" s="9">
        <f>IF('Pizza Sales Calculations'!$G1246=TRUE, Parameters!$B$17*'Pizza Sales Calculations'!$L1246*2, 0)</f>
        <v>7.2911111115245149</v>
      </c>
      <c r="T1246" s="6"/>
      <c r="U1246" s="9"/>
    </row>
    <row r="1247" spans="1:21" x14ac:dyDescent="0.2">
      <c r="A1247">
        <v>1246</v>
      </c>
      <c r="B1247" s="1">
        <v>42382.440729166665</v>
      </c>
      <c r="C1247" s="1">
        <v>42382.451111111113</v>
      </c>
      <c r="D1247" t="s">
        <v>35</v>
      </c>
      <c r="G1247" t="b">
        <v>1</v>
      </c>
      <c r="H1247">
        <v>70804</v>
      </c>
      <c r="I1247" s="6">
        <v>2.8488240564580898</v>
      </c>
      <c r="J1247" s="1">
        <v>42382.460995370369</v>
      </c>
      <c r="K1247">
        <v>15.35</v>
      </c>
      <c r="L1247" s="6">
        <f>('Pizza Sales Calculations'!$J1247-'Pizza Sales Calculations'!$C1247)*24*60</f>
        <v>14.233333328738809</v>
      </c>
      <c r="M1247">
        <f>COUNTA('Pizza Sales Calculations'!$D1247:$F1247)</f>
        <v>1</v>
      </c>
      <c r="R1247" s="9">
        <f>IF('Pizza Sales Calculations'!$G1247=TRUE, Parameters!$B$17*'Pizza Sales Calculations'!$L1247*2, 0)</f>
        <v>4.0327777764759958</v>
      </c>
      <c r="T1247" s="6"/>
      <c r="U1247" s="9"/>
    </row>
    <row r="1248" spans="1:21" x14ac:dyDescent="0.2">
      <c r="A1248">
        <v>1247</v>
      </c>
      <c r="B1248" s="1">
        <v>42382.437858796293</v>
      </c>
      <c r="C1248" s="1">
        <v>42382.448252314818</v>
      </c>
      <c r="D1248" t="s">
        <v>35</v>
      </c>
      <c r="G1248" t="b">
        <v>0</v>
      </c>
      <c r="H1248">
        <v>70806</v>
      </c>
      <c r="I1248" s="6">
        <v>0</v>
      </c>
      <c r="J1248" s="1">
        <v>42382.450335648151</v>
      </c>
      <c r="K1248">
        <v>15.35</v>
      </c>
      <c r="L1248" s="6">
        <f>('Pizza Sales Calculations'!$J1248-'Pizza Sales Calculations'!$C1248)*24*60</f>
        <v>2.9999999993015081</v>
      </c>
      <c r="M1248">
        <f>COUNTA('Pizza Sales Calculations'!$D1248:$F1248)</f>
        <v>1</v>
      </c>
      <c r="R1248" s="9">
        <f>IF('Pizza Sales Calculations'!$G1248=TRUE, Parameters!$B$17*'Pizza Sales Calculations'!$L1248*2, 0)</f>
        <v>0</v>
      </c>
      <c r="T1248" s="6"/>
      <c r="U1248" s="9"/>
    </row>
    <row r="1249" spans="1:21" x14ac:dyDescent="0.2">
      <c r="A1249">
        <v>1248</v>
      </c>
      <c r="B1249" s="1">
        <v>42382.437847222223</v>
      </c>
      <c r="C1249" s="1">
        <v>42382.448263888888</v>
      </c>
      <c r="D1249" t="s">
        <v>2</v>
      </c>
      <c r="G1249" t="b">
        <v>0</v>
      </c>
      <c r="H1249">
        <v>70804</v>
      </c>
      <c r="I1249" s="6">
        <v>0</v>
      </c>
      <c r="J1249" s="1">
        <v>42382.450324074074</v>
      </c>
      <c r="K1249">
        <v>11.59</v>
      </c>
      <c r="L1249" s="6">
        <f>('Pizza Sales Calculations'!$J1249-'Pizza Sales Calculations'!$C1249)*24*60</f>
        <v>2.9666666686534882</v>
      </c>
      <c r="M1249">
        <f>COUNTA('Pizza Sales Calculations'!$D1249:$F1249)</f>
        <v>1</v>
      </c>
      <c r="R1249" s="9">
        <f>IF('Pizza Sales Calculations'!$G1249=TRUE, Parameters!$B$17*'Pizza Sales Calculations'!$L1249*2, 0)</f>
        <v>0</v>
      </c>
      <c r="T1249" s="6"/>
      <c r="U1249" s="9"/>
    </row>
    <row r="1250" spans="1:21" x14ac:dyDescent="0.2">
      <c r="A1250">
        <v>1249</v>
      </c>
      <c r="B1250" s="1">
        <v>42382.50540509259</v>
      </c>
      <c r="C1250" s="1">
        <v>42382.515798611108</v>
      </c>
      <c r="D1250" t="s">
        <v>2</v>
      </c>
      <c r="G1250" t="b">
        <v>0</v>
      </c>
      <c r="H1250">
        <v>70803</v>
      </c>
      <c r="I1250" s="6">
        <v>0</v>
      </c>
      <c r="J1250" s="1">
        <v>42382.517858796295</v>
      </c>
      <c r="K1250">
        <v>11.59</v>
      </c>
      <c r="L1250" s="6">
        <f>('Pizza Sales Calculations'!$J1250-'Pizza Sales Calculations'!$C1250)*24*60</f>
        <v>2.9666666686534882</v>
      </c>
      <c r="M1250">
        <f>COUNTA('Pizza Sales Calculations'!$D1250:$F1250)</f>
        <v>1</v>
      </c>
      <c r="R1250" s="9">
        <f>IF('Pizza Sales Calculations'!$G1250=TRUE, Parameters!$B$17*'Pizza Sales Calculations'!$L1250*2, 0)</f>
        <v>0</v>
      </c>
      <c r="T1250" s="6"/>
      <c r="U1250" s="9"/>
    </row>
    <row r="1251" spans="1:21" x14ac:dyDescent="0.2">
      <c r="A1251">
        <v>1250</v>
      </c>
      <c r="B1251" s="1">
        <v>42382.434594907405</v>
      </c>
      <c r="C1251" s="1">
        <v>42382.445011574076</v>
      </c>
      <c r="D1251" t="s">
        <v>2</v>
      </c>
      <c r="G1251" t="b">
        <v>0</v>
      </c>
      <c r="H1251">
        <v>70803</v>
      </c>
      <c r="I1251" s="6">
        <v>0</v>
      </c>
      <c r="J1251" s="1">
        <v>42382.447083333333</v>
      </c>
      <c r="K1251">
        <v>11.59</v>
      </c>
      <c r="L1251" s="6">
        <f>('Pizza Sales Calculations'!$J1251-'Pizza Sales Calculations'!$C1251)*24*60</f>
        <v>2.9833333287388086</v>
      </c>
      <c r="M1251">
        <f>COUNTA('Pizza Sales Calculations'!$D1251:$F1251)</f>
        <v>1</v>
      </c>
      <c r="R1251" s="9">
        <f>IF('Pizza Sales Calculations'!$G1251=TRUE, Parameters!$B$17*'Pizza Sales Calculations'!$L1251*2, 0)</f>
        <v>0</v>
      </c>
      <c r="T1251" s="6"/>
      <c r="U1251" s="9"/>
    </row>
    <row r="1252" spans="1:21" x14ac:dyDescent="0.2">
      <c r="A1252">
        <v>1251</v>
      </c>
      <c r="B1252" s="1">
        <v>42382.540196759262</v>
      </c>
      <c r="C1252" s="1">
        <v>42382.55060185185</v>
      </c>
      <c r="D1252" t="s">
        <v>1</v>
      </c>
      <c r="G1252" t="b">
        <v>0</v>
      </c>
      <c r="H1252">
        <v>70806</v>
      </c>
      <c r="I1252" s="6">
        <v>0</v>
      </c>
      <c r="J1252" s="1">
        <v>42382.552673611113</v>
      </c>
      <c r="K1252">
        <v>7.99</v>
      </c>
      <c r="L1252" s="6">
        <f>('Pizza Sales Calculations'!$J1252-'Pizza Sales Calculations'!$C1252)*24*60</f>
        <v>2.9833333392161876</v>
      </c>
      <c r="M1252">
        <f>COUNTA('Pizza Sales Calculations'!$D1252:$F1252)</f>
        <v>1</v>
      </c>
      <c r="R1252" s="9">
        <f>IF('Pizza Sales Calculations'!$G1252=TRUE, Parameters!$B$17*'Pizza Sales Calculations'!$L1252*2, 0)</f>
        <v>0</v>
      </c>
      <c r="T1252" s="6"/>
      <c r="U1252" s="9"/>
    </row>
    <row r="1253" spans="1:21" x14ac:dyDescent="0.2">
      <c r="A1253">
        <v>1252</v>
      </c>
      <c r="B1253" s="1">
        <v>42382.603217592594</v>
      </c>
      <c r="C1253" s="1">
        <v>42382.613622685189</v>
      </c>
      <c r="D1253" t="s">
        <v>2</v>
      </c>
      <c r="G1253" t="b">
        <v>0</v>
      </c>
      <c r="H1253">
        <v>70807</v>
      </c>
      <c r="I1253" s="6">
        <v>0</v>
      </c>
      <c r="J1253" s="1">
        <v>42382.615706018521</v>
      </c>
      <c r="K1253">
        <v>11.59</v>
      </c>
      <c r="L1253" s="6">
        <f>('Pizza Sales Calculations'!$J1253-'Pizza Sales Calculations'!$C1253)*24*60</f>
        <v>2.9999999993015081</v>
      </c>
      <c r="M1253">
        <f>COUNTA('Pizza Sales Calculations'!$D1253:$F1253)</f>
        <v>1</v>
      </c>
      <c r="R1253" s="9">
        <f>IF('Pizza Sales Calculations'!$G1253=TRUE, Parameters!$B$17*'Pizza Sales Calculations'!$L1253*2, 0)</f>
        <v>0</v>
      </c>
      <c r="T1253" s="6"/>
      <c r="U1253" s="9"/>
    </row>
    <row r="1254" spans="1:21" x14ac:dyDescent="0.2">
      <c r="A1254">
        <v>1253</v>
      </c>
      <c r="B1254" s="1">
        <v>42382.434108796297</v>
      </c>
      <c r="C1254" s="1">
        <v>42382.444525462961</v>
      </c>
      <c r="D1254" t="s">
        <v>35</v>
      </c>
      <c r="G1254" t="b">
        <v>1</v>
      </c>
      <c r="H1254">
        <v>70803</v>
      </c>
      <c r="I1254" s="6">
        <v>2.3874994787642598</v>
      </c>
      <c r="J1254" s="1">
        <v>42382.4528125</v>
      </c>
      <c r="K1254">
        <v>15.35</v>
      </c>
      <c r="L1254" s="6">
        <f>('Pizza Sales Calculations'!$J1254-'Pizza Sales Calculations'!$C1254)*24*60</f>
        <v>11.933333335909992</v>
      </c>
      <c r="M1254">
        <f>COUNTA('Pizza Sales Calculations'!$D1254:$F1254)</f>
        <v>1</v>
      </c>
      <c r="R1254" s="9">
        <f>IF('Pizza Sales Calculations'!$G1254=TRUE, Parameters!$B$17*'Pizza Sales Calculations'!$L1254*2, 0)</f>
        <v>3.3811111118411645</v>
      </c>
      <c r="T1254" s="6"/>
      <c r="U1254" s="9"/>
    </row>
    <row r="1255" spans="1:21" x14ac:dyDescent="0.2">
      <c r="A1255">
        <v>1254</v>
      </c>
      <c r="B1255" s="1">
        <v>42382.482141203705</v>
      </c>
      <c r="C1255" s="1">
        <v>42382.492546296293</v>
      </c>
      <c r="D1255" t="s">
        <v>35</v>
      </c>
      <c r="G1255" t="b">
        <v>1</v>
      </c>
      <c r="H1255">
        <v>70805</v>
      </c>
      <c r="I1255" s="6">
        <v>1.2259568409852499</v>
      </c>
      <c r="J1255" s="1">
        <v>42382.496793981481</v>
      </c>
      <c r="K1255">
        <v>15.35</v>
      </c>
      <c r="L1255" s="6">
        <f>('Pizza Sales Calculations'!$J1255-'Pizza Sales Calculations'!$C1255)*24*60</f>
        <v>6.1166666715871543</v>
      </c>
      <c r="M1255">
        <f>COUNTA('Pizza Sales Calculations'!$D1255:$F1255)</f>
        <v>1</v>
      </c>
      <c r="R1255" s="9">
        <f>IF('Pizza Sales Calculations'!$G1255=TRUE, Parameters!$B$17*'Pizza Sales Calculations'!$L1255*2, 0)</f>
        <v>1.7330555569496937</v>
      </c>
      <c r="T1255" s="6"/>
      <c r="U1255" s="9"/>
    </row>
    <row r="1256" spans="1:21" x14ac:dyDescent="0.2">
      <c r="A1256">
        <v>1255</v>
      </c>
      <c r="B1256" s="1">
        <v>42382.47378472222</v>
      </c>
      <c r="C1256" s="1">
        <v>42382.484189814815</v>
      </c>
      <c r="D1256" t="s">
        <v>1</v>
      </c>
      <c r="G1256" t="b">
        <v>1</v>
      </c>
      <c r="H1256">
        <v>70803</v>
      </c>
      <c r="I1256" s="6">
        <v>2.1219468068365499</v>
      </c>
      <c r="J1256" s="1">
        <v>42382.491550925923</v>
      </c>
      <c r="K1256">
        <v>7.99</v>
      </c>
      <c r="L1256" s="6">
        <f>('Pizza Sales Calculations'!$J1256-'Pizza Sales Calculations'!$C1256)*24*60</f>
        <v>10.599999994738027</v>
      </c>
      <c r="M1256">
        <f>COUNTA('Pizza Sales Calculations'!$D1256:$F1256)</f>
        <v>1</v>
      </c>
      <c r="R1256" s="9">
        <f>IF('Pizza Sales Calculations'!$G1256=TRUE, Parameters!$B$17*'Pizza Sales Calculations'!$L1256*2, 0)</f>
        <v>3.0033333318424411</v>
      </c>
      <c r="T1256" s="6"/>
      <c r="U1256" s="9"/>
    </row>
    <row r="1257" spans="1:21" x14ac:dyDescent="0.2">
      <c r="A1257">
        <v>1256</v>
      </c>
      <c r="B1257" s="1">
        <v>42382.459976851853</v>
      </c>
      <c r="C1257" s="1">
        <v>42382.470381944448</v>
      </c>
      <c r="D1257" t="s">
        <v>2</v>
      </c>
      <c r="G1257" t="b">
        <v>0</v>
      </c>
      <c r="H1257">
        <v>70806</v>
      </c>
      <c r="I1257" s="6">
        <v>0</v>
      </c>
      <c r="J1257" s="1">
        <v>42382.47246527778</v>
      </c>
      <c r="K1257">
        <v>11.59</v>
      </c>
      <c r="L1257" s="6">
        <f>('Pizza Sales Calculations'!$J1257-'Pizza Sales Calculations'!$C1257)*24*60</f>
        <v>2.9999999993015081</v>
      </c>
      <c r="M1257">
        <f>COUNTA('Pizza Sales Calculations'!$D1257:$F1257)</f>
        <v>1</v>
      </c>
      <c r="R1257" s="9">
        <f>IF('Pizza Sales Calculations'!$G1257=TRUE, Parameters!$B$17*'Pizza Sales Calculations'!$L1257*2, 0)</f>
        <v>0</v>
      </c>
      <c r="T1257" s="6"/>
      <c r="U1257" s="9"/>
    </row>
    <row r="1258" spans="1:21" x14ac:dyDescent="0.2">
      <c r="A1258">
        <v>1257</v>
      </c>
      <c r="B1258" s="1">
        <v>42382.501631944448</v>
      </c>
      <c r="C1258" s="1">
        <v>42382.512048611112</v>
      </c>
      <c r="D1258" t="s">
        <v>35</v>
      </c>
      <c r="G1258" t="b">
        <v>1</v>
      </c>
      <c r="H1258">
        <v>70804</v>
      </c>
      <c r="I1258" s="6">
        <v>6.7674798053647596</v>
      </c>
      <c r="J1258" s="1">
        <v>42382.535543981481</v>
      </c>
      <c r="K1258">
        <v>15.35</v>
      </c>
      <c r="L1258" s="6">
        <f>('Pizza Sales Calculations'!$J1258-'Pizza Sales Calculations'!$C1258)*24*60</f>
        <v>33.833333331858739</v>
      </c>
      <c r="M1258">
        <f>COUNTA('Pizza Sales Calculations'!$D1258:$F1258)</f>
        <v>1</v>
      </c>
      <c r="R1258" s="9">
        <f>IF('Pizza Sales Calculations'!$G1258=TRUE, Parameters!$B$17*'Pizza Sales Calculations'!$L1258*2, 0)</f>
        <v>9.5861111106933095</v>
      </c>
      <c r="T1258" s="6"/>
      <c r="U1258" s="9"/>
    </row>
    <row r="1259" spans="1:21" x14ac:dyDescent="0.2">
      <c r="A1259">
        <v>1258</v>
      </c>
      <c r="B1259" s="1">
        <v>42382.468194444446</v>
      </c>
      <c r="C1259" s="1">
        <v>42382.478576388887</v>
      </c>
      <c r="D1259" t="s">
        <v>2</v>
      </c>
      <c r="G1259" t="b">
        <v>1</v>
      </c>
      <c r="H1259">
        <v>70805</v>
      </c>
      <c r="I1259" s="6">
        <v>3.1035058478568698</v>
      </c>
      <c r="J1259" s="1">
        <v>42382.489351851851</v>
      </c>
      <c r="K1259">
        <v>11.59</v>
      </c>
      <c r="L1259" s="6">
        <f>('Pizza Sales Calculations'!$J1259-'Pizza Sales Calculations'!$C1259)*24*60</f>
        <v>15.516666668700054</v>
      </c>
      <c r="M1259">
        <f>COUNTA('Pizza Sales Calculations'!$D1259:$F1259)</f>
        <v>1</v>
      </c>
      <c r="R1259" s="9">
        <f>IF('Pizza Sales Calculations'!$G1259=TRUE, Parameters!$B$17*'Pizza Sales Calculations'!$L1259*2, 0)</f>
        <v>4.3963888894650154</v>
      </c>
      <c r="T1259" s="6"/>
      <c r="U1259" s="9"/>
    </row>
    <row r="1260" spans="1:21" x14ac:dyDescent="0.2">
      <c r="A1260">
        <v>1259</v>
      </c>
      <c r="B1260" s="1">
        <v>42382.562939814816</v>
      </c>
      <c r="C1260" s="1">
        <v>42382.57335648148</v>
      </c>
      <c r="D1260" t="s">
        <v>1</v>
      </c>
      <c r="E1260" t="s">
        <v>2</v>
      </c>
      <c r="G1260" t="b">
        <v>1</v>
      </c>
      <c r="H1260">
        <v>70805</v>
      </c>
      <c r="I1260" s="6">
        <v>2.4557349580673402</v>
      </c>
      <c r="J1260" s="1">
        <v>42382.581875000003</v>
      </c>
      <c r="K1260">
        <v>19.579999999999998</v>
      </c>
      <c r="L1260" s="6">
        <f>('Pizza Sales Calculations'!$J1260-'Pizza Sales Calculations'!$C1260)*24*60</f>
        <v>12.266666673822328</v>
      </c>
      <c r="M1260">
        <f>COUNTA('Pizza Sales Calculations'!$D1260:$F1260)</f>
        <v>2</v>
      </c>
      <c r="R1260" s="9">
        <f>IF('Pizza Sales Calculations'!$G1260=TRUE, Parameters!$B$17*'Pizza Sales Calculations'!$L1260*2, 0)</f>
        <v>3.4755555575829931</v>
      </c>
      <c r="T1260" s="6"/>
      <c r="U1260" s="9"/>
    </row>
    <row r="1261" spans="1:21" x14ac:dyDescent="0.2">
      <c r="A1261">
        <v>1260</v>
      </c>
      <c r="B1261" s="1">
        <v>42382.475937499999</v>
      </c>
      <c r="C1261" s="1">
        <v>42382.486342592594</v>
      </c>
      <c r="D1261" t="s">
        <v>1</v>
      </c>
      <c r="G1261" t="b">
        <v>1</v>
      </c>
      <c r="H1261">
        <v>70804</v>
      </c>
      <c r="I1261" s="6">
        <v>2.5633258354631798</v>
      </c>
      <c r="J1261" s="1">
        <v>42382.49523148148</v>
      </c>
      <c r="K1261">
        <v>7.99</v>
      </c>
      <c r="L1261" s="6">
        <f>('Pizza Sales Calculations'!$J1261-'Pizza Sales Calculations'!$C1261)*24*60</f>
        <v>12.799999995622784</v>
      </c>
      <c r="M1261">
        <f>COUNTA('Pizza Sales Calculations'!$D1261:$F1261)</f>
        <v>1</v>
      </c>
      <c r="R1261" s="9">
        <f>IF('Pizza Sales Calculations'!$G1261=TRUE, Parameters!$B$17*'Pizza Sales Calculations'!$L1261*2, 0)</f>
        <v>3.6266666654264554</v>
      </c>
      <c r="T1261" s="6"/>
      <c r="U1261" s="9"/>
    </row>
    <row r="1262" spans="1:21" x14ac:dyDescent="0.2">
      <c r="A1262">
        <v>1261</v>
      </c>
      <c r="B1262" s="1">
        <v>42382.459837962961</v>
      </c>
      <c r="C1262" s="1">
        <v>42382.470266203702</v>
      </c>
      <c r="D1262" t="s">
        <v>1</v>
      </c>
      <c r="G1262" t="b">
        <v>0</v>
      </c>
      <c r="H1262">
        <v>70806</v>
      </c>
      <c r="I1262" s="6">
        <v>0</v>
      </c>
      <c r="J1262" s="1">
        <v>42382.472326388888</v>
      </c>
      <c r="K1262">
        <v>7.99</v>
      </c>
      <c r="L1262" s="6">
        <f>('Pizza Sales Calculations'!$J1262-'Pizza Sales Calculations'!$C1262)*24*60</f>
        <v>2.9666666686534882</v>
      </c>
      <c r="M1262">
        <f>COUNTA('Pizza Sales Calculations'!$D1262:$F1262)</f>
        <v>1</v>
      </c>
      <c r="R1262" s="9">
        <f>IF('Pizza Sales Calculations'!$G1262=TRUE, Parameters!$B$17*'Pizza Sales Calculations'!$L1262*2, 0)</f>
        <v>0</v>
      </c>
      <c r="T1262" s="6"/>
      <c r="U1262" s="9"/>
    </row>
    <row r="1263" spans="1:21" x14ac:dyDescent="0.2">
      <c r="A1263">
        <v>1262</v>
      </c>
      <c r="B1263" s="1">
        <v>42382.567800925928</v>
      </c>
      <c r="C1263" s="1">
        <v>42382.578217592592</v>
      </c>
      <c r="D1263" t="s">
        <v>1</v>
      </c>
      <c r="E1263" t="s">
        <v>2</v>
      </c>
      <c r="G1263" t="b">
        <v>0</v>
      </c>
      <c r="H1263">
        <v>70805</v>
      </c>
      <c r="I1263" s="6">
        <v>0</v>
      </c>
      <c r="J1263" s="1">
        <v>42382.580300925925</v>
      </c>
      <c r="K1263">
        <v>19.579999999999998</v>
      </c>
      <c r="L1263" s="6">
        <f>('Pizza Sales Calculations'!$J1263-'Pizza Sales Calculations'!$C1263)*24*60</f>
        <v>2.9999999993015081</v>
      </c>
      <c r="M1263">
        <f>COUNTA('Pizza Sales Calculations'!$D1263:$F1263)</f>
        <v>2</v>
      </c>
      <c r="R1263" s="9">
        <f>IF('Pizza Sales Calculations'!$G1263=TRUE, Parameters!$B$17*'Pizza Sales Calculations'!$L1263*2, 0)</f>
        <v>0</v>
      </c>
      <c r="T1263" s="6"/>
      <c r="U1263" s="9"/>
    </row>
    <row r="1264" spans="1:21" x14ac:dyDescent="0.2">
      <c r="A1264">
        <v>1263</v>
      </c>
      <c r="B1264" s="1">
        <v>42382.463020833333</v>
      </c>
      <c r="C1264" s="1">
        <v>42382.473414351851</v>
      </c>
      <c r="D1264" t="s">
        <v>1</v>
      </c>
      <c r="E1264" t="s">
        <v>35</v>
      </c>
      <c r="G1264" t="b">
        <v>0</v>
      </c>
      <c r="H1264">
        <v>70803</v>
      </c>
      <c r="I1264" s="6">
        <v>0</v>
      </c>
      <c r="J1264" s="1">
        <v>42382.475497685184</v>
      </c>
      <c r="K1264">
        <v>23.34</v>
      </c>
      <c r="L1264" s="6">
        <f>('Pizza Sales Calculations'!$J1264-'Pizza Sales Calculations'!$C1264)*24*60</f>
        <v>2.9999999993015081</v>
      </c>
      <c r="M1264">
        <f>COUNTA('Pizza Sales Calculations'!$D1264:$F1264)</f>
        <v>2</v>
      </c>
      <c r="R1264" s="9">
        <f>IF('Pizza Sales Calculations'!$G1264=TRUE, Parameters!$B$17*'Pizza Sales Calculations'!$L1264*2, 0)</f>
        <v>0</v>
      </c>
      <c r="T1264" s="6"/>
      <c r="U1264" s="9"/>
    </row>
    <row r="1265" spans="1:21" x14ac:dyDescent="0.2">
      <c r="A1265">
        <v>1264</v>
      </c>
      <c r="B1265" s="1">
        <v>42382.459803240738</v>
      </c>
      <c r="C1265" s="1">
        <v>42382.470196759263</v>
      </c>
      <c r="D1265" t="s">
        <v>1</v>
      </c>
      <c r="E1265" t="s">
        <v>2</v>
      </c>
      <c r="G1265" t="b">
        <v>1</v>
      </c>
      <c r="H1265">
        <v>70805</v>
      </c>
      <c r="I1265" s="6">
        <v>2.79820162569218</v>
      </c>
      <c r="J1265" s="1">
        <v>42382.479907407411</v>
      </c>
      <c r="K1265">
        <v>19.579999999999998</v>
      </c>
      <c r="L1265" s="6">
        <f>('Pizza Sales Calculations'!$J1265-'Pizza Sales Calculations'!$C1265)*24*60</f>
        <v>13.983333333162591</v>
      </c>
      <c r="M1265">
        <f>COUNTA('Pizza Sales Calculations'!$D1265:$F1265)</f>
        <v>2</v>
      </c>
      <c r="R1265" s="9">
        <f>IF('Pizza Sales Calculations'!$G1265=TRUE, Parameters!$B$17*'Pizza Sales Calculations'!$L1265*2, 0)</f>
        <v>3.9619444443960674</v>
      </c>
      <c r="T1265" s="6"/>
      <c r="U1265" s="9"/>
    </row>
    <row r="1266" spans="1:21" x14ac:dyDescent="0.2">
      <c r="A1266">
        <v>1265</v>
      </c>
      <c r="B1266" s="1">
        <v>42382.446400462963</v>
      </c>
      <c r="C1266" s="1">
        <v>42382.456805555557</v>
      </c>
      <c r="D1266" t="s">
        <v>1</v>
      </c>
      <c r="E1266" t="s">
        <v>2</v>
      </c>
      <c r="G1266" t="b">
        <v>0</v>
      </c>
      <c r="H1266">
        <v>70803</v>
      </c>
      <c r="I1266" s="6">
        <v>0</v>
      </c>
      <c r="J1266" s="1">
        <v>42382.45888888889</v>
      </c>
      <c r="K1266">
        <v>19.579999999999998</v>
      </c>
      <c r="L1266" s="6">
        <f>('Pizza Sales Calculations'!$J1266-'Pizza Sales Calculations'!$C1266)*24*60</f>
        <v>2.9999999993015081</v>
      </c>
      <c r="M1266">
        <f>COUNTA('Pizza Sales Calculations'!$D1266:$F1266)</f>
        <v>2</v>
      </c>
      <c r="R1266" s="9">
        <f>IF('Pizza Sales Calculations'!$G1266=TRUE, Parameters!$B$17*'Pizza Sales Calculations'!$L1266*2, 0)</f>
        <v>0</v>
      </c>
      <c r="T1266" s="6"/>
      <c r="U1266" s="9"/>
    </row>
    <row r="1267" spans="1:21" x14ac:dyDescent="0.2">
      <c r="A1267">
        <v>1266</v>
      </c>
      <c r="B1267" s="1">
        <v>42382.527465277781</v>
      </c>
      <c r="C1267" s="1">
        <v>42382.537870370368</v>
      </c>
      <c r="D1267" t="s">
        <v>1</v>
      </c>
      <c r="G1267" t="b">
        <v>0</v>
      </c>
      <c r="H1267">
        <v>70804</v>
      </c>
      <c r="I1267" s="6">
        <v>0</v>
      </c>
      <c r="J1267" s="1">
        <v>42382.539953703701</v>
      </c>
      <c r="K1267">
        <v>7.99</v>
      </c>
      <c r="L1267" s="6">
        <f>('Pizza Sales Calculations'!$J1267-'Pizza Sales Calculations'!$C1267)*24*60</f>
        <v>2.9999999993015081</v>
      </c>
      <c r="M1267">
        <f>COUNTA('Pizza Sales Calculations'!$D1267:$F1267)</f>
        <v>1</v>
      </c>
      <c r="R1267" s="9">
        <f>IF('Pizza Sales Calculations'!$G1267=TRUE, Parameters!$B$17*'Pizza Sales Calculations'!$L1267*2, 0)</f>
        <v>0</v>
      </c>
      <c r="T1267" s="6"/>
      <c r="U1267" s="9"/>
    </row>
    <row r="1268" spans="1:21" x14ac:dyDescent="0.2">
      <c r="A1268">
        <v>1267</v>
      </c>
      <c r="B1268" s="1">
        <v>42382.498854166668</v>
      </c>
      <c r="C1268" s="1">
        <v>42382.509282407409</v>
      </c>
      <c r="D1268" t="s">
        <v>2</v>
      </c>
      <c r="G1268" t="b">
        <v>0</v>
      </c>
      <c r="H1268">
        <v>70805</v>
      </c>
      <c r="I1268" s="6">
        <v>0</v>
      </c>
      <c r="J1268" s="1">
        <v>42382.511365740742</v>
      </c>
      <c r="K1268">
        <v>11.59</v>
      </c>
      <c r="L1268" s="6">
        <f>('Pizza Sales Calculations'!$J1268-'Pizza Sales Calculations'!$C1268)*24*60</f>
        <v>2.9999999993015081</v>
      </c>
      <c r="M1268">
        <f>COUNTA('Pizza Sales Calculations'!$D1268:$F1268)</f>
        <v>1</v>
      </c>
      <c r="R1268" s="9">
        <f>IF('Pizza Sales Calculations'!$G1268=TRUE, Parameters!$B$17*'Pizza Sales Calculations'!$L1268*2, 0)</f>
        <v>0</v>
      </c>
      <c r="T1268" s="6"/>
      <c r="U1268" s="9"/>
    </row>
    <row r="1269" spans="1:21" x14ac:dyDescent="0.2">
      <c r="A1269">
        <v>1268</v>
      </c>
      <c r="B1269" s="1">
        <v>42382.432662037034</v>
      </c>
      <c r="C1269" s="1">
        <v>42382.443067129629</v>
      </c>
      <c r="D1269" t="s">
        <v>35</v>
      </c>
      <c r="G1269" t="b">
        <v>0</v>
      </c>
      <c r="H1269">
        <v>70804</v>
      </c>
      <c r="I1269" s="6">
        <v>0</v>
      </c>
      <c r="J1269" s="1">
        <v>42382.445150462961</v>
      </c>
      <c r="K1269">
        <v>15.35</v>
      </c>
      <c r="L1269" s="6">
        <f>('Pizza Sales Calculations'!$J1269-'Pizza Sales Calculations'!$C1269)*24*60</f>
        <v>2.9999999993015081</v>
      </c>
      <c r="M1269">
        <f>COUNTA('Pizza Sales Calculations'!$D1269:$F1269)</f>
        <v>1</v>
      </c>
      <c r="R1269" s="9">
        <f>IF('Pizza Sales Calculations'!$G1269=TRUE, Parameters!$B$17*'Pizza Sales Calculations'!$L1269*2, 0)</f>
        <v>0</v>
      </c>
      <c r="T1269" s="6"/>
      <c r="U1269" s="9"/>
    </row>
    <row r="1270" spans="1:21" x14ac:dyDescent="0.2">
      <c r="A1270">
        <v>1269</v>
      </c>
      <c r="B1270" s="1">
        <v>42382.493530092594</v>
      </c>
      <c r="C1270" s="1">
        <v>42382.503946759258</v>
      </c>
      <c r="D1270" t="s">
        <v>2</v>
      </c>
      <c r="G1270" t="b">
        <v>0</v>
      </c>
      <c r="H1270">
        <v>70806</v>
      </c>
      <c r="I1270" s="6">
        <v>0</v>
      </c>
      <c r="J1270" s="1">
        <v>42382.506018518521</v>
      </c>
      <c r="K1270">
        <v>11.59</v>
      </c>
      <c r="L1270" s="6">
        <f>('Pizza Sales Calculations'!$J1270-'Pizza Sales Calculations'!$C1270)*24*60</f>
        <v>2.9833333392161876</v>
      </c>
      <c r="M1270">
        <f>COUNTA('Pizza Sales Calculations'!$D1270:$F1270)</f>
        <v>1</v>
      </c>
      <c r="R1270" s="9">
        <f>IF('Pizza Sales Calculations'!$G1270=TRUE, Parameters!$B$17*'Pizza Sales Calculations'!$L1270*2, 0)</f>
        <v>0</v>
      </c>
      <c r="T1270" s="6"/>
      <c r="U1270" s="9"/>
    </row>
    <row r="1271" spans="1:21" x14ac:dyDescent="0.2">
      <c r="A1271">
        <v>1270</v>
      </c>
      <c r="B1271" s="1">
        <v>42382.597569444442</v>
      </c>
      <c r="C1271" s="1">
        <v>42382.607997685183</v>
      </c>
      <c r="D1271" t="s">
        <v>2</v>
      </c>
      <c r="G1271" t="b">
        <v>0</v>
      </c>
      <c r="H1271">
        <v>70805</v>
      </c>
      <c r="I1271" s="6">
        <v>0</v>
      </c>
      <c r="J1271" s="1">
        <v>42382.610081018516</v>
      </c>
      <c r="K1271">
        <v>11.59</v>
      </c>
      <c r="L1271" s="6">
        <f>('Pizza Sales Calculations'!$J1271-'Pizza Sales Calculations'!$C1271)*24*60</f>
        <v>2.9999999993015081</v>
      </c>
      <c r="M1271">
        <f>COUNTA('Pizza Sales Calculations'!$D1271:$F1271)</f>
        <v>1</v>
      </c>
      <c r="R1271" s="9">
        <f>IF('Pizza Sales Calculations'!$G1271=TRUE, Parameters!$B$17*'Pizza Sales Calculations'!$L1271*2, 0)</f>
        <v>0</v>
      </c>
      <c r="T1271" s="6"/>
      <c r="U1271" s="9"/>
    </row>
    <row r="1272" spans="1:21" x14ac:dyDescent="0.2">
      <c r="A1272">
        <v>1271</v>
      </c>
      <c r="B1272" s="1">
        <v>42382.513414351852</v>
      </c>
      <c r="C1272" s="1">
        <v>42382.523819444446</v>
      </c>
      <c r="D1272" t="s">
        <v>35</v>
      </c>
      <c r="G1272" t="b">
        <v>1</v>
      </c>
      <c r="H1272">
        <v>70805</v>
      </c>
      <c r="I1272" s="6">
        <v>0.65416117413362596</v>
      </c>
      <c r="J1272" s="1">
        <v>42382.526087962964</v>
      </c>
      <c r="K1272">
        <v>15.35</v>
      </c>
      <c r="L1272" s="6">
        <f>('Pizza Sales Calculations'!$J1272-'Pizza Sales Calculations'!$C1272)*24*60</f>
        <v>3.2666666654404253</v>
      </c>
      <c r="M1272">
        <f>COUNTA('Pizza Sales Calculations'!$D1272:$F1272)</f>
        <v>1</v>
      </c>
      <c r="R1272" s="9">
        <f>IF('Pizza Sales Calculations'!$G1272=TRUE, Parameters!$B$17*'Pizza Sales Calculations'!$L1272*2, 0)</f>
        <v>0.9255555552081205</v>
      </c>
      <c r="T1272" s="6"/>
      <c r="U1272" s="9"/>
    </row>
    <row r="1273" spans="1:21" x14ac:dyDescent="0.2">
      <c r="A1273">
        <v>1272</v>
      </c>
      <c r="B1273" s="1">
        <v>42382.47960648148</v>
      </c>
      <c r="C1273" s="1">
        <v>42382.490023148152</v>
      </c>
      <c r="D1273" t="s">
        <v>1</v>
      </c>
      <c r="G1273" t="b">
        <v>1</v>
      </c>
      <c r="H1273">
        <v>70805</v>
      </c>
      <c r="I1273" s="6">
        <v>3.1584925932908701</v>
      </c>
      <c r="J1273" s="1">
        <v>42382.500983796293</v>
      </c>
      <c r="K1273">
        <v>7.99</v>
      </c>
      <c r="L1273" s="6">
        <f>('Pizza Sales Calculations'!$J1273-'Pizza Sales Calculations'!$C1273)*24*60</f>
        <v>15.783333324361593</v>
      </c>
      <c r="M1273">
        <f>COUNTA('Pizza Sales Calculations'!$D1273:$F1273)</f>
        <v>1</v>
      </c>
      <c r="R1273" s="9">
        <f>IF('Pizza Sales Calculations'!$G1273=TRUE, Parameters!$B$17*'Pizza Sales Calculations'!$L1273*2, 0)</f>
        <v>4.4719444419024512</v>
      </c>
      <c r="T1273" s="6"/>
      <c r="U1273" s="9"/>
    </row>
    <row r="1274" spans="1:21" x14ac:dyDescent="0.2">
      <c r="A1274">
        <v>1273</v>
      </c>
      <c r="B1274" s="1">
        <v>42382.592824074076</v>
      </c>
      <c r="C1274" s="1">
        <v>42382.603252314817</v>
      </c>
      <c r="D1274" t="s">
        <v>35</v>
      </c>
      <c r="G1274" t="b">
        <v>1</v>
      </c>
      <c r="H1274">
        <v>70807</v>
      </c>
      <c r="I1274" s="6">
        <v>4.56236558085984</v>
      </c>
      <c r="J1274" s="1">
        <v>42382.619085648148</v>
      </c>
      <c r="K1274">
        <v>15.35</v>
      </c>
      <c r="L1274" s="6">
        <f>('Pizza Sales Calculations'!$J1274-'Pizza Sales Calculations'!$C1274)*24*60</f>
        <v>22.799999996786937</v>
      </c>
      <c r="M1274">
        <f>COUNTA('Pizza Sales Calculations'!$D1274:$F1274)</f>
        <v>1</v>
      </c>
      <c r="R1274" s="9">
        <f>IF('Pizza Sales Calculations'!$G1274=TRUE, Parameters!$B$17*'Pizza Sales Calculations'!$L1274*2, 0)</f>
        <v>6.4599999990896322</v>
      </c>
      <c r="T1274" s="6"/>
      <c r="U1274" s="9"/>
    </row>
    <row r="1275" spans="1:21" x14ac:dyDescent="0.2">
      <c r="A1275">
        <v>1274</v>
      </c>
      <c r="B1275" s="1">
        <v>42382.471863425926</v>
      </c>
      <c r="C1275" s="1">
        <v>42382.482268518521</v>
      </c>
      <c r="D1275" t="s">
        <v>35</v>
      </c>
      <c r="G1275" t="b">
        <v>1</v>
      </c>
      <c r="H1275">
        <v>70806</v>
      </c>
      <c r="I1275" s="6">
        <v>5.5270081915870097</v>
      </c>
      <c r="J1275" s="1">
        <v>42382.501458333332</v>
      </c>
      <c r="K1275">
        <v>15.35</v>
      </c>
      <c r="L1275" s="6">
        <f>('Pizza Sales Calculations'!$J1275-'Pizza Sales Calculations'!$C1275)*24*60</f>
        <v>27.633333328412846</v>
      </c>
      <c r="M1275">
        <f>COUNTA('Pizza Sales Calculations'!$D1275:$F1275)</f>
        <v>1</v>
      </c>
      <c r="R1275" s="9">
        <f>IF('Pizza Sales Calculations'!$G1275=TRUE, Parameters!$B$17*'Pizza Sales Calculations'!$L1275*2, 0)</f>
        <v>7.8294444430503063</v>
      </c>
      <c r="T1275" s="6"/>
      <c r="U1275" s="9"/>
    </row>
    <row r="1276" spans="1:21" x14ac:dyDescent="0.2">
      <c r="A1276">
        <v>1275</v>
      </c>
      <c r="B1276" s="1">
        <v>42382.429699074077</v>
      </c>
      <c r="C1276" s="1">
        <v>42382.440081018518</v>
      </c>
      <c r="D1276" t="s">
        <v>2</v>
      </c>
      <c r="G1276" t="b">
        <v>1</v>
      </c>
      <c r="H1276">
        <v>70805</v>
      </c>
      <c r="I1276" s="6">
        <v>3.9364412390552102</v>
      </c>
      <c r="J1276" s="1">
        <v>42382.453738425924</v>
      </c>
      <c r="K1276">
        <v>11.59</v>
      </c>
      <c r="L1276" s="6">
        <f>('Pizza Sales Calculations'!$J1276-'Pizza Sales Calculations'!$C1276)*24*60</f>
        <v>19.66666666441597</v>
      </c>
      <c r="M1276">
        <f>COUNTA('Pizza Sales Calculations'!$D1276:$F1276)</f>
        <v>1</v>
      </c>
      <c r="R1276" s="9">
        <f>IF('Pizza Sales Calculations'!$G1276=TRUE, Parameters!$B$17*'Pizza Sales Calculations'!$L1276*2, 0)</f>
        <v>5.572222221584525</v>
      </c>
      <c r="T1276" s="6"/>
      <c r="U1276" s="9"/>
    </row>
    <row r="1277" spans="1:21" x14ac:dyDescent="0.2">
      <c r="A1277">
        <v>1276</v>
      </c>
      <c r="B1277" s="1">
        <v>42382.576666666668</v>
      </c>
      <c r="C1277" s="1">
        <v>42382.587083333332</v>
      </c>
      <c r="D1277" t="s">
        <v>35</v>
      </c>
      <c r="G1277" t="b">
        <v>0</v>
      </c>
      <c r="H1277">
        <v>70805</v>
      </c>
      <c r="I1277" s="6">
        <v>0</v>
      </c>
      <c r="J1277" s="1">
        <v>42382.589166666665</v>
      </c>
      <c r="K1277">
        <v>15.35</v>
      </c>
      <c r="L1277" s="6">
        <f>('Pizza Sales Calculations'!$J1277-'Pizza Sales Calculations'!$C1277)*24*60</f>
        <v>2.9999999993015081</v>
      </c>
      <c r="M1277">
        <f>COUNTA('Pizza Sales Calculations'!$D1277:$F1277)</f>
        <v>1</v>
      </c>
      <c r="R1277" s="9">
        <f>IF('Pizza Sales Calculations'!$G1277=TRUE, Parameters!$B$17*'Pizza Sales Calculations'!$L1277*2, 0)</f>
        <v>0</v>
      </c>
      <c r="T1277" s="6"/>
      <c r="U1277" s="9"/>
    </row>
    <row r="1278" spans="1:21" x14ac:dyDescent="0.2">
      <c r="A1278">
        <v>1277</v>
      </c>
      <c r="B1278" s="1">
        <v>42382.461793981478</v>
      </c>
      <c r="C1278" s="1">
        <v>42382.472210648149</v>
      </c>
      <c r="D1278" t="s">
        <v>1</v>
      </c>
      <c r="G1278" t="b">
        <v>0</v>
      </c>
      <c r="H1278">
        <v>70803</v>
      </c>
      <c r="I1278" s="6">
        <v>0</v>
      </c>
      <c r="J1278" s="1">
        <v>42382.474270833336</v>
      </c>
      <c r="K1278">
        <v>7.99</v>
      </c>
      <c r="L1278" s="6">
        <f>('Pizza Sales Calculations'!$J1278-'Pizza Sales Calculations'!$C1278)*24*60</f>
        <v>2.9666666686534882</v>
      </c>
      <c r="M1278">
        <f>COUNTA('Pizza Sales Calculations'!$D1278:$F1278)</f>
        <v>1</v>
      </c>
      <c r="R1278" s="9">
        <f>IF('Pizza Sales Calculations'!$G1278=TRUE, Parameters!$B$17*'Pizza Sales Calculations'!$L1278*2, 0)</f>
        <v>0</v>
      </c>
      <c r="T1278" s="6"/>
      <c r="U1278" s="9"/>
    </row>
    <row r="1279" spans="1:21" x14ac:dyDescent="0.2">
      <c r="A1279">
        <v>1278</v>
      </c>
      <c r="B1279" s="1">
        <v>42382.568553240744</v>
      </c>
      <c r="C1279" s="1">
        <v>42382.578969907408</v>
      </c>
      <c r="D1279" t="s">
        <v>2</v>
      </c>
      <c r="E1279" t="s">
        <v>35</v>
      </c>
      <c r="G1279" t="b">
        <v>1</v>
      </c>
      <c r="H1279">
        <v>70803</v>
      </c>
      <c r="I1279" s="6">
        <v>3.7399057159045999</v>
      </c>
      <c r="J1279" s="1">
        <v>42382.591944444444</v>
      </c>
      <c r="K1279">
        <v>25.94</v>
      </c>
      <c r="L1279" s="6">
        <f>('Pizza Sales Calculations'!$J1279-'Pizza Sales Calculations'!$C1279)*24*60</f>
        <v>18.683333331719041</v>
      </c>
      <c r="M1279">
        <f>COUNTA('Pizza Sales Calculations'!$D1279:$F1279)</f>
        <v>2</v>
      </c>
      <c r="R1279" s="9">
        <f>IF('Pizza Sales Calculations'!$G1279=TRUE, Parameters!$B$17*'Pizza Sales Calculations'!$L1279*2, 0)</f>
        <v>5.2936111106537282</v>
      </c>
      <c r="T1279" s="6"/>
      <c r="U1279" s="9"/>
    </row>
    <row r="1280" spans="1:21" x14ac:dyDescent="0.2">
      <c r="A1280">
        <v>1279</v>
      </c>
      <c r="B1280" s="1">
        <v>42382.510717592595</v>
      </c>
      <c r="C1280" s="1">
        <v>42382.521122685182</v>
      </c>
      <c r="D1280" t="s">
        <v>35</v>
      </c>
      <c r="G1280" t="b">
        <v>0</v>
      </c>
      <c r="H1280">
        <v>70803</v>
      </c>
      <c r="I1280" s="6">
        <v>0</v>
      </c>
      <c r="J1280" s="1">
        <v>42382.523206018515</v>
      </c>
      <c r="K1280">
        <v>15.35</v>
      </c>
      <c r="L1280" s="6">
        <f>('Pizza Sales Calculations'!$J1280-'Pizza Sales Calculations'!$C1280)*24*60</f>
        <v>2.9999999993015081</v>
      </c>
      <c r="M1280">
        <f>COUNTA('Pizza Sales Calculations'!$D1280:$F1280)</f>
        <v>1</v>
      </c>
      <c r="R1280" s="9">
        <f>IF('Pizza Sales Calculations'!$G1280=TRUE, Parameters!$B$17*'Pizza Sales Calculations'!$L1280*2, 0)</f>
        <v>0</v>
      </c>
      <c r="T1280" s="6"/>
      <c r="U1280" s="9"/>
    </row>
    <row r="1281" spans="1:21" x14ac:dyDescent="0.2">
      <c r="A1281">
        <v>1280</v>
      </c>
      <c r="B1281" s="1">
        <v>42382.521967592591</v>
      </c>
      <c r="C1281" s="1">
        <v>42382.532372685186</v>
      </c>
      <c r="D1281" t="s">
        <v>35</v>
      </c>
      <c r="G1281" t="b">
        <v>0</v>
      </c>
      <c r="H1281">
        <v>70805</v>
      </c>
      <c r="I1281" s="6">
        <v>0</v>
      </c>
      <c r="J1281" s="1">
        <v>42382.534456018519</v>
      </c>
      <c r="K1281">
        <v>15.35</v>
      </c>
      <c r="L1281" s="6">
        <f>('Pizza Sales Calculations'!$J1281-'Pizza Sales Calculations'!$C1281)*24*60</f>
        <v>2.9999999993015081</v>
      </c>
      <c r="M1281">
        <f>COUNTA('Pizza Sales Calculations'!$D1281:$F1281)</f>
        <v>1</v>
      </c>
      <c r="R1281" s="9">
        <f>IF('Pizza Sales Calculations'!$G1281=TRUE, Parameters!$B$17*'Pizza Sales Calculations'!$L1281*2, 0)</f>
        <v>0</v>
      </c>
      <c r="T1281" s="6"/>
      <c r="U1281" s="9"/>
    </row>
    <row r="1282" spans="1:21" x14ac:dyDescent="0.2">
      <c r="A1282">
        <v>1281</v>
      </c>
      <c r="B1282" s="1">
        <v>42383.418599537035</v>
      </c>
      <c r="C1282" s="1">
        <v>42383.429027777776</v>
      </c>
      <c r="D1282" t="s">
        <v>2</v>
      </c>
      <c r="G1282" t="b">
        <v>1</v>
      </c>
      <c r="H1282">
        <v>70806</v>
      </c>
      <c r="I1282" s="6">
        <v>2.5504066111117001</v>
      </c>
      <c r="J1282" s="1">
        <v>42383.437881944446</v>
      </c>
      <c r="K1282">
        <v>11.59</v>
      </c>
      <c r="L1282" s="6">
        <f>('Pizza Sales Calculations'!$J1282-'Pizza Sales Calculations'!$C1282)*24*60</f>
        <v>12.750000004889444</v>
      </c>
      <c r="M1282">
        <f>COUNTA('Pizza Sales Calculations'!$D1282:$F1282)</f>
        <v>1</v>
      </c>
      <c r="R1282" s="9">
        <f>IF('Pizza Sales Calculations'!$G1282=TRUE, Parameters!$B$17*'Pizza Sales Calculations'!$L1282*2, 0)</f>
        <v>3.6125000013853423</v>
      </c>
      <c r="T1282" s="6"/>
      <c r="U1282" s="9"/>
    </row>
    <row r="1283" spans="1:21" x14ac:dyDescent="0.2">
      <c r="A1283">
        <v>1282</v>
      </c>
      <c r="B1283" s="1">
        <v>42383.529618055552</v>
      </c>
      <c r="C1283" s="1">
        <v>42383.540046296293</v>
      </c>
      <c r="D1283" t="s">
        <v>1</v>
      </c>
      <c r="G1283" t="b">
        <v>1</v>
      </c>
      <c r="H1283">
        <v>70803</v>
      </c>
      <c r="I1283" s="6">
        <v>5.2896576347462201</v>
      </c>
      <c r="J1283" s="1">
        <v>42383.55840277778</v>
      </c>
      <c r="K1283">
        <v>7.99</v>
      </c>
      <c r="L1283" s="6">
        <f>('Pizza Sales Calculations'!$J1283-'Pizza Sales Calculations'!$C1283)*24*60</f>
        <v>26.433333341265097</v>
      </c>
      <c r="M1283">
        <f>COUNTA('Pizza Sales Calculations'!$D1283:$F1283)</f>
        <v>1</v>
      </c>
      <c r="R1283" s="9">
        <f>IF('Pizza Sales Calculations'!$G1283=TRUE, Parameters!$B$17*'Pizza Sales Calculations'!$L1283*2, 0)</f>
        <v>7.4894444466917776</v>
      </c>
      <c r="T1283" s="6"/>
      <c r="U1283" s="9"/>
    </row>
    <row r="1284" spans="1:21" x14ac:dyDescent="0.2">
      <c r="A1284">
        <v>1283</v>
      </c>
      <c r="B1284" s="1">
        <v>42383.530624999999</v>
      </c>
      <c r="C1284" s="1">
        <v>42383.541030092594</v>
      </c>
      <c r="D1284" t="s">
        <v>1</v>
      </c>
      <c r="E1284" t="s">
        <v>2</v>
      </c>
      <c r="G1284" t="b">
        <v>1</v>
      </c>
      <c r="H1284">
        <v>70807</v>
      </c>
      <c r="I1284" s="6">
        <v>2.4493782134095601</v>
      </c>
      <c r="J1284" s="1">
        <v>42383.549525462964</v>
      </c>
      <c r="K1284">
        <v>19.579999999999998</v>
      </c>
      <c r="L1284" s="6">
        <f>('Pizza Sales Calculations'!$J1284-'Pizza Sales Calculations'!$C1284)*24*60</f>
        <v>12.23333333269693</v>
      </c>
      <c r="M1284">
        <f>COUNTA('Pizza Sales Calculations'!$D1284:$F1284)</f>
        <v>2</v>
      </c>
      <c r="R1284" s="9">
        <f>IF('Pizza Sales Calculations'!$G1284=TRUE, Parameters!$B$17*'Pizza Sales Calculations'!$L1284*2, 0)</f>
        <v>3.4661111109307967</v>
      </c>
      <c r="T1284" s="6"/>
      <c r="U1284" s="9"/>
    </row>
    <row r="1285" spans="1:21" x14ac:dyDescent="0.2">
      <c r="A1285">
        <v>1284</v>
      </c>
      <c r="B1285" s="1">
        <v>42383.438356481478</v>
      </c>
      <c r="C1285" s="1">
        <v>42383.448773148149</v>
      </c>
      <c r="D1285" t="s">
        <v>2</v>
      </c>
      <c r="G1285" t="b">
        <v>0</v>
      </c>
      <c r="H1285">
        <v>70804</v>
      </c>
      <c r="I1285" s="6">
        <v>0</v>
      </c>
      <c r="J1285" s="1">
        <v>42383.450833333336</v>
      </c>
      <c r="K1285">
        <v>11.59</v>
      </c>
      <c r="L1285" s="6">
        <f>('Pizza Sales Calculations'!$J1285-'Pizza Sales Calculations'!$C1285)*24*60</f>
        <v>2.9666666686534882</v>
      </c>
      <c r="M1285">
        <f>COUNTA('Pizza Sales Calculations'!$D1285:$F1285)</f>
        <v>1</v>
      </c>
      <c r="R1285" s="9">
        <f>IF('Pizza Sales Calculations'!$G1285=TRUE, Parameters!$B$17*'Pizza Sales Calculations'!$L1285*2, 0)</f>
        <v>0</v>
      </c>
      <c r="T1285" s="6"/>
      <c r="U1285" s="9"/>
    </row>
    <row r="1286" spans="1:21" x14ac:dyDescent="0.2">
      <c r="A1286">
        <v>1285</v>
      </c>
      <c r="B1286" s="1">
        <v>42383.43577546296</v>
      </c>
      <c r="C1286" s="1">
        <v>42383.446192129632</v>
      </c>
      <c r="D1286" t="s">
        <v>2</v>
      </c>
      <c r="G1286" t="b">
        <v>1</v>
      </c>
      <c r="H1286">
        <v>70805</v>
      </c>
      <c r="I1286" s="6">
        <v>3.8432328447141302</v>
      </c>
      <c r="J1286" s="1">
        <v>42383.45952546296</v>
      </c>
      <c r="K1286">
        <v>11.59</v>
      </c>
      <c r="L1286" s="6">
        <f>('Pizza Sales Calculations'!$J1286-'Pizza Sales Calculations'!$C1286)*24*60</f>
        <v>19.199999993434176</v>
      </c>
      <c r="M1286">
        <f>COUNTA('Pizza Sales Calculations'!$D1286:$F1286)</f>
        <v>1</v>
      </c>
      <c r="R1286" s="9">
        <f>IF('Pizza Sales Calculations'!$G1286=TRUE, Parameters!$B$17*'Pizza Sales Calculations'!$L1286*2, 0)</f>
        <v>5.4399999981396832</v>
      </c>
      <c r="T1286" s="6"/>
      <c r="U1286" s="9"/>
    </row>
    <row r="1287" spans="1:21" x14ac:dyDescent="0.2">
      <c r="A1287">
        <v>1286</v>
      </c>
      <c r="B1287" s="1">
        <v>42383.438043981485</v>
      </c>
      <c r="C1287" s="1">
        <v>42383.448437500003</v>
      </c>
      <c r="D1287" t="s">
        <v>35</v>
      </c>
      <c r="G1287" t="b">
        <v>1</v>
      </c>
      <c r="H1287">
        <v>70806</v>
      </c>
      <c r="I1287" s="6">
        <v>3.1372559381127201</v>
      </c>
      <c r="J1287" s="1">
        <v>42383.459328703706</v>
      </c>
      <c r="K1287">
        <v>15.35</v>
      </c>
      <c r="L1287" s="6">
        <f>('Pizza Sales Calculations'!$J1287-'Pizza Sales Calculations'!$C1287)*24*60</f>
        <v>15.683333332417533</v>
      </c>
      <c r="M1287">
        <f>COUNTA('Pizza Sales Calculations'!$D1287:$F1287)</f>
        <v>1</v>
      </c>
      <c r="R1287" s="9">
        <f>IF('Pizza Sales Calculations'!$G1287=TRUE, Parameters!$B$17*'Pizza Sales Calculations'!$L1287*2, 0)</f>
        <v>4.4436111108516343</v>
      </c>
      <c r="T1287" s="6"/>
      <c r="U1287" s="9"/>
    </row>
    <row r="1288" spans="1:21" x14ac:dyDescent="0.2">
      <c r="A1288">
        <v>1287</v>
      </c>
      <c r="B1288" s="1">
        <v>42383.474641203706</v>
      </c>
      <c r="C1288" s="1">
        <v>42383.48505787037</v>
      </c>
      <c r="D1288" t="s">
        <v>2</v>
      </c>
      <c r="G1288" t="b">
        <v>0</v>
      </c>
      <c r="H1288">
        <v>70803</v>
      </c>
      <c r="I1288" s="6">
        <v>0</v>
      </c>
      <c r="J1288" s="1">
        <v>42383.487141203703</v>
      </c>
      <c r="K1288">
        <v>11.59</v>
      </c>
      <c r="L1288" s="6">
        <f>('Pizza Sales Calculations'!$J1288-'Pizza Sales Calculations'!$C1288)*24*60</f>
        <v>2.9999999993015081</v>
      </c>
      <c r="M1288">
        <f>COUNTA('Pizza Sales Calculations'!$D1288:$F1288)</f>
        <v>1</v>
      </c>
      <c r="R1288" s="9">
        <f>IF('Pizza Sales Calculations'!$G1288=TRUE, Parameters!$B$17*'Pizza Sales Calculations'!$L1288*2, 0)</f>
        <v>0</v>
      </c>
      <c r="T1288" s="6"/>
      <c r="U1288" s="9"/>
    </row>
    <row r="1289" spans="1:21" x14ac:dyDescent="0.2">
      <c r="A1289">
        <v>1288</v>
      </c>
      <c r="B1289" s="1">
        <v>42383.515486111108</v>
      </c>
      <c r="C1289" s="1">
        <v>42383.525891203702</v>
      </c>
      <c r="D1289" t="s">
        <v>2</v>
      </c>
      <c r="G1289" t="b">
        <v>0</v>
      </c>
      <c r="H1289">
        <v>70805</v>
      </c>
      <c r="I1289" s="6">
        <v>0</v>
      </c>
      <c r="J1289" s="1">
        <v>42383.527962962966</v>
      </c>
      <c r="K1289">
        <v>11.59</v>
      </c>
      <c r="L1289" s="6">
        <f>('Pizza Sales Calculations'!$J1289-'Pizza Sales Calculations'!$C1289)*24*60</f>
        <v>2.9833333392161876</v>
      </c>
      <c r="M1289">
        <f>COUNTA('Pizza Sales Calculations'!$D1289:$F1289)</f>
        <v>1</v>
      </c>
      <c r="R1289" s="9">
        <f>IF('Pizza Sales Calculations'!$G1289=TRUE, Parameters!$B$17*'Pizza Sales Calculations'!$L1289*2, 0)</f>
        <v>0</v>
      </c>
      <c r="T1289" s="6"/>
      <c r="U1289" s="9"/>
    </row>
    <row r="1290" spans="1:21" x14ac:dyDescent="0.2">
      <c r="A1290">
        <v>1289</v>
      </c>
      <c r="B1290" s="1">
        <v>42383.503900462965</v>
      </c>
      <c r="C1290" s="1">
        <v>42383.514305555553</v>
      </c>
      <c r="D1290" t="s">
        <v>35</v>
      </c>
      <c r="G1290" t="b">
        <v>0</v>
      </c>
      <c r="H1290">
        <v>70805</v>
      </c>
      <c r="I1290" s="6">
        <v>0</v>
      </c>
      <c r="J1290" s="1">
        <v>42383.516400462962</v>
      </c>
      <c r="K1290">
        <v>15.35</v>
      </c>
      <c r="L1290" s="6">
        <f>('Pizza Sales Calculations'!$J1290-'Pizza Sales Calculations'!$C1290)*24*60</f>
        <v>3.0166666698642075</v>
      </c>
      <c r="M1290">
        <f>COUNTA('Pizza Sales Calculations'!$D1290:$F1290)</f>
        <v>1</v>
      </c>
      <c r="R1290" s="9">
        <f>IF('Pizza Sales Calculations'!$G1290=TRUE, Parameters!$B$17*'Pizza Sales Calculations'!$L1290*2, 0)</f>
        <v>0</v>
      </c>
      <c r="T1290" s="6"/>
      <c r="U1290" s="9"/>
    </row>
    <row r="1291" spans="1:21" x14ac:dyDescent="0.2">
      <c r="A1291">
        <v>1290</v>
      </c>
      <c r="B1291" s="1">
        <v>42383.475416666668</v>
      </c>
      <c r="C1291" s="1">
        <v>42383.485833333332</v>
      </c>
      <c r="D1291" t="s">
        <v>1</v>
      </c>
      <c r="E1291" t="s">
        <v>2</v>
      </c>
      <c r="G1291" t="b">
        <v>1</v>
      </c>
      <c r="H1291">
        <v>70804</v>
      </c>
      <c r="I1291" s="6">
        <v>3.3964774914763001</v>
      </c>
      <c r="J1291" s="1">
        <v>42383.497615740744</v>
      </c>
      <c r="K1291">
        <v>19.579999999999998</v>
      </c>
      <c r="L1291" s="6">
        <f>('Pizza Sales Calculations'!$J1291-'Pizza Sales Calculations'!$C1291)*24*60</f>
        <v>16.966666672378778</v>
      </c>
      <c r="M1291">
        <f>COUNTA('Pizza Sales Calculations'!$D1291:$F1291)</f>
        <v>2</v>
      </c>
      <c r="R1291" s="9">
        <f>IF('Pizza Sales Calculations'!$G1291=TRUE, Parameters!$B$17*'Pizza Sales Calculations'!$L1291*2, 0)</f>
        <v>4.8072222238406539</v>
      </c>
      <c r="T1291" s="6"/>
      <c r="U1291" s="9"/>
    </row>
    <row r="1292" spans="1:21" x14ac:dyDescent="0.2">
      <c r="A1292">
        <v>1291</v>
      </c>
      <c r="B1292" s="1">
        <v>42383.422939814816</v>
      </c>
      <c r="C1292" s="1">
        <v>42383.433368055557</v>
      </c>
      <c r="D1292" t="s">
        <v>35</v>
      </c>
      <c r="G1292" t="b">
        <v>0</v>
      </c>
      <c r="H1292">
        <v>70804</v>
      </c>
      <c r="I1292" s="6">
        <v>0</v>
      </c>
      <c r="J1292" s="1">
        <v>42383.43545138889</v>
      </c>
      <c r="K1292">
        <v>15.35</v>
      </c>
      <c r="L1292" s="6">
        <f>('Pizza Sales Calculations'!$J1292-'Pizza Sales Calculations'!$C1292)*24*60</f>
        <v>2.9999999993015081</v>
      </c>
      <c r="M1292">
        <f>COUNTA('Pizza Sales Calculations'!$D1292:$F1292)</f>
        <v>1</v>
      </c>
      <c r="R1292" s="9">
        <f>IF('Pizza Sales Calculations'!$G1292=TRUE, Parameters!$B$17*'Pizza Sales Calculations'!$L1292*2, 0)</f>
        <v>0</v>
      </c>
      <c r="T1292" s="6"/>
      <c r="U1292" s="9"/>
    </row>
    <row r="1293" spans="1:21" x14ac:dyDescent="0.2">
      <c r="A1293">
        <v>1292</v>
      </c>
      <c r="B1293" s="1">
        <v>42383.531099537038</v>
      </c>
      <c r="C1293" s="1">
        <v>42383.541516203702</v>
      </c>
      <c r="D1293" t="s">
        <v>1</v>
      </c>
      <c r="E1293" t="s">
        <v>2</v>
      </c>
      <c r="G1293" t="b">
        <v>1</v>
      </c>
      <c r="H1293">
        <v>70804</v>
      </c>
      <c r="I1293" s="6">
        <v>1.25685538352943</v>
      </c>
      <c r="J1293" s="1">
        <v>42383.54587962963</v>
      </c>
      <c r="K1293">
        <v>19.579999999999998</v>
      </c>
      <c r="L1293" s="6">
        <f>('Pizza Sales Calculations'!$J1293-'Pizza Sales Calculations'!$C1293)*24*60</f>
        <v>6.2833333353046328</v>
      </c>
      <c r="M1293">
        <f>COUNTA('Pizza Sales Calculations'!$D1293:$F1293)</f>
        <v>2</v>
      </c>
      <c r="R1293" s="9">
        <f>IF('Pizza Sales Calculations'!$G1293=TRUE, Parameters!$B$17*'Pizza Sales Calculations'!$L1293*2, 0)</f>
        <v>1.7802777783363126</v>
      </c>
      <c r="T1293" s="6"/>
      <c r="U1293" s="9"/>
    </row>
    <row r="1294" spans="1:21" x14ac:dyDescent="0.2">
      <c r="A1294">
        <v>1293</v>
      </c>
      <c r="B1294" s="1">
        <v>42383.444826388892</v>
      </c>
      <c r="C1294" s="1">
        <v>42383.455231481479</v>
      </c>
      <c r="D1294" t="s">
        <v>1</v>
      </c>
      <c r="E1294" t="s">
        <v>35</v>
      </c>
      <c r="G1294" t="b">
        <v>0</v>
      </c>
      <c r="H1294">
        <v>70804</v>
      </c>
      <c r="I1294" s="6">
        <v>0</v>
      </c>
      <c r="J1294" s="1">
        <v>42383.457291666666</v>
      </c>
      <c r="K1294">
        <v>23.34</v>
      </c>
      <c r="L1294" s="6">
        <f>('Pizza Sales Calculations'!$J1294-'Pizza Sales Calculations'!$C1294)*24*60</f>
        <v>2.9666666686534882</v>
      </c>
      <c r="M1294">
        <f>COUNTA('Pizza Sales Calculations'!$D1294:$F1294)</f>
        <v>2</v>
      </c>
      <c r="R1294" s="9">
        <f>IF('Pizza Sales Calculations'!$G1294=TRUE, Parameters!$B$17*'Pizza Sales Calculations'!$L1294*2, 0)</f>
        <v>0</v>
      </c>
      <c r="T1294" s="6"/>
      <c r="U1294" s="9"/>
    </row>
    <row r="1295" spans="1:21" x14ac:dyDescent="0.2">
      <c r="A1295">
        <v>1294</v>
      </c>
      <c r="B1295" s="1">
        <v>42383.493854166663</v>
      </c>
      <c r="C1295" s="1">
        <v>42383.504270833335</v>
      </c>
      <c r="D1295" t="s">
        <v>35</v>
      </c>
      <c r="G1295" t="b">
        <v>1</v>
      </c>
      <c r="H1295">
        <v>70807</v>
      </c>
      <c r="I1295" s="6">
        <v>4.1532192729500403</v>
      </c>
      <c r="J1295" s="1">
        <v>42383.518680555557</v>
      </c>
      <c r="K1295">
        <v>15.35</v>
      </c>
      <c r="L1295" s="6">
        <f>('Pizza Sales Calculations'!$J1295-'Pizza Sales Calculations'!$C1295)*24*60</f>
        <v>20.749999999534339</v>
      </c>
      <c r="M1295">
        <f>COUNTA('Pizza Sales Calculations'!$D1295:$F1295)</f>
        <v>1</v>
      </c>
      <c r="R1295" s="9">
        <f>IF('Pizza Sales Calculations'!$G1295=TRUE, Parameters!$B$17*'Pizza Sales Calculations'!$L1295*2, 0)</f>
        <v>5.8791666665347293</v>
      </c>
      <c r="T1295" s="6"/>
      <c r="U1295" s="9"/>
    </row>
    <row r="1296" spans="1:21" x14ac:dyDescent="0.2">
      <c r="A1296">
        <v>1295</v>
      </c>
      <c r="B1296" s="1">
        <v>42383.446759259263</v>
      </c>
      <c r="C1296" s="1">
        <v>42383.457175925927</v>
      </c>
      <c r="D1296" t="s">
        <v>1</v>
      </c>
      <c r="E1296" t="s">
        <v>2</v>
      </c>
      <c r="G1296" t="b">
        <v>1</v>
      </c>
      <c r="H1296">
        <v>70803</v>
      </c>
      <c r="I1296" s="6">
        <v>4.6352955317801898</v>
      </c>
      <c r="J1296" s="1">
        <v>42383.473263888889</v>
      </c>
      <c r="K1296">
        <v>19.579999999999998</v>
      </c>
      <c r="L1296" s="6">
        <f>('Pizza Sales Calculations'!$J1296-'Pizza Sales Calculations'!$C1296)*24*60</f>
        <v>23.166666665347293</v>
      </c>
      <c r="M1296">
        <f>COUNTA('Pizza Sales Calculations'!$D1296:$F1296)</f>
        <v>2</v>
      </c>
      <c r="R1296" s="9">
        <f>IF('Pizza Sales Calculations'!$G1296=TRUE, Parameters!$B$17*'Pizza Sales Calculations'!$L1296*2, 0)</f>
        <v>6.5638888885150664</v>
      </c>
      <c r="T1296" s="6"/>
      <c r="U1296" s="9"/>
    </row>
    <row r="1297" spans="1:21" x14ac:dyDescent="0.2">
      <c r="A1297">
        <v>1296</v>
      </c>
      <c r="B1297" s="1">
        <v>42383.53197916667</v>
      </c>
      <c r="C1297" s="1">
        <v>42383.542395833334</v>
      </c>
      <c r="D1297" t="s">
        <v>35</v>
      </c>
      <c r="G1297" t="b">
        <v>1</v>
      </c>
      <c r="H1297">
        <v>70806</v>
      </c>
      <c r="I1297" s="6">
        <v>4.6981899762196004</v>
      </c>
      <c r="J1297" s="1">
        <v>42383.558703703704</v>
      </c>
      <c r="K1297">
        <v>15.35</v>
      </c>
      <c r="L1297" s="6">
        <f>('Pizza Sales Calculations'!$J1297-'Pizza Sales Calculations'!$C1297)*24*60</f>
        <v>23.48333333269693</v>
      </c>
      <c r="M1297">
        <f>COUNTA('Pizza Sales Calculations'!$D1297:$F1297)</f>
        <v>1</v>
      </c>
      <c r="R1297" s="9">
        <f>IF('Pizza Sales Calculations'!$G1297=TRUE, Parameters!$B$17*'Pizza Sales Calculations'!$L1297*2, 0)</f>
        <v>6.6536111109307967</v>
      </c>
      <c r="T1297" s="6"/>
      <c r="U1297" s="9"/>
    </row>
    <row r="1298" spans="1:21" x14ac:dyDescent="0.2">
      <c r="A1298">
        <v>1297</v>
      </c>
      <c r="B1298" s="1">
        <v>42383.509421296294</v>
      </c>
      <c r="C1298" s="1">
        <v>42383.519837962966</v>
      </c>
      <c r="D1298" t="s">
        <v>2</v>
      </c>
      <c r="G1298" t="b">
        <v>1</v>
      </c>
      <c r="H1298">
        <v>70806</v>
      </c>
      <c r="I1298" s="6">
        <v>3.5094837558825098</v>
      </c>
      <c r="J1298" s="1">
        <v>42383.532013888886</v>
      </c>
      <c r="K1298">
        <v>11.59</v>
      </c>
      <c r="L1298" s="6">
        <f>('Pizza Sales Calculations'!$J1298-'Pizza Sales Calculations'!$C1298)*24*60</f>
        <v>17.533333324827254</v>
      </c>
      <c r="M1298">
        <f>COUNTA('Pizza Sales Calculations'!$D1298:$F1298)</f>
        <v>1</v>
      </c>
      <c r="R1298" s="9">
        <f>IF('Pizza Sales Calculations'!$G1298=TRUE, Parameters!$B$17*'Pizza Sales Calculations'!$L1298*2, 0)</f>
        <v>4.9677777753677219</v>
      </c>
      <c r="T1298" s="6"/>
      <c r="U1298" s="9"/>
    </row>
    <row r="1299" spans="1:21" x14ac:dyDescent="0.2">
      <c r="A1299">
        <v>1298</v>
      </c>
      <c r="B1299" s="1">
        <v>42383.522743055553</v>
      </c>
      <c r="C1299" s="1">
        <v>42383.533136574071</v>
      </c>
      <c r="D1299" t="s">
        <v>35</v>
      </c>
      <c r="G1299" t="b">
        <v>0</v>
      </c>
      <c r="H1299">
        <v>70805</v>
      </c>
      <c r="I1299" s="6">
        <v>0</v>
      </c>
      <c r="J1299" s="1">
        <v>42383.535231481481</v>
      </c>
      <c r="K1299">
        <v>15.35</v>
      </c>
      <c r="L1299" s="6">
        <f>('Pizza Sales Calculations'!$J1299-'Pizza Sales Calculations'!$C1299)*24*60</f>
        <v>3.0166666698642075</v>
      </c>
      <c r="M1299">
        <f>COUNTA('Pizza Sales Calculations'!$D1299:$F1299)</f>
        <v>1</v>
      </c>
      <c r="R1299" s="9">
        <f>IF('Pizza Sales Calculations'!$G1299=TRUE, Parameters!$B$17*'Pizza Sales Calculations'!$L1299*2, 0)</f>
        <v>0</v>
      </c>
      <c r="T1299" s="6"/>
      <c r="U1299" s="9"/>
    </row>
    <row r="1300" spans="1:21" x14ac:dyDescent="0.2">
      <c r="A1300">
        <v>1299</v>
      </c>
      <c r="B1300" s="1">
        <v>42383.466932870368</v>
      </c>
      <c r="C1300" s="1">
        <v>42383.477337962962</v>
      </c>
      <c r="D1300" t="s">
        <v>35</v>
      </c>
      <c r="G1300" t="b">
        <v>1</v>
      </c>
      <c r="H1300">
        <v>70806</v>
      </c>
      <c r="I1300" s="6">
        <v>3.3974769737905501</v>
      </c>
      <c r="J1300" s="1">
        <v>42383.489131944443</v>
      </c>
      <c r="K1300">
        <v>15.35</v>
      </c>
      <c r="L1300" s="6">
        <f>('Pizza Sales Calculations'!$J1300-'Pizza Sales Calculations'!$C1300)*24*60</f>
        <v>16.983333332464099</v>
      </c>
      <c r="M1300">
        <f>COUNTA('Pizza Sales Calculations'!$D1300:$F1300)</f>
        <v>1</v>
      </c>
      <c r="R1300" s="9">
        <f>IF('Pizza Sales Calculations'!$G1300=TRUE, Parameters!$B$17*'Pizza Sales Calculations'!$L1300*2, 0)</f>
        <v>4.8119444441981614</v>
      </c>
      <c r="T1300" s="6"/>
      <c r="U1300" s="9"/>
    </row>
    <row r="1301" spans="1:21" x14ac:dyDescent="0.2">
      <c r="A1301">
        <v>1300</v>
      </c>
      <c r="B1301" s="1">
        <v>42383.438622685186</v>
      </c>
      <c r="C1301" s="1">
        <v>42383.44902777778</v>
      </c>
      <c r="D1301" t="s">
        <v>35</v>
      </c>
      <c r="G1301" t="b">
        <v>1</v>
      </c>
      <c r="H1301">
        <v>70804</v>
      </c>
      <c r="I1301" s="6">
        <v>3.4382274317286701</v>
      </c>
      <c r="J1301" s="1">
        <v>42383.460960648146</v>
      </c>
      <c r="K1301">
        <v>15.35</v>
      </c>
      <c r="L1301" s="6">
        <f>('Pizza Sales Calculations'!$J1301-'Pizza Sales Calculations'!$C1301)*24*60</f>
        <v>17.183333326829597</v>
      </c>
      <c r="M1301">
        <f>COUNTA('Pizza Sales Calculations'!$D1301:$F1301)</f>
        <v>1</v>
      </c>
      <c r="R1301" s="9">
        <f>IF('Pizza Sales Calculations'!$G1301=TRUE, Parameters!$B$17*'Pizza Sales Calculations'!$L1301*2, 0)</f>
        <v>4.8686111092683859</v>
      </c>
      <c r="T1301" s="6"/>
      <c r="U1301" s="9"/>
    </row>
    <row r="1302" spans="1:21" x14ac:dyDescent="0.2">
      <c r="A1302">
        <v>1301</v>
      </c>
      <c r="B1302" s="1">
        <v>42383.525266203702</v>
      </c>
      <c r="C1302" s="1">
        <v>42383.535694444443</v>
      </c>
      <c r="D1302" t="s">
        <v>2</v>
      </c>
      <c r="G1302" t="b">
        <v>1</v>
      </c>
      <c r="H1302">
        <v>70805</v>
      </c>
      <c r="I1302" s="6">
        <v>1.4158476502169699</v>
      </c>
      <c r="J1302" s="1">
        <v>42383.540601851855</v>
      </c>
      <c r="K1302">
        <v>11.59</v>
      </c>
      <c r="L1302" s="6">
        <f>('Pizza Sales Calculations'!$J1302-'Pizza Sales Calculations'!$C1302)*24*60</f>
        <v>7.0666666736360639</v>
      </c>
      <c r="M1302">
        <f>COUNTA('Pizza Sales Calculations'!$D1302:$F1302)</f>
        <v>1</v>
      </c>
      <c r="R1302" s="9">
        <f>IF('Pizza Sales Calculations'!$G1302=TRUE, Parameters!$B$17*'Pizza Sales Calculations'!$L1302*2, 0)</f>
        <v>2.0022222241968848</v>
      </c>
      <c r="T1302" s="6"/>
      <c r="U1302" s="9"/>
    </row>
    <row r="1303" spans="1:21" x14ac:dyDescent="0.2">
      <c r="A1303">
        <v>1302</v>
      </c>
      <c r="B1303" s="1">
        <v>42383.430034722223</v>
      </c>
      <c r="C1303" s="1">
        <v>42383.440451388888</v>
      </c>
      <c r="D1303" t="s">
        <v>2</v>
      </c>
      <c r="G1303" t="b">
        <v>0</v>
      </c>
      <c r="H1303">
        <v>70805</v>
      </c>
      <c r="I1303" s="6">
        <v>0</v>
      </c>
      <c r="J1303" s="1">
        <v>42383.442523148151</v>
      </c>
      <c r="K1303">
        <v>11.59</v>
      </c>
      <c r="L1303" s="6">
        <f>('Pizza Sales Calculations'!$J1303-'Pizza Sales Calculations'!$C1303)*24*60</f>
        <v>2.9833333392161876</v>
      </c>
      <c r="M1303">
        <f>COUNTA('Pizza Sales Calculations'!$D1303:$F1303)</f>
        <v>1</v>
      </c>
      <c r="R1303" s="9">
        <f>IF('Pizza Sales Calculations'!$G1303=TRUE, Parameters!$B$17*'Pizza Sales Calculations'!$L1303*2, 0)</f>
        <v>0</v>
      </c>
      <c r="T1303" s="6"/>
      <c r="U1303" s="9"/>
    </row>
    <row r="1304" spans="1:21" x14ac:dyDescent="0.2">
      <c r="A1304">
        <v>1303</v>
      </c>
      <c r="B1304" s="1">
        <v>42383.511782407404</v>
      </c>
      <c r="C1304" s="1">
        <v>42383.522187499999</v>
      </c>
      <c r="D1304" t="s">
        <v>2</v>
      </c>
      <c r="G1304" t="b">
        <v>0</v>
      </c>
      <c r="H1304">
        <v>70806</v>
      </c>
      <c r="I1304" s="6">
        <v>0</v>
      </c>
      <c r="J1304" s="1">
        <v>42383.524282407408</v>
      </c>
      <c r="K1304">
        <v>11.59</v>
      </c>
      <c r="L1304" s="6">
        <f>('Pizza Sales Calculations'!$J1304-'Pizza Sales Calculations'!$C1304)*24*60</f>
        <v>3.0166666698642075</v>
      </c>
      <c r="M1304">
        <f>COUNTA('Pizza Sales Calculations'!$D1304:$F1304)</f>
        <v>1</v>
      </c>
      <c r="R1304" s="9">
        <f>IF('Pizza Sales Calculations'!$G1304=TRUE, Parameters!$B$17*'Pizza Sales Calculations'!$L1304*2, 0)</f>
        <v>0</v>
      </c>
      <c r="T1304" s="6"/>
      <c r="U1304" s="9"/>
    </row>
    <row r="1305" spans="1:21" x14ac:dyDescent="0.2">
      <c r="A1305">
        <v>1304</v>
      </c>
      <c r="B1305" s="1">
        <v>42383.493495370371</v>
      </c>
      <c r="C1305" s="1">
        <v>42383.503923611112</v>
      </c>
      <c r="D1305" t="s">
        <v>35</v>
      </c>
      <c r="G1305" t="b">
        <v>1</v>
      </c>
      <c r="H1305">
        <v>70806</v>
      </c>
      <c r="I1305" s="6">
        <v>5.4827654542412398</v>
      </c>
      <c r="J1305" s="1">
        <v>42383.522951388892</v>
      </c>
      <c r="K1305">
        <v>15.35</v>
      </c>
      <c r="L1305" s="6">
        <f>('Pizza Sales Calculations'!$J1305-'Pizza Sales Calculations'!$C1305)*24*60</f>
        <v>27.400000003399327</v>
      </c>
      <c r="M1305">
        <f>COUNTA('Pizza Sales Calculations'!$D1305:$F1305)</f>
        <v>1</v>
      </c>
      <c r="R1305" s="9">
        <f>IF('Pizza Sales Calculations'!$G1305=TRUE, Parameters!$B$17*'Pizza Sales Calculations'!$L1305*2, 0)</f>
        <v>7.7633333342964761</v>
      </c>
      <c r="T1305" s="6"/>
      <c r="U1305" s="9"/>
    </row>
    <row r="1306" spans="1:21" x14ac:dyDescent="0.2">
      <c r="A1306">
        <v>1305</v>
      </c>
      <c r="B1306" s="1">
        <v>42383.496979166666</v>
      </c>
      <c r="C1306" s="1">
        <v>42383.507384259261</v>
      </c>
      <c r="D1306" t="s">
        <v>1</v>
      </c>
      <c r="G1306" t="b">
        <v>0</v>
      </c>
      <c r="H1306">
        <v>70807</v>
      </c>
      <c r="I1306" s="6">
        <v>0</v>
      </c>
      <c r="J1306" s="1">
        <v>42383.509456018517</v>
      </c>
      <c r="K1306">
        <v>7.99</v>
      </c>
      <c r="L1306" s="6">
        <f>('Pizza Sales Calculations'!$J1306-'Pizza Sales Calculations'!$C1306)*24*60</f>
        <v>2.9833333287388086</v>
      </c>
      <c r="M1306">
        <f>COUNTA('Pizza Sales Calculations'!$D1306:$F1306)</f>
        <v>1</v>
      </c>
      <c r="R1306" s="9">
        <f>IF('Pizza Sales Calculations'!$G1306=TRUE, Parameters!$B$17*'Pizza Sales Calculations'!$L1306*2, 0)</f>
        <v>0</v>
      </c>
      <c r="T1306" s="6"/>
      <c r="U1306" s="9"/>
    </row>
    <row r="1307" spans="1:21" x14ac:dyDescent="0.2">
      <c r="A1307">
        <v>1306</v>
      </c>
      <c r="B1307" s="1">
        <v>42383.462939814817</v>
      </c>
      <c r="C1307" s="1">
        <v>42383.473344907405</v>
      </c>
      <c r="D1307" t="s">
        <v>1</v>
      </c>
      <c r="G1307" t="b">
        <v>0</v>
      </c>
      <c r="H1307">
        <v>70804</v>
      </c>
      <c r="I1307" s="6">
        <v>0</v>
      </c>
      <c r="J1307" s="1">
        <v>42383.475416666668</v>
      </c>
      <c r="K1307">
        <v>7.99</v>
      </c>
      <c r="L1307" s="6">
        <f>('Pizza Sales Calculations'!$J1307-'Pizza Sales Calculations'!$C1307)*24*60</f>
        <v>2.9833333392161876</v>
      </c>
      <c r="M1307">
        <f>COUNTA('Pizza Sales Calculations'!$D1307:$F1307)</f>
        <v>1</v>
      </c>
      <c r="R1307" s="9">
        <f>IF('Pizza Sales Calculations'!$G1307=TRUE, Parameters!$B$17*'Pizza Sales Calculations'!$L1307*2, 0)</f>
        <v>0</v>
      </c>
      <c r="T1307" s="6"/>
      <c r="U1307" s="9"/>
    </row>
    <row r="1308" spans="1:21" x14ac:dyDescent="0.2">
      <c r="A1308">
        <v>1307</v>
      </c>
      <c r="B1308" s="1">
        <v>42383.55741898148</v>
      </c>
      <c r="C1308" s="1">
        <v>42383.567835648151</v>
      </c>
      <c r="D1308" t="s">
        <v>1</v>
      </c>
      <c r="G1308" t="b">
        <v>0</v>
      </c>
      <c r="H1308">
        <v>70807</v>
      </c>
      <c r="I1308" s="6">
        <v>0</v>
      </c>
      <c r="J1308" s="1">
        <v>42383.569918981484</v>
      </c>
      <c r="K1308">
        <v>7.99</v>
      </c>
      <c r="L1308" s="6">
        <f>('Pizza Sales Calculations'!$J1308-'Pizza Sales Calculations'!$C1308)*24*60</f>
        <v>2.9999999993015081</v>
      </c>
      <c r="M1308">
        <f>COUNTA('Pizza Sales Calculations'!$D1308:$F1308)</f>
        <v>1</v>
      </c>
      <c r="R1308" s="9">
        <f>IF('Pizza Sales Calculations'!$G1308=TRUE, Parameters!$B$17*'Pizza Sales Calculations'!$L1308*2, 0)</f>
        <v>0</v>
      </c>
      <c r="T1308" s="6"/>
      <c r="U1308" s="9"/>
    </row>
    <row r="1309" spans="1:21" x14ac:dyDescent="0.2">
      <c r="A1309">
        <v>1308</v>
      </c>
      <c r="B1309" s="1">
        <v>42383.439386574071</v>
      </c>
      <c r="C1309" s="1">
        <v>42383.449803240743</v>
      </c>
      <c r="D1309" t="s">
        <v>35</v>
      </c>
      <c r="G1309" t="b">
        <v>1</v>
      </c>
      <c r="H1309">
        <v>70806</v>
      </c>
      <c r="I1309" s="6">
        <v>3.0650235658123601</v>
      </c>
      <c r="J1309" s="1">
        <v>42383.460439814815</v>
      </c>
      <c r="K1309">
        <v>15.35</v>
      </c>
      <c r="L1309" s="6">
        <f>('Pizza Sales Calculations'!$J1309-'Pizza Sales Calculations'!$C1309)*24*60</f>
        <v>15.316666663857177</v>
      </c>
      <c r="M1309">
        <f>COUNTA('Pizza Sales Calculations'!$D1309:$F1309)</f>
        <v>1</v>
      </c>
      <c r="R1309" s="9">
        <f>IF('Pizza Sales Calculations'!$G1309=TRUE, Parameters!$B$17*'Pizza Sales Calculations'!$L1309*2, 0)</f>
        <v>4.3397222214262001</v>
      </c>
      <c r="T1309" s="6"/>
      <c r="U1309" s="9"/>
    </row>
    <row r="1310" spans="1:21" x14ac:dyDescent="0.2">
      <c r="A1310">
        <v>1309</v>
      </c>
      <c r="B1310" s="1">
        <v>42383.536539351851</v>
      </c>
      <c r="C1310" s="1">
        <v>42383.546944444446</v>
      </c>
      <c r="D1310" t="s">
        <v>2</v>
      </c>
      <c r="G1310" t="b">
        <v>0</v>
      </c>
      <c r="H1310">
        <v>70805</v>
      </c>
      <c r="I1310" s="6">
        <v>0</v>
      </c>
      <c r="J1310" s="1">
        <v>42383.549016203702</v>
      </c>
      <c r="K1310">
        <v>11.59</v>
      </c>
      <c r="L1310" s="6">
        <f>('Pizza Sales Calculations'!$J1310-'Pizza Sales Calculations'!$C1310)*24*60</f>
        <v>2.9833333287388086</v>
      </c>
      <c r="M1310">
        <f>COUNTA('Pizza Sales Calculations'!$D1310:$F1310)</f>
        <v>1</v>
      </c>
      <c r="R1310" s="9">
        <f>IF('Pizza Sales Calculations'!$G1310=TRUE, Parameters!$B$17*'Pizza Sales Calculations'!$L1310*2, 0)</f>
        <v>0</v>
      </c>
      <c r="T1310" s="6"/>
      <c r="U1310" s="9"/>
    </row>
    <row r="1311" spans="1:21" x14ac:dyDescent="0.2">
      <c r="A1311">
        <v>1310</v>
      </c>
      <c r="B1311" s="1">
        <v>42383.509050925924</v>
      </c>
      <c r="C1311" s="1">
        <v>42383.519444444442</v>
      </c>
      <c r="D1311" t="s">
        <v>35</v>
      </c>
      <c r="G1311" t="b">
        <v>1</v>
      </c>
      <c r="H1311">
        <v>70804</v>
      </c>
      <c r="I1311" s="6">
        <v>3.3836540705534102</v>
      </c>
      <c r="J1311" s="1">
        <v>42383.531192129631</v>
      </c>
      <c r="K1311">
        <v>15.35</v>
      </c>
      <c r="L1311" s="6">
        <f>('Pizza Sales Calculations'!$J1311-'Pizza Sales Calculations'!$C1311)*24*60</f>
        <v>16.916666671168059</v>
      </c>
      <c r="M1311">
        <f>COUNTA('Pizza Sales Calculations'!$D1311:$F1311)</f>
        <v>1</v>
      </c>
      <c r="R1311" s="9">
        <f>IF('Pizza Sales Calculations'!$G1311=TRUE, Parameters!$B$17*'Pizza Sales Calculations'!$L1311*2, 0)</f>
        <v>4.7930555568309501</v>
      </c>
      <c r="T1311" s="6"/>
      <c r="U1311" s="9"/>
    </row>
    <row r="1312" spans="1:21" x14ac:dyDescent="0.2">
      <c r="A1312">
        <v>1311</v>
      </c>
      <c r="B1312" s="1">
        <v>42383.515601851854</v>
      </c>
      <c r="C1312" s="1">
        <v>42383.526030092595</v>
      </c>
      <c r="D1312" t="s">
        <v>1</v>
      </c>
      <c r="E1312" t="s">
        <v>2</v>
      </c>
      <c r="G1312" t="b">
        <v>0</v>
      </c>
      <c r="H1312">
        <v>70805</v>
      </c>
      <c r="I1312" s="6">
        <v>0</v>
      </c>
      <c r="J1312" s="1">
        <v>42383.528113425928</v>
      </c>
      <c r="K1312">
        <v>19.579999999999998</v>
      </c>
      <c r="L1312" s="6">
        <f>('Pizza Sales Calculations'!$J1312-'Pizza Sales Calculations'!$C1312)*24*60</f>
        <v>2.9999999993015081</v>
      </c>
      <c r="M1312">
        <f>COUNTA('Pizza Sales Calculations'!$D1312:$F1312)</f>
        <v>2</v>
      </c>
      <c r="R1312" s="9">
        <f>IF('Pizza Sales Calculations'!$G1312=TRUE, Parameters!$B$17*'Pizza Sales Calculations'!$L1312*2, 0)</f>
        <v>0</v>
      </c>
      <c r="T1312" s="6"/>
      <c r="U1312" s="9"/>
    </row>
    <row r="1313" spans="1:21" x14ac:dyDescent="0.2">
      <c r="A1313">
        <v>1312</v>
      </c>
      <c r="B1313" s="1">
        <v>42383.439421296294</v>
      </c>
      <c r="C1313" s="1">
        <v>42383.449826388889</v>
      </c>
      <c r="D1313" t="s">
        <v>1</v>
      </c>
      <c r="G1313" t="b">
        <v>0</v>
      </c>
      <c r="H1313">
        <v>70806</v>
      </c>
      <c r="I1313" s="6">
        <v>0</v>
      </c>
      <c r="J1313" s="1">
        <v>42383.451874999999</v>
      </c>
      <c r="K1313">
        <v>7.99</v>
      </c>
      <c r="L1313" s="6">
        <f>('Pizza Sales Calculations'!$J1313-'Pizza Sales Calculations'!$C1313)*24*60</f>
        <v>2.9499999980907887</v>
      </c>
      <c r="M1313">
        <f>COUNTA('Pizza Sales Calculations'!$D1313:$F1313)</f>
        <v>1</v>
      </c>
      <c r="R1313" s="9">
        <f>IF('Pizza Sales Calculations'!$G1313=TRUE, Parameters!$B$17*'Pizza Sales Calculations'!$L1313*2, 0)</f>
        <v>0</v>
      </c>
      <c r="T1313" s="6"/>
      <c r="U1313" s="9"/>
    </row>
    <row r="1314" spans="1:21" x14ac:dyDescent="0.2">
      <c r="A1314">
        <v>1313</v>
      </c>
      <c r="B1314" s="1">
        <v>42383.52616898148</v>
      </c>
      <c r="C1314" s="1">
        <v>42383.536585648151</v>
      </c>
      <c r="D1314" t="s">
        <v>2</v>
      </c>
      <c r="G1314" t="b">
        <v>1</v>
      </c>
      <c r="H1314">
        <v>70804</v>
      </c>
      <c r="I1314" s="6">
        <v>1.3010294330497001</v>
      </c>
      <c r="J1314" s="1">
        <v>42383.54109953704</v>
      </c>
      <c r="K1314">
        <v>11.59</v>
      </c>
      <c r="L1314" s="6">
        <f>('Pizza Sales Calculations'!$J1314-'Pizza Sales Calculations'!$C1314)*24*60</f>
        <v>6.5000000002328306</v>
      </c>
      <c r="M1314">
        <f>COUNTA('Pizza Sales Calculations'!$D1314:$F1314)</f>
        <v>1</v>
      </c>
      <c r="R1314" s="9">
        <f>IF('Pizza Sales Calculations'!$G1314=TRUE, Parameters!$B$17*'Pizza Sales Calculations'!$L1314*2, 0)</f>
        <v>1.8416666667326353</v>
      </c>
      <c r="T1314" s="6"/>
      <c r="U1314" s="9"/>
    </row>
    <row r="1315" spans="1:21" x14ac:dyDescent="0.2">
      <c r="A1315">
        <v>1314</v>
      </c>
      <c r="B1315" s="1">
        <v>42383.482928240737</v>
      </c>
      <c r="C1315" s="1">
        <v>42383.493298611109</v>
      </c>
      <c r="D1315" t="s">
        <v>2</v>
      </c>
      <c r="G1315" t="b">
        <v>0</v>
      </c>
      <c r="H1315">
        <v>70804</v>
      </c>
      <c r="I1315" s="6">
        <v>0</v>
      </c>
      <c r="J1315" s="1">
        <v>42383.495358796295</v>
      </c>
      <c r="K1315">
        <v>11.59</v>
      </c>
      <c r="L1315" s="6">
        <f>('Pizza Sales Calculations'!$J1315-'Pizza Sales Calculations'!$C1315)*24*60</f>
        <v>2.9666666686534882</v>
      </c>
      <c r="M1315">
        <f>COUNTA('Pizza Sales Calculations'!$D1315:$F1315)</f>
        <v>1</v>
      </c>
      <c r="R1315" s="9">
        <f>IF('Pizza Sales Calculations'!$G1315=TRUE, Parameters!$B$17*'Pizza Sales Calculations'!$L1315*2, 0)</f>
        <v>0</v>
      </c>
      <c r="T1315" s="6"/>
      <c r="U1315" s="9"/>
    </row>
    <row r="1316" spans="1:21" x14ac:dyDescent="0.2">
      <c r="A1316">
        <v>1315</v>
      </c>
      <c r="B1316" s="1">
        <v>42383.484699074077</v>
      </c>
      <c r="C1316" s="1">
        <v>42383.495092592595</v>
      </c>
      <c r="D1316" t="s">
        <v>1</v>
      </c>
      <c r="E1316" t="s">
        <v>35</v>
      </c>
      <c r="G1316" t="b">
        <v>1</v>
      </c>
      <c r="H1316">
        <v>70805</v>
      </c>
      <c r="I1316" s="6">
        <v>1.5968130731743599</v>
      </c>
      <c r="J1316" s="1">
        <v>42383.500636574077</v>
      </c>
      <c r="K1316">
        <v>23.34</v>
      </c>
      <c r="L1316" s="6">
        <f>('Pizza Sales Calculations'!$J1316-'Pizza Sales Calculations'!$C1316)*24*60</f>
        <v>7.9833333345595747</v>
      </c>
      <c r="M1316">
        <f>COUNTA('Pizza Sales Calculations'!$D1316:$F1316)</f>
        <v>2</v>
      </c>
      <c r="R1316" s="9">
        <f>IF('Pizza Sales Calculations'!$G1316=TRUE, Parameters!$B$17*'Pizza Sales Calculations'!$L1316*2, 0)</f>
        <v>2.2619444447918795</v>
      </c>
      <c r="T1316" s="6"/>
      <c r="U1316" s="9"/>
    </row>
    <row r="1317" spans="1:21" x14ac:dyDescent="0.2">
      <c r="A1317">
        <v>1316</v>
      </c>
      <c r="B1317" s="1">
        <v>42383.593611111108</v>
      </c>
      <c r="C1317" s="1">
        <v>42383.604027777779</v>
      </c>
      <c r="D1317" t="s">
        <v>1</v>
      </c>
      <c r="E1317" t="s">
        <v>2</v>
      </c>
      <c r="G1317" t="b">
        <v>0</v>
      </c>
      <c r="H1317">
        <v>70803</v>
      </c>
      <c r="I1317" s="6">
        <v>0</v>
      </c>
      <c r="J1317" s="1">
        <v>42383.606087962966</v>
      </c>
      <c r="K1317">
        <v>19.579999999999998</v>
      </c>
      <c r="L1317" s="6">
        <f>('Pizza Sales Calculations'!$J1317-'Pizza Sales Calculations'!$C1317)*24*60</f>
        <v>2.9666666686534882</v>
      </c>
      <c r="M1317">
        <f>COUNTA('Pizza Sales Calculations'!$D1317:$F1317)</f>
        <v>2</v>
      </c>
      <c r="R1317" s="9">
        <f>IF('Pizza Sales Calculations'!$G1317=TRUE, Parameters!$B$17*'Pizza Sales Calculations'!$L1317*2, 0)</f>
        <v>0</v>
      </c>
      <c r="T1317" s="6"/>
      <c r="U1317" s="9"/>
    </row>
    <row r="1318" spans="1:21" x14ac:dyDescent="0.2">
      <c r="A1318">
        <v>1317</v>
      </c>
      <c r="B1318" s="1">
        <v>42383.524525462963</v>
      </c>
      <c r="C1318" s="1">
        <v>42383.534942129627</v>
      </c>
      <c r="D1318" t="s">
        <v>1</v>
      </c>
      <c r="E1318" t="s">
        <v>2</v>
      </c>
      <c r="G1318" t="b">
        <v>1</v>
      </c>
      <c r="H1318">
        <v>70804</v>
      </c>
      <c r="I1318" s="6">
        <v>4.5353682523531198</v>
      </c>
      <c r="J1318" s="1">
        <v>42383.550682870373</v>
      </c>
      <c r="K1318">
        <v>19.579999999999998</v>
      </c>
      <c r="L1318" s="6">
        <f>('Pizza Sales Calculations'!$J1318-'Pizza Sales Calculations'!$C1318)*24*60</f>
        <v>22.666666674194857</v>
      </c>
      <c r="M1318">
        <f>COUNTA('Pizza Sales Calculations'!$D1318:$F1318)</f>
        <v>2</v>
      </c>
      <c r="R1318" s="9">
        <f>IF('Pizza Sales Calculations'!$G1318=TRUE, Parameters!$B$17*'Pizza Sales Calculations'!$L1318*2, 0)</f>
        <v>6.4222222243552096</v>
      </c>
      <c r="T1318" s="6"/>
      <c r="U1318" s="9"/>
    </row>
    <row r="1319" spans="1:21" x14ac:dyDescent="0.2">
      <c r="A1319">
        <v>1318</v>
      </c>
      <c r="B1319" s="1">
        <v>42383.530833333331</v>
      </c>
      <c r="C1319" s="1">
        <v>42383.541215277779</v>
      </c>
      <c r="D1319" t="s">
        <v>35</v>
      </c>
      <c r="G1319" t="b">
        <v>0</v>
      </c>
      <c r="H1319">
        <v>70806</v>
      </c>
      <c r="I1319" s="6">
        <v>0</v>
      </c>
      <c r="J1319" s="1">
        <v>42383.543275462966</v>
      </c>
      <c r="K1319">
        <v>15.35</v>
      </c>
      <c r="L1319" s="6">
        <f>('Pizza Sales Calculations'!$J1319-'Pizza Sales Calculations'!$C1319)*24*60</f>
        <v>2.9666666686534882</v>
      </c>
      <c r="M1319">
        <f>COUNTA('Pizza Sales Calculations'!$D1319:$F1319)</f>
        <v>1</v>
      </c>
      <c r="R1319" s="9">
        <f>IF('Pizza Sales Calculations'!$G1319=TRUE, Parameters!$B$17*'Pizza Sales Calculations'!$L1319*2, 0)</f>
        <v>0</v>
      </c>
      <c r="T1319" s="6"/>
      <c r="U1319" s="9"/>
    </row>
    <row r="1320" spans="1:21" x14ac:dyDescent="0.2">
      <c r="A1320">
        <v>1319</v>
      </c>
      <c r="B1320" s="1">
        <v>42383.52239583333</v>
      </c>
      <c r="C1320" s="1">
        <v>42383.532800925925</v>
      </c>
      <c r="D1320" t="s">
        <v>2</v>
      </c>
      <c r="G1320" t="b">
        <v>0</v>
      </c>
      <c r="H1320">
        <v>70805</v>
      </c>
      <c r="I1320" s="6">
        <v>0</v>
      </c>
      <c r="J1320" s="1">
        <v>42383.534895833334</v>
      </c>
      <c r="K1320">
        <v>11.59</v>
      </c>
      <c r="L1320" s="6">
        <f>('Pizza Sales Calculations'!$J1320-'Pizza Sales Calculations'!$C1320)*24*60</f>
        <v>3.0166666698642075</v>
      </c>
      <c r="M1320">
        <f>COUNTA('Pizza Sales Calculations'!$D1320:$F1320)</f>
        <v>1</v>
      </c>
      <c r="R1320" s="9">
        <f>IF('Pizza Sales Calculations'!$G1320=TRUE, Parameters!$B$17*'Pizza Sales Calculations'!$L1320*2, 0)</f>
        <v>0</v>
      </c>
      <c r="T1320" s="6"/>
      <c r="U1320" s="9"/>
    </row>
    <row r="1321" spans="1:21" x14ac:dyDescent="0.2">
      <c r="A1321">
        <v>1320</v>
      </c>
      <c r="B1321" s="1">
        <v>42383.523194444446</v>
      </c>
      <c r="C1321" s="1">
        <v>42383.53361111111</v>
      </c>
      <c r="D1321" t="s">
        <v>2</v>
      </c>
      <c r="G1321" t="b">
        <v>1</v>
      </c>
      <c r="H1321">
        <v>70803</v>
      </c>
      <c r="I1321" s="6">
        <v>3.9317365020177499</v>
      </c>
      <c r="J1321" s="1">
        <v>42383.547256944446</v>
      </c>
      <c r="K1321">
        <v>11.59</v>
      </c>
      <c r="L1321" s="6">
        <f>('Pizza Sales Calculations'!$J1321-'Pizza Sales Calculations'!$C1321)*24*60</f>
        <v>19.65000000433065</v>
      </c>
      <c r="M1321">
        <f>COUNTA('Pizza Sales Calculations'!$D1321:$F1321)</f>
        <v>1</v>
      </c>
      <c r="R1321" s="9">
        <f>IF('Pizza Sales Calculations'!$G1321=TRUE, Parameters!$B$17*'Pizza Sales Calculations'!$L1321*2, 0)</f>
        <v>5.5675000012270175</v>
      </c>
      <c r="T1321" s="6"/>
      <c r="U1321" s="9"/>
    </row>
    <row r="1322" spans="1:21" x14ac:dyDescent="0.2">
      <c r="A1322">
        <v>1321</v>
      </c>
      <c r="B1322" s="1">
        <v>42383.440324074072</v>
      </c>
      <c r="C1322" s="1">
        <v>42383.450752314813</v>
      </c>
      <c r="D1322" t="s">
        <v>1</v>
      </c>
      <c r="G1322" t="b">
        <v>0</v>
      </c>
      <c r="H1322">
        <v>70805</v>
      </c>
      <c r="I1322" s="6">
        <v>0</v>
      </c>
      <c r="J1322" s="1">
        <v>42383.4528125</v>
      </c>
      <c r="K1322">
        <v>7.99</v>
      </c>
      <c r="L1322" s="6">
        <f>('Pizza Sales Calculations'!$J1322-'Pizza Sales Calculations'!$C1322)*24*60</f>
        <v>2.9666666686534882</v>
      </c>
      <c r="M1322">
        <f>COUNTA('Pizza Sales Calculations'!$D1322:$F1322)</f>
        <v>1</v>
      </c>
      <c r="R1322" s="9">
        <f>IF('Pizza Sales Calculations'!$G1322=TRUE, Parameters!$B$17*'Pizza Sales Calculations'!$L1322*2, 0)</f>
        <v>0</v>
      </c>
      <c r="T1322" s="6"/>
      <c r="U1322" s="9"/>
    </row>
    <row r="1323" spans="1:21" x14ac:dyDescent="0.2">
      <c r="A1323">
        <v>1322</v>
      </c>
      <c r="B1323" s="1">
        <v>42383.531863425924</v>
      </c>
      <c r="C1323" s="1">
        <v>42383.542268518519</v>
      </c>
      <c r="D1323" t="s">
        <v>2</v>
      </c>
      <c r="G1323" t="b">
        <v>0</v>
      </c>
      <c r="H1323">
        <v>70803</v>
      </c>
      <c r="I1323" s="6">
        <v>0</v>
      </c>
      <c r="J1323" s="1">
        <v>42383.544340277775</v>
      </c>
      <c r="K1323">
        <v>11.59</v>
      </c>
      <c r="L1323" s="6">
        <f>('Pizza Sales Calculations'!$J1323-'Pizza Sales Calculations'!$C1323)*24*60</f>
        <v>2.9833333287388086</v>
      </c>
      <c r="M1323">
        <f>COUNTA('Pizza Sales Calculations'!$D1323:$F1323)</f>
        <v>1</v>
      </c>
      <c r="R1323" s="9">
        <f>IF('Pizza Sales Calculations'!$G1323=TRUE, Parameters!$B$17*'Pizza Sales Calculations'!$L1323*2, 0)</f>
        <v>0</v>
      </c>
      <c r="T1323" s="6"/>
      <c r="U1323" s="9"/>
    </row>
    <row r="1324" spans="1:21" x14ac:dyDescent="0.2">
      <c r="A1324">
        <v>1323</v>
      </c>
      <c r="B1324" s="1">
        <v>42383.523240740738</v>
      </c>
      <c r="C1324" s="1">
        <v>42383.53365740741</v>
      </c>
      <c r="D1324" t="s">
        <v>2</v>
      </c>
      <c r="G1324" t="b">
        <v>1</v>
      </c>
      <c r="H1324">
        <v>70804</v>
      </c>
      <c r="I1324" s="6">
        <v>2.7985583041781501</v>
      </c>
      <c r="J1324" s="1">
        <v>42383.543368055558</v>
      </c>
      <c r="K1324">
        <v>11.59</v>
      </c>
      <c r="L1324" s="6">
        <f>('Pizza Sales Calculations'!$J1324-'Pizza Sales Calculations'!$C1324)*24*60</f>
        <v>13.983333333162591</v>
      </c>
      <c r="M1324">
        <f>COUNTA('Pizza Sales Calculations'!$D1324:$F1324)</f>
        <v>1</v>
      </c>
      <c r="R1324" s="9">
        <f>IF('Pizza Sales Calculations'!$G1324=TRUE, Parameters!$B$17*'Pizza Sales Calculations'!$L1324*2, 0)</f>
        <v>3.9619444443960674</v>
      </c>
      <c r="T1324" s="6"/>
      <c r="U1324" s="9"/>
    </row>
    <row r="1325" spans="1:21" x14ac:dyDescent="0.2">
      <c r="A1325">
        <v>1324</v>
      </c>
      <c r="B1325" s="1">
        <v>42383.552210648151</v>
      </c>
      <c r="C1325" s="1">
        <v>42383.562638888892</v>
      </c>
      <c r="D1325" t="s">
        <v>35</v>
      </c>
      <c r="G1325" t="b">
        <v>1</v>
      </c>
      <c r="H1325">
        <v>70804</v>
      </c>
      <c r="I1325" s="6">
        <v>1.9940357681080501</v>
      </c>
      <c r="J1325" s="1">
        <v>42383.569560185184</v>
      </c>
      <c r="K1325">
        <v>15.35</v>
      </c>
      <c r="L1325" s="6">
        <f>('Pizza Sales Calculations'!$J1325-'Pizza Sales Calculations'!$C1325)*24*60</f>
        <v>9.9666666600387543</v>
      </c>
      <c r="M1325">
        <f>COUNTA('Pizza Sales Calculations'!$D1325:$F1325)</f>
        <v>1</v>
      </c>
      <c r="R1325" s="9">
        <f>IF('Pizza Sales Calculations'!$G1325=TRUE, Parameters!$B$17*'Pizza Sales Calculations'!$L1325*2, 0)</f>
        <v>2.8238888870109804</v>
      </c>
      <c r="T1325" s="6"/>
      <c r="U1325" s="9"/>
    </row>
    <row r="1326" spans="1:21" x14ac:dyDescent="0.2">
      <c r="A1326">
        <v>1325</v>
      </c>
      <c r="B1326" s="1">
        <v>42383.447175925925</v>
      </c>
      <c r="C1326" s="1">
        <v>42383.457569444443</v>
      </c>
      <c r="D1326" t="s">
        <v>2</v>
      </c>
      <c r="G1326" t="b">
        <v>0</v>
      </c>
      <c r="H1326">
        <v>70804</v>
      </c>
      <c r="I1326" s="6">
        <v>0</v>
      </c>
      <c r="J1326" s="1">
        <v>42383.459641203706</v>
      </c>
      <c r="K1326">
        <v>11.59</v>
      </c>
      <c r="L1326" s="6">
        <f>('Pizza Sales Calculations'!$J1326-'Pizza Sales Calculations'!$C1326)*24*60</f>
        <v>2.9833333392161876</v>
      </c>
      <c r="M1326">
        <f>COUNTA('Pizza Sales Calculations'!$D1326:$F1326)</f>
        <v>1</v>
      </c>
      <c r="R1326" s="9">
        <f>IF('Pizza Sales Calculations'!$G1326=TRUE, Parameters!$B$17*'Pizza Sales Calculations'!$L1326*2, 0)</f>
        <v>0</v>
      </c>
      <c r="T1326" s="6"/>
      <c r="U1326" s="9"/>
    </row>
    <row r="1327" spans="1:21" x14ac:dyDescent="0.2">
      <c r="A1327">
        <v>1326</v>
      </c>
      <c r="B1327" s="1">
        <v>42383.530925925923</v>
      </c>
      <c r="C1327" s="1">
        <v>42383.541319444441</v>
      </c>
      <c r="D1327" t="s">
        <v>35</v>
      </c>
      <c r="G1327" t="b">
        <v>1</v>
      </c>
      <c r="H1327">
        <v>70806</v>
      </c>
      <c r="I1327" s="6">
        <v>2.5220867427542202</v>
      </c>
      <c r="J1327" s="1">
        <v>42383.550069444442</v>
      </c>
      <c r="K1327">
        <v>15.35</v>
      </c>
      <c r="L1327" s="6">
        <f>('Pizza Sales Calculations'!$J1327-'Pizza Sales Calculations'!$C1327)*24*60</f>
        <v>12.600000001257285</v>
      </c>
      <c r="M1327">
        <f>COUNTA('Pizza Sales Calculations'!$D1327:$F1327)</f>
        <v>1</v>
      </c>
      <c r="R1327" s="9">
        <f>IF('Pizza Sales Calculations'!$G1327=TRUE, Parameters!$B$17*'Pizza Sales Calculations'!$L1327*2, 0)</f>
        <v>3.5700000003562309</v>
      </c>
      <c r="T1327" s="6"/>
      <c r="U1327" s="9"/>
    </row>
    <row r="1328" spans="1:21" x14ac:dyDescent="0.2">
      <c r="A1328">
        <v>1327</v>
      </c>
      <c r="B1328" s="1">
        <v>42383.507592592592</v>
      </c>
      <c r="C1328" s="1">
        <v>42383.517997685187</v>
      </c>
      <c r="D1328" t="s">
        <v>35</v>
      </c>
      <c r="G1328" t="b">
        <v>1</v>
      </c>
      <c r="H1328">
        <v>70805</v>
      </c>
      <c r="I1328" s="6">
        <v>2.1815490432628999</v>
      </c>
      <c r="J1328" s="1">
        <v>42383.525567129633</v>
      </c>
      <c r="K1328">
        <v>15.35</v>
      </c>
      <c r="L1328" s="6">
        <f>('Pizza Sales Calculations'!$J1328-'Pizza Sales Calculations'!$C1328)*24*60</f>
        <v>10.900000002002344</v>
      </c>
      <c r="M1328">
        <f>COUNTA('Pizza Sales Calculations'!$D1328:$F1328)</f>
        <v>1</v>
      </c>
      <c r="R1328" s="9">
        <f>IF('Pizza Sales Calculations'!$G1328=TRUE, Parameters!$B$17*'Pizza Sales Calculations'!$L1328*2, 0)</f>
        <v>3.088333333900664</v>
      </c>
      <c r="T1328" s="6"/>
      <c r="U1328" s="9"/>
    </row>
    <row r="1329" spans="1:21" x14ac:dyDescent="0.2">
      <c r="A1329">
        <v>1328</v>
      </c>
      <c r="B1329" s="1">
        <v>42383.496064814812</v>
      </c>
      <c r="C1329" s="1">
        <v>42383.506469907406</v>
      </c>
      <c r="D1329" t="s">
        <v>35</v>
      </c>
      <c r="G1329" t="b">
        <v>1</v>
      </c>
      <c r="H1329">
        <v>70804</v>
      </c>
      <c r="I1329" s="6">
        <v>4.5486856024763904</v>
      </c>
      <c r="J1329" s="1">
        <v>42383.522256944445</v>
      </c>
      <c r="K1329">
        <v>15.35</v>
      </c>
      <c r="L1329" s="6">
        <f>('Pizza Sales Calculations'!$J1329-'Pizza Sales Calculations'!$C1329)*24*60</f>
        <v>22.733333335490897</v>
      </c>
      <c r="M1329">
        <f>COUNTA('Pizza Sales Calculations'!$D1329:$F1329)</f>
        <v>1</v>
      </c>
      <c r="R1329" s="9">
        <f>IF('Pizza Sales Calculations'!$G1329=TRUE, Parameters!$B$17*'Pizza Sales Calculations'!$L1329*2, 0)</f>
        <v>6.4411111117224209</v>
      </c>
      <c r="T1329" s="6"/>
      <c r="U1329" s="9"/>
    </row>
    <row r="1330" spans="1:21" x14ac:dyDescent="0.2">
      <c r="A1330">
        <v>1329</v>
      </c>
      <c r="B1330" s="1">
        <v>42383.558865740742</v>
      </c>
      <c r="C1330" s="1">
        <v>42383.56925925926</v>
      </c>
      <c r="D1330" t="s">
        <v>2</v>
      </c>
      <c r="G1330" t="b">
        <v>1</v>
      </c>
      <c r="H1330">
        <v>70805</v>
      </c>
      <c r="I1330" s="6">
        <v>5.3964994073556696</v>
      </c>
      <c r="J1330" s="1">
        <v>42383.58798611111</v>
      </c>
      <c r="K1330">
        <v>11.59</v>
      </c>
      <c r="L1330" s="6">
        <f>('Pizza Sales Calculations'!$J1330-'Pizza Sales Calculations'!$C1330)*24*60</f>
        <v>26.966666663065553</v>
      </c>
      <c r="M1330">
        <f>COUNTA('Pizza Sales Calculations'!$D1330:$F1330)</f>
        <v>1</v>
      </c>
      <c r="R1330" s="9">
        <f>IF('Pizza Sales Calculations'!$G1330=TRUE, Parameters!$B$17*'Pizza Sales Calculations'!$L1330*2, 0)</f>
        <v>7.6405555545352399</v>
      </c>
      <c r="T1330" s="6"/>
      <c r="U1330" s="9"/>
    </row>
    <row r="1331" spans="1:21" x14ac:dyDescent="0.2">
      <c r="A1331">
        <v>1330</v>
      </c>
      <c r="B1331" s="1">
        <v>42383.45752314815</v>
      </c>
      <c r="C1331" s="1">
        <v>42383.467928240738</v>
      </c>
      <c r="D1331" t="s">
        <v>1</v>
      </c>
      <c r="E1331" t="s">
        <v>35</v>
      </c>
      <c r="G1331" t="b">
        <v>1</v>
      </c>
      <c r="H1331">
        <v>70803</v>
      </c>
      <c r="I1331" s="6">
        <v>2.1046562235580102</v>
      </c>
      <c r="J1331" s="1">
        <v>42383.475231481483</v>
      </c>
      <c r="K1331">
        <v>23.34</v>
      </c>
      <c r="L1331" s="6">
        <f>('Pizza Sales Calculations'!$J1331-'Pizza Sales Calculations'!$C1331)*24*60</f>
        <v>10.516666673356667</v>
      </c>
      <c r="M1331">
        <f>COUNTA('Pizza Sales Calculations'!$D1331:$F1331)</f>
        <v>2</v>
      </c>
      <c r="R1331" s="9">
        <f>IF('Pizza Sales Calculations'!$G1331=TRUE, Parameters!$B$17*'Pizza Sales Calculations'!$L1331*2, 0)</f>
        <v>2.9797222241177224</v>
      </c>
      <c r="T1331" s="6"/>
      <c r="U1331" s="9"/>
    </row>
    <row r="1332" spans="1:21" x14ac:dyDescent="0.2">
      <c r="A1332">
        <v>1331</v>
      </c>
      <c r="B1332" s="1">
        <v>42383.622615740744</v>
      </c>
      <c r="C1332" s="1">
        <v>42383.633020833331</v>
      </c>
      <c r="D1332" t="s">
        <v>35</v>
      </c>
      <c r="G1332" t="b">
        <v>0</v>
      </c>
      <c r="H1332">
        <v>70806</v>
      </c>
      <c r="I1332" s="6">
        <v>0</v>
      </c>
      <c r="J1332" s="1">
        <v>42383.635092592594</v>
      </c>
      <c r="K1332">
        <v>15.35</v>
      </c>
      <c r="L1332" s="6">
        <f>('Pizza Sales Calculations'!$J1332-'Pizza Sales Calculations'!$C1332)*24*60</f>
        <v>2.9833333392161876</v>
      </c>
      <c r="M1332">
        <f>COUNTA('Pizza Sales Calculations'!$D1332:$F1332)</f>
        <v>1</v>
      </c>
      <c r="R1332" s="9">
        <f>IF('Pizza Sales Calculations'!$G1332=TRUE, Parameters!$B$17*'Pizza Sales Calculations'!$L1332*2, 0)</f>
        <v>0</v>
      </c>
      <c r="T1332" s="6"/>
      <c r="U1332" s="9"/>
    </row>
    <row r="1333" spans="1:21" x14ac:dyDescent="0.2">
      <c r="A1333">
        <v>1332</v>
      </c>
      <c r="B1333" s="1">
        <v>42383.556122685186</v>
      </c>
      <c r="C1333" s="1">
        <v>42383.566516203704</v>
      </c>
      <c r="D1333" t="s">
        <v>1</v>
      </c>
      <c r="G1333" t="b">
        <v>1</v>
      </c>
      <c r="H1333">
        <v>70806</v>
      </c>
      <c r="I1333" s="6">
        <v>2.4533084281441502</v>
      </c>
      <c r="J1333" s="1">
        <v>42383.575023148151</v>
      </c>
      <c r="K1333">
        <v>7.99</v>
      </c>
      <c r="L1333" s="6">
        <f>('Pizza Sales Calculations'!$J1333-'Pizza Sales Calculations'!$C1333)*24*60</f>
        <v>12.250000003259629</v>
      </c>
      <c r="M1333">
        <f>COUNTA('Pizza Sales Calculations'!$D1333:$F1333)</f>
        <v>1</v>
      </c>
      <c r="R1333" s="9">
        <f>IF('Pizza Sales Calculations'!$G1333=TRUE, Parameters!$B$17*'Pizza Sales Calculations'!$L1333*2, 0)</f>
        <v>3.4708333342568949</v>
      </c>
      <c r="T1333" s="6"/>
      <c r="U1333" s="9"/>
    </row>
    <row r="1334" spans="1:21" x14ac:dyDescent="0.2">
      <c r="A1334">
        <v>1333</v>
      </c>
      <c r="B1334" s="1">
        <v>42383.528287037036</v>
      </c>
      <c r="C1334" s="1">
        <v>42383.53869212963</v>
      </c>
      <c r="D1334" t="s">
        <v>35</v>
      </c>
      <c r="G1334" t="b">
        <v>1</v>
      </c>
      <c r="H1334">
        <v>70804</v>
      </c>
      <c r="I1334" s="6">
        <v>3.96432337362012</v>
      </c>
      <c r="J1334" s="1">
        <v>42383.552453703705</v>
      </c>
      <c r="K1334">
        <v>15.35</v>
      </c>
      <c r="L1334" s="6">
        <f>('Pizza Sales Calculations'!$J1334-'Pizza Sales Calculations'!$C1334)*24*60</f>
        <v>19.816666668048128</v>
      </c>
      <c r="M1334">
        <f>COUNTA('Pizza Sales Calculations'!$D1334:$F1334)</f>
        <v>1</v>
      </c>
      <c r="R1334" s="9">
        <f>IF('Pizza Sales Calculations'!$G1334=TRUE, Parameters!$B$17*'Pizza Sales Calculations'!$L1334*2, 0)</f>
        <v>5.6147222226136364</v>
      </c>
      <c r="T1334" s="6"/>
      <c r="U1334" s="9"/>
    </row>
    <row r="1335" spans="1:21" x14ac:dyDescent="0.2">
      <c r="A1335">
        <v>1334</v>
      </c>
      <c r="B1335" s="1">
        <v>42383.493287037039</v>
      </c>
      <c r="C1335" s="1">
        <v>42383.503703703704</v>
      </c>
      <c r="D1335" t="s">
        <v>2</v>
      </c>
      <c r="G1335" t="b">
        <v>1</v>
      </c>
      <c r="H1335">
        <v>70806</v>
      </c>
      <c r="I1335" s="6">
        <v>3.2706298763157502</v>
      </c>
      <c r="J1335" s="1">
        <v>42383.515057870369</v>
      </c>
      <c r="K1335">
        <v>11.59</v>
      </c>
      <c r="L1335" s="6">
        <f>('Pizza Sales Calculations'!$J1335-'Pizza Sales Calculations'!$C1335)*24*60</f>
        <v>16.349999997764826</v>
      </c>
      <c r="M1335">
        <f>COUNTA('Pizza Sales Calculations'!$D1335:$F1335)</f>
        <v>1</v>
      </c>
      <c r="R1335" s="9">
        <f>IF('Pizza Sales Calculations'!$G1335=TRUE, Parameters!$B$17*'Pizza Sales Calculations'!$L1335*2, 0)</f>
        <v>4.6324999993667006</v>
      </c>
      <c r="T1335" s="6"/>
      <c r="U1335" s="9"/>
    </row>
    <row r="1336" spans="1:21" x14ac:dyDescent="0.2">
      <c r="A1336">
        <v>1335</v>
      </c>
      <c r="B1336" s="1">
        <v>42383.525347222225</v>
      </c>
      <c r="C1336" s="1">
        <v>42383.535752314812</v>
      </c>
      <c r="D1336" t="s">
        <v>35</v>
      </c>
      <c r="G1336" t="b">
        <v>1</v>
      </c>
      <c r="H1336">
        <v>70806</v>
      </c>
      <c r="I1336" s="6">
        <v>2.34300186480277</v>
      </c>
      <c r="J1336" s="1">
        <v>42383.543877314813</v>
      </c>
      <c r="K1336">
        <v>15.35</v>
      </c>
      <c r="L1336" s="6">
        <f>('Pizza Sales Calculations'!$J1336-'Pizza Sales Calculations'!$C1336)*24*60</f>
        <v>11.700000000419095</v>
      </c>
      <c r="M1336">
        <f>COUNTA('Pizza Sales Calculations'!$D1336:$F1336)</f>
        <v>1</v>
      </c>
      <c r="R1336" s="9">
        <f>IF('Pizza Sales Calculations'!$G1336=TRUE, Parameters!$B$17*'Pizza Sales Calculations'!$L1336*2, 0)</f>
        <v>3.3150000001187436</v>
      </c>
      <c r="T1336" s="6"/>
      <c r="U1336" s="9"/>
    </row>
    <row r="1337" spans="1:21" x14ac:dyDescent="0.2">
      <c r="A1337">
        <v>1336</v>
      </c>
      <c r="B1337" s="1">
        <v>42383.509918981479</v>
      </c>
      <c r="C1337" s="1">
        <v>42383.520335648151</v>
      </c>
      <c r="D1337" t="s">
        <v>1</v>
      </c>
      <c r="G1337" t="b">
        <v>0</v>
      </c>
      <c r="H1337">
        <v>70804</v>
      </c>
      <c r="I1337" s="6">
        <v>0</v>
      </c>
      <c r="J1337" s="1">
        <v>42383.522418981483</v>
      </c>
      <c r="K1337">
        <v>7.99</v>
      </c>
      <c r="L1337" s="6">
        <f>('Pizza Sales Calculations'!$J1337-'Pizza Sales Calculations'!$C1337)*24*60</f>
        <v>2.9999999993015081</v>
      </c>
      <c r="M1337">
        <f>COUNTA('Pizza Sales Calculations'!$D1337:$F1337)</f>
        <v>1</v>
      </c>
      <c r="R1337" s="9">
        <f>IF('Pizza Sales Calculations'!$G1337=TRUE, Parameters!$B$17*'Pizza Sales Calculations'!$L1337*2, 0)</f>
        <v>0</v>
      </c>
      <c r="T1337" s="6"/>
      <c r="U1337" s="9"/>
    </row>
    <row r="1338" spans="1:21" x14ac:dyDescent="0.2">
      <c r="A1338">
        <v>1337</v>
      </c>
      <c r="B1338" s="1">
        <v>42383.583287037036</v>
      </c>
      <c r="C1338" s="1">
        <v>42383.593692129631</v>
      </c>
      <c r="D1338" t="s">
        <v>1</v>
      </c>
      <c r="E1338" t="s">
        <v>35</v>
      </c>
      <c r="G1338" t="b">
        <v>0</v>
      </c>
      <c r="H1338">
        <v>70806</v>
      </c>
      <c r="I1338" s="6">
        <v>0</v>
      </c>
      <c r="J1338" s="1">
        <v>42383.595775462964</v>
      </c>
      <c r="K1338">
        <v>23.34</v>
      </c>
      <c r="L1338" s="6">
        <f>('Pizza Sales Calculations'!$J1338-'Pizza Sales Calculations'!$C1338)*24*60</f>
        <v>2.9999999993015081</v>
      </c>
      <c r="M1338">
        <f>COUNTA('Pizza Sales Calculations'!$D1338:$F1338)</f>
        <v>2</v>
      </c>
      <c r="R1338" s="9">
        <f>IF('Pizza Sales Calculations'!$G1338=TRUE, Parameters!$B$17*'Pizza Sales Calculations'!$L1338*2, 0)</f>
        <v>0</v>
      </c>
      <c r="T1338" s="6"/>
      <c r="U1338" s="9"/>
    </row>
    <row r="1339" spans="1:21" x14ac:dyDescent="0.2">
      <c r="A1339">
        <v>1338</v>
      </c>
      <c r="B1339" s="1">
        <v>42383.508379629631</v>
      </c>
      <c r="C1339" s="1">
        <v>42383.518773148149</v>
      </c>
      <c r="D1339" t="s">
        <v>2</v>
      </c>
      <c r="G1339" t="b">
        <v>1</v>
      </c>
      <c r="H1339">
        <v>70807</v>
      </c>
      <c r="I1339" s="6">
        <v>3.2686008717830699</v>
      </c>
      <c r="J1339" s="1">
        <v>42383.530115740738</v>
      </c>
      <c r="K1339">
        <v>11.59</v>
      </c>
      <c r="L1339" s="6">
        <f>('Pizza Sales Calculations'!$J1339-'Pizza Sales Calculations'!$C1339)*24*60</f>
        <v>16.333333327202126</v>
      </c>
      <c r="M1339">
        <f>COUNTA('Pizza Sales Calculations'!$D1339:$F1339)</f>
        <v>1</v>
      </c>
      <c r="R1339" s="9">
        <f>IF('Pizza Sales Calculations'!$G1339=TRUE, Parameters!$B$17*'Pizza Sales Calculations'!$L1339*2, 0)</f>
        <v>4.6277777760406025</v>
      </c>
      <c r="T1339" s="6"/>
      <c r="U1339" s="9"/>
    </row>
    <row r="1340" spans="1:21" x14ac:dyDescent="0.2">
      <c r="A1340">
        <v>1339</v>
      </c>
      <c r="B1340" s="1">
        <v>42383.559641203705</v>
      </c>
      <c r="C1340" s="1">
        <v>42383.5700462963</v>
      </c>
      <c r="D1340" t="s">
        <v>1</v>
      </c>
      <c r="G1340" t="b">
        <v>0</v>
      </c>
      <c r="H1340">
        <v>70804</v>
      </c>
      <c r="I1340" s="6">
        <v>0</v>
      </c>
      <c r="J1340" s="1">
        <v>42383.572129629632</v>
      </c>
      <c r="K1340">
        <v>7.99</v>
      </c>
      <c r="L1340" s="6">
        <f>('Pizza Sales Calculations'!$J1340-'Pizza Sales Calculations'!$C1340)*24*60</f>
        <v>2.9999999993015081</v>
      </c>
      <c r="M1340">
        <f>COUNTA('Pizza Sales Calculations'!$D1340:$F1340)</f>
        <v>1</v>
      </c>
      <c r="R1340" s="9">
        <f>IF('Pizza Sales Calculations'!$G1340=TRUE, Parameters!$B$17*'Pizza Sales Calculations'!$L1340*2, 0)</f>
        <v>0</v>
      </c>
      <c r="T1340" s="6"/>
      <c r="U1340" s="9"/>
    </row>
    <row r="1341" spans="1:21" x14ac:dyDescent="0.2">
      <c r="A1341">
        <v>1340</v>
      </c>
      <c r="B1341" s="1">
        <v>42383.511493055557</v>
      </c>
      <c r="C1341" s="1">
        <v>42383.521898148145</v>
      </c>
      <c r="D1341" t="s">
        <v>2</v>
      </c>
      <c r="G1341" t="b">
        <v>0</v>
      </c>
      <c r="H1341">
        <v>70803</v>
      </c>
      <c r="I1341" s="6">
        <v>0</v>
      </c>
      <c r="J1341" s="1">
        <v>42383.523981481485</v>
      </c>
      <c r="K1341">
        <v>11.59</v>
      </c>
      <c r="L1341" s="6">
        <f>('Pizza Sales Calculations'!$J1341-'Pizza Sales Calculations'!$C1341)*24*60</f>
        <v>3.000000009778887</v>
      </c>
      <c r="M1341">
        <f>COUNTA('Pizza Sales Calculations'!$D1341:$F1341)</f>
        <v>1</v>
      </c>
      <c r="R1341" s="9">
        <f>IF('Pizza Sales Calculations'!$G1341=TRUE, Parameters!$B$17*'Pizza Sales Calculations'!$L1341*2, 0)</f>
        <v>0</v>
      </c>
      <c r="T1341" s="6"/>
      <c r="U1341" s="9"/>
    </row>
    <row r="1342" spans="1:21" x14ac:dyDescent="0.2">
      <c r="A1342">
        <v>1341</v>
      </c>
      <c r="B1342" s="1">
        <v>42383.487175925926</v>
      </c>
      <c r="C1342" s="1">
        <v>42383.497581018521</v>
      </c>
      <c r="D1342" t="s">
        <v>35</v>
      </c>
      <c r="G1342" t="b">
        <v>0</v>
      </c>
      <c r="H1342">
        <v>70805</v>
      </c>
      <c r="I1342" s="6">
        <v>0</v>
      </c>
      <c r="J1342" s="1">
        <v>42383.499652777777</v>
      </c>
      <c r="K1342">
        <v>15.35</v>
      </c>
      <c r="L1342" s="6">
        <f>('Pizza Sales Calculations'!$J1342-'Pizza Sales Calculations'!$C1342)*24*60</f>
        <v>2.9833333287388086</v>
      </c>
      <c r="M1342">
        <f>COUNTA('Pizza Sales Calculations'!$D1342:$F1342)</f>
        <v>1</v>
      </c>
      <c r="R1342" s="9">
        <f>IF('Pizza Sales Calculations'!$G1342=TRUE, Parameters!$B$17*'Pizza Sales Calculations'!$L1342*2, 0)</f>
        <v>0</v>
      </c>
      <c r="T1342" s="6"/>
      <c r="U1342" s="9"/>
    </row>
    <row r="1343" spans="1:21" x14ac:dyDescent="0.2">
      <c r="A1343">
        <v>1342</v>
      </c>
      <c r="B1343" s="1">
        <v>42383.444849537038</v>
      </c>
      <c r="C1343" s="1">
        <v>42383.455277777779</v>
      </c>
      <c r="D1343" t="s">
        <v>1</v>
      </c>
      <c r="E1343" t="s">
        <v>2</v>
      </c>
      <c r="G1343" t="b">
        <v>1</v>
      </c>
      <c r="H1343">
        <v>70803</v>
      </c>
      <c r="I1343" s="6">
        <v>1.7711007677409201</v>
      </c>
      <c r="J1343" s="1">
        <v>42383.461423611108</v>
      </c>
      <c r="K1343">
        <v>19.579999999999998</v>
      </c>
      <c r="L1343" s="6">
        <f>('Pizza Sales Calculations'!$J1343-'Pizza Sales Calculations'!$C1343)*24*60</f>
        <v>8.8499999942723662</v>
      </c>
      <c r="M1343">
        <f>COUNTA('Pizza Sales Calculations'!$D1343:$F1343)</f>
        <v>2</v>
      </c>
      <c r="R1343" s="9">
        <f>IF('Pizza Sales Calculations'!$G1343=TRUE, Parameters!$B$17*'Pizza Sales Calculations'!$L1343*2, 0)</f>
        <v>2.5074999983771704</v>
      </c>
      <c r="T1343" s="6"/>
      <c r="U1343" s="9"/>
    </row>
    <row r="1344" spans="1:21" x14ac:dyDescent="0.2">
      <c r="A1344">
        <v>1343</v>
      </c>
      <c r="B1344" s="1">
        <v>42383.526307870372</v>
      </c>
      <c r="C1344" s="1">
        <v>42383.536712962959</v>
      </c>
      <c r="D1344" t="s">
        <v>2</v>
      </c>
      <c r="G1344" t="b">
        <v>1</v>
      </c>
      <c r="H1344">
        <v>70805</v>
      </c>
      <c r="I1344" s="6">
        <v>3.0726933549638602</v>
      </c>
      <c r="J1344" s="1">
        <v>42383.547372685185</v>
      </c>
      <c r="K1344">
        <v>11.59</v>
      </c>
      <c r="L1344" s="6">
        <f>('Pizza Sales Calculations'!$J1344-'Pizza Sales Calculations'!$C1344)*24*60</f>
        <v>15.350000004982576</v>
      </c>
      <c r="M1344">
        <f>COUNTA('Pizza Sales Calculations'!$D1344:$F1344)</f>
        <v>1</v>
      </c>
      <c r="R1344" s="9">
        <f>IF('Pizza Sales Calculations'!$G1344=TRUE, Parameters!$B$17*'Pizza Sales Calculations'!$L1344*2, 0)</f>
        <v>4.3491666680783965</v>
      </c>
      <c r="T1344" s="6"/>
      <c r="U1344" s="9"/>
    </row>
    <row r="1345" spans="1:21" x14ac:dyDescent="0.2">
      <c r="A1345">
        <v>1344</v>
      </c>
      <c r="B1345" s="1">
        <v>42383.471990740742</v>
      </c>
      <c r="C1345" s="1">
        <v>42383.482395833336</v>
      </c>
      <c r="D1345" t="s">
        <v>2</v>
      </c>
      <c r="E1345" t="s">
        <v>35</v>
      </c>
      <c r="G1345" t="b">
        <v>1</v>
      </c>
      <c r="H1345">
        <v>70805</v>
      </c>
      <c r="I1345" s="6">
        <v>3.4878001917650199</v>
      </c>
      <c r="J1345" s="1">
        <v>42383.494502314818</v>
      </c>
      <c r="K1345">
        <v>25.94</v>
      </c>
      <c r="L1345" s="6">
        <f>('Pizza Sales Calculations'!$J1345-'Pizza Sales Calculations'!$C1345)*24*60</f>
        <v>17.433333332883194</v>
      </c>
      <c r="M1345">
        <f>COUNTA('Pizza Sales Calculations'!$D1345:$F1345)</f>
        <v>2</v>
      </c>
      <c r="R1345" s="9">
        <f>IF('Pizza Sales Calculations'!$G1345=TRUE, Parameters!$B$17*'Pizza Sales Calculations'!$L1345*2, 0)</f>
        <v>4.939444444316905</v>
      </c>
      <c r="T1345" s="6"/>
      <c r="U1345" s="9"/>
    </row>
    <row r="1346" spans="1:21" x14ac:dyDescent="0.2">
      <c r="A1346">
        <v>1345</v>
      </c>
      <c r="B1346" s="1">
        <v>42383.489664351851</v>
      </c>
      <c r="C1346" s="1">
        <v>42383.500081018516</v>
      </c>
      <c r="D1346" t="s">
        <v>2</v>
      </c>
      <c r="G1346" t="b">
        <v>1</v>
      </c>
      <c r="H1346">
        <v>70804</v>
      </c>
      <c r="I1346" s="6">
        <v>2.3973750546767798</v>
      </c>
      <c r="J1346" s="1">
        <v>42383.508402777778</v>
      </c>
      <c r="K1346">
        <v>11.59</v>
      </c>
      <c r="L1346" s="6">
        <f>('Pizza Sales Calculations'!$J1346-'Pizza Sales Calculations'!$C1346)*24*60</f>
        <v>11.983333337120712</v>
      </c>
      <c r="M1346">
        <f>COUNTA('Pizza Sales Calculations'!$D1346:$F1346)</f>
        <v>1</v>
      </c>
      <c r="R1346" s="9">
        <f>IF('Pizza Sales Calculations'!$G1346=TRUE, Parameters!$B$17*'Pizza Sales Calculations'!$L1346*2, 0)</f>
        <v>3.3952777788508683</v>
      </c>
      <c r="T1346" s="6"/>
      <c r="U1346" s="9"/>
    </row>
    <row r="1347" spans="1:21" x14ac:dyDescent="0.2">
      <c r="A1347">
        <v>1346</v>
      </c>
      <c r="B1347" s="1">
        <v>42383.568287037036</v>
      </c>
      <c r="C1347" s="1">
        <v>42383.578703703701</v>
      </c>
      <c r="D1347" t="s">
        <v>35</v>
      </c>
      <c r="G1347" t="b">
        <v>1</v>
      </c>
      <c r="H1347">
        <v>70804</v>
      </c>
      <c r="I1347" s="6">
        <v>1.2130984583265201</v>
      </c>
      <c r="J1347" s="1">
        <v>42383.582905092589</v>
      </c>
      <c r="K1347">
        <v>15.35</v>
      </c>
      <c r="L1347" s="6">
        <f>('Pizza Sales Calculations'!$J1347-'Pizza Sales Calculations'!$C1347)*24*60</f>
        <v>6.0499999998137355</v>
      </c>
      <c r="M1347">
        <f>COUNTA('Pizza Sales Calculations'!$D1347:$F1347)</f>
        <v>1</v>
      </c>
      <c r="R1347" s="9">
        <f>IF('Pizza Sales Calculations'!$G1347=TRUE, Parameters!$B$17*'Pizza Sales Calculations'!$L1347*2, 0)</f>
        <v>1.7141666666138917</v>
      </c>
      <c r="T1347" s="6"/>
      <c r="U1347" s="9"/>
    </row>
    <row r="1348" spans="1:21" x14ac:dyDescent="0.2">
      <c r="A1348">
        <v>1347</v>
      </c>
      <c r="B1348" s="1">
        <v>42383.498229166667</v>
      </c>
      <c r="C1348" s="1">
        <v>42383.508634259262</v>
      </c>
      <c r="D1348" t="s">
        <v>1</v>
      </c>
      <c r="G1348" t="b">
        <v>1</v>
      </c>
      <c r="H1348">
        <v>70805</v>
      </c>
      <c r="I1348" s="6">
        <v>3.2065535562445602</v>
      </c>
      <c r="J1348" s="1">
        <v>42383.519756944443</v>
      </c>
      <c r="K1348">
        <v>7.99</v>
      </c>
      <c r="L1348" s="6">
        <f>('Pizza Sales Calculations'!$J1348-'Pizza Sales Calculations'!$C1348)*24*60</f>
        <v>16.01666665985249</v>
      </c>
      <c r="M1348">
        <f>COUNTA('Pizza Sales Calculations'!$D1348:$F1348)</f>
        <v>1</v>
      </c>
      <c r="R1348" s="9">
        <f>IF('Pizza Sales Calculations'!$G1348=TRUE, Parameters!$B$17*'Pizza Sales Calculations'!$L1348*2, 0)</f>
        <v>4.5380555536248721</v>
      </c>
      <c r="T1348" s="6"/>
      <c r="U1348" s="9"/>
    </row>
    <row r="1349" spans="1:21" x14ac:dyDescent="0.2">
      <c r="A1349">
        <v>1348</v>
      </c>
      <c r="B1349" s="1">
        <v>42383.534189814818</v>
      </c>
      <c r="C1349" s="1">
        <v>42383.544606481482</v>
      </c>
      <c r="D1349" t="s">
        <v>1</v>
      </c>
      <c r="G1349" t="b">
        <v>0</v>
      </c>
      <c r="H1349">
        <v>70805</v>
      </c>
      <c r="I1349" s="6">
        <v>0</v>
      </c>
      <c r="J1349" s="1">
        <v>42383.546678240738</v>
      </c>
      <c r="K1349">
        <v>7.99</v>
      </c>
      <c r="L1349" s="6">
        <f>('Pizza Sales Calculations'!$J1349-'Pizza Sales Calculations'!$C1349)*24*60</f>
        <v>2.9833333287388086</v>
      </c>
      <c r="M1349">
        <f>COUNTA('Pizza Sales Calculations'!$D1349:$F1349)</f>
        <v>1</v>
      </c>
      <c r="R1349" s="9">
        <f>IF('Pizza Sales Calculations'!$G1349=TRUE, Parameters!$B$17*'Pizza Sales Calculations'!$L1349*2, 0)</f>
        <v>0</v>
      </c>
      <c r="T1349" s="6"/>
      <c r="U1349" s="9"/>
    </row>
    <row r="1350" spans="1:21" x14ac:dyDescent="0.2">
      <c r="A1350">
        <v>1349</v>
      </c>
      <c r="B1350" s="1">
        <v>42383.446469907409</v>
      </c>
      <c r="C1350" s="1">
        <v>42383.456886574073</v>
      </c>
      <c r="D1350" t="s">
        <v>1</v>
      </c>
      <c r="E1350" t="s">
        <v>2</v>
      </c>
      <c r="G1350" t="b">
        <v>0</v>
      </c>
      <c r="H1350">
        <v>70805</v>
      </c>
      <c r="I1350" s="6">
        <v>0</v>
      </c>
      <c r="J1350" s="1">
        <v>42383.45894675926</v>
      </c>
      <c r="K1350">
        <v>19.579999999999998</v>
      </c>
      <c r="L1350" s="6">
        <f>('Pizza Sales Calculations'!$J1350-'Pizza Sales Calculations'!$C1350)*24*60</f>
        <v>2.9666666686534882</v>
      </c>
      <c r="M1350">
        <f>COUNTA('Pizza Sales Calculations'!$D1350:$F1350)</f>
        <v>2</v>
      </c>
      <c r="R1350" s="9">
        <f>IF('Pizza Sales Calculations'!$G1350=TRUE, Parameters!$B$17*'Pizza Sales Calculations'!$L1350*2, 0)</f>
        <v>0</v>
      </c>
      <c r="T1350" s="6"/>
      <c r="U1350" s="9"/>
    </row>
    <row r="1351" spans="1:21" x14ac:dyDescent="0.2">
      <c r="A1351">
        <v>1350</v>
      </c>
      <c r="B1351" s="1">
        <v>42383.494375000002</v>
      </c>
      <c r="C1351" s="1">
        <v>42383.504791666666</v>
      </c>
      <c r="D1351" t="s">
        <v>2</v>
      </c>
      <c r="G1351" t="b">
        <v>0</v>
      </c>
      <c r="H1351">
        <v>70803</v>
      </c>
      <c r="I1351" s="6">
        <v>0</v>
      </c>
      <c r="J1351" s="1">
        <v>42383.506863425922</v>
      </c>
      <c r="K1351">
        <v>11.59</v>
      </c>
      <c r="L1351" s="6">
        <f>('Pizza Sales Calculations'!$J1351-'Pizza Sales Calculations'!$C1351)*24*60</f>
        <v>2.9833333287388086</v>
      </c>
      <c r="M1351">
        <f>COUNTA('Pizza Sales Calculations'!$D1351:$F1351)</f>
        <v>1</v>
      </c>
      <c r="R1351" s="9">
        <f>IF('Pizza Sales Calculations'!$G1351=TRUE, Parameters!$B$17*'Pizza Sales Calculations'!$L1351*2, 0)</f>
        <v>0</v>
      </c>
      <c r="T1351" s="6"/>
      <c r="U1351" s="9"/>
    </row>
    <row r="1352" spans="1:21" x14ac:dyDescent="0.2">
      <c r="A1352">
        <v>1351</v>
      </c>
      <c r="B1352" s="1">
        <v>42383.506481481483</v>
      </c>
      <c r="C1352" s="1">
        <v>42383.516886574071</v>
      </c>
      <c r="D1352" t="s">
        <v>1</v>
      </c>
      <c r="G1352" t="b">
        <v>0</v>
      </c>
      <c r="H1352">
        <v>70804</v>
      </c>
      <c r="I1352" s="6">
        <v>0</v>
      </c>
      <c r="J1352" s="1">
        <v>42383.518969907411</v>
      </c>
      <c r="K1352">
        <v>7.99</v>
      </c>
      <c r="L1352" s="6">
        <f>('Pizza Sales Calculations'!$J1352-'Pizza Sales Calculations'!$C1352)*24*60</f>
        <v>3.000000009778887</v>
      </c>
      <c r="M1352">
        <f>COUNTA('Pizza Sales Calculations'!$D1352:$F1352)</f>
        <v>1</v>
      </c>
      <c r="R1352" s="9">
        <f>IF('Pizza Sales Calculations'!$G1352=TRUE, Parameters!$B$17*'Pizza Sales Calculations'!$L1352*2, 0)</f>
        <v>0</v>
      </c>
      <c r="T1352" s="6"/>
      <c r="U1352" s="9"/>
    </row>
    <row r="1353" spans="1:21" x14ac:dyDescent="0.2">
      <c r="A1353">
        <v>1352</v>
      </c>
      <c r="B1353" s="1">
        <v>42383.428842592592</v>
      </c>
      <c r="C1353" s="1">
        <v>42383.439270833333</v>
      </c>
      <c r="D1353" t="s">
        <v>1</v>
      </c>
      <c r="E1353" t="s">
        <v>2</v>
      </c>
      <c r="G1353" t="b">
        <v>1</v>
      </c>
      <c r="H1353">
        <v>70804</v>
      </c>
      <c r="I1353" s="6">
        <v>4.4613651674390997</v>
      </c>
      <c r="J1353" s="1">
        <v>42383.454756944448</v>
      </c>
      <c r="K1353">
        <v>19.579999999999998</v>
      </c>
      <c r="L1353" s="6">
        <f>('Pizza Sales Calculations'!$J1353-'Pizza Sales Calculations'!$C1353)*24*60</f>
        <v>22.300000005634502</v>
      </c>
      <c r="M1353">
        <f>COUNTA('Pizza Sales Calculations'!$D1353:$F1353)</f>
        <v>2</v>
      </c>
      <c r="R1353" s="9">
        <f>IF('Pizza Sales Calculations'!$G1353=TRUE, Parameters!$B$17*'Pizza Sales Calculations'!$L1353*2, 0)</f>
        <v>6.3183333349297754</v>
      </c>
      <c r="T1353" s="6"/>
      <c r="U1353" s="9"/>
    </row>
    <row r="1354" spans="1:21" x14ac:dyDescent="0.2">
      <c r="A1354">
        <v>1353</v>
      </c>
      <c r="B1354" s="1">
        <v>42383.468877314815</v>
      </c>
      <c r="C1354" s="1">
        <v>42383.479270833333</v>
      </c>
      <c r="D1354" t="s">
        <v>1</v>
      </c>
      <c r="E1354" t="s">
        <v>2</v>
      </c>
      <c r="G1354" t="b">
        <v>1</v>
      </c>
      <c r="H1354">
        <v>70804</v>
      </c>
      <c r="I1354" s="6">
        <v>2.0996471163645798</v>
      </c>
      <c r="J1354" s="1">
        <v>42383.486550925925</v>
      </c>
      <c r="K1354">
        <v>19.579999999999998</v>
      </c>
      <c r="L1354" s="6">
        <f>('Pizza Sales Calculations'!$J1354-'Pizza Sales Calculations'!$C1354)*24*60</f>
        <v>10.483333332231268</v>
      </c>
      <c r="M1354">
        <f>COUNTA('Pizza Sales Calculations'!$D1354:$F1354)</f>
        <v>2</v>
      </c>
      <c r="R1354" s="9">
        <f>IF('Pizza Sales Calculations'!$G1354=TRUE, Parameters!$B$17*'Pizza Sales Calculations'!$L1354*2, 0)</f>
        <v>2.970277777465526</v>
      </c>
      <c r="T1354" s="6"/>
      <c r="U1354" s="9"/>
    </row>
    <row r="1355" spans="1:21" x14ac:dyDescent="0.2">
      <c r="A1355">
        <v>1354</v>
      </c>
      <c r="B1355" s="1">
        <v>42383.516875000001</v>
      </c>
      <c r="C1355" s="1">
        <v>42383.527291666665</v>
      </c>
      <c r="D1355" t="s">
        <v>2</v>
      </c>
      <c r="G1355" t="b">
        <v>0</v>
      </c>
      <c r="H1355">
        <v>70804</v>
      </c>
      <c r="I1355" s="6">
        <v>0</v>
      </c>
      <c r="J1355" s="1">
        <v>42383.529363425929</v>
      </c>
      <c r="K1355">
        <v>11.59</v>
      </c>
      <c r="L1355" s="6">
        <f>('Pizza Sales Calculations'!$J1355-'Pizza Sales Calculations'!$C1355)*24*60</f>
        <v>2.9833333392161876</v>
      </c>
      <c r="M1355">
        <f>COUNTA('Pizza Sales Calculations'!$D1355:$F1355)</f>
        <v>1</v>
      </c>
      <c r="R1355" s="9">
        <f>IF('Pizza Sales Calculations'!$G1355=TRUE, Parameters!$B$17*'Pizza Sales Calculations'!$L1355*2, 0)</f>
        <v>0</v>
      </c>
      <c r="T1355" s="6"/>
      <c r="U1355" s="9"/>
    </row>
    <row r="1356" spans="1:21" x14ac:dyDescent="0.2">
      <c r="A1356">
        <v>1355</v>
      </c>
      <c r="B1356" s="1">
        <v>42383.486875000002</v>
      </c>
      <c r="C1356" s="1">
        <v>42383.49726851852</v>
      </c>
      <c r="D1356" t="s">
        <v>1</v>
      </c>
      <c r="E1356" t="s">
        <v>35</v>
      </c>
      <c r="G1356" t="b">
        <v>0</v>
      </c>
      <c r="H1356">
        <v>70805</v>
      </c>
      <c r="I1356" s="6">
        <v>0</v>
      </c>
      <c r="J1356" s="1">
        <v>42383.499328703707</v>
      </c>
      <c r="K1356">
        <v>23.34</v>
      </c>
      <c r="L1356" s="6">
        <f>('Pizza Sales Calculations'!$J1356-'Pizza Sales Calculations'!$C1356)*24*60</f>
        <v>2.9666666686534882</v>
      </c>
      <c r="M1356">
        <f>COUNTA('Pizza Sales Calculations'!$D1356:$F1356)</f>
        <v>2</v>
      </c>
      <c r="R1356" s="9">
        <f>IF('Pizza Sales Calculations'!$G1356=TRUE, Parameters!$B$17*'Pizza Sales Calculations'!$L1356*2, 0)</f>
        <v>0</v>
      </c>
      <c r="T1356" s="6"/>
      <c r="U1356" s="9"/>
    </row>
    <row r="1357" spans="1:21" x14ac:dyDescent="0.2">
      <c r="A1357">
        <v>1356</v>
      </c>
      <c r="B1357" s="1">
        <v>42383.50172453704</v>
      </c>
      <c r="C1357" s="1">
        <v>42383.512129629627</v>
      </c>
      <c r="D1357" t="s">
        <v>2</v>
      </c>
      <c r="G1357" t="b">
        <v>0</v>
      </c>
      <c r="H1357">
        <v>70804</v>
      </c>
      <c r="I1357" s="6">
        <v>0</v>
      </c>
      <c r="J1357" s="1">
        <v>42383.51421296296</v>
      </c>
      <c r="K1357">
        <v>11.59</v>
      </c>
      <c r="L1357" s="6">
        <f>('Pizza Sales Calculations'!$J1357-'Pizza Sales Calculations'!$C1357)*24*60</f>
        <v>2.9999999993015081</v>
      </c>
      <c r="M1357">
        <f>COUNTA('Pizza Sales Calculations'!$D1357:$F1357)</f>
        <v>1</v>
      </c>
      <c r="R1357" s="9">
        <f>IF('Pizza Sales Calculations'!$G1357=TRUE, Parameters!$B$17*'Pizza Sales Calculations'!$L1357*2, 0)</f>
        <v>0</v>
      </c>
      <c r="T1357" s="6"/>
      <c r="U1357" s="9"/>
    </row>
    <row r="1358" spans="1:21" x14ac:dyDescent="0.2">
      <c r="A1358">
        <v>1357</v>
      </c>
      <c r="B1358" s="1">
        <v>42383.479907407411</v>
      </c>
      <c r="C1358" s="1">
        <v>42383.490324074075</v>
      </c>
      <c r="D1358" t="s">
        <v>2</v>
      </c>
      <c r="G1358" t="b">
        <v>0</v>
      </c>
      <c r="H1358">
        <v>70807</v>
      </c>
      <c r="I1358" s="6">
        <v>0</v>
      </c>
      <c r="J1358" s="1">
        <v>42383.492395833331</v>
      </c>
      <c r="K1358">
        <v>11.59</v>
      </c>
      <c r="L1358" s="6">
        <f>('Pizza Sales Calculations'!$J1358-'Pizza Sales Calculations'!$C1358)*24*60</f>
        <v>2.9833333287388086</v>
      </c>
      <c r="M1358">
        <f>COUNTA('Pizza Sales Calculations'!$D1358:$F1358)</f>
        <v>1</v>
      </c>
      <c r="R1358" s="9">
        <f>IF('Pizza Sales Calculations'!$G1358=TRUE, Parameters!$B$17*'Pizza Sales Calculations'!$L1358*2, 0)</f>
        <v>0</v>
      </c>
      <c r="T1358" s="6"/>
      <c r="U1358" s="9"/>
    </row>
    <row r="1359" spans="1:21" x14ac:dyDescent="0.2">
      <c r="A1359">
        <v>1358</v>
      </c>
      <c r="B1359" s="1">
        <v>42383.514849537038</v>
      </c>
      <c r="C1359" s="1">
        <v>42383.525266203702</v>
      </c>
      <c r="D1359" t="s">
        <v>1</v>
      </c>
      <c r="G1359" t="b">
        <v>1</v>
      </c>
      <c r="H1359">
        <v>70803</v>
      </c>
      <c r="I1359" s="6">
        <v>4.2003345872690403</v>
      </c>
      <c r="J1359" s="1">
        <v>42383.539849537039</v>
      </c>
      <c r="K1359">
        <v>7.99</v>
      </c>
      <c r="L1359" s="6">
        <f>('Pizza Sales Calculations'!$J1359-'Pizza Sales Calculations'!$C1359)*24*60</f>
        <v>21.000000005587935</v>
      </c>
      <c r="M1359">
        <f>COUNTA('Pizza Sales Calculations'!$D1359:$F1359)</f>
        <v>1</v>
      </c>
      <c r="R1359" s="9">
        <f>IF('Pizza Sales Calculations'!$G1359=TRUE, Parameters!$B$17*'Pizza Sales Calculations'!$L1359*2, 0)</f>
        <v>5.9500000015832484</v>
      </c>
      <c r="T1359" s="6"/>
      <c r="U1359" s="9"/>
    </row>
    <row r="1360" spans="1:21" x14ac:dyDescent="0.2">
      <c r="A1360">
        <v>1359</v>
      </c>
      <c r="B1360" s="1">
        <v>42383.4528587963</v>
      </c>
      <c r="C1360" s="1">
        <v>42383.463263888887</v>
      </c>
      <c r="D1360" t="s">
        <v>35</v>
      </c>
      <c r="G1360" t="b">
        <v>1</v>
      </c>
      <c r="H1360">
        <v>70806</v>
      </c>
      <c r="I1360" s="6">
        <v>1.6591518587196401</v>
      </c>
      <c r="J1360" s="1">
        <v>42383.4690162037</v>
      </c>
      <c r="K1360">
        <v>15.35</v>
      </c>
      <c r="L1360" s="6">
        <f>('Pizza Sales Calculations'!$J1360-'Pizza Sales Calculations'!$C1360)*24*60</f>
        <v>8.2833333313465118</v>
      </c>
      <c r="M1360">
        <f>COUNTA('Pizza Sales Calculations'!$D1360:$F1360)</f>
        <v>1</v>
      </c>
      <c r="R1360" s="9">
        <f>IF('Pizza Sales Calculations'!$G1360=TRUE, Parameters!$B$17*'Pizza Sales Calculations'!$L1360*2, 0)</f>
        <v>2.3469444438815117</v>
      </c>
      <c r="T1360" s="6"/>
      <c r="U1360" s="9"/>
    </row>
    <row r="1361" spans="1:21" x14ac:dyDescent="0.2">
      <c r="A1361">
        <v>1360</v>
      </c>
      <c r="B1361" s="1">
        <v>42383.476168981484</v>
      </c>
      <c r="C1361" s="1">
        <v>42383.486550925925</v>
      </c>
      <c r="D1361" t="s">
        <v>1</v>
      </c>
      <c r="E1361" t="s">
        <v>2</v>
      </c>
      <c r="G1361" t="b">
        <v>1</v>
      </c>
      <c r="H1361">
        <v>70806</v>
      </c>
      <c r="I1361" s="6">
        <v>2.7800264115397999</v>
      </c>
      <c r="J1361" s="1">
        <v>42383.496203703704</v>
      </c>
      <c r="K1361">
        <v>19.579999999999998</v>
      </c>
      <c r="L1361" s="6">
        <f>('Pizza Sales Calculations'!$J1361-'Pizza Sales Calculations'!$C1361)*24*60</f>
        <v>13.900000001303852</v>
      </c>
      <c r="M1361">
        <f>COUNTA('Pizza Sales Calculations'!$D1361:$F1361)</f>
        <v>2</v>
      </c>
      <c r="R1361" s="9">
        <f>IF('Pizza Sales Calculations'!$G1361=TRUE, Parameters!$B$17*'Pizza Sales Calculations'!$L1361*2, 0)</f>
        <v>3.938333333702758</v>
      </c>
      <c r="T1361" s="6"/>
      <c r="U1361" s="9"/>
    </row>
    <row r="1362" spans="1:21" x14ac:dyDescent="0.2">
      <c r="A1362">
        <v>1361</v>
      </c>
      <c r="B1362" s="1">
        <v>42383.541087962964</v>
      </c>
      <c r="C1362" s="1">
        <v>42383.551504629628</v>
      </c>
      <c r="D1362" t="s">
        <v>2</v>
      </c>
      <c r="G1362" t="b">
        <v>1</v>
      </c>
      <c r="H1362">
        <v>70805</v>
      </c>
      <c r="I1362" s="6">
        <v>3.4185537663712302</v>
      </c>
      <c r="J1362" s="1">
        <v>42383.563368055555</v>
      </c>
      <c r="K1362">
        <v>11.59</v>
      </c>
      <c r="L1362" s="6">
        <f>('Pizza Sales Calculations'!$J1362-'Pizza Sales Calculations'!$C1362)*24*60</f>
        <v>17.083333334885538</v>
      </c>
      <c r="M1362">
        <f>COUNTA('Pizza Sales Calculations'!$D1362:$F1362)</f>
        <v>1</v>
      </c>
      <c r="R1362" s="9">
        <f>IF('Pizza Sales Calculations'!$G1362=TRUE, Parameters!$B$17*'Pizza Sales Calculations'!$L1362*2, 0)</f>
        <v>4.840277778217569</v>
      </c>
      <c r="T1362" s="6"/>
      <c r="U1362" s="9"/>
    </row>
    <row r="1363" spans="1:21" x14ac:dyDescent="0.2">
      <c r="A1363">
        <v>1362</v>
      </c>
      <c r="B1363" s="1">
        <v>42383.533854166664</v>
      </c>
      <c r="C1363" s="1">
        <v>42383.544259259259</v>
      </c>
      <c r="D1363" t="s">
        <v>2</v>
      </c>
      <c r="E1363" t="s">
        <v>35</v>
      </c>
      <c r="G1363" t="b">
        <v>1</v>
      </c>
      <c r="H1363">
        <v>70805</v>
      </c>
      <c r="I1363" s="6">
        <v>3.8888640045125702</v>
      </c>
      <c r="J1363" s="1">
        <v>42383.557754629626</v>
      </c>
      <c r="K1363">
        <v>25.94</v>
      </c>
      <c r="L1363" s="6">
        <f>('Pizza Sales Calculations'!$J1363-'Pizza Sales Calculations'!$C1363)*24*60</f>
        <v>19.433333328925073</v>
      </c>
      <c r="M1363">
        <f>COUNTA('Pizza Sales Calculations'!$D1363:$F1363)</f>
        <v>2</v>
      </c>
      <c r="R1363" s="9">
        <f>IF('Pizza Sales Calculations'!$G1363=TRUE, Parameters!$B$17*'Pizza Sales Calculations'!$L1363*2, 0)</f>
        <v>5.5061111098621041</v>
      </c>
      <c r="T1363" s="6"/>
      <c r="U1363" s="9"/>
    </row>
    <row r="1364" spans="1:21" x14ac:dyDescent="0.2">
      <c r="A1364">
        <v>1363</v>
      </c>
      <c r="B1364" s="1">
        <v>42383.518587962964</v>
      </c>
      <c r="C1364" s="1">
        <v>42383.528993055559</v>
      </c>
      <c r="D1364" t="s">
        <v>35</v>
      </c>
      <c r="G1364" t="b">
        <v>0</v>
      </c>
      <c r="H1364">
        <v>70804</v>
      </c>
      <c r="I1364" s="6">
        <v>0</v>
      </c>
      <c r="J1364" s="1">
        <v>42383.531064814815</v>
      </c>
      <c r="K1364">
        <v>15.35</v>
      </c>
      <c r="L1364" s="6">
        <f>('Pizza Sales Calculations'!$J1364-'Pizza Sales Calculations'!$C1364)*24*60</f>
        <v>2.9833333287388086</v>
      </c>
      <c r="M1364">
        <f>COUNTA('Pizza Sales Calculations'!$D1364:$F1364)</f>
        <v>1</v>
      </c>
      <c r="R1364" s="9">
        <f>IF('Pizza Sales Calculations'!$G1364=TRUE, Parameters!$B$17*'Pizza Sales Calculations'!$L1364*2, 0)</f>
        <v>0</v>
      </c>
      <c r="T1364" s="6"/>
      <c r="U1364" s="9"/>
    </row>
    <row r="1365" spans="1:21" x14ac:dyDescent="0.2">
      <c r="A1365">
        <v>1364</v>
      </c>
      <c r="B1365" s="1">
        <v>42383.527407407404</v>
      </c>
      <c r="C1365" s="1">
        <v>42383.537835648145</v>
      </c>
      <c r="D1365" t="s">
        <v>1</v>
      </c>
      <c r="E1365" t="s">
        <v>2</v>
      </c>
      <c r="G1365" t="b">
        <v>0</v>
      </c>
      <c r="H1365">
        <v>70805</v>
      </c>
      <c r="I1365" s="6">
        <v>0</v>
      </c>
      <c r="J1365" s="1">
        <v>42383.539930555555</v>
      </c>
      <c r="K1365">
        <v>19.579999999999998</v>
      </c>
      <c r="L1365" s="6">
        <f>('Pizza Sales Calculations'!$J1365-'Pizza Sales Calculations'!$C1365)*24*60</f>
        <v>3.0166666698642075</v>
      </c>
      <c r="M1365">
        <f>COUNTA('Pizza Sales Calculations'!$D1365:$F1365)</f>
        <v>2</v>
      </c>
      <c r="R1365" s="9">
        <f>IF('Pizza Sales Calculations'!$G1365=TRUE, Parameters!$B$17*'Pizza Sales Calculations'!$L1365*2, 0)</f>
        <v>0</v>
      </c>
      <c r="T1365" s="6"/>
      <c r="U1365" s="9"/>
    </row>
    <row r="1366" spans="1:21" x14ac:dyDescent="0.2">
      <c r="A1366">
        <v>1365</v>
      </c>
      <c r="B1366" s="1">
        <v>42383.479560185187</v>
      </c>
      <c r="C1366" s="1">
        <v>42383.489988425928</v>
      </c>
      <c r="D1366" t="s">
        <v>2</v>
      </c>
      <c r="E1366" t="s">
        <v>35</v>
      </c>
      <c r="G1366" t="b">
        <v>0</v>
      </c>
      <c r="H1366">
        <v>70805</v>
      </c>
      <c r="I1366" s="6">
        <v>0</v>
      </c>
      <c r="J1366" s="1">
        <v>42383.492071759261</v>
      </c>
      <c r="K1366">
        <v>25.94</v>
      </c>
      <c r="L1366" s="6">
        <f>('Pizza Sales Calculations'!$J1366-'Pizza Sales Calculations'!$C1366)*24*60</f>
        <v>2.9999999993015081</v>
      </c>
      <c r="M1366">
        <f>COUNTA('Pizza Sales Calculations'!$D1366:$F1366)</f>
        <v>2</v>
      </c>
      <c r="R1366" s="9">
        <f>IF('Pizza Sales Calculations'!$G1366=TRUE, Parameters!$B$17*'Pizza Sales Calculations'!$L1366*2, 0)</f>
        <v>0</v>
      </c>
      <c r="T1366" s="6"/>
      <c r="U1366" s="9"/>
    </row>
    <row r="1367" spans="1:21" x14ac:dyDescent="0.2">
      <c r="A1367">
        <v>1366</v>
      </c>
      <c r="B1367" s="1">
        <v>42383.50037037037</v>
      </c>
      <c r="C1367" s="1">
        <v>42383.510787037034</v>
      </c>
      <c r="D1367" t="s">
        <v>35</v>
      </c>
      <c r="G1367" t="b">
        <v>1</v>
      </c>
      <c r="H1367">
        <v>70804</v>
      </c>
      <c r="I1367" s="6">
        <v>2.65667324460036</v>
      </c>
      <c r="J1367" s="1">
        <v>42383.520011574074</v>
      </c>
      <c r="K1367">
        <v>15.35</v>
      </c>
      <c r="L1367" s="6">
        <f>('Pizza Sales Calculations'!$J1367-'Pizza Sales Calculations'!$C1367)*24*60</f>
        <v>13.283333337167278</v>
      </c>
      <c r="M1367">
        <f>COUNTA('Pizza Sales Calculations'!$D1367:$F1367)</f>
        <v>1</v>
      </c>
      <c r="R1367" s="9">
        <f>IF('Pizza Sales Calculations'!$G1367=TRUE, Parameters!$B$17*'Pizza Sales Calculations'!$L1367*2, 0)</f>
        <v>3.7636111121973954</v>
      </c>
      <c r="T1367" s="6"/>
      <c r="U1367" s="9"/>
    </row>
    <row r="1368" spans="1:21" x14ac:dyDescent="0.2">
      <c r="A1368">
        <v>1367</v>
      </c>
      <c r="B1368" s="1">
        <v>42383.431793981479</v>
      </c>
      <c r="C1368" s="1">
        <v>42383.442199074074</v>
      </c>
      <c r="D1368" t="s">
        <v>35</v>
      </c>
      <c r="G1368" t="b">
        <v>0</v>
      </c>
      <c r="H1368">
        <v>70805</v>
      </c>
      <c r="I1368" s="6">
        <v>0</v>
      </c>
      <c r="J1368" s="1">
        <v>42383.444282407407</v>
      </c>
      <c r="K1368">
        <v>15.35</v>
      </c>
      <c r="L1368" s="6">
        <f>('Pizza Sales Calculations'!$J1368-'Pizza Sales Calculations'!$C1368)*24*60</f>
        <v>2.9999999993015081</v>
      </c>
      <c r="M1368">
        <f>COUNTA('Pizza Sales Calculations'!$D1368:$F1368)</f>
        <v>1</v>
      </c>
      <c r="R1368" s="9">
        <f>IF('Pizza Sales Calculations'!$G1368=TRUE, Parameters!$B$17*'Pizza Sales Calculations'!$L1368*2, 0)</f>
        <v>0</v>
      </c>
      <c r="T1368" s="6"/>
      <c r="U1368" s="9"/>
    </row>
    <row r="1369" spans="1:21" x14ac:dyDescent="0.2">
      <c r="A1369">
        <v>1368</v>
      </c>
      <c r="B1369" s="1">
        <v>42383.430312500001</v>
      </c>
      <c r="C1369" s="1">
        <v>42383.440717592595</v>
      </c>
      <c r="D1369" t="s">
        <v>2</v>
      </c>
      <c r="G1369" t="b">
        <v>1</v>
      </c>
      <c r="H1369">
        <v>70805</v>
      </c>
      <c r="I1369" s="6">
        <v>5.0017622374964299</v>
      </c>
      <c r="J1369" s="1">
        <v>42383.458078703705</v>
      </c>
      <c r="K1369">
        <v>11.59</v>
      </c>
      <c r="L1369" s="6">
        <f>('Pizza Sales Calculations'!$J1369-'Pizza Sales Calculations'!$C1369)*24*60</f>
        <v>24.999999997671694</v>
      </c>
      <c r="M1369">
        <f>COUNTA('Pizza Sales Calculations'!$D1369:$F1369)</f>
        <v>1</v>
      </c>
      <c r="R1369" s="9">
        <f>IF('Pizza Sales Calculations'!$G1369=TRUE, Parameters!$B$17*'Pizza Sales Calculations'!$L1369*2, 0)</f>
        <v>7.0833333326736465</v>
      </c>
      <c r="T1369" s="6"/>
      <c r="U1369" s="9"/>
    </row>
    <row r="1370" spans="1:21" x14ac:dyDescent="0.2">
      <c r="A1370">
        <v>1369</v>
      </c>
      <c r="B1370" s="1">
        <v>42383.481886574074</v>
      </c>
      <c r="C1370" s="1">
        <v>42383.492291666669</v>
      </c>
      <c r="D1370" t="s">
        <v>1</v>
      </c>
      <c r="G1370" t="b">
        <v>1</v>
      </c>
      <c r="H1370">
        <v>70803</v>
      </c>
      <c r="I1370" s="6">
        <v>4.13624786258708</v>
      </c>
      <c r="J1370" s="1">
        <v>42383.506643518522</v>
      </c>
      <c r="K1370">
        <v>7.99</v>
      </c>
      <c r="L1370" s="6">
        <f>('Pizza Sales Calculations'!$J1370-'Pizza Sales Calculations'!$C1370)*24*60</f>
        <v>20.666666667675599</v>
      </c>
      <c r="M1370">
        <f>COUNTA('Pizza Sales Calculations'!$D1370:$F1370)</f>
        <v>1</v>
      </c>
      <c r="R1370" s="9">
        <f>IF('Pizza Sales Calculations'!$G1370=TRUE, Parameters!$B$17*'Pizza Sales Calculations'!$L1370*2, 0)</f>
        <v>5.8555555558414198</v>
      </c>
      <c r="T1370" s="6"/>
      <c r="U1370" s="9"/>
    </row>
    <row r="1371" spans="1:21" x14ac:dyDescent="0.2">
      <c r="A1371">
        <v>1370</v>
      </c>
      <c r="B1371" s="1">
        <v>42383.466215277775</v>
      </c>
      <c r="C1371" s="1">
        <v>42383.4766087963</v>
      </c>
      <c r="D1371" t="s">
        <v>35</v>
      </c>
      <c r="G1371" t="b">
        <v>1</v>
      </c>
      <c r="H1371">
        <v>70804</v>
      </c>
      <c r="I1371" s="6">
        <v>5.6996388637273396</v>
      </c>
      <c r="J1371" s="1">
        <v>42383.496388888889</v>
      </c>
      <c r="K1371">
        <v>15.35</v>
      </c>
      <c r="L1371" s="6">
        <f>('Pizza Sales Calculations'!$J1371-'Pizza Sales Calculations'!$C1371)*24*60</f>
        <v>28.483333328040317</v>
      </c>
      <c r="M1371">
        <f>COUNTA('Pizza Sales Calculations'!$D1371:$F1371)</f>
        <v>1</v>
      </c>
      <c r="R1371" s="9">
        <f>IF('Pizza Sales Calculations'!$G1371=TRUE, Parameters!$B$17*'Pizza Sales Calculations'!$L1371*2, 0)</f>
        <v>8.0702777762780897</v>
      </c>
      <c r="T1371" s="6"/>
      <c r="U1371" s="9"/>
    </row>
    <row r="1372" spans="1:21" x14ac:dyDescent="0.2">
      <c r="A1372">
        <v>1371</v>
      </c>
      <c r="B1372" s="1">
        <v>42383.573101851849</v>
      </c>
      <c r="C1372" s="1">
        <v>42383.583518518521</v>
      </c>
      <c r="D1372" t="s">
        <v>35</v>
      </c>
      <c r="G1372" t="b">
        <v>1</v>
      </c>
      <c r="H1372">
        <v>70805</v>
      </c>
      <c r="I1372" s="6">
        <v>0.77524199139377103</v>
      </c>
      <c r="J1372" s="1">
        <v>42383.5862037037</v>
      </c>
      <c r="K1372">
        <v>15.35</v>
      </c>
      <c r="L1372" s="6">
        <f>('Pizza Sales Calculations'!$J1372-'Pizza Sales Calculations'!$C1372)*24*60</f>
        <v>3.8666666590142995</v>
      </c>
      <c r="M1372">
        <f>COUNTA('Pizza Sales Calculations'!$D1372:$F1372)</f>
        <v>1</v>
      </c>
      <c r="R1372" s="9">
        <f>IF('Pizza Sales Calculations'!$G1372=TRUE, Parameters!$B$17*'Pizza Sales Calculations'!$L1372*2, 0)</f>
        <v>1.0955555533873849</v>
      </c>
      <c r="T1372" s="6"/>
      <c r="U1372" s="9"/>
    </row>
    <row r="1373" spans="1:21" x14ac:dyDescent="0.2">
      <c r="A1373">
        <v>1372</v>
      </c>
      <c r="B1373" s="1">
        <v>42383.654814814814</v>
      </c>
      <c r="C1373" s="1">
        <v>42383.665243055555</v>
      </c>
      <c r="D1373" t="s">
        <v>35</v>
      </c>
      <c r="G1373" t="b">
        <v>0</v>
      </c>
      <c r="H1373">
        <v>70806</v>
      </c>
      <c r="I1373" s="6">
        <v>0</v>
      </c>
      <c r="J1373" s="1">
        <v>42383.667314814818</v>
      </c>
      <c r="K1373">
        <v>15.35</v>
      </c>
      <c r="L1373" s="6">
        <f>('Pizza Sales Calculations'!$J1373-'Pizza Sales Calculations'!$C1373)*24*60</f>
        <v>2.9833333392161876</v>
      </c>
      <c r="M1373">
        <f>COUNTA('Pizza Sales Calculations'!$D1373:$F1373)</f>
        <v>1</v>
      </c>
      <c r="R1373" s="9">
        <f>IF('Pizza Sales Calculations'!$G1373=TRUE, Parameters!$B$17*'Pizza Sales Calculations'!$L1373*2, 0)</f>
        <v>0</v>
      </c>
      <c r="T1373" s="6"/>
      <c r="U1373" s="9"/>
    </row>
    <row r="1374" spans="1:21" x14ac:dyDescent="0.2">
      <c r="A1374">
        <v>1373</v>
      </c>
      <c r="B1374" s="1">
        <v>42383.479398148149</v>
      </c>
      <c r="C1374" s="1">
        <v>42383.48982638889</v>
      </c>
      <c r="D1374" t="s">
        <v>35</v>
      </c>
      <c r="G1374" t="b">
        <v>1</v>
      </c>
      <c r="H1374">
        <v>70805</v>
      </c>
      <c r="I1374" s="6">
        <v>3.2910359277910302</v>
      </c>
      <c r="J1374" s="1">
        <v>42383.501250000001</v>
      </c>
      <c r="K1374">
        <v>15.35</v>
      </c>
      <c r="L1374" s="6">
        <f>('Pizza Sales Calculations'!$J1374-'Pizza Sales Calculations'!$C1374)*24*60</f>
        <v>16.450000000186265</v>
      </c>
      <c r="M1374">
        <f>COUNTA('Pizza Sales Calculations'!$D1374:$F1374)</f>
        <v>1</v>
      </c>
      <c r="R1374" s="9">
        <f>IF('Pizza Sales Calculations'!$G1374=TRUE, Parameters!$B$17*'Pizza Sales Calculations'!$L1374*2, 0)</f>
        <v>4.6608333333861083</v>
      </c>
      <c r="T1374" s="6"/>
      <c r="U1374" s="9"/>
    </row>
    <row r="1375" spans="1:21" x14ac:dyDescent="0.2">
      <c r="A1375">
        <v>1374</v>
      </c>
      <c r="B1375" s="1">
        <v>42383.545324074075</v>
      </c>
      <c r="C1375" s="1">
        <v>42383.55572916667</v>
      </c>
      <c r="D1375" t="s">
        <v>2</v>
      </c>
      <c r="G1375" t="b">
        <v>0</v>
      </c>
      <c r="H1375">
        <v>70804</v>
      </c>
      <c r="I1375" s="6">
        <v>0</v>
      </c>
      <c r="J1375" s="1">
        <v>42383.557800925926</v>
      </c>
      <c r="K1375">
        <v>11.59</v>
      </c>
      <c r="L1375" s="6">
        <f>('Pizza Sales Calculations'!$J1375-'Pizza Sales Calculations'!$C1375)*24*60</f>
        <v>2.9833333287388086</v>
      </c>
      <c r="M1375">
        <f>COUNTA('Pizza Sales Calculations'!$D1375:$F1375)</f>
        <v>1</v>
      </c>
      <c r="R1375" s="9">
        <f>IF('Pizza Sales Calculations'!$G1375=TRUE, Parameters!$B$17*'Pizza Sales Calculations'!$L1375*2, 0)</f>
        <v>0</v>
      </c>
      <c r="T1375" s="6"/>
      <c r="U1375" s="9"/>
    </row>
    <row r="1376" spans="1:21" x14ac:dyDescent="0.2">
      <c r="A1376">
        <v>1375</v>
      </c>
      <c r="B1376" s="1">
        <v>42383.482881944445</v>
      </c>
      <c r="C1376" s="1">
        <v>42383.493298611109</v>
      </c>
      <c r="D1376" t="s">
        <v>1</v>
      </c>
      <c r="G1376" t="b">
        <v>0</v>
      </c>
      <c r="H1376">
        <v>70805</v>
      </c>
      <c r="I1376" s="6">
        <v>0</v>
      </c>
      <c r="J1376" s="1">
        <v>42383.495370370372</v>
      </c>
      <c r="K1376">
        <v>7.99</v>
      </c>
      <c r="L1376" s="6">
        <f>('Pizza Sales Calculations'!$J1376-'Pizza Sales Calculations'!$C1376)*24*60</f>
        <v>2.9833333392161876</v>
      </c>
      <c r="M1376">
        <f>COUNTA('Pizza Sales Calculations'!$D1376:$F1376)</f>
        <v>1</v>
      </c>
      <c r="R1376" s="9">
        <f>IF('Pizza Sales Calculations'!$G1376=TRUE, Parameters!$B$17*'Pizza Sales Calculations'!$L1376*2, 0)</f>
        <v>0</v>
      </c>
      <c r="T1376" s="6"/>
      <c r="U1376" s="9"/>
    </row>
    <row r="1377" spans="1:21" x14ac:dyDescent="0.2">
      <c r="A1377">
        <v>1376</v>
      </c>
      <c r="B1377" s="1">
        <v>42383.47384259259</v>
      </c>
      <c r="C1377" s="1">
        <v>42383.484259259261</v>
      </c>
      <c r="D1377" t="s">
        <v>35</v>
      </c>
      <c r="G1377" t="b">
        <v>0</v>
      </c>
      <c r="H1377">
        <v>70806</v>
      </c>
      <c r="I1377" s="6">
        <v>0</v>
      </c>
      <c r="J1377" s="1">
        <v>42383.486342592594</v>
      </c>
      <c r="K1377">
        <v>15.35</v>
      </c>
      <c r="L1377" s="6">
        <f>('Pizza Sales Calculations'!$J1377-'Pizza Sales Calculations'!$C1377)*24*60</f>
        <v>2.9999999993015081</v>
      </c>
      <c r="M1377">
        <f>COUNTA('Pizza Sales Calculations'!$D1377:$F1377)</f>
        <v>1</v>
      </c>
      <c r="R1377" s="9">
        <f>IF('Pizza Sales Calculations'!$G1377=TRUE, Parameters!$B$17*'Pizza Sales Calculations'!$L1377*2, 0)</f>
        <v>0</v>
      </c>
      <c r="T1377" s="6"/>
      <c r="U1377" s="9"/>
    </row>
    <row r="1378" spans="1:21" x14ac:dyDescent="0.2">
      <c r="A1378">
        <v>1377</v>
      </c>
      <c r="B1378" s="1">
        <v>42383.507060185184</v>
      </c>
      <c r="C1378" s="1">
        <v>42383.517476851855</v>
      </c>
      <c r="D1378" t="s">
        <v>2</v>
      </c>
      <c r="G1378" t="b">
        <v>1</v>
      </c>
      <c r="H1378">
        <v>70805</v>
      </c>
      <c r="I1378" s="6">
        <v>5.3948244250852602</v>
      </c>
      <c r="J1378" s="1">
        <v>42383.536203703705</v>
      </c>
      <c r="K1378">
        <v>11.59</v>
      </c>
      <c r="L1378" s="6">
        <f>('Pizza Sales Calculations'!$J1378-'Pizza Sales Calculations'!$C1378)*24*60</f>
        <v>26.966666663065553</v>
      </c>
      <c r="M1378">
        <f>COUNTA('Pizza Sales Calculations'!$D1378:$F1378)</f>
        <v>1</v>
      </c>
      <c r="R1378" s="9">
        <f>IF('Pizza Sales Calculations'!$G1378=TRUE, Parameters!$B$17*'Pizza Sales Calculations'!$L1378*2, 0)</f>
        <v>7.6405555545352399</v>
      </c>
      <c r="T1378" s="6"/>
      <c r="U1378" s="9"/>
    </row>
    <row r="1379" spans="1:21" x14ac:dyDescent="0.2">
      <c r="A1379">
        <v>1378</v>
      </c>
      <c r="B1379" s="1">
        <v>42383.482291666667</v>
      </c>
      <c r="C1379" s="1">
        <v>42383.492673611108</v>
      </c>
      <c r="D1379" t="s">
        <v>1</v>
      </c>
      <c r="E1379" t="s">
        <v>2</v>
      </c>
      <c r="G1379" t="b">
        <v>1</v>
      </c>
      <c r="H1379">
        <v>70807</v>
      </c>
      <c r="I1379" s="6">
        <v>2.4137462258411801</v>
      </c>
      <c r="J1379" s="1">
        <v>42383.50105324074</v>
      </c>
      <c r="K1379">
        <v>19.579999999999998</v>
      </c>
      <c r="L1379" s="6">
        <f>('Pizza Sales Calculations'!$J1379-'Pizza Sales Calculations'!$C1379)*24*60</f>
        <v>12.066666668979451</v>
      </c>
      <c r="M1379">
        <f>COUNTA('Pizza Sales Calculations'!$D1379:$F1379)</f>
        <v>2</v>
      </c>
      <c r="R1379" s="9">
        <f>IF('Pizza Sales Calculations'!$G1379=TRUE, Parameters!$B$17*'Pizza Sales Calculations'!$L1379*2, 0)</f>
        <v>3.4188888895441778</v>
      </c>
      <c r="T1379" s="6"/>
      <c r="U1379" s="9"/>
    </row>
    <row r="1380" spans="1:21" x14ac:dyDescent="0.2">
      <c r="A1380">
        <v>1379</v>
      </c>
      <c r="B1380" s="1">
        <v>42383.494571759256</v>
      </c>
      <c r="C1380" s="1">
        <v>42383.504965277774</v>
      </c>
      <c r="D1380" t="s">
        <v>1</v>
      </c>
      <c r="G1380" t="b">
        <v>0</v>
      </c>
      <c r="H1380">
        <v>70805</v>
      </c>
      <c r="I1380" s="6">
        <v>0</v>
      </c>
      <c r="J1380" s="1">
        <v>42383.507048611114</v>
      </c>
      <c r="K1380">
        <v>7.99</v>
      </c>
      <c r="L1380" s="6">
        <f>('Pizza Sales Calculations'!$J1380-'Pizza Sales Calculations'!$C1380)*24*60</f>
        <v>3.000000009778887</v>
      </c>
      <c r="M1380">
        <f>COUNTA('Pizza Sales Calculations'!$D1380:$F1380)</f>
        <v>1</v>
      </c>
      <c r="R1380" s="9">
        <f>IF('Pizza Sales Calculations'!$G1380=TRUE, Parameters!$B$17*'Pizza Sales Calculations'!$L1380*2, 0)</f>
        <v>0</v>
      </c>
      <c r="T1380" s="6"/>
      <c r="U1380" s="9"/>
    </row>
    <row r="1381" spans="1:21" x14ac:dyDescent="0.2">
      <c r="A1381">
        <v>1380</v>
      </c>
      <c r="B1381" s="1">
        <v>42383.487453703703</v>
      </c>
      <c r="C1381" s="1">
        <v>42383.497881944444</v>
      </c>
      <c r="D1381" t="s">
        <v>2</v>
      </c>
      <c r="G1381" t="b">
        <v>0</v>
      </c>
      <c r="H1381">
        <v>70806</v>
      </c>
      <c r="I1381" s="6">
        <v>0</v>
      </c>
      <c r="J1381" s="1">
        <v>42383.499976851854</v>
      </c>
      <c r="K1381">
        <v>11.59</v>
      </c>
      <c r="L1381" s="6">
        <f>('Pizza Sales Calculations'!$J1381-'Pizza Sales Calculations'!$C1381)*24*60</f>
        <v>3.0166666698642075</v>
      </c>
      <c r="M1381">
        <f>COUNTA('Pizza Sales Calculations'!$D1381:$F1381)</f>
        <v>1</v>
      </c>
      <c r="R1381" s="9">
        <f>IF('Pizza Sales Calculations'!$G1381=TRUE, Parameters!$B$17*'Pizza Sales Calculations'!$L1381*2, 0)</f>
        <v>0</v>
      </c>
      <c r="T1381" s="6"/>
      <c r="U1381" s="9"/>
    </row>
    <row r="1382" spans="1:21" x14ac:dyDescent="0.2">
      <c r="A1382">
        <v>1381</v>
      </c>
      <c r="B1382" s="1">
        <v>42383.469594907408</v>
      </c>
      <c r="C1382" s="1">
        <v>42383.480034722219</v>
      </c>
      <c r="D1382" t="s">
        <v>1</v>
      </c>
      <c r="E1382" t="s">
        <v>35</v>
      </c>
      <c r="G1382" t="b">
        <v>0</v>
      </c>
      <c r="H1382">
        <v>70806</v>
      </c>
      <c r="I1382" s="6">
        <v>0</v>
      </c>
      <c r="J1382" s="1">
        <v>42383.482094907406</v>
      </c>
      <c r="K1382">
        <v>23.34</v>
      </c>
      <c r="L1382" s="6">
        <f>('Pizza Sales Calculations'!$J1382-'Pizza Sales Calculations'!$C1382)*24*60</f>
        <v>2.9666666686534882</v>
      </c>
      <c r="M1382">
        <f>COUNTA('Pizza Sales Calculations'!$D1382:$F1382)</f>
        <v>2</v>
      </c>
      <c r="R1382" s="9">
        <f>IF('Pizza Sales Calculations'!$G1382=TRUE, Parameters!$B$17*'Pizza Sales Calculations'!$L1382*2, 0)</f>
        <v>0</v>
      </c>
      <c r="T1382" s="6"/>
      <c r="U1382" s="9"/>
    </row>
    <row r="1383" spans="1:21" x14ac:dyDescent="0.2">
      <c r="A1383">
        <v>1382</v>
      </c>
      <c r="B1383" s="1">
        <v>42383.48096064815</v>
      </c>
      <c r="C1383" s="1">
        <v>42383.491377314815</v>
      </c>
      <c r="D1383" t="s">
        <v>35</v>
      </c>
      <c r="G1383" t="b">
        <v>1</v>
      </c>
      <c r="H1383">
        <v>70803</v>
      </c>
      <c r="I1383" s="6">
        <v>1.8215872001918401</v>
      </c>
      <c r="J1383" s="1">
        <v>42383.497696759259</v>
      </c>
      <c r="K1383">
        <v>15.35</v>
      </c>
      <c r="L1383" s="6">
        <f>('Pizza Sales Calculations'!$J1383-'Pizza Sales Calculations'!$C1383)*24*60</f>
        <v>9.1000000003259629</v>
      </c>
      <c r="M1383">
        <f>COUNTA('Pizza Sales Calculations'!$D1383:$F1383)</f>
        <v>1</v>
      </c>
      <c r="R1383" s="9">
        <f>IF('Pizza Sales Calculations'!$G1383=TRUE, Parameters!$B$17*'Pizza Sales Calculations'!$L1383*2, 0)</f>
        <v>2.5783333334256895</v>
      </c>
      <c r="T1383" s="6"/>
      <c r="U1383" s="9"/>
    </row>
    <row r="1384" spans="1:21" x14ac:dyDescent="0.2">
      <c r="A1384">
        <v>1383</v>
      </c>
      <c r="B1384" s="1">
        <v>42383.43246527778</v>
      </c>
      <c r="C1384" s="1">
        <v>42383.442870370367</v>
      </c>
      <c r="D1384" t="s">
        <v>35</v>
      </c>
      <c r="G1384" t="b">
        <v>1</v>
      </c>
      <c r="H1384">
        <v>70807</v>
      </c>
      <c r="I1384" s="6">
        <v>3.9234695385179301</v>
      </c>
      <c r="J1384" s="1">
        <v>42383.456493055557</v>
      </c>
      <c r="K1384">
        <v>15.35</v>
      </c>
      <c r="L1384" s="6">
        <f>('Pizza Sales Calculations'!$J1384-'Pizza Sales Calculations'!$C1384)*24*60</f>
        <v>19.61666667368263</v>
      </c>
      <c r="M1384">
        <f>COUNTA('Pizza Sales Calculations'!$D1384:$F1384)</f>
        <v>1</v>
      </c>
      <c r="R1384" s="9">
        <f>IF('Pizza Sales Calculations'!$G1384=TRUE, Parameters!$B$17*'Pizza Sales Calculations'!$L1384*2, 0)</f>
        <v>5.5580555575434119</v>
      </c>
      <c r="T1384" s="6"/>
      <c r="U1384" s="9"/>
    </row>
    <row r="1385" spans="1:21" x14ac:dyDescent="0.2">
      <c r="A1385">
        <v>1384</v>
      </c>
      <c r="B1385" s="1">
        <v>42383.504016203704</v>
      </c>
      <c r="C1385" s="1">
        <v>42383.514421296299</v>
      </c>
      <c r="D1385" t="s">
        <v>35</v>
      </c>
      <c r="G1385" t="b">
        <v>0</v>
      </c>
      <c r="H1385">
        <v>70806</v>
      </c>
      <c r="I1385" s="6">
        <v>0</v>
      </c>
      <c r="J1385" s="1">
        <v>42383.516516203701</v>
      </c>
      <c r="K1385">
        <v>15.35</v>
      </c>
      <c r="L1385" s="6">
        <f>('Pizza Sales Calculations'!$J1385-'Pizza Sales Calculations'!$C1385)*24*60</f>
        <v>3.0166666593868285</v>
      </c>
      <c r="M1385">
        <f>COUNTA('Pizza Sales Calculations'!$D1385:$F1385)</f>
        <v>1</v>
      </c>
      <c r="R1385" s="9">
        <f>IF('Pizza Sales Calculations'!$G1385=TRUE, Parameters!$B$17*'Pizza Sales Calculations'!$L1385*2, 0)</f>
        <v>0</v>
      </c>
      <c r="T1385" s="6"/>
      <c r="U1385" s="9"/>
    </row>
    <row r="1386" spans="1:21" x14ac:dyDescent="0.2">
      <c r="A1386">
        <v>1385</v>
      </c>
      <c r="B1386" s="1">
        <v>42383.482199074075</v>
      </c>
      <c r="C1386" s="1">
        <v>42383.492604166669</v>
      </c>
      <c r="D1386" t="s">
        <v>2</v>
      </c>
      <c r="G1386" t="b">
        <v>1</v>
      </c>
      <c r="H1386">
        <v>70803</v>
      </c>
      <c r="I1386" s="6">
        <v>2.4342202562431301</v>
      </c>
      <c r="J1386" s="1">
        <v>42383.50105324074</v>
      </c>
      <c r="K1386">
        <v>11.59</v>
      </c>
      <c r="L1386" s="6">
        <f>('Pizza Sales Calculations'!$J1386-'Pizza Sales Calculations'!$C1386)*24*60</f>
        <v>12.166666660923511</v>
      </c>
      <c r="M1386">
        <f>COUNTA('Pizza Sales Calculations'!$D1386:$F1386)</f>
        <v>1</v>
      </c>
      <c r="R1386" s="9">
        <f>IF('Pizza Sales Calculations'!$G1386=TRUE, Parameters!$B$17*'Pizza Sales Calculations'!$L1386*2, 0)</f>
        <v>3.4472222205949947</v>
      </c>
      <c r="T1386" s="6"/>
      <c r="U1386" s="9"/>
    </row>
    <row r="1387" spans="1:21" x14ac:dyDescent="0.2">
      <c r="A1387">
        <v>1386</v>
      </c>
      <c r="B1387" s="1">
        <v>42383.433148148149</v>
      </c>
      <c r="C1387" s="1">
        <v>42383.443553240744</v>
      </c>
      <c r="D1387" t="s">
        <v>35</v>
      </c>
      <c r="G1387" t="b">
        <v>1</v>
      </c>
      <c r="H1387">
        <v>70806</v>
      </c>
      <c r="I1387" s="6">
        <v>3.0581777182136101</v>
      </c>
      <c r="J1387" s="1">
        <v>42383.45416666667</v>
      </c>
      <c r="K1387">
        <v>15.35</v>
      </c>
      <c r="L1387" s="6">
        <f>('Pizza Sales Calculations'!$J1387-'Pizza Sales Calculations'!$C1387)*24*60</f>
        <v>15.283333333209157</v>
      </c>
      <c r="M1387">
        <f>COUNTA('Pizza Sales Calculations'!$D1387:$F1387)</f>
        <v>1</v>
      </c>
      <c r="R1387" s="9">
        <f>IF('Pizza Sales Calculations'!$G1387=TRUE, Parameters!$B$17*'Pizza Sales Calculations'!$L1387*2, 0)</f>
        <v>4.3302777777425945</v>
      </c>
      <c r="T1387" s="6"/>
      <c r="U1387" s="9"/>
    </row>
    <row r="1388" spans="1:21" x14ac:dyDescent="0.2">
      <c r="A1388">
        <v>1387</v>
      </c>
      <c r="B1388" s="1">
        <v>42383.577152777776</v>
      </c>
      <c r="C1388" s="1">
        <v>42383.587546296294</v>
      </c>
      <c r="D1388" t="s">
        <v>1</v>
      </c>
      <c r="G1388" t="b">
        <v>1</v>
      </c>
      <c r="H1388">
        <v>70804</v>
      </c>
      <c r="I1388" s="6">
        <v>2.9992621087192002</v>
      </c>
      <c r="J1388" s="1">
        <v>42383.597951388889</v>
      </c>
      <c r="K1388">
        <v>7.99</v>
      </c>
      <c r="L1388" s="6">
        <f>('Pizza Sales Calculations'!$J1388-'Pizza Sales Calculations'!$C1388)*24*60</f>
        <v>14.98333333642222</v>
      </c>
      <c r="M1388">
        <f>COUNTA('Pizza Sales Calculations'!$D1388:$F1388)</f>
        <v>1</v>
      </c>
      <c r="R1388" s="9">
        <f>IF('Pizza Sales Calculations'!$G1388=TRUE, Parameters!$B$17*'Pizza Sales Calculations'!$L1388*2, 0)</f>
        <v>4.2452777786529623</v>
      </c>
      <c r="T1388" s="6"/>
      <c r="U1388" s="9"/>
    </row>
    <row r="1389" spans="1:21" x14ac:dyDescent="0.2">
      <c r="A1389">
        <v>1388</v>
      </c>
      <c r="B1389" s="1">
        <v>42383.459108796298</v>
      </c>
      <c r="C1389" s="1">
        <v>42383.469513888886</v>
      </c>
      <c r="D1389" t="s">
        <v>35</v>
      </c>
      <c r="G1389" t="b">
        <v>0</v>
      </c>
      <c r="H1389">
        <v>70804</v>
      </c>
      <c r="I1389" s="6">
        <v>0</v>
      </c>
      <c r="J1389" s="1">
        <v>42383.471597222226</v>
      </c>
      <c r="K1389">
        <v>15.35</v>
      </c>
      <c r="L1389" s="6">
        <f>('Pizza Sales Calculations'!$J1389-'Pizza Sales Calculations'!$C1389)*24*60</f>
        <v>3.000000009778887</v>
      </c>
      <c r="M1389">
        <f>COUNTA('Pizza Sales Calculations'!$D1389:$F1389)</f>
        <v>1</v>
      </c>
      <c r="R1389" s="9">
        <f>IF('Pizza Sales Calculations'!$G1389=TRUE, Parameters!$B$17*'Pizza Sales Calculations'!$L1389*2, 0)</f>
        <v>0</v>
      </c>
      <c r="T1389" s="6"/>
      <c r="U1389" s="9"/>
    </row>
    <row r="1390" spans="1:21" x14ac:dyDescent="0.2">
      <c r="A1390">
        <v>1389</v>
      </c>
      <c r="B1390" s="1">
        <v>42383.491990740738</v>
      </c>
      <c r="C1390" s="1">
        <v>42383.502418981479</v>
      </c>
      <c r="D1390" t="s">
        <v>35</v>
      </c>
      <c r="G1390" t="b">
        <v>0</v>
      </c>
      <c r="H1390">
        <v>70803</v>
      </c>
      <c r="I1390" s="6">
        <v>0</v>
      </c>
      <c r="J1390" s="1">
        <v>42383.504513888889</v>
      </c>
      <c r="K1390">
        <v>15.35</v>
      </c>
      <c r="L1390" s="6">
        <f>('Pizza Sales Calculations'!$J1390-'Pizza Sales Calculations'!$C1390)*24*60</f>
        <v>3.0166666698642075</v>
      </c>
      <c r="M1390">
        <f>COUNTA('Pizza Sales Calculations'!$D1390:$F1390)</f>
        <v>1</v>
      </c>
      <c r="R1390" s="9">
        <f>IF('Pizza Sales Calculations'!$G1390=TRUE, Parameters!$B$17*'Pizza Sales Calculations'!$L1390*2, 0)</f>
        <v>0</v>
      </c>
      <c r="T1390" s="6"/>
      <c r="U1390" s="9"/>
    </row>
    <row r="1391" spans="1:21" x14ac:dyDescent="0.2">
      <c r="A1391">
        <v>1390</v>
      </c>
      <c r="B1391" s="1">
        <v>42383.514965277776</v>
      </c>
      <c r="C1391" s="1">
        <v>42383.525381944448</v>
      </c>
      <c r="D1391" t="s">
        <v>2</v>
      </c>
      <c r="E1391" t="s">
        <v>35</v>
      </c>
      <c r="G1391" t="b">
        <v>0</v>
      </c>
      <c r="H1391">
        <v>70804</v>
      </c>
      <c r="I1391" s="6">
        <v>0</v>
      </c>
      <c r="J1391" s="1">
        <v>42383.527465277781</v>
      </c>
      <c r="K1391">
        <v>25.94</v>
      </c>
      <c r="L1391" s="6">
        <f>('Pizza Sales Calculations'!$J1391-'Pizza Sales Calculations'!$C1391)*24*60</f>
        <v>2.9999999993015081</v>
      </c>
      <c r="M1391">
        <f>COUNTA('Pizza Sales Calculations'!$D1391:$F1391)</f>
        <v>2</v>
      </c>
      <c r="R1391" s="9">
        <f>IF('Pizza Sales Calculations'!$G1391=TRUE, Parameters!$B$17*'Pizza Sales Calculations'!$L1391*2, 0)</f>
        <v>0</v>
      </c>
      <c r="T1391" s="6"/>
      <c r="U1391" s="9"/>
    </row>
    <row r="1392" spans="1:21" x14ac:dyDescent="0.2">
      <c r="A1392">
        <v>1391</v>
      </c>
      <c r="B1392" s="1">
        <v>42383.549178240741</v>
      </c>
      <c r="C1392" s="1">
        <v>42383.559560185182</v>
      </c>
      <c r="D1392" t="s">
        <v>35</v>
      </c>
      <c r="G1392" t="b">
        <v>0</v>
      </c>
      <c r="H1392">
        <v>70805</v>
      </c>
      <c r="I1392" s="6">
        <v>0</v>
      </c>
      <c r="J1392" s="1">
        <v>42383.561643518522</v>
      </c>
      <c r="K1392">
        <v>15.35</v>
      </c>
      <c r="L1392" s="6">
        <f>('Pizza Sales Calculations'!$J1392-'Pizza Sales Calculations'!$C1392)*24*60</f>
        <v>3.000000009778887</v>
      </c>
      <c r="M1392">
        <f>COUNTA('Pizza Sales Calculations'!$D1392:$F1392)</f>
        <v>1</v>
      </c>
      <c r="R1392" s="9">
        <f>IF('Pizza Sales Calculations'!$G1392=TRUE, Parameters!$B$17*'Pizza Sales Calculations'!$L1392*2, 0)</f>
        <v>0</v>
      </c>
      <c r="T1392" s="6"/>
      <c r="U1392" s="9"/>
    </row>
    <row r="1393" spans="1:21" x14ac:dyDescent="0.2">
      <c r="A1393">
        <v>1392</v>
      </c>
      <c r="B1393" s="1">
        <v>42383.460393518515</v>
      </c>
      <c r="C1393" s="1">
        <v>42383.47079861111</v>
      </c>
      <c r="D1393" t="s">
        <v>1</v>
      </c>
      <c r="G1393" t="b">
        <v>0</v>
      </c>
      <c r="H1393">
        <v>70805</v>
      </c>
      <c r="I1393" s="6">
        <v>0</v>
      </c>
      <c r="J1393" s="1">
        <v>42383.472870370373</v>
      </c>
      <c r="K1393">
        <v>7.99</v>
      </c>
      <c r="L1393" s="6">
        <f>('Pizza Sales Calculations'!$J1393-'Pizza Sales Calculations'!$C1393)*24*60</f>
        <v>2.9833333392161876</v>
      </c>
      <c r="M1393">
        <f>COUNTA('Pizza Sales Calculations'!$D1393:$F1393)</f>
        <v>1</v>
      </c>
      <c r="R1393" s="9">
        <f>IF('Pizza Sales Calculations'!$G1393=TRUE, Parameters!$B$17*'Pizza Sales Calculations'!$L1393*2, 0)</f>
        <v>0</v>
      </c>
      <c r="T1393" s="6"/>
      <c r="U1393" s="9"/>
    </row>
    <row r="1394" spans="1:21" x14ac:dyDescent="0.2">
      <c r="A1394">
        <v>1393</v>
      </c>
      <c r="B1394" s="1">
        <v>42383.461053240739</v>
      </c>
      <c r="C1394" s="1">
        <v>42383.471458333333</v>
      </c>
      <c r="D1394" t="s">
        <v>35</v>
      </c>
      <c r="G1394" t="b">
        <v>1</v>
      </c>
      <c r="H1394">
        <v>70805</v>
      </c>
      <c r="I1394" s="6">
        <v>3.06720998046127</v>
      </c>
      <c r="J1394" s="1">
        <v>42383.482106481482</v>
      </c>
      <c r="K1394">
        <v>15.35</v>
      </c>
      <c r="L1394" s="6">
        <f>('Pizza Sales Calculations'!$J1394-'Pizza Sales Calculations'!$C1394)*24*60</f>
        <v>15.333333334419876</v>
      </c>
      <c r="M1394">
        <f>COUNTA('Pizza Sales Calculations'!$D1394:$F1394)</f>
        <v>1</v>
      </c>
      <c r="R1394" s="9">
        <f>IF('Pizza Sales Calculations'!$G1394=TRUE, Parameters!$B$17*'Pizza Sales Calculations'!$L1394*2, 0)</f>
        <v>4.3444444447522983</v>
      </c>
      <c r="T1394" s="6"/>
      <c r="U1394" s="9"/>
    </row>
    <row r="1395" spans="1:21" x14ac:dyDescent="0.2">
      <c r="A1395">
        <v>1394</v>
      </c>
      <c r="B1395" s="1">
        <v>42383.439733796295</v>
      </c>
      <c r="C1395" s="1">
        <v>42383.450162037036</v>
      </c>
      <c r="D1395" t="s">
        <v>1</v>
      </c>
      <c r="E1395" t="s">
        <v>2</v>
      </c>
      <c r="G1395" t="b">
        <v>1</v>
      </c>
      <c r="H1395">
        <v>70808</v>
      </c>
      <c r="I1395" s="6">
        <v>3.70940530968485</v>
      </c>
      <c r="J1395" s="1">
        <v>42383.46303240741</v>
      </c>
      <c r="K1395">
        <v>19.579999999999998</v>
      </c>
      <c r="L1395" s="6">
        <f>('Pizza Sales Calculations'!$J1395-'Pizza Sales Calculations'!$C1395)*24*60</f>
        <v>18.533333338564262</v>
      </c>
      <c r="M1395">
        <f>COUNTA('Pizza Sales Calculations'!$D1395:$F1395)</f>
        <v>2</v>
      </c>
      <c r="R1395" s="9">
        <f>IF('Pizza Sales Calculations'!$G1395=TRUE, Parameters!$B$17*'Pizza Sales Calculations'!$L1395*2, 0)</f>
        <v>5.2511111125932075</v>
      </c>
      <c r="T1395" s="6"/>
      <c r="U1395" s="9"/>
    </row>
    <row r="1396" spans="1:21" x14ac:dyDescent="0.2">
      <c r="A1396">
        <v>1395</v>
      </c>
      <c r="B1396" s="1">
        <v>42383.534594907411</v>
      </c>
      <c r="C1396" s="1">
        <v>42383.545011574075</v>
      </c>
      <c r="D1396" t="s">
        <v>1</v>
      </c>
      <c r="E1396" t="s">
        <v>35</v>
      </c>
      <c r="G1396" t="b">
        <v>1</v>
      </c>
      <c r="H1396">
        <v>70805</v>
      </c>
      <c r="I1396" s="6">
        <v>3.3451497235301302</v>
      </c>
      <c r="J1396" s="1">
        <v>42383.556620370371</v>
      </c>
      <c r="K1396">
        <v>23.34</v>
      </c>
      <c r="L1396" s="6">
        <f>('Pizza Sales Calculations'!$J1396-'Pizza Sales Calculations'!$C1396)*24*60</f>
        <v>16.716666666325182</v>
      </c>
      <c r="M1396">
        <f>COUNTA('Pizza Sales Calculations'!$D1396:$F1396)</f>
        <v>2</v>
      </c>
      <c r="R1396" s="9">
        <f>IF('Pizza Sales Calculations'!$G1396=TRUE, Parameters!$B$17*'Pizza Sales Calculations'!$L1396*2, 0)</f>
        <v>4.7363888887921348</v>
      </c>
      <c r="T1396" s="6"/>
      <c r="U1396" s="9"/>
    </row>
    <row r="1397" spans="1:21" x14ac:dyDescent="0.2">
      <c r="A1397">
        <v>1396</v>
      </c>
      <c r="B1397" s="1">
        <v>42383.583009259259</v>
      </c>
      <c r="C1397" s="1">
        <v>42383.593449074076</v>
      </c>
      <c r="D1397" t="s">
        <v>1</v>
      </c>
      <c r="E1397" t="s">
        <v>2</v>
      </c>
      <c r="G1397" t="b">
        <v>1</v>
      </c>
      <c r="H1397">
        <v>70805</v>
      </c>
      <c r="I1397" s="6">
        <v>2.2626825535685802</v>
      </c>
      <c r="J1397" s="1">
        <v>42383.6012962963</v>
      </c>
      <c r="K1397">
        <v>19.579999999999998</v>
      </c>
      <c r="L1397" s="6">
        <f>('Pizza Sales Calculations'!$J1397-'Pizza Sales Calculations'!$C1397)*24*60</f>
        <v>11.300000001210719</v>
      </c>
      <c r="M1397">
        <f>COUNTA('Pizza Sales Calculations'!$D1397:$F1397)</f>
        <v>2</v>
      </c>
      <c r="R1397" s="9">
        <f>IF('Pizza Sales Calculations'!$G1397=TRUE, Parameters!$B$17*'Pizza Sales Calculations'!$L1397*2, 0)</f>
        <v>3.2016666670097038</v>
      </c>
      <c r="T1397" s="6"/>
      <c r="U1397" s="9"/>
    </row>
    <row r="1398" spans="1:21" x14ac:dyDescent="0.2">
      <c r="A1398">
        <v>1397</v>
      </c>
      <c r="B1398" s="1">
        <v>42383.432129629633</v>
      </c>
      <c r="C1398" s="1">
        <v>42383.442546296297</v>
      </c>
      <c r="D1398" t="s">
        <v>1</v>
      </c>
      <c r="E1398" t="s">
        <v>2</v>
      </c>
      <c r="G1398" t="b">
        <v>0</v>
      </c>
      <c r="H1398">
        <v>70806</v>
      </c>
      <c r="I1398" s="6">
        <v>0</v>
      </c>
      <c r="J1398" s="1">
        <v>42383.44462962963</v>
      </c>
      <c r="K1398">
        <v>19.579999999999998</v>
      </c>
      <c r="L1398" s="6">
        <f>('Pizza Sales Calculations'!$J1398-'Pizza Sales Calculations'!$C1398)*24*60</f>
        <v>2.9999999993015081</v>
      </c>
      <c r="M1398">
        <f>COUNTA('Pizza Sales Calculations'!$D1398:$F1398)</f>
        <v>2</v>
      </c>
      <c r="R1398" s="9">
        <f>IF('Pizza Sales Calculations'!$G1398=TRUE, Parameters!$B$17*'Pizza Sales Calculations'!$L1398*2, 0)</f>
        <v>0</v>
      </c>
      <c r="T1398" s="6"/>
      <c r="U1398" s="9"/>
    </row>
    <row r="1399" spans="1:21" x14ac:dyDescent="0.2">
      <c r="A1399">
        <v>1398</v>
      </c>
      <c r="B1399" s="1">
        <v>42383.436249999999</v>
      </c>
      <c r="C1399" s="1">
        <v>42383.446655092594</v>
      </c>
      <c r="D1399" t="s">
        <v>35</v>
      </c>
      <c r="G1399" t="b">
        <v>0</v>
      </c>
      <c r="H1399">
        <v>70805</v>
      </c>
      <c r="I1399" s="6">
        <v>0</v>
      </c>
      <c r="J1399" s="1">
        <v>42383.448738425926</v>
      </c>
      <c r="K1399">
        <v>15.35</v>
      </c>
      <c r="L1399" s="6">
        <f>('Pizza Sales Calculations'!$J1399-'Pizza Sales Calculations'!$C1399)*24*60</f>
        <v>2.9999999993015081</v>
      </c>
      <c r="M1399">
        <f>COUNTA('Pizza Sales Calculations'!$D1399:$F1399)</f>
        <v>1</v>
      </c>
      <c r="R1399" s="9">
        <f>IF('Pizza Sales Calculations'!$G1399=TRUE, Parameters!$B$17*'Pizza Sales Calculations'!$L1399*2, 0)</f>
        <v>0</v>
      </c>
      <c r="T1399" s="6"/>
      <c r="U1399" s="9"/>
    </row>
    <row r="1400" spans="1:21" x14ac:dyDescent="0.2">
      <c r="A1400">
        <v>1399</v>
      </c>
      <c r="B1400" s="1">
        <v>42383.534837962965</v>
      </c>
      <c r="C1400" s="1">
        <v>42383.545243055552</v>
      </c>
      <c r="D1400" t="s">
        <v>1</v>
      </c>
      <c r="E1400" t="s">
        <v>35</v>
      </c>
      <c r="G1400" t="b">
        <v>1</v>
      </c>
      <c r="H1400">
        <v>70804</v>
      </c>
      <c r="I1400" s="6">
        <v>4.67007832133213</v>
      </c>
      <c r="J1400" s="1">
        <v>42383.56145833333</v>
      </c>
      <c r="K1400">
        <v>23.34</v>
      </c>
      <c r="L1400" s="6">
        <f>('Pizza Sales Calculations'!$J1400-'Pizza Sales Calculations'!$C1400)*24*60</f>
        <v>23.349999999627471</v>
      </c>
      <c r="M1400">
        <f>COUNTA('Pizza Sales Calculations'!$D1400:$F1400)</f>
        <v>2</v>
      </c>
      <c r="R1400" s="9">
        <f>IF('Pizza Sales Calculations'!$G1400=TRUE, Parameters!$B$17*'Pizza Sales Calculations'!$L1400*2, 0)</f>
        <v>6.6158333332277834</v>
      </c>
      <c r="T1400" s="6"/>
      <c r="U1400" s="9"/>
    </row>
    <row r="1401" spans="1:21" x14ac:dyDescent="0.2">
      <c r="A1401">
        <v>1400</v>
      </c>
      <c r="B1401" s="1">
        <v>42383.564155092594</v>
      </c>
      <c r="C1401" s="1">
        <v>42383.574560185189</v>
      </c>
      <c r="D1401" t="s">
        <v>2</v>
      </c>
      <c r="E1401" t="s">
        <v>35</v>
      </c>
      <c r="G1401" t="b">
        <v>1</v>
      </c>
      <c r="H1401">
        <v>70803</v>
      </c>
      <c r="I1401" s="6">
        <v>3.5021260097186402</v>
      </c>
      <c r="J1401" s="1">
        <v>42383.586712962962</v>
      </c>
      <c r="K1401">
        <v>25.94</v>
      </c>
      <c r="L1401" s="6">
        <f>('Pizza Sales Calculations'!$J1401-'Pizza Sales Calculations'!$C1401)*24*60</f>
        <v>17.499999994179234</v>
      </c>
      <c r="M1401">
        <f>COUNTA('Pizza Sales Calculations'!$D1401:$F1401)</f>
        <v>2</v>
      </c>
      <c r="R1401" s="9">
        <f>IF('Pizza Sales Calculations'!$G1401=TRUE, Parameters!$B$17*'Pizza Sales Calculations'!$L1401*2, 0)</f>
        <v>4.9583333316841163</v>
      </c>
      <c r="T1401" s="6"/>
      <c r="U1401" s="9"/>
    </row>
    <row r="1402" spans="1:21" x14ac:dyDescent="0.2">
      <c r="A1402">
        <v>1401</v>
      </c>
      <c r="B1402" s="1">
        <v>42383.492256944446</v>
      </c>
      <c r="C1402" s="1">
        <v>42383.502662037034</v>
      </c>
      <c r="D1402" t="s">
        <v>35</v>
      </c>
      <c r="G1402" t="b">
        <v>0</v>
      </c>
      <c r="H1402">
        <v>70804</v>
      </c>
      <c r="I1402" s="6">
        <v>0</v>
      </c>
      <c r="J1402" s="1">
        <v>42383.504745370374</v>
      </c>
      <c r="K1402">
        <v>15.35</v>
      </c>
      <c r="L1402" s="6">
        <f>('Pizza Sales Calculations'!$J1402-'Pizza Sales Calculations'!$C1402)*24*60</f>
        <v>3.000000009778887</v>
      </c>
      <c r="M1402">
        <f>COUNTA('Pizza Sales Calculations'!$D1402:$F1402)</f>
        <v>1</v>
      </c>
      <c r="R1402" s="9">
        <f>IF('Pizza Sales Calculations'!$G1402=TRUE, Parameters!$B$17*'Pizza Sales Calculations'!$L1402*2, 0)</f>
        <v>0</v>
      </c>
      <c r="T1402" s="6"/>
      <c r="U1402" s="9"/>
    </row>
    <row r="1403" spans="1:21" x14ac:dyDescent="0.2">
      <c r="A1403">
        <v>1402</v>
      </c>
      <c r="B1403" s="1">
        <v>42383.464305555557</v>
      </c>
      <c r="C1403" s="1">
        <v>42383.474710648145</v>
      </c>
      <c r="D1403" t="s">
        <v>1</v>
      </c>
      <c r="E1403" t="s">
        <v>2</v>
      </c>
      <c r="G1403" t="b">
        <v>0</v>
      </c>
      <c r="H1403">
        <v>70807</v>
      </c>
      <c r="I1403" s="6">
        <v>0</v>
      </c>
      <c r="J1403" s="1">
        <v>42383.476793981485</v>
      </c>
      <c r="K1403">
        <v>19.579999999999998</v>
      </c>
      <c r="L1403" s="6">
        <f>('Pizza Sales Calculations'!$J1403-'Pizza Sales Calculations'!$C1403)*24*60</f>
        <v>3.000000009778887</v>
      </c>
      <c r="M1403">
        <f>COUNTA('Pizza Sales Calculations'!$D1403:$F1403)</f>
        <v>2</v>
      </c>
      <c r="R1403" s="9">
        <f>IF('Pizza Sales Calculations'!$G1403=TRUE, Parameters!$B$17*'Pizza Sales Calculations'!$L1403*2, 0)</f>
        <v>0</v>
      </c>
      <c r="T1403" s="6"/>
      <c r="U1403" s="9"/>
    </row>
    <row r="1404" spans="1:21" x14ac:dyDescent="0.2">
      <c r="A1404">
        <v>1403</v>
      </c>
      <c r="B1404" s="1">
        <v>42383.535266203704</v>
      </c>
      <c r="C1404" s="1">
        <v>42383.545694444445</v>
      </c>
      <c r="D1404" t="s">
        <v>2</v>
      </c>
      <c r="G1404" t="b">
        <v>1</v>
      </c>
      <c r="H1404">
        <v>70804</v>
      </c>
      <c r="I1404" s="6">
        <v>3.6472874630972898</v>
      </c>
      <c r="J1404" s="1">
        <v>42383.558356481481</v>
      </c>
      <c r="K1404">
        <v>11.59</v>
      </c>
      <c r="L1404" s="6">
        <f>('Pizza Sales Calculations'!$J1404-'Pizza Sales Calculations'!$C1404)*24*60</f>
        <v>18.233333331299946</v>
      </c>
      <c r="M1404">
        <f>COUNTA('Pizza Sales Calculations'!$D1404:$F1404)</f>
        <v>1</v>
      </c>
      <c r="R1404" s="9">
        <f>IF('Pizza Sales Calculations'!$G1404=TRUE, Parameters!$B$17*'Pizza Sales Calculations'!$L1404*2, 0)</f>
        <v>5.1661111105349846</v>
      </c>
      <c r="T1404" s="6"/>
      <c r="U1404" s="9"/>
    </row>
    <row r="1405" spans="1:21" x14ac:dyDescent="0.2">
      <c r="A1405">
        <v>1404</v>
      </c>
      <c r="B1405" s="1">
        <v>42384.464791666665</v>
      </c>
      <c r="C1405" s="1">
        <v>42384.475185185183</v>
      </c>
      <c r="D1405" t="s">
        <v>1</v>
      </c>
      <c r="E1405" t="s">
        <v>2</v>
      </c>
      <c r="G1405" t="b">
        <v>0</v>
      </c>
      <c r="H1405">
        <v>70804</v>
      </c>
      <c r="I1405" s="6">
        <v>0</v>
      </c>
      <c r="J1405" s="1">
        <v>42384.477280092593</v>
      </c>
      <c r="K1405">
        <v>19.579999999999998</v>
      </c>
      <c r="L1405" s="6">
        <f>('Pizza Sales Calculations'!$J1405-'Pizza Sales Calculations'!$C1405)*24*60</f>
        <v>3.0166666698642075</v>
      </c>
      <c r="M1405">
        <f>COUNTA('Pizza Sales Calculations'!$D1405:$F1405)</f>
        <v>2</v>
      </c>
      <c r="R1405" s="9">
        <f>IF('Pizza Sales Calculations'!$G1405=TRUE, Parameters!$B$17*'Pizza Sales Calculations'!$L1405*2, 0)</f>
        <v>0</v>
      </c>
      <c r="T1405" s="6"/>
      <c r="U1405" s="9"/>
    </row>
    <row r="1406" spans="1:21" x14ac:dyDescent="0.2">
      <c r="A1406">
        <v>1405</v>
      </c>
      <c r="B1406" s="1">
        <v>42384.43917824074</v>
      </c>
      <c r="C1406" s="1">
        <v>42384.449594907404</v>
      </c>
      <c r="D1406" t="s">
        <v>2</v>
      </c>
      <c r="G1406" t="b">
        <v>1</v>
      </c>
      <c r="H1406">
        <v>70805</v>
      </c>
      <c r="I1406" s="6">
        <v>2.66780235016904</v>
      </c>
      <c r="J1406" s="1">
        <v>42384.458854166667</v>
      </c>
      <c r="K1406">
        <v>11.59</v>
      </c>
      <c r="L1406" s="6">
        <f>('Pizza Sales Calculations'!$J1406-'Pizza Sales Calculations'!$C1406)*24*60</f>
        <v>13.333333338377997</v>
      </c>
      <c r="M1406">
        <f>COUNTA('Pizza Sales Calculations'!$D1406:$F1406)</f>
        <v>1</v>
      </c>
      <c r="R1406" s="9">
        <f>IF('Pizza Sales Calculations'!$G1406=TRUE, Parameters!$B$17*'Pizza Sales Calculations'!$L1406*2, 0)</f>
        <v>3.7777777792070992</v>
      </c>
      <c r="T1406" s="6"/>
      <c r="U1406" s="9"/>
    </row>
    <row r="1407" spans="1:21" x14ac:dyDescent="0.2">
      <c r="A1407">
        <v>1406</v>
      </c>
      <c r="B1407" s="1">
        <v>42384.520902777775</v>
      </c>
      <c r="C1407" s="1">
        <v>42384.531319444446</v>
      </c>
      <c r="D1407" t="s">
        <v>35</v>
      </c>
      <c r="G1407" t="b">
        <v>0</v>
      </c>
      <c r="H1407">
        <v>70805</v>
      </c>
      <c r="I1407" s="6">
        <v>0</v>
      </c>
      <c r="J1407" s="1">
        <v>42384.533391203702</v>
      </c>
      <c r="K1407">
        <v>15.35</v>
      </c>
      <c r="L1407" s="6">
        <f>('Pizza Sales Calculations'!$J1407-'Pizza Sales Calculations'!$C1407)*24*60</f>
        <v>2.9833333287388086</v>
      </c>
      <c r="M1407">
        <f>COUNTA('Pizza Sales Calculations'!$D1407:$F1407)</f>
        <v>1</v>
      </c>
      <c r="R1407" s="9">
        <f>IF('Pizza Sales Calculations'!$G1407=TRUE, Parameters!$B$17*'Pizza Sales Calculations'!$L1407*2, 0)</f>
        <v>0</v>
      </c>
      <c r="T1407" s="6"/>
      <c r="U1407" s="9"/>
    </row>
    <row r="1408" spans="1:21" x14ac:dyDescent="0.2">
      <c r="A1408">
        <v>1407</v>
      </c>
      <c r="B1408" s="1">
        <v>42384.559247685182</v>
      </c>
      <c r="C1408" s="1">
        <v>42384.569641203707</v>
      </c>
      <c r="D1408" t="s">
        <v>1</v>
      </c>
      <c r="E1408" t="s">
        <v>35</v>
      </c>
      <c r="G1408" t="b">
        <v>1</v>
      </c>
      <c r="H1408">
        <v>70803</v>
      </c>
      <c r="I1408" s="6">
        <v>3.8011596849810698</v>
      </c>
      <c r="J1408" s="1">
        <v>42384.582835648151</v>
      </c>
      <c r="K1408">
        <v>23.34</v>
      </c>
      <c r="L1408" s="6">
        <f>('Pizza Sales Calculations'!$J1408-'Pizza Sales Calculations'!$C1408)*24*60</f>
        <v>18.999999999068677</v>
      </c>
      <c r="M1408">
        <f>COUNTA('Pizza Sales Calculations'!$D1408:$F1408)</f>
        <v>2</v>
      </c>
      <c r="R1408" s="9">
        <f>IF('Pizza Sales Calculations'!$G1408=TRUE, Parameters!$B$17*'Pizza Sales Calculations'!$L1408*2, 0)</f>
        <v>5.3833333330694586</v>
      </c>
      <c r="T1408" s="6"/>
      <c r="U1408" s="9"/>
    </row>
    <row r="1409" spans="1:21" x14ac:dyDescent="0.2">
      <c r="A1409">
        <v>1408</v>
      </c>
      <c r="B1409" s="1">
        <v>42384.482187499998</v>
      </c>
      <c r="C1409" s="1">
        <v>42384.492592592593</v>
      </c>
      <c r="D1409" t="s">
        <v>2</v>
      </c>
      <c r="E1409" t="s">
        <v>35</v>
      </c>
      <c r="G1409" t="b">
        <v>1</v>
      </c>
      <c r="H1409">
        <v>70805</v>
      </c>
      <c r="I1409" s="6">
        <v>4.6230381190994096</v>
      </c>
      <c r="J1409" s="1">
        <v>42384.508634259262</v>
      </c>
      <c r="K1409">
        <v>25.94</v>
      </c>
      <c r="L1409" s="6">
        <f>('Pizza Sales Calculations'!$J1409-'Pizza Sales Calculations'!$C1409)*24*60</f>
        <v>23.100000004051253</v>
      </c>
      <c r="M1409">
        <f>COUNTA('Pizza Sales Calculations'!$D1409:$F1409)</f>
        <v>2</v>
      </c>
      <c r="R1409" s="9">
        <f>IF('Pizza Sales Calculations'!$G1409=TRUE, Parameters!$B$17*'Pizza Sales Calculations'!$L1409*2, 0)</f>
        <v>6.5450000011478551</v>
      </c>
      <c r="T1409" s="6"/>
      <c r="U1409" s="9"/>
    </row>
    <row r="1410" spans="1:21" x14ac:dyDescent="0.2">
      <c r="A1410">
        <v>1409</v>
      </c>
      <c r="B1410" s="1">
        <v>42384.459606481483</v>
      </c>
      <c r="C1410" s="1">
        <v>42384.47</v>
      </c>
      <c r="D1410" t="s">
        <v>2</v>
      </c>
      <c r="G1410" t="b">
        <v>0</v>
      </c>
      <c r="H1410">
        <v>70805</v>
      </c>
      <c r="I1410" s="6">
        <v>0</v>
      </c>
      <c r="J1410" s="1">
        <v>42384.472071759257</v>
      </c>
      <c r="K1410">
        <v>11.59</v>
      </c>
      <c r="L1410" s="6">
        <f>('Pizza Sales Calculations'!$J1410-'Pizza Sales Calculations'!$C1410)*24*60</f>
        <v>2.9833333287388086</v>
      </c>
      <c r="M1410">
        <f>COUNTA('Pizza Sales Calculations'!$D1410:$F1410)</f>
        <v>1</v>
      </c>
      <c r="R1410" s="9">
        <f>IF('Pizza Sales Calculations'!$G1410=TRUE, Parameters!$B$17*'Pizza Sales Calculations'!$L1410*2, 0)</f>
        <v>0</v>
      </c>
      <c r="T1410" s="6"/>
      <c r="U1410" s="9"/>
    </row>
    <row r="1411" spans="1:21" x14ac:dyDescent="0.2">
      <c r="A1411">
        <v>1410</v>
      </c>
      <c r="B1411" s="1">
        <v>42384.542754629627</v>
      </c>
      <c r="C1411" s="1">
        <v>42384.553171296298</v>
      </c>
      <c r="D1411" t="s">
        <v>35</v>
      </c>
      <c r="G1411" t="b">
        <v>1</v>
      </c>
      <c r="H1411">
        <v>70803</v>
      </c>
      <c r="I1411" s="6">
        <v>4.9431116580604604</v>
      </c>
      <c r="J1411" s="1">
        <v>42384.570324074077</v>
      </c>
      <c r="K1411">
        <v>15.35</v>
      </c>
      <c r="L1411" s="6">
        <f>('Pizza Sales Calculations'!$J1411-'Pizza Sales Calculations'!$C1411)*24*60</f>
        <v>24.700000000884756</v>
      </c>
      <c r="M1411">
        <f>COUNTA('Pizza Sales Calculations'!$D1411:$F1411)</f>
        <v>1</v>
      </c>
      <c r="R1411" s="9">
        <f>IF('Pizza Sales Calculations'!$G1411=TRUE, Parameters!$B$17*'Pizza Sales Calculations'!$L1411*2, 0)</f>
        <v>6.9983333335840143</v>
      </c>
      <c r="T1411" s="6"/>
      <c r="U1411" s="9"/>
    </row>
    <row r="1412" spans="1:21" x14ac:dyDescent="0.2">
      <c r="A1412">
        <v>1411</v>
      </c>
      <c r="B1412" s="1">
        <v>42384.521921296298</v>
      </c>
      <c r="C1412" s="1">
        <v>42384.532349537039</v>
      </c>
      <c r="D1412" t="s">
        <v>2</v>
      </c>
      <c r="G1412" t="b">
        <v>1</v>
      </c>
      <c r="H1412">
        <v>70806</v>
      </c>
      <c r="I1412" s="6">
        <v>4.0166064335788398</v>
      </c>
      <c r="J1412" s="1">
        <v>42384.546284722222</v>
      </c>
      <c r="K1412">
        <v>11.59</v>
      </c>
      <c r="L1412" s="6">
        <f>('Pizza Sales Calculations'!$J1412-'Pizza Sales Calculations'!$C1412)*24*60</f>
        <v>20.066666663624346</v>
      </c>
      <c r="M1412">
        <f>COUNTA('Pizza Sales Calculations'!$D1412:$F1412)</f>
        <v>1</v>
      </c>
      <c r="R1412" s="9">
        <f>IF('Pizza Sales Calculations'!$G1412=TRUE, Parameters!$B$17*'Pizza Sales Calculations'!$L1412*2, 0)</f>
        <v>5.6855555546935648</v>
      </c>
      <c r="T1412" s="6"/>
      <c r="U1412" s="9"/>
    </row>
    <row r="1413" spans="1:21" x14ac:dyDescent="0.2">
      <c r="A1413">
        <v>1412</v>
      </c>
      <c r="B1413" s="1">
        <v>42384.478217592594</v>
      </c>
      <c r="C1413" s="1">
        <v>42384.488622685189</v>
      </c>
      <c r="D1413" t="s">
        <v>1</v>
      </c>
      <c r="E1413" t="s">
        <v>2</v>
      </c>
      <c r="G1413" t="b">
        <v>0</v>
      </c>
      <c r="H1413">
        <v>70804</v>
      </c>
      <c r="I1413" s="6">
        <v>0</v>
      </c>
      <c r="J1413" s="1">
        <v>42384.490694444445</v>
      </c>
      <c r="K1413">
        <v>19.579999999999998</v>
      </c>
      <c r="L1413" s="6">
        <f>('Pizza Sales Calculations'!$J1413-'Pizza Sales Calculations'!$C1413)*24*60</f>
        <v>2.9833333287388086</v>
      </c>
      <c r="M1413">
        <f>COUNTA('Pizza Sales Calculations'!$D1413:$F1413)</f>
        <v>2</v>
      </c>
      <c r="R1413" s="9">
        <f>IF('Pizza Sales Calculations'!$G1413=TRUE, Parameters!$B$17*'Pizza Sales Calculations'!$L1413*2, 0)</f>
        <v>0</v>
      </c>
      <c r="T1413" s="6"/>
      <c r="U1413" s="9"/>
    </row>
    <row r="1414" spans="1:21" x14ac:dyDescent="0.2">
      <c r="A1414">
        <v>1413</v>
      </c>
      <c r="B1414" s="1">
        <v>42384.470659722225</v>
      </c>
      <c r="C1414" s="1">
        <v>42384.481064814812</v>
      </c>
      <c r="D1414" t="s">
        <v>1</v>
      </c>
      <c r="E1414" t="s">
        <v>35</v>
      </c>
      <c r="G1414" t="b">
        <v>1</v>
      </c>
      <c r="H1414">
        <v>70804</v>
      </c>
      <c r="I1414" s="6">
        <v>3.3014230874417398</v>
      </c>
      <c r="J1414" s="1">
        <v>42384.492523148147</v>
      </c>
      <c r="K1414">
        <v>23.34</v>
      </c>
      <c r="L1414" s="6">
        <f>('Pizza Sales Calculations'!$J1414-'Pizza Sales Calculations'!$C1414)*24*60</f>
        <v>16.500000001396984</v>
      </c>
      <c r="M1414">
        <f>COUNTA('Pizza Sales Calculations'!$D1414:$F1414)</f>
        <v>2</v>
      </c>
      <c r="R1414" s="9">
        <f>IF('Pizza Sales Calculations'!$G1414=TRUE, Parameters!$B$17*'Pizza Sales Calculations'!$L1414*2, 0)</f>
        <v>4.6750000003958121</v>
      </c>
      <c r="T1414" s="6"/>
      <c r="U1414" s="9"/>
    </row>
    <row r="1415" spans="1:21" x14ac:dyDescent="0.2">
      <c r="A1415">
        <v>1414</v>
      </c>
      <c r="B1415" s="1">
        <v>42384.478217592594</v>
      </c>
      <c r="C1415" s="1">
        <v>42384.488634259258</v>
      </c>
      <c r="D1415" t="s">
        <v>35</v>
      </c>
      <c r="G1415" t="b">
        <v>1</v>
      </c>
      <c r="H1415">
        <v>70803</v>
      </c>
      <c r="I1415" s="6">
        <v>3.5556427356567299</v>
      </c>
      <c r="J1415" s="1">
        <v>42384.500972222224</v>
      </c>
      <c r="K1415">
        <v>15.35</v>
      </c>
      <c r="L1415" s="6">
        <f>('Pizza Sales Calculations'!$J1415-'Pizza Sales Calculations'!$C1415)*24*60</f>
        <v>17.76666667079553</v>
      </c>
      <c r="M1415">
        <f>COUNTA('Pizza Sales Calculations'!$D1415:$F1415)</f>
        <v>1</v>
      </c>
      <c r="R1415" s="9">
        <f>IF('Pizza Sales Calculations'!$G1415=TRUE, Parameters!$B$17*'Pizza Sales Calculations'!$L1415*2, 0)</f>
        <v>5.0338888900587335</v>
      </c>
      <c r="T1415" s="6"/>
      <c r="U1415" s="9"/>
    </row>
    <row r="1416" spans="1:21" x14ac:dyDescent="0.2">
      <c r="A1416">
        <v>1415</v>
      </c>
      <c r="B1416" s="1">
        <v>42384.500289351854</v>
      </c>
      <c r="C1416" s="1">
        <v>42384.510694444441</v>
      </c>
      <c r="D1416" t="s">
        <v>1</v>
      </c>
      <c r="G1416" t="b">
        <v>1</v>
      </c>
      <c r="H1416">
        <v>70803</v>
      </c>
      <c r="I1416" s="6">
        <v>2.4658333750005101</v>
      </c>
      <c r="J1416" s="1">
        <v>42384.519247685188</v>
      </c>
      <c r="K1416">
        <v>7.99</v>
      </c>
      <c r="L1416" s="6">
        <f>('Pizza Sales Calculations'!$J1416-'Pizza Sales Calculations'!$C1416)*24*60</f>
        <v>12.316666675033048</v>
      </c>
      <c r="M1416">
        <f>COUNTA('Pizza Sales Calculations'!$D1416:$F1416)</f>
        <v>1</v>
      </c>
      <c r="R1416" s="9">
        <f>IF('Pizza Sales Calculations'!$G1416=TRUE, Parameters!$B$17*'Pizza Sales Calculations'!$L1416*2, 0)</f>
        <v>3.4897222245926969</v>
      </c>
      <c r="T1416" s="6"/>
      <c r="U1416" s="9"/>
    </row>
    <row r="1417" spans="1:21" x14ac:dyDescent="0.2">
      <c r="A1417">
        <v>1416</v>
      </c>
      <c r="B1417" s="1">
        <v>42384.481527777774</v>
      </c>
      <c r="C1417" s="1">
        <v>42384.491956018515</v>
      </c>
      <c r="D1417" t="s">
        <v>2</v>
      </c>
      <c r="G1417" t="b">
        <v>0</v>
      </c>
      <c r="H1417">
        <v>70804</v>
      </c>
      <c r="I1417" s="6">
        <v>0</v>
      </c>
      <c r="J1417" s="1">
        <v>42384.494050925925</v>
      </c>
      <c r="K1417">
        <v>11.59</v>
      </c>
      <c r="L1417" s="6">
        <f>('Pizza Sales Calculations'!$J1417-'Pizza Sales Calculations'!$C1417)*24*60</f>
        <v>3.0166666698642075</v>
      </c>
      <c r="M1417">
        <f>COUNTA('Pizza Sales Calculations'!$D1417:$F1417)</f>
        <v>1</v>
      </c>
      <c r="R1417" s="9">
        <f>IF('Pizza Sales Calculations'!$G1417=TRUE, Parameters!$B$17*'Pizza Sales Calculations'!$L1417*2, 0)</f>
        <v>0</v>
      </c>
      <c r="T1417" s="6"/>
      <c r="U1417" s="9"/>
    </row>
    <row r="1418" spans="1:21" x14ac:dyDescent="0.2">
      <c r="A1418">
        <v>1417</v>
      </c>
      <c r="B1418" s="1">
        <v>42384.438703703701</v>
      </c>
      <c r="C1418" s="1">
        <v>42384.449120370373</v>
      </c>
      <c r="D1418" t="s">
        <v>1</v>
      </c>
      <c r="E1418" t="s">
        <v>35</v>
      </c>
      <c r="G1418" t="b">
        <v>0</v>
      </c>
      <c r="H1418">
        <v>70803</v>
      </c>
      <c r="I1418" s="6">
        <v>0</v>
      </c>
      <c r="J1418" s="1">
        <v>42384.451192129629</v>
      </c>
      <c r="K1418">
        <v>23.34</v>
      </c>
      <c r="L1418" s="6">
        <f>('Pizza Sales Calculations'!$J1418-'Pizza Sales Calculations'!$C1418)*24*60</f>
        <v>2.9833333287388086</v>
      </c>
      <c r="M1418">
        <f>COUNTA('Pizza Sales Calculations'!$D1418:$F1418)</f>
        <v>2</v>
      </c>
      <c r="R1418" s="9">
        <f>IF('Pizza Sales Calculations'!$G1418=TRUE, Parameters!$B$17*'Pizza Sales Calculations'!$L1418*2, 0)</f>
        <v>0</v>
      </c>
      <c r="T1418" s="6"/>
      <c r="U1418" s="9"/>
    </row>
    <row r="1419" spans="1:21" x14ac:dyDescent="0.2">
      <c r="A1419">
        <v>1418</v>
      </c>
      <c r="B1419" s="1">
        <v>42384.509525462963</v>
      </c>
      <c r="C1419" s="1">
        <v>42384.519942129627</v>
      </c>
      <c r="D1419" t="s">
        <v>35</v>
      </c>
      <c r="G1419" t="b">
        <v>1</v>
      </c>
      <c r="H1419">
        <v>70806</v>
      </c>
      <c r="I1419" s="6">
        <v>3.90127837905152</v>
      </c>
      <c r="J1419" s="1">
        <v>42384.533483796295</v>
      </c>
      <c r="K1419">
        <v>15.35</v>
      </c>
      <c r="L1419" s="6">
        <f>('Pizza Sales Calculations'!$J1419-'Pizza Sales Calculations'!$C1419)*24*60</f>
        <v>19.500000000698492</v>
      </c>
      <c r="M1419">
        <f>COUNTA('Pizza Sales Calculations'!$D1419:$F1419)</f>
        <v>1</v>
      </c>
      <c r="R1419" s="9">
        <f>IF('Pizza Sales Calculations'!$G1419=TRUE, Parameters!$B$17*'Pizza Sales Calculations'!$L1419*2, 0)</f>
        <v>5.525000000197906</v>
      </c>
      <c r="T1419" s="6"/>
      <c r="U1419" s="9"/>
    </row>
    <row r="1420" spans="1:21" x14ac:dyDescent="0.2">
      <c r="A1420">
        <v>1419</v>
      </c>
      <c r="B1420" s="1">
        <v>42384.522233796299</v>
      </c>
      <c r="C1420" s="1">
        <v>42384.532650462963</v>
      </c>
      <c r="D1420" t="s">
        <v>1</v>
      </c>
      <c r="E1420" t="s">
        <v>35</v>
      </c>
      <c r="G1420" t="b">
        <v>1</v>
      </c>
      <c r="H1420">
        <v>70804</v>
      </c>
      <c r="I1420" s="6">
        <v>1.76331961032439</v>
      </c>
      <c r="J1420" s="1">
        <v>42384.538761574076</v>
      </c>
      <c r="K1420">
        <v>23.34</v>
      </c>
      <c r="L1420" s="6">
        <f>('Pizza Sales Calculations'!$J1420-'Pizza Sales Calculations'!$C1420)*24*60</f>
        <v>8.8000000035390258</v>
      </c>
      <c r="M1420">
        <f>COUNTA('Pizza Sales Calculations'!$D1420:$F1420)</f>
        <v>2</v>
      </c>
      <c r="R1420" s="9">
        <f>IF('Pizza Sales Calculations'!$G1420=TRUE, Parameters!$B$17*'Pizza Sales Calculations'!$L1420*2, 0)</f>
        <v>2.4933333343360573</v>
      </c>
      <c r="T1420" s="6"/>
      <c r="U1420" s="9"/>
    </row>
    <row r="1421" spans="1:21" x14ac:dyDescent="0.2">
      <c r="A1421">
        <v>1420</v>
      </c>
      <c r="B1421" s="1">
        <v>42384.530925925923</v>
      </c>
      <c r="C1421" s="1">
        <v>42384.541342592594</v>
      </c>
      <c r="D1421" t="s">
        <v>35</v>
      </c>
      <c r="G1421" t="b">
        <v>0</v>
      </c>
      <c r="H1421">
        <v>70805</v>
      </c>
      <c r="I1421" s="6">
        <v>0</v>
      </c>
      <c r="J1421" s="1">
        <v>42384.543425925927</v>
      </c>
      <c r="K1421">
        <v>15.35</v>
      </c>
      <c r="L1421" s="6">
        <f>('Pizza Sales Calculations'!$J1421-'Pizza Sales Calculations'!$C1421)*24*60</f>
        <v>2.9999999993015081</v>
      </c>
      <c r="M1421">
        <f>COUNTA('Pizza Sales Calculations'!$D1421:$F1421)</f>
        <v>1</v>
      </c>
      <c r="R1421" s="9">
        <f>IF('Pizza Sales Calculations'!$G1421=TRUE, Parameters!$B$17*'Pizza Sales Calculations'!$L1421*2, 0)</f>
        <v>0</v>
      </c>
      <c r="T1421" s="6"/>
      <c r="U1421" s="9"/>
    </row>
    <row r="1422" spans="1:21" x14ac:dyDescent="0.2">
      <c r="A1422">
        <v>1421</v>
      </c>
      <c r="B1422" s="1">
        <v>42384.478194444448</v>
      </c>
      <c r="C1422" s="1">
        <v>42384.488587962966</v>
      </c>
      <c r="D1422" t="s">
        <v>2</v>
      </c>
      <c r="G1422" t="b">
        <v>1</v>
      </c>
      <c r="H1422">
        <v>70803</v>
      </c>
      <c r="I1422" s="6">
        <v>3.37314815662126</v>
      </c>
      <c r="J1422" s="1">
        <v>42384.500289351854</v>
      </c>
      <c r="K1422">
        <v>11.59</v>
      </c>
      <c r="L1422" s="6">
        <f>('Pizza Sales Calculations'!$J1422-'Pizza Sales Calculations'!$C1422)*24*60</f>
        <v>16.84999999939464</v>
      </c>
      <c r="M1422">
        <f>COUNTA('Pizza Sales Calculations'!$D1422:$F1422)</f>
        <v>1</v>
      </c>
      <c r="R1422" s="9">
        <f>IF('Pizza Sales Calculations'!$G1422=TRUE, Parameters!$B$17*'Pizza Sales Calculations'!$L1422*2, 0)</f>
        <v>4.7741666664951481</v>
      </c>
      <c r="T1422" s="6"/>
      <c r="U1422" s="9"/>
    </row>
    <row r="1423" spans="1:21" x14ac:dyDescent="0.2">
      <c r="A1423">
        <v>1422</v>
      </c>
      <c r="B1423" s="1">
        <v>42384.536840277775</v>
      </c>
      <c r="C1423" s="1">
        <v>42384.54724537037</v>
      </c>
      <c r="D1423" t="s">
        <v>35</v>
      </c>
      <c r="G1423" t="b">
        <v>0</v>
      </c>
      <c r="H1423">
        <v>70806</v>
      </c>
      <c r="I1423" s="6">
        <v>0</v>
      </c>
      <c r="J1423" s="1">
        <v>42384.549317129633</v>
      </c>
      <c r="K1423">
        <v>15.35</v>
      </c>
      <c r="L1423" s="6">
        <f>('Pizza Sales Calculations'!$J1423-'Pizza Sales Calculations'!$C1423)*24*60</f>
        <v>2.9833333392161876</v>
      </c>
      <c r="M1423">
        <f>COUNTA('Pizza Sales Calculations'!$D1423:$F1423)</f>
        <v>1</v>
      </c>
      <c r="R1423" s="9">
        <f>IF('Pizza Sales Calculations'!$G1423=TRUE, Parameters!$B$17*'Pizza Sales Calculations'!$L1423*2, 0)</f>
        <v>0</v>
      </c>
      <c r="T1423" s="6"/>
      <c r="U1423" s="9"/>
    </row>
    <row r="1424" spans="1:21" x14ac:dyDescent="0.2">
      <c r="A1424">
        <v>1423</v>
      </c>
      <c r="B1424" s="1">
        <v>42384.560497685183</v>
      </c>
      <c r="C1424" s="1">
        <v>42384.570891203701</v>
      </c>
      <c r="D1424" t="s">
        <v>1</v>
      </c>
      <c r="G1424" t="b">
        <v>1</v>
      </c>
      <c r="H1424">
        <v>70808</v>
      </c>
      <c r="I1424" s="6">
        <v>2.7230500948332801</v>
      </c>
      <c r="J1424" s="1">
        <v>42384.580335648148</v>
      </c>
      <c r="K1424">
        <v>7.99</v>
      </c>
      <c r="L1424" s="6">
        <f>('Pizza Sales Calculations'!$J1424-'Pizza Sales Calculations'!$C1424)*24*60</f>
        <v>13.600000004516914</v>
      </c>
      <c r="M1424">
        <f>COUNTA('Pizza Sales Calculations'!$D1424:$F1424)</f>
        <v>1</v>
      </c>
      <c r="R1424" s="9">
        <f>IF('Pizza Sales Calculations'!$G1424=TRUE, Parameters!$B$17*'Pizza Sales Calculations'!$L1424*2, 0)</f>
        <v>3.8533333346131258</v>
      </c>
      <c r="T1424" s="6"/>
      <c r="U1424" s="9"/>
    </row>
    <row r="1425" spans="1:21" x14ac:dyDescent="0.2">
      <c r="A1425">
        <v>1424</v>
      </c>
      <c r="B1425" s="1">
        <v>42384.469189814816</v>
      </c>
      <c r="C1425" s="1">
        <v>42384.479583333334</v>
      </c>
      <c r="D1425" t="s">
        <v>2</v>
      </c>
      <c r="G1425" t="b">
        <v>1</v>
      </c>
      <c r="H1425">
        <v>70805</v>
      </c>
      <c r="I1425" s="6">
        <v>3.43075711305235</v>
      </c>
      <c r="J1425" s="1">
        <v>42384.491493055553</v>
      </c>
      <c r="K1425">
        <v>11.59</v>
      </c>
      <c r="L1425" s="6">
        <f>('Pizza Sales Calculations'!$J1425-'Pizza Sales Calculations'!$C1425)*24*60</f>
        <v>17.149999996181577</v>
      </c>
      <c r="M1425">
        <f>COUNTA('Pizza Sales Calculations'!$D1425:$F1425)</f>
        <v>1</v>
      </c>
      <c r="R1425" s="9">
        <f>IF('Pizza Sales Calculations'!$G1425=TRUE, Parameters!$B$17*'Pizza Sales Calculations'!$L1425*2, 0)</f>
        <v>4.8591666655847803</v>
      </c>
      <c r="T1425" s="6"/>
      <c r="U1425" s="9"/>
    </row>
    <row r="1426" spans="1:21" x14ac:dyDescent="0.2">
      <c r="A1426">
        <v>1425</v>
      </c>
      <c r="B1426" s="1">
        <v>42384.515497685185</v>
      </c>
      <c r="C1426" s="1">
        <v>42384.525902777779</v>
      </c>
      <c r="D1426" t="s">
        <v>2</v>
      </c>
      <c r="G1426" t="b">
        <v>0</v>
      </c>
      <c r="H1426">
        <v>70805</v>
      </c>
      <c r="I1426" s="6">
        <v>0</v>
      </c>
      <c r="J1426" s="1">
        <v>42384.527962962966</v>
      </c>
      <c r="K1426">
        <v>11.59</v>
      </c>
      <c r="L1426" s="6">
        <f>('Pizza Sales Calculations'!$J1426-'Pizza Sales Calculations'!$C1426)*24*60</f>
        <v>2.9666666686534882</v>
      </c>
      <c r="M1426">
        <f>COUNTA('Pizza Sales Calculations'!$D1426:$F1426)</f>
        <v>1</v>
      </c>
      <c r="R1426" s="9">
        <f>IF('Pizza Sales Calculations'!$G1426=TRUE, Parameters!$B$17*'Pizza Sales Calculations'!$L1426*2, 0)</f>
        <v>0</v>
      </c>
      <c r="T1426" s="6"/>
      <c r="U1426" s="9"/>
    </row>
    <row r="1427" spans="1:21" x14ac:dyDescent="0.2">
      <c r="A1427">
        <v>1426</v>
      </c>
      <c r="B1427" s="1">
        <v>42384.477523148147</v>
      </c>
      <c r="C1427" s="1">
        <v>42384.487962962965</v>
      </c>
      <c r="D1427" t="s">
        <v>2</v>
      </c>
      <c r="G1427" t="b">
        <v>1</v>
      </c>
      <c r="H1427">
        <v>70804</v>
      </c>
      <c r="I1427" s="6">
        <v>3.0599527654355101</v>
      </c>
      <c r="J1427" s="1">
        <v>42384.498576388891</v>
      </c>
      <c r="K1427">
        <v>11.59</v>
      </c>
      <c r="L1427" s="6">
        <f>('Pizza Sales Calculations'!$J1427-'Pizza Sales Calculations'!$C1427)*24*60</f>
        <v>15.283333333209157</v>
      </c>
      <c r="M1427">
        <f>COUNTA('Pizza Sales Calculations'!$D1427:$F1427)</f>
        <v>1</v>
      </c>
      <c r="R1427" s="9">
        <f>IF('Pizza Sales Calculations'!$G1427=TRUE, Parameters!$B$17*'Pizza Sales Calculations'!$L1427*2, 0)</f>
        <v>4.3302777777425945</v>
      </c>
      <c r="T1427" s="6"/>
      <c r="U1427" s="9"/>
    </row>
    <row r="1428" spans="1:21" x14ac:dyDescent="0.2">
      <c r="A1428">
        <v>1427</v>
      </c>
      <c r="B1428" s="1">
        <v>42384.466782407406</v>
      </c>
      <c r="C1428" s="1">
        <v>42384.477187500001</v>
      </c>
      <c r="D1428" t="s">
        <v>35</v>
      </c>
      <c r="G1428" t="b">
        <v>0</v>
      </c>
      <c r="H1428">
        <v>70803</v>
      </c>
      <c r="I1428" s="6">
        <v>0</v>
      </c>
      <c r="J1428" s="1">
        <v>42384.47923611111</v>
      </c>
      <c r="K1428">
        <v>15.35</v>
      </c>
      <c r="L1428" s="6">
        <f>('Pizza Sales Calculations'!$J1428-'Pizza Sales Calculations'!$C1428)*24*60</f>
        <v>2.9499999980907887</v>
      </c>
      <c r="M1428">
        <f>COUNTA('Pizza Sales Calculations'!$D1428:$F1428)</f>
        <v>1</v>
      </c>
      <c r="R1428" s="9">
        <f>IF('Pizza Sales Calculations'!$G1428=TRUE, Parameters!$B$17*'Pizza Sales Calculations'!$L1428*2, 0)</f>
        <v>0</v>
      </c>
      <c r="T1428" s="6"/>
      <c r="U1428" s="9"/>
    </row>
    <row r="1429" spans="1:21" x14ac:dyDescent="0.2">
      <c r="A1429">
        <v>1428</v>
      </c>
      <c r="B1429" s="1">
        <v>42384.565578703703</v>
      </c>
      <c r="C1429" s="1">
        <v>42384.575995370367</v>
      </c>
      <c r="D1429" t="s">
        <v>35</v>
      </c>
      <c r="G1429" t="b">
        <v>0</v>
      </c>
      <c r="H1429">
        <v>70806</v>
      </c>
      <c r="I1429" s="6">
        <v>0</v>
      </c>
      <c r="J1429" s="1">
        <v>42384.578067129631</v>
      </c>
      <c r="K1429">
        <v>15.35</v>
      </c>
      <c r="L1429" s="6">
        <f>('Pizza Sales Calculations'!$J1429-'Pizza Sales Calculations'!$C1429)*24*60</f>
        <v>2.9833333392161876</v>
      </c>
      <c r="M1429">
        <f>COUNTA('Pizza Sales Calculations'!$D1429:$F1429)</f>
        <v>1</v>
      </c>
      <c r="R1429" s="9">
        <f>IF('Pizza Sales Calculations'!$G1429=TRUE, Parameters!$B$17*'Pizza Sales Calculations'!$L1429*2, 0)</f>
        <v>0</v>
      </c>
      <c r="T1429" s="6"/>
      <c r="U1429" s="9"/>
    </row>
    <row r="1430" spans="1:21" x14ac:dyDescent="0.2">
      <c r="A1430">
        <v>1429</v>
      </c>
      <c r="B1430" s="1">
        <v>42384.513321759259</v>
      </c>
      <c r="C1430" s="1">
        <v>42384.5237037037</v>
      </c>
      <c r="D1430" t="s">
        <v>1</v>
      </c>
      <c r="G1430" t="b">
        <v>0</v>
      </c>
      <c r="H1430">
        <v>70805</v>
      </c>
      <c r="I1430" s="6">
        <v>0</v>
      </c>
      <c r="J1430" s="1">
        <v>42384.525787037041</v>
      </c>
      <c r="K1430">
        <v>7.99</v>
      </c>
      <c r="L1430" s="6">
        <f>('Pizza Sales Calculations'!$J1430-'Pizza Sales Calculations'!$C1430)*24*60</f>
        <v>3.000000009778887</v>
      </c>
      <c r="M1430">
        <f>COUNTA('Pizza Sales Calculations'!$D1430:$F1430)</f>
        <v>1</v>
      </c>
      <c r="R1430" s="9">
        <f>IF('Pizza Sales Calculations'!$G1430=TRUE, Parameters!$B$17*'Pizza Sales Calculations'!$L1430*2, 0)</f>
        <v>0</v>
      </c>
      <c r="T1430" s="6"/>
      <c r="U1430" s="9"/>
    </row>
    <row r="1431" spans="1:21" x14ac:dyDescent="0.2">
      <c r="A1431">
        <v>1430</v>
      </c>
      <c r="B1431" s="1">
        <v>42384.525416666664</v>
      </c>
      <c r="C1431" s="1">
        <v>42384.535833333335</v>
      </c>
      <c r="D1431" t="s">
        <v>1</v>
      </c>
      <c r="G1431" t="b">
        <v>1</v>
      </c>
      <c r="H1431">
        <v>70803</v>
      </c>
      <c r="I1431" s="6">
        <v>1.29283265150414</v>
      </c>
      <c r="J1431" s="1">
        <v>42384.540312500001</v>
      </c>
      <c r="K1431">
        <v>7.99</v>
      </c>
      <c r="L1431" s="6">
        <f>('Pizza Sales Calculations'!$J1431-'Pizza Sales Calculations'!$C1431)*24*60</f>
        <v>6.4499999990221113</v>
      </c>
      <c r="M1431">
        <f>COUNTA('Pizza Sales Calculations'!$D1431:$F1431)</f>
        <v>1</v>
      </c>
      <c r="R1431" s="9">
        <f>IF('Pizza Sales Calculations'!$G1431=TRUE, Parameters!$B$17*'Pizza Sales Calculations'!$L1431*2, 0)</f>
        <v>1.8274999997229315</v>
      </c>
      <c r="T1431" s="6"/>
      <c r="U1431" s="9"/>
    </row>
    <row r="1432" spans="1:21" x14ac:dyDescent="0.2">
      <c r="A1432">
        <v>1431</v>
      </c>
      <c r="B1432" s="1">
        <v>42384.545312499999</v>
      </c>
      <c r="C1432" s="1">
        <v>42384.555706018517</v>
      </c>
      <c r="D1432" t="s">
        <v>1</v>
      </c>
      <c r="E1432" t="s">
        <v>2</v>
      </c>
      <c r="G1432" t="b">
        <v>0</v>
      </c>
      <c r="H1432">
        <v>70805</v>
      </c>
      <c r="I1432" s="6">
        <v>0</v>
      </c>
      <c r="J1432" s="1">
        <v>42384.55777777778</v>
      </c>
      <c r="K1432">
        <v>19.579999999999998</v>
      </c>
      <c r="L1432" s="6">
        <f>('Pizza Sales Calculations'!$J1432-'Pizza Sales Calculations'!$C1432)*24*60</f>
        <v>2.9833333392161876</v>
      </c>
      <c r="M1432">
        <f>COUNTA('Pizza Sales Calculations'!$D1432:$F1432)</f>
        <v>2</v>
      </c>
      <c r="R1432" s="9">
        <f>IF('Pizza Sales Calculations'!$G1432=TRUE, Parameters!$B$17*'Pizza Sales Calculations'!$L1432*2, 0)</f>
        <v>0</v>
      </c>
      <c r="T1432" s="6"/>
      <c r="U1432" s="9"/>
    </row>
    <row r="1433" spans="1:21" x14ac:dyDescent="0.2">
      <c r="A1433">
        <v>1432</v>
      </c>
      <c r="B1433" s="1">
        <v>42384.469074074077</v>
      </c>
      <c r="C1433" s="1">
        <v>42384.479502314818</v>
      </c>
      <c r="D1433" t="s">
        <v>1</v>
      </c>
      <c r="G1433" t="b">
        <v>1</v>
      </c>
      <c r="H1433">
        <v>70804</v>
      </c>
      <c r="I1433" s="6">
        <v>3.2151253123589099</v>
      </c>
      <c r="J1433" s="1">
        <v>42384.490659722222</v>
      </c>
      <c r="K1433">
        <v>7.99</v>
      </c>
      <c r="L1433" s="6">
        <f>('Pizza Sales Calculations'!$J1433-'Pizza Sales Calculations'!$C1433)*24*60</f>
        <v>16.066666661063209</v>
      </c>
      <c r="M1433">
        <f>COUNTA('Pizza Sales Calculations'!$D1433:$F1433)</f>
        <v>1</v>
      </c>
      <c r="R1433" s="9">
        <f>IF('Pizza Sales Calculations'!$G1433=TRUE, Parameters!$B$17*'Pizza Sales Calculations'!$L1433*2, 0)</f>
        <v>4.5522222206345759</v>
      </c>
      <c r="T1433" s="6"/>
      <c r="U1433" s="9"/>
    </row>
    <row r="1434" spans="1:21" x14ac:dyDescent="0.2">
      <c r="A1434">
        <v>1433</v>
      </c>
      <c r="B1434" s="1">
        <v>42384.526226851849</v>
      </c>
      <c r="C1434" s="1">
        <v>42384.536631944444</v>
      </c>
      <c r="D1434" t="s">
        <v>35</v>
      </c>
      <c r="G1434" t="b">
        <v>1</v>
      </c>
      <c r="H1434">
        <v>70807</v>
      </c>
      <c r="I1434" s="6">
        <v>3.7001527055119201</v>
      </c>
      <c r="J1434" s="1">
        <v>42384.549479166664</v>
      </c>
      <c r="K1434">
        <v>15.35</v>
      </c>
      <c r="L1434" s="6">
        <f>('Pizza Sales Calculations'!$J1434-'Pizza Sales Calculations'!$C1434)*24*60</f>
        <v>18.499999997438863</v>
      </c>
      <c r="M1434">
        <f>COUNTA('Pizza Sales Calculations'!$D1434:$F1434)</f>
        <v>1</v>
      </c>
      <c r="R1434" s="9">
        <f>IF('Pizza Sales Calculations'!$G1434=TRUE, Parameters!$B$17*'Pizza Sales Calculations'!$L1434*2, 0)</f>
        <v>5.2416666659410112</v>
      </c>
      <c r="T1434" s="6"/>
      <c r="U1434" s="9"/>
    </row>
    <row r="1435" spans="1:21" x14ac:dyDescent="0.2">
      <c r="A1435">
        <v>1434</v>
      </c>
      <c r="B1435" s="1">
        <v>42384.526064814818</v>
      </c>
      <c r="C1435" s="1">
        <v>42384.536446759259</v>
      </c>
      <c r="D1435" t="s">
        <v>35</v>
      </c>
      <c r="G1435" t="b">
        <v>0</v>
      </c>
      <c r="H1435">
        <v>70804</v>
      </c>
      <c r="I1435" s="6">
        <v>0</v>
      </c>
      <c r="J1435" s="1">
        <v>42384.538530092592</v>
      </c>
      <c r="K1435">
        <v>15.35</v>
      </c>
      <c r="L1435" s="6">
        <f>('Pizza Sales Calculations'!$J1435-'Pizza Sales Calculations'!$C1435)*24*60</f>
        <v>2.9999999993015081</v>
      </c>
      <c r="M1435">
        <f>COUNTA('Pizza Sales Calculations'!$D1435:$F1435)</f>
        <v>1</v>
      </c>
      <c r="R1435" s="9">
        <f>IF('Pizza Sales Calculations'!$G1435=TRUE, Parameters!$B$17*'Pizza Sales Calculations'!$L1435*2, 0)</f>
        <v>0</v>
      </c>
      <c r="T1435" s="6"/>
      <c r="U1435" s="9"/>
    </row>
    <row r="1436" spans="1:21" x14ac:dyDescent="0.2">
      <c r="A1436">
        <v>1435</v>
      </c>
      <c r="B1436" s="1">
        <v>42384.488657407404</v>
      </c>
      <c r="C1436" s="1">
        <v>42384.499062499999</v>
      </c>
      <c r="D1436" t="s">
        <v>1</v>
      </c>
      <c r="E1436" t="s">
        <v>2</v>
      </c>
      <c r="G1436" t="b">
        <v>1</v>
      </c>
      <c r="H1436">
        <v>70807</v>
      </c>
      <c r="I1436" s="6">
        <v>1.58299192399289</v>
      </c>
      <c r="J1436" s="1">
        <v>42384.504548611112</v>
      </c>
      <c r="K1436">
        <v>19.579999999999998</v>
      </c>
      <c r="L1436" s="6">
        <f>('Pizza Sales Calculations'!$J1436-'Pizza Sales Calculations'!$C1436)*24*60</f>
        <v>7.9000000027008355</v>
      </c>
      <c r="M1436">
        <f>COUNTA('Pizza Sales Calculations'!$D1436:$F1436)</f>
        <v>2</v>
      </c>
      <c r="R1436" s="9">
        <f>IF('Pizza Sales Calculations'!$G1436=TRUE, Parameters!$B$17*'Pizza Sales Calculations'!$L1436*2, 0)</f>
        <v>2.23833333409857</v>
      </c>
      <c r="T1436" s="6"/>
      <c r="U1436" s="9"/>
    </row>
    <row r="1437" spans="1:21" x14ac:dyDescent="0.2">
      <c r="A1437">
        <v>1436</v>
      </c>
      <c r="B1437" s="1">
        <v>42384.427858796298</v>
      </c>
      <c r="C1437" s="1">
        <v>42384.438263888886</v>
      </c>
      <c r="D1437" t="s">
        <v>1</v>
      </c>
      <c r="G1437" t="b">
        <v>0</v>
      </c>
      <c r="H1437">
        <v>70806</v>
      </c>
      <c r="I1437" s="6">
        <v>0</v>
      </c>
      <c r="J1437" s="1">
        <v>42384.440335648149</v>
      </c>
      <c r="K1437">
        <v>7.99</v>
      </c>
      <c r="L1437" s="6">
        <f>('Pizza Sales Calculations'!$J1437-'Pizza Sales Calculations'!$C1437)*24*60</f>
        <v>2.9833333392161876</v>
      </c>
      <c r="M1437">
        <f>COUNTA('Pizza Sales Calculations'!$D1437:$F1437)</f>
        <v>1</v>
      </c>
      <c r="R1437" s="9">
        <f>IF('Pizza Sales Calculations'!$G1437=TRUE, Parameters!$B$17*'Pizza Sales Calculations'!$L1437*2, 0)</f>
        <v>0</v>
      </c>
      <c r="T1437" s="6"/>
      <c r="U1437" s="9"/>
    </row>
    <row r="1438" spans="1:21" x14ac:dyDescent="0.2">
      <c r="A1438">
        <v>1437</v>
      </c>
      <c r="B1438" s="1">
        <v>42384.521319444444</v>
      </c>
      <c r="C1438" s="1">
        <v>42384.531724537039</v>
      </c>
      <c r="D1438" t="s">
        <v>2</v>
      </c>
      <c r="G1438" t="b">
        <v>0</v>
      </c>
      <c r="H1438">
        <v>70805</v>
      </c>
      <c r="I1438" s="6">
        <v>0</v>
      </c>
      <c r="J1438" s="1">
        <v>42384.533819444441</v>
      </c>
      <c r="K1438">
        <v>11.59</v>
      </c>
      <c r="L1438" s="6">
        <f>('Pizza Sales Calculations'!$J1438-'Pizza Sales Calculations'!$C1438)*24*60</f>
        <v>3.0166666593868285</v>
      </c>
      <c r="M1438">
        <f>COUNTA('Pizza Sales Calculations'!$D1438:$F1438)</f>
        <v>1</v>
      </c>
      <c r="R1438" s="9">
        <f>IF('Pizza Sales Calculations'!$G1438=TRUE, Parameters!$B$17*'Pizza Sales Calculations'!$L1438*2, 0)</f>
        <v>0</v>
      </c>
      <c r="T1438" s="6"/>
      <c r="U1438" s="9"/>
    </row>
    <row r="1439" spans="1:21" x14ac:dyDescent="0.2">
      <c r="A1439">
        <v>1438</v>
      </c>
      <c r="B1439" s="1">
        <v>42384.514016203706</v>
      </c>
      <c r="C1439" s="1">
        <v>42384.524409722224</v>
      </c>
      <c r="D1439" t="s">
        <v>1</v>
      </c>
      <c r="E1439" t="s">
        <v>2</v>
      </c>
      <c r="G1439" t="b">
        <v>0</v>
      </c>
      <c r="H1439">
        <v>70805</v>
      </c>
      <c r="I1439" s="6">
        <v>0</v>
      </c>
      <c r="J1439" s="1">
        <v>42384.526469907411</v>
      </c>
      <c r="K1439">
        <v>19.579999999999998</v>
      </c>
      <c r="L1439" s="6">
        <f>('Pizza Sales Calculations'!$J1439-'Pizza Sales Calculations'!$C1439)*24*60</f>
        <v>2.9666666686534882</v>
      </c>
      <c r="M1439">
        <f>COUNTA('Pizza Sales Calculations'!$D1439:$F1439)</f>
        <v>2</v>
      </c>
      <c r="R1439" s="9">
        <f>IF('Pizza Sales Calculations'!$G1439=TRUE, Parameters!$B$17*'Pizza Sales Calculations'!$L1439*2, 0)</f>
        <v>0</v>
      </c>
      <c r="T1439" s="6"/>
      <c r="U1439" s="9"/>
    </row>
    <row r="1440" spans="1:21" x14ac:dyDescent="0.2">
      <c r="A1440">
        <v>1439</v>
      </c>
      <c r="B1440" s="1">
        <v>42384.563784722224</v>
      </c>
      <c r="C1440" s="1">
        <v>42384.574178240742</v>
      </c>
      <c r="D1440" t="s">
        <v>2</v>
      </c>
      <c r="G1440" t="b">
        <v>1</v>
      </c>
      <c r="H1440">
        <v>70803</v>
      </c>
      <c r="I1440" s="6">
        <v>2.7435719012633202</v>
      </c>
      <c r="J1440" s="1">
        <v>42384.583703703705</v>
      </c>
      <c r="K1440">
        <v>11.59</v>
      </c>
      <c r="L1440" s="6">
        <f>('Pizza Sales Calculations'!$J1440-'Pizza Sales Calculations'!$C1440)*24*60</f>
        <v>13.716666667023674</v>
      </c>
      <c r="M1440">
        <f>COUNTA('Pizza Sales Calculations'!$D1440:$F1440)</f>
        <v>1</v>
      </c>
      <c r="R1440" s="9">
        <f>IF('Pizza Sales Calculations'!$G1440=TRUE, Parameters!$B$17*'Pizza Sales Calculations'!$L1440*2, 0)</f>
        <v>3.8863888889900409</v>
      </c>
      <c r="T1440" s="6"/>
      <c r="U1440" s="9"/>
    </row>
    <row r="1441" spans="1:21" x14ac:dyDescent="0.2">
      <c r="A1441">
        <v>1440</v>
      </c>
      <c r="B1441" s="1">
        <v>42384.50371527778</v>
      </c>
      <c r="C1441" s="1">
        <v>42384.514108796298</v>
      </c>
      <c r="D1441" t="s">
        <v>35</v>
      </c>
      <c r="G1441" t="b">
        <v>0</v>
      </c>
      <c r="H1441">
        <v>70804</v>
      </c>
      <c r="I1441" s="6">
        <v>0</v>
      </c>
      <c r="J1441" s="1">
        <v>42384.516192129631</v>
      </c>
      <c r="K1441">
        <v>15.35</v>
      </c>
      <c r="L1441" s="6">
        <f>('Pizza Sales Calculations'!$J1441-'Pizza Sales Calculations'!$C1441)*24*60</f>
        <v>2.9999999993015081</v>
      </c>
      <c r="M1441">
        <f>COUNTA('Pizza Sales Calculations'!$D1441:$F1441)</f>
        <v>1</v>
      </c>
      <c r="R1441" s="9">
        <f>IF('Pizza Sales Calculations'!$G1441=TRUE, Parameters!$B$17*'Pizza Sales Calculations'!$L1441*2, 0)</f>
        <v>0</v>
      </c>
      <c r="T1441" s="6"/>
      <c r="U1441" s="9"/>
    </row>
    <row r="1442" spans="1:21" x14ac:dyDescent="0.2">
      <c r="A1442">
        <v>1441</v>
      </c>
      <c r="B1442" s="1">
        <v>42384.483553240738</v>
      </c>
      <c r="C1442" s="1">
        <v>42384.493946759256</v>
      </c>
      <c r="D1442" t="s">
        <v>35</v>
      </c>
      <c r="G1442" t="b">
        <v>0</v>
      </c>
      <c r="H1442">
        <v>70805</v>
      </c>
      <c r="I1442" s="6">
        <v>0</v>
      </c>
      <c r="J1442" s="1">
        <v>42384.496018518519</v>
      </c>
      <c r="K1442">
        <v>15.35</v>
      </c>
      <c r="L1442" s="6">
        <f>('Pizza Sales Calculations'!$J1442-'Pizza Sales Calculations'!$C1442)*24*60</f>
        <v>2.9833333392161876</v>
      </c>
      <c r="M1442">
        <f>COUNTA('Pizza Sales Calculations'!$D1442:$F1442)</f>
        <v>1</v>
      </c>
      <c r="R1442" s="9">
        <f>IF('Pizza Sales Calculations'!$G1442=TRUE, Parameters!$B$17*'Pizza Sales Calculations'!$L1442*2, 0)</f>
        <v>0</v>
      </c>
      <c r="T1442" s="6"/>
      <c r="U1442" s="9"/>
    </row>
    <row r="1443" spans="1:21" x14ac:dyDescent="0.2">
      <c r="A1443">
        <v>1442</v>
      </c>
      <c r="B1443" s="1">
        <v>42384.567835648151</v>
      </c>
      <c r="C1443" s="1">
        <v>42384.578252314815</v>
      </c>
      <c r="D1443" t="s">
        <v>1</v>
      </c>
      <c r="E1443" t="s">
        <v>2</v>
      </c>
      <c r="G1443" t="b">
        <v>1</v>
      </c>
      <c r="H1443">
        <v>70807</v>
      </c>
      <c r="I1443" s="6">
        <v>4.3124970280342696</v>
      </c>
      <c r="J1443" s="1">
        <v>42384.593217592592</v>
      </c>
      <c r="K1443">
        <v>19.579999999999998</v>
      </c>
      <c r="L1443" s="6">
        <f>('Pizza Sales Calculations'!$J1443-'Pizza Sales Calculations'!$C1443)*24*60</f>
        <v>21.54999999795109</v>
      </c>
      <c r="M1443">
        <f>COUNTA('Pizza Sales Calculations'!$D1443:$F1443)</f>
        <v>2</v>
      </c>
      <c r="R1443" s="9">
        <f>IF('Pizza Sales Calculations'!$G1443=TRUE, Parameters!$B$17*'Pizza Sales Calculations'!$L1443*2, 0)</f>
        <v>6.1058333327528089</v>
      </c>
      <c r="T1443" s="6"/>
      <c r="U1443" s="9"/>
    </row>
    <row r="1444" spans="1:21" x14ac:dyDescent="0.2">
      <c r="A1444">
        <v>1443</v>
      </c>
      <c r="B1444" s="1">
        <v>42384.512719907405</v>
      </c>
      <c r="C1444" s="1">
        <v>42384.523159722223</v>
      </c>
      <c r="D1444" t="s">
        <v>2</v>
      </c>
      <c r="G1444" t="b">
        <v>0</v>
      </c>
      <c r="H1444">
        <v>70805</v>
      </c>
      <c r="I1444" s="6">
        <v>0</v>
      </c>
      <c r="J1444" s="1">
        <v>42384.525219907409</v>
      </c>
      <c r="K1444">
        <v>11.59</v>
      </c>
      <c r="L1444" s="6">
        <f>('Pizza Sales Calculations'!$J1444-'Pizza Sales Calculations'!$C1444)*24*60</f>
        <v>2.9666666686534882</v>
      </c>
      <c r="M1444">
        <f>COUNTA('Pizza Sales Calculations'!$D1444:$F1444)</f>
        <v>1</v>
      </c>
      <c r="R1444" s="9">
        <f>IF('Pizza Sales Calculations'!$G1444=TRUE, Parameters!$B$17*'Pizza Sales Calculations'!$L1444*2, 0)</f>
        <v>0</v>
      </c>
      <c r="T1444" s="6"/>
      <c r="U1444" s="9"/>
    </row>
    <row r="1445" spans="1:21" x14ac:dyDescent="0.2">
      <c r="A1445">
        <v>1444</v>
      </c>
      <c r="B1445" s="1">
        <v>42384.523275462961</v>
      </c>
      <c r="C1445" s="1">
        <v>42384.533692129633</v>
      </c>
      <c r="D1445" t="s">
        <v>1</v>
      </c>
      <c r="E1445" t="s">
        <v>2</v>
      </c>
      <c r="G1445" t="b">
        <v>0</v>
      </c>
      <c r="H1445">
        <v>70807</v>
      </c>
      <c r="I1445" s="6">
        <v>0</v>
      </c>
      <c r="J1445" s="1">
        <v>42384.535787037035</v>
      </c>
      <c r="K1445">
        <v>19.579999999999998</v>
      </c>
      <c r="L1445" s="6">
        <f>('Pizza Sales Calculations'!$J1445-'Pizza Sales Calculations'!$C1445)*24*60</f>
        <v>3.0166666593868285</v>
      </c>
      <c r="M1445">
        <f>COUNTA('Pizza Sales Calculations'!$D1445:$F1445)</f>
        <v>2</v>
      </c>
      <c r="R1445" s="9">
        <f>IF('Pizza Sales Calculations'!$G1445=TRUE, Parameters!$B$17*'Pizza Sales Calculations'!$L1445*2, 0)</f>
        <v>0</v>
      </c>
      <c r="T1445" s="6"/>
      <c r="U1445" s="9"/>
    </row>
    <row r="1446" spans="1:21" x14ac:dyDescent="0.2">
      <c r="A1446">
        <v>1445</v>
      </c>
      <c r="B1446" s="1">
        <v>42384.531365740739</v>
      </c>
      <c r="C1446" s="1">
        <v>42384.54178240741</v>
      </c>
      <c r="D1446" t="s">
        <v>35</v>
      </c>
      <c r="G1446" t="b">
        <v>1</v>
      </c>
      <c r="H1446">
        <v>70804</v>
      </c>
      <c r="I1446" s="6">
        <v>2.1088836788949799</v>
      </c>
      <c r="J1446" s="1">
        <v>42384.549097222225</v>
      </c>
      <c r="K1446">
        <v>15.35</v>
      </c>
      <c r="L1446" s="6">
        <f>('Pizza Sales Calculations'!$J1446-'Pizza Sales Calculations'!$C1446)*24*60</f>
        <v>10.533333333441988</v>
      </c>
      <c r="M1446">
        <f>COUNTA('Pizza Sales Calculations'!$D1446:$F1446)</f>
        <v>1</v>
      </c>
      <c r="R1446" s="9">
        <f>IF('Pizza Sales Calculations'!$G1446=TRUE, Parameters!$B$17*'Pizza Sales Calculations'!$L1446*2, 0)</f>
        <v>2.9844444444752298</v>
      </c>
      <c r="T1446" s="6"/>
      <c r="U1446" s="9"/>
    </row>
    <row r="1447" spans="1:21" x14ac:dyDescent="0.2">
      <c r="A1447">
        <v>1446</v>
      </c>
      <c r="B1447" s="1">
        <v>42384.468425925923</v>
      </c>
      <c r="C1447" s="1">
        <v>42384.478831018518</v>
      </c>
      <c r="D1447" t="s">
        <v>2</v>
      </c>
      <c r="G1447" t="b">
        <v>1</v>
      </c>
      <c r="H1447">
        <v>70804</v>
      </c>
      <c r="I1447" s="6">
        <v>3.47424357854563</v>
      </c>
      <c r="J1447" s="1">
        <v>42384.490891203706</v>
      </c>
      <c r="K1447">
        <v>11.59</v>
      </c>
      <c r="L1447" s="6">
        <f>('Pizza Sales Calculations'!$J1447-'Pizza Sales Calculations'!$C1447)*24*60</f>
        <v>17.366666671587154</v>
      </c>
      <c r="M1447">
        <f>COUNTA('Pizza Sales Calculations'!$D1447:$F1447)</f>
        <v>1</v>
      </c>
      <c r="R1447" s="9">
        <f>IF('Pizza Sales Calculations'!$G1447=TRUE, Parameters!$B$17*'Pizza Sales Calculations'!$L1447*2, 0)</f>
        <v>4.9205555569496937</v>
      </c>
      <c r="T1447" s="6"/>
      <c r="U1447" s="9"/>
    </row>
    <row r="1448" spans="1:21" x14ac:dyDescent="0.2">
      <c r="A1448">
        <v>1447</v>
      </c>
      <c r="B1448" s="1">
        <v>42384.575358796297</v>
      </c>
      <c r="C1448" s="1">
        <v>42384.585775462961</v>
      </c>
      <c r="D1448" t="s">
        <v>2</v>
      </c>
      <c r="E1448" t="s">
        <v>35</v>
      </c>
      <c r="G1448" t="b">
        <v>0</v>
      </c>
      <c r="H1448">
        <v>70805</v>
      </c>
      <c r="I1448" s="6">
        <v>0</v>
      </c>
      <c r="J1448" s="1">
        <v>42384.587847222225</v>
      </c>
      <c r="K1448">
        <v>25.94</v>
      </c>
      <c r="L1448" s="6">
        <f>('Pizza Sales Calculations'!$J1448-'Pizza Sales Calculations'!$C1448)*24*60</f>
        <v>2.9833333392161876</v>
      </c>
      <c r="M1448">
        <f>COUNTA('Pizza Sales Calculations'!$D1448:$F1448)</f>
        <v>2</v>
      </c>
      <c r="R1448" s="9">
        <f>IF('Pizza Sales Calculations'!$G1448=TRUE, Parameters!$B$17*'Pizza Sales Calculations'!$L1448*2, 0)</f>
        <v>0</v>
      </c>
      <c r="T1448" s="6"/>
      <c r="U1448" s="9"/>
    </row>
    <row r="1449" spans="1:21" x14ac:dyDescent="0.2">
      <c r="A1449">
        <v>1448</v>
      </c>
      <c r="B1449" s="1">
        <v>42384.577372685184</v>
      </c>
      <c r="C1449" s="1">
        <v>42384.587800925925</v>
      </c>
      <c r="D1449" t="s">
        <v>2</v>
      </c>
      <c r="G1449" t="b">
        <v>0</v>
      </c>
      <c r="H1449">
        <v>70803</v>
      </c>
      <c r="I1449" s="6">
        <v>0</v>
      </c>
      <c r="J1449" s="1">
        <v>42384.589884259258</v>
      </c>
      <c r="K1449">
        <v>11.59</v>
      </c>
      <c r="L1449" s="6">
        <f>('Pizza Sales Calculations'!$J1449-'Pizza Sales Calculations'!$C1449)*24*60</f>
        <v>2.9999999993015081</v>
      </c>
      <c r="M1449">
        <f>COUNTA('Pizza Sales Calculations'!$D1449:$F1449)</f>
        <v>1</v>
      </c>
      <c r="R1449" s="9">
        <f>IF('Pizza Sales Calculations'!$G1449=TRUE, Parameters!$B$17*'Pizza Sales Calculations'!$L1449*2, 0)</f>
        <v>0</v>
      </c>
      <c r="T1449" s="6"/>
      <c r="U1449" s="9"/>
    </row>
    <row r="1450" spans="1:21" x14ac:dyDescent="0.2">
      <c r="A1450">
        <v>1449</v>
      </c>
      <c r="B1450" s="1">
        <v>42384.486238425925</v>
      </c>
      <c r="C1450" s="1">
        <v>42384.496666666666</v>
      </c>
      <c r="D1450" t="s">
        <v>2</v>
      </c>
      <c r="G1450" t="b">
        <v>0</v>
      </c>
      <c r="H1450">
        <v>70806</v>
      </c>
      <c r="I1450" s="6">
        <v>0</v>
      </c>
      <c r="J1450" s="1">
        <v>42384.498749999999</v>
      </c>
      <c r="K1450">
        <v>11.59</v>
      </c>
      <c r="L1450" s="6">
        <f>('Pizza Sales Calculations'!$J1450-'Pizza Sales Calculations'!$C1450)*24*60</f>
        <v>2.9999999993015081</v>
      </c>
      <c r="M1450">
        <f>COUNTA('Pizza Sales Calculations'!$D1450:$F1450)</f>
        <v>1</v>
      </c>
      <c r="R1450" s="9">
        <f>IF('Pizza Sales Calculations'!$G1450=TRUE, Parameters!$B$17*'Pizza Sales Calculations'!$L1450*2, 0)</f>
        <v>0</v>
      </c>
      <c r="T1450" s="6"/>
      <c r="U1450" s="9"/>
    </row>
    <row r="1451" spans="1:21" x14ac:dyDescent="0.2">
      <c r="A1451">
        <v>1450</v>
      </c>
      <c r="B1451" s="1">
        <v>42384.521921296298</v>
      </c>
      <c r="C1451" s="1">
        <v>42384.532337962963</v>
      </c>
      <c r="D1451" t="s">
        <v>1</v>
      </c>
      <c r="G1451" t="b">
        <v>1</v>
      </c>
      <c r="H1451">
        <v>70804</v>
      </c>
      <c r="I1451" s="6">
        <v>2.2557557448441199</v>
      </c>
      <c r="J1451" s="1">
        <v>42384.540162037039</v>
      </c>
      <c r="K1451">
        <v>7.99</v>
      </c>
      <c r="L1451" s="6">
        <f>('Pizza Sales Calculations'!$J1451-'Pizza Sales Calculations'!$C1451)*24*60</f>
        <v>11.266666670562699</v>
      </c>
      <c r="M1451">
        <f>COUNTA('Pizza Sales Calculations'!$D1451:$F1451)</f>
        <v>1</v>
      </c>
      <c r="R1451" s="9">
        <f>IF('Pizza Sales Calculations'!$G1451=TRUE, Parameters!$B$17*'Pizza Sales Calculations'!$L1451*2, 0)</f>
        <v>3.1922222233260982</v>
      </c>
      <c r="T1451" s="6"/>
      <c r="U1451" s="9"/>
    </row>
    <row r="1452" spans="1:21" x14ac:dyDescent="0.2">
      <c r="A1452">
        <v>1451</v>
      </c>
      <c r="B1452" s="1">
        <v>42384.471226851849</v>
      </c>
      <c r="C1452" s="1">
        <v>42384.481631944444</v>
      </c>
      <c r="D1452" t="s">
        <v>2</v>
      </c>
      <c r="G1452" t="b">
        <v>1</v>
      </c>
      <c r="H1452">
        <v>70805</v>
      </c>
      <c r="I1452" s="6">
        <v>4.3980134060995804</v>
      </c>
      <c r="J1452" s="1">
        <v>42384.496898148151</v>
      </c>
      <c r="K1452">
        <v>11.59</v>
      </c>
      <c r="L1452" s="6">
        <f>('Pizza Sales Calculations'!$J1452-'Pizza Sales Calculations'!$C1452)*24*60</f>
        <v>21.983333338284865</v>
      </c>
      <c r="M1452">
        <f>COUNTA('Pizza Sales Calculations'!$D1452:$F1452)</f>
        <v>1</v>
      </c>
      <c r="R1452" s="9">
        <f>IF('Pizza Sales Calculations'!$G1452=TRUE, Parameters!$B$17*'Pizza Sales Calculations'!$L1452*2, 0)</f>
        <v>6.2286111125140451</v>
      </c>
      <c r="T1452" s="6"/>
      <c r="U1452" s="9"/>
    </row>
    <row r="1453" spans="1:21" x14ac:dyDescent="0.2">
      <c r="A1453">
        <v>1452</v>
      </c>
      <c r="B1453" s="1">
        <v>42384.492696759262</v>
      </c>
      <c r="C1453" s="1">
        <v>42384.503125000003</v>
      </c>
      <c r="D1453" t="s">
        <v>1</v>
      </c>
      <c r="E1453" t="s">
        <v>2</v>
      </c>
      <c r="G1453" t="b">
        <v>1</v>
      </c>
      <c r="H1453">
        <v>70804</v>
      </c>
      <c r="I1453" s="6">
        <v>2.9777260476284999</v>
      </c>
      <c r="J1453" s="1">
        <v>42384.513460648152</v>
      </c>
      <c r="K1453">
        <v>19.579999999999998</v>
      </c>
      <c r="L1453" s="6">
        <f>('Pizza Sales Calculations'!$J1453-'Pizza Sales Calculations'!$C1453)*24*60</f>
        <v>14.883333334000781</v>
      </c>
      <c r="M1453">
        <f>COUNTA('Pizza Sales Calculations'!$D1453:$F1453)</f>
        <v>2</v>
      </c>
      <c r="R1453" s="9">
        <f>IF('Pizza Sales Calculations'!$G1453=TRUE, Parameters!$B$17*'Pizza Sales Calculations'!$L1453*2, 0)</f>
        <v>4.2169444446335547</v>
      </c>
      <c r="T1453" s="6"/>
      <c r="U1453" s="9"/>
    </row>
    <row r="1454" spans="1:21" x14ac:dyDescent="0.2">
      <c r="A1454">
        <v>1453</v>
      </c>
      <c r="B1454" s="1">
        <v>42384.500833333332</v>
      </c>
      <c r="C1454" s="1">
        <v>42384.511238425926</v>
      </c>
      <c r="D1454" t="s">
        <v>35</v>
      </c>
      <c r="G1454" t="b">
        <v>1</v>
      </c>
      <c r="H1454">
        <v>70806</v>
      </c>
      <c r="I1454" s="6">
        <v>5.6788347040169702</v>
      </c>
      <c r="J1454" s="1">
        <v>42384.530949074076</v>
      </c>
      <c r="K1454">
        <v>15.35</v>
      </c>
      <c r="L1454" s="6">
        <f>('Pizza Sales Calculations'!$J1454-'Pizza Sales Calculations'!$C1454)*24*60</f>
        <v>28.383333336096257</v>
      </c>
      <c r="M1454">
        <f>COUNTA('Pizza Sales Calculations'!$D1454:$F1454)</f>
        <v>1</v>
      </c>
      <c r="R1454" s="9">
        <f>IF('Pizza Sales Calculations'!$G1454=TRUE, Parameters!$B$17*'Pizza Sales Calculations'!$L1454*2, 0)</f>
        <v>8.0419444452272728</v>
      </c>
      <c r="T1454" s="6"/>
      <c r="U1454" s="9"/>
    </row>
    <row r="1455" spans="1:21" x14ac:dyDescent="0.2">
      <c r="A1455">
        <v>1454</v>
      </c>
      <c r="B1455" s="1">
        <v>42384.420069444444</v>
      </c>
      <c r="C1455" s="1">
        <v>42384.430486111109</v>
      </c>
      <c r="D1455" t="s">
        <v>1</v>
      </c>
      <c r="G1455" t="b">
        <v>1</v>
      </c>
      <c r="H1455">
        <v>70805</v>
      </c>
      <c r="I1455" s="6">
        <v>1.5187440581186999</v>
      </c>
      <c r="J1455" s="1">
        <v>42384.435752314814</v>
      </c>
      <c r="K1455">
        <v>7.99</v>
      </c>
      <c r="L1455" s="6">
        <f>('Pizza Sales Calculations'!$J1455-'Pizza Sales Calculations'!$C1455)*24*60</f>
        <v>7.5833333353511989</v>
      </c>
      <c r="M1455">
        <f>COUNTA('Pizza Sales Calculations'!$D1455:$F1455)</f>
        <v>1</v>
      </c>
      <c r="R1455" s="9">
        <f>IF('Pizza Sales Calculations'!$G1455=TRUE, Parameters!$B$17*'Pizza Sales Calculations'!$L1455*2, 0)</f>
        <v>2.1486111116828397</v>
      </c>
      <c r="T1455" s="6"/>
      <c r="U1455" s="9"/>
    </row>
    <row r="1456" spans="1:21" x14ac:dyDescent="0.2">
      <c r="A1456">
        <v>1455</v>
      </c>
      <c r="B1456" s="1">
        <v>42384.467627314814</v>
      </c>
      <c r="C1456" s="1">
        <v>42384.478020833332</v>
      </c>
      <c r="D1456" t="s">
        <v>35</v>
      </c>
      <c r="G1456" t="b">
        <v>0</v>
      </c>
      <c r="H1456">
        <v>70803</v>
      </c>
      <c r="I1456" s="6">
        <v>0</v>
      </c>
      <c r="J1456" s="1">
        <v>42384.480115740742</v>
      </c>
      <c r="K1456">
        <v>15.35</v>
      </c>
      <c r="L1456" s="6">
        <f>('Pizza Sales Calculations'!$J1456-'Pizza Sales Calculations'!$C1456)*24*60</f>
        <v>3.0166666698642075</v>
      </c>
      <c r="M1456">
        <f>COUNTA('Pizza Sales Calculations'!$D1456:$F1456)</f>
        <v>1</v>
      </c>
      <c r="R1456" s="9">
        <f>IF('Pizza Sales Calculations'!$G1456=TRUE, Parameters!$B$17*'Pizza Sales Calculations'!$L1456*2, 0)</f>
        <v>0</v>
      </c>
      <c r="T1456" s="6"/>
      <c r="U1456" s="9"/>
    </row>
    <row r="1457" spans="1:21" x14ac:dyDescent="0.2">
      <c r="A1457">
        <v>1456</v>
      </c>
      <c r="B1457" s="1">
        <v>42384.431006944447</v>
      </c>
      <c r="C1457" s="1">
        <v>42384.441435185188</v>
      </c>
      <c r="D1457" t="s">
        <v>1</v>
      </c>
      <c r="G1457" t="b">
        <v>1</v>
      </c>
      <c r="H1457">
        <v>70806</v>
      </c>
      <c r="I1457" s="6">
        <v>4.4564730466691298</v>
      </c>
      <c r="J1457" s="1">
        <v>42384.45689814815</v>
      </c>
      <c r="K1457">
        <v>7.99</v>
      </c>
      <c r="L1457" s="6">
        <f>('Pizza Sales Calculations'!$J1457-'Pizza Sales Calculations'!$C1457)*24*60</f>
        <v>22.266666664509103</v>
      </c>
      <c r="M1457">
        <f>COUNTA('Pizza Sales Calculations'!$D1457:$F1457)</f>
        <v>1</v>
      </c>
      <c r="R1457" s="9">
        <f>IF('Pizza Sales Calculations'!$G1457=TRUE, Parameters!$B$17*'Pizza Sales Calculations'!$L1457*2, 0)</f>
        <v>6.3088888882775791</v>
      </c>
      <c r="T1457" s="6"/>
      <c r="U1457" s="9"/>
    </row>
    <row r="1458" spans="1:21" x14ac:dyDescent="0.2">
      <c r="A1458">
        <v>1457</v>
      </c>
      <c r="B1458" s="1">
        <v>42384.52306712963</v>
      </c>
      <c r="C1458" s="1">
        <v>42384.533495370371</v>
      </c>
      <c r="D1458" t="s">
        <v>35</v>
      </c>
      <c r="G1458" t="b">
        <v>0</v>
      </c>
      <c r="H1458">
        <v>70807</v>
      </c>
      <c r="I1458" s="6">
        <v>0</v>
      </c>
      <c r="J1458" s="1">
        <v>42384.535567129627</v>
      </c>
      <c r="K1458">
        <v>15.35</v>
      </c>
      <c r="L1458" s="6">
        <f>('Pizza Sales Calculations'!$J1458-'Pizza Sales Calculations'!$C1458)*24*60</f>
        <v>2.9833333287388086</v>
      </c>
      <c r="M1458">
        <f>COUNTA('Pizza Sales Calculations'!$D1458:$F1458)</f>
        <v>1</v>
      </c>
      <c r="R1458" s="9">
        <f>IF('Pizza Sales Calculations'!$G1458=TRUE, Parameters!$B$17*'Pizza Sales Calculations'!$L1458*2, 0)</f>
        <v>0</v>
      </c>
      <c r="T1458" s="6"/>
      <c r="U1458" s="9"/>
    </row>
    <row r="1459" spans="1:21" x14ac:dyDescent="0.2">
      <c r="A1459">
        <v>1458</v>
      </c>
      <c r="B1459" s="1">
        <v>42384.502164351848</v>
      </c>
      <c r="C1459" s="1">
        <v>42384.51258101852</v>
      </c>
      <c r="D1459" t="s">
        <v>2</v>
      </c>
      <c r="G1459" t="b">
        <v>1</v>
      </c>
      <c r="H1459">
        <v>70803</v>
      </c>
      <c r="I1459" s="6">
        <v>4.0107425739059197</v>
      </c>
      <c r="J1459" s="1">
        <v>42384.526504629626</v>
      </c>
      <c r="K1459">
        <v>11.59</v>
      </c>
      <c r="L1459" s="6">
        <f>('Pizza Sales Calculations'!$J1459-'Pizza Sales Calculations'!$C1459)*24*60</f>
        <v>20.049999993061647</v>
      </c>
      <c r="M1459">
        <f>COUNTA('Pizza Sales Calculations'!$D1459:$F1459)</f>
        <v>1</v>
      </c>
      <c r="R1459" s="9">
        <f>IF('Pizza Sales Calculations'!$G1459=TRUE, Parameters!$B$17*'Pizza Sales Calculations'!$L1459*2, 0)</f>
        <v>5.6808333313674666</v>
      </c>
      <c r="T1459" s="6"/>
      <c r="U1459" s="9"/>
    </row>
    <row r="1460" spans="1:21" x14ac:dyDescent="0.2">
      <c r="A1460">
        <v>1459</v>
      </c>
      <c r="B1460" s="1">
        <v>42384.495324074072</v>
      </c>
      <c r="C1460" s="1">
        <v>42384.505752314813</v>
      </c>
      <c r="D1460" t="s">
        <v>35</v>
      </c>
      <c r="G1460" t="b">
        <v>1</v>
      </c>
      <c r="H1460">
        <v>70804</v>
      </c>
      <c r="I1460" s="6">
        <v>3.8648232711881199</v>
      </c>
      <c r="J1460" s="1">
        <v>42384.519166666665</v>
      </c>
      <c r="K1460">
        <v>15.35</v>
      </c>
      <c r="L1460" s="6">
        <f>('Pizza Sales Calculations'!$J1460-'Pizza Sales Calculations'!$C1460)*24*60</f>
        <v>19.316666666418314</v>
      </c>
      <c r="M1460">
        <f>COUNTA('Pizza Sales Calculations'!$D1460:$F1460)</f>
        <v>1</v>
      </c>
      <c r="R1460" s="9">
        <f>IF('Pizza Sales Calculations'!$G1460=TRUE, Parameters!$B$17*'Pizza Sales Calculations'!$L1460*2, 0)</f>
        <v>5.473055555485189</v>
      </c>
      <c r="T1460" s="6"/>
      <c r="U1460" s="9"/>
    </row>
    <row r="1461" spans="1:21" x14ac:dyDescent="0.2">
      <c r="A1461">
        <v>1460</v>
      </c>
      <c r="B1461" s="1">
        <v>42384.494525462964</v>
      </c>
      <c r="C1461" s="1">
        <v>42384.504918981482</v>
      </c>
      <c r="D1461" t="s">
        <v>1</v>
      </c>
      <c r="G1461" t="b">
        <v>1</v>
      </c>
      <c r="H1461">
        <v>70805</v>
      </c>
      <c r="I1461" s="6">
        <v>1.4908358283422201</v>
      </c>
      <c r="J1461" s="1">
        <v>42384.510092592594</v>
      </c>
      <c r="K1461">
        <v>7.99</v>
      </c>
      <c r="L1461" s="6">
        <f>('Pizza Sales Calculations'!$J1461-'Pizza Sales Calculations'!$C1461)*24*60</f>
        <v>7.4500000022817403</v>
      </c>
      <c r="M1461">
        <f>COUNTA('Pizza Sales Calculations'!$D1461:$F1461)</f>
        <v>1</v>
      </c>
      <c r="R1461" s="9">
        <f>IF('Pizza Sales Calculations'!$G1461=TRUE, Parameters!$B$17*'Pizza Sales Calculations'!$L1461*2, 0)</f>
        <v>2.1108333339798264</v>
      </c>
      <c r="T1461" s="6"/>
      <c r="U1461" s="9"/>
    </row>
    <row r="1462" spans="1:21" x14ac:dyDescent="0.2">
      <c r="A1462">
        <v>1461</v>
      </c>
      <c r="B1462" s="1">
        <v>42384.528148148151</v>
      </c>
      <c r="C1462" s="1">
        <v>42384.538576388892</v>
      </c>
      <c r="D1462" t="s">
        <v>35</v>
      </c>
      <c r="G1462" t="b">
        <v>0</v>
      </c>
      <c r="H1462">
        <v>70803</v>
      </c>
      <c r="I1462" s="6">
        <v>0</v>
      </c>
      <c r="J1462" s="1">
        <v>42384.540648148148</v>
      </c>
      <c r="K1462">
        <v>15.35</v>
      </c>
      <c r="L1462" s="6">
        <f>('Pizza Sales Calculations'!$J1462-'Pizza Sales Calculations'!$C1462)*24*60</f>
        <v>2.9833333287388086</v>
      </c>
      <c r="M1462">
        <f>COUNTA('Pizza Sales Calculations'!$D1462:$F1462)</f>
        <v>1</v>
      </c>
      <c r="R1462" s="9">
        <f>IF('Pizza Sales Calculations'!$G1462=TRUE, Parameters!$B$17*'Pizza Sales Calculations'!$L1462*2, 0)</f>
        <v>0</v>
      </c>
      <c r="T1462" s="6"/>
      <c r="U1462" s="9"/>
    </row>
    <row r="1463" spans="1:21" x14ac:dyDescent="0.2">
      <c r="A1463">
        <v>1462</v>
      </c>
      <c r="B1463" s="1">
        <v>42384.530115740738</v>
      </c>
      <c r="C1463" s="1">
        <v>42384.540520833332</v>
      </c>
      <c r="D1463" t="s">
        <v>1</v>
      </c>
      <c r="E1463" t="s">
        <v>35</v>
      </c>
      <c r="G1463" t="b">
        <v>1</v>
      </c>
      <c r="H1463">
        <v>70804</v>
      </c>
      <c r="I1463" s="6">
        <v>4.3295274065632503</v>
      </c>
      <c r="J1463" s="1">
        <v>42384.555543981478</v>
      </c>
      <c r="K1463">
        <v>23.34</v>
      </c>
      <c r="L1463" s="6">
        <f>('Pizza Sales Calculations'!$J1463-'Pizza Sales Calculations'!$C1463)*24*60</f>
        <v>21.63333332980983</v>
      </c>
      <c r="M1463">
        <f>COUNTA('Pizza Sales Calculations'!$D1463:$F1463)</f>
        <v>2</v>
      </c>
      <c r="R1463" s="9">
        <f>IF('Pizza Sales Calculations'!$G1463=TRUE, Parameters!$B$17*'Pizza Sales Calculations'!$L1463*2, 0)</f>
        <v>6.1294444434461184</v>
      </c>
      <c r="T1463" s="6"/>
      <c r="U1463" s="9"/>
    </row>
    <row r="1464" spans="1:21" x14ac:dyDescent="0.2">
      <c r="A1464">
        <v>1463</v>
      </c>
      <c r="B1464" s="1">
        <v>42384.480011574073</v>
      </c>
      <c r="C1464" s="1">
        <v>42384.490428240744</v>
      </c>
      <c r="D1464" t="s">
        <v>1</v>
      </c>
      <c r="G1464" t="b">
        <v>1</v>
      </c>
      <c r="H1464">
        <v>70805</v>
      </c>
      <c r="I1464" s="6">
        <v>3.6590756221118501</v>
      </c>
      <c r="J1464" s="1">
        <v>42384.503125000003</v>
      </c>
      <c r="K1464">
        <v>7.99</v>
      </c>
      <c r="L1464" s="6">
        <f>('Pizza Sales Calculations'!$J1464-'Pizza Sales Calculations'!$C1464)*24*60</f>
        <v>18.283333332510665</v>
      </c>
      <c r="M1464">
        <f>COUNTA('Pizza Sales Calculations'!$D1464:$F1464)</f>
        <v>1</v>
      </c>
      <c r="R1464" s="9">
        <f>IF('Pizza Sales Calculations'!$G1464=TRUE, Parameters!$B$17*'Pizza Sales Calculations'!$L1464*2, 0)</f>
        <v>5.1802777775446884</v>
      </c>
      <c r="T1464" s="6"/>
      <c r="U1464" s="9"/>
    </row>
    <row r="1465" spans="1:21" x14ac:dyDescent="0.2">
      <c r="A1465">
        <v>1464</v>
      </c>
      <c r="B1465" s="1">
        <v>42384.531446759262</v>
      </c>
      <c r="C1465" s="1">
        <v>42384.541863425926</v>
      </c>
      <c r="D1465" t="s">
        <v>1</v>
      </c>
      <c r="G1465" t="b">
        <v>0</v>
      </c>
      <c r="H1465">
        <v>70804</v>
      </c>
      <c r="I1465" s="6">
        <v>0</v>
      </c>
      <c r="J1465" s="1">
        <v>42384.543946759259</v>
      </c>
      <c r="K1465">
        <v>7.99</v>
      </c>
      <c r="L1465" s="6">
        <f>('Pizza Sales Calculations'!$J1465-'Pizza Sales Calculations'!$C1465)*24*60</f>
        <v>2.9999999993015081</v>
      </c>
      <c r="M1465">
        <f>COUNTA('Pizza Sales Calculations'!$D1465:$F1465)</f>
        <v>1</v>
      </c>
      <c r="R1465" s="9">
        <f>IF('Pizza Sales Calculations'!$G1465=TRUE, Parameters!$B$17*'Pizza Sales Calculations'!$L1465*2, 0)</f>
        <v>0</v>
      </c>
      <c r="T1465" s="6"/>
      <c r="U1465" s="9"/>
    </row>
    <row r="1466" spans="1:21" x14ac:dyDescent="0.2">
      <c r="A1466">
        <v>1465</v>
      </c>
      <c r="B1466" s="1">
        <v>42384.533310185187</v>
      </c>
      <c r="C1466" s="1">
        <v>42384.543726851851</v>
      </c>
      <c r="D1466" t="s">
        <v>2</v>
      </c>
      <c r="G1466" t="b">
        <v>0</v>
      </c>
      <c r="H1466">
        <v>70805</v>
      </c>
      <c r="I1466" s="6">
        <v>0</v>
      </c>
      <c r="J1466" s="1">
        <v>42384.545810185184</v>
      </c>
      <c r="K1466">
        <v>11.59</v>
      </c>
      <c r="L1466" s="6">
        <f>('Pizza Sales Calculations'!$J1466-'Pizza Sales Calculations'!$C1466)*24*60</f>
        <v>2.9999999993015081</v>
      </c>
      <c r="M1466">
        <f>COUNTA('Pizza Sales Calculations'!$D1466:$F1466)</f>
        <v>1</v>
      </c>
      <c r="R1466" s="9">
        <f>IF('Pizza Sales Calculations'!$G1466=TRUE, Parameters!$B$17*'Pizza Sales Calculations'!$L1466*2, 0)</f>
        <v>0</v>
      </c>
      <c r="T1466" s="6"/>
      <c r="U1466" s="9"/>
    </row>
    <row r="1467" spans="1:21" x14ac:dyDescent="0.2">
      <c r="A1467">
        <v>1466</v>
      </c>
      <c r="B1467" s="1">
        <v>42384.504537037035</v>
      </c>
      <c r="C1467" s="1">
        <v>42384.514953703707</v>
      </c>
      <c r="D1467" t="s">
        <v>2</v>
      </c>
      <c r="G1467" t="b">
        <v>0</v>
      </c>
      <c r="H1467">
        <v>70805</v>
      </c>
      <c r="I1467" s="6">
        <v>0</v>
      </c>
      <c r="J1467" s="1">
        <v>42384.517048611109</v>
      </c>
      <c r="K1467">
        <v>11.59</v>
      </c>
      <c r="L1467" s="6">
        <f>('Pizza Sales Calculations'!$J1467-'Pizza Sales Calculations'!$C1467)*24*60</f>
        <v>3.0166666593868285</v>
      </c>
      <c r="M1467">
        <f>COUNTA('Pizza Sales Calculations'!$D1467:$F1467)</f>
        <v>1</v>
      </c>
      <c r="R1467" s="9">
        <f>IF('Pizza Sales Calculations'!$G1467=TRUE, Parameters!$B$17*'Pizza Sales Calculations'!$L1467*2, 0)</f>
        <v>0</v>
      </c>
      <c r="T1467" s="6"/>
      <c r="U1467" s="9"/>
    </row>
    <row r="1468" spans="1:21" x14ac:dyDescent="0.2">
      <c r="A1468">
        <v>1467</v>
      </c>
      <c r="B1468" s="1">
        <v>42384.420439814814</v>
      </c>
      <c r="C1468" s="1">
        <v>42384.430868055555</v>
      </c>
      <c r="D1468" t="s">
        <v>35</v>
      </c>
      <c r="G1468" t="b">
        <v>1</v>
      </c>
      <c r="H1468">
        <v>70803</v>
      </c>
      <c r="I1468" s="6">
        <v>2.7262808506313898</v>
      </c>
      <c r="J1468" s="1">
        <v>42384.440324074072</v>
      </c>
      <c r="K1468">
        <v>15.35</v>
      </c>
      <c r="L1468" s="6">
        <f>('Pizza Sales Calculations'!$J1468-'Pizza Sales Calculations'!$C1468)*24*60</f>
        <v>13.616666664602235</v>
      </c>
      <c r="M1468">
        <f>COUNTA('Pizza Sales Calculations'!$D1468:$F1468)</f>
        <v>1</v>
      </c>
      <c r="R1468" s="9">
        <f>IF('Pizza Sales Calculations'!$G1468=TRUE, Parameters!$B$17*'Pizza Sales Calculations'!$L1468*2, 0)</f>
        <v>3.8580555549706332</v>
      </c>
      <c r="T1468" s="6"/>
      <c r="U1468" s="9"/>
    </row>
    <row r="1469" spans="1:21" x14ac:dyDescent="0.2">
      <c r="A1469">
        <v>1468</v>
      </c>
      <c r="B1469" s="1">
        <v>42384.468506944446</v>
      </c>
      <c r="C1469" s="1">
        <v>42384.478900462964</v>
      </c>
      <c r="D1469" t="s">
        <v>1</v>
      </c>
      <c r="E1469" t="s">
        <v>2</v>
      </c>
      <c r="G1469" t="b">
        <v>0</v>
      </c>
      <c r="H1469">
        <v>70808</v>
      </c>
      <c r="I1469" s="6">
        <v>0</v>
      </c>
      <c r="J1469" s="1">
        <v>42384.48097222222</v>
      </c>
      <c r="K1469">
        <v>19.579999999999998</v>
      </c>
      <c r="L1469" s="6">
        <f>('Pizza Sales Calculations'!$J1469-'Pizza Sales Calculations'!$C1469)*24*60</f>
        <v>2.9833333287388086</v>
      </c>
      <c r="M1469">
        <f>COUNTA('Pizza Sales Calculations'!$D1469:$F1469)</f>
        <v>2</v>
      </c>
      <c r="R1469" s="9">
        <f>IF('Pizza Sales Calculations'!$G1469=TRUE, Parameters!$B$17*'Pizza Sales Calculations'!$L1469*2, 0)</f>
        <v>0</v>
      </c>
      <c r="T1469" s="6"/>
      <c r="U1469" s="9"/>
    </row>
    <row r="1470" spans="1:21" x14ac:dyDescent="0.2">
      <c r="A1470">
        <v>1469</v>
      </c>
      <c r="B1470" s="1">
        <v>42384.58997685185</v>
      </c>
      <c r="C1470" s="1">
        <v>42384.600405092591</v>
      </c>
      <c r="D1470" t="s">
        <v>2</v>
      </c>
      <c r="G1470" t="b">
        <v>0</v>
      </c>
      <c r="H1470">
        <v>70806</v>
      </c>
      <c r="I1470" s="6">
        <v>0</v>
      </c>
      <c r="J1470" s="1">
        <v>42384.602476851855</v>
      </c>
      <c r="K1470">
        <v>11.59</v>
      </c>
      <c r="L1470" s="6">
        <f>('Pizza Sales Calculations'!$J1470-'Pizza Sales Calculations'!$C1470)*24*60</f>
        <v>2.9833333392161876</v>
      </c>
      <c r="M1470">
        <f>COUNTA('Pizza Sales Calculations'!$D1470:$F1470)</f>
        <v>1</v>
      </c>
      <c r="R1470" s="9">
        <f>IF('Pizza Sales Calculations'!$G1470=TRUE, Parameters!$B$17*'Pizza Sales Calculations'!$L1470*2, 0)</f>
        <v>0</v>
      </c>
      <c r="T1470" s="6"/>
      <c r="U1470" s="9"/>
    </row>
    <row r="1471" spans="1:21" x14ac:dyDescent="0.2">
      <c r="A1471">
        <v>1470</v>
      </c>
      <c r="B1471" s="1">
        <v>42384.457256944443</v>
      </c>
      <c r="C1471" s="1">
        <v>42384.467650462961</v>
      </c>
      <c r="D1471" t="s">
        <v>2</v>
      </c>
      <c r="G1471" t="b">
        <v>0</v>
      </c>
      <c r="H1471">
        <v>70805</v>
      </c>
      <c r="I1471" s="6">
        <v>0</v>
      </c>
      <c r="J1471" s="1">
        <v>42384.469733796293</v>
      </c>
      <c r="K1471">
        <v>11.59</v>
      </c>
      <c r="L1471" s="6">
        <f>('Pizza Sales Calculations'!$J1471-'Pizza Sales Calculations'!$C1471)*24*60</f>
        <v>2.9999999993015081</v>
      </c>
      <c r="M1471">
        <f>COUNTA('Pizza Sales Calculations'!$D1471:$F1471)</f>
        <v>1</v>
      </c>
      <c r="R1471" s="9">
        <f>IF('Pizza Sales Calculations'!$G1471=TRUE, Parameters!$B$17*'Pizza Sales Calculations'!$L1471*2, 0)</f>
        <v>0</v>
      </c>
      <c r="T1471" s="6"/>
      <c r="U1471" s="9"/>
    </row>
    <row r="1472" spans="1:21" x14ac:dyDescent="0.2">
      <c r="A1472">
        <v>1471</v>
      </c>
      <c r="B1472" s="1">
        <v>42384.520509259259</v>
      </c>
      <c r="C1472" s="1">
        <v>42384.530925925923</v>
      </c>
      <c r="D1472" t="s">
        <v>1</v>
      </c>
      <c r="E1472" t="s">
        <v>35</v>
      </c>
      <c r="G1472" t="b">
        <v>0</v>
      </c>
      <c r="H1472">
        <v>70806</v>
      </c>
      <c r="I1472" s="6">
        <v>0</v>
      </c>
      <c r="J1472" s="1">
        <v>42384.532997685186</v>
      </c>
      <c r="K1472">
        <v>23.34</v>
      </c>
      <c r="L1472" s="6">
        <f>('Pizza Sales Calculations'!$J1472-'Pizza Sales Calculations'!$C1472)*24*60</f>
        <v>2.9833333392161876</v>
      </c>
      <c r="M1472">
        <f>COUNTA('Pizza Sales Calculations'!$D1472:$F1472)</f>
        <v>2</v>
      </c>
      <c r="R1472" s="9">
        <f>IF('Pizza Sales Calculations'!$G1472=TRUE, Parameters!$B$17*'Pizza Sales Calculations'!$L1472*2, 0)</f>
        <v>0</v>
      </c>
      <c r="T1472" s="6"/>
      <c r="U1472" s="9"/>
    </row>
    <row r="1473" spans="1:21" x14ac:dyDescent="0.2">
      <c r="A1473">
        <v>1472</v>
      </c>
      <c r="B1473" s="1">
        <v>42384.524756944447</v>
      </c>
      <c r="C1473" s="1">
        <v>42384.535150462965</v>
      </c>
      <c r="D1473" t="s">
        <v>1</v>
      </c>
      <c r="E1473" t="s">
        <v>2</v>
      </c>
      <c r="G1473" t="b">
        <v>1</v>
      </c>
      <c r="H1473">
        <v>70804</v>
      </c>
      <c r="I1473" s="6">
        <v>2.5320635649657399</v>
      </c>
      <c r="J1473" s="1">
        <v>42384.543935185182</v>
      </c>
      <c r="K1473">
        <v>19.579999999999998</v>
      </c>
      <c r="L1473" s="6">
        <f>('Pizza Sales Calculations'!$J1473-'Pizza Sales Calculations'!$C1473)*24*60</f>
        <v>12.649999991990626</v>
      </c>
      <c r="M1473">
        <f>COUNTA('Pizza Sales Calculations'!$D1473:$F1473)</f>
        <v>2</v>
      </c>
      <c r="R1473" s="9">
        <f>IF('Pizza Sales Calculations'!$G1473=TRUE, Parameters!$B$17*'Pizza Sales Calculations'!$L1473*2, 0)</f>
        <v>3.584166664397344</v>
      </c>
      <c r="T1473" s="6"/>
      <c r="U1473" s="9"/>
    </row>
    <row r="1474" spans="1:21" x14ac:dyDescent="0.2">
      <c r="A1474">
        <v>1473</v>
      </c>
      <c r="B1474" s="1">
        <v>42384.467835648145</v>
      </c>
      <c r="C1474" s="1">
        <v>42384.478252314817</v>
      </c>
      <c r="D1474" t="s">
        <v>1</v>
      </c>
      <c r="E1474" t="s">
        <v>2</v>
      </c>
      <c r="G1474" t="b">
        <v>0</v>
      </c>
      <c r="H1474">
        <v>70805</v>
      </c>
      <c r="I1474" s="6">
        <v>0</v>
      </c>
      <c r="J1474" s="1">
        <v>42384.480324074073</v>
      </c>
      <c r="K1474">
        <v>19.579999999999998</v>
      </c>
      <c r="L1474" s="6">
        <f>('Pizza Sales Calculations'!$J1474-'Pizza Sales Calculations'!$C1474)*24*60</f>
        <v>2.9833333287388086</v>
      </c>
      <c r="M1474">
        <f>COUNTA('Pizza Sales Calculations'!$D1474:$F1474)</f>
        <v>2</v>
      </c>
      <c r="R1474" s="9">
        <f>IF('Pizza Sales Calculations'!$G1474=TRUE, Parameters!$B$17*'Pizza Sales Calculations'!$L1474*2, 0)</f>
        <v>0</v>
      </c>
      <c r="T1474" s="6"/>
      <c r="U1474" s="9"/>
    </row>
    <row r="1475" spans="1:21" x14ac:dyDescent="0.2">
      <c r="A1475">
        <v>1474</v>
      </c>
      <c r="B1475" s="1">
        <v>42384.470266203702</v>
      </c>
      <c r="C1475" s="1">
        <v>42384.480682870373</v>
      </c>
      <c r="D1475" t="s">
        <v>1</v>
      </c>
      <c r="E1475" t="s">
        <v>2</v>
      </c>
      <c r="G1475" t="b">
        <v>0</v>
      </c>
      <c r="H1475">
        <v>70805</v>
      </c>
      <c r="I1475" s="6">
        <v>0</v>
      </c>
      <c r="J1475" s="1">
        <v>42384.482766203706</v>
      </c>
      <c r="K1475">
        <v>19.579999999999998</v>
      </c>
      <c r="L1475" s="6">
        <f>('Pizza Sales Calculations'!$J1475-'Pizza Sales Calculations'!$C1475)*24*60</f>
        <v>2.9999999993015081</v>
      </c>
      <c r="M1475">
        <f>COUNTA('Pizza Sales Calculations'!$D1475:$F1475)</f>
        <v>2</v>
      </c>
      <c r="R1475" s="9">
        <f>IF('Pizza Sales Calculations'!$G1475=TRUE, Parameters!$B$17*'Pizza Sales Calculations'!$L1475*2, 0)</f>
        <v>0</v>
      </c>
      <c r="T1475" s="6"/>
      <c r="U1475" s="9"/>
    </row>
    <row r="1476" spans="1:21" x14ac:dyDescent="0.2">
      <c r="A1476">
        <v>1475</v>
      </c>
      <c r="B1476" s="1">
        <v>42384.570983796293</v>
      </c>
      <c r="C1476" s="1">
        <v>42384.581412037034</v>
      </c>
      <c r="D1476" t="s">
        <v>1</v>
      </c>
      <c r="E1476" t="s">
        <v>2</v>
      </c>
      <c r="G1476" t="b">
        <v>0</v>
      </c>
      <c r="H1476">
        <v>70805</v>
      </c>
      <c r="I1476" s="6">
        <v>0</v>
      </c>
      <c r="J1476" s="1">
        <v>42384.583506944444</v>
      </c>
      <c r="K1476">
        <v>19.579999999999998</v>
      </c>
      <c r="L1476" s="6">
        <f>('Pizza Sales Calculations'!$J1476-'Pizza Sales Calculations'!$C1476)*24*60</f>
        <v>3.0166666698642075</v>
      </c>
      <c r="M1476">
        <f>COUNTA('Pizza Sales Calculations'!$D1476:$F1476)</f>
        <v>2</v>
      </c>
      <c r="R1476" s="9">
        <f>IF('Pizza Sales Calculations'!$G1476=TRUE, Parameters!$B$17*'Pizza Sales Calculations'!$L1476*2, 0)</f>
        <v>0</v>
      </c>
      <c r="T1476" s="6"/>
      <c r="U1476" s="9"/>
    </row>
    <row r="1477" spans="1:21" x14ac:dyDescent="0.2">
      <c r="A1477">
        <v>1476</v>
      </c>
      <c r="B1477" s="1">
        <v>42384.521967592591</v>
      </c>
      <c r="C1477" s="1">
        <v>42384.532384259262</v>
      </c>
      <c r="D1477" t="s">
        <v>1</v>
      </c>
      <c r="G1477" t="b">
        <v>0</v>
      </c>
      <c r="H1477">
        <v>70806</v>
      </c>
      <c r="I1477" s="6">
        <v>0</v>
      </c>
      <c r="J1477" s="1">
        <v>42384.534444444442</v>
      </c>
      <c r="K1477">
        <v>7.99</v>
      </c>
      <c r="L1477" s="6">
        <f>('Pizza Sales Calculations'!$J1477-'Pizza Sales Calculations'!$C1477)*24*60</f>
        <v>2.9666666581761092</v>
      </c>
      <c r="M1477">
        <f>COUNTA('Pizza Sales Calculations'!$D1477:$F1477)</f>
        <v>1</v>
      </c>
      <c r="R1477" s="9">
        <f>IF('Pizza Sales Calculations'!$G1477=TRUE, Parameters!$B$17*'Pizza Sales Calculations'!$L1477*2, 0)</f>
        <v>0</v>
      </c>
      <c r="T1477" s="6"/>
      <c r="U1477" s="9"/>
    </row>
    <row r="1478" spans="1:21" x14ac:dyDescent="0.2">
      <c r="A1478">
        <v>1477</v>
      </c>
      <c r="B1478" s="1">
        <v>42384.536053240743</v>
      </c>
      <c r="C1478" s="1">
        <v>42384.546469907407</v>
      </c>
      <c r="D1478" t="s">
        <v>1</v>
      </c>
      <c r="E1478" t="s">
        <v>2</v>
      </c>
      <c r="G1478" t="b">
        <v>0</v>
      </c>
      <c r="H1478">
        <v>70804</v>
      </c>
      <c r="I1478" s="6">
        <v>0</v>
      </c>
      <c r="J1478" s="1">
        <v>42384.54855324074</v>
      </c>
      <c r="K1478">
        <v>19.579999999999998</v>
      </c>
      <c r="L1478" s="6">
        <f>('Pizza Sales Calculations'!$J1478-'Pizza Sales Calculations'!$C1478)*24*60</f>
        <v>2.9999999993015081</v>
      </c>
      <c r="M1478">
        <f>COUNTA('Pizza Sales Calculations'!$D1478:$F1478)</f>
        <v>2</v>
      </c>
      <c r="R1478" s="9">
        <f>IF('Pizza Sales Calculations'!$G1478=TRUE, Parameters!$B$17*'Pizza Sales Calculations'!$L1478*2, 0)</f>
        <v>0</v>
      </c>
      <c r="T1478" s="6"/>
      <c r="U1478" s="9"/>
    </row>
    <row r="1479" spans="1:21" x14ac:dyDescent="0.2">
      <c r="A1479">
        <v>1478</v>
      </c>
      <c r="B1479" s="1">
        <v>42384.482905092591</v>
      </c>
      <c r="C1479" s="1">
        <v>42384.493298611109</v>
      </c>
      <c r="D1479" t="s">
        <v>35</v>
      </c>
      <c r="G1479" t="b">
        <v>1</v>
      </c>
      <c r="H1479">
        <v>70806</v>
      </c>
      <c r="I1479" s="6">
        <v>2.9128691247071501</v>
      </c>
      <c r="J1479" s="1">
        <v>42384.50340277778</v>
      </c>
      <c r="K1479">
        <v>15.35</v>
      </c>
      <c r="L1479" s="6">
        <f>('Pizza Sales Calculations'!$J1479-'Pizza Sales Calculations'!$C1479)*24*60</f>
        <v>14.550000006565824</v>
      </c>
      <c r="M1479">
        <f>COUNTA('Pizza Sales Calculations'!$D1479:$F1479)</f>
        <v>1</v>
      </c>
      <c r="R1479" s="9">
        <f>IF('Pizza Sales Calculations'!$G1479=TRUE, Parameters!$B$17*'Pizza Sales Calculations'!$L1479*2, 0)</f>
        <v>4.1225000018603168</v>
      </c>
      <c r="T1479" s="6"/>
      <c r="U1479" s="9"/>
    </row>
    <row r="1480" spans="1:21" x14ac:dyDescent="0.2">
      <c r="A1480">
        <v>1479</v>
      </c>
      <c r="B1480" s="1">
        <v>42384.449814814812</v>
      </c>
      <c r="C1480" s="1">
        <v>42384.460219907407</v>
      </c>
      <c r="D1480" t="s">
        <v>35</v>
      </c>
      <c r="G1480" t="b">
        <v>1</v>
      </c>
      <c r="H1480">
        <v>70804</v>
      </c>
      <c r="I1480" s="6">
        <v>0.67596521174083202</v>
      </c>
      <c r="J1480" s="1">
        <v>42384.462557870371</v>
      </c>
      <c r="K1480">
        <v>15.35</v>
      </c>
      <c r="L1480" s="6">
        <f>('Pizza Sales Calculations'!$J1480-'Pizza Sales Calculations'!$C1480)*24*60</f>
        <v>3.366666667861864</v>
      </c>
      <c r="M1480">
        <f>COUNTA('Pizza Sales Calculations'!$D1480:$F1480)</f>
        <v>1</v>
      </c>
      <c r="R1480" s="9">
        <f>IF('Pizza Sales Calculations'!$G1480=TRUE, Parameters!$B$17*'Pizza Sales Calculations'!$L1480*2, 0)</f>
        <v>0.95388888922752813</v>
      </c>
      <c r="T1480" s="6"/>
      <c r="U1480" s="9"/>
    </row>
    <row r="1481" spans="1:21" x14ac:dyDescent="0.2">
      <c r="A1481">
        <v>1480</v>
      </c>
      <c r="B1481" s="1">
        <v>42384.53633101852</v>
      </c>
      <c r="C1481" s="1">
        <v>42384.546747685185</v>
      </c>
      <c r="D1481" t="s">
        <v>1</v>
      </c>
      <c r="E1481" t="s">
        <v>2</v>
      </c>
      <c r="G1481" t="b">
        <v>1</v>
      </c>
      <c r="H1481">
        <v>70805</v>
      </c>
      <c r="I1481" s="6">
        <v>5.1379089968484601</v>
      </c>
      <c r="J1481" s="1">
        <v>42384.564583333333</v>
      </c>
      <c r="K1481">
        <v>19.579999999999998</v>
      </c>
      <c r="L1481" s="6">
        <f>('Pizza Sales Calculations'!$J1481-'Pizza Sales Calculations'!$C1481)*24*60</f>
        <v>25.683333333581686</v>
      </c>
      <c r="M1481">
        <f>COUNTA('Pizza Sales Calculations'!$D1481:$F1481)</f>
        <v>2</v>
      </c>
      <c r="R1481" s="9">
        <f>IF('Pizza Sales Calculations'!$G1481=TRUE, Parameters!$B$17*'Pizza Sales Calculations'!$L1481*2, 0)</f>
        <v>7.276944444514811</v>
      </c>
      <c r="T1481" s="6"/>
      <c r="U1481" s="9"/>
    </row>
    <row r="1482" spans="1:21" x14ac:dyDescent="0.2">
      <c r="A1482">
        <v>1481</v>
      </c>
      <c r="B1482" s="1">
        <v>42384.463738425926</v>
      </c>
      <c r="C1482" s="1">
        <v>42384.474166666667</v>
      </c>
      <c r="D1482" t="s">
        <v>35</v>
      </c>
      <c r="G1482" t="b">
        <v>1</v>
      </c>
      <c r="H1482">
        <v>70805</v>
      </c>
      <c r="I1482" s="6">
        <v>2.6640946008201398</v>
      </c>
      <c r="J1482" s="1">
        <v>42384.483414351853</v>
      </c>
      <c r="K1482">
        <v>15.35</v>
      </c>
      <c r="L1482" s="6">
        <f>('Pizza Sales Calculations'!$J1482-'Pizza Sales Calculations'!$C1482)*24*60</f>
        <v>13.316666667815298</v>
      </c>
      <c r="M1482">
        <f>COUNTA('Pizza Sales Calculations'!$D1482:$F1482)</f>
        <v>1</v>
      </c>
      <c r="R1482" s="9">
        <f>IF('Pizza Sales Calculations'!$G1482=TRUE, Parameters!$B$17*'Pizza Sales Calculations'!$L1482*2, 0)</f>
        <v>3.7730555558810011</v>
      </c>
      <c r="T1482" s="6"/>
      <c r="U1482" s="9"/>
    </row>
    <row r="1483" spans="1:21" x14ac:dyDescent="0.2">
      <c r="A1483">
        <v>1482</v>
      </c>
      <c r="B1483" s="1">
        <v>42384.540983796294</v>
      </c>
      <c r="C1483" s="1">
        <v>42384.551412037035</v>
      </c>
      <c r="D1483" t="s">
        <v>1</v>
      </c>
      <c r="E1483" t="s">
        <v>35</v>
      </c>
      <c r="G1483" t="b">
        <v>0</v>
      </c>
      <c r="H1483">
        <v>70805</v>
      </c>
      <c r="I1483" s="6">
        <v>0</v>
      </c>
      <c r="J1483" s="1">
        <v>42384.553472222222</v>
      </c>
      <c r="K1483">
        <v>23.34</v>
      </c>
      <c r="L1483" s="6">
        <f>('Pizza Sales Calculations'!$J1483-'Pizza Sales Calculations'!$C1483)*24*60</f>
        <v>2.9666666686534882</v>
      </c>
      <c r="M1483">
        <f>COUNTA('Pizza Sales Calculations'!$D1483:$F1483)</f>
        <v>2</v>
      </c>
      <c r="R1483" s="9">
        <f>IF('Pizza Sales Calculations'!$G1483=TRUE, Parameters!$B$17*'Pizza Sales Calculations'!$L1483*2, 0)</f>
        <v>0</v>
      </c>
      <c r="T1483" s="6"/>
      <c r="U1483" s="9"/>
    </row>
    <row r="1484" spans="1:21" x14ac:dyDescent="0.2">
      <c r="A1484">
        <v>1483</v>
      </c>
      <c r="B1484" s="1">
        <v>42384.592881944445</v>
      </c>
      <c r="C1484" s="1">
        <v>42384.603263888886</v>
      </c>
      <c r="D1484" t="s">
        <v>35</v>
      </c>
      <c r="G1484" t="b">
        <v>1</v>
      </c>
      <c r="H1484">
        <v>70804</v>
      </c>
      <c r="I1484" s="6">
        <v>6.0262860107950997</v>
      </c>
      <c r="J1484" s="1">
        <v>42384.624178240738</v>
      </c>
      <c r="K1484">
        <v>15.35</v>
      </c>
      <c r="L1484" s="6">
        <f>('Pizza Sales Calculations'!$J1484-'Pizza Sales Calculations'!$C1484)*24*60</f>
        <v>30.116666665999219</v>
      </c>
      <c r="M1484">
        <f>COUNTA('Pizza Sales Calculations'!$D1484:$F1484)</f>
        <v>1</v>
      </c>
      <c r="R1484" s="9">
        <f>IF('Pizza Sales Calculations'!$G1484=TRUE, Parameters!$B$17*'Pizza Sales Calculations'!$L1484*2, 0)</f>
        <v>8.5330555553664453</v>
      </c>
      <c r="T1484" s="6"/>
      <c r="U1484" s="9"/>
    </row>
    <row r="1485" spans="1:21" x14ac:dyDescent="0.2">
      <c r="A1485">
        <v>1484</v>
      </c>
      <c r="B1485" s="1">
        <v>42384.480995370373</v>
      </c>
      <c r="C1485" s="1">
        <v>42384.491412037038</v>
      </c>
      <c r="D1485" t="s">
        <v>2</v>
      </c>
      <c r="G1485" t="b">
        <v>1</v>
      </c>
      <c r="H1485">
        <v>70804</v>
      </c>
      <c r="I1485" s="6">
        <v>2.4311442521818298</v>
      </c>
      <c r="J1485" s="1">
        <v>42384.499849537038</v>
      </c>
      <c r="K1485">
        <v>11.59</v>
      </c>
      <c r="L1485" s="6">
        <f>('Pizza Sales Calculations'!$J1485-'Pizza Sales Calculations'!$C1485)*24*60</f>
        <v>12.15000000083819</v>
      </c>
      <c r="M1485">
        <f>COUNTA('Pizza Sales Calculations'!$D1485:$F1485)</f>
        <v>1</v>
      </c>
      <c r="R1485" s="9">
        <f>IF('Pizza Sales Calculations'!$G1485=TRUE, Parameters!$B$17*'Pizza Sales Calculations'!$L1485*2, 0)</f>
        <v>3.4425000002374873</v>
      </c>
      <c r="T1485" s="6"/>
      <c r="U1485" s="9"/>
    </row>
    <row r="1486" spans="1:21" x14ac:dyDescent="0.2">
      <c r="A1486">
        <v>1485</v>
      </c>
      <c r="B1486" s="1">
        <v>42384.497407407405</v>
      </c>
      <c r="C1486" s="1">
        <v>42384.5078125</v>
      </c>
      <c r="D1486" t="s">
        <v>2</v>
      </c>
      <c r="G1486" t="b">
        <v>0</v>
      </c>
      <c r="H1486">
        <v>70804</v>
      </c>
      <c r="I1486" s="6">
        <v>0</v>
      </c>
      <c r="J1486" s="1">
        <v>42384.509872685187</v>
      </c>
      <c r="K1486">
        <v>11.59</v>
      </c>
      <c r="L1486" s="6">
        <f>('Pizza Sales Calculations'!$J1486-'Pizza Sales Calculations'!$C1486)*24*60</f>
        <v>2.9666666686534882</v>
      </c>
      <c r="M1486">
        <f>COUNTA('Pizza Sales Calculations'!$D1486:$F1486)</f>
        <v>1</v>
      </c>
      <c r="R1486" s="9">
        <f>IF('Pizza Sales Calculations'!$G1486=TRUE, Parameters!$B$17*'Pizza Sales Calculations'!$L1486*2, 0)</f>
        <v>0</v>
      </c>
      <c r="T1486" s="6"/>
      <c r="U1486" s="9"/>
    </row>
    <row r="1487" spans="1:21" x14ac:dyDescent="0.2">
      <c r="A1487">
        <v>1486</v>
      </c>
      <c r="B1487" s="1">
        <v>42384.478206018517</v>
      </c>
      <c r="C1487" s="1">
        <v>42384.488611111112</v>
      </c>
      <c r="D1487" t="s">
        <v>2</v>
      </c>
      <c r="G1487" t="b">
        <v>0</v>
      </c>
      <c r="H1487">
        <v>70803</v>
      </c>
      <c r="I1487" s="6">
        <v>0</v>
      </c>
      <c r="J1487" s="1">
        <v>42384.490706018521</v>
      </c>
      <c r="K1487">
        <v>11.59</v>
      </c>
      <c r="L1487" s="6">
        <f>('Pizza Sales Calculations'!$J1487-'Pizza Sales Calculations'!$C1487)*24*60</f>
        <v>3.0166666698642075</v>
      </c>
      <c r="M1487">
        <f>COUNTA('Pizza Sales Calculations'!$D1487:$F1487)</f>
        <v>1</v>
      </c>
      <c r="R1487" s="9">
        <f>IF('Pizza Sales Calculations'!$G1487=TRUE, Parameters!$B$17*'Pizza Sales Calculations'!$L1487*2, 0)</f>
        <v>0</v>
      </c>
      <c r="T1487" s="6"/>
      <c r="U1487" s="9"/>
    </row>
    <row r="1488" spans="1:21" x14ac:dyDescent="0.2">
      <c r="A1488">
        <v>1487</v>
      </c>
      <c r="B1488" s="1">
        <v>42384.462557870371</v>
      </c>
      <c r="C1488" s="1">
        <v>42384.472974537035</v>
      </c>
      <c r="D1488" t="s">
        <v>35</v>
      </c>
      <c r="G1488" t="b">
        <v>1</v>
      </c>
      <c r="H1488">
        <v>70804</v>
      </c>
      <c r="I1488" s="6">
        <v>2.4228389394357102</v>
      </c>
      <c r="J1488" s="1">
        <v>42384.481377314813</v>
      </c>
      <c r="K1488">
        <v>15.35</v>
      </c>
      <c r="L1488" s="6">
        <f>('Pizza Sales Calculations'!$J1488-'Pizza Sales Calculations'!$C1488)*24*60</f>
        <v>12.099999999627471</v>
      </c>
      <c r="M1488">
        <f>COUNTA('Pizza Sales Calculations'!$D1488:$F1488)</f>
        <v>1</v>
      </c>
      <c r="R1488" s="9">
        <f>IF('Pizza Sales Calculations'!$G1488=TRUE, Parameters!$B$17*'Pizza Sales Calculations'!$L1488*2, 0)</f>
        <v>3.4283333332277834</v>
      </c>
      <c r="T1488" s="6"/>
      <c r="U1488" s="9"/>
    </row>
    <row r="1489" spans="1:21" x14ac:dyDescent="0.2">
      <c r="A1489">
        <v>1488</v>
      </c>
      <c r="B1489" s="1">
        <v>42384.476157407407</v>
      </c>
      <c r="C1489" s="1">
        <v>42384.486550925925</v>
      </c>
      <c r="D1489" t="s">
        <v>35</v>
      </c>
      <c r="G1489" t="b">
        <v>1</v>
      </c>
      <c r="H1489">
        <v>70804</v>
      </c>
      <c r="I1489" s="6">
        <v>3.97112199346246</v>
      </c>
      <c r="J1489" s="1">
        <v>42384.500335648147</v>
      </c>
      <c r="K1489">
        <v>15.35</v>
      </c>
      <c r="L1489" s="6">
        <f>('Pizza Sales Calculations'!$J1489-'Pizza Sales Calculations'!$C1489)*24*60</f>
        <v>19.849999998696148</v>
      </c>
      <c r="M1489">
        <f>COUNTA('Pizza Sales Calculations'!$D1489:$F1489)</f>
        <v>1</v>
      </c>
      <c r="R1489" s="9">
        <f>IF('Pizza Sales Calculations'!$G1489=TRUE, Parameters!$B$17*'Pizza Sales Calculations'!$L1489*2, 0)</f>
        <v>5.624166666297242</v>
      </c>
      <c r="T1489" s="6"/>
      <c r="U1489" s="9"/>
    </row>
    <row r="1490" spans="1:21" x14ac:dyDescent="0.2">
      <c r="A1490">
        <v>1489</v>
      </c>
      <c r="B1490" s="1">
        <v>42384.513182870367</v>
      </c>
      <c r="C1490" s="1">
        <v>42384.523599537039</v>
      </c>
      <c r="D1490" t="s">
        <v>35</v>
      </c>
      <c r="G1490" t="b">
        <v>0</v>
      </c>
      <c r="H1490">
        <v>70807</v>
      </c>
      <c r="I1490" s="6">
        <v>0</v>
      </c>
      <c r="J1490" s="1">
        <v>42384.525682870371</v>
      </c>
      <c r="K1490">
        <v>15.35</v>
      </c>
      <c r="L1490" s="6">
        <f>('Pizza Sales Calculations'!$J1490-'Pizza Sales Calculations'!$C1490)*24*60</f>
        <v>2.9999999993015081</v>
      </c>
      <c r="M1490">
        <f>COUNTA('Pizza Sales Calculations'!$D1490:$F1490)</f>
        <v>1</v>
      </c>
      <c r="R1490" s="9">
        <f>IF('Pizza Sales Calculations'!$G1490=TRUE, Parameters!$B$17*'Pizza Sales Calculations'!$L1490*2, 0)</f>
        <v>0</v>
      </c>
      <c r="T1490" s="6"/>
      <c r="U1490" s="9"/>
    </row>
    <row r="1491" spans="1:21" x14ac:dyDescent="0.2">
      <c r="A1491">
        <v>1490</v>
      </c>
      <c r="B1491" s="1">
        <v>42384.448831018519</v>
      </c>
      <c r="C1491" s="1">
        <v>42384.459224537037</v>
      </c>
      <c r="D1491" t="s">
        <v>1</v>
      </c>
      <c r="E1491" t="s">
        <v>35</v>
      </c>
      <c r="G1491" t="b">
        <v>0</v>
      </c>
      <c r="H1491">
        <v>70805</v>
      </c>
      <c r="I1491" s="6">
        <v>0</v>
      </c>
      <c r="J1491" s="1">
        <v>42384.461296296293</v>
      </c>
      <c r="K1491">
        <v>23.34</v>
      </c>
      <c r="L1491" s="6">
        <f>('Pizza Sales Calculations'!$J1491-'Pizza Sales Calculations'!$C1491)*24*60</f>
        <v>2.9833333287388086</v>
      </c>
      <c r="M1491">
        <f>COUNTA('Pizza Sales Calculations'!$D1491:$F1491)</f>
        <v>2</v>
      </c>
      <c r="R1491" s="9">
        <f>IF('Pizza Sales Calculations'!$G1491=TRUE, Parameters!$B$17*'Pizza Sales Calculations'!$L1491*2, 0)</f>
        <v>0</v>
      </c>
      <c r="T1491" s="6"/>
      <c r="U1491" s="9"/>
    </row>
    <row r="1492" spans="1:21" x14ac:dyDescent="0.2">
      <c r="A1492">
        <v>1491</v>
      </c>
      <c r="B1492" s="1">
        <v>42384.556990740741</v>
      </c>
      <c r="C1492" s="1">
        <v>42384.567407407405</v>
      </c>
      <c r="D1492" t="s">
        <v>35</v>
      </c>
      <c r="G1492" t="b">
        <v>0</v>
      </c>
      <c r="H1492">
        <v>70805</v>
      </c>
      <c r="I1492" s="6">
        <v>0</v>
      </c>
      <c r="J1492" s="1">
        <v>42384.569479166668</v>
      </c>
      <c r="K1492">
        <v>15.35</v>
      </c>
      <c r="L1492" s="6">
        <f>('Pizza Sales Calculations'!$J1492-'Pizza Sales Calculations'!$C1492)*24*60</f>
        <v>2.9833333392161876</v>
      </c>
      <c r="M1492">
        <f>COUNTA('Pizza Sales Calculations'!$D1492:$F1492)</f>
        <v>1</v>
      </c>
      <c r="R1492" s="9">
        <f>IF('Pizza Sales Calculations'!$G1492=TRUE, Parameters!$B$17*'Pizza Sales Calculations'!$L1492*2, 0)</f>
        <v>0</v>
      </c>
      <c r="T1492" s="6"/>
      <c r="U1492" s="9"/>
    </row>
    <row r="1493" spans="1:21" x14ac:dyDescent="0.2">
      <c r="A1493">
        <v>1492</v>
      </c>
      <c r="B1493" s="1">
        <v>42384.461921296293</v>
      </c>
      <c r="C1493" s="1">
        <v>42384.472361111111</v>
      </c>
      <c r="D1493" t="s">
        <v>1</v>
      </c>
      <c r="G1493" t="b">
        <v>1</v>
      </c>
      <c r="H1493">
        <v>70805</v>
      </c>
      <c r="I1493" s="6">
        <v>2.8258600289238598</v>
      </c>
      <c r="J1493" s="1">
        <v>42384.482164351852</v>
      </c>
      <c r="K1493">
        <v>7.99</v>
      </c>
      <c r="L1493" s="6">
        <f>('Pizza Sales Calculations'!$J1493-'Pizza Sales Calculations'!$C1493)*24*60</f>
        <v>14.116666666232049</v>
      </c>
      <c r="M1493">
        <f>COUNTA('Pizza Sales Calculations'!$D1493:$F1493)</f>
        <v>1</v>
      </c>
      <c r="R1493" s="9">
        <f>IF('Pizza Sales Calculations'!$G1493=TRUE, Parameters!$B$17*'Pizza Sales Calculations'!$L1493*2, 0)</f>
        <v>3.9997222220990807</v>
      </c>
      <c r="T1493" s="6"/>
      <c r="U1493" s="9"/>
    </row>
    <row r="1494" spans="1:21" x14ac:dyDescent="0.2">
      <c r="A1494">
        <v>1493</v>
      </c>
      <c r="B1494" s="1">
        <v>42384.498993055553</v>
      </c>
      <c r="C1494" s="1">
        <v>42384.509409722225</v>
      </c>
      <c r="D1494" t="s">
        <v>35</v>
      </c>
      <c r="G1494" t="b">
        <v>1</v>
      </c>
      <c r="H1494">
        <v>70803</v>
      </c>
      <c r="I1494" s="6">
        <v>2.8273028164035998</v>
      </c>
      <c r="J1494" s="1">
        <v>42384.519224537034</v>
      </c>
      <c r="K1494">
        <v>15.35</v>
      </c>
      <c r="L1494" s="6">
        <f>('Pizza Sales Calculations'!$J1494-'Pizza Sales Calculations'!$C1494)*24*60</f>
        <v>14.13333332631737</v>
      </c>
      <c r="M1494">
        <f>COUNTA('Pizza Sales Calculations'!$D1494:$F1494)</f>
        <v>1</v>
      </c>
      <c r="R1494" s="9">
        <f>IF('Pizza Sales Calculations'!$G1494=TRUE, Parameters!$B$17*'Pizza Sales Calculations'!$L1494*2, 0)</f>
        <v>4.0044444424565881</v>
      </c>
      <c r="T1494" s="6"/>
      <c r="U1494" s="9"/>
    </row>
    <row r="1495" spans="1:21" x14ac:dyDescent="0.2">
      <c r="A1495">
        <v>1494</v>
      </c>
      <c r="B1495" s="1">
        <v>42384.512199074074</v>
      </c>
      <c r="C1495" s="1">
        <v>42384.522592592592</v>
      </c>
      <c r="D1495" t="s">
        <v>2</v>
      </c>
      <c r="G1495" t="b">
        <v>0</v>
      </c>
      <c r="H1495">
        <v>70806</v>
      </c>
      <c r="I1495" s="6">
        <v>0</v>
      </c>
      <c r="J1495" s="1">
        <v>42384.524675925924</v>
      </c>
      <c r="K1495">
        <v>11.59</v>
      </c>
      <c r="L1495" s="6">
        <f>('Pizza Sales Calculations'!$J1495-'Pizza Sales Calculations'!$C1495)*24*60</f>
        <v>2.9999999993015081</v>
      </c>
      <c r="M1495">
        <f>COUNTA('Pizza Sales Calculations'!$D1495:$F1495)</f>
        <v>1</v>
      </c>
      <c r="R1495" s="9">
        <f>IF('Pizza Sales Calculations'!$G1495=TRUE, Parameters!$B$17*'Pizza Sales Calculations'!$L1495*2, 0)</f>
        <v>0</v>
      </c>
      <c r="T1495" s="6"/>
      <c r="U1495" s="9"/>
    </row>
    <row r="1496" spans="1:21" x14ac:dyDescent="0.2">
      <c r="A1496">
        <v>1495</v>
      </c>
      <c r="B1496" s="1">
        <v>42384.504687499997</v>
      </c>
      <c r="C1496" s="1">
        <v>42384.515092592592</v>
      </c>
      <c r="D1496" t="s">
        <v>35</v>
      </c>
      <c r="G1496" t="b">
        <v>1</v>
      </c>
      <c r="H1496">
        <v>70804</v>
      </c>
      <c r="I1496" s="6">
        <v>4.6139872192451197</v>
      </c>
      <c r="J1496" s="1">
        <v>42384.531111111108</v>
      </c>
      <c r="K1496">
        <v>15.35</v>
      </c>
      <c r="L1496" s="6">
        <f>('Pizza Sales Calculations'!$J1496-'Pizza Sales Calculations'!$C1496)*24*60</f>
        <v>23.066666662925854</v>
      </c>
      <c r="M1496">
        <f>COUNTA('Pizza Sales Calculations'!$D1496:$F1496)</f>
        <v>1</v>
      </c>
      <c r="R1496" s="9">
        <f>IF('Pizza Sales Calculations'!$G1496=TRUE, Parameters!$B$17*'Pizza Sales Calculations'!$L1496*2, 0)</f>
        <v>6.5355555544956587</v>
      </c>
      <c r="T1496" s="6"/>
      <c r="U1496" s="9"/>
    </row>
    <row r="1497" spans="1:21" x14ac:dyDescent="0.2">
      <c r="A1497">
        <v>1496</v>
      </c>
      <c r="B1497" s="1">
        <v>42384.521168981482</v>
      </c>
      <c r="C1497" s="1">
        <v>42384.531597222223</v>
      </c>
      <c r="D1497" t="s">
        <v>35</v>
      </c>
      <c r="G1497" t="b">
        <v>1</v>
      </c>
      <c r="H1497">
        <v>70806</v>
      </c>
      <c r="I1497" s="6">
        <v>2.3301394650990499</v>
      </c>
      <c r="J1497" s="1">
        <v>42384.539687500001</v>
      </c>
      <c r="K1497">
        <v>15.35</v>
      </c>
      <c r="L1497" s="6">
        <f>('Pizza Sales Calculations'!$J1497-'Pizza Sales Calculations'!$C1497)*24*60</f>
        <v>11.649999999208376</v>
      </c>
      <c r="M1497">
        <f>COUNTA('Pizza Sales Calculations'!$D1497:$F1497)</f>
        <v>1</v>
      </c>
      <c r="R1497" s="9">
        <f>IF('Pizza Sales Calculations'!$G1497=TRUE, Parameters!$B$17*'Pizza Sales Calculations'!$L1497*2, 0)</f>
        <v>3.3008333331090398</v>
      </c>
      <c r="T1497" s="6"/>
      <c r="U1497" s="9"/>
    </row>
    <row r="1498" spans="1:21" x14ac:dyDescent="0.2">
      <c r="A1498">
        <v>1497</v>
      </c>
      <c r="B1498" s="1">
        <v>42384.538344907407</v>
      </c>
      <c r="C1498" s="1">
        <v>42384.548761574071</v>
      </c>
      <c r="D1498" t="s">
        <v>1</v>
      </c>
      <c r="G1498" t="b">
        <v>1</v>
      </c>
      <c r="H1498">
        <v>70808</v>
      </c>
      <c r="I1498" s="6">
        <v>0.49409141066170598</v>
      </c>
      <c r="J1498" s="1">
        <v>42384.550474537034</v>
      </c>
      <c r="K1498">
        <v>7.99</v>
      </c>
      <c r="L1498" s="6">
        <f>('Pizza Sales Calculations'!$J1498-'Pizza Sales Calculations'!$C1498)*24*60</f>
        <v>2.4666666670236737</v>
      </c>
      <c r="M1498">
        <f>COUNTA('Pizza Sales Calculations'!$D1498:$F1498)</f>
        <v>1</v>
      </c>
      <c r="R1498" s="9">
        <f>IF('Pizza Sales Calculations'!$G1498=TRUE, Parameters!$B$17*'Pizza Sales Calculations'!$L1498*2, 0)</f>
        <v>0.69888888899004087</v>
      </c>
      <c r="T1498" s="6"/>
      <c r="U1498" s="9"/>
    </row>
    <row r="1499" spans="1:21" x14ac:dyDescent="0.2">
      <c r="A1499">
        <v>1498</v>
      </c>
      <c r="B1499" s="1">
        <v>42384.520624999997</v>
      </c>
      <c r="C1499" s="1">
        <v>42384.531030092592</v>
      </c>
      <c r="D1499" t="s">
        <v>35</v>
      </c>
      <c r="G1499" t="b">
        <v>0</v>
      </c>
      <c r="H1499">
        <v>70804</v>
      </c>
      <c r="I1499" s="6">
        <v>0</v>
      </c>
      <c r="J1499" s="1">
        <v>42384.533113425925</v>
      </c>
      <c r="K1499">
        <v>15.35</v>
      </c>
      <c r="L1499" s="6">
        <f>('Pizza Sales Calculations'!$J1499-'Pizza Sales Calculations'!$C1499)*24*60</f>
        <v>2.9999999993015081</v>
      </c>
      <c r="M1499">
        <f>COUNTA('Pizza Sales Calculations'!$D1499:$F1499)</f>
        <v>1</v>
      </c>
      <c r="R1499" s="9">
        <f>IF('Pizza Sales Calculations'!$G1499=TRUE, Parameters!$B$17*'Pizza Sales Calculations'!$L1499*2, 0)</f>
        <v>0</v>
      </c>
      <c r="T1499" s="6"/>
      <c r="U1499" s="9"/>
    </row>
    <row r="1500" spans="1:21" x14ac:dyDescent="0.2">
      <c r="A1500">
        <v>1499</v>
      </c>
      <c r="B1500" s="1">
        <v>42384.492245370369</v>
      </c>
      <c r="C1500" s="1">
        <v>42384.502650462964</v>
      </c>
      <c r="D1500" t="s">
        <v>1</v>
      </c>
      <c r="E1500" t="s">
        <v>35</v>
      </c>
      <c r="G1500" t="b">
        <v>1</v>
      </c>
      <c r="H1500">
        <v>70806</v>
      </c>
      <c r="I1500" s="6">
        <v>3.64231542397917</v>
      </c>
      <c r="J1500" s="1">
        <v>42384.515289351853</v>
      </c>
      <c r="K1500">
        <v>23.34</v>
      </c>
      <c r="L1500" s="6">
        <f>('Pizza Sales Calculations'!$J1500-'Pizza Sales Calculations'!$C1500)*24*60</f>
        <v>18.200000000651926</v>
      </c>
      <c r="M1500">
        <f>COUNTA('Pizza Sales Calculations'!$D1500:$F1500)</f>
        <v>2</v>
      </c>
      <c r="R1500" s="9">
        <f>IF('Pizza Sales Calculations'!$G1500=TRUE, Parameters!$B$17*'Pizza Sales Calculations'!$L1500*2, 0)</f>
        <v>5.156666666851379</v>
      </c>
      <c r="T1500" s="6"/>
      <c r="U1500" s="9"/>
    </row>
    <row r="1501" spans="1:21" x14ac:dyDescent="0.2">
      <c r="A1501">
        <v>1500</v>
      </c>
      <c r="B1501" s="1">
        <v>42384.517291666663</v>
      </c>
      <c r="C1501" s="1">
        <v>42384.527708333335</v>
      </c>
      <c r="D1501" t="s">
        <v>2</v>
      </c>
      <c r="G1501" t="b">
        <v>1</v>
      </c>
      <c r="H1501">
        <v>70804</v>
      </c>
      <c r="I1501" s="6">
        <v>3.8662889003245402</v>
      </c>
      <c r="J1501" s="1">
        <v>42384.541122685187</v>
      </c>
      <c r="K1501">
        <v>11.59</v>
      </c>
      <c r="L1501" s="6">
        <f>('Pizza Sales Calculations'!$J1501-'Pizza Sales Calculations'!$C1501)*24*60</f>
        <v>19.316666666418314</v>
      </c>
      <c r="M1501">
        <f>COUNTA('Pizza Sales Calculations'!$D1501:$F1501)</f>
        <v>1</v>
      </c>
      <c r="R1501" s="9">
        <f>IF('Pizza Sales Calculations'!$G1501=TRUE, Parameters!$B$17*'Pizza Sales Calculations'!$L1501*2, 0)</f>
        <v>5.473055555485189</v>
      </c>
      <c r="T1501" s="6"/>
      <c r="U1501" s="9"/>
    </row>
    <row r="1502" spans="1:21" x14ac:dyDescent="0.2">
      <c r="B1502"/>
      <c r="C1502"/>
      <c r="J1502"/>
      <c r="K1502"/>
      <c r="L1502"/>
    </row>
    <row r="1503" spans="1:21" x14ac:dyDescent="0.2">
      <c r="B1503"/>
      <c r="C1503"/>
      <c r="J1503"/>
      <c r="K1503"/>
      <c r="L1503"/>
    </row>
    <row r="1504" spans="1:21" x14ac:dyDescent="0.2">
      <c r="B1504"/>
      <c r="C1504"/>
      <c r="J1504"/>
      <c r="K1504"/>
      <c r="L1504"/>
    </row>
    <row r="1505" spans="2:12" x14ac:dyDescent="0.2">
      <c r="B1505"/>
      <c r="C1505"/>
      <c r="J1505"/>
      <c r="K1505"/>
      <c r="L1505"/>
    </row>
    <row r="1506" spans="2:12" x14ac:dyDescent="0.2">
      <c r="B1506"/>
      <c r="C1506"/>
      <c r="J1506"/>
      <c r="K1506"/>
      <c r="L1506"/>
    </row>
    <row r="1507" spans="2:12" x14ac:dyDescent="0.2">
      <c r="B1507"/>
      <c r="C1507"/>
      <c r="J1507"/>
      <c r="K1507"/>
      <c r="L1507"/>
    </row>
    <row r="1508" spans="2:12" x14ac:dyDescent="0.2">
      <c r="B1508"/>
      <c r="C1508"/>
      <c r="J1508"/>
      <c r="K1508"/>
      <c r="L1508"/>
    </row>
    <row r="1509" spans="2:12" x14ac:dyDescent="0.2">
      <c r="B1509"/>
      <c r="C1509"/>
      <c r="J1509"/>
      <c r="K1509"/>
      <c r="L1509"/>
    </row>
    <row r="1510" spans="2:12" x14ac:dyDescent="0.2">
      <c r="B1510"/>
      <c r="C1510"/>
      <c r="J1510"/>
      <c r="K1510"/>
      <c r="L1510"/>
    </row>
    <row r="1511" spans="2:12" x14ac:dyDescent="0.2">
      <c r="B1511"/>
      <c r="C1511"/>
      <c r="J1511"/>
      <c r="K1511"/>
      <c r="L1511"/>
    </row>
    <row r="1512" spans="2:12" x14ac:dyDescent="0.2">
      <c r="B1512"/>
      <c r="C1512"/>
      <c r="J1512"/>
      <c r="K1512"/>
      <c r="L1512"/>
    </row>
    <row r="1513" spans="2:12" x14ac:dyDescent="0.2">
      <c r="B1513"/>
      <c r="C1513"/>
      <c r="J1513"/>
      <c r="K1513"/>
      <c r="L1513"/>
    </row>
    <row r="1514" spans="2:12" x14ac:dyDescent="0.2">
      <c r="B1514"/>
      <c r="C1514"/>
      <c r="J1514"/>
      <c r="K1514"/>
      <c r="L1514"/>
    </row>
    <row r="1515" spans="2:12" x14ac:dyDescent="0.2">
      <c r="B1515"/>
      <c r="C1515"/>
      <c r="J1515"/>
      <c r="K1515"/>
      <c r="L1515"/>
    </row>
    <row r="1516" spans="2:12" x14ac:dyDescent="0.2">
      <c r="B1516"/>
      <c r="C1516"/>
      <c r="J1516"/>
      <c r="K1516"/>
      <c r="L1516"/>
    </row>
    <row r="1517" spans="2:12" x14ac:dyDescent="0.2">
      <c r="B1517"/>
      <c r="C1517"/>
      <c r="J1517"/>
      <c r="K1517"/>
      <c r="L1517"/>
    </row>
    <row r="1518" spans="2:12" x14ac:dyDescent="0.2">
      <c r="B1518"/>
      <c r="C1518"/>
      <c r="J1518"/>
      <c r="K1518"/>
      <c r="L1518"/>
    </row>
    <row r="1519" spans="2:12" x14ac:dyDescent="0.2">
      <c r="B1519"/>
      <c r="C1519"/>
      <c r="J1519"/>
      <c r="K1519"/>
      <c r="L1519"/>
    </row>
    <row r="1520" spans="2:12" x14ac:dyDescent="0.2">
      <c r="B1520"/>
      <c r="C1520"/>
      <c r="J1520"/>
      <c r="K1520"/>
      <c r="L1520"/>
    </row>
    <row r="1521" spans="2:12" x14ac:dyDescent="0.2">
      <c r="B1521"/>
      <c r="C1521"/>
      <c r="J1521"/>
      <c r="K1521"/>
      <c r="L1521"/>
    </row>
    <row r="1522" spans="2:12" x14ac:dyDescent="0.2">
      <c r="B1522"/>
      <c r="C1522"/>
      <c r="J1522"/>
      <c r="K1522"/>
      <c r="L1522"/>
    </row>
    <row r="1523" spans="2:12" x14ac:dyDescent="0.2">
      <c r="B1523"/>
      <c r="C1523"/>
      <c r="J1523"/>
      <c r="K1523"/>
      <c r="L1523"/>
    </row>
    <row r="1524" spans="2:12" x14ac:dyDescent="0.2">
      <c r="B1524"/>
      <c r="C1524"/>
      <c r="J1524"/>
      <c r="K1524"/>
      <c r="L1524"/>
    </row>
    <row r="1525" spans="2:12" x14ac:dyDescent="0.2">
      <c r="B1525"/>
      <c r="C1525"/>
      <c r="J1525"/>
      <c r="K1525"/>
      <c r="L1525"/>
    </row>
    <row r="1526" spans="2:12" x14ac:dyDescent="0.2">
      <c r="B1526"/>
      <c r="C1526"/>
      <c r="J1526"/>
      <c r="K1526"/>
      <c r="L1526"/>
    </row>
    <row r="1527" spans="2:12" x14ac:dyDescent="0.2">
      <c r="B1527"/>
      <c r="C1527"/>
      <c r="J1527"/>
      <c r="K1527"/>
      <c r="L1527"/>
    </row>
    <row r="1528" spans="2:12" x14ac:dyDescent="0.2">
      <c r="B1528"/>
      <c r="C1528"/>
      <c r="J1528"/>
      <c r="K1528"/>
      <c r="L1528"/>
    </row>
    <row r="1529" spans="2:12" x14ac:dyDescent="0.2">
      <c r="B1529"/>
      <c r="C1529"/>
      <c r="J1529"/>
      <c r="K1529"/>
      <c r="L1529"/>
    </row>
    <row r="1530" spans="2:12" x14ac:dyDescent="0.2">
      <c r="B1530"/>
      <c r="C1530"/>
      <c r="J1530"/>
      <c r="K1530"/>
      <c r="L1530"/>
    </row>
    <row r="1531" spans="2:12" x14ac:dyDescent="0.2">
      <c r="B1531"/>
      <c r="C1531"/>
      <c r="J1531"/>
      <c r="K1531"/>
      <c r="L1531"/>
    </row>
    <row r="1532" spans="2:12" x14ac:dyDescent="0.2">
      <c r="B1532"/>
      <c r="C1532"/>
      <c r="J1532"/>
      <c r="K1532"/>
      <c r="L1532"/>
    </row>
    <row r="1533" spans="2:12" x14ac:dyDescent="0.2">
      <c r="B1533"/>
      <c r="C1533"/>
      <c r="J1533"/>
      <c r="K1533"/>
      <c r="L1533"/>
    </row>
    <row r="1534" spans="2:12" x14ac:dyDescent="0.2">
      <c r="B1534"/>
      <c r="C1534"/>
      <c r="J1534"/>
      <c r="K1534"/>
      <c r="L1534"/>
    </row>
    <row r="1535" spans="2:12" x14ac:dyDescent="0.2">
      <c r="B1535"/>
      <c r="C1535"/>
      <c r="J1535"/>
      <c r="K1535"/>
      <c r="L1535"/>
    </row>
    <row r="1536" spans="2:12" x14ac:dyDescent="0.2">
      <c r="B1536"/>
      <c r="C1536"/>
      <c r="J1536"/>
      <c r="K1536"/>
      <c r="L1536"/>
    </row>
    <row r="1537" spans="2:12" x14ac:dyDescent="0.2">
      <c r="B1537"/>
      <c r="C1537"/>
      <c r="J1537"/>
      <c r="K1537"/>
      <c r="L1537"/>
    </row>
    <row r="1538" spans="2:12" x14ac:dyDescent="0.2">
      <c r="B1538"/>
      <c r="C1538"/>
      <c r="J1538"/>
      <c r="K1538"/>
      <c r="L1538"/>
    </row>
    <row r="1539" spans="2:12" x14ac:dyDescent="0.2">
      <c r="B1539"/>
      <c r="C1539"/>
      <c r="J1539"/>
      <c r="K1539"/>
      <c r="L1539"/>
    </row>
    <row r="1540" spans="2:12" x14ac:dyDescent="0.2">
      <c r="B1540"/>
      <c r="C1540"/>
      <c r="J1540"/>
      <c r="K1540"/>
      <c r="L1540"/>
    </row>
    <row r="1541" spans="2:12" x14ac:dyDescent="0.2">
      <c r="B1541"/>
      <c r="C1541"/>
      <c r="J1541"/>
      <c r="K1541"/>
      <c r="L1541"/>
    </row>
    <row r="1542" spans="2:12" x14ac:dyDescent="0.2">
      <c r="B1542"/>
      <c r="C1542"/>
      <c r="J1542"/>
      <c r="K1542"/>
      <c r="L1542"/>
    </row>
    <row r="1543" spans="2:12" x14ac:dyDescent="0.2">
      <c r="B1543"/>
      <c r="C1543"/>
      <c r="J1543"/>
      <c r="K1543"/>
      <c r="L1543"/>
    </row>
    <row r="1544" spans="2:12" x14ac:dyDescent="0.2">
      <c r="B1544"/>
      <c r="C1544"/>
      <c r="J1544"/>
      <c r="K1544"/>
      <c r="L1544"/>
    </row>
    <row r="1545" spans="2:12" x14ac:dyDescent="0.2">
      <c r="B1545"/>
      <c r="C1545"/>
      <c r="J1545"/>
      <c r="K1545"/>
      <c r="L1545"/>
    </row>
    <row r="1546" spans="2:12" x14ac:dyDescent="0.2">
      <c r="B1546"/>
      <c r="C1546"/>
      <c r="J1546"/>
      <c r="K1546"/>
      <c r="L1546"/>
    </row>
    <row r="1547" spans="2:12" x14ac:dyDescent="0.2">
      <c r="B1547"/>
      <c r="C1547"/>
      <c r="J1547"/>
      <c r="K1547"/>
      <c r="L1547"/>
    </row>
    <row r="1548" spans="2:12" x14ac:dyDescent="0.2">
      <c r="B1548"/>
      <c r="C1548"/>
      <c r="J1548"/>
      <c r="K1548"/>
      <c r="L1548"/>
    </row>
    <row r="1549" spans="2:12" x14ac:dyDescent="0.2">
      <c r="B1549"/>
      <c r="C1549"/>
      <c r="J1549"/>
      <c r="K1549"/>
      <c r="L1549"/>
    </row>
    <row r="1550" spans="2:12" x14ac:dyDescent="0.2">
      <c r="B1550"/>
      <c r="C1550"/>
      <c r="J1550"/>
      <c r="K1550"/>
      <c r="L1550"/>
    </row>
    <row r="1551" spans="2:12" x14ac:dyDescent="0.2">
      <c r="B1551"/>
      <c r="C1551"/>
      <c r="J1551"/>
      <c r="K1551"/>
      <c r="L1551"/>
    </row>
    <row r="1552" spans="2:12" x14ac:dyDescent="0.2">
      <c r="B1552"/>
      <c r="C1552"/>
      <c r="J1552"/>
      <c r="K1552"/>
      <c r="L1552"/>
    </row>
    <row r="1553" spans="2:12" x14ac:dyDescent="0.2">
      <c r="B1553"/>
      <c r="C1553"/>
      <c r="J1553"/>
      <c r="K1553"/>
      <c r="L1553"/>
    </row>
    <row r="1554" spans="2:12" x14ac:dyDescent="0.2">
      <c r="B1554"/>
      <c r="C1554"/>
      <c r="J1554"/>
      <c r="K1554"/>
      <c r="L1554"/>
    </row>
    <row r="1555" spans="2:12" x14ac:dyDescent="0.2">
      <c r="B1555"/>
      <c r="C1555"/>
      <c r="J1555"/>
      <c r="K1555"/>
      <c r="L1555"/>
    </row>
    <row r="1556" spans="2:12" x14ac:dyDescent="0.2">
      <c r="B1556"/>
      <c r="C1556"/>
      <c r="J1556"/>
      <c r="K1556"/>
      <c r="L1556"/>
    </row>
    <row r="1557" spans="2:12" x14ac:dyDescent="0.2">
      <c r="B1557"/>
      <c r="C1557"/>
      <c r="J1557"/>
      <c r="K1557"/>
      <c r="L1557"/>
    </row>
    <row r="1558" spans="2:12" x14ac:dyDescent="0.2">
      <c r="B1558"/>
      <c r="C1558"/>
      <c r="J1558"/>
      <c r="K1558"/>
      <c r="L1558"/>
    </row>
    <row r="1559" spans="2:12" x14ac:dyDescent="0.2">
      <c r="B1559"/>
      <c r="C1559"/>
      <c r="J1559"/>
      <c r="K1559"/>
      <c r="L1559"/>
    </row>
    <row r="1560" spans="2:12" x14ac:dyDescent="0.2">
      <c r="B1560"/>
      <c r="C1560"/>
      <c r="J1560"/>
      <c r="K1560"/>
      <c r="L1560"/>
    </row>
    <row r="1561" spans="2:12" x14ac:dyDescent="0.2">
      <c r="B1561"/>
      <c r="C1561"/>
      <c r="J1561"/>
      <c r="K1561"/>
      <c r="L1561"/>
    </row>
    <row r="1562" spans="2:12" x14ac:dyDescent="0.2">
      <c r="B1562"/>
      <c r="C1562"/>
      <c r="J1562"/>
      <c r="K1562"/>
      <c r="L1562"/>
    </row>
    <row r="1563" spans="2:12" x14ac:dyDescent="0.2">
      <c r="B1563"/>
      <c r="C1563"/>
      <c r="J1563"/>
      <c r="K1563"/>
      <c r="L1563"/>
    </row>
    <row r="1564" spans="2:12" x14ac:dyDescent="0.2">
      <c r="B1564"/>
      <c r="C1564"/>
      <c r="J1564"/>
      <c r="K1564"/>
      <c r="L1564"/>
    </row>
    <row r="1565" spans="2:12" x14ac:dyDescent="0.2">
      <c r="B1565"/>
      <c r="C1565"/>
      <c r="J1565"/>
      <c r="K1565"/>
      <c r="L1565"/>
    </row>
    <row r="1566" spans="2:12" x14ac:dyDescent="0.2">
      <c r="B1566"/>
      <c r="C1566"/>
      <c r="J1566"/>
      <c r="K1566"/>
      <c r="L1566"/>
    </row>
    <row r="1567" spans="2:12" x14ac:dyDescent="0.2">
      <c r="B1567"/>
      <c r="C1567"/>
      <c r="J1567"/>
      <c r="K1567"/>
      <c r="L1567"/>
    </row>
    <row r="1568" spans="2:12" x14ac:dyDescent="0.2">
      <c r="B1568"/>
      <c r="C1568"/>
      <c r="J1568"/>
      <c r="K1568"/>
      <c r="L1568"/>
    </row>
    <row r="1569" spans="2:12" x14ac:dyDescent="0.2">
      <c r="B1569"/>
      <c r="C1569"/>
      <c r="J1569"/>
      <c r="K1569"/>
      <c r="L1569"/>
    </row>
    <row r="1570" spans="2:12" x14ac:dyDescent="0.2">
      <c r="B1570"/>
      <c r="C1570"/>
      <c r="J1570"/>
      <c r="K1570"/>
      <c r="L1570"/>
    </row>
    <row r="1571" spans="2:12" x14ac:dyDescent="0.2">
      <c r="B1571"/>
      <c r="C1571"/>
      <c r="J1571"/>
      <c r="K1571"/>
      <c r="L1571"/>
    </row>
    <row r="1572" spans="2:12" x14ac:dyDescent="0.2">
      <c r="B1572"/>
      <c r="C1572"/>
      <c r="J1572"/>
      <c r="K1572"/>
      <c r="L1572"/>
    </row>
    <row r="1573" spans="2:12" x14ac:dyDescent="0.2">
      <c r="B1573"/>
      <c r="C1573"/>
      <c r="J1573"/>
      <c r="K1573"/>
      <c r="L1573"/>
    </row>
    <row r="1574" spans="2:12" x14ac:dyDescent="0.2">
      <c r="B1574"/>
      <c r="C1574"/>
      <c r="J1574"/>
      <c r="K1574"/>
      <c r="L1574"/>
    </row>
    <row r="1575" spans="2:12" x14ac:dyDescent="0.2">
      <c r="B1575"/>
      <c r="C1575"/>
      <c r="J1575"/>
      <c r="K1575"/>
      <c r="L1575"/>
    </row>
    <row r="1576" spans="2:12" x14ac:dyDescent="0.2">
      <c r="B1576"/>
      <c r="C1576"/>
      <c r="J1576"/>
      <c r="K1576"/>
      <c r="L1576"/>
    </row>
    <row r="1577" spans="2:12" x14ac:dyDescent="0.2">
      <c r="B1577"/>
      <c r="C1577"/>
      <c r="J1577"/>
      <c r="K1577"/>
      <c r="L1577"/>
    </row>
    <row r="1578" spans="2:12" x14ac:dyDescent="0.2">
      <c r="B1578"/>
      <c r="C1578"/>
      <c r="J1578"/>
      <c r="K1578"/>
      <c r="L1578"/>
    </row>
    <row r="1579" spans="2:12" x14ac:dyDescent="0.2">
      <c r="B1579"/>
      <c r="C1579"/>
      <c r="J1579"/>
      <c r="K1579"/>
      <c r="L1579"/>
    </row>
    <row r="1580" spans="2:12" x14ac:dyDescent="0.2">
      <c r="B1580"/>
      <c r="C1580"/>
      <c r="J1580"/>
      <c r="K1580"/>
      <c r="L1580"/>
    </row>
    <row r="1581" spans="2:12" x14ac:dyDescent="0.2">
      <c r="B1581"/>
      <c r="C1581"/>
      <c r="J1581"/>
      <c r="K1581"/>
      <c r="L1581"/>
    </row>
    <row r="1582" spans="2:12" x14ac:dyDescent="0.2">
      <c r="B1582"/>
      <c r="C1582"/>
      <c r="J1582"/>
      <c r="K1582"/>
      <c r="L1582"/>
    </row>
    <row r="1583" spans="2:12" x14ac:dyDescent="0.2">
      <c r="B1583"/>
      <c r="C1583"/>
      <c r="J1583"/>
      <c r="K1583"/>
      <c r="L1583"/>
    </row>
    <row r="1584" spans="2:12" x14ac:dyDescent="0.2">
      <c r="B1584"/>
      <c r="C1584"/>
      <c r="J1584"/>
      <c r="K1584"/>
      <c r="L1584"/>
    </row>
    <row r="1585" spans="2:12" x14ac:dyDescent="0.2">
      <c r="B1585"/>
      <c r="C1585"/>
      <c r="J1585"/>
      <c r="K1585"/>
      <c r="L1585"/>
    </row>
    <row r="1586" spans="2:12" x14ac:dyDescent="0.2">
      <c r="B1586"/>
      <c r="C1586"/>
      <c r="J1586"/>
      <c r="K1586"/>
      <c r="L1586"/>
    </row>
    <row r="1587" spans="2:12" x14ac:dyDescent="0.2">
      <c r="B1587"/>
      <c r="C1587"/>
      <c r="J1587"/>
      <c r="K1587"/>
      <c r="L1587"/>
    </row>
    <row r="1588" spans="2:12" x14ac:dyDescent="0.2">
      <c r="B1588"/>
      <c r="C1588"/>
      <c r="J1588"/>
      <c r="K1588"/>
      <c r="L1588"/>
    </row>
    <row r="1589" spans="2:12" x14ac:dyDescent="0.2">
      <c r="B1589"/>
      <c r="C1589"/>
      <c r="J1589"/>
      <c r="K1589"/>
      <c r="L1589"/>
    </row>
    <row r="1590" spans="2:12" x14ac:dyDescent="0.2">
      <c r="B1590"/>
      <c r="C1590"/>
      <c r="J1590"/>
      <c r="K1590"/>
      <c r="L1590"/>
    </row>
    <row r="1591" spans="2:12" x14ac:dyDescent="0.2">
      <c r="B1591"/>
      <c r="C1591"/>
      <c r="J1591"/>
      <c r="K1591"/>
      <c r="L1591"/>
    </row>
    <row r="1592" spans="2:12" x14ac:dyDescent="0.2">
      <c r="B1592"/>
      <c r="C1592"/>
      <c r="J1592"/>
      <c r="K1592"/>
      <c r="L1592"/>
    </row>
    <row r="1593" spans="2:12" x14ac:dyDescent="0.2">
      <c r="B1593"/>
      <c r="C1593"/>
      <c r="J1593"/>
      <c r="K1593"/>
      <c r="L1593"/>
    </row>
    <row r="1594" spans="2:12" x14ac:dyDescent="0.2">
      <c r="B1594"/>
      <c r="C1594"/>
      <c r="J1594"/>
      <c r="K1594"/>
      <c r="L1594"/>
    </row>
    <row r="1595" spans="2:12" x14ac:dyDescent="0.2">
      <c r="B1595"/>
      <c r="C1595"/>
      <c r="J1595"/>
      <c r="K1595"/>
      <c r="L1595"/>
    </row>
    <row r="1596" spans="2:12" x14ac:dyDescent="0.2">
      <c r="B1596"/>
      <c r="C1596"/>
      <c r="J1596"/>
      <c r="K1596"/>
      <c r="L1596"/>
    </row>
    <row r="1597" spans="2:12" x14ac:dyDescent="0.2">
      <c r="B1597"/>
      <c r="C1597"/>
      <c r="J1597"/>
      <c r="K1597"/>
      <c r="L1597"/>
    </row>
    <row r="1598" spans="2:12" x14ac:dyDescent="0.2">
      <c r="B1598"/>
      <c r="C1598"/>
      <c r="J1598"/>
      <c r="K1598"/>
      <c r="L1598"/>
    </row>
    <row r="1599" spans="2:12" x14ac:dyDescent="0.2">
      <c r="B1599"/>
      <c r="C1599"/>
      <c r="J1599"/>
      <c r="K1599"/>
      <c r="L1599"/>
    </row>
    <row r="1600" spans="2:12" x14ac:dyDescent="0.2">
      <c r="B1600"/>
      <c r="C1600"/>
      <c r="J1600"/>
      <c r="K1600"/>
      <c r="L1600"/>
    </row>
    <row r="1601" spans="2:12" x14ac:dyDescent="0.2">
      <c r="B1601"/>
      <c r="C1601"/>
      <c r="J1601"/>
      <c r="K1601"/>
      <c r="L1601"/>
    </row>
    <row r="1602" spans="2:12" x14ac:dyDescent="0.2">
      <c r="B1602"/>
      <c r="C1602"/>
      <c r="J1602"/>
      <c r="K1602"/>
      <c r="L1602"/>
    </row>
    <row r="1603" spans="2:12" x14ac:dyDescent="0.2">
      <c r="B1603"/>
      <c r="C1603"/>
      <c r="J1603"/>
      <c r="K1603"/>
      <c r="L1603"/>
    </row>
    <row r="1604" spans="2:12" x14ac:dyDescent="0.2">
      <c r="B1604"/>
      <c r="C1604"/>
      <c r="J1604"/>
      <c r="K1604"/>
      <c r="L1604"/>
    </row>
    <row r="1605" spans="2:12" x14ac:dyDescent="0.2">
      <c r="B1605"/>
      <c r="C1605"/>
      <c r="J1605"/>
      <c r="K1605"/>
      <c r="L1605"/>
    </row>
    <row r="1606" spans="2:12" x14ac:dyDescent="0.2">
      <c r="B1606"/>
      <c r="C1606"/>
      <c r="J1606"/>
      <c r="K1606"/>
      <c r="L1606"/>
    </row>
    <row r="1607" spans="2:12" x14ac:dyDescent="0.2">
      <c r="B1607"/>
      <c r="C1607"/>
      <c r="J1607"/>
      <c r="K1607"/>
      <c r="L1607"/>
    </row>
    <row r="1608" spans="2:12" x14ac:dyDescent="0.2">
      <c r="B1608"/>
      <c r="C1608"/>
      <c r="J1608"/>
      <c r="K1608"/>
      <c r="L1608"/>
    </row>
    <row r="1609" spans="2:12" x14ac:dyDescent="0.2">
      <c r="B1609"/>
      <c r="C1609"/>
      <c r="J1609"/>
      <c r="K1609"/>
      <c r="L1609"/>
    </row>
    <row r="1610" spans="2:12" x14ac:dyDescent="0.2">
      <c r="B1610"/>
      <c r="C1610"/>
      <c r="J1610"/>
      <c r="K1610"/>
      <c r="L1610"/>
    </row>
    <row r="1611" spans="2:12" x14ac:dyDescent="0.2">
      <c r="B1611"/>
      <c r="C1611"/>
      <c r="J1611"/>
      <c r="K1611"/>
      <c r="L1611"/>
    </row>
    <row r="1612" spans="2:12" x14ac:dyDescent="0.2">
      <c r="B1612"/>
      <c r="C1612"/>
      <c r="J1612"/>
      <c r="K1612"/>
      <c r="L1612"/>
    </row>
    <row r="1613" spans="2:12" x14ac:dyDescent="0.2">
      <c r="B1613"/>
      <c r="C1613"/>
      <c r="J1613"/>
      <c r="K1613"/>
      <c r="L1613"/>
    </row>
    <row r="1614" spans="2:12" x14ac:dyDescent="0.2">
      <c r="B1614"/>
      <c r="C1614"/>
      <c r="J1614"/>
      <c r="K1614"/>
      <c r="L1614"/>
    </row>
    <row r="1615" spans="2:12" x14ac:dyDescent="0.2">
      <c r="B1615"/>
      <c r="C1615"/>
      <c r="J1615"/>
      <c r="K1615"/>
      <c r="L1615"/>
    </row>
    <row r="1616" spans="2:12" x14ac:dyDescent="0.2">
      <c r="B1616"/>
      <c r="C1616"/>
      <c r="J1616"/>
      <c r="K1616"/>
      <c r="L1616"/>
    </row>
    <row r="1617" spans="2:12" x14ac:dyDescent="0.2">
      <c r="B1617"/>
      <c r="C1617"/>
      <c r="J1617"/>
      <c r="K1617"/>
      <c r="L1617"/>
    </row>
    <row r="1618" spans="2:12" x14ac:dyDescent="0.2">
      <c r="B1618"/>
      <c r="C1618"/>
      <c r="J1618"/>
      <c r="K1618"/>
      <c r="L1618"/>
    </row>
    <row r="1619" spans="2:12" x14ac:dyDescent="0.2">
      <c r="B1619"/>
      <c r="C1619"/>
      <c r="J1619"/>
      <c r="K1619"/>
      <c r="L1619"/>
    </row>
    <row r="1620" spans="2:12" x14ac:dyDescent="0.2">
      <c r="B1620"/>
      <c r="C1620"/>
      <c r="J1620"/>
      <c r="K1620"/>
      <c r="L1620"/>
    </row>
    <row r="1621" spans="2:12" x14ac:dyDescent="0.2">
      <c r="B1621"/>
      <c r="C1621"/>
      <c r="J1621"/>
      <c r="K1621"/>
      <c r="L1621"/>
    </row>
    <row r="1622" spans="2:12" x14ac:dyDescent="0.2">
      <c r="B1622"/>
      <c r="C1622"/>
      <c r="J1622"/>
      <c r="K1622"/>
      <c r="L1622"/>
    </row>
    <row r="1623" spans="2:12" x14ac:dyDescent="0.2">
      <c r="B1623"/>
      <c r="C1623"/>
      <c r="J1623"/>
      <c r="K1623"/>
      <c r="L1623"/>
    </row>
    <row r="1624" spans="2:12" x14ac:dyDescent="0.2">
      <c r="B1624"/>
      <c r="C1624"/>
      <c r="J1624"/>
      <c r="K1624"/>
      <c r="L1624"/>
    </row>
    <row r="1625" spans="2:12" x14ac:dyDescent="0.2">
      <c r="B1625"/>
      <c r="C1625"/>
      <c r="J1625"/>
      <c r="K1625"/>
      <c r="L1625"/>
    </row>
    <row r="1626" spans="2:12" x14ac:dyDescent="0.2">
      <c r="B1626"/>
      <c r="C1626"/>
      <c r="J1626"/>
      <c r="K1626"/>
      <c r="L1626"/>
    </row>
    <row r="1627" spans="2:12" x14ac:dyDescent="0.2">
      <c r="B1627"/>
      <c r="C1627"/>
      <c r="J1627"/>
      <c r="K1627"/>
      <c r="L1627"/>
    </row>
    <row r="1628" spans="2:12" x14ac:dyDescent="0.2">
      <c r="B1628"/>
      <c r="C1628"/>
      <c r="J1628"/>
      <c r="K1628"/>
      <c r="L1628"/>
    </row>
    <row r="1629" spans="2:12" x14ac:dyDescent="0.2">
      <c r="B1629"/>
      <c r="C1629"/>
      <c r="J1629"/>
      <c r="K1629"/>
      <c r="L1629"/>
    </row>
    <row r="1630" spans="2:12" x14ac:dyDescent="0.2">
      <c r="B1630"/>
      <c r="C1630"/>
      <c r="J1630"/>
      <c r="K1630"/>
      <c r="L1630"/>
    </row>
    <row r="1631" spans="2:12" x14ac:dyDescent="0.2">
      <c r="B1631"/>
      <c r="C1631"/>
      <c r="J1631"/>
      <c r="K1631"/>
      <c r="L1631"/>
    </row>
    <row r="1632" spans="2:12" x14ac:dyDescent="0.2">
      <c r="B1632"/>
      <c r="C1632"/>
      <c r="J1632"/>
      <c r="K1632"/>
      <c r="L1632"/>
    </row>
    <row r="1633" spans="2:12" x14ac:dyDescent="0.2">
      <c r="B1633"/>
      <c r="C1633"/>
      <c r="J1633"/>
      <c r="K1633"/>
      <c r="L1633"/>
    </row>
    <row r="1634" spans="2:12" x14ac:dyDescent="0.2">
      <c r="B1634"/>
      <c r="C1634"/>
      <c r="J1634"/>
      <c r="K1634"/>
      <c r="L1634"/>
    </row>
    <row r="1635" spans="2:12" x14ac:dyDescent="0.2">
      <c r="B1635"/>
      <c r="C1635"/>
      <c r="J1635"/>
      <c r="K1635"/>
      <c r="L1635"/>
    </row>
    <row r="1636" spans="2:12" x14ac:dyDescent="0.2">
      <c r="B1636"/>
      <c r="C1636"/>
      <c r="J1636"/>
      <c r="K1636"/>
      <c r="L1636"/>
    </row>
    <row r="1637" spans="2:12" x14ac:dyDescent="0.2">
      <c r="B1637"/>
      <c r="C1637"/>
      <c r="J1637"/>
      <c r="K1637"/>
      <c r="L1637"/>
    </row>
    <row r="1638" spans="2:12" x14ac:dyDescent="0.2">
      <c r="B1638"/>
      <c r="C1638"/>
      <c r="J1638"/>
      <c r="K1638"/>
      <c r="L1638"/>
    </row>
    <row r="1639" spans="2:12" x14ac:dyDescent="0.2">
      <c r="B1639"/>
      <c r="C1639"/>
      <c r="J1639"/>
      <c r="K1639"/>
      <c r="L1639"/>
    </row>
    <row r="1640" spans="2:12" x14ac:dyDescent="0.2">
      <c r="B1640"/>
      <c r="C1640"/>
      <c r="J1640"/>
      <c r="K1640"/>
      <c r="L1640"/>
    </row>
    <row r="1641" spans="2:12" x14ac:dyDescent="0.2">
      <c r="B1641"/>
      <c r="C1641"/>
      <c r="J1641"/>
      <c r="K1641"/>
      <c r="L1641"/>
    </row>
    <row r="1642" spans="2:12" x14ac:dyDescent="0.2">
      <c r="B1642"/>
      <c r="C1642"/>
      <c r="J1642"/>
      <c r="K1642"/>
      <c r="L1642"/>
    </row>
    <row r="1643" spans="2:12" x14ac:dyDescent="0.2">
      <c r="B1643"/>
      <c r="C1643"/>
      <c r="J1643"/>
      <c r="K1643"/>
      <c r="L1643"/>
    </row>
    <row r="1644" spans="2:12" x14ac:dyDescent="0.2">
      <c r="B1644"/>
      <c r="C1644"/>
      <c r="J1644"/>
      <c r="K1644"/>
      <c r="L1644"/>
    </row>
    <row r="1645" spans="2:12" x14ac:dyDescent="0.2">
      <c r="B1645"/>
      <c r="C1645"/>
      <c r="J1645"/>
      <c r="K1645"/>
      <c r="L1645"/>
    </row>
    <row r="1646" spans="2:12" x14ac:dyDescent="0.2">
      <c r="B1646"/>
      <c r="C1646"/>
      <c r="J1646"/>
      <c r="K1646"/>
      <c r="L1646"/>
    </row>
    <row r="1647" spans="2:12" x14ac:dyDescent="0.2">
      <c r="B1647"/>
      <c r="C1647"/>
      <c r="J1647"/>
      <c r="K1647"/>
      <c r="L1647"/>
    </row>
    <row r="1648" spans="2:12" x14ac:dyDescent="0.2">
      <c r="B1648"/>
      <c r="C1648"/>
      <c r="J1648"/>
      <c r="K1648"/>
      <c r="L1648"/>
    </row>
    <row r="1649" spans="2:12" x14ac:dyDescent="0.2">
      <c r="B1649"/>
      <c r="C1649"/>
      <c r="J1649"/>
      <c r="K1649"/>
      <c r="L1649"/>
    </row>
    <row r="1650" spans="2:12" x14ac:dyDescent="0.2">
      <c r="B1650"/>
      <c r="C1650"/>
      <c r="J1650"/>
      <c r="K1650"/>
      <c r="L1650"/>
    </row>
    <row r="1651" spans="2:12" x14ac:dyDescent="0.2">
      <c r="B1651"/>
      <c r="C1651"/>
      <c r="J1651"/>
      <c r="K1651"/>
      <c r="L1651"/>
    </row>
    <row r="1652" spans="2:12" x14ac:dyDescent="0.2">
      <c r="B1652"/>
      <c r="C1652"/>
      <c r="J1652"/>
      <c r="K1652"/>
      <c r="L1652"/>
    </row>
    <row r="1653" spans="2:12" x14ac:dyDescent="0.2">
      <c r="B1653"/>
      <c r="C1653"/>
      <c r="J1653"/>
      <c r="K1653"/>
      <c r="L1653"/>
    </row>
    <row r="1654" spans="2:12" x14ac:dyDescent="0.2">
      <c r="B1654"/>
      <c r="C1654"/>
      <c r="J1654"/>
      <c r="K1654"/>
      <c r="L1654"/>
    </row>
    <row r="1655" spans="2:12" x14ac:dyDescent="0.2">
      <c r="B1655"/>
      <c r="C1655"/>
      <c r="J1655"/>
      <c r="K1655"/>
      <c r="L1655"/>
    </row>
    <row r="1656" spans="2:12" x14ac:dyDescent="0.2">
      <c r="B1656"/>
      <c r="C1656"/>
      <c r="J1656"/>
      <c r="K1656"/>
      <c r="L1656"/>
    </row>
    <row r="1657" spans="2:12" x14ac:dyDescent="0.2">
      <c r="B1657"/>
      <c r="C1657"/>
      <c r="J1657"/>
      <c r="K1657"/>
      <c r="L1657"/>
    </row>
    <row r="1658" spans="2:12" x14ac:dyDescent="0.2">
      <c r="B1658"/>
      <c r="C1658"/>
      <c r="J1658"/>
      <c r="K1658"/>
      <c r="L1658"/>
    </row>
    <row r="1659" spans="2:12" x14ac:dyDescent="0.2">
      <c r="B1659"/>
      <c r="C1659"/>
      <c r="J1659"/>
      <c r="K1659"/>
      <c r="L1659"/>
    </row>
    <row r="1660" spans="2:12" x14ac:dyDescent="0.2">
      <c r="B1660"/>
      <c r="C1660"/>
      <c r="J1660"/>
      <c r="K1660"/>
      <c r="L1660"/>
    </row>
    <row r="1661" spans="2:12" x14ac:dyDescent="0.2">
      <c r="B1661"/>
      <c r="C1661"/>
      <c r="J1661"/>
      <c r="K1661"/>
      <c r="L1661"/>
    </row>
    <row r="1662" spans="2:12" x14ac:dyDescent="0.2">
      <c r="B1662"/>
      <c r="C1662"/>
      <c r="J1662"/>
      <c r="K1662"/>
      <c r="L1662"/>
    </row>
    <row r="1663" spans="2:12" x14ac:dyDescent="0.2">
      <c r="B1663"/>
      <c r="C1663"/>
      <c r="J1663"/>
      <c r="K1663"/>
      <c r="L1663"/>
    </row>
    <row r="1664" spans="2:12" x14ac:dyDescent="0.2">
      <c r="B1664"/>
      <c r="C1664"/>
      <c r="J1664"/>
      <c r="K1664"/>
      <c r="L1664"/>
    </row>
    <row r="1665" spans="2:12" x14ac:dyDescent="0.2">
      <c r="B1665"/>
      <c r="C1665"/>
      <c r="J1665"/>
      <c r="K1665"/>
      <c r="L1665"/>
    </row>
    <row r="1666" spans="2:12" x14ac:dyDescent="0.2">
      <c r="B1666"/>
      <c r="C1666"/>
      <c r="J1666"/>
      <c r="K1666"/>
      <c r="L1666"/>
    </row>
    <row r="1667" spans="2:12" x14ac:dyDescent="0.2">
      <c r="B1667"/>
      <c r="C1667"/>
      <c r="J1667"/>
      <c r="K1667"/>
      <c r="L1667"/>
    </row>
    <row r="1668" spans="2:12" x14ac:dyDescent="0.2">
      <c r="B1668"/>
      <c r="C1668"/>
      <c r="J1668"/>
      <c r="K1668"/>
      <c r="L1668"/>
    </row>
    <row r="1669" spans="2:12" x14ac:dyDescent="0.2">
      <c r="B1669"/>
      <c r="C1669"/>
      <c r="J1669"/>
      <c r="K1669"/>
      <c r="L1669"/>
    </row>
    <row r="1670" spans="2:12" x14ac:dyDescent="0.2">
      <c r="B1670"/>
      <c r="C1670"/>
      <c r="J1670"/>
      <c r="K1670"/>
      <c r="L1670"/>
    </row>
    <row r="1671" spans="2:12" x14ac:dyDescent="0.2">
      <c r="B1671"/>
      <c r="C1671"/>
      <c r="J1671"/>
      <c r="K1671"/>
      <c r="L1671"/>
    </row>
    <row r="1672" spans="2:12" x14ac:dyDescent="0.2">
      <c r="B1672"/>
      <c r="C1672"/>
      <c r="J1672"/>
      <c r="K1672"/>
      <c r="L1672"/>
    </row>
    <row r="1673" spans="2:12" x14ac:dyDescent="0.2">
      <c r="B1673"/>
      <c r="C1673"/>
      <c r="J1673"/>
      <c r="K1673"/>
      <c r="L1673"/>
    </row>
    <row r="1674" spans="2:12" x14ac:dyDescent="0.2">
      <c r="B1674"/>
      <c r="C1674"/>
      <c r="J1674"/>
      <c r="K1674"/>
      <c r="L1674"/>
    </row>
    <row r="1675" spans="2:12" x14ac:dyDescent="0.2">
      <c r="B1675"/>
      <c r="C1675"/>
      <c r="J1675"/>
      <c r="K1675"/>
      <c r="L1675"/>
    </row>
    <row r="1676" spans="2:12" x14ac:dyDescent="0.2">
      <c r="B1676"/>
      <c r="C1676"/>
      <c r="J1676"/>
      <c r="K1676"/>
      <c r="L1676"/>
    </row>
    <row r="1677" spans="2:12" x14ac:dyDescent="0.2">
      <c r="B1677"/>
      <c r="C1677"/>
      <c r="J1677"/>
      <c r="K1677"/>
      <c r="L1677"/>
    </row>
    <row r="1678" spans="2:12" x14ac:dyDescent="0.2">
      <c r="B1678"/>
      <c r="C1678"/>
      <c r="J1678"/>
      <c r="K1678"/>
      <c r="L1678"/>
    </row>
    <row r="1679" spans="2:12" x14ac:dyDescent="0.2">
      <c r="B1679"/>
      <c r="C1679"/>
      <c r="J1679"/>
      <c r="K1679"/>
      <c r="L1679"/>
    </row>
    <row r="1680" spans="2:12" x14ac:dyDescent="0.2">
      <c r="B1680"/>
      <c r="C1680"/>
      <c r="J1680"/>
      <c r="K1680"/>
      <c r="L1680"/>
    </row>
    <row r="1681" spans="2:12" x14ac:dyDescent="0.2">
      <c r="B1681"/>
      <c r="C1681"/>
      <c r="J1681"/>
      <c r="K1681"/>
      <c r="L1681"/>
    </row>
    <row r="1682" spans="2:12" x14ac:dyDescent="0.2">
      <c r="B1682"/>
      <c r="C1682"/>
      <c r="J1682"/>
      <c r="K1682"/>
      <c r="L1682"/>
    </row>
    <row r="1683" spans="2:12" x14ac:dyDescent="0.2">
      <c r="B1683"/>
      <c r="C1683"/>
      <c r="J1683"/>
      <c r="K1683"/>
      <c r="L1683"/>
    </row>
    <row r="1684" spans="2:12" x14ac:dyDescent="0.2">
      <c r="B1684"/>
      <c r="C1684"/>
      <c r="J1684"/>
      <c r="K1684"/>
      <c r="L1684"/>
    </row>
    <row r="1685" spans="2:12" x14ac:dyDescent="0.2">
      <c r="B1685"/>
      <c r="C1685"/>
      <c r="J1685"/>
      <c r="K1685"/>
      <c r="L1685"/>
    </row>
    <row r="1686" spans="2:12" x14ac:dyDescent="0.2">
      <c r="B1686"/>
      <c r="C1686"/>
      <c r="J1686"/>
      <c r="K1686"/>
      <c r="L1686"/>
    </row>
    <row r="1687" spans="2:12" x14ac:dyDescent="0.2">
      <c r="B1687"/>
      <c r="C1687"/>
      <c r="J1687"/>
      <c r="K1687"/>
      <c r="L1687"/>
    </row>
    <row r="1688" spans="2:12" x14ac:dyDescent="0.2">
      <c r="B1688"/>
      <c r="C1688"/>
      <c r="J1688"/>
      <c r="K1688"/>
      <c r="L1688"/>
    </row>
    <row r="1689" spans="2:12" x14ac:dyDescent="0.2">
      <c r="B1689"/>
      <c r="C1689"/>
      <c r="J1689"/>
      <c r="K1689"/>
      <c r="L1689"/>
    </row>
    <row r="1690" spans="2:12" x14ac:dyDescent="0.2">
      <c r="B1690"/>
      <c r="C1690"/>
      <c r="J1690"/>
      <c r="K1690"/>
      <c r="L1690"/>
    </row>
    <row r="1691" spans="2:12" x14ac:dyDescent="0.2">
      <c r="B1691"/>
      <c r="C1691"/>
      <c r="J1691"/>
      <c r="K1691"/>
      <c r="L1691"/>
    </row>
    <row r="1692" spans="2:12" x14ac:dyDescent="0.2">
      <c r="B1692"/>
      <c r="C1692"/>
      <c r="J1692"/>
      <c r="K1692"/>
      <c r="L1692"/>
    </row>
    <row r="1693" spans="2:12" x14ac:dyDescent="0.2">
      <c r="B1693"/>
      <c r="C1693"/>
      <c r="J1693"/>
      <c r="K1693"/>
      <c r="L1693"/>
    </row>
    <row r="1694" spans="2:12" x14ac:dyDescent="0.2">
      <c r="B1694"/>
      <c r="C1694"/>
      <c r="J1694"/>
      <c r="K1694"/>
      <c r="L1694"/>
    </row>
    <row r="1695" spans="2:12" x14ac:dyDescent="0.2">
      <c r="B1695"/>
      <c r="C1695"/>
      <c r="J1695"/>
      <c r="K1695"/>
      <c r="L1695"/>
    </row>
    <row r="1696" spans="2:12" x14ac:dyDescent="0.2">
      <c r="B1696"/>
      <c r="C1696"/>
      <c r="J1696"/>
      <c r="K1696"/>
      <c r="L1696"/>
    </row>
    <row r="1697" spans="2:12" x14ac:dyDescent="0.2">
      <c r="B1697"/>
      <c r="C1697"/>
      <c r="J1697"/>
      <c r="K1697"/>
      <c r="L1697"/>
    </row>
    <row r="1698" spans="2:12" x14ac:dyDescent="0.2">
      <c r="B1698"/>
      <c r="C1698"/>
      <c r="J1698"/>
      <c r="K1698"/>
      <c r="L1698"/>
    </row>
    <row r="1699" spans="2:12" x14ac:dyDescent="0.2">
      <c r="B1699"/>
      <c r="C1699"/>
      <c r="J1699"/>
      <c r="K1699"/>
      <c r="L1699"/>
    </row>
    <row r="1700" spans="2:12" x14ac:dyDescent="0.2">
      <c r="B1700"/>
      <c r="C1700"/>
      <c r="J1700"/>
      <c r="K1700"/>
      <c r="L1700"/>
    </row>
    <row r="1701" spans="2:12" x14ac:dyDescent="0.2">
      <c r="B1701"/>
      <c r="C1701"/>
      <c r="J1701"/>
      <c r="K1701"/>
      <c r="L1701"/>
    </row>
    <row r="1702" spans="2:12" x14ac:dyDescent="0.2">
      <c r="B1702"/>
      <c r="C1702"/>
      <c r="J1702"/>
      <c r="K1702"/>
      <c r="L1702"/>
    </row>
    <row r="1703" spans="2:12" x14ac:dyDescent="0.2">
      <c r="B1703"/>
      <c r="C1703"/>
      <c r="J1703"/>
      <c r="K1703"/>
      <c r="L1703"/>
    </row>
    <row r="1704" spans="2:12" x14ac:dyDescent="0.2">
      <c r="B1704"/>
      <c r="C1704"/>
      <c r="J1704"/>
      <c r="K1704"/>
      <c r="L1704"/>
    </row>
    <row r="1705" spans="2:12" x14ac:dyDescent="0.2">
      <c r="B1705"/>
      <c r="C1705"/>
      <c r="J1705"/>
      <c r="K1705"/>
      <c r="L1705"/>
    </row>
    <row r="1706" spans="2:12" x14ac:dyDescent="0.2">
      <c r="B1706"/>
      <c r="C1706"/>
      <c r="J1706"/>
      <c r="K1706"/>
      <c r="L1706"/>
    </row>
    <row r="1707" spans="2:12" x14ac:dyDescent="0.2">
      <c r="B1707"/>
      <c r="C1707"/>
      <c r="J1707"/>
      <c r="K1707"/>
      <c r="L1707"/>
    </row>
    <row r="1708" spans="2:12" x14ac:dyDescent="0.2">
      <c r="B1708"/>
      <c r="C1708"/>
      <c r="J1708"/>
      <c r="K1708"/>
      <c r="L1708"/>
    </row>
    <row r="1709" spans="2:12" x14ac:dyDescent="0.2">
      <c r="B1709"/>
      <c r="C1709"/>
      <c r="J1709"/>
      <c r="K1709"/>
      <c r="L1709"/>
    </row>
    <row r="1710" spans="2:12" x14ac:dyDescent="0.2">
      <c r="B1710"/>
      <c r="C1710"/>
      <c r="J1710"/>
      <c r="K1710"/>
      <c r="L1710"/>
    </row>
    <row r="1711" spans="2:12" x14ac:dyDescent="0.2">
      <c r="B1711"/>
      <c r="C1711"/>
      <c r="J1711"/>
      <c r="K1711"/>
      <c r="L1711"/>
    </row>
    <row r="1712" spans="2:12" x14ac:dyDescent="0.2">
      <c r="B1712"/>
      <c r="C1712"/>
      <c r="J1712"/>
      <c r="K1712"/>
      <c r="L1712"/>
    </row>
    <row r="1713" spans="2:12" x14ac:dyDescent="0.2">
      <c r="B1713"/>
      <c r="C1713"/>
      <c r="J1713"/>
      <c r="K1713"/>
      <c r="L1713"/>
    </row>
    <row r="1714" spans="2:12" x14ac:dyDescent="0.2">
      <c r="B1714"/>
      <c r="C1714"/>
      <c r="J1714"/>
      <c r="K1714"/>
      <c r="L1714"/>
    </row>
    <row r="1715" spans="2:12" x14ac:dyDescent="0.2">
      <c r="B1715"/>
      <c r="C1715"/>
      <c r="J1715"/>
      <c r="K1715"/>
      <c r="L1715"/>
    </row>
    <row r="1716" spans="2:12" x14ac:dyDescent="0.2">
      <c r="B1716"/>
      <c r="C1716"/>
      <c r="J1716"/>
      <c r="K1716"/>
      <c r="L1716"/>
    </row>
    <row r="1717" spans="2:12" x14ac:dyDescent="0.2">
      <c r="B1717"/>
      <c r="C1717"/>
      <c r="J1717"/>
      <c r="K1717"/>
      <c r="L1717"/>
    </row>
    <row r="1718" spans="2:12" x14ac:dyDescent="0.2">
      <c r="B1718"/>
      <c r="C1718"/>
      <c r="J1718"/>
      <c r="K1718"/>
      <c r="L1718"/>
    </row>
    <row r="1719" spans="2:12" x14ac:dyDescent="0.2">
      <c r="B1719"/>
      <c r="C1719"/>
      <c r="J1719"/>
      <c r="K1719"/>
      <c r="L1719"/>
    </row>
    <row r="1720" spans="2:12" x14ac:dyDescent="0.2">
      <c r="B1720"/>
      <c r="C1720"/>
      <c r="J1720"/>
      <c r="K1720"/>
      <c r="L1720"/>
    </row>
    <row r="1721" spans="2:12" x14ac:dyDescent="0.2">
      <c r="B1721"/>
      <c r="C1721"/>
      <c r="J1721"/>
      <c r="K1721"/>
      <c r="L1721"/>
    </row>
    <row r="1722" spans="2:12" x14ac:dyDescent="0.2">
      <c r="B1722"/>
      <c r="C1722"/>
      <c r="J1722"/>
      <c r="K1722"/>
      <c r="L1722"/>
    </row>
    <row r="1723" spans="2:12" x14ac:dyDescent="0.2">
      <c r="B1723"/>
      <c r="C1723"/>
      <c r="J1723"/>
      <c r="K1723"/>
      <c r="L1723"/>
    </row>
    <row r="1724" spans="2:12" x14ac:dyDescent="0.2">
      <c r="B1724"/>
      <c r="C1724"/>
      <c r="J1724"/>
      <c r="K1724"/>
      <c r="L1724"/>
    </row>
    <row r="1725" spans="2:12" x14ac:dyDescent="0.2">
      <c r="B1725"/>
      <c r="C1725"/>
      <c r="J1725"/>
      <c r="K1725"/>
      <c r="L1725"/>
    </row>
    <row r="1726" spans="2:12" x14ac:dyDescent="0.2">
      <c r="B1726"/>
      <c r="C1726"/>
      <c r="J1726"/>
      <c r="K1726"/>
      <c r="L1726"/>
    </row>
    <row r="1727" spans="2:12" x14ac:dyDescent="0.2">
      <c r="B1727"/>
      <c r="C1727"/>
      <c r="J1727"/>
      <c r="K1727"/>
      <c r="L1727"/>
    </row>
    <row r="1728" spans="2:12" x14ac:dyDescent="0.2">
      <c r="B1728"/>
      <c r="C1728"/>
      <c r="J1728"/>
      <c r="K1728"/>
      <c r="L1728"/>
    </row>
    <row r="1729" spans="2:12" x14ac:dyDescent="0.2">
      <c r="B1729"/>
      <c r="C1729"/>
      <c r="J1729"/>
      <c r="K1729"/>
      <c r="L1729"/>
    </row>
    <row r="1730" spans="2:12" x14ac:dyDescent="0.2">
      <c r="B1730"/>
      <c r="C1730"/>
      <c r="J1730"/>
      <c r="K1730"/>
      <c r="L1730"/>
    </row>
    <row r="1731" spans="2:12" x14ac:dyDescent="0.2">
      <c r="B1731"/>
      <c r="C1731"/>
      <c r="J1731"/>
      <c r="K1731"/>
      <c r="L1731"/>
    </row>
    <row r="1732" spans="2:12" x14ac:dyDescent="0.2">
      <c r="B1732"/>
      <c r="C1732"/>
      <c r="J1732"/>
      <c r="K1732"/>
      <c r="L1732"/>
    </row>
    <row r="1733" spans="2:12" x14ac:dyDescent="0.2">
      <c r="B1733"/>
      <c r="C1733"/>
      <c r="J1733"/>
      <c r="K1733"/>
      <c r="L1733"/>
    </row>
    <row r="1734" spans="2:12" x14ac:dyDescent="0.2">
      <c r="B1734"/>
      <c r="C1734"/>
      <c r="J1734"/>
      <c r="K1734"/>
      <c r="L1734"/>
    </row>
    <row r="1735" spans="2:12" x14ac:dyDescent="0.2">
      <c r="B1735"/>
      <c r="C1735"/>
      <c r="J1735"/>
      <c r="K1735"/>
      <c r="L1735"/>
    </row>
    <row r="1736" spans="2:12" x14ac:dyDescent="0.2">
      <c r="B1736"/>
      <c r="C1736"/>
      <c r="J1736"/>
      <c r="K1736"/>
      <c r="L1736"/>
    </row>
    <row r="1737" spans="2:12" x14ac:dyDescent="0.2">
      <c r="B1737"/>
      <c r="C1737"/>
      <c r="J1737"/>
      <c r="K1737"/>
      <c r="L1737"/>
    </row>
    <row r="1738" spans="2:12" x14ac:dyDescent="0.2">
      <c r="B1738"/>
      <c r="C1738"/>
      <c r="J1738"/>
      <c r="K1738"/>
      <c r="L1738"/>
    </row>
    <row r="1739" spans="2:12" x14ac:dyDescent="0.2">
      <c r="B1739"/>
      <c r="C1739"/>
      <c r="J1739"/>
      <c r="K1739"/>
      <c r="L1739"/>
    </row>
    <row r="1740" spans="2:12" x14ac:dyDescent="0.2">
      <c r="B1740"/>
      <c r="C1740"/>
      <c r="J1740"/>
      <c r="K1740"/>
      <c r="L1740"/>
    </row>
    <row r="1741" spans="2:12" x14ac:dyDescent="0.2">
      <c r="B1741"/>
      <c r="C1741"/>
      <c r="J1741"/>
      <c r="K1741"/>
      <c r="L1741"/>
    </row>
    <row r="1742" spans="2:12" x14ac:dyDescent="0.2">
      <c r="B1742"/>
      <c r="C1742"/>
      <c r="J1742"/>
      <c r="K1742"/>
      <c r="L1742"/>
    </row>
    <row r="1743" spans="2:12" x14ac:dyDescent="0.2">
      <c r="B1743"/>
      <c r="C1743"/>
      <c r="J1743"/>
      <c r="K1743"/>
      <c r="L1743"/>
    </row>
    <row r="1744" spans="2:12" x14ac:dyDescent="0.2">
      <c r="B1744"/>
      <c r="C1744"/>
      <c r="J1744"/>
      <c r="K1744"/>
      <c r="L1744"/>
    </row>
    <row r="1745" spans="2:12" x14ac:dyDescent="0.2">
      <c r="B1745"/>
      <c r="C1745"/>
      <c r="J1745"/>
      <c r="K1745"/>
      <c r="L1745"/>
    </row>
    <row r="1746" spans="2:12" x14ac:dyDescent="0.2">
      <c r="B1746"/>
      <c r="C1746"/>
      <c r="J1746"/>
      <c r="K1746"/>
      <c r="L1746"/>
    </row>
    <row r="1747" spans="2:12" x14ac:dyDescent="0.2">
      <c r="B1747"/>
      <c r="C1747"/>
      <c r="J1747"/>
      <c r="K1747"/>
      <c r="L1747"/>
    </row>
    <row r="1748" spans="2:12" x14ac:dyDescent="0.2">
      <c r="B1748"/>
      <c r="C1748"/>
      <c r="J1748"/>
      <c r="K1748"/>
      <c r="L1748"/>
    </row>
    <row r="1749" spans="2:12" x14ac:dyDescent="0.2">
      <c r="B1749"/>
      <c r="C1749"/>
      <c r="J1749"/>
      <c r="K1749"/>
      <c r="L1749"/>
    </row>
    <row r="1750" spans="2:12" x14ac:dyDescent="0.2">
      <c r="B1750"/>
      <c r="C1750"/>
      <c r="J1750"/>
      <c r="K1750"/>
      <c r="L1750"/>
    </row>
    <row r="1751" spans="2:12" x14ac:dyDescent="0.2">
      <c r="B1751"/>
      <c r="C1751"/>
      <c r="J1751"/>
      <c r="K1751"/>
      <c r="L1751"/>
    </row>
    <row r="1752" spans="2:12" x14ac:dyDescent="0.2">
      <c r="B1752"/>
      <c r="C1752"/>
      <c r="J1752"/>
      <c r="K1752"/>
      <c r="L1752"/>
    </row>
    <row r="1753" spans="2:12" x14ac:dyDescent="0.2">
      <c r="B1753"/>
      <c r="C1753"/>
      <c r="J1753"/>
      <c r="K1753"/>
      <c r="L1753"/>
    </row>
    <row r="1754" spans="2:12" x14ac:dyDescent="0.2">
      <c r="B1754"/>
      <c r="C1754"/>
      <c r="J1754"/>
      <c r="K1754"/>
      <c r="L1754"/>
    </row>
    <row r="1755" spans="2:12" x14ac:dyDescent="0.2">
      <c r="B1755"/>
      <c r="C1755"/>
      <c r="J1755"/>
      <c r="K1755"/>
      <c r="L1755"/>
    </row>
    <row r="1756" spans="2:12" x14ac:dyDescent="0.2">
      <c r="B1756"/>
      <c r="C1756"/>
      <c r="J1756"/>
      <c r="K1756"/>
      <c r="L1756"/>
    </row>
    <row r="1757" spans="2:12" x14ac:dyDescent="0.2">
      <c r="B1757"/>
      <c r="C1757"/>
      <c r="J1757"/>
      <c r="K1757"/>
      <c r="L1757"/>
    </row>
    <row r="1758" spans="2:12" x14ac:dyDescent="0.2">
      <c r="B1758"/>
      <c r="C1758"/>
      <c r="J1758"/>
      <c r="K1758"/>
      <c r="L1758"/>
    </row>
    <row r="1759" spans="2:12" x14ac:dyDescent="0.2">
      <c r="B1759"/>
      <c r="C1759"/>
      <c r="J1759"/>
      <c r="K1759"/>
      <c r="L1759"/>
    </row>
    <row r="1760" spans="2:12" x14ac:dyDescent="0.2">
      <c r="B1760"/>
      <c r="C1760"/>
      <c r="J1760"/>
      <c r="K1760"/>
      <c r="L1760"/>
    </row>
    <row r="1761" spans="2:12" x14ac:dyDescent="0.2">
      <c r="B1761"/>
      <c r="C1761"/>
      <c r="J1761"/>
      <c r="K1761"/>
      <c r="L1761"/>
    </row>
    <row r="1762" spans="2:12" x14ac:dyDescent="0.2">
      <c r="B1762"/>
      <c r="C1762"/>
      <c r="J1762"/>
      <c r="K1762"/>
      <c r="L1762"/>
    </row>
    <row r="1763" spans="2:12" x14ac:dyDescent="0.2">
      <c r="B1763"/>
      <c r="C1763"/>
      <c r="J1763"/>
      <c r="K1763"/>
      <c r="L1763"/>
    </row>
    <row r="1764" spans="2:12" x14ac:dyDescent="0.2">
      <c r="B1764"/>
      <c r="C1764"/>
      <c r="J1764"/>
      <c r="K1764"/>
      <c r="L1764"/>
    </row>
    <row r="1765" spans="2:12" x14ac:dyDescent="0.2">
      <c r="B1765"/>
      <c r="C1765"/>
      <c r="J1765"/>
      <c r="K1765"/>
      <c r="L1765"/>
    </row>
    <row r="1766" spans="2:12" x14ac:dyDescent="0.2">
      <c r="B1766"/>
      <c r="C1766"/>
      <c r="J1766"/>
      <c r="K1766"/>
      <c r="L1766"/>
    </row>
    <row r="1767" spans="2:12" x14ac:dyDescent="0.2">
      <c r="B1767"/>
      <c r="C1767"/>
      <c r="J1767"/>
      <c r="K1767"/>
      <c r="L1767"/>
    </row>
    <row r="1768" spans="2:12" x14ac:dyDescent="0.2">
      <c r="B1768"/>
      <c r="C1768"/>
      <c r="J1768"/>
      <c r="K1768"/>
      <c r="L1768"/>
    </row>
    <row r="1769" spans="2:12" x14ac:dyDescent="0.2">
      <c r="B1769"/>
      <c r="C1769"/>
      <c r="J1769"/>
      <c r="K1769"/>
      <c r="L1769"/>
    </row>
    <row r="1770" spans="2:12" x14ac:dyDescent="0.2">
      <c r="B1770"/>
      <c r="C1770"/>
      <c r="J1770"/>
      <c r="K1770"/>
      <c r="L1770"/>
    </row>
    <row r="1771" spans="2:12" x14ac:dyDescent="0.2">
      <c r="B1771"/>
      <c r="C1771"/>
      <c r="J1771"/>
      <c r="K1771"/>
      <c r="L1771"/>
    </row>
    <row r="1772" spans="2:12" x14ac:dyDescent="0.2">
      <c r="B1772"/>
      <c r="C1772"/>
      <c r="J1772"/>
      <c r="K1772"/>
      <c r="L1772"/>
    </row>
    <row r="1773" spans="2:12" x14ac:dyDescent="0.2">
      <c r="B1773"/>
      <c r="C1773"/>
      <c r="J1773"/>
      <c r="K1773"/>
      <c r="L1773"/>
    </row>
    <row r="1774" spans="2:12" x14ac:dyDescent="0.2">
      <c r="B1774"/>
      <c r="C1774"/>
      <c r="J1774"/>
      <c r="K1774"/>
      <c r="L1774"/>
    </row>
    <row r="1775" spans="2:12" x14ac:dyDescent="0.2">
      <c r="B1775"/>
      <c r="C1775"/>
      <c r="J1775"/>
      <c r="K1775"/>
      <c r="L1775"/>
    </row>
    <row r="1776" spans="2:12" x14ac:dyDescent="0.2">
      <c r="B1776"/>
      <c r="C1776"/>
      <c r="J1776"/>
      <c r="K1776"/>
      <c r="L1776"/>
    </row>
    <row r="1777" spans="2:12" x14ac:dyDescent="0.2">
      <c r="B1777"/>
      <c r="C1777"/>
      <c r="J1777"/>
      <c r="K1777"/>
      <c r="L1777"/>
    </row>
    <row r="1778" spans="2:12" x14ac:dyDescent="0.2">
      <c r="B1778"/>
      <c r="C1778"/>
      <c r="J1778"/>
      <c r="K1778"/>
      <c r="L1778"/>
    </row>
    <row r="1779" spans="2:12" x14ac:dyDescent="0.2">
      <c r="B1779"/>
      <c r="C1779"/>
      <c r="J1779"/>
      <c r="K1779"/>
      <c r="L1779"/>
    </row>
    <row r="1780" spans="2:12" x14ac:dyDescent="0.2">
      <c r="B1780"/>
      <c r="C1780"/>
      <c r="J1780"/>
      <c r="K1780"/>
      <c r="L1780"/>
    </row>
    <row r="1781" spans="2:12" x14ac:dyDescent="0.2">
      <c r="B1781"/>
      <c r="C1781"/>
      <c r="J1781"/>
      <c r="K1781"/>
      <c r="L1781"/>
    </row>
    <row r="1782" spans="2:12" x14ac:dyDescent="0.2">
      <c r="B1782"/>
      <c r="C1782"/>
      <c r="J1782"/>
      <c r="K1782"/>
      <c r="L1782"/>
    </row>
    <row r="1783" spans="2:12" x14ac:dyDescent="0.2">
      <c r="B1783"/>
      <c r="C1783"/>
      <c r="J1783"/>
      <c r="K1783"/>
      <c r="L1783"/>
    </row>
    <row r="1784" spans="2:12" x14ac:dyDescent="0.2">
      <c r="B1784"/>
      <c r="C1784"/>
      <c r="J1784"/>
      <c r="K1784"/>
      <c r="L1784"/>
    </row>
    <row r="1785" spans="2:12" x14ac:dyDescent="0.2">
      <c r="B1785"/>
      <c r="C1785"/>
      <c r="J1785"/>
      <c r="K1785"/>
      <c r="L1785"/>
    </row>
    <row r="1786" spans="2:12" x14ac:dyDescent="0.2">
      <c r="B1786"/>
      <c r="C1786"/>
      <c r="J1786"/>
      <c r="K1786"/>
      <c r="L1786"/>
    </row>
    <row r="1787" spans="2:12" x14ac:dyDescent="0.2">
      <c r="B1787"/>
      <c r="C1787"/>
      <c r="J1787"/>
      <c r="K1787"/>
      <c r="L1787"/>
    </row>
    <row r="1788" spans="2:12" x14ac:dyDescent="0.2">
      <c r="B1788"/>
      <c r="C1788"/>
      <c r="J1788"/>
      <c r="K1788"/>
      <c r="L1788"/>
    </row>
    <row r="1789" spans="2:12" x14ac:dyDescent="0.2">
      <c r="B1789"/>
      <c r="C1789"/>
      <c r="J1789"/>
      <c r="K1789"/>
      <c r="L1789"/>
    </row>
    <row r="1790" spans="2:12" x14ac:dyDescent="0.2">
      <c r="B1790"/>
      <c r="C1790"/>
      <c r="J1790"/>
      <c r="K1790"/>
      <c r="L1790"/>
    </row>
    <row r="1791" spans="2:12" x14ac:dyDescent="0.2">
      <c r="B1791"/>
      <c r="C1791"/>
      <c r="J1791"/>
      <c r="K1791"/>
      <c r="L1791"/>
    </row>
    <row r="1792" spans="2:12" x14ac:dyDescent="0.2">
      <c r="B1792"/>
      <c r="C1792"/>
      <c r="J1792"/>
      <c r="K1792"/>
      <c r="L1792"/>
    </row>
    <row r="1793" spans="2:12" x14ac:dyDescent="0.2">
      <c r="B1793"/>
      <c r="C1793"/>
      <c r="J1793"/>
      <c r="K1793"/>
      <c r="L1793"/>
    </row>
    <row r="1794" spans="2:12" x14ac:dyDescent="0.2">
      <c r="B1794"/>
      <c r="C1794"/>
      <c r="J1794"/>
      <c r="K1794"/>
      <c r="L1794"/>
    </row>
    <row r="1795" spans="2:12" x14ac:dyDescent="0.2">
      <c r="B1795"/>
      <c r="C1795"/>
      <c r="J1795"/>
      <c r="K1795"/>
      <c r="L1795"/>
    </row>
    <row r="1796" spans="2:12" x14ac:dyDescent="0.2">
      <c r="B1796"/>
      <c r="C1796"/>
      <c r="J1796"/>
      <c r="K1796"/>
      <c r="L1796"/>
    </row>
    <row r="1797" spans="2:12" x14ac:dyDescent="0.2">
      <c r="B1797"/>
      <c r="C1797"/>
      <c r="J1797"/>
      <c r="K1797"/>
      <c r="L1797"/>
    </row>
    <row r="1798" spans="2:12" x14ac:dyDescent="0.2">
      <c r="B1798"/>
      <c r="C1798"/>
      <c r="J1798"/>
      <c r="K1798"/>
      <c r="L1798"/>
    </row>
    <row r="1799" spans="2:12" x14ac:dyDescent="0.2">
      <c r="B1799"/>
      <c r="C1799"/>
      <c r="J1799"/>
      <c r="K1799"/>
      <c r="L1799"/>
    </row>
    <row r="1800" spans="2:12" x14ac:dyDescent="0.2">
      <c r="B1800"/>
      <c r="C1800"/>
      <c r="J1800"/>
      <c r="K1800"/>
      <c r="L1800"/>
    </row>
    <row r="1801" spans="2:12" x14ac:dyDescent="0.2">
      <c r="B1801"/>
      <c r="C1801"/>
      <c r="J1801"/>
      <c r="K1801"/>
      <c r="L1801"/>
    </row>
    <row r="1802" spans="2:12" x14ac:dyDescent="0.2">
      <c r="B1802"/>
      <c r="C1802"/>
      <c r="J1802"/>
      <c r="K1802"/>
      <c r="L1802"/>
    </row>
    <row r="1803" spans="2:12" x14ac:dyDescent="0.2">
      <c r="B1803"/>
      <c r="C1803"/>
      <c r="J1803"/>
      <c r="K1803"/>
      <c r="L1803"/>
    </row>
    <row r="1804" spans="2:12" x14ac:dyDescent="0.2">
      <c r="B1804"/>
      <c r="C1804"/>
      <c r="J1804"/>
      <c r="K1804"/>
      <c r="L1804"/>
    </row>
    <row r="1805" spans="2:12" x14ac:dyDescent="0.2">
      <c r="B1805"/>
      <c r="C1805"/>
      <c r="J1805"/>
      <c r="K1805"/>
      <c r="L1805"/>
    </row>
    <row r="1806" spans="2:12" x14ac:dyDescent="0.2">
      <c r="B1806"/>
      <c r="C1806"/>
      <c r="J1806"/>
      <c r="K1806"/>
      <c r="L1806"/>
    </row>
    <row r="1807" spans="2:12" x14ac:dyDescent="0.2">
      <c r="B1807"/>
      <c r="C1807"/>
      <c r="J1807"/>
      <c r="K1807"/>
      <c r="L1807"/>
    </row>
    <row r="1808" spans="2:12" x14ac:dyDescent="0.2">
      <c r="B1808"/>
      <c r="C1808"/>
      <c r="J1808"/>
      <c r="K1808"/>
      <c r="L1808"/>
    </row>
    <row r="1809" spans="2:12" x14ac:dyDescent="0.2">
      <c r="B1809"/>
      <c r="C1809"/>
      <c r="J1809"/>
      <c r="K1809"/>
      <c r="L1809"/>
    </row>
    <row r="1810" spans="2:12" x14ac:dyDescent="0.2">
      <c r="B1810"/>
      <c r="C1810"/>
      <c r="J1810"/>
      <c r="K1810"/>
      <c r="L1810"/>
    </row>
    <row r="1811" spans="2:12" x14ac:dyDescent="0.2">
      <c r="B1811"/>
      <c r="C1811"/>
      <c r="J1811"/>
      <c r="K1811"/>
      <c r="L1811"/>
    </row>
    <row r="1812" spans="2:12" x14ac:dyDescent="0.2">
      <c r="B1812"/>
      <c r="C1812"/>
      <c r="J1812"/>
      <c r="K1812"/>
      <c r="L1812"/>
    </row>
    <row r="1813" spans="2:12" x14ac:dyDescent="0.2">
      <c r="B1813"/>
      <c r="C1813"/>
      <c r="J1813"/>
      <c r="K1813"/>
      <c r="L1813"/>
    </row>
    <row r="1814" spans="2:12" x14ac:dyDescent="0.2">
      <c r="B1814"/>
      <c r="C1814"/>
      <c r="J1814"/>
      <c r="K1814"/>
      <c r="L1814"/>
    </row>
    <row r="1815" spans="2:12" x14ac:dyDescent="0.2">
      <c r="B1815"/>
      <c r="C1815"/>
      <c r="J1815"/>
      <c r="K1815"/>
      <c r="L1815"/>
    </row>
    <row r="1816" spans="2:12" x14ac:dyDescent="0.2">
      <c r="B1816"/>
      <c r="C1816"/>
      <c r="J1816"/>
      <c r="K1816"/>
      <c r="L1816"/>
    </row>
    <row r="1817" spans="2:12" x14ac:dyDescent="0.2">
      <c r="B1817"/>
      <c r="C1817"/>
      <c r="J1817"/>
      <c r="K1817"/>
      <c r="L1817"/>
    </row>
    <row r="1818" spans="2:12" x14ac:dyDescent="0.2">
      <c r="B1818"/>
      <c r="C1818"/>
      <c r="J1818"/>
      <c r="K1818"/>
      <c r="L1818"/>
    </row>
    <row r="1819" spans="2:12" x14ac:dyDescent="0.2">
      <c r="B1819"/>
      <c r="C1819"/>
      <c r="J1819"/>
      <c r="K1819"/>
      <c r="L1819"/>
    </row>
    <row r="1820" spans="2:12" x14ac:dyDescent="0.2">
      <c r="B1820"/>
      <c r="C1820"/>
      <c r="J1820"/>
      <c r="K1820"/>
      <c r="L1820"/>
    </row>
    <row r="1821" spans="2:12" x14ac:dyDescent="0.2">
      <c r="B1821"/>
      <c r="C1821"/>
      <c r="J1821"/>
      <c r="K1821"/>
      <c r="L1821"/>
    </row>
    <row r="1822" spans="2:12" x14ac:dyDescent="0.2">
      <c r="B1822"/>
      <c r="C1822"/>
      <c r="J1822"/>
      <c r="K1822"/>
      <c r="L1822"/>
    </row>
    <row r="1823" spans="2:12" x14ac:dyDescent="0.2">
      <c r="B1823"/>
      <c r="C1823"/>
      <c r="J1823"/>
      <c r="K1823"/>
      <c r="L1823"/>
    </row>
    <row r="1824" spans="2:12" x14ac:dyDescent="0.2">
      <c r="B1824"/>
      <c r="C1824"/>
      <c r="J1824"/>
      <c r="K1824"/>
      <c r="L1824"/>
    </row>
    <row r="1825" spans="2:12" x14ac:dyDescent="0.2">
      <c r="B1825"/>
      <c r="C1825"/>
      <c r="J1825"/>
      <c r="K1825"/>
      <c r="L1825"/>
    </row>
    <row r="1826" spans="2:12" x14ac:dyDescent="0.2">
      <c r="B1826"/>
      <c r="C1826"/>
      <c r="J1826"/>
      <c r="K1826"/>
      <c r="L1826"/>
    </row>
    <row r="1827" spans="2:12" x14ac:dyDescent="0.2">
      <c r="B1827"/>
      <c r="C1827"/>
      <c r="J1827"/>
      <c r="K1827"/>
      <c r="L1827"/>
    </row>
    <row r="1828" spans="2:12" x14ac:dyDescent="0.2">
      <c r="B1828"/>
      <c r="C1828"/>
      <c r="J1828"/>
      <c r="K1828"/>
      <c r="L1828"/>
    </row>
    <row r="1829" spans="2:12" x14ac:dyDescent="0.2">
      <c r="B1829"/>
      <c r="C1829"/>
      <c r="J1829"/>
      <c r="K1829"/>
      <c r="L1829"/>
    </row>
    <row r="1830" spans="2:12" x14ac:dyDescent="0.2">
      <c r="B1830"/>
      <c r="C1830"/>
      <c r="J1830"/>
      <c r="K1830"/>
      <c r="L1830"/>
    </row>
    <row r="1831" spans="2:12" x14ac:dyDescent="0.2">
      <c r="B1831"/>
      <c r="C1831"/>
      <c r="J1831"/>
      <c r="K1831"/>
      <c r="L1831"/>
    </row>
    <row r="1832" spans="2:12" x14ac:dyDescent="0.2">
      <c r="B1832"/>
      <c r="C1832"/>
      <c r="J1832"/>
      <c r="K1832"/>
      <c r="L1832"/>
    </row>
    <row r="1833" spans="2:12" x14ac:dyDescent="0.2">
      <c r="B1833"/>
      <c r="C1833"/>
      <c r="J1833"/>
      <c r="K1833"/>
      <c r="L1833"/>
    </row>
    <row r="1834" spans="2:12" x14ac:dyDescent="0.2">
      <c r="B1834"/>
      <c r="C1834"/>
      <c r="J1834"/>
      <c r="K1834"/>
      <c r="L1834"/>
    </row>
    <row r="1835" spans="2:12" x14ac:dyDescent="0.2">
      <c r="B1835"/>
      <c r="C1835"/>
      <c r="J1835"/>
      <c r="K1835"/>
      <c r="L1835"/>
    </row>
    <row r="1836" spans="2:12" x14ac:dyDescent="0.2">
      <c r="B1836"/>
      <c r="C1836"/>
      <c r="J1836"/>
      <c r="K1836"/>
      <c r="L1836"/>
    </row>
    <row r="1837" spans="2:12" x14ac:dyDescent="0.2">
      <c r="B1837"/>
      <c r="C1837"/>
      <c r="J1837"/>
      <c r="K1837"/>
      <c r="L1837"/>
    </row>
    <row r="1838" spans="2:12" x14ac:dyDescent="0.2">
      <c r="B1838"/>
      <c r="C1838"/>
      <c r="J1838"/>
      <c r="K1838"/>
      <c r="L1838"/>
    </row>
    <row r="1839" spans="2:12" x14ac:dyDescent="0.2">
      <c r="B1839"/>
      <c r="C1839"/>
      <c r="J1839"/>
      <c r="K1839"/>
      <c r="L1839"/>
    </row>
    <row r="1840" spans="2:12" x14ac:dyDescent="0.2">
      <c r="B1840"/>
      <c r="C1840"/>
      <c r="J1840"/>
      <c r="K1840"/>
      <c r="L1840"/>
    </row>
    <row r="1841" spans="2:12" x14ac:dyDescent="0.2">
      <c r="B1841"/>
      <c r="C1841"/>
      <c r="J1841"/>
      <c r="K1841"/>
      <c r="L1841"/>
    </row>
    <row r="1842" spans="2:12" x14ac:dyDescent="0.2">
      <c r="B1842"/>
      <c r="C1842"/>
      <c r="J1842"/>
      <c r="K1842"/>
      <c r="L1842"/>
    </row>
    <row r="1843" spans="2:12" x14ac:dyDescent="0.2">
      <c r="B1843"/>
      <c r="C1843"/>
      <c r="J1843"/>
      <c r="K1843"/>
      <c r="L1843"/>
    </row>
    <row r="1844" spans="2:12" x14ac:dyDescent="0.2">
      <c r="B1844"/>
      <c r="C1844"/>
      <c r="J1844"/>
      <c r="K1844"/>
      <c r="L1844"/>
    </row>
    <row r="1845" spans="2:12" x14ac:dyDescent="0.2">
      <c r="B1845"/>
      <c r="C1845"/>
      <c r="J1845"/>
      <c r="K1845"/>
      <c r="L1845"/>
    </row>
    <row r="1846" spans="2:12" x14ac:dyDescent="0.2">
      <c r="B1846"/>
      <c r="C1846"/>
      <c r="J1846"/>
      <c r="K1846"/>
      <c r="L1846"/>
    </row>
    <row r="1847" spans="2:12" x14ac:dyDescent="0.2">
      <c r="B1847"/>
      <c r="C1847"/>
      <c r="J1847"/>
      <c r="K1847"/>
      <c r="L1847"/>
    </row>
    <row r="1848" spans="2:12" x14ac:dyDescent="0.2">
      <c r="B1848"/>
      <c r="C1848"/>
      <c r="J1848"/>
      <c r="K1848"/>
      <c r="L1848"/>
    </row>
    <row r="1849" spans="2:12" x14ac:dyDescent="0.2">
      <c r="B1849"/>
      <c r="C1849"/>
      <c r="J1849"/>
      <c r="K1849"/>
      <c r="L1849"/>
    </row>
    <row r="1850" spans="2:12" x14ac:dyDescent="0.2">
      <c r="B1850"/>
      <c r="C1850"/>
      <c r="J1850"/>
      <c r="K1850"/>
      <c r="L1850"/>
    </row>
    <row r="1851" spans="2:12" x14ac:dyDescent="0.2">
      <c r="B1851"/>
      <c r="C1851"/>
      <c r="J1851"/>
      <c r="K1851"/>
      <c r="L1851"/>
    </row>
    <row r="1852" spans="2:12" x14ac:dyDescent="0.2">
      <c r="B1852"/>
      <c r="C1852"/>
      <c r="J1852"/>
      <c r="K1852"/>
      <c r="L1852"/>
    </row>
    <row r="1853" spans="2:12" x14ac:dyDescent="0.2">
      <c r="B1853"/>
      <c r="C1853"/>
      <c r="J1853"/>
      <c r="K1853"/>
      <c r="L1853"/>
    </row>
    <row r="1854" spans="2:12" x14ac:dyDescent="0.2">
      <c r="B1854"/>
      <c r="C1854"/>
      <c r="J1854"/>
      <c r="K1854"/>
      <c r="L1854"/>
    </row>
    <row r="1855" spans="2:12" x14ac:dyDescent="0.2">
      <c r="B1855"/>
      <c r="C1855"/>
      <c r="J1855"/>
      <c r="K1855"/>
      <c r="L1855"/>
    </row>
    <row r="1856" spans="2:12" x14ac:dyDescent="0.2">
      <c r="B1856"/>
      <c r="C1856"/>
      <c r="J1856"/>
      <c r="K1856"/>
      <c r="L1856"/>
    </row>
    <row r="1857" spans="2:12" x14ac:dyDescent="0.2">
      <c r="B1857"/>
      <c r="C1857"/>
      <c r="J1857"/>
      <c r="K1857"/>
      <c r="L1857"/>
    </row>
    <row r="1858" spans="2:12" x14ac:dyDescent="0.2">
      <c r="B1858"/>
      <c r="C1858"/>
      <c r="J1858"/>
      <c r="K1858"/>
      <c r="L1858"/>
    </row>
    <row r="1859" spans="2:12" x14ac:dyDescent="0.2">
      <c r="B1859"/>
      <c r="C1859"/>
      <c r="J1859"/>
      <c r="K1859"/>
      <c r="L1859"/>
    </row>
    <row r="1860" spans="2:12" x14ac:dyDescent="0.2">
      <c r="B1860"/>
      <c r="C1860"/>
      <c r="J1860"/>
      <c r="K1860"/>
      <c r="L1860"/>
    </row>
    <row r="1861" spans="2:12" x14ac:dyDescent="0.2">
      <c r="B1861"/>
      <c r="C1861"/>
      <c r="J1861"/>
      <c r="K1861"/>
      <c r="L1861"/>
    </row>
    <row r="1862" spans="2:12" x14ac:dyDescent="0.2">
      <c r="B1862"/>
      <c r="C1862"/>
      <c r="J1862"/>
      <c r="K1862"/>
      <c r="L1862"/>
    </row>
    <row r="1863" spans="2:12" x14ac:dyDescent="0.2">
      <c r="B1863"/>
      <c r="C1863"/>
      <c r="J1863"/>
      <c r="K1863"/>
      <c r="L1863"/>
    </row>
    <row r="1864" spans="2:12" x14ac:dyDescent="0.2">
      <c r="B1864"/>
      <c r="C1864"/>
      <c r="J1864"/>
      <c r="K1864"/>
      <c r="L1864"/>
    </row>
    <row r="1865" spans="2:12" x14ac:dyDescent="0.2">
      <c r="B1865"/>
      <c r="C1865"/>
      <c r="J1865"/>
      <c r="K1865"/>
      <c r="L1865"/>
    </row>
    <row r="1866" spans="2:12" x14ac:dyDescent="0.2">
      <c r="B1866"/>
      <c r="C1866"/>
      <c r="J1866"/>
      <c r="K1866"/>
      <c r="L1866"/>
    </row>
    <row r="1867" spans="2:12" x14ac:dyDescent="0.2">
      <c r="B1867"/>
      <c r="C1867"/>
      <c r="J1867"/>
      <c r="K1867"/>
      <c r="L1867"/>
    </row>
    <row r="1868" spans="2:12" x14ac:dyDescent="0.2">
      <c r="B1868"/>
      <c r="C1868"/>
      <c r="J1868"/>
      <c r="K1868"/>
      <c r="L1868"/>
    </row>
    <row r="1869" spans="2:12" x14ac:dyDescent="0.2">
      <c r="B1869"/>
      <c r="C1869"/>
      <c r="J1869"/>
      <c r="K1869"/>
      <c r="L1869"/>
    </row>
    <row r="1870" spans="2:12" x14ac:dyDescent="0.2">
      <c r="B1870"/>
      <c r="C1870"/>
      <c r="J1870"/>
      <c r="K1870"/>
      <c r="L1870"/>
    </row>
    <row r="1871" spans="2:12" x14ac:dyDescent="0.2">
      <c r="B1871"/>
      <c r="C1871"/>
      <c r="J1871"/>
      <c r="K1871"/>
      <c r="L1871"/>
    </row>
    <row r="1872" spans="2:12" x14ac:dyDescent="0.2">
      <c r="B1872"/>
      <c r="C1872"/>
      <c r="J1872"/>
      <c r="K1872"/>
      <c r="L1872"/>
    </row>
    <row r="1873" spans="2:12" x14ac:dyDescent="0.2">
      <c r="B1873"/>
      <c r="C1873"/>
      <c r="J1873"/>
      <c r="K1873"/>
      <c r="L1873"/>
    </row>
    <row r="1874" spans="2:12" x14ac:dyDescent="0.2">
      <c r="B1874"/>
      <c r="C1874"/>
      <c r="J1874"/>
      <c r="K1874"/>
      <c r="L1874"/>
    </row>
    <row r="1875" spans="2:12" x14ac:dyDescent="0.2">
      <c r="B1875"/>
      <c r="C1875"/>
      <c r="J1875"/>
      <c r="K1875"/>
      <c r="L1875"/>
    </row>
    <row r="1876" spans="2:12" x14ac:dyDescent="0.2">
      <c r="B1876"/>
      <c r="C1876"/>
      <c r="J1876"/>
      <c r="K1876"/>
      <c r="L1876"/>
    </row>
    <row r="1877" spans="2:12" x14ac:dyDescent="0.2">
      <c r="B1877"/>
      <c r="C1877"/>
      <c r="J1877"/>
      <c r="K1877"/>
      <c r="L1877"/>
    </row>
    <row r="1878" spans="2:12" x14ac:dyDescent="0.2">
      <c r="B1878"/>
      <c r="C1878"/>
      <c r="J1878"/>
      <c r="K1878"/>
      <c r="L1878"/>
    </row>
    <row r="1879" spans="2:12" x14ac:dyDescent="0.2">
      <c r="B1879"/>
      <c r="C1879"/>
      <c r="J1879"/>
      <c r="K1879"/>
      <c r="L1879"/>
    </row>
    <row r="1880" spans="2:12" x14ac:dyDescent="0.2">
      <c r="B1880"/>
      <c r="C1880"/>
      <c r="J1880"/>
      <c r="K1880"/>
      <c r="L1880"/>
    </row>
    <row r="1881" spans="2:12" x14ac:dyDescent="0.2">
      <c r="B1881"/>
      <c r="C1881"/>
      <c r="J1881"/>
      <c r="K1881"/>
      <c r="L1881"/>
    </row>
    <row r="1882" spans="2:12" x14ac:dyDescent="0.2">
      <c r="B1882"/>
      <c r="C1882"/>
      <c r="J1882"/>
      <c r="K1882"/>
      <c r="L1882"/>
    </row>
    <row r="1883" spans="2:12" x14ac:dyDescent="0.2">
      <c r="B1883"/>
      <c r="C1883"/>
      <c r="J1883"/>
      <c r="K1883"/>
      <c r="L1883"/>
    </row>
    <row r="1884" spans="2:12" x14ac:dyDescent="0.2">
      <c r="B1884"/>
      <c r="C1884"/>
      <c r="J1884"/>
      <c r="K1884"/>
      <c r="L1884"/>
    </row>
    <row r="1885" spans="2:12" x14ac:dyDescent="0.2">
      <c r="B1885"/>
      <c r="C1885"/>
      <c r="J1885"/>
      <c r="K1885"/>
      <c r="L1885"/>
    </row>
    <row r="1886" spans="2:12" x14ac:dyDescent="0.2">
      <c r="B1886"/>
      <c r="C1886"/>
      <c r="J1886"/>
      <c r="K1886"/>
      <c r="L1886"/>
    </row>
    <row r="1887" spans="2:12" x14ac:dyDescent="0.2">
      <c r="B1887"/>
      <c r="C1887"/>
      <c r="J1887"/>
      <c r="K1887"/>
      <c r="L1887"/>
    </row>
    <row r="1888" spans="2:12" x14ac:dyDescent="0.2">
      <c r="B1888"/>
      <c r="C1888"/>
      <c r="J1888"/>
      <c r="K1888"/>
      <c r="L1888"/>
    </row>
    <row r="1889" spans="2:12" x14ac:dyDescent="0.2">
      <c r="B1889"/>
      <c r="C1889"/>
      <c r="J1889"/>
      <c r="K1889"/>
      <c r="L1889"/>
    </row>
    <row r="1890" spans="2:12" x14ac:dyDescent="0.2">
      <c r="B1890"/>
      <c r="C1890"/>
      <c r="J1890"/>
      <c r="K1890"/>
      <c r="L1890"/>
    </row>
    <row r="1891" spans="2:12" x14ac:dyDescent="0.2">
      <c r="B1891"/>
      <c r="C1891"/>
      <c r="J1891"/>
      <c r="K1891"/>
      <c r="L1891"/>
    </row>
    <row r="1892" spans="2:12" x14ac:dyDescent="0.2">
      <c r="B1892"/>
      <c r="C1892"/>
      <c r="J1892"/>
      <c r="K1892"/>
      <c r="L1892"/>
    </row>
    <row r="1893" spans="2:12" x14ac:dyDescent="0.2">
      <c r="B1893"/>
      <c r="C1893"/>
      <c r="J1893"/>
      <c r="K1893"/>
      <c r="L1893"/>
    </row>
    <row r="1894" spans="2:12" x14ac:dyDescent="0.2">
      <c r="B1894"/>
      <c r="C1894"/>
      <c r="J1894"/>
      <c r="K1894"/>
      <c r="L1894"/>
    </row>
    <row r="1895" spans="2:12" x14ac:dyDescent="0.2">
      <c r="B1895"/>
      <c r="C1895"/>
      <c r="J1895"/>
      <c r="K1895"/>
      <c r="L1895"/>
    </row>
    <row r="1896" spans="2:12" x14ac:dyDescent="0.2">
      <c r="B1896"/>
      <c r="C1896"/>
      <c r="J1896"/>
      <c r="K1896"/>
      <c r="L1896"/>
    </row>
    <row r="1897" spans="2:12" x14ac:dyDescent="0.2">
      <c r="B1897"/>
      <c r="C1897"/>
      <c r="J1897"/>
      <c r="K1897"/>
      <c r="L1897"/>
    </row>
    <row r="1898" spans="2:12" x14ac:dyDescent="0.2">
      <c r="B1898"/>
      <c r="C1898"/>
      <c r="J1898"/>
      <c r="K1898"/>
      <c r="L1898"/>
    </row>
    <row r="1899" spans="2:12" x14ac:dyDescent="0.2">
      <c r="B1899"/>
      <c r="C1899"/>
      <c r="J1899"/>
      <c r="K1899"/>
      <c r="L1899"/>
    </row>
    <row r="1900" spans="2:12" x14ac:dyDescent="0.2">
      <c r="B1900"/>
      <c r="C1900"/>
      <c r="J1900"/>
      <c r="K1900"/>
      <c r="L1900"/>
    </row>
    <row r="1901" spans="2:12" x14ac:dyDescent="0.2">
      <c r="B1901"/>
      <c r="C1901"/>
      <c r="J1901"/>
      <c r="K1901"/>
      <c r="L1901"/>
    </row>
    <row r="1902" spans="2:12" x14ac:dyDescent="0.2">
      <c r="B1902"/>
      <c r="C1902"/>
      <c r="J1902"/>
      <c r="K1902"/>
      <c r="L1902"/>
    </row>
    <row r="1903" spans="2:12" x14ac:dyDescent="0.2">
      <c r="B1903"/>
      <c r="C1903"/>
      <c r="J1903"/>
      <c r="K1903"/>
      <c r="L1903"/>
    </row>
    <row r="1904" spans="2:12" x14ac:dyDescent="0.2">
      <c r="B1904"/>
      <c r="C1904"/>
      <c r="J1904"/>
      <c r="K1904"/>
      <c r="L1904"/>
    </row>
    <row r="1905" spans="2:12" x14ac:dyDescent="0.2">
      <c r="B1905"/>
      <c r="C1905"/>
      <c r="J1905"/>
      <c r="K1905"/>
      <c r="L1905"/>
    </row>
    <row r="1906" spans="2:12" x14ac:dyDescent="0.2">
      <c r="B1906"/>
      <c r="C1906"/>
      <c r="J1906"/>
      <c r="K1906"/>
      <c r="L1906"/>
    </row>
    <row r="1907" spans="2:12" x14ac:dyDescent="0.2">
      <c r="B1907"/>
      <c r="C1907"/>
      <c r="J1907"/>
      <c r="K1907"/>
      <c r="L1907"/>
    </row>
    <row r="1908" spans="2:12" x14ac:dyDescent="0.2">
      <c r="B1908"/>
      <c r="C1908"/>
      <c r="J1908"/>
      <c r="K1908"/>
      <c r="L1908"/>
    </row>
    <row r="1909" spans="2:12" x14ac:dyDescent="0.2">
      <c r="B1909"/>
      <c r="C1909"/>
      <c r="J1909"/>
      <c r="K1909"/>
      <c r="L1909"/>
    </row>
    <row r="1910" spans="2:12" x14ac:dyDescent="0.2">
      <c r="B1910"/>
      <c r="C1910"/>
      <c r="J1910"/>
      <c r="K1910"/>
      <c r="L1910"/>
    </row>
    <row r="1911" spans="2:12" x14ac:dyDescent="0.2">
      <c r="B1911"/>
      <c r="C1911"/>
      <c r="J1911"/>
      <c r="K1911"/>
      <c r="L1911"/>
    </row>
    <row r="1912" spans="2:12" x14ac:dyDescent="0.2">
      <c r="B1912"/>
      <c r="C1912"/>
      <c r="J1912"/>
      <c r="K1912"/>
      <c r="L1912"/>
    </row>
    <row r="1913" spans="2:12" x14ac:dyDescent="0.2">
      <c r="B1913"/>
      <c r="C1913"/>
      <c r="J1913"/>
      <c r="K1913"/>
      <c r="L1913"/>
    </row>
    <row r="1914" spans="2:12" x14ac:dyDescent="0.2">
      <c r="B1914"/>
      <c r="C1914"/>
      <c r="J1914"/>
      <c r="K1914"/>
      <c r="L1914"/>
    </row>
    <row r="1915" spans="2:12" x14ac:dyDescent="0.2">
      <c r="B1915"/>
      <c r="C1915"/>
      <c r="J1915"/>
      <c r="K1915"/>
      <c r="L1915"/>
    </row>
    <row r="1916" spans="2:12" x14ac:dyDescent="0.2">
      <c r="B1916"/>
      <c r="C1916"/>
      <c r="J1916"/>
      <c r="K1916"/>
      <c r="L1916"/>
    </row>
    <row r="1917" spans="2:12" x14ac:dyDescent="0.2">
      <c r="B1917"/>
      <c r="C1917"/>
      <c r="J1917"/>
      <c r="K1917"/>
      <c r="L1917"/>
    </row>
    <row r="1918" spans="2:12" x14ac:dyDescent="0.2">
      <c r="B1918"/>
      <c r="C1918"/>
      <c r="J1918"/>
      <c r="K1918"/>
      <c r="L1918"/>
    </row>
    <row r="1919" spans="2:12" x14ac:dyDescent="0.2">
      <c r="B1919"/>
      <c r="C1919"/>
      <c r="J1919"/>
      <c r="K1919"/>
      <c r="L1919"/>
    </row>
    <row r="1920" spans="2:12" x14ac:dyDescent="0.2">
      <c r="B1920"/>
      <c r="C1920"/>
      <c r="J1920"/>
      <c r="K1920"/>
      <c r="L1920"/>
    </row>
    <row r="1921" spans="2:12" x14ac:dyDescent="0.2">
      <c r="B1921"/>
      <c r="C1921"/>
      <c r="J1921"/>
      <c r="K1921"/>
      <c r="L1921"/>
    </row>
    <row r="1922" spans="2:12" x14ac:dyDescent="0.2">
      <c r="B1922"/>
      <c r="C1922"/>
      <c r="J1922"/>
      <c r="K1922"/>
      <c r="L1922"/>
    </row>
    <row r="1923" spans="2:12" x14ac:dyDescent="0.2">
      <c r="B1923"/>
      <c r="C1923"/>
      <c r="J1923"/>
      <c r="K1923"/>
      <c r="L1923"/>
    </row>
    <row r="1924" spans="2:12" x14ac:dyDescent="0.2">
      <c r="B1924"/>
      <c r="C1924"/>
      <c r="J1924"/>
      <c r="K1924"/>
      <c r="L1924"/>
    </row>
    <row r="1925" spans="2:12" x14ac:dyDescent="0.2">
      <c r="B1925"/>
      <c r="C1925"/>
      <c r="J1925"/>
      <c r="K1925"/>
      <c r="L1925"/>
    </row>
    <row r="1926" spans="2:12" x14ac:dyDescent="0.2">
      <c r="B1926"/>
      <c r="C1926"/>
      <c r="J1926"/>
      <c r="K1926"/>
      <c r="L1926"/>
    </row>
    <row r="1927" spans="2:12" x14ac:dyDescent="0.2">
      <c r="B1927"/>
      <c r="C1927"/>
      <c r="J1927"/>
      <c r="K1927"/>
      <c r="L1927"/>
    </row>
    <row r="1928" spans="2:12" x14ac:dyDescent="0.2">
      <c r="B1928"/>
      <c r="C1928"/>
      <c r="J1928"/>
      <c r="K1928"/>
      <c r="L1928"/>
    </row>
    <row r="1929" spans="2:12" x14ac:dyDescent="0.2">
      <c r="B1929"/>
      <c r="C1929"/>
      <c r="J1929"/>
      <c r="K1929"/>
      <c r="L1929"/>
    </row>
    <row r="1930" spans="2:12" x14ac:dyDescent="0.2">
      <c r="B1930"/>
      <c r="C1930"/>
      <c r="J1930"/>
      <c r="K1930"/>
      <c r="L1930"/>
    </row>
    <row r="1931" spans="2:12" x14ac:dyDescent="0.2">
      <c r="B1931"/>
      <c r="C1931"/>
      <c r="J1931"/>
      <c r="K1931"/>
      <c r="L1931"/>
    </row>
    <row r="1932" spans="2:12" x14ac:dyDescent="0.2">
      <c r="B1932"/>
      <c r="C1932"/>
      <c r="J1932"/>
      <c r="K1932"/>
      <c r="L1932"/>
    </row>
    <row r="1933" spans="2:12" x14ac:dyDescent="0.2">
      <c r="B1933"/>
      <c r="C1933"/>
      <c r="J1933"/>
      <c r="K1933"/>
      <c r="L1933"/>
    </row>
    <row r="1934" spans="2:12" x14ac:dyDescent="0.2">
      <c r="B1934"/>
      <c r="C1934"/>
      <c r="J1934"/>
      <c r="K1934"/>
      <c r="L1934"/>
    </row>
    <row r="1935" spans="2:12" x14ac:dyDescent="0.2">
      <c r="B1935"/>
      <c r="C1935"/>
      <c r="J1935"/>
      <c r="K1935"/>
      <c r="L1935"/>
    </row>
    <row r="1936" spans="2:12" x14ac:dyDescent="0.2">
      <c r="B1936"/>
      <c r="C1936"/>
      <c r="J1936"/>
      <c r="K1936"/>
      <c r="L1936"/>
    </row>
    <row r="1937" spans="2:12" x14ac:dyDescent="0.2">
      <c r="B1937"/>
      <c r="C1937"/>
      <c r="J1937"/>
      <c r="K1937"/>
      <c r="L1937"/>
    </row>
    <row r="1938" spans="2:12" x14ac:dyDescent="0.2">
      <c r="B1938"/>
      <c r="C1938"/>
      <c r="J1938"/>
      <c r="K1938"/>
      <c r="L1938"/>
    </row>
    <row r="1939" spans="2:12" x14ac:dyDescent="0.2">
      <c r="B1939"/>
      <c r="C1939"/>
      <c r="J1939"/>
      <c r="K1939"/>
      <c r="L1939"/>
    </row>
    <row r="1940" spans="2:12" x14ac:dyDescent="0.2">
      <c r="B1940"/>
      <c r="C1940"/>
      <c r="J1940"/>
      <c r="K1940"/>
      <c r="L1940"/>
    </row>
    <row r="1941" spans="2:12" x14ac:dyDescent="0.2">
      <c r="B1941"/>
      <c r="C1941"/>
      <c r="J1941"/>
      <c r="K1941"/>
      <c r="L1941"/>
    </row>
    <row r="1942" spans="2:12" x14ac:dyDescent="0.2">
      <c r="B1942"/>
      <c r="C1942"/>
      <c r="J1942"/>
      <c r="K1942"/>
      <c r="L1942"/>
    </row>
    <row r="1943" spans="2:12" x14ac:dyDescent="0.2">
      <c r="B1943"/>
      <c r="C1943"/>
      <c r="J1943"/>
      <c r="K1943"/>
      <c r="L1943"/>
    </row>
    <row r="1944" spans="2:12" x14ac:dyDescent="0.2">
      <c r="B1944"/>
      <c r="C1944"/>
      <c r="J1944"/>
      <c r="K1944"/>
      <c r="L1944"/>
    </row>
    <row r="1945" spans="2:12" x14ac:dyDescent="0.2">
      <c r="B1945"/>
      <c r="C1945"/>
      <c r="J1945"/>
      <c r="K1945"/>
      <c r="L1945"/>
    </row>
    <row r="1946" spans="2:12" x14ac:dyDescent="0.2">
      <c r="B1946"/>
      <c r="C1946"/>
      <c r="J1946"/>
      <c r="K1946"/>
      <c r="L1946"/>
    </row>
    <row r="1947" spans="2:12" x14ac:dyDescent="0.2">
      <c r="B1947"/>
      <c r="C1947"/>
      <c r="J1947"/>
      <c r="K1947"/>
      <c r="L1947"/>
    </row>
    <row r="1948" spans="2:12" x14ac:dyDescent="0.2">
      <c r="B1948"/>
      <c r="C1948"/>
      <c r="J1948"/>
      <c r="K1948"/>
      <c r="L1948"/>
    </row>
    <row r="1949" spans="2:12" x14ac:dyDescent="0.2">
      <c r="B1949"/>
      <c r="C1949"/>
      <c r="J1949"/>
      <c r="K1949"/>
      <c r="L1949"/>
    </row>
    <row r="1950" spans="2:12" x14ac:dyDescent="0.2">
      <c r="B1950"/>
      <c r="C1950"/>
      <c r="J1950"/>
      <c r="K1950"/>
      <c r="L1950"/>
    </row>
    <row r="1951" spans="2:12" x14ac:dyDescent="0.2">
      <c r="B1951"/>
      <c r="C1951"/>
      <c r="J1951"/>
      <c r="K1951"/>
      <c r="L1951"/>
    </row>
    <row r="1952" spans="2:12" x14ac:dyDescent="0.2">
      <c r="B1952"/>
      <c r="C1952"/>
      <c r="J1952"/>
      <c r="K1952"/>
      <c r="L1952"/>
    </row>
    <row r="1953" spans="2:12" x14ac:dyDescent="0.2">
      <c r="B1953"/>
      <c r="C1953"/>
      <c r="J1953"/>
      <c r="K1953"/>
      <c r="L1953"/>
    </row>
    <row r="1954" spans="2:12" x14ac:dyDescent="0.2">
      <c r="B1954"/>
      <c r="C1954"/>
      <c r="J1954"/>
      <c r="K1954"/>
      <c r="L1954"/>
    </row>
    <row r="1955" spans="2:12" x14ac:dyDescent="0.2">
      <c r="B1955"/>
      <c r="C1955"/>
      <c r="J1955"/>
      <c r="K1955"/>
      <c r="L1955"/>
    </row>
    <row r="1956" spans="2:12" x14ac:dyDescent="0.2">
      <c r="B1956"/>
      <c r="C1956"/>
      <c r="J1956"/>
      <c r="K1956"/>
      <c r="L1956"/>
    </row>
    <row r="1957" spans="2:12" x14ac:dyDescent="0.2">
      <c r="B1957"/>
      <c r="C1957"/>
      <c r="J1957"/>
      <c r="K1957"/>
      <c r="L1957"/>
    </row>
    <row r="1958" spans="2:12" x14ac:dyDescent="0.2">
      <c r="B1958"/>
      <c r="C1958"/>
      <c r="J1958"/>
      <c r="K1958"/>
      <c r="L1958"/>
    </row>
    <row r="1959" spans="2:12" x14ac:dyDescent="0.2">
      <c r="B1959"/>
      <c r="C1959"/>
      <c r="J1959"/>
      <c r="K1959"/>
      <c r="L1959"/>
    </row>
    <row r="1960" spans="2:12" x14ac:dyDescent="0.2">
      <c r="B1960"/>
      <c r="C1960"/>
      <c r="J1960"/>
      <c r="K1960"/>
      <c r="L1960"/>
    </row>
    <row r="1961" spans="2:12" x14ac:dyDescent="0.2">
      <c r="B1961"/>
      <c r="C1961"/>
      <c r="J1961"/>
      <c r="K1961"/>
      <c r="L1961"/>
    </row>
    <row r="1962" spans="2:12" x14ac:dyDescent="0.2">
      <c r="B1962"/>
      <c r="C1962"/>
      <c r="J1962"/>
      <c r="K1962"/>
      <c r="L1962"/>
    </row>
    <row r="1963" spans="2:12" x14ac:dyDescent="0.2">
      <c r="B1963"/>
      <c r="C1963"/>
      <c r="J1963"/>
      <c r="K1963"/>
      <c r="L1963"/>
    </row>
    <row r="1964" spans="2:12" x14ac:dyDescent="0.2">
      <c r="B1964"/>
      <c r="C1964"/>
      <c r="J1964"/>
      <c r="K1964"/>
      <c r="L1964"/>
    </row>
    <row r="1965" spans="2:12" x14ac:dyDescent="0.2">
      <c r="B1965"/>
      <c r="C1965"/>
      <c r="J1965"/>
      <c r="K1965"/>
      <c r="L1965"/>
    </row>
    <row r="1966" spans="2:12" x14ac:dyDescent="0.2">
      <c r="B1966"/>
      <c r="C1966"/>
      <c r="J1966"/>
      <c r="K1966"/>
      <c r="L1966"/>
    </row>
    <row r="1967" spans="2:12" x14ac:dyDescent="0.2">
      <c r="B1967"/>
      <c r="C1967"/>
      <c r="J1967"/>
      <c r="K1967"/>
      <c r="L1967"/>
    </row>
    <row r="1968" spans="2:12" x14ac:dyDescent="0.2">
      <c r="B1968"/>
      <c r="C1968"/>
      <c r="J1968"/>
      <c r="K1968"/>
      <c r="L1968"/>
    </row>
    <row r="1969" spans="2:12" x14ac:dyDescent="0.2">
      <c r="B1969"/>
      <c r="C1969"/>
      <c r="J1969"/>
      <c r="K1969"/>
      <c r="L1969"/>
    </row>
    <row r="1970" spans="2:12" x14ac:dyDescent="0.2">
      <c r="B1970"/>
      <c r="C1970"/>
      <c r="J1970"/>
      <c r="K1970"/>
      <c r="L1970"/>
    </row>
    <row r="1971" spans="2:12" x14ac:dyDescent="0.2">
      <c r="B1971"/>
      <c r="C1971"/>
      <c r="J1971"/>
      <c r="K1971"/>
      <c r="L1971"/>
    </row>
    <row r="1972" spans="2:12" x14ac:dyDescent="0.2">
      <c r="B1972"/>
      <c r="C1972"/>
      <c r="J1972"/>
      <c r="K1972"/>
      <c r="L1972"/>
    </row>
    <row r="1973" spans="2:12" x14ac:dyDescent="0.2">
      <c r="B1973"/>
      <c r="C1973"/>
      <c r="J1973"/>
      <c r="K1973"/>
      <c r="L1973"/>
    </row>
    <row r="1974" spans="2:12" x14ac:dyDescent="0.2">
      <c r="B1974"/>
      <c r="C1974"/>
      <c r="J1974"/>
      <c r="K1974"/>
      <c r="L1974"/>
    </row>
    <row r="1975" spans="2:12" x14ac:dyDescent="0.2">
      <c r="B1975"/>
      <c r="C1975"/>
      <c r="J1975"/>
      <c r="K1975"/>
      <c r="L1975"/>
    </row>
    <row r="1976" spans="2:12" x14ac:dyDescent="0.2">
      <c r="B1976"/>
      <c r="C1976"/>
      <c r="J1976"/>
      <c r="K1976"/>
      <c r="L1976"/>
    </row>
    <row r="1977" spans="2:12" x14ac:dyDescent="0.2">
      <c r="B1977"/>
      <c r="C1977"/>
      <c r="J1977"/>
      <c r="K1977"/>
      <c r="L1977"/>
    </row>
    <row r="1978" spans="2:12" x14ac:dyDescent="0.2">
      <c r="B1978"/>
      <c r="C1978"/>
      <c r="J1978"/>
      <c r="K1978"/>
      <c r="L1978"/>
    </row>
    <row r="1979" spans="2:12" x14ac:dyDescent="0.2">
      <c r="B1979"/>
      <c r="C1979"/>
      <c r="J1979"/>
      <c r="K1979"/>
      <c r="L1979"/>
    </row>
    <row r="1980" spans="2:12" x14ac:dyDescent="0.2">
      <c r="B1980"/>
      <c r="C1980"/>
      <c r="J1980"/>
      <c r="K1980"/>
      <c r="L1980"/>
    </row>
    <row r="1981" spans="2:12" x14ac:dyDescent="0.2">
      <c r="B1981"/>
      <c r="C1981"/>
      <c r="J1981"/>
      <c r="K1981"/>
      <c r="L1981"/>
    </row>
    <row r="1982" spans="2:12" x14ac:dyDescent="0.2">
      <c r="B1982"/>
      <c r="C1982"/>
      <c r="J1982"/>
      <c r="K1982"/>
      <c r="L1982"/>
    </row>
    <row r="1983" spans="2:12" x14ac:dyDescent="0.2">
      <c r="B1983"/>
      <c r="C1983"/>
      <c r="J1983"/>
      <c r="K1983"/>
      <c r="L1983"/>
    </row>
    <row r="1984" spans="2:12" x14ac:dyDescent="0.2">
      <c r="B1984"/>
      <c r="C1984"/>
      <c r="J1984"/>
      <c r="K1984"/>
      <c r="L1984"/>
    </row>
    <row r="1985" spans="2:12" x14ac:dyDescent="0.2">
      <c r="B1985"/>
      <c r="C1985"/>
      <c r="J1985"/>
      <c r="K1985"/>
      <c r="L1985"/>
    </row>
    <row r="1986" spans="2:12" x14ac:dyDescent="0.2">
      <c r="B1986"/>
      <c r="C1986"/>
      <c r="J1986"/>
      <c r="K1986"/>
      <c r="L1986"/>
    </row>
    <row r="1987" spans="2:12" x14ac:dyDescent="0.2">
      <c r="B1987"/>
      <c r="C1987"/>
      <c r="J1987"/>
      <c r="K1987"/>
      <c r="L1987"/>
    </row>
    <row r="1988" spans="2:12" x14ac:dyDescent="0.2">
      <c r="B1988"/>
      <c r="C1988"/>
      <c r="J1988"/>
      <c r="K1988"/>
      <c r="L1988"/>
    </row>
    <row r="1989" spans="2:12" x14ac:dyDescent="0.2">
      <c r="B1989"/>
      <c r="C1989"/>
      <c r="J1989"/>
      <c r="K1989"/>
      <c r="L1989"/>
    </row>
    <row r="1990" spans="2:12" x14ac:dyDescent="0.2">
      <c r="B1990"/>
      <c r="C1990"/>
      <c r="J1990"/>
      <c r="K1990"/>
      <c r="L1990"/>
    </row>
    <row r="1991" spans="2:12" x14ac:dyDescent="0.2">
      <c r="B1991"/>
      <c r="C1991"/>
      <c r="J1991"/>
      <c r="K1991"/>
      <c r="L1991"/>
    </row>
    <row r="1992" spans="2:12" x14ac:dyDescent="0.2">
      <c r="B1992"/>
      <c r="C1992"/>
      <c r="J1992"/>
      <c r="K1992"/>
      <c r="L1992"/>
    </row>
    <row r="1993" spans="2:12" x14ac:dyDescent="0.2">
      <c r="B1993"/>
      <c r="C1993"/>
      <c r="J1993"/>
      <c r="K1993"/>
      <c r="L1993"/>
    </row>
    <row r="1994" spans="2:12" x14ac:dyDescent="0.2">
      <c r="B1994"/>
      <c r="C1994"/>
      <c r="J1994"/>
      <c r="K1994"/>
      <c r="L1994"/>
    </row>
    <row r="1995" spans="2:12" x14ac:dyDescent="0.2">
      <c r="B1995"/>
      <c r="C1995"/>
      <c r="J1995"/>
      <c r="K1995"/>
      <c r="L1995"/>
    </row>
    <row r="1996" spans="2:12" x14ac:dyDescent="0.2">
      <c r="B1996"/>
      <c r="C1996"/>
      <c r="J1996"/>
      <c r="K1996"/>
      <c r="L1996"/>
    </row>
    <row r="1997" spans="2:12" x14ac:dyDescent="0.2">
      <c r="B1997"/>
      <c r="C1997"/>
      <c r="J1997"/>
      <c r="K1997"/>
      <c r="L1997"/>
    </row>
    <row r="1998" spans="2:12" x14ac:dyDescent="0.2">
      <c r="B1998"/>
      <c r="C1998"/>
      <c r="J1998"/>
      <c r="K1998"/>
      <c r="L1998"/>
    </row>
    <row r="1999" spans="2:12" x14ac:dyDescent="0.2">
      <c r="B1999"/>
      <c r="C1999"/>
      <c r="J1999"/>
      <c r="K1999"/>
      <c r="L1999"/>
    </row>
    <row r="2000" spans="2:12" x14ac:dyDescent="0.2">
      <c r="B2000"/>
      <c r="C2000"/>
      <c r="J2000"/>
      <c r="K2000"/>
      <c r="L2000"/>
    </row>
    <row r="2001" spans="2:12" x14ac:dyDescent="0.2">
      <c r="B2001"/>
      <c r="C2001"/>
      <c r="J2001"/>
      <c r="K2001"/>
      <c r="L2001"/>
    </row>
    <row r="2002" spans="2:12" x14ac:dyDescent="0.2">
      <c r="B2002"/>
      <c r="C2002"/>
      <c r="J2002"/>
      <c r="K2002"/>
      <c r="L2002"/>
    </row>
    <row r="2003" spans="2:12" x14ac:dyDescent="0.2">
      <c r="B2003"/>
      <c r="C2003"/>
      <c r="J2003"/>
      <c r="K2003"/>
      <c r="L2003"/>
    </row>
    <row r="2004" spans="2:12" x14ac:dyDescent="0.2">
      <c r="B2004"/>
      <c r="C2004"/>
      <c r="J2004"/>
      <c r="K2004"/>
      <c r="L2004"/>
    </row>
    <row r="2005" spans="2:12" x14ac:dyDescent="0.2">
      <c r="B2005"/>
      <c r="C2005"/>
      <c r="J2005"/>
      <c r="K2005"/>
      <c r="L2005"/>
    </row>
    <row r="2006" spans="2:12" x14ac:dyDescent="0.2">
      <c r="B2006"/>
      <c r="C2006"/>
      <c r="J2006"/>
      <c r="K2006"/>
      <c r="L2006"/>
    </row>
    <row r="2007" spans="2:12" x14ac:dyDescent="0.2">
      <c r="B2007"/>
      <c r="C2007"/>
      <c r="J2007"/>
      <c r="K2007"/>
      <c r="L2007"/>
    </row>
    <row r="2008" spans="2:12" x14ac:dyDescent="0.2">
      <c r="B2008"/>
      <c r="C2008"/>
      <c r="J2008"/>
      <c r="K2008"/>
      <c r="L2008"/>
    </row>
    <row r="2009" spans="2:12" x14ac:dyDescent="0.2">
      <c r="B2009"/>
      <c r="C2009"/>
      <c r="J2009"/>
      <c r="K2009"/>
      <c r="L2009"/>
    </row>
    <row r="2010" spans="2:12" x14ac:dyDescent="0.2">
      <c r="B2010"/>
      <c r="C2010"/>
      <c r="J2010"/>
      <c r="K2010"/>
      <c r="L2010"/>
    </row>
    <row r="2011" spans="2:12" x14ac:dyDescent="0.2">
      <c r="B2011"/>
      <c r="C2011"/>
      <c r="J2011"/>
      <c r="K2011"/>
      <c r="L2011"/>
    </row>
    <row r="2012" spans="2:12" x14ac:dyDescent="0.2">
      <c r="B2012"/>
      <c r="C2012"/>
      <c r="J2012"/>
      <c r="K2012"/>
      <c r="L2012"/>
    </row>
    <row r="2013" spans="2:12" x14ac:dyDescent="0.2">
      <c r="B2013"/>
      <c r="C2013"/>
      <c r="J2013"/>
      <c r="K2013"/>
      <c r="L2013"/>
    </row>
    <row r="2014" spans="2:12" x14ac:dyDescent="0.2">
      <c r="B2014"/>
      <c r="C2014"/>
      <c r="J2014"/>
      <c r="K2014"/>
      <c r="L2014"/>
    </row>
    <row r="2015" spans="2:12" x14ac:dyDescent="0.2">
      <c r="B2015"/>
      <c r="C2015"/>
      <c r="J2015"/>
      <c r="K2015"/>
      <c r="L2015"/>
    </row>
    <row r="2016" spans="2:12" x14ac:dyDescent="0.2">
      <c r="B2016"/>
      <c r="C2016"/>
      <c r="J2016"/>
      <c r="K2016"/>
      <c r="L2016"/>
    </row>
    <row r="2017" spans="2:12" x14ac:dyDescent="0.2">
      <c r="B2017"/>
      <c r="C2017"/>
      <c r="J2017"/>
      <c r="K2017"/>
      <c r="L2017"/>
    </row>
    <row r="2018" spans="2:12" x14ac:dyDescent="0.2">
      <c r="B2018"/>
      <c r="C2018"/>
      <c r="J2018"/>
      <c r="K2018"/>
      <c r="L2018"/>
    </row>
    <row r="2019" spans="2:12" x14ac:dyDescent="0.2">
      <c r="B2019"/>
      <c r="C2019"/>
      <c r="J2019"/>
      <c r="K2019"/>
      <c r="L2019"/>
    </row>
    <row r="2020" spans="2:12" x14ac:dyDescent="0.2">
      <c r="B2020"/>
      <c r="C2020"/>
      <c r="J2020"/>
      <c r="K2020"/>
      <c r="L2020"/>
    </row>
    <row r="2021" spans="2:12" x14ac:dyDescent="0.2">
      <c r="B2021"/>
      <c r="C2021"/>
      <c r="J2021"/>
      <c r="K2021"/>
      <c r="L2021"/>
    </row>
    <row r="2022" spans="2:12" x14ac:dyDescent="0.2">
      <c r="B2022"/>
      <c r="C2022"/>
      <c r="J2022"/>
      <c r="K2022"/>
      <c r="L2022"/>
    </row>
    <row r="2023" spans="2:12" x14ac:dyDescent="0.2">
      <c r="B2023"/>
      <c r="C2023"/>
      <c r="J2023"/>
      <c r="K2023"/>
      <c r="L2023"/>
    </row>
    <row r="2024" spans="2:12" x14ac:dyDescent="0.2">
      <c r="B2024"/>
      <c r="C2024"/>
      <c r="J2024"/>
      <c r="K2024"/>
      <c r="L2024"/>
    </row>
    <row r="2025" spans="2:12" x14ac:dyDescent="0.2">
      <c r="B2025"/>
      <c r="C2025"/>
      <c r="J2025"/>
      <c r="K2025"/>
      <c r="L2025"/>
    </row>
    <row r="2026" spans="2:12" x14ac:dyDescent="0.2">
      <c r="B2026"/>
      <c r="C2026"/>
      <c r="J2026"/>
      <c r="K2026"/>
      <c r="L2026"/>
    </row>
    <row r="2027" spans="2:12" x14ac:dyDescent="0.2">
      <c r="B2027"/>
      <c r="C2027"/>
      <c r="J2027"/>
      <c r="K2027"/>
      <c r="L2027"/>
    </row>
    <row r="2028" spans="2:12" x14ac:dyDescent="0.2">
      <c r="B2028"/>
      <c r="C2028"/>
      <c r="J2028"/>
      <c r="K2028"/>
      <c r="L2028"/>
    </row>
    <row r="2029" spans="2:12" x14ac:dyDescent="0.2">
      <c r="B2029"/>
      <c r="C2029"/>
      <c r="J2029"/>
      <c r="K2029"/>
      <c r="L2029"/>
    </row>
    <row r="2030" spans="2:12" x14ac:dyDescent="0.2">
      <c r="B2030"/>
      <c r="C2030"/>
      <c r="J2030"/>
      <c r="K2030"/>
      <c r="L2030"/>
    </row>
    <row r="2031" spans="2:12" x14ac:dyDescent="0.2">
      <c r="B2031"/>
      <c r="C2031"/>
      <c r="J2031"/>
      <c r="K2031"/>
      <c r="L2031"/>
    </row>
    <row r="2032" spans="2:12" x14ac:dyDescent="0.2">
      <c r="B2032"/>
      <c r="C2032"/>
      <c r="J2032"/>
      <c r="K2032"/>
      <c r="L2032"/>
    </row>
    <row r="2033" spans="2:12" x14ac:dyDescent="0.2">
      <c r="B2033"/>
      <c r="C2033"/>
      <c r="J2033"/>
      <c r="K2033"/>
      <c r="L2033"/>
    </row>
    <row r="2034" spans="2:12" x14ac:dyDescent="0.2">
      <c r="B2034"/>
      <c r="C2034"/>
      <c r="J2034"/>
      <c r="K2034"/>
      <c r="L2034"/>
    </row>
    <row r="2035" spans="2:12" x14ac:dyDescent="0.2">
      <c r="B2035"/>
      <c r="C2035"/>
      <c r="J2035"/>
      <c r="K2035"/>
      <c r="L2035"/>
    </row>
    <row r="2036" spans="2:12" x14ac:dyDescent="0.2">
      <c r="B2036"/>
      <c r="C2036"/>
      <c r="J2036"/>
      <c r="K2036"/>
      <c r="L2036"/>
    </row>
    <row r="2037" spans="2:12" x14ac:dyDescent="0.2">
      <c r="B2037"/>
      <c r="C2037"/>
      <c r="J2037"/>
      <c r="K2037"/>
      <c r="L2037"/>
    </row>
    <row r="2038" spans="2:12" x14ac:dyDescent="0.2">
      <c r="B2038"/>
      <c r="C2038"/>
      <c r="J2038"/>
      <c r="K2038"/>
      <c r="L2038"/>
    </row>
    <row r="2039" spans="2:12" x14ac:dyDescent="0.2">
      <c r="B2039"/>
      <c r="C2039"/>
      <c r="J2039"/>
      <c r="K2039"/>
      <c r="L2039"/>
    </row>
    <row r="2040" spans="2:12" x14ac:dyDescent="0.2">
      <c r="B2040"/>
      <c r="C2040"/>
      <c r="J2040"/>
      <c r="K2040"/>
      <c r="L2040"/>
    </row>
    <row r="2041" spans="2:12" x14ac:dyDescent="0.2">
      <c r="B2041"/>
      <c r="C2041"/>
      <c r="J2041"/>
      <c r="K2041"/>
      <c r="L2041"/>
    </row>
    <row r="2042" spans="2:12" x14ac:dyDescent="0.2">
      <c r="B2042"/>
      <c r="C2042"/>
      <c r="J2042"/>
      <c r="K2042"/>
      <c r="L2042"/>
    </row>
    <row r="2043" spans="2:12" x14ac:dyDescent="0.2">
      <c r="B2043"/>
      <c r="C2043"/>
      <c r="J2043"/>
      <c r="K2043"/>
      <c r="L2043"/>
    </row>
    <row r="2044" spans="2:12" x14ac:dyDescent="0.2">
      <c r="B2044"/>
      <c r="C2044"/>
      <c r="J2044"/>
      <c r="K2044"/>
      <c r="L2044"/>
    </row>
    <row r="2045" spans="2:12" x14ac:dyDescent="0.2">
      <c r="B2045"/>
      <c r="C2045"/>
      <c r="J2045"/>
      <c r="K2045"/>
      <c r="L2045"/>
    </row>
    <row r="2046" spans="2:12" x14ac:dyDescent="0.2">
      <c r="B2046"/>
      <c r="C2046"/>
      <c r="J2046"/>
      <c r="K2046"/>
      <c r="L2046"/>
    </row>
    <row r="2047" spans="2:12" x14ac:dyDescent="0.2">
      <c r="B2047"/>
      <c r="C2047"/>
      <c r="J2047"/>
      <c r="K2047"/>
      <c r="L2047"/>
    </row>
    <row r="2048" spans="2:12" x14ac:dyDescent="0.2">
      <c r="B2048"/>
      <c r="C2048"/>
      <c r="J2048"/>
      <c r="K2048"/>
      <c r="L2048"/>
    </row>
    <row r="2049" spans="2:12" x14ac:dyDescent="0.2">
      <c r="B2049"/>
      <c r="C2049"/>
      <c r="J2049"/>
      <c r="K2049"/>
      <c r="L2049"/>
    </row>
    <row r="2050" spans="2:12" x14ac:dyDescent="0.2">
      <c r="B2050"/>
      <c r="C2050"/>
      <c r="J2050"/>
      <c r="K2050"/>
      <c r="L2050"/>
    </row>
    <row r="2051" spans="2:12" x14ac:dyDescent="0.2">
      <c r="B2051"/>
      <c r="C2051"/>
      <c r="J2051"/>
      <c r="K2051"/>
      <c r="L2051"/>
    </row>
    <row r="2052" spans="2:12" x14ac:dyDescent="0.2">
      <c r="B2052"/>
      <c r="C2052"/>
      <c r="J2052"/>
      <c r="K2052"/>
      <c r="L2052"/>
    </row>
    <row r="2053" spans="2:12" x14ac:dyDescent="0.2">
      <c r="B2053"/>
      <c r="C2053"/>
      <c r="J2053"/>
      <c r="K2053"/>
      <c r="L2053"/>
    </row>
    <row r="2054" spans="2:12" x14ac:dyDescent="0.2">
      <c r="B2054"/>
      <c r="C2054"/>
      <c r="J2054"/>
      <c r="K2054"/>
      <c r="L2054"/>
    </row>
    <row r="2055" spans="2:12" x14ac:dyDescent="0.2">
      <c r="B2055"/>
      <c r="C2055"/>
      <c r="J2055"/>
      <c r="K2055"/>
      <c r="L2055"/>
    </row>
    <row r="2056" spans="2:12" x14ac:dyDescent="0.2">
      <c r="B2056"/>
      <c r="C2056"/>
      <c r="J2056"/>
      <c r="K2056"/>
      <c r="L2056"/>
    </row>
    <row r="2057" spans="2:12" x14ac:dyDescent="0.2">
      <c r="B2057"/>
      <c r="C2057"/>
      <c r="J2057"/>
      <c r="K2057"/>
      <c r="L2057"/>
    </row>
    <row r="2058" spans="2:12" x14ac:dyDescent="0.2">
      <c r="B2058"/>
      <c r="C2058"/>
      <c r="J2058"/>
      <c r="K2058"/>
      <c r="L2058"/>
    </row>
    <row r="2059" spans="2:12" x14ac:dyDescent="0.2">
      <c r="B2059"/>
      <c r="C2059"/>
      <c r="J2059"/>
      <c r="K2059"/>
      <c r="L2059"/>
    </row>
    <row r="2060" spans="2:12" x14ac:dyDescent="0.2">
      <c r="B2060"/>
      <c r="C2060"/>
      <c r="J2060"/>
      <c r="K2060"/>
      <c r="L2060"/>
    </row>
    <row r="2061" spans="2:12" x14ac:dyDescent="0.2">
      <c r="B2061"/>
      <c r="C2061"/>
      <c r="J2061"/>
      <c r="K2061"/>
      <c r="L2061"/>
    </row>
    <row r="2062" spans="2:12" x14ac:dyDescent="0.2">
      <c r="B2062"/>
      <c r="C2062"/>
      <c r="J2062"/>
      <c r="K2062"/>
      <c r="L2062"/>
    </row>
    <row r="2063" spans="2:12" x14ac:dyDescent="0.2">
      <c r="B2063"/>
      <c r="C2063"/>
      <c r="J2063"/>
      <c r="K2063"/>
      <c r="L2063"/>
    </row>
    <row r="2064" spans="2:12" x14ac:dyDescent="0.2">
      <c r="B2064"/>
      <c r="C2064"/>
      <c r="J2064"/>
      <c r="K2064"/>
      <c r="L2064"/>
    </row>
    <row r="2065" spans="2:12" x14ac:dyDescent="0.2">
      <c r="B2065"/>
      <c r="C2065"/>
      <c r="J2065"/>
      <c r="K2065"/>
      <c r="L2065"/>
    </row>
    <row r="2066" spans="2:12" x14ac:dyDescent="0.2">
      <c r="B2066"/>
      <c r="C2066"/>
      <c r="J2066"/>
      <c r="K2066"/>
      <c r="L2066"/>
    </row>
    <row r="2067" spans="2:12" x14ac:dyDescent="0.2">
      <c r="B2067"/>
      <c r="C2067"/>
      <c r="J2067"/>
      <c r="K2067"/>
      <c r="L2067"/>
    </row>
    <row r="2068" spans="2:12" x14ac:dyDescent="0.2">
      <c r="B2068"/>
      <c r="C2068"/>
      <c r="J2068"/>
      <c r="K2068"/>
      <c r="L2068"/>
    </row>
    <row r="2069" spans="2:12" x14ac:dyDescent="0.2">
      <c r="B2069"/>
      <c r="C2069"/>
      <c r="J2069"/>
      <c r="K2069"/>
      <c r="L2069"/>
    </row>
    <row r="2070" spans="2:12" x14ac:dyDescent="0.2">
      <c r="B2070"/>
      <c r="C2070"/>
      <c r="J2070"/>
      <c r="K2070"/>
      <c r="L2070"/>
    </row>
    <row r="2071" spans="2:12" x14ac:dyDescent="0.2">
      <c r="B2071"/>
      <c r="C2071"/>
      <c r="J2071"/>
      <c r="K2071"/>
      <c r="L2071"/>
    </row>
    <row r="2072" spans="2:12" x14ac:dyDescent="0.2">
      <c r="B2072"/>
      <c r="C2072"/>
      <c r="J2072"/>
      <c r="K2072"/>
      <c r="L2072"/>
    </row>
    <row r="2073" spans="2:12" x14ac:dyDescent="0.2">
      <c r="B2073"/>
      <c r="C2073"/>
      <c r="J2073"/>
      <c r="K2073"/>
      <c r="L2073"/>
    </row>
    <row r="2074" spans="2:12" x14ac:dyDescent="0.2">
      <c r="B2074"/>
      <c r="C2074"/>
      <c r="J2074"/>
      <c r="K2074"/>
      <c r="L2074"/>
    </row>
    <row r="2075" spans="2:12" x14ac:dyDescent="0.2">
      <c r="B2075"/>
      <c r="C2075"/>
      <c r="J2075"/>
      <c r="K2075"/>
      <c r="L2075"/>
    </row>
    <row r="2076" spans="2:12" x14ac:dyDescent="0.2">
      <c r="B2076"/>
      <c r="C2076"/>
      <c r="J2076"/>
      <c r="K2076"/>
      <c r="L2076"/>
    </row>
    <row r="2077" spans="2:12" x14ac:dyDescent="0.2">
      <c r="B2077"/>
      <c r="C2077"/>
      <c r="J2077"/>
      <c r="K2077"/>
      <c r="L2077"/>
    </row>
    <row r="2078" spans="2:12" x14ac:dyDescent="0.2">
      <c r="B2078"/>
      <c r="C2078"/>
      <c r="J2078"/>
      <c r="K2078"/>
      <c r="L2078"/>
    </row>
    <row r="2079" spans="2:12" x14ac:dyDescent="0.2">
      <c r="B2079"/>
      <c r="C2079"/>
      <c r="J2079"/>
      <c r="K2079"/>
      <c r="L2079"/>
    </row>
    <row r="2080" spans="2:12" x14ac:dyDescent="0.2">
      <c r="B2080"/>
      <c r="C2080"/>
      <c r="J2080"/>
      <c r="K2080"/>
      <c r="L2080"/>
    </row>
    <row r="2081" spans="2:12" x14ac:dyDescent="0.2">
      <c r="B2081"/>
      <c r="C2081"/>
      <c r="J2081"/>
      <c r="K2081"/>
      <c r="L2081"/>
    </row>
    <row r="2082" spans="2:12" x14ac:dyDescent="0.2">
      <c r="B2082"/>
      <c r="C2082"/>
      <c r="J2082"/>
      <c r="K2082"/>
      <c r="L2082"/>
    </row>
    <row r="2083" spans="2:12" x14ac:dyDescent="0.2">
      <c r="B2083"/>
      <c r="C2083"/>
      <c r="J2083"/>
      <c r="K2083"/>
      <c r="L2083"/>
    </row>
    <row r="2084" spans="2:12" x14ac:dyDescent="0.2">
      <c r="B2084"/>
      <c r="C2084"/>
      <c r="J2084"/>
      <c r="K2084"/>
      <c r="L2084"/>
    </row>
    <row r="2085" spans="2:12" x14ac:dyDescent="0.2">
      <c r="B2085"/>
      <c r="C2085"/>
      <c r="J2085"/>
      <c r="K2085"/>
      <c r="L2085"/>
    </row>
    <row r="2086" spans="2:12" x14ac:dyDescent="0.2">
      <c r="B2086"/>
      <c r="C2086"/>
      <c r="J2086"/>
      <c r="K2086"/>
      <c r="L2086"/>
    </row>
    <row r="2087" spans="2:12" x14ac:dyDescent="0.2">
      <c r="B2087"/>
      <c r="C2087"/>
      <c r="J2087"/>
      <c r="K2087"/>
      <c r="L2087"/>
    </row>
    <row r="2088" spans="2:12" x14ac:dyDescent="0.2">
      <c r="B2088"/>
      <c r="C2088"/>
      <c r="J2088"/>
      <c r="K2088"/>
      <c r="L2088"/>
    </row>
    <row r="2089" spans="2:12" x14ac:dyDescent="0.2">
      <c r="B2089"/>
      <c r="C2089"/>
      <c r="J2089"/>
      <c r="K2089"/>
      <c r="L2089"/>
    </row>
    <row r="2090" spans="2:12" x14ac:dyDescent="0.2">
      <c r="B2090"/>
      <c r="C2090"/>
      <c r="J2090"/>
      <c r="K2090"/>
      <c r="L2090"/>
    </row>
    <row r="2091" spans="2:12" x14ac:dyDescent="0.2">
      <c r="B2091"/>
      <c r="C2091"/>
      <c r="J2091"/>
      <c r="K2091"/>
      <c r="L2091"/>
    </row>
    <row r="2092" spans="2:12" x14ac:dyDescent="0.2">
      <c r="B2092"/>
      <c r="C2092"/>
      <c r="J2092"/>
      <c r="K2092"/>
      <c r="L2092"/>
    </row>
    <row r="2093" spans="2:12" x14ac:dyDescent="0.2">
      <c r="B2093"/>
      <c r="C2093"/>
      <c r="J2093"/>
      <c r="K2093"/>
      <c r="L2093"/>
    </row>
    <row r="2094" spans="2:12" x14ac:dyDescent="0.2">
      <c r="B2094"/>
      <c r="C2094"/>
      <c r="J2094"/>
      <c r="K2094"/>
      <c r="L2094"/>
    </row>
    <row r="2095" spans="2:12" x14ac:dyDescent="0.2">
      <c r="B2095"/>
      <c r="C2095"/>
      <c r="J2095"/>
      <c r="K2095"/>
      <c r="L2095"/>
    </row>
    <row r="2096" spans="2:12" x14ac:dyDescent="0.2">
      <c r="B2096"/>
      <c r="C2096"/>
      <c r="J2096"/>
      <c r="K2096"/>
      <c r="L2096"/>
    </row>
    <row r="2097" spans="2:12" x14ac:dyDescent="0.2">
      <c r="B2097"/>
      <c r="C2097"/>
      <c r="J2097"/>
      <c r="K2097"/>
      <c r="L2097"/>
    </row>
    <row r="2098" spans="2:12" x14ac:dyDescent="0.2">
      <c r="B2098"/>
      <c r="C2098"/>
      <c r="J2098"/>
      <c r="K2098"/>
      <c r="L2098"/>
    </row>
    <row r="2099" spans="2:12" x14ac:dyDescent="0.2">
      <c r="B2099"/>
      <c r="C2099"/>
      <c r="J2099"/>
      <c r="K2099"/>
      <c r="L2099"/>
    </row>
    <row r="2100" spans="2:12" x14ac:dyDescent="0.2">
      <c r="B2100"/>
      <c r="C2100"/>
      <c r="J2100"/>
      <c r="K2100"/>
      <c r="L2100"/>
    </row>
    <row r="2101" spans="2:12" x14ac:dyDescent="0.2">
      <c r="B2101"/>
      <c r="C2101"/>
      <c r="J2101"/>
      <c r="K2101"/>
      <c r="L2101"/>
    </row>
    <row r="2102" spans="2:12" x14ac:dyDescent="0.2">
      <c r="B2102"/>
      <c r="C2102"/>
      <c r="J2102"/>
      <c r="K2102"/>
      <c r="L2102"/>
    </row>
    <row r="2103" spans="2:12" x14ac:dyDescent="0.2">
      <c r="B2103"/>
      <c r="C2103"/>
      <c r="J2103"/>
      <c r="K2103"/>
      <c r="L2103"/>
    </row>
    <row r="2104" spans="2:12" x14ac:dyDescent="0.2">
      <c r="B2104"/>
      <c r="C2104"/>
      <c r="J2104"/>
      <c r="K2104"/>
      <c r="L2104"/>
    </row>
    <row r="2105" spans="2:12" x14ac:dyDescent="0.2">
      <c r="B2105"/>
      <c r="C2105"/>
      <c r="J2105"/>
      <c r="K2105"/>
      <c r="L2105"/>
    </row>
    <row r="2106" spans="2:12" x14ac:dyDescent="0.2">
      <c r="B2106"/>
      <c r="C2106"/>
      <c r="J2106"/>
      <c r="K2106"/>
      <c r="L2106"/>
    </row>
    <row r="2107" spans="2:12" x14ac:dyDescent="0.2">
      <c r="B2107"/>
      <c r="C2107"/>
      <c r="J2107"/>
      <c r="K2107"/>
      <c r="L2107"/>
    </row>
    <row r="2108" spans="2:12" x14ac:dyDescent="0.2">
      <c r="B2108"/>
      <c r="C2108"/>
      <c r="J2108"/>
      <c r="K2108"/>
      <c r="L2108"/>
    </row>
    <row r="2109" spans="2:12" x14ac:dyDescent="0.2">
      <c r="B2109"/>
      <c r="C2109"/>
      <c r="J2109"/>
      <c r="K2109"/>
      <c r="L2109"/>
    </row>
    <row r="2110" spans="2:12" x14ac:dyDescent="0.2">
      <c r="B2110"/>
      <c r="C2110"/>
      <c r="J2110"/>
      <c r="K2110"/>
      <c r="L2110"/>
    </row>
    <row r="2111" spans="2:12" x14ac:dyDescent="0.2">
      <c r="B2111"/>
      <c r="C2111"/>
      <c r="J2111"/>
      <c r="K2111"/>
      <c r="L2111"/>
    </row>
    <row r="2112" spans="2:12" x14ac:dyDescent="0.2">
      <c r="B2112"/>
      <c r="C2112"/>
      <c r="J2112"/>
      <c r="K2112"/>
      <c r="L2112"/>
    </row>
    <row r="2113" spans="2:12" x14ac:dyDescent="0.2">
      <c r="B2113"/>
      <c r="C2113"/>
      <c r="J2113"/>
      <c r="K2113"/>
      <c r="L2113"/>
    </row>
    <row r="2114" spans="2:12" x14ac:dyDescent="0.2">
      <c r="B2114"/>
      <c r="C2114"/>
      <c r="J2114"/>
      <c r="K2114"/>
      <c r="L2114"/>
    </row>
    <row r="2115" spans="2:12" x14ac:dyDescent="0.2">
      <c r="B2115"/>
      <c r="C2115"/>
      <c r="J2115"/>
      <c r="K2115"/>
      <c r="L2115"/>
    </row>
    <row r="2116" spans="2:12" x14ac:dyDescent="0.2">
      <c r="B2116"/>
      <c r="C2116"/>
      <c r="J2116"/>
      <c r="K2116"/>
      <c r="L2116"/>
    </row>
    <row r="2117" spans="2:12" x14ac:dyDescent="0.2">
      <c r="B2117"/>
      <c r="C2117"/>
      <c r="J2117"/>
      <c r="K2117"/>
      <c r="L2117"/>
    </row>
    <row r="2118" spans="2:12" x14ac:dyDescent="0.2">
      <c r="B2118"/>
      <c r="C2118"/>
      <c r="J2118"/>
      <c r="K2118"/>
      <c r="L2118"/>
    </row>
    <row r="2119" spans="2:12" x14ac:dyDescent="0.2">
      <c r="B2119"/>
      <c r="C2119"/>
      <c r="J2119"/>
      <c r="K2119"/>
      <c r="L2119"/>
    </row>
    <row r="2120" spans="2:12" x14ac:dyDescent="0.2">
      <c r="B2120"/>
      <c r="C2120"/>
      <c r="J2120"/>
      <c r="K2120"/>
      <c r="L2120"/>
    </row>
    <row r="2121" spans="2:12" x14ac:dyDescent="0.2">
      <c r="B2121"/>
      <c r="C2121"/>
      <c r="J2121"/>
      <c r="K2121"/>
      <c r="L2121"/>
    </row>
    <row r="2122" spans="2:12" x14ac:dyDescent="0.2">
      <c r="B2122"/>
      <c r="C2122"/>
      <c r="J2122"/>
      <c r="K2122"/>
      <c r="L2122"/>
    </row>
    <row r="2123" spans="2:12" x14ac:dyDescent="0.2">
      <c r="B2123"/>
      <c r="C2123"/>
      <c r="J2123"/>
      <c r="K2123"/>
      <c r="L2123"/>
    </row>
    <row r="2124" spans="2:12" x14ac:dyDescent="0.2">
      <c r="B2124"/>
      <c r="C2124"/>
      <c r="J2124"/>
      <c r="K2124"/>
      <c r="L2124"/>
    </row>
    <row r="2125" spans="2:12" x14ac:dyDescent="0.2">
      <c r="B2125"/>
      <c r="C2125"/>
      <c r="J2125"/>
      <c r="K2125"/>
      <c r="L2125"/>
    </row>
    <row r="2126" spans="2:12" x14ac:dyDescent="0.2">
      <c r="B2126"/>
      <c r="C2126"/>
      <c r="J2126"/>
      <c r="K2126"/>
      <c r="L2126"/>
    </row>
    <row r="2127" spans="2:12" x14ac:dyDescent="0.2">
      <c r="B2127"/>
      <c r="C2127"/>
      <c r="J2127"/>
      <c r="K2127"/>
      <c r="L2127"/>
    </row>
    <row r="2128" spans="2:12" x14ac:dyDescent="0.2">
      <c r="B2128"/>
      <c r="C2128"/>
      <c r="J2128"/>
      <c r="K2128"/>
      <c r="L2128"/>
    </row>
    <row r="2129" spans="2:12" x14ac:dyDescent="0.2">
      <c r="B2129"/>
      <c r="C2129"/>
      <c r="J2129"/>
      <c r="K2129"/>
      <c r="L2129"/>
    </row>
    <row r="2130" spans="2:12" x14ac:dyDescent="0.2">
      <c r="B2130"/>
      <c r="C2130"/>
      <c r="J2130"/>
      <c r="K2130"/>
      <c r="L2130"/>
    </row>
    <row r="2131" spans="2:12" x14ac:dyDescent="0.2">
      <c r="B2131"/>
      <c r="C2131"/>
      <c r="J2131"/>
      <c r="K2131"/>
      <c r="L2131"/>
    </row>
    <row r="2132" spans="2:12" x14ac:dyDescent="0.2">
      <c r="B2132"/>
      <c r="C2132"/>
      <c r="J2132"/>
      <c r="K2132"/>
      <c r="L2132"/>
    </row>
    <row r="2133" spans="2:12" x14ac:dyDescent="0.2">
      <c r="B2133"/>
      <c r="C2133"/>
      <c r="J2133"/>
      <c r="K2133"/>
      <c r="L2133"/>
    </row>
    <row r="2134" spans="2:12" x14ac:dyDescent="0.2">
      <c r="B2134"/>
      <c r="C2134"/>
      <c r="J2134"/>
      <c r="K2134"/>
      <c r="L2134"/>
    </row>
    <row r="2135" spans="2:12" x14ac:dyDescent="0.2">
      <c r="B2135"/>
      <c r="C2135"/>
      <c r="J2135"/>
      <c r="K2135"/>
      <c r="L2135"/>
    </row>
    <row r="2136" spans="2:12" x14ac:dyDescent="0.2">
      <c r="B2136"/>
      <c r="C2136"/>
      <c r="J2136"/>
      <c r="K2136"/>
      <c r="L2136"/>
    </row>
    <row r="2137" spans="2:12" x14ac:dyDescent="0.2">
      <c r="B2137"/>
      <c r="C2137"/>
      <c r="J2137"/>
      <c r="K2137"/>
      <c r="L2137"/>
    </row>
    <row r="2138" spans="2:12" x14ac:dyDescent="0.2">
      <c r="B2138"/>
      <c r="C2138"/>
      <c r="J2138"/>
      <c r="K2138"/>
      <c r="L2138"/>
    </row>
    <row r="2139" spans="2:12" x14ac:dyDescent="0.2">
      <c r="B2139"/>
      <c r="C2139"/>
      <c r="J2139"/>
      <c r="K2139"/>
      <c r="L2139"/>
    </row>
    <row r="2140" spans="2:12" x14ac:dyDescent="0.2">
      <c r="B2140"/>
      <c r="C2140"/>
      <c r="J2140"/>
      <c r="K2140"/>
      <c r="L2140"/>
    </row>
    <row r="2141" spans="2:12" x14ac:dyDescent="0.2">
      <c r="B2141"/>
      <c r="C2141"/>
      <c r="J2141"/>
      <c r="K2141"/>
      <c r="L2141"/>
    </row>
    <row r="2142" spans="2:12" x14ac:dyDescent="0.2">
      <c r="B2142"/>
      <c r="C2142"/>
      <c r="J2142"/>
      <c r="K2142"/>
      <c r="L2142"/>
    </row>
    <row r="2143" spans="2:12" x14ac:dyDescent="0.2">
      <c r="B2143"/>
      <c r="C2143"/>
      <c r="J2143"/>
      <c r="K2143"/>
      <c r="L2143"/>
    </row>
    <row r="2144" spans="2:12" x14ac:dyDescent="0.2">
      <c r="B2144"/>
      <c r="C2144"/>
      <c r="J2144"/>
      <c r="K2144"/>
      <c r="L2144"/>
    </row>
    <row r="2145" spans="2:12" x14ac:dyDescent="0.2">
      <c r="B2145"/>
      <c r="C2145"/>
      <c r="J2145"/>
      <c r="K2145"/>
      <c r="L2145"/>
    </row>
    <row r="2146" spans="2:12" x14ac:dyDescent="0.2">
      <c r="B2146"/>
      <c r="C2146"/>
      <c r="J2146"/>
      <c r="K2146"/>
      <c r="L2146"/>
    </row>
    <row r="2147" spans="2:12" x14ac:dyDescent="0.2">
      <c r="B2147"/>
      <c r="C2147"/>
      <c r="J2147"/>
      <c r="K2147"/>
      <c r="L2147"/>
    </row>
    <row r="2148" spans="2:12" x14ac:dyDescent="0.2">
      <c r="B2148"/>
      <c r="C2148"/>
      <c r="J2148"/>
      <c r="K2148"/>
      <c r="L2148"/>
    </row>
    <row r="2149" spans="2:12" x14ac:dyDescent="0.2">
      <c r="B2149"/>
      <c r="C2149"/>
      <c r="J2149"/>
      <c r="K2149"/>
      <c r="L2149"/>
    </row>
    <row r="2150" spans="2:12" x14ac:dyDescent="0.2">
      <c r="B2150"/>
      <c r="C2150"/>
      <c r="J2150"/>
      <c r="K2150"/>
      <c r="L2150"/>
    </row>
    <row r="2151" spans="2:12" x14ac:dyDescent="0.2">
      <c r="B2151"/>
      <c r="C2151"/>
      <c r="J2151"/>
      <c r="K2151"/>
      <c r="L2151"/>
    </row>
    <row r="2152" spans="2:12" x14ac:dyDescent="0.2">
      <c r="B2152"/>
      <c r="C2152"/>
      <c r="J2152"/>
      <c r="K2152"/>
      <c r="L2152"/>
    </row>
    <row r="2153" spans="2:12" x14ac:dyDescent="0.2">
      <c r="B2153"/>
      <c r="C2153"/>
      <c r="J2153"/>
      <c r="K2153"/>
      <c r="L2153"/>
    </row>
    <row r="2154" spans="2:12" x14ac:dyDescent="0.2">
      <c r="B2154"/>
      <c r="C2154"/>
      <c r="J2154"/>
      <c r="K2154"/>
      <c r="L2154"/>
    </row>
    <row r="2155" spans="2:12" x14ac:dyDescent="0.2">
      <c r="B2155"/>
      <c r="C2155"/>
      <c r="J2155"/>
      <c r="K2155"/>
      <c r="L2155"/>
    </row>
    <row r="2156" spans="2:12" x14ac:dyDescent="0.2">
      <c r="B2156"/>
      <c r="C2156"/>
      <c r="J2156"/>
      <c r="K2156"/>
      <c r="L2156"/>
    </row>
    <row r="2157" spans="2:12" x14ac:dyDescent="0.2">
      <c r="B2157"/>
      <c r="C2157"/>
      <c r="J2157"/>
      <c r="K2157"/>
      <c r="L2157"/>
    </row>
    <row r="2158" spans="2:12" x14ac:dyDescent="0.2">
      <c r="B2158"/>
      <c r="C2158"/>
      <c r="J2158"/>
      <c r="K2158"/>
      <c r="L2158"/>
    </row>
    <row r="2159" spans="2:12" x14ac:dyDescent="0.2">
      <c r="B2159"/>
      <c r="C2159"/>
      <c r="J2159"/>
      <c r="K2159"/>
      <c r="L2159"/>
    </row>
    <row r="2160" spans="2:12" x14ac:dyDescent="0.2">
      <c r="B2160"/>
      <c r="C2160"/>
      <c r="J2160"/>
      <c r="K2160"/>
      <c r="L2160"/>
    </row>
    <row r="2161" spans="2:12" x14ac:dyDescent="0.2">
      <c r="B2161"/>
      <c r="C2161"/>
      <c r="J2161"/>
      <c r="K2161"/>
      <c r="L2161"/>
    </row>
    <row r="2162" spans="2:12" x14ac:dyDescent="0.2">
      <c r="B2162"/>
      <c r="C2162"/>
      <c r="J2162"/>
      <c r="K2162"/>
      <c r="L2162"/>
    </row>
    <row r="2163" spans="2:12" x14ac:dyDescent="0.2">
      <c r="B2163"/>
      <c r="C2163"/>
      <c r="J2163"/>
      <c r="K2163"/>
      <c r="L2163"/>
    </row>
    <row r="2164" spans="2:12" x14ac:dyDescent="0.2">
      <c r="B2164"/>
      <c r="C2164"/>
      <c r="J2164"/>
      <c r="K2164"/>
      <c r="L2164"/>
    </row>
    <row r="2165" spans="2:12" x14ac:dyDescent="0.2">
      <c r="B2165"/>
      <c r="C2165"/>
      <c r="J2165"/>
      <c r="K2165"/>
      <c r="L2165"/>
    </row>
    <row r="2166" spans="2:12" x14ac:dyDescent="0.2">
      <c r="B2166"/>
      <c r="C2166"/>
      <c r="J2166"/>
      <c r="K2166"/>
      <c r="L2166"/>
    </row>
    <row r="2167" spans="2:12" x14ac:dyDescent="0.2">
      <c r="B2167"/>
      <c r="C2167"/>
      <c r="J2167"/>
      <c r="K2167"/>
      <c r="L2167"/>
    </row>
    <row r="2168" spans="2:12" x14ac:dyDescent="0.2">
      <c r="B2168"/>
      <c r="C2168"/>
      <c r="J2168"/>
      <c r="K2168"/>
      <c r="L2168"/>
    </row>
    <row r="2169" spans="2:12" x14ac:dyDescent="0.2">
      <c r="B2169"/>
      <c r="C2169"/>
      <c r="J2169"/>
      <c r="K2169"/>
      <c r="L2169"/>
    </row>
    <row r="2170" spans="2:12" x14ac:dyDescent="0.2">
      <c r="B2170"/>
      <c r="C2170"/>
      <c r="J2170"/>
      <c r="K2170"/>
      <c r="L2170"/>
    </row>
    <row r="2171" spans="2:12" x14ac:dyDescent="0.2">
      <c r="B2171"/>
      <c r="C2171"/>
      <c r="J2171"/>
      <c r="K2171"/>
      <c r="L2171"/>
    </row>
    <row r="2172" spans="2:12" x14ac:dyDescent="0.2">
      <c r="B2172"/>
      <c r="C2172"/>
      <c r="J2172"/>
      <c r="K2172"/>
      <c r="L2172"/>
    </row>
    <row r="2173" spans="2:12" x14ac:dyDescent="0.2">
      <c r="B2173"/>
      <c r="C2173"/>
      <c r="J2173"/>
      <c r="K2173"/>
      <c r="L2173"/>
    </row>
    <row r="2174" spans="2:12" x14ac:dyDescent="0.2">
      <c r="B2174"/>
      <c r="C2174"/>
      <c r="J2174"/>
      <c r="K2174"/>
      <c r="L2174"/>
    </row>
    <row r="2175" spans="2:12" x14ac:dyDescent="0.2">
      <c r="B2175"/>
      <c r="C2175"/>
      <c r="J2175"/>
      <c r="K2175"/>
      <c r="L2175"/>
    </row>
    <row r="2176" spans="2:12" x14ac:dyDescent="0.2">
      <c r="B2176"/>
      <c r="C2176"/>
      <c r="J2176"/>
      <c r="K2176"/>
      <c r="L2176"/>
    </row>
    <row r="2177" spans="2:12" x14ac:dyDescent="0.2">
      <c r="B2177"/>
      <c r="C2177"/>
      <c r="J2177"/>
      <c r="K2177"/>
      <c r="L2177"/>
    </row>
    <row r="2178" spans="2:12" x14ac:dyDescent="0.2">
      <c r="B2178"/>
      <c r="C2178"/>
      <c r="J2178"/>
      <c r="K2178"/>
      <c r="L2178"/>
    </row>
    <row r="2179" spans="2:12" x14ac:dyDescent="0.2">
      <c r="B2179"/>
      <c r="C2179"/>
      <c r="J2179"/>
      <c r="K2179"/>
      <c r="L2179"/>
    </row>
    <row r="2180" spans="2:12" x14ac:dyDescent="0.2">
      <c r="B2180"/>
      <c r="C2180"/>
      <c r="J2180"/>
      <c r="K2180"/>
      <c r="L2180"/>
    </row>
    <row r="2181" spans="2:12" x14ac:dyDescent="0.2">
      <c r="B2181"/>
      <c r="C2181"/>
      <c r="J2181"/>
      <c r="K2181"/>
      <c r="L2181"/>
    </row>
    <row r="2182" spans="2:12" x14ac:dyDescent="0.2">
      <c r="B2182"/>
      <c r="C2182"/>
      <c r="J2182"/>
      <c r="K2182"/>
      <c r="L2182"/>
    </row>
    <row r="2183" spans="2:12" x14ac:dyDescent="0.2">
      <c r="B2183"/>
      <c r="C2183"/>
      <c r="J2183"/>
      <c r="K2183"/>
      <c r="L2183"/>
    </row>
    <row r="2184" spans="2:12" x14ac:dyDescent="0.2">
      <c r="B2184"/>
      <c r="C2184"/>
      <c r="J2184"/>
      <c r="K2184"/>
      <c r="L2184"/>
    </row>
    <row r="2185" spans="2:12" x14ac:dyDescent="0.2">
      <c r="B2185"/>
      <c r="C2185"/>
      <c r="J2185"/>
      <c r="K2185"/>
      <c r="L2185"/>
    </row>
    <row r="2186" spans="2:12" x14ac:dyDescent="0.2">
      <c r="B2186"/>
      <c r="C2186"/>
      <c r="J2186"/>
      <c r="K2186"/>
      <c r="L2186"/>
    </row>
    <row r="2187" spans="2:12" x14ac:dyDescent="0.2">
      <c r="B2187"/>
      <c r="C2187"/>
      <c r="J2187"/>
      <c r="K2187"/>
      <c r="L2187"/>
    </row>
    <row r="2188" spans="2:12" x14ac:dyDescent="0.2">
      <c r="B2188"/>
      <c r="C2188"/>
      <c r="J2188"/>
      <c r="K2188"/>
      <c r="L2188"/>
    </row>
    <row r="2189" spans="2:12" x14ac:dyDescent="0.2">
      <c r="B2189"/>
      <c r="C2189"/>
      <c r="J2189"/>
      <c r="K2189"/>
      <c r="L2189"/>
    </row>
    <row r="2190" spans="2:12" x14ac:dyDescent="0.2">
      <c r="B2190"/>
      <c r="C2190"/>
      <c r="J2190"/>
      <c r="K2190"/>
      <c r="L2190"/>
    </row>
    <row r="2191" spans="2:12" x14ac:dyDescent="0.2">
      <c r="B2191"/>
      <c r="C2191"/>
      <c r="J2191"/>
      <c r="K2191"/>
      <c r="L2191"/>
    </row>
    <row r="2192" spans="2:12" x14ac:dyDescent="0.2">
      <c r="B2192"/>
      <c r="C2192"/>
      <c r="J2192"/>
      <c r="K2192"/>
      <c r="L2192"/>
    </row>
    <row r="2193" spans="2:12" x14ac:dyDescent="0.2">
      <c r="B2193"/>
      <c r="C2193"/>
      <c r="J2193"/>
      <c r="K2193"/>
      <c r="L2193"/>
    </row>
    <row r="2194" spans="2:12" x14ac:dyDescent="0.2">
      <c r="B2194"/>
      <c r="C2194"/>
      <c r="J2194"/>
      <c r="K2194"/>
      <c r="L2194"/>
    </row>
    <row r="2195" spans="2:12" x14ac:dyDescent="0.2">
      <c r="B2195"/>
      <c r="C2195"/>
      <c r="J2195"/>
      <c r="K2195"/>
      <c r="L2195"/>
    </row>
    <row r="2196" spans="2:12" x14ac:dyDescent="0.2">
      <c r="B2196"/>
      <c r="C2196"/>
      <c r="J2196"/>
      <c r="K2196"/>
      <c r="L2196"/>
    </row>
    <row r="2197" spans="2:12" x14ac:dyDescent="0.2">
      <c r="B2197"/>
      <c r="C2197"/>
      <c r="J2197"/>
      <c r="K2197"/>
      <c r="L2197"/>
    </row>
    <row r="2198" spans="2:12" x14ac:dyDescent="0.2">
      <c r="B2198"/>
      <c r="C2198"/>
      <c r="J2198"/>
      <c r="K2198"/>
      <c r="L2198"/>
    </row>
    <row r="2199" spans="2:12" x14ac:dyDescent="0.2">
      <c r="B2199"/>
      <c r="C2199"/>
      <c r="J2199"/>
      <c r="K2199"/>
      <c r="L2199"/>
    </row>
    <row r="2200" spans="2:12" x14ac:dyDescent="0.2">
      <c r="B2200"/>
      <c r="C2200"/>
      <c r="J2200"/>
      <c r="K2200"/>
      <c r="L2200"/>
    </row>
    <row r="2201" spans="2:12" x14ac:dyDescent="0.2">
      <c r="B2201"/>
      <c r="C2201"/>
      <c r="J2201"/>
      <c r="K2201"/>
      <c r="L2201"/>
    </row>
    <row r="2202" spans="2:12" x14ac:dyDescent="0.2">
      <c r="B2202"/>
      <c r="C2202"/>
      <c r="J2202"/>
      <c r="K2202"/>
      <c r="L2202"/>
    </row>
    <row r="2203" spans="2:12" x14ac:dyDescent="0.2">
      <c r="B2203"/>
      <c r="C2203"/>
      <c r="J2203"/>
      <c r="K2203"/>
      <c r="L2203"/>
    </row>
    <row r="2204" spans="2:12" x14ac:dyDescent="0.2">
      <c r="B2204"/>
      <c r="C2204"/>
      <c r="J2204"/>
      <c r="K2204"/>
      <c r="L2204"/>
    </row>
    <row r="2205" spans="2:12" x14ac:dyDescent="0.2">
      <c r="B2205"/>
      <c r="C2205"/>
      <c r="J2205"/>
      <c r="K2205"/>
      <c r="L2205"/>
    </row>
    <row r="2206" spans="2:12" x14ac:dyDescent="0.2">
      <c r="B2206"/>
      <c r="C2206"/>
      <c r="J2206"/>
      <c r="K2206"/>
      <c r="L2206"/>
    </row>
    <row r="2207" spans="2:12" x14ac:dyDescent="0.2">
      <c r="B2207"/>
      <c r="C2207"/>
      <c r="J2207"/>
      <c r="K2207"/>
      <c r="L2207"/>
    </row>
    <row r="2208" spans="2:12" x14ac:dyDescent="0.2">
      <c r="B2208"/>
      <c r="C2208"/>
      <c r="J2208"/>
      <c r="K2208"/>
      <c r="L2208"/>
    </row>
    <row r="2209" spans="2:12" x14ac:dyDescent="0.2">
      <c r="B2209"/>
      <c r="C2209"/>
      <c r="J2209"/>
      <c r="K2209"/>
      <c r="L2209"/>
    </row>
    <row r="2210" spans="2:12" x14ac:dyDescent="0.2">
      <c r="B2210"/>
      <c r="C2210"/>
      <c r="J2210"/>
      <c r="K2210"/>
      <c r="L2210"/>
    </row>
    <row r="2211" spans="2:12" x14ac:dyDescent="0.2">
      <c r="B2211"/>
      <c r="C2211"/>
      <c r="J2211"/>
      <c r="K2211"/>
      <c r="L2211"/>
    </row>
    <row r="2212" spans="2:12" x14ac:dyDescent="0.2">
      <c r="B2212"/>
      <c r="C2212"/>
      <c r="J2212"/>
      <c r="K2212"/>
      <c r="L2212"/>
    </row>
    <row r="2213" spans="2:12" x14ac:dyDescent="0.2">
      <c r="B2213"/>
      <c r="C2213"/>
      <c r="J2213"/>
      <c r="K2213"/>
      <c r="L2213"/>
    </row>
    <row r="2214" spans="2:12" x14ac:dyDescent="0.2">
      <c r="B2214"/>
      <c r="C2214"/>
      <c r="J2214"/>
      <c r="K2214"/>
      <c r="L2214"/>
    </row>
    <row r="2215" spans="2:12" x14ac:dyDescent="0.2">
      <c r="B2215"/>
      <c r="C2215"/>
      <c r="J2215"/>
      <c r="K2215"/>
      <c r="L2215"/>
    </row>
    <row r="2216" spans="2:12" x14ac:dyDescent="0.2">
      <c r="B2216"/>
      <c r="C2216"/>
      <c r="J2216"/>
      <c r="K2216"/>
      <c r="L2216"/>
    </row>
    <row r="2217" spans="2:12" x14ac:dyDescent="0.2">
      <c r="B2217"/>
      <c r="C2217"/>
      <c r="J2217"/>
      <c r="K2217"/>
      <c r="L2217"/>
    </row>
    <row r="2218" spans="2:12" x14ac:dyDescent="0.2">
      <c r="B2218"/>
      <c r="C2218"/>
      <c r="J2218"/>
      <c r="K2218"/>
      <c r="L2218"/>
    </row>
    <row r="2219" spans="2:12" x14ac:dyDescent="0.2">
      <c r="B2219"/>
      <c r="C2219"/>
      <c r="J2219"/>
      <c r="K2219"/>
      <c r="L2219"/>
    </row>
    <row r="2220" spans="2:12" x14ac:dyDescent="0.2">
      <c r="B2220"/>
      <c r="C2220"/>
      <c r="J2220"/>
      <c r="K2220"/>
      <c r="L2220"/>
    </row>
    <row r="2221" spans="2:12" x14ac:dyDescent="0.2">
      <c r="B2221"/>
      <c r="C2221"/>
      <c r="J2221"/>
      <c r="K2221"/>
      <c r="L2221"/>
    </row>
    <row r="2222" spans="2:12" x14ac:dyDescent="0.2">
      <c r="B2222"/>
      <c r="C2222"/>
      <c r="J2222"/>
      <c r="K2222"/>
      <c r="L2222"/>
    </row>
    <row r="2223" spans="2:12" x14ac:dyDescent="0.2">
      <c r="B2223"/>
      <c r="C2223"/>
      <c r="J2223"/>
      <c r="K2223"/>
      <c r="L2223"/>
    </row>
    <row r="2224" spans="2:12" x14ac:dyDescent="0.2">
      <c r="B2224"/>
      <c r="C2224"/>
      <c r="J2224"/>
      <c r="K2224"/>
      <c r="L2224"/>
    </row>
    <row r="2225" spans="2:12" x14ac:dyDescent="0.2">
      <c r="B2225"/>
      <c r="C2225"/>
      <c r="J2225"/>
      <c r="K2225"/>
      <c r="L2225"/>
    </row>
    <row r="2226" spans="2:12" x14ac:dyDescent="0.2">
      <c r="B2226"/>
      <c r="C2226"/>
      <c r="J2226"/>
      <c r="K2226"/>
      <c r="L2226"/>
    </row>
    <row r="2227" spans="2:12" x14ac:dyDescent="0.2">
      <c r="B2227"/>
      <c r="C2227"/>
      <c r="J2227"/>
      <c r="K2227"/>
      <c r="L2227"/>
    </row>
    <row r="2228" spans="2:12" x14ac:dyDescent="0.2">
      <c r="B2228"/>
      <c r="C2228"/>
      <c r="J2228"/>
      <c r="K2228"/>
      <c r="L2228"/>
    </row>
    <row r="2229" spans="2:12" x14ac:dyDescent="0.2">
      <c r="B2229"/>
      <c r="C2229"/>
      <c r="J2229"/>
      <c r="K2229"/>
      <c r="L2229"/>
    </row>
    <row r="2230" spans="2:12" x14ac:dyDescent="0.2">
      <c r="B2230"/>
      <c r="C2230"/>
      <c r="J2230"/>
      <c r="K2230"/>
      <c r="L2230"/>
    </row>
    <row r="2231" spans="2:12" x14ac:dyDescent="0.2">
      <c r="B2231"/>
      <c r="C2231"/>
      <c r="J2231"/>
      <c r="K2231"/>
      <c r="L2231"/>
    </row>
    <row r="2232" spans="2:12" x14ac:dyDescent="0.2">
      <c r="B2232"/>
      <c r="C2232"/>
      <c r="J2232"/>
      <c r="K2232"/>
      <c r="L2232"/>
    </row>
    <row r="2233" spans="2:12" x14ac:dyDescent="0.2">
      <c r="B2233"/>
      <c r="C2233"/>
      <c r="J2233"/>
      <c r="K2233"/>
      <c r="L2233"/>
    </row>
    <row r="2234" spans="2:12" x14ac:dyDescent="0.2">
      <c r="B2234"/>
      <c r="C2234"/>
      <c r="J2234"/>
      <c r="K2234"/>
      <c r="L2234"/>
    </row>
    <row r="2235" spans="2:12" x14ac:dyDescent="0.2">
      <c r="B2235"/>
      <c r="C2235"/>
      <c r="J2235"/>
      <c r="K2235"/>
      <c r="L2235"/>
    </row>
    <row r="2236" spans="2:12" x14ac:dyDescent="0.2">
      <c r="B2236"/>
      <c r="C2236"/>
      <c r="J2236"/>
      <c r="K2236"/>
      <c r="L2236"/>
    </row>
    <row r="2237" spans="2:12" x14ac:dyDescent="0.2">
      <c r="B2237"/>
      <c r="C2237"/>
      <c r="J2237"/>
      <c r="K2237"/>
      <c r="L2237"/>
    </row>
    <row r="2238" spans="2:12" x14ac:dyDescent="0.2">
      <c r="B2238"/>
      <c r="C2238"/>
      <c r="J2238"/>
      <c r="K2238"/>
      <c r="L2238"/>
    </row>
    <row r="2239" spans="2:12" x14ac:dyDescent="0.2">
      <c r="B2239"/>
      <c r="C2239"/>
      <c r="J2239"/>
      <c r="K2239"/>
      <c r="L2239"/>
    </row>
    <row r="2240" spans="2:12" x14ac:dyDescent="0.2">
      <c r="B2240"/>
      <c r="C2240"/>
      <c r="J2240"/>
      <c r="K2240"/>
      <c r="L2240"/>
    </row>
    <row r="2241" spans="2:12" x14ac:dyDescent="0.2">
      <c r="B2241"/>
      <c r="C2241"/>
      <c r="J2241"/>
      <c r="K2241"/>
      <c r="L2241"/>
    </row>
    <row r="2242" spans="2:12" x14ac:dyDescent="0.2">
      <c r="B2242"/>
      <c r="C2242"/>
      <c r="J2242"/>
      <c r="K2242"/>
      <c r="L2242"/>
    </row>
    <row r="2243" spans="2:12" x14ac:dyDescent="0.2">
      <c r="B2243"/>
      <c r="C2243"/>
      <c r="J2243"/>
      <c r="K2243"/>
      <c r="L2243"/>
    </row>
    <row r="2244" spans="2:12" x14ac:dyDescent="0.2">
      <c r="B2244"/>
      <c r="C2244"/>
      <c r="J2244"/>
      <c r="K2244"/>
      <c r="L2244"/>
    </row>
    <row r="2245" spans="2:12" x14ac:dyDescent="0.2">
      <c r="B2245"/>
      <c r="C2245"/>
      <c r="J2245"/>
      <c r="K2245"/>
      <c r="L2245"/>
    </row>
    <row r="2246" spans="2:12" x14ac:dyDescent="0.2">
      <c r="B2246"/>
      <c r="C2246"/>
      <c r="J2246"/>
      <c r="K2246"/>
      <c r="L2246"/>
    </row>
    <row r="2247" spans="2:12" x14ac:dyDescent="0.2">
      <c r="B2247"/>
      <c r="C2247"/>
      <c r="J2247"/>
      <c r="K2247"/>
      <c r="L2247"/>
    </row>
    <row r="2248" spans="2:12" x14ac:dyDescent="0.2">
      <c r="B2248"/>
      <c r="C2248"/>
      <c r="J2248"/>
      <c r="K2248"/>
      <c r="L2248"/>
    </row>
    <row r="2249" spans="2:12" x14ac:dyDescent="0.2">
      <c r="B2249"/>
      <c r="C2249"/>
      <c r="J2249"/>
      <c r="K2249"/>
      <c r="L2249"/>
    </row>
    <row r="2250" spans="2:12" x14ac:dyDescent="0.2">
      <c r="B2250"/>
      <c r="C2250"/>
      <c r="J2250"/>
      <c r="K2250"/>
      <c r="L2250"/>
    </row>
    <row r="2251" spans="2:12" x14ac:dyDescent="0.2">
      <c r="B2251"/>
      <c r="C2251"/>
      <c r="J2251"/>
      <c r="K2251"/>
      <c r="L2251"/>
    </row>
    <row r="2252" spans="2:12" x14ac:dyDescent="0.2">
      <c r="B2252"/>
      <c r="C2252"/>
      <c r="J2252"/>
      <c r="K2252"/>
      <c r="L2252"/>
    </row>
    <row r="2253" spans="2:12" x14ac:dyDescent="0.2">
      <c r="B2253"/>
      <c r="C2253"/>
      <c r="J2253"/>
      <c r="K2253"/>
      <c r="L2253"/>
    </row>
    <row r="2254" spans="2:12" x14ac:dyDescent="0.2">
      <c r="B2254"/>
      <c r="C2254"/>
      <c r="J2254"/>
      <c r="K2254"/>
      <c r="L2254"/>
    </row>
    <row r="2255" spans="2:12" x14ac:dyDescent="0.2">
      <c r="B2255"/>
      <c r="C2255"/>
      <c r="J2255"/>
      <c r="K2255"/>
      <c r="L2255"/>
    </row>
    <row r="2256" spans="2:12" x14ac:dyDescent="0.2">
      <c r="B2256"/>
      <c r="C2256"/>
      <c r="J2256"/>
      <c r="K2256"/>
      <c r="L2256"/>
    </row>
    <row r="2257" spans="2:12" x14ac:dyDescent="0.2">
      <c r="B2257"/>
      <c r="C2257"/>
      <c r="J2257"/>
      <c r="K2257"/>
      <c r="L2257"/>
    </row>
    <row r="2258" spans="2:12" x14ac:dyDescent="0.2">
      <c r="B2258"/>
      <c r="C2258"/>
      <c r="J2258"/>
      <c r="K2258"/>
      <c r="L2258"/>
    </row>
    <row r="2259" spans="2:12" x14ac:dyDescent="0.2">
      <c r="B2259"/>
      <c r="C2259"/>
      <c r="J2259"/>
      <c r="K2259"/>
      <c r="L2259"/>
    </row>
    <row r="2260" spans="2:12" x14ac:dyDescent="0.2">
      <c r="B2260"/>
      <c r="C2260"/>
      <c r="J2260"/>
      <c r="K2260"/>
      <c r="L2260"/>
    </row>
    <row r="2261" spans="2:12" x14ac:dyDescent="0.2">
      <c r="B2261"/>
      <c r="C2261"/>
      <c r="J2261"/>
      <c r="K2261"/>
      <c r="L2261"/>
    </row>
    <row r="2262" spans="2:12" x14ac:dyDescent="0.2">
      <c r="B2262"/>
      <c r="C2262"/>
      <c r="J2262"/>
      <c r="K2262"/>
      <c r="L2262"/>
    </row>
    <row r="2263" spans="2:12" x14ac:dyDescent="0.2">
      <c r="B2263"/>
      <c r="C2263"/>
      <c r="J2263"/>
      <c r="K2263"/>
      <c r="L2263"/>
    </row>
    <row r="2264" spans="2:12" x14ac:dyDescent="0.2">
      <c r="B2264"/>
      <c r="C2264"/>
      <c r="J2264"/>
      <c r="K2264"/>
      <c r="L2264"/>
    </row>
    <row r="2265" spans="2:12" x14ac:dyDescent="0.2">
      <c r="B2265"/>
      <c r="C2265"/>
      <c r="J2265"/>
      <c r="K2265"/>
      <c r="L2265"/>
    </row>
    <row r="2266" spans="2:12" x14ac:dyDescent="0.2">
      <c r="B2266"/>
      <c r="C2266"/>
      <c r="J2266"/>
      <c r="K2266"/>
      <c r="L2266"/>
    </row>
    <row r="2267" spans="2:12" x14ac:dyDescent="0.2">
      <c r="B2267"/>
      <c r="C2267"/>
      <c r="J2267"/>
      <c r="K2267"/>
      <c r="L2267"/>
    </row>
    <row r="2268" spans="2:12" x14ac:dyDescent="0.2">
      <c r="B2268"/>
      <c r="C2268"/>
      <c r="J2268"/>
      <c r="K2268"/>
      <c r="L2268"/>
    </row>
    <row r="2269" spans="2:12" x14ac:dyDescent="0.2">
      <c r="B2269"/>
      <c r="C2269"/>
      <c r="J2269"/>
      <c r="K2269"/>
      <c r="L2269"/>
    </row>
    <row r="2270" spans="2:12" x14ac:dyDescent="0.2">
      <c r="B2270"/>
      <c r="C2270"/>
      <c r="J2270"/>
      <c r="K2270"/>
      <c r="L2270"/>
    </row>
    <row r="2271" spans="2:12" x14ac:dyDescent="0.2">
      <c r="B2271"/>
      <c r="C2271"/>
      <c r="J2271"/>
      <c r="K2271"/>
      <c r="L2271"/>
    </row>
    <row r="2272" spans="2:12" x14ac:dyDescent="0.2">
      <c r="B2272"/>
      <c r="C2272"/>
      <c r="J2272"/>
      <c r="K2272"/>
      <c r="L2272"/>
    </row>
    <row r="2273" spans="2:12" x14ac:dyDescent="0.2">
      <c r="B2273"/>
      <c r="C2273"/>
      <c r="J2273"/>
      <c r="K2273"/>
      <c r="L2273"/>
    </row>
    <row r="2274" spans="2:12" x14ac:dyDescent="0.2">
      <c r="B2274"/>
      <c r="C2274"/>
      <c r="J2274"/>
      <c r="K2274"/>
      <c r="L2274"/>
    </row>
    <row r="2275" spans="2:12" x14ac:dyDescent="0.2">
      <c r="B2275"/>
      <c r="C2275"/>
      <c r="J2275"/>
      <c r="K2275"/>
      <c r="L2275"/>
    </row>
    <row r="2276" spans="2:12" x14ac:dyDescent="0.2">
      <c r="B2276"/>
      <c r="C2276"/>
      <c r="J2276"/>
      <c r="K2276"/>
      <c r="L2276"/>
    </row>
    <row r="2277" spans="2:12" x14ac:dyDescent="0.2">
      <c r="B2277"/>
      <c r="C2277"/>
      <c r="J2277"/>
      <c r="K2277"/>
      <c r="L2277"/>
    </row>
    <row r="2278" spans="2:12" x14ac:dyDescent="0.2">
      <c r="B2278"/>
      <c r="C2278"/>
      <c r="J2278"/>
      <c r="K2278"/>
      <c r="L2278"/>
    </row>
    <row r="2279" spans="2:12" x14ac:dyDescent="0.2">
      <c r="B2279"/>
      <c r="C2279"/>
      <c r="J2279"/>
      <c r="K2279"/>
      <c r="L2279"/>
    </row>
    <row r="2280" spans="2:12" x14ac:dyDescent="0.2">
      <c r="B2280"/>
      <c r="C2280"/>
      <c r="J2280"/>
      <c r="K2280"/>
      <c r="L2280"/>
    </row>
    <row r="2281" spans="2:12" x14ac:dyDescent="0.2">
      <c r="B2281"/>
      <c r="C2281"/>
      <c r="J2281"/>
      <c r="K2281"/>
      <c r="L2281"/>
    </row>
    <row r="2282" spans="2:12" x14ac:dyDescent="0.2">
      <c r="B2282"/>
      <c r="C2282"/>
      <c r="J2282"/>
      <c r="K2282"/>
      <c r="L2282"/>
    </row>
    <row r="2283" spans="2:12" x14ac:dyDescent="0.2">
      <c r="B2283"/>
      <c r="C2283"/>
      <c r="J2283"/>
      <c r="K2283"/>
      <c r="L2283"/>
    </row>
    <row r="2284" spans="2:12" x14ac:dyDescent="0.2">
      <c r="B2284"/>
      <c r="C2284"/>
      <c r="J2284"/>
      <c r="K2284"/>
      <c r="L2284"/>
    </row>
    <row r="2285" spans="2:12" x14ac:dyDescent="0.2">
      <c r="B2285"/>
      <c r="C2285"/>
      <c r="J2285"/>
      <c r="K2285"/>
      <c r="L2285"/>
    </row>
    <row r="2286" spans="2:12" x14ac:dyDescent="0.2">
      <c r="B2286"/>
      <c r="C2286"/>
      <c r="J2286"/>
      <c r="K2286"/>
      <c r="L2286"/>
    </row>
    <row r="2287" spans="2:12" x14ac:dyDescent="0.2">
      <c r="B2287"/>
      <c r="C2287"/>
      <c r="J2287"/>
      <c r="K2287"/>
      <c r="L2287"/>
    </row>
    <row r="2288" spans="2:12" x14ac:dyDescent="0.2">
      <c r="B2288"/>
      <c r="C2288"/>
      <c r="J2288"/>
      <c r="K2288"/>
      <c r="L2288"/>
    </row>
    <row r="2289" spans="2:12" x14ac:dyDescent="0.2">
      <c r="B2289"/>
      <c r="C2289"/>
      <c r="J2289"/>
      <c r="K2289"/>
      <c r="L2289"/>
    </row>
    <row r="2290" spans="2:12" x14ac:dyDescent="0.2">
      <c r="B2290"/>
      <c r="C2290"/>
      <c r="J2290"/>
      <c r="K2290"/>
      <c r="L2290"/>
    </row>
    <row r="2291" spans="2:12" x14ac:dyDescent="0.2">
      <c r="B2291"/>
      <c r="C2291"/>
      <c r="J2291"/>
      <c r="K2291"/>
      <c r="L2291"/>
    </row>
    <row r="2292" spans="2:12" x14ac:dyDescent="0.2">
      <c r="B2292"/>
      <c r="C2292"/>
      <c r="J2292"/>
      <c r="K2292"/>
      <c r="L2292"/>
    </row>
    <row r="2293" spans="2:12" x14ac:dyDescent="0.2">
      <c r="B2293"/>
      <c r="C2293"/>
      <c r="J2293"/>
      <c r="K2293"/>
      <c r="L2293"/>
    </row>
    <row r="2294" spans="2:12" x14ac:dyDescent="0.2">
      <c r="B2294"/>
      <c r="C2294"/>
      <c r="J2294"/>
      <c r="K2294"/>
      <c r="L2294"/>
    </row>
    <row r="2295" spans="2:12" x14ac:dyDescent="0.2">
      <c r="B2295"/>
      <c r="C2295"/>
      <c r="J2295"/>
      <c r="K2295"/>
      <c r="L2295"/>
    </row>
    <row r="2296" spans="2:12" x14ac:dyDescent="0.2">
      <c r="B2296"/>
      <c r="C2296"/>
      <c r="J2296"/>
      <c r="K2296"/>
      <c r="L2296"/>
    </row>
    <row r="2297" spans="2:12" x14ac:dyDescent="0.2">
      <c r="B2297"/>
      <c r="C2297"/>
      <c r="J2297"/>
      <c r="K2297"/>
      <c r="L2297"/>
    </row>
    <row r="2298" spans="2:12" x14ac:dyDescent="0.2">
      <c r="B2298"/>
      <c r="C2298"/>
      <c r="J2298"/>
      <c r="K2298"/>
      <c r="L2298"/>
    </row>
    <row r="2299" spans="2:12" x14ac:dyDescent="0.2">
      <c r="B2299"/>
      <c r="C2299"/>
      <c r="J2299"/>
      <c r="K2299"/>
      <c r="L2299"/>
    </row>
    <row r="2300" spans="2:12" x14ac:dyDescent="0.2">
      <c r="B2300"/>
      <c r="C2300"/>
      <c r="J2300"/>
      <c r="K2300"/>
      <c r="L2300"/>
    </row>
    <row r="2301" spans="2:12" x14ac:dyDescent="0.2">
      <c r="B2301"/>
      <c r="C2301"/>
      <c r="J2301"/>
      <c r="K2301"/>
      <c r="L2301"/>
    </row>
    <row r="2302" spans="2:12" x14ac:dyDescent="0.2">
      <c r="B2302"/>
      <c r="C2302"/>
      <c r="J2302"/>
      <c r="K2302"/>
      <c r="L2302"/>
    </row>
    <row r="2303" spans="2:12" x14ac:dyDescent="0.2">
      <c r="B2303"/>
      <c r="C2303"/>
      <c r="J2303"/>
      <c r="K2303"/>
      <c r="L2303"/>
    </row>
    <row r="2304" spans="2:12" x14ac:dyDescent="0.2">
      <c r="B2304"/>
      <c r="C2304"/>
      <c r="J2304"/>
      <c r="K2304"/>
      <c r="L2304"/>
    </row>
    <row r="2305" spans="2:12" x14ac:dyDescent="0.2">
      <c r="B2305"/>
      <c r="C2305"/>
      <c r="J2305"/>
      <c r="K2305"/>
      <c r="L2305"/>
    </row>
    <row r="2306" spans="2:12" x14ac:dyDescent="0.2">
      <c r="B2306"/>
      <c r="C2306"/>
      <c r="J2306"/>
      <c r="K2306"/>
      <c r="L2306"/>
    </row>
    <row r="2307" spans="2:12" x14ac:dyDescent="0.2">
      <c r="B2307"/>
      <c r="C2307"/>
      <c r="J2307"/>
      <c r="K2307"/>
      <c r="L2307"/>
    </row>
    <row r="2308" spans="2:12" x14ac:dyDescent="0.2">
      <c r="B2308"/>
      <c r="C2308"/>
      <c r="J2308"/>
      <c r="K2308"/>
      <c r="L2308"/>
    </row>
    <row r="2309" spans="2:12" x14ac:dyDescent="0.2">
      <c r="B2309"/>
      <c r="C2309"/>
      <c r="J2309"/>
      <c r="K2309"/>
      <c r="L2309"/>
    </row>
    <row r="2310" spans="2:12" x14ac:dyDescent="0.2">
      <c r="B2310"/>
      <c r="C2310"/>
      <c r="J2310"/>
      <c r="K2310"/>
      <c r="L2310"/>
    </row>
    <row r="2311" spans="2:12" x14ac:dyDescent="0.2">
      <c r="B2311"/>
      <c r="C2311"/>
      <c r="J2311"/>
      <c r="K2311"/>
      <c r="L2311"/>
    </row>
    <row r="2312" spans="2:12" x14ac:dyDescent="0.2">
      <c r="B2312"/>
      <c r="C2312"/>
      <c r="J2312"/>
      <c r="K2312"/>
      <c r="L2312"/>
    </row>
    <row r="2313" spans="2:12" x14ac:dyDescent="0.2">
      <c r="B2313"/>
      <c r="C2313"/>
      <c r="J2313"/>
      <c r="K2313"/>
      <c r="L2313"/>
    </row>
    <row r="2314" spans="2:12" x14ac:dyDescent="0.2">
      <c r="B2314"/>
      <c r="C2314"/>
      <c r="J2314"/>
      <c r="K2314"/>
      <c r="L2314"/>
    </row>
    <row r="2315" spans="2:12" x14ac:dyDescent="0.2">
      <c r="B2315"/>
      <c r="C2315"/>
      <c r="J2315"/>
      <c r="K2315"/>
      <c r="L2315"/>
    </row>
    <row r="2316" spans="2:12" x14ac:dyDescent="0.2">
      <c r="B2316"/>
      <c r="C2316"/>
      <c r="J2316"/>
      <c r="K2316"/>
      <c r="L2316"/>
    </row>
    <row r="2317" spans="2:12" x14ac:dyDescent="0.2">
      <c r="B2317"/>
      <c r="C2317"/>
      <c r="J2317"/>
      <c r="K2317"/>
      <c r="L2317"/>
    </row>
    <row r="2318" spans="2:12" x14ac:dyDescent="0.2">
      <c r="B2318"/>
      <c r="C2318"/>
      <c r="J2318"/>
      <c r="K2318"/>
      <c r="L2318"/>
    </row>
    <row r="2319" spans="2:12" x14ac:dyDescent="0.2">
      <c r="B2319"/>
      <c r="C2319"/>
      <c r="J2319"/>
      <c r="K2319"/>
      <c r="L2319"/>
    </row>
    <row r="2320" spans="2:12" x14ac:dyDescent="0.2">
      <c r="B2320"/>
      <c r="C2320"/>
      <c r="J2320"/>
      <c r="K2320"/>
      <c r="L2320"/>
    </row>
    <row r="2321" spans="2:12" x14ac:dyDescent="0.2">
      <c r="B2321"/>
      <c r="C2321"/>
      <c r="J2321"/>
      <c r="K2321"/>
      <c r="L2321"/>
    </row>
    <row r="2322" spans="2:12" x14ac:dyDescent="0.2">
      <c r="B2322"/>
      <c r="C2322"/>
      <c r="J2322"/>
      <c r="K2322"/>
      <c r="L2322"/>
    </row>
    <row r="2323" spans="2:12" x14ac:dyDescent="0.2">
      <c r="B2323"/>
      <c r="C2323"/>
      <c r="J2323"/>
      <c r="K2323"/>
      <c r="L2323"/>
    </row>
    <row r="2324" spans="2:12" x14ac:dyDescent="0.2">
      <c r="B2324"/>
      <c r="C2324"/>
      <c r="J2324"/>
      <c r="K2324"/>
      <c r="L2324"/>
    </row>
    <row r="2325" spans="2:12" x14ac:dyDescent="0.2">
      <c r="B2325"/>
      <c r="C2325"/>
      <c r="J2325"/>
      <c r="K2325"/>
      <c r="L2325"/>
    </row>
    <row r="2326" spans="2:12" x14ac:dyDescent="0.2">
      <c r="B2326"/>
      <c r="C2326"/>
      <c r="J2326"/>
      <c r="K2326"/>
      <c r="L2326"/>
    </row>
    <row r="2327" spans="2:12" x14ac:dyDescent="0.2">
      <c r="B2327"/>
      <c r="C2327"/>
      <c r="J2327"/>
      <c r="K2327"/>
      <c r="L2327"/>
    </row>
    <row r="2328" spans="2:12" x14ac:dyDescent="0.2">
      <c r="B2328"/>
      <c r="C2328"/>
      <c r="J2328"/>
      <c r="K2328"/>
      <c r="L2328"/>
    </row>
    <row r="2329" spans="2:12" x14ac:dyDescent="0.2">
      <c r="B2329"/>
      <c r="C2329"/>
      <c r="J2329"/>
      <c r="K2329"/>
      <c r="L2329"/>
    </row>
    <row r="2330" spans="2:12" x14ac:dyDescent="0.2">
      <c r="B2330"/>
      <c r="C2330"/>
      <c r="J2330"/>
      <c r="K2330"/>
      <c r="L2330"/>
    </row>
    <row r="2331" spans="2:12" x14ac:dyDescent="0.2">
      <c r="B2331"/>
      <c r="C2331"/>
      <c r="J2331"/>
      <c r="K2331"/>
      <c r="L2331"/>
    </row>
    <row r="2332" spans="2:12" x14ac:dyDescent="0.2">
      <c r="B2332"/>
      <c r="C2332"/>
      <c r="J2332"/>
      <c r="K2332"/>
      <c r="L2332"/>
    </row>
    <row r="2333" spans="2:12" x14ac:dyDescent="0.2">
      <c r="B2333"/>
      <c r="C2333"/>
      <c r="J2333"/>
      <c r="K2333"/>
      <c r="L2333"/>
    </row>
    <row r="2334" spans="2:12" x14ac:dyDescent="0.2">
      <c r="B2334"/>
      <c r="C2334"/>
      <c r="J2334"/>
      <c r="K2334"/>
      <c r="L2334"/>
    </row>
    <row r="2335" spans="2:12" x14ac:dyDescent="0.2">
      <c r="B2335"/>
      <c r="C2335"/>
      <c r="J2335"/>
      <c r="K2335"/>
      <c r="L2335"/>
    </row>
    <row r="2336" spans="2:12" x14ac:dyDescent="0.2">
      <c r="B2336"/>
      <c r="C2336"/>
      <c r="J2336"/>
      <c r="K2336"/>
      <c r="L2336"/>
    </row>
    <row r="2337" spans="2:12" x14ac:dyDescent="0.2">
      <c r="B2337"/>
      <c r="C2337"/>
      <c r="J2337"/>
      <c r="K2337"/>
      <c r="L2337"/>
    </row>
    <row r="2338" spans="2:12" x14ac:dyDescent="0.2">
      <c r="B2338"/>
      <c r="C2338"/>
      <c r="J2338"/>
      <c r="K2338"/>
      <c r="L2338"/>
    </row>
    <row r="2339" spans="2:12" x14ac:dyDescent="0.2">
      <c r="B2339"/>
      <c r="C2339"/>
      <c r="J2339"/>
      <c r="K2339"/>
      <c r="L2339"/>
    </row>
    <row r="2340" spans="2:12" x14ac:dyDescent="0.2">
      <c r="B2340"/>
      <c r="C2340"/>
      <c r="J2340"/>
      <c r="K2340"/>
      <c r="L2340"/>
    </row>
    <row r="2341" spans="2:12" x14ac:dyDescent="0.2">
      <c r="B2341"/>
      <c r="C2341"/>
      <c r="J2341"/>
      <c r="K2341"/>
      <c r="L2341"/>
    </row>
    <row r="2342" spans="2:12" x14ac:dyDescent="0.2">
      <c r="B2342"/>
      <c r="C2342"/>
      <c r="J2342"/>
      <c r="K2342"/>
      <c r="L2342"/>
    </row>
    <row r="2343" spans="2:12" x14ac:dyDescent="0.2">
      <c r="B2343"/>
      <c r="C2343"/>
      <c r="J2343"/>
      <c r="K2343"/>
      <c r="L2343"/>
    </row>
    <row r="2344" spans="2:12" x14ac:dyDescent="0.2">
      <c r="B2344"/>
      <c r="C2344"/>
      <c r="J2344"/>
      <c r="K2344"/>
      <c r="L2344"/>
    </row>
    <row r="2345" spans="2:12" x14ac:dyDescent="0.2">
      <c r="B2345"/>
      <c r="C2345"/>
      <c r="J2345"/>
      <c r="K2345"/>
      <c r="L2345"/>
    </row>
    <row r="2346" spans="2:12" x14ac:dyDescent="0.2">
      <c r="B2346"/>
      <c r="C2346"/>
      <c r="J2346"/>
      <c r="K2346"/>
      <c r="L2346"/>
    </row>
    <row r="2347" spans="2:12" x14ac:dyDescent="0.2">
      <c r="B2347"/>
      <c r="C2347"/>
      <c r="J2347"/>
      <c r="K2347"/>
      <c r="L2347"/>
    </row>
    <row r="2348" spans="2:12" x14ac:dyDescent="0.2">
      <c r="B2348"/>
      <c r="C2348"/>
      <c r="J2348"/>
      <c r="K2348"/>
      <c r="L2348"/>
    </row>
    <row r="2349" spans="2:12" x14ac:dyDescent="0.2">
      <c r="B2349"/>
      <c r="C2349"/>
      <c r="J2349"/>
      <c r="K2349"/>
      <c r="L2349"/>
    </row>
    <row r="2350" spans="2:12" x14ac:dyDescent="0.2">
      <c r="B2350"/>
      <c r="C2350"/>
      <c r="J2350"/>
      <c r="K2350"/>
      <c r="L2350"/>
    </row>
    <row r="2351" spans="2:12" x14ac:dyDescent="0.2">
      <c r="B2351"/>
      <c r="C2351"/>
      <c r="J2351"/>
      <c r="K2351"/>
      <c r="L2351"/>
    </row>
    <row r="2352" spans="2:12" x14ac:dyDescent="0.2">
      <c r="B2352"/>
      <c r="C2352"/>
      <c r="J2352"/>
      <c r="K2352"/>
      <c r="L2352"/>
    </row>
    <row r="2353" spans="2:12" x14ac:dyDescent="0.2">
      <c r="B2353"/>
      <c r="C2353"/>
      <c r="J2353"/>
      <c r="K2353"/>
      <c r="L2353"/>
    </row>
    <row r="2354" spans="2:12" x14ac:dyDescent="0.2">
      <c r="B2354"/>
      <c r="C2354"/>
      <c r="J2354"/>
      <c r="K2354"/>
      <c r="L2354"/>
    </row>
    <row r="2355" spans="2:12" x14ac:dyDescent="0.2">
      <c r="B2355"/>
      <c r="C2355"/>
      <c r="J2355"/>
      <c r="K2355"/>
      <c r="L2355"/>
    </row>
    <row r="2356" spans="2:12" x14ac:dyDescent="0.2">
      <c r="B2356"/>
      <c r="C2356"/>
      <c r="J2356"/>
      <c r="K2356"/>
      <c r="L2356"/>
    </row>
    <row r="2357" spans="2:12" x14ac:dyDescent="0.2">
      <c r="B2357"/>
      <c r="C2357"/>
      <c r="J2357"/>
      <c r="K2357"/>
      <c r="L2357"/>
    </row>
    <row r="2358" spans="2:12" x14ac:dyDescent="0.2">
      <c r="B2358"/>
      <c r="C2358"/>
      <c r="J2358"/>
      <c r="K2358"/>
      <c r="L2358"/>
    </row>
    <row r="2359" spans="2:12" x14ac:dyDescent="0.2">
      <c r="B2359"/>
      <c r="C2359"/>
      <c r="J2359"/>
      <c r="K2359"/>
      <c r="L2359"/>
    </row>
    <row r="2360" spans="2:12" x14ac:dyDescent="0.2">
      <c r="B2360"/>
      <c r="C2360"/>
      <c r="J2360"/>
      <c r="K2360"/>
      <c r="L2360"/>
    </row>
    <row r="2361" spans="2:12" x14ac:dyDescent="0.2">
      <c r="B2361"/>
      <c r="C2361"/>
      <c r="J2361"/>
      <c r="K2361"/>
      <c r="L2361"/>
    </row>
    <row r="2362" spans="2:12" x14ac:dyDescent="0.2">
      <c r="B2362"/>
      <c r="C2362"/>
      <c r="J2362"/>
      <c r="K2362"/>
      <c r="L2362"/>
    </row>
    <row r="2363" spans="2:12" x14ac:dyDescent="0.2">
      <c r="B2363"/>
      <c r="C2363"/>
      <c r="J2363"/>
      <c r="K2363"/>
      <c r="L2363"/>
    </row>
    <row r="2364" spans="2:12" x14ac:dyDescent="0.2">
      <c r="B2364"/>
      <c r="C2364"/>
      <c r="J2364"/>
      <c r="K2364"/>
      <c r="L2364"/>
    </row>
    <row r="2365" spans="2:12" x14ac:dyDescent="0.2">
      <c r="B2365"/>
      <c r="C2365"/>
      <c r="J2365"/>
      <c r="K2365"/>
      <c r="L2365"/>
    </row>
    <row r="2366" spans="2:12" x14ac:dyDescent="0.2">
      <c r="B2366"/>
      <c r="C2366"/>
      <c r="J2366"/>
      <c r="K2366"/>
      <c r="L2366"/>
    </row>
    <row r="2367" spans="2:12" x14ac:dyDescent="0.2">
      <c r="B2367"/>
      <c r="C2367"/>
      <c r="J2367"/>
      <c r="K2367"/>
      <c r="L2367"/>
    </row>
    <row r="2368" spans="2:12" x14ac:dyDescent="0.2">
      <c r="B2368"/>
      <c r="C2368"/>
      <c r="J2368"/>
      <c r="K2368"/>
      <c r="L2368"/>
    </row>
    <row r="2369" spans="2:12" x14ac:dyDescent="0.2">
      <c r="B2369"/>
      <c r="C2369"/>
      <c r="J2369"/>
      <c r="K2369"/>
      <c r="L2369"/>
    </row>
    <row r="2370" spans="2:12" x14ac:dyDescent="0.2">
      <c r="B2370"/>
      <c r="C2370"/>
      <c r="J2370"/>
      <c r="K2370"/>
      <c r="L2370"/>
    </row>
    <row r="2371" spans="2:12" x14ac:dyDescent="0.2">
      <c r="B2371"/>
      <c r="C2371"/>
      <c r="J2371"/>
      <c r="K2371"/>
      <c r="L2371"/>
    </row>
    <row r="2372" spans="2:12" x14ac:dyDescent="0.2">
      <c r="B2372"/>
      <c r="C2372"/>
      <c r="J2372"/>
      <c r="K2372"/>
      <c r="L2372"/>
    </row>
    <row r="2373" spans="2:12" x14ac:dyDescent="0.2">
      <c r="B2373"/>
      <c r="C2373"/>
      <c r="J2373"/>
      <c r="K2373"/>
      <c r="L2373"/>
    </row>
    <row r="2374" spans="2:12" x14ac:dyDescent="0.2">
      <c r="B2374"/>
      <c r="C2374"/>
      <c r="J2374"/>
      <c r="K2374"/>
      <c r="L2374"/>
    </row>
    <row r="2375" spans="2:12" x14ac:dyDescent="0.2">
      <c r="B2375"/>
      <c r="C2375"/>
      <c r="J2375"/>
      <c r="K2375"/>
      <c r="L2375"/>
    </row>
    <row r="2376" spans="2:12" x14ac:dyDescent="0.2">
      <c r="B2376"/>
      <c r="C2376"/>
      <c r="J2376"/>
      <c r="K2376"/>
      <c r="L2376"/>
    </row>
    <row r="2377" spans="2:12" x14ac:dyDescent="0.2">
      <c r="B2377"/>
      <c r="C2377"/>
      <c r="J2377"/>
      <c r="K2377"/>
      <c r="L2377"/>
    </row>
    <row r="2378" spans="2:12" x14ac:dyDescent="0.2">
      <c r="B2378"/>
      <c r="C2378"/>
      <c r="J2378"/>
      <c r="K2378"/>
      <c r="L2378"/>
    </row>
    <row r="2379" spans="2:12" x14ac:dyDescent="0.2">
      <c r="B2379"/>
      <c r="C2379"/>
      <c r="J2379"/>
      <c r="K2379"/>
      <c r="L2379"/>
    </row>
    <row r="2380" spans="2:12" x14ac:dyDescent="0.2">
      <c r="B2380"/>
      <c r="C2380"/>
      <c r="J2380"/>
      <c r="K2380"/>
      <c r="L2380"/>
    </row>
    <row r="2381" spans="2:12" x14ac:dyDescent="0.2">
      <c r="B2381"/>
      <c r="C2381"/>
      <c r="J2381"/>
      <c r="K2381"/>
      <c r="L2381"/>
    </row>
    <row r="2382" spans="2:12" x14ac:dyDescent="0.2">
      <c r="B2382"/>
      <c r="C2382"/>
      <c r="J2382"/>
      <c r="K2382"/>
      <c r="L2382"/>
    </row>
    <row r="2383" spans="2:12" x14ac:dyDescent="0.2">
      <c r="B2383"/>
      <c r="C2383"/>
      <c r="J2383"/>
      <c r="K2383"/>
      <c r="L2383"/>
    </row>
    <row r="2384" spans="2:12" x14ac:dyDescent="0.2">
      <c r="B2384"/>
      <c r="C2384"/>
      <c r="J2384"/>
      <c r="K2384"/>
      <c r="L2384"/>
    </row>
    <row r="2385" spans="2:12" x14ac:dyDescent="0.2">
      <c r="B2385"/>
      <c r="C2385"/>
      <c r="J2385"/>
      <c r="K2385"/>
      <c r="L2385"/>
    </row>
    <row r="2386" spans="2:12" x14ac:dyDescent="0.2">
      <c r="B2386"/>
      <c r="C2386"/>
      <c r="J2386"/>
      <c r="K2386"/>
      <c r="L2386"/>
    </row>
    <row r="2387" spans="2:12" x14ac:dyDescent="0.2">
      <c r="B2387"/>
      <c r="C2387"/>
      <c r="J2387"/>
      <c r="K2387"/>
      <c r="L2387"/>
    </row>
    <row r="2388" spans="2:12" x14ac:dyDescent="0.2">
      <c r="B2388"/>
      <c r="C2388"/>
      <c r="J2388"/>
      <c r="K2388"/>
      <c r="L2388"/>
    </row>
    <row r="2389" spans="2:12" x14ac:dyDescent="0.2">
      <c r="B2389"/>
      <c r="C2389"/>
      <c r="J2389"/>
      <c r="K2389"/>
      <c r="L2389"/>
    </row>
    <row r="2390" spans="2:12" x14ac:dyDescent="0.2">
      <c r="B2390"/>
      <c r="C2390"/>
      <c r="J2390"/>
      <c r="K2390"/>
      <c r="L2390"/>
    </row>
    <row r="2391" spans="2:12" x14ac:dyDescent="0.2">
      <c r="B2391"/>
      <c r="C2391"/>
      <c r="J2391"/>
      <c r="K2391"/>
      <c r="L2391"/>
    </row>
    <row r="2392" spans="2:12" x14ac:dyDescent="0.2">
      <c r="B2392"/>
      <c r="C2392"/>
      <c r="J2392"/>
      <c r="K2392"/>
      <c r="L2392"/>
    </row>
    <row r="2393" spans="2:12" x14ac:dyDescent="0.2">
      <c r="B2393"/>
      <c r="C2393"/>
      <c r="J2393"/>
      <c r="K2393"/>
      <c r="L2393"/>
    </row>
    <row r="2394" spans="2:12" x14ac:dyDescent="0.2">
      <c r="B2394"/>
      <c r="C2394"/>
      <c r="J2394"/>
      <c r="K2394"/>
      <c r="L2394"/>
    </row>
    <row r="2395" spans="2:12" x14ac:dyDescent="0.2">
      <c r="B2395"/>
      <c r="C2395"/>
      <c r="J2395"/>
      <c r="K2395"/>
      <c r="L2395"/>
    </row>
    <row r="2396" spans="2:12" x14ac:dyDescent="0.2">
      <c r="B2396"/>
      <c r="C2396"/>
      <c r="J2396"/>
      <c r="K2396"/>
      <c r="L2396"/>
    </row>
    <row r="2397" spans="2:12" x14ac:dyDescent="0.2">
      <c r="B2397"/>
      <c r="C2397"/>
      <c r="J2397"/>
      <c r="K2397"/>
      <c r="L2397"/>
    </row>
    <row r="2398" spans="2:12" x14ac:dyDescent="0.2">
      <c r="B2398"/>
      <c r="C2398"/>
      <c r="J2398"/>
      <c r="K2398"/>
      <c r="L2398"/>
    </row>
    <row r="2399" spans="2:12" x14ac:dyDescent="0.2">
      <c r="B2399"/>
      <c r="C2399"/>
      <c r="J2399"/>
      <c r="K2399"/>
      <c r="L2399"/>
    </row>
    <row r="2400" spans="2:12" x14ac:dyDescent="0.2">
      <c r="B2400"/>
      <c r="C2400"/>
      <c r="J2400"/>
      <c r="K2400"/>
      <c r="L2400"/>
    </row>
    <row r="2401" spans="2:12" x14ac:dyDescent="0.2">
      <c r="B2401"/>
      <c r="C2401"/>
      <c r="J2401"/>
      <c r="K2401"/>
      <c r="L2401"/>
    </row>
    <row r="2402" spans="2:12" x14ac:dyDescent="0.2">
      <c r="B2402"/>
      <c r="C2402"/>
      <c r="J2402"/>
      <c r="K2402"/>
      <c r="L2402"/>
    </row>
    <row r="2403" spans="2:12" x14ac:dyDescent="0.2">
      <c r="B2403"/>
      <c r="C2403"/>
      <c r="J2403"/>
      <c r="K2403"/>
      <c r="L2403"/>
    </row>
    <row r="2404" spans="2:12" x14ac:dyDescent="0.2">
      <c r="B2404"/>
      <c r="C2404"/>
      <c r="J2404"/>
      <c r="K2404"/>
      <c r="L2404"/>
    </row>
    <row r="2405" spans="2:12" x14ac:dyDescent="0.2">
      <c r="B2405"/>
      <c r="C2405"/>
      <c r="J2405"/>
      <c r="K2405"/>
      <c r="L2405"/>
    </row>
    <row r="2406" spans="2:12" x14ac:dyDescent="0.2">
      <c r="B2406"/>
      <c r="C2406"/>
      <c r="J2406"/>
      <c r="K2406"/>
      <c r="L2406"/>
    </row>
    <row r="2407" spans="2:12" x14ac:dyDescent="0.2">
      <c r="B2407"/>
      <c r="C2407"/>
      <c r="J2407"/>
      <c r="K2407"/>
      <c r="L2407"/>
    </row>
    <row r="2408" spans="2:12" x14ac:dyDescent="0.2">
      <c r="B2408"/>
      <c r="C2408"/>
      <c r="J2408"/>
      <c r="K2408"/>
      <c r="L2408"/>
    </row>
    <row r="2409" spans="2:12" x14ac:dyDescent="0.2">
      <c r="B2409"/>
      <c r="C2409"/>
      <c r="J2409"/>
      <c r="K2409"/>
      <c r="L2409"/>
    </row>
    <row r="2410" spans="2:12" x14ac:dyDescent="0.2">
      <c r="B2410"/>
      <c r="C2410"/>
      <c r="J2410"/>
      <c r="K2410"/>
      <c r="L2410"/>
    </row>
    <row r="2411" spans="2:12" x14ac:dyDescent="0.2">
      <c r="B2411"/>
      <c r="C2411"/>
      <c r="J2411"/>
      <c r="K2411"/>
      <c r="L2411"/>
    </row>
    <row r="2412" spans="2:12" x14ac:dyDescent="0.2">
      <c r="B2412"/>
      <c r="C2412"/>
      <c r="J2412"/>
      <c r="K2412"/>
      <c r="L2412"/>
    </row>
    <row r="2413" spans="2:12" x14ac:dyDescent="0.2">
      <c r="B2413"/>
      <c r="C2413"/>
      <c r="J2413"/>
      <c r="K2413"/>
      <c r="L2413"/>
    </row>
    <row r="2414" spans="2:12" x14ac:dyDescent="0.2">
      <c r="B2414"/>
      <c r="C2414"/>
      <c r="J2414"/>
      <c r="K2414"/>
      <c r="L2414"/>
    </row>
    <row r="2415" spans="2:12" x14ac:dyDescent="0.2">
      <c r="B2415"/>
      <c r="C2415"/>
      <c r="J2415"/>
      <c r="K2415"/>
      <c r="L2415"/>
    </row>
    <row r="2416" spans="2:12" x14ac:dyDescent="0.2">
      <c r="B2416"/>
      <c r="C2416"/>
      <c r="J2416"/>
      <c r="K2416"/>
      <c r="L2416"/>
    </row>
    <row r="2417" spans="2:12" x14ac:dyDescent="0.2">
      <c r="B2417"/>
      <c r="C2417"/>
      <c r="J2417"/>
      <c r="K2417"/>
      <c r="L2417"/>
    </row>
    <row r="2418" spans="2:12" x14ac:dyDescent="0.2">
      <c r="B2418"/>
      <c r="C2418"/>
      <c r="J2418"/>
      <c r="K2418"/>
      <c r="L2418"/>
    </row>
    <row r="2419" spans="2:12" x14ac:dyDescent="0.2">
      <c r="B2419"/>
      <c r="C2419"/>
      <c r="J2419"/>
      <c r="K2419"/>
      <c r="L2419"/>
    </row>
    <row r="2420" spans="2:12" x14ac:dyDescent="0.2">
      <c r="B2420"/>
      <c r="C2420"/>
      <c r="J2420"/>
      <c r="K2420"/>
      <c r="L2420"/>
    </row>
    <row r="2421" spans="2:12" x14ac:dyDescent="0.2">
      <c r="B2421"/>
      <c r="C2421"/>
      <c r="J2421"/>
      <c r="K2421"/>
      <c r="L2421"/>
    </row>
    <row r="2422" spans="2:12" x14ac:dyDescent="0.2">
      <c r="B2422"/>
      <c r="C2422"/>
      <c r="J2422"/>
      <c r="K2422"/>
      <c r="L2422"/>
    </row>
    <row r="2423" spans="2:12" x14ac:dyDescent="0.2">
      <c r="B2423"/>
      <c r="C2423"/>
      <c r="J2423"/>
      <c r="K2423"/>
      <c r="L2423"/>
    </row>
    <row r="2424" spans="2:12" x14ac:dyDescent="0.2">
      <c r="B2424"/>
      <c r="C2424"/>
      <c r="J2424"/>
      <c r="K2424"/>
      <c r="L2424"/>
    </row>
    <row r="2425" spans="2:12" x14ac:dyDescent="0.2">
      <c r="B2425"/>
      <c r="C2425"/>
      <c r="J2425"/>
      <c r="K2425"/>
      <c r="L2425"/>
    </row>
    <row r="2426" spans="2:12" x14ac:dyDescent="0.2">
      <c r="B2426"/>
      <c r="C2426"/>
      <c r="J2426"/>
      <c r="K2426"/>
      <c r="L2426"/>
    </row>
    <row r="2427" spans="2:12" x14ac:dyDescent="0.2">
      <c r="B2427"/>
      <c r="C2427"/>
      <c r="J2427"/>
      <c r="K2427"/>
      <c r="L2427"/>
    </row>
    <row r="2428" spans="2:12" x14ac:dyDescent="0.2">
      <c r="B2428"/>
      <c r="C2428"/>
      <c r="J2428"/>
      <c r="K2428"/>
      <c r="L2428"/>
    </row>
    <row r="2429" spans="2:12" x14ac:dyDescent="0.2">
      <c r="B2429"/>
      <c r="C2429"/>
      <c r="J2429"/>
      <c r="K2429"/>
      <c r="L2429"/>
    </row>
    <row r="2430" spans="2:12" x14ac:dyDescent="0.2">
      <c r="B2430"/>
      <c r="C2430"/>
      <c r="J2430"/>
      <c r="K2430"/>
      <c r="L2430"/>
    </row>
    <row r="2431" spans="2:12" x14ac:dyDescent="0.2">
      <c r="B2431"/>
      <c r="C2431"/>
      <c r="J2431"/>
      <c r="K2431"/>
      <c r="L2431"/>
    </row>
    <row r="2432" spans="2:12" x14ac:dyDescent="0.2">
      <c r="B2432"/>
      <c r="C2432"/>
      <c r="J2432"/>
      <c r="K2432"/>
      <c r="L2432"/>
    </row>
    <row r="2433" spans="2:12" x14ac:dyDescent="0.2">
      <c r="B2433"/>
      <c r="C2433"/>
      <c r="J2433"/>
      <c r="K2433"/>
      <c r="L2433"/>
    </row>
    <row r="2434" spans="2:12" x14ac:dyDescent="0.2">
      <c r="B2434"/>
      <c r="C2434"/>
      <c r="J2434"/>
      <c r="K2434"/>
      <c r="L2434"/>
    </row>
    <row r="2435" spans="2:12" x14ac:dyDescent="0.2">
      <c r="B2435"/>
      <c r="C2435"/>
      <c r="J2435"/>
      <c r="K2435"/>
      <c r="L2435"/>
    </row>
    <row r="2436" spans="2:12" x14ac:dyDescent="0.2">
      <c r="B2436"/>
      <c r="C2436"/>
      <c r="J2436"/>
      <c r="K2436"/>
      <c r="L2436"/>
    </row>
    <row r="2437" spans="2:12" x14ac:dyDescent="0.2">
      <c r="B2437"/>
      <c r="C2437"/>
      <c r="J2437"/>
      <c r="K2437"/>
      <c r="L2437"/>
    </row>
    <row r="2438" spans="2:12" x14ac:dyDescent="0.2">
      <c r="B2438"/>
      <c r="C2438"/>
      <c r="J2438"/>
      <c r="K2438"/>
      <c r="L2438"/>
    </row>
    <row r="2439" spans="2:12" x14ac:dyDescent="0.2">
      <c r="B2439"/>
      <c r="C2439"/>
      <c r="J2439"/>
      <c r="K2439"/>
      <c r="L2439"/>
    </row>
    <row r="2440" spans="2:12" x14ac:dyDescent="0.2">
      <c r="B2440"/>
      <c r="C2440"/>
      <c r="J2440"/>
      <c r="K2440"/>
      <c r="L2440"/>
    </row>
    <row r="2441" spans="2:12" x14ac:dyDescent="0.2">
      <c r="B2441"/>
      <c r="C2441"/>
      <c r="J2441"/>
      <c r="K2441"/>
      <c r="L2441"/>
    </row>
    <row r="2442" spans="2:12" x14ac:dyDescent="0.2">
      <c r="B2442"/>
      <c r="C2442"/>
      <c r="J2442"/>
      <c r="K2442"/>
      <c r="L2442"/>
    </row>
    <row r="2443" spans="2:12" x14ac:dyDescent="0.2">
      <c r="B2443"/>
      <c r="C2443"/>
      <c r="J2443"/>
      <c r="K2443"/>
      <c r="L2443"/>
    </row>
    <row r="2444" spans="2:12" x14ac:dyDescent="0.2">
      <c r="B2444"/>
      <c r="C2444"/>
      <c r="J2444"/>
      <c r="K2444"/>
      <c r="L2444"/>
    </row>
    <row r="2445" spans="2:12" x14ac:dyDescent="0.2">
      <c r="B2445"/>
      <c r="C2445"/>
      <c r="J2445"/>
      <c r="K2445"/>
      <c r="L2445"/>
    </row>
    <row r="2446" spans="2:12" x14ac:dyDescent="0.2">
      <c r="B2446"/>
      <c r="C2446"/>
      <c r="J2446"/>
      <c r="K2446"/>
      <c r="L2446"/>
    </row>
    <row r="2447" spans="2:12" x14ac:dyDescent="0.2">
      <c r="B2447"/>
      <c r="C2447"/>
      <c r="J2447"/>
      <c r="K2447"/>
      <c r="L2447"/>
    </row>
    <row r="2448" spans="2:12" x14ac:dyDescent="0.2">
      <c r="B2448"/>
      <c r="C2448"/>
      <c r="J2448"/>
      <c r="K2448"/>
      <c r="L2448"/>
    </row>
    <row r="2449" spans="2:12" x14ac:dyDescent="0.2">
      <c r="B2449"/>
      <c r="C2449"/>
      <c r="J2449"/>
      <c r="K2449"/>
      <c r="L2449"/>
    </row>
    <row r="2450" spans="2:12" x14ac:dyDescent="0.2">
      <c r="B2450"/>
      <c r="C2450"/>
      <c r="J2450"/>
      <c r="K2450"/>
      <c r="L2450"/>
    </row>
    <row r="2451" spans="2:12" x14ac:dyDescent="0.2">
      <c r="B2451"/>
      <c r="C2451"/>
      <c r="J2451"/>
      <c r="K2451"/>
      <c r="L2451"/>
    </row>
    <row r="2452" spans="2:12" x14ac:dyDescent="0.2">
      <c r="B2452"/>
      <c r="C2452"/>
      <c r="J2452"/>
      <c r="K2452"/>
      <c r="L2452"/>
    </row>
    <row r="2453" spans="2:12" x14ac:dyDescent="0.2">
      <c r="B2453"/>
      <c r="C2453"/>
      <c r="J2453"/>
      <c r="K2453"/>
      <c r="L2453"/>
    </row>
    <row r="2454" spans="2:12" x14ac:dyDescent="0.2">
      <c r="B2454"/>
      <c r="C2454"/>
      <c r="J2454"/>
      <c r="K2454"/>
      <c r="L2454"/>
    </row>
    <row r="2455" spans="2:12" x14ac:dyDescent="0.2">
      <c r="B2455"/>
      <c r="C2455"/>
      <c r="J2455"/>
      <c r="K2455"/>
      <c r="L2455"/>
    </row>
    <row r="2456" spans="2:12" x14ac:dyDescent="0.2">
      <c r="B2456"/>
      <c r="C2456"/>
      <c r="J2456"/>
      <c r="K2456"/>
      <c r="L2456"/>
    </row>
    <row r="2457" spans="2:12" x14ac:dyDescent="0.2">
      <c r="B2457"/>
      <c r="C2457"/>
      <c r="J2457"/>
      <c r="K2457"/>
      <c r="L2457"/>
    </row>
    <row r="2458" spans="2:12" x14ac:dyDescent="0.2">
      <c r="B2458"/>
      <c r="C2458"/>
      <c r="J2458"/>
      <c r="K2458"/>
      <c r="L2458"/>
    </row>
    <row r="2459" spans="2:12" x14ac:dyDescent="0.2">
      <c r="B2459"/>
      <c r="C2459"/>
      <c r="J2459"/>
      <c r="K2459"/>
      <c r="L2459"/>
    </row>
    <row r="2460" spans="2:12" x14ac:dyDescent="0.2">
      <c r="B2460"/>
      <c r="C2460"/>
      <c r="J2460"/>
      <c r="K2460"/>
      <c r="L2460"/>
    </row>
    <row r="2461" spans="2:12" x14ac:dyDescent="0.2">
      <c r="B2461"/>
      <c r="C2461"/>
      <c r="J2461"/>
      <c r="K2461"/>
      <c r="L2461"/>
    </row>
    <row r="2462" spans="2:12" x14ac:dyDescent="0.2">
      <c r="B2462"/>
      <c r="C2462"/>
      <c r="J2462"/>
      <c r="K2462"/>
      <c r="L2462"/>
    </row>
    <row r="2463" spans="2:12" x14ac:dyDescent="0.2">
      <c r="B2463"/>
      <c r="C2463"/>
      <c r="J2463"/>
      <c r="K2463"/>
      <c r="L2463"/>
    </row>
    <row r="2464" spans="2:12" x14ac:dyDescent="0.2">
      <c r="B2464"/>
      <c r="C2464"/>
      <c r="J2464"/>
      <c r="K2464"/>
      <c r="L2464"/>
    </row>
    <row r="2465" spans="2:12" x14ac:dyDescent="0.2">
      <c r="B2465"/>
      <c r="C2465"/>
      <c r="J2465"/>
      <c r="K2465"/>
      <c r="L2465"/>
    </row>
    <row r="2466" spans="2:12" x14ac:dyDescent="0.2">
      <c r="B2466"/>
      <c r="C2466"/>
      <c r="J2466"/>
      <c r="K2466"/>
      <c r="L2466"/>
    </row>
    <row r="2467" spans="2:12" x14ac:dyDescent="0.2">
      <c r="B2467"/>
      <c r="C2467"/>
      <c r="J2467"/>
      <c r="K2467"/>
      <c r="L2467"/>
    </row>
    <row r="2468" spans="2:12" x14ac:dyDescent="0.2">
      <c r="B2468"/>
      <c r="C2468"/>
      <c r="J2468"/>
      <c r="K2468"/>
      <c r="L2468"/>
    </row>
    <row r="2469" spans="2:12" x14ac:dyDescent="0.2">
      <c r="B2469"/>
      <c r="C2469"/>
      <c r="J2469"/>
      <c r="K2469"/>
      <c r="L2469"/>
    </row>
    <row r="2470" spans="2:12" x14ac:dyDescent="0.2">
      <c r="B2470"/>
      <c r="C2470"/>
      <c r="J2470"/>
      <c r="K2470"/>
      <c r="L2470"/>
    </row>
    <row r="2471" spans="2:12" x14ac:dyDescent="0.2">
      <c r="B2471"/>
      <c r="C2471"/>
      <c r="J2471"/>
      <c r="K2471"/>
      <c r="L2471"/>
    </row>
    <row r="2472" spans="2:12" x14ac:dyDescent="0.2">
      <c r="B2472"/>
      <c r="C2472"/>
      <c r="J2472"/>
      <c r="K2472"/>
      <c r="L2472"/>
    </row>
    <row r="2473" spans="2:12" x14ac:dyDescent="0.2">
      <c r="B2473"/>
      <c r="C2473"/>
      <c r="J2473"/>
      <c r="K2473"/>
      <c r="L2473"/>
    </row>
    <row r="2474" spans="2:12" x14ac:dyDescent="0.2">
      <c r="B2474"/>
      <c r="C2474"/>
      <c r="J2474"/>
      <c r="K2474"/>
      <c r="L2474"/>
    </row>
    <row r="2475" spans="2:12" x14ac:dyDescent="0.2">
      <c r="B2475"/>
      <c r="C2475"/>
      <c r="J2475"/>
      <c r="K2475"/>
      <c r="L2475"/>
    </row>
    <row r="2476" spans="2:12" x14ac:dyDescent="0.2">
      <c r="B2476"/>
      <c r="C2476"/>
      <c r="J2476"/>
      <c r="K2476"/>
      <c r="L2476"/>
    </row>
    <row r="2477" spans="2:12" x14ac:dyDescent="0.2">
      <c r="B2477"/>
      <c r="C2477"/>
      <c r="J2477"/>
      <c r="K2477"/>
      <c r="L2477"/>
    </row>
    <row r="2478" spans="2:12" x14ac:dyDescent="0.2">
      <c r="B2478"/>
      <c r="C2478"/>
      <c r="J2478"/>
      <c r="K2478"/>
      <c r="L2478"/>
    </row>
    <row r="2479" spans="2:12" x14ac:dyDescent="0.2">
      <c r="B2479"/>
      <c r="C2479"/>
      <c r="J2479"/>
      <c r="K2479"/>
      <c r="L2479"/>
    </row>
    <row r="2480" spans="2:12" x14ac:dyDescent="0.2">
      <c r="B2480"/>
      <c r="C2480"/>
      <c r="J2480"/>
      <c r="K2480"/>
      <c r="L2480"/>
    </row>
    <row r="2481" spans="2:12" x14ac:dyDescent="0.2">
      <c r="B2481"/>
      <c r="C2481"/>
      <c r="J2481"/>
      <c r="K2481"/>
      <c r="L2481"/>
    </row>
    <row r="2482" spans="2:12" x14ac:dyDescent="0.2">
      <c r="B2482"/>
      <c r="C2482"/>
      <c r="J2482"/>
      <c r="K2482"/>
      <c r="L2482"/>
    </row>
    <row r="2483" spans="2:12" x14ac:dyDescent="0.2">
      <c r="B2483"/>
      <c r="C2483"/>
      <c r="J2483"/>
      <c r="K2483"/>
      <c r="L2483"/>
    </row>
    <row r="2484" spans="2:12" x14ac:dyDescent="0.2">
      <c r="B2484"/>
      <c r="C2484"/>
      <c r="J2484"/>
      <c r="K2484"/>
      <c r="L2484"/>
    </row>
    <row r="2485" spans="2:12" x14ac:dyDescent="0.2">
      <c r="B2485"/>
      <c r="C2485"/>
      <c r="J2485"/>
      <c r="K2485"/>
      <c r="L2485"/>
    </row>
    <row r="2486" spans="2:12" x14ac:dyDescent="0.2">
      <c r="B2486"/>
      <c r="C2486"/>
      <c r="J2486"/>
      <c r="K2486"/>
      <c r="L2486"/>
    </row>
    <row r="2487" spans="2:12" x14ac:dyDescent="0.2">
      <c r="B2487"/>
      <c r="C2487"/>
      <c r="J2487"/>
      <c r="K2487"/>
      <c r="L2487"/>
    </row>
    <row r="2488" spans="2:12" x14ac:dyDescent="0.2">
      <c r="B2488"/>
      <c r="C2488"/>
      <c r="J2488"/>
      <c r="K2488"/>
      <c r="L2488"/>
    </row>
    <row r="2489" spans="2:12" x14ac:dyDescent="0.2">
      <c r="B2489"/>
      <c r="C2489"/>
      <c r="J2489"/>
      <c r="K2489"/>
      <c r="L2489"/>
    </row>
    <row r="2490" spans="2:12" x14ac:dyDescent="0.2">
      <c r="B2490"/>
      <c r="C2490"/>
      <c r="J2490"/>
      <c r="K2490"/>
      <c r="L2490"/>
    </row>
    <row r="2491" spans="2:12" x14ac:dyDescent="0.2">
      <c r="B2491"/>
      <c r="C2491"/>
      <c r="J2491"/>
      <c r="K2491"/>
      <c r="L2491"/>
    </row>
    <row r="2492" spans="2:12" x14ac:dyDescent="0.2">
      <c r="B2492"/>
      <c r="C2492"/>
      <c r="J2492"/>
      <c r="K2492"/>
      <c r="L2492"/>
    </row>
    <row r="2493" spans="2:12" x14ac:dyDescent="0.2">
      <c r="B2493"/>
      <c r="C2493"/>
      <c r="J2493"/>
      <c r="K2493"/>
      <c r="L2493"/>
    </row>
    <row r="2494" spans="2:12" x14ac:dyDescent="0.2">
      <c r="B2494"/>
      <c r="C2494"/>
      <c r="J2494"/>
      <c r="K2494"/>
      <c r="L2494"/>
    </row>
    <row r="2495" spans="2:12" x14ac:dyDescent="0.2">
      <c r="B2495"/>
      <c r="C2495"/>
      <c r="J2495"/>
      <c r="K2495"/>
      <c r="L2495"/>
    </row>
    <row r="2496" spans="2:12" x14ac:dyDescent="0.2">
      <c r="B2496"/>
      <c r="C2496"/>
      <c r="J2496"/>
      <c r="K2496"/>
      <c r="L2496"/>
    </row>
    <row r="2497" spans="2:12" x14ac:dyDescent="0.2">
      <c r="B2497"/>
      <c r="C2497"/>
      <c r="J2497"/>
      <c r="K2497"/>
      <c r="L2497"/>
    </row>
    <row r="2498" spans="2:12" x14ac:dyDescent="0.2">
      <c r="B2498"/>
      <c r="C2498"/>
      <c r="J2498"/>
      <c r="K2498"/>
      <c r="L2498"/>
    </row>
    <row r="2499" spans="2:12" x14ac:dyDescent="0.2">
      <c r="B2499"/>
      <c r="C2499"/>
      <c r="J2499"/>
      <c r="K2499"/>
      <c r="L2499"/>
    </row>
    <row r="2500" spans="2:12" x14ac:dyDescent="0.2">
      <c r="B2500"/>
      <c r="C2500"/>
      <c r="J2500"/>
      <c r="K2500"/>
      <c r="L2500"/>
    </row>
    <row r="2501" spans="2:12" x14ac:dyDescent="0.2">
      <c r="B2501"/>
      <c r="C2501"/>
      <c r="J2501"/>
      <c r="K2501"/>
      <c r="L2501"/>
    </row>
    <row r="2502" spans="2:12" x14ac:dyDescent="0.2">
      <c r="B2502"/>
      <c r="C2502"/>
      <c r="J2502"/>
      <c r="K2502"/>
      <c r="L2502"/>
    </row>
    <row r="2503" spans="2:12" x14ac:dyDescent="0.2">
      <c r="B2503"/>
      <c r="C2503"/>
      <c r="J2503"/>
      <c r="K2503"/>
      <c r="L2503"/>
    </row>
    <row r="2504" spans="2:12" x14ac:dyDescent="0.2">
      <c r="B2504"/>
      <c r="C2504"/>
      <c r="J2504"/>
      <c r="K2504"/>
      <c r="L2504"/>
    </row>
    <row r="2505" spans="2:12" x14ac:dyDescent="0.2">
      <c r="B2505"/>
      <c r="C2505"/>
      <c r="J2505"/>
      <c r="K2505"/>
      <c r="L2505"/>
    </row>
    <row r="2506" spans="2:12" x14ac:dyDescent="0.2">
      <c r="B2506"/>
      <c r="C2506"/>
      <c r="J2506"/>
      <c r="K2506"/>
      <c r="L2506"/>
    </row>
    <row r="2507" spans="2:12" x14ac:dyDescent="0.2">
      <c r="B2507"/>
      <c r="C2507"/>
      <c r="J2507"/>
      <c r="K2507"/>
      <c r="L2507"/>
    </row>
    <row r="2508" spans="2:12" x14ac:dyDescent="0.2">
      <c r="B2508"/>
      <c r="C2508"/>
      <c r="J2508"/>
      <c r="K2508"/>
      <c r="L2508"/>
    </row>
    <row r="2509" spans="2:12" x14ac:dyDescent="0.2">
      <c r="B2509"/>
      <c r="C2509"/>
      <c r="J2509"/>
      <c r="K2509"/>
      <c r="L2509"/>
    </row>
    <row r="2510" spans="2:12" x14ac:dyDescent="0.2">
      <c r="B2510"/>
      <c r="C2510"/>
      <c r="J2510"/>
      <c r="K2510"/>
      <c r="L2510"/>
    </row>
    <row r="2511" spans="2:12" x14ac:dyDescent="0.2">
      <c r="B2511"/>
      <c r="C2511"/>
      <c r="J2511"/>
      <c r="K2511"/>
      <c r="L2511"/>
    </row>
    <row r="2512" spans="2:12" x14ac:dyDescent="0.2">
      <c r="B2512"/>
      <c r="C2512"/>
      <c r="J2512"/>
      <c r="K2512"/>
      <c r="L2512"/>
    </row>
    <row r="2513" spans="2:12" x14ac:dyDescent="0.2">
      <c r="B2513"/>
      <c r="C2513"/>
      <c r="J2513"/>
      <c r="K2513"/>
      <c r="L2513"/>
    </row>
    <row r="2514" spans="2:12" x14ac:dyDescent="0.2">
      <c r="B2514"/>
      <c r="C2514"/>
      <c r="J2514"/>
      <c r="K2514"/>
      <c r="L2514"/>
    </row>
    <row r="2515" spans="2:12" x14ac:dyDescent="0.2">
      <c r="B2515"/>
      <c r="C2515"/>
      <c r="J2515"/>
      <c r="K2515"/>
      <c r="L2515"/>
    </row>
    <row r="2516" spans="2:12" x14ac:dyDescent="0.2">
      <c r="B2516"/>
      <c r="C2516"/>
      <c r="J2516"/>
      <c r="K2516"/>
      <c r="L2516"/>
    </row>
    <row r="2517" spans="2:12" x14ac:dyDescent="0.2">
      <c r="B2517"/>
      <c r="C2517"/>
      <c r="J2517"/>
      <c r="K2517"/>
      <c r="L2517"/>
    </row>
    <row r="2518" spans="2:12" x14ac:dyDescent="0.2">
      <c r="B2518"/>
      <c r="C2518"/>
      <c r="J2518"/>
      <c r="K2518"/>
      <c r="L2518"/>
    </row>
    <row r="2519" spans="2:12" x14ac:dyDescent="0.2">
      <c r="B2519"/>
      <c r="C2519"/>
      <c r="J2519"/>
      <c r="K2519"/>
      <c r="L2519"/>
    </row>
    <row r="2520" spans="2:12" x14ac:dyDescent="0.2">
      <c r="B2520"/>
      <c r="C2520"/>
      <c r="J2520"/>
      <c r="K2520"/>
      <c r="L2520"/>
    </row>
    <row r="2521" spans="2:12" x14ac:dyDescent="0.2">
      <c r="B2521"/>
      <c r="C2521"/>
      <c r="J2521"/>
      <c r="K2521"/>
      <c r="L2521"/>
    </row>
    <row r="2522" spans="2:12" x14ac:dyDescent="0.2">
      <c r="B2522"/>
      <c r="C2522"/>
      <c r="J2522"/>
      <c r="K2522"/>
      <c r="L2522"/>
    </row>
    <row r="2523" spans="2:12" x14ac:dyDescent="0.2">
      <c r="B2523"/>
      <c r="C2523"/>
      <c r="J2523"/>
      <c r="K2523"/>
      <c r="L2523"/>
    </row>
    <row r="2524" spans="2:12" x14ac:dyDescent="0.2">
      <c r="B2524"/>
      <c r="C2524"/>
      <c r="J2524"/>
      <c r="K2524"/>
      <c r="L2524"/>
    </row>
    <row r="2525" spans="2:12" x14ac:dyDescent="0.2">
      <c r="B2525"/>
      <c r="C2525"/>
      <c r="J2525"/>
      <c r="K2525"/>
      <c r="L2525"/>
    </row>
    <row r="2526" spans="2:12" x14ac:dyDescent="0.2">
      <c r="B2526"/>
      <c r="C2526"/>
      <c r="J2526"/>
      <c r="K2526"/>
      <c r="L2526"/>
    </row>
    <row r="2527" spans="2:12" x14ac:dyDescent="0.2">
      <c r="B2527"/>
      <c r="C2527"/>
      <c r="J2527"/>
      <c r="K2527"/>
      <c r="L2527"/>
    </row>
    <row r="2528" spans="2:12" x14ac:dyDescent="0.2">
      <c r="B2528"/>
      <c r="C2528"/>
      <c r="J2528"/>
      <c r="K2528"/>
      <c r="L2528"/>
    </row>
    <row r="2529" spans="2:12" x14ac:dyDescent="0.2">
      <c r="B2529"/>
      <c r="C2529"/>
      <c r="J2529"/>
      <c r="K2529"/>
      <c r="L2529"/>
    </row>
    <row r="2530" spans="2:12" x14ac:dyDescent="0.2">
      <c r="B2530"/>
      <c r="C2530"/>
      <c r="J2530"/>
      <c r="K2530"/>
      <c r="L2530"/>
    </row>
    <row r="2531" spans="2:12" x14ac:dyDescent="0.2">
      <c r="B2531"/>
      <c r="C2531"/>
      <c r="J2531"/>
      <c r="K2531"/>
      <c r="L2531"/>
    </row>
    <row r="2532" spans="2:12" x14ac:dyDescent="0.2">
      <c r="B2532"/>
      <c r="C2532"/>
      <c r="J2532"/>
      <c r="K2532"/>
      <c r="L2532"/>
    </row>
    <row r="2533" spans="2:12" x14ac:dyDescent="0.2">
      <c r="B2533"/>
      <c r="C2533"/>
      <c r="J2533"/>
      <c r="K2533"/>
      <c r="L2533"/>
    </row>
    <row r="2534" spans="2:12" x14ac:dyDescent="0.2">
      <c r="B2534"/>
      <c r="C2534"/>
      <c r="J2534"/>
      <c r="K2534"/>
      <c r="L2534"/>
    </row>
    <row r="2535" spans="2:12" x14ac:dyDescent="0.2">
      <c r="B2535"/>
      <c r="C2535"/>
      <c r="J2535"/>
      <c r="K2535"/>
      <c r="L2535"/>
    </row>
    <row r="2536" spans="2:12" x14ac:dyDescent="0.2">
      <c r="B2536"/>
      <c r="C2536"/>
      <c r="J2536"/>
      <c r="K2536"/>
      <c r="L2536"/>
    </row>
    <row r="2537" spans="2:12" x14ac:dyDescent="0.2">
      <c r="B2537"/>
      <c r="C2537"/>
      <c r="J2537"/>
      <c r="K2537"/>
      <c r="L2537"/>
    </row>
    <row r="2538" spans="2:12" x14ac:dyDescent="0.2">
      <c r="B2538"/>
      <c r="C2538"/>
      <c r="J2538"/>
      <c r="K2538"/>
      <c r="L2538"/>
    </row>
    <row r="2539" spans="2:12" x14ac:dyDescent="0.2">
      <c r="B2539"/>
      <c r="C2539"/>
      <c r="J2539"/>
      <c r="K2539"/>
      <c r="L2539"/>
    </row>
    <row r="2540" spans="2:12" x14ac:dyDescent="0.2">
      <c r="B2540"/>
      <c r="C2540"/>
      <c r="J2540"/>
      <c r="K2540"/>
      <c r="L2540"/>
    </row>
    <row r="2541" spans="2:12" x14ac:dyDescent="0.2">
      <c r="B2541"/>
      <c r="C2541"/>
      <c r="J2541"/>
      <c r="K2541"/>
      <c r="L2541"/>
    </row>
    <row r="2542" spans="2:12" x14ac:dyDescent="0.2">
      <c r="B2542"/>
      <c r="C2542"/>
      <c r="J2542"/>
      <c r="K2542"/>
      <c r="L2542"/>
    </row>
    <row r="2543" spans="2:12" x14ac:dyDescent="0.2">
      <c r="B2543"/>
      <c r="C2543"/>
      <c r="J2543"/>
      <c r="K2543"/>
      <c r="L2543"/>
    </row>
    <row r="2544" spans="2:12" x14ac:dyDescent="0.2">
      <c r="B2544"/>
      <c r="C2544"/>
      <c r="J2544"/>
      <c r="K2544"/>
      <c r="L2544"/>
    </row>
    <row r="2545" spans="2:12" x14ac:dyDescent="0.2">
      <c r="B2545"/>
      <c r="C2545"/>
      <c r="J2545"/>
      <c r="K2545"/>
      <c r="L2545"/>
    </row>
    <row r="2546" spans="2:12" x14ac:dyDescent="0.2">
      <c r="B2546"/>
      <c r="C2546"/>
      <c r="J2546"/>
      <c r="K2546"/>
      <c r="L2546"/>
    </row>
    <row r="2547" spans="2:12" x14ac:dyDescent="0.2">
      <c r="B2547"/>
      <c r="C2547"/>
      <c r="J2547"/>
      <c r="K2547"/>
      <c r="L2547"/>
    </row>
    <row r="2548" spans="2:12" x14ac:dyDescent="0.2">
      <c r="B2548"/>
      <c r="C2548"/>
      <c r="J2548"/>
      <c r="K2548"/>
      <c r="L2548"/>
    </row>
    <row r="2549" spans="2:12" x14ac:dyDescent="0.2">
      <c r="B2549"/>
      <c r="C2549"/>
      <c r="J2549"/>
      <c r="K2549"/>
      <c r="L2549"/>
    </row>
    <row r="2550" spans="2:12" x14ac:dyDescent="0.2">
      <c r="B2550"/>
      <c r="C2550"/>
      <c r="J2550"/>
      <c r="K2550"/>
      <c r="L2550"/>
    </row>
    <row r="2551" spans="2:12" x14ac:dyDescent="0.2">
      <c r="B2551"/>
      <c r="C2551"/>
      <c r="J2551"/>
      <c r="K2551"/>
      <c r="L2551"/>
    </row>
    <row r="2552" spans="2:12" x14ac:dyDescent="0.2">
      <c r="B2552"/>
      <c r="C2552"/>
      <c r="J2552"/>
      <c r="K2552"/>
      <c r="L2552"/>
    </row>
    <row r="2553" spans="2:12" x14ac:dyDescent="0.2">
      <c r="B2553"/>
      <c r="C2553"/>
      <c r="J2553"/>
      <c r="K2553"/>
      <c r="L2553"/>
    </row>
    <row r="2554" spans="2:12" x14ac:dyDescent="0.2">
      <c r="B2554"/>
      <c r="C2554"/>
      <c r="J2554"/>
      <c r="K2554"/>
      <c r="L2554"/>
    </row>
    <row r="2555" spans="2:12" x14ac:dyDescent="0.2">
      <c r="B2555"/>
      <c r="C2555"/>
      <c r="J2555"/>
      <c r="K2555"/>
      <c r="L2555"/>
    </row>
    <row r="2556" spans="2:12" x14ac:dyDescent="0.2">
      <c r="B2556"/>
      <c r="C2556"/>
      <c r="J2556"/>
      <c r="K2556"/>
      <c r="L2556"/>
    </row>
    <row r="2557" spans="2:12" x14ac:dyDescent="0.2">
      <c r="B2557"/>
      <c r="C2557"/>
      <c r="J2557"/>
      <c r="K2557"/>
      <c r="L2557"/>
    </row>
    <row r="2558" spans="2:12" x14ac:dyDescent="0.2">
      <c r="B2558"/>
      <c r="C2558"/>
      <c r="J2558"/>
      <c r="K2558"/>
      <c r="L2558"/>
    </row>
    <row r="2559" spans="2:12" x14ac:dyDescent="0.2">
      <c r="B2559"/>
      <c r="C2559"/>
      <c r="J2559"/>
      <c r="K2559"/>
      <c r="L2559"/>
    </row>
    <row r="2560" spans="2:12" x14ac:dyDescent="0.2">
      <c r="B2560"/>
      <c r="C2560"/>
      <c r="J2560"/>
      <c r="K2560"/>
      <c r="L2560"/>
    </row>
    <row r="2561" spans="2:12" x14ac:dyDescent="0.2">
      <c r="B2561"/>
      <c r="C2561"/>
      <c r="J2561"/>
      <c r="K2561"/>
      <c r="L2561"/>
    </row>
    <row r="2562" spans="2:12" x14ac:dyDescent="0.2">
      <c r="B2562"/>
      <c r="C2562"/>
      <c r="J2562"/>
      <c r="K2562"/>
      <c r="L2562"/>
    </row>
    <row r="2563" spans="2:12" x14ac:dyDescent="0.2">
      <c r="B2563"/>
      <c r="C2563"/>
      <c r="J2563"/>
      <c r="K2563"/>
      <c r="L2563"/>
    </row>
    <row r="2564" spans="2:12" x14ac:dyDescent="0.2">
      <c r="B2564"/>
      <c r="C2564"/>
      <c r="J2564"/>
      <c r="K2564"/>
      <c r="L2564"/>
    </row>
    <row r="2565" spans="2:12" x14ac:dyDescent="0.2">
      <c r="B2565"/>
      <c r="C2565"/>
      <c r="J2565"/>
      <c r="K2565"/>
      <c r="L2565"/>
    </row>
    <row r="2566" spans="2:12" x14ac:dyDescent="0.2">
      <c r="B2566"/>
      <c r="C2566"/>
      <c r="J2566"/>
      <c r="K2566"/>
      <c r="L2566"/>
    </row>
    <row r="2567" spans="2:12" x14ac:dyDescent="0.2">
      <c r="B2567"/>
      <c r="C2567"/>
      <c r="J2567"/>
      <c r="K2567"/>
      <c r="L2567"/>
    </row>
    <row r="2568" spans="2:12" x14ac:dyDescent="0.2">
      <c r="B2568"/>
      <c r="C2568"/>
      <c r="J2568"/>
      <c r="K2568"/>
      <c r="L2568"/>
    </row>
    <row r="2569" spans="2:12" x14ac:dyDescent="0.2">
      <c r="B2569"/>
      <c r="C2569"/>
      <c r="J2569"/>
      <c r="K2569"/>
      <c r="L2569"/>
    </row>
    <row r="2570" spans="2:12" x14ac:dyDescent="0.2">
      <c r="B2570"/>
      <c r="C2570"/>
      <c r="J2570"/>
      <c r="K2570"/>
      <c r="L2570"/>
    </row>
    <row r="2571" spans="2:12" x14ac:dyDescent="0.2">
      <c r="B2571"/>
      <c r="C2571"/>
      <c r="J2571"/>
      <c r="K2571"/>
      <c r="L2571"/>
    </row>
    <row r="2572" spans="2:12" x14ac:dyDescent="0.2">
      <c r="B2572"/>
      <c r="C2572"/>
      <c r="J2572"/>
      <c r="K2572"/>
      <c r="L2572"/>
    </row>
    <row r="2573" spans="2:12" x14ac:dyDescent="0.2">
      <c r="B2573"/>
      <c r="C2573"/>
      <c r="J2573"/>
      <c r="K2573"/>
      <c r="L2573"/>
    </row>
    <row r="2574" spans="2:12" x14ac:dyDescent="0.2">
      <c r="B2574"/>
      <c r="C2574"/>
      <c r="J2574"/>
      <c r="K2574"/>
      <c r="L2574"/>
    </row>
    <row r="2575" spans="2:12" x14ac:dyDescent="0.2">
      <c r="B2575"/>
      <c r="C2575"/>
      <c r="J2575"/>
      <c r="K2575"/>
      <c r="L2575"/>
    </row>
    <row r="2576" spans="2:12" x14ac:dyDescent="0.2">
      <c r="B2576"/>
      <c r="C2576"/>
      <c r="J2576"/>
      <c r="K2576"/>
      <c r="L2576"/>
    </row>
    <row r="2577" spans="2:12" x14ac:dyDescent="0.2">
      <c r="B2577"/>
      <c r="C2577"/>
      <c r="J2577"/>
      <c r="K2577"/>
      <c r="L2577"/>
    </row>
    <row r="2578" spans="2:12" x14ac:dyDescent="0.2">
      <c r="B2578"/>
      <c r="C2578"/>
      <c r="J2578"/>
      <c r="K2578"/>
      <c r="L2578"/>
    </row>
    <row r="2579" spans="2:12" x14ac:dyDescent="0.2">
      <c r="B2579"/>
      <c r="C2579"/>
      <c r="J2579"/>
      <c r="K2579"/>
      <c r="L2579"/>
    </row>
    <row r="2580" spans="2:12" x14ac:dyDescent="0.2">
      <c r="B2580"/>
      <c r="C2580"/>
      <c r="J2580"/>
      <c r="K2580"/>
      <c r="L2580"/>
    </row>
    <row r="2581" spans="2:12" x14ac:dyDescent="0.2">
      <c r="B2581"/>
      <c r="C2581"/>
      <c r="J2581"/>
      <c r="K2581"/>
      <c r="L2581"/>
    </row>
    <row r="2582" spans="2:12" x14ac:dyDescent="0.2">
      <c r="B2582"/>
      <c r="C2582"/>
      <c r="J2582"/>
      <c r="K2582"/>
      <c r="L2582"/>
    </row>
    <row r="2583" spans="2:12" x14ac:dyDescent="0.2">
      <c r="B2583"/>
      <c r="C2583"/>
      <c r="J2583"/>
      <c r="K2583"/>
      <c r="L2583"/>
    </row>
    <row r="2584" spans="2:12" x14ac:dyDescent="0.2">
      <c r="B2584"/>
      <c r="C2584"/>
      <c r="J2584"/>
      <c r="K2584"/>
      <c r="L2584"/>
    </row>
    <row r="2585" spans="2:12" x14ac:dyDescent="0.2">
      <c r="B2585"/>
      <c r="C2585"/>
      <c r="J2585"/>
      <c r="K2585"/>
      <c r="L2585"/>
    </row>
    <row r="2586" spans="2:12" x14ac:dyDescent="0.2">
      <c r="B2586"/>
      <c r="C2586"/>
      <c r="J2586"/>
      <c r="K2586"/>
      <c r="L2586"/>
    </row>
    <row r="2587" spans="2:12" x14ac:dyDescent="0.2">
      <c r="B2587"/>
      <c r="C2587"/>
      <c r="J2587"/>
      <c r="K2587"/>
      <c r="L2587"/>
    </row>
    <row r="2588" spans="2:12" x14ac:dyDescent="0.2">
      <c r="B2588"/>
      <c r="C2588"/>
      <c r="J2588"/>
      <c r="K2588"/>
      <c r="L2588"/>
    </row>
    <row r="2589" spans="2:12" x14ac:dyDescent="0.2">
      <c r="B2589"/>
      <c r="C2589"/>
      <c r="J2589"/>
      <c r="K2589"/>
      <c r="L2589"/>
    </row>
    <row r="2590" spans="2:12" x14ac:dyDescent="0.2">
      <c r="B2590"/>
      <c r="C2590"/>
      <c r="J2590"/>
      <c r="K2590"/>
      <c r="L2590"/>
    </row>
    <row r="2591" spans="2:12" x14ac:dyDescent="0.2">
      <c r="B2591"/>
      <c r="C2591"/>
      <c r="J2591"/>
      <c r="K2591"/>
      <c r="L2591"/>
    </row>
    <row r="2592" spans="2:12" x14ac:dyDescent="0.2">
      <c r="B2592"/>
      <c r="C2592"/>
      <c r="J2592"/>
      <c r="K2592"/>
      <c r="L2592"/>
    </row>
    <row r="2593" spans="2:12" x14ac:dyDescent="0.2">
      <c r="B2593"/>
      <c r="C2593"/>
      <c r="J2593"/>
      <c r="K2593"/>
      <c r="L2593"/>
    </row>
    <row r="2594" spans="2:12" x14ac:dyDescent="0.2">
      <c r="B2594"/>
      <c r="C2594"/>
      <c r="J2594"/>
      <c r="K2594"/>
      <c r="L2594"/>
    </row>
    <row r="2595" spans="2:12" x14ac:dyDescent="0.2">
      <c r="B2595"/>
      <c r="C2595"/>
      <c r="J2595"/>
      <c r="K2595"/>
      <c r="L2595"/>
    </row>
    <row r="2596" spans="2:12" x14ac:dyDescent="0.2">
      <c r="B2596"/>
      <c r="C2596"/>
      <c r="J2596"/>
      <c r="K2596"/>
      <c r="L2596"/>
    </row>
    <row r="2597" spans="2:12" x14ac:dyDescent="0.2">
      <c r="B2597"/>
      <c r="C2597"/>
      <c r="J2597"/>
      <c r="K2597"/>
      <c r="L2597"/>
    </row>
    <row r="2598" spans="2:12" x14ac:dyDescent="0.2">
      <c r="B2598"/>
      <c r="C2598"/>
      <c r="J2598"/>
      <c r="K2598"/>
      <c r="L2598"/>
    </row>
    <row r="2599" spans="2:12" x14ac:dyDescent="0.2">
      <c r="B2599"/>
      <c r="C2599"/>
      <c r="J2599"/>
      <c r="K2599"/>
      <c r="L2599"/>
    </row>
    <row r="2600" spans="2:12" x14ac:dyDescent="0.2">
      <c r="B2600"/>
      <c r="C2600"/>
      <c r="J2600"/>
      <c r="K2600"/>
      <c r="L2600"/>
    </row>
    <row r="2601" spans="2:12" x14ac:dyDescent="0.2">
      <c r="B2601"/>
      <c r="C2601"/>
      <c r="J2601"/>
      <c r="K2601"/>
      <c r="L2601"/>
    </row>
    <row r="2602" spans="2:12" x14ac:dyDescent="0.2">
      <c r="B2602"/>
      <c r="C2602"/>
      <c r="J2602"/>
      <c r="K2602"/>
      <c r="L2602"/>
    </row>
    <row r="2603" spans="2:12" x14ac:dyDescent="0.2">
      <c r="B2603"/>
      <c r="C2603"/>
      <c r="J2603"/>
      <c r="K2603"/>
      <c r="L2603"/>
    </row>
    <row r="2604" spans="2:12" x14ac:dyDescent="0.2">
      <c r="B2604"/>
      <c r="C2604"/>
      <c r="J2604"/>
      <c r="K2604"/>
      <c r="L2604"/>
    </row>
    <row r="2605" spans="2:12" x14ac:dyDescent="0.2">
      <c r="B2605"/>
      <c r="C2605"/>
      <c r="J2605"/>
      <c r="K2605"/>
      <c r="L2605"/>
    </row>
    <row r="2606" spans="2:12" x14ac:dyDescent="0.2">
      <c r="B2606"/>
      <c r="C2606"/>
      <c r="J2606"/>
      <c r="K2606"/>
      <c r="L2606"/>
    </row>
    <row r="2607" spans="2:12" x14ac:dyDescent="0.2">
      <c r="B2607"/>
      <c r="C2607"/>
      <c r="J2607"/>
      <c r="K2607"/>
      <c r="L2607"/>
    </row>
    <row r="2608" spans="2:12" x14ac:dyDescent="0.2">
      <c r="B2608"/>
      <c r="C2608"/>
      <c r="J2608"/>
      <c r="K2608"/>
      <c r="L2608"/>
    </row>
    <row r="2609" spans="2:12" x14ac:dyDescent="0.2">
      <c r="B2609"/>
      <c r="C2609"/>
      <c r="J2609"/>
      <c r="K2609"/>
      <c r="L2609"/>
    </row>
    <row r="2610" spans="2:12" x14ac:dyDescent="0.2">
      <c r="B2610"/>
      <c r="C2610"/>
      <c r="J2610"/>
      <c r="K2610"/>
      <c r="L2610"/>
    </row>
    <row r="2611" spans="2:12" x14ac:dyDescent="0.2">
      <c r="B2611"/>
      <c r="C2611"/>
      <c r="J2611"/>
      <c r="K2611"/>
      <c r="L2611"/>
    </row>
    <row r="2612" spans="2:12" x14ac:dyDescent="0.2">
      <c r="B2612"/>
      <c r="C2612"/>
      <c r="J2612"/>
      <c r="K2612"/>
      <c r="L2612"/>
    </row>
    <row r="2613" spans="2:12" x14ac:dyDescent="0.2">
      <c r="B2613"/>
      <c r="C2613"/>
      <c r="J2613"/>
      <c r="K2613"/>
      <c r="L2613"/>
    </row>
    <row r="2614" spans="2:12" x14ac:dyDescent="0.2">
      <c r="B2614"/>
      <c r="C2614"/>
      <c r="J2614"/>
      <c r="K2614"/>
      <c r="L2614"/>
    </row>
    <row r="2615" spans="2:12" x14ac:dyDescent="0.2">
      <c r="B2615"/>
      <c r="C2615"/>
      <c r="J2615"/>
      <c r="K2615"/>
      <c r="L2615"/>
    </row>
    <row r="2616" spans="2:12" x14ac:dyDescent="0.2">
      <c r="B2616"/>
      <c r="C2616"/>
      <c r="J2616"/>
      <c r="K2616"/>
      <c r="L2616"/>
    </row>
    <row r="2617" spans="2:12" x14ac:dyDescent="0.2">
      <c r="B2617"/>
      <c r="C2617"/>
      <c r="J2617"/>
      <c r="K2617"/>
      <c r="L2617"/>
    </row>
    <row r="2618" spans="2:12" x14ac:dyDescent="0.2">
      <c r="B2618"/>
      <c r="C2618"/>
      <c r="J2618"/>
      <c r="K2618"/>
      <c r="L2618"/>
    </row>
    <row r="2619" spans="2:12" x14ac:dyDescent="0.2">
      <c r="B2619"/>
      <c r="C2619"/>
      <c r="J2619"/>
      <c r="K2619"/>
      <c r="L2619"/>
    </row>
    <row r="2620" spans="2:12" x14ac:dyDescent="0.2">
      <c r="B2620"/>
      <c r="C2620"/>
      <c r="J2620"/>
      <c r="K2620"/>
      <c r="L2620"/>
    </row>
    <row r="2621" spans="2:12" x14ac:dyDescent="0.2">
      <c r="B2621"/>
      <c r="C2621"/>
      <c r="J2621"/>
      <c r="K2621"/>
      <c r="L2621"/>
    </row>
    <row r="2622" spans="2:12" x14ac:dyDescent="0.2">
      <c r="B2622"/>
      <c r="C2622"/>
      <c r="J2622"/>
      <c r="K2622"/>
      <c r="L2622"/>
    </row>
    <row r="2623" spans="2:12" x14ac:dyDescent="0.2">
      <c r="B2623"/>
      <c r="C2623"/>
      <c r="J2623"/>
      <c r="K2623"/>
      <c r="L2623"/>
    </row>
    <row r="2624" spans="2:12" x14ac:dyDescent="0.2">
      <c r="B2624"/>
      <c r="C2624"/>
      <c r="J2624"/>
      <c r="K2624"/>
      <c r="L2624"/>
    </row>
    <row r="2625" spans="2:12" x14ac:dyDescent="0.2">
      <c r="B2625"/>
      <c r="C2625"/>
      <c r="J2625"/>
      <c r="K2625"/>
      <c r="L2625"/>
    </row>
    <row r="2626" spans="2:12" x14ac:dyDescent="0.2">
      <c r="B2626"/>
      <c r="C2626"/>
      <c r="J2626"/>
      <c r="K2626"/>
      <c r="L2626"/>
    </row>
    <row r="2627" spans="2:12" x14ac:dyDescent="0.2">
      <c r="B2627"/>
      <c r="C2627"/>
      <c r="J2627"/>
      <c r="K2627"/>
      <c r="L2627"/>
    </row>
    <row r="2628" spans="2:12" x14ac:dyDescent="0.2">
      <c r="B2628"/>
      <c r="C2628"/>
      <c r="J2628"/>
      <c r="K2628"/>
      <c r="L2628"/>
    </row>
    <row r="2629" spans="2:12" x14ac:dyDescent="0.2">
      <c r="B2629"/>
      <c r="C2629"/>
      <c r="J2629"/>
      <c r="K2629"/>
      <c r="L2629"/>
    </row>
    <row r="2630" spans="2:12" x14ac:dyDescent="0.2">
      <c r="B2630"/>
      <c r="C2630"/>
      <c r="J2630"/>
      <c r="K2630"/>
      <c r="L2630"/>
    </row>
    <row r="2631" spans="2:12" x14ac:dyDescent="0.2">
      <c r="B2631"/>
      <c r="C2631"/>
      <c r="J2631"/>
      <c r="K2631"/>
      <c r="L2631"/>
    </row>
    <row r="2632" spans="2:12" x14ac:dyDescent="0.2">
      <c r="B2632"/>
      <c r="C2632"/>
      <c r="J2632"/>
      <c r="K2632"/>
      <c r="L2632"/>
    </row>
    <row r="2633" spans="2:12" x14ac:dyDescent="0.2">
      <c r="B2633"/>
      <c r="C2633"/>
      <c r="J2633"/>
      <c r="K2633"/>
      <c r="L2633"/>
    </row>
    <row r="2634" spans="2:12" x14ac:dyDescent="0.2">
      <c r="B2634"/>
      <c r="C2634"/>
      <c r="J2634"/>
      <c r="K2634"/>
      <c r="L2634"/>
    </row>
    <row r="2635" spans="2:12" x14ac:dyDescent="0.2">
      <c r="B2635"/>
      <c r="C2635"/>
      <c r="J2635"/>
      <c r="K2635"/>
      <c r="L2635"/>
    </row>
    <row r="2636" spans="2:12" x14ac:dyDescent="0.2">
      <c r="B2636"/>
      <c r="C2636"/>
      <c r="J2636"/>
      <c r="K2636"/>
      <c r="L2636"/>
    </row>
    <row r="2637" spans="2:12" x14ac:dyDescent="0.2">
      <c r="B2637"/>
      <c r="C2637"/>
      <c r="J2637"/>
      <c r="K2637"/>
      <c r="L2637"/>
    </row>
    <row r="2638" spans="2:12" x14ac:dyDescent="0.2">
      <c r="B2638"/>
      <c r="C2638"/>
      <c r="J2638"/>
      <c r="K2638"/>
      <c r="L2638"/>
    </row>
    <row r="2639" spans="2:12" x14ac:dyDescent="0.2">
      <c r="B2639"/>
      <c r="C2639"/>
      <c r="J2639"/>
      <c r="K2639"/>
      <c r="L2639"/>
    </row>
    <row r="2640" spans="2:12" x14ac:dyDescent="0.2">
      <c r="B2640"/>
      <c r="C2640"/>
      <c r="J2640"/>
      <c r="K2640"/>
      <c r="L2640"/>
    </row>
    <row r="2641" spans="2:12" x14ac:dyDescent="0.2">
      <c r="B2641"/>
      <c r="C2641"/>
      <c r="J2641"/>
      <c r="K2641"/>
      <c r="L2641"/>
    </row>
    <row r="2642" spans="2:12" x14ac:dyDescent="0.2">
      <c r="B2642"/>
      <c r="C2642"/>
      <c r="J2642"/>
      <c r="K2642"/>
      <c r="L2642"/>
    </row>
    <row r="2643" spans="2:12" x14ac:dyDescent="0.2">
      <c r="B2643"/>
      <c r="C2643"/>
      <c r="J2643"/>
      <c r="K2643"/>
      <c r="L2643"/>
    </row>
    <row r="2644" spans="2:12" x14ac:dyDescent="0.2">
      <c r="B2644"/>
      <c r="C2644"/>
      <c r="J2644"/>
      <c r="K2644"/>
      <c r="L2644"/>
    </row>
    <row r="2645" spans="2:12" x14ac:dyDescent="0.2">
      <c r="B2645"/>
      <c r="C2645"/>
      <c r="J2645"/>
      <c r="K2645"/>
      <c r="L2645"/>
    </row>
    <row r="2646" spans="2:12" x14ac:dyDescent="0.2">
      <c r="B2646"/>
      <c r="C2646"/>
      <c r="J2646"/>
      <c r="K2646"/>
      <c r="L2646"/>
    </row>
    <row r="2647" spans="2:12" x14ac:dyDescent="0.2">
      <c r="B2647"/>
      <c r="C2647"/>
      <c r="J2647"/>
      <c r="K2647"/>
      <c r="L2647"/>
    </row>
    <row r="2648" spans="2:12" x14ac:dyDescent="0.2">
      <c r="B2648"/>
      <c r="C2648"/>
      <c r="J2648"/>
      <c r="K2648"/>
      <c r="L2648"/>
    </row>
    <row r="2649" spans="2:12" x14ac:dyDescent="0.2">
      <c r="B2649"/>
      <c r="C2649"/>
      <c r="J2649"/>
      <c r="K2649"/>
      <c r="L2649"/>
    </row>
    <row r="2650" spans="2:12" x14ac:dyDescent="0.2">
      <c r="B2650"/>
      <c r="C2650"/>
      <c r="J2650"/>
      <c r="K2650"/>
      <c r="L2650"/>
    </row>
    <row r="2651" spans="2:12" x14ac:dyDescent="0.2">
      <c r="B2651"/>
      <c r="C2651"/>
      <c r="J2651"/>
      <c r="K2651"/>
      <c r="L2651"/>
    </row>
    <row r="2652" spans="2:12" x14ac:dyDescent="0.2">
      <c r="B2652"/>
      <c r="C2652"/>
      <c r="J2652"/>
      <c r="K2652"/>
      <c r="L2652"/>
    </row>
    <row r="2653" spans="2:12" x14ac:dyDescent="0.2">
      <c r="B2653"/>
      <c r="C2653"/>
      <c r="J2653"/>
      <c r="K2653"/>
      <c r="L2653"/>
    </row>
    <row r="2654" spans="2:12" x14ac:dyDescent="0.2">
      <c r="B2654"/>
      <c r="C2654"/>
      <c r="J2654"/>
      <c r="K2654"/>
      <c r="L2654"/>
    </row>
    <row r="2655" spans="2:12" x14ac:dyDescent="0.2">
      <c r="B2655"/>
      <c r="C2655"/>
      <c r="J2655"/>
      <c r="K2655"/>
      <c r="L2655"/>
    </row>
    <row r="2656" spans="2:12" x14ac:dyDescent="0.2">
      <c r="B2656"/>
      <c r="C2656"/>
      <c r="J2656"/>
      <c r="K2656"/>
      <c r="L2656"/>
    </row>
    <row r="2657" spans="2:12" x14ac:dyDescent="0.2">
      <c r="B2657"/>
      <c r="C2657"/>
      <c r="J2657"/>
      <c r="K2657"/>
      <c r="L2657"/>
    </row>
    <row r="2658" spans="2:12" x14ac:dyDescent="0.2">
      <c r="B2658"/>
      <c r="C2658"/>
      <c r="J2658"/>
      <c r="K2658"/>
      <c r="L2658"/>
    </row>
    <row r="2659" spans="2:12" x14ac:dyDescent="0.2">
      <c r="B2659"/>
      <c r="C2659"/>
      <c r="J2659"/>
      <c r="K2659"/>
      <c r="L2659"/>
    </row>
    <row r="2660" spans="2:12" x14ac:dyDescent="0.2">
      <c r="B2660"/>
      <c r="C2660"/>
      <c r="J2660"/>
      <c r="K2660"/>
      <c r="L2660"/>
    </row>
    <row r="2661" spans="2:12" x14ac:dyDescent="0.2">
      <c r="B2661"/>
      <c r="C2661"/>
      <c r="J2661"/>
      <c r="K2661"/>
      <c r="L2661"/>
    </row>
    <row r="2662" spans="2:12" x14ac:dyDescent="0.2">
      <c r="B2662"/>
      <c r="C2662"/>
      <c r="J2662"/>
      <c r="K2662"/>
      <c r="L2662"/>
    </row>
    <row r="2663" spans="2:12" x14ac:dyDescent="0.2">
      <c r="B2663"/>
      <c r="C2663"/>
      <c r="J2663"/>
      <c r="K2663"/>
      <c r="L2663"/>
    </row>
    <row r="2664" spans="2:12" x14ac:dyDescent="0.2">
      <c r="B2664"/>
      <c r="C2664"/>
      <c r="J2664"/>
      <c r="K2664"/>
      <c r="L2664"/>
    </row>
    <row r="2665" spans="2:12" x14ac:dyDescent="0.2">
      <c r="B2665"/>
      <c r="C2665"/>
      <c r="J2665"/>
      <c r="K2665"/>
      <c r="L2665"/>
    </row>
    <row r="2666" spans="2:12" x14ac:dyDescent="0.2">
      <c r="B2666"/>
      <c r="C2666"/>
      <c r="J2666"/>
      <c r="K2666"/>
      <c r="L2666"/>
    </row>
    <row r="2667" spans="2:12" x14ac:dyDescent="0.2">
      <c r="B2667"/>
      <c r="C2667"/>
      <c r="J2667"/>
      <c r="K2667"/>
      <c r="L2667"/>
    </row>
    <row r="2668" spans="2:12" x14ac:dyDescent="0.2">
      <c r="B2668"/>
      <c r="C2668"/>
      <c r="J2668"/>
      <c r="K2668"/>
      <c r="L2668"/>
    </row>
    <row r="2669" spans="2:12" x14ac:dyDescent="0.2">
      <c r="B2669"/>
      <c r="C2669"/>
      <c r="J2669"/>
      <c r="K2669"/>
      <c r="L2669"/>
    </row>
    <row r="2670" spans="2:12" x14ac:dyDescent="0.2">
      <c r="B2670"/>
      <c r="C2670"/>
      <c r="J2670"/>
      <c r="K2670"/>
      <c r="L2670"/>
    </row>
    <row r="2671" spans="2:12" x14ac:dyDescent="0.2">
      <c r="B2671"/>
      <c r="C2671"/>
      <c r="J2671"/>
      <c r="K2671"/>
      <c r="L2671"/>
    </row>
    <row r="2672" spans="2:12" x14ac:dyDescent="0.2">
      <c r="B2672"/>
      <c r="C2672"/>
      <c r="J2672"/>
      <c r="K2672"/>
      <c r="L2672"/>
    </row>
    <row r="2673" spans="2:12" x14ac:dyDescent="0.2">
      <c r="B2673"/>
      <c r="C2673"/>
      <c r="J2673"/>
      <c r="K2673"/>
      <c r="L2673"/>
    </row>
    <row r="2674" spans="2:12" x14ac:dyDescent="0.2">
      <c r="B2674"/>
      <c r="C2674"/>
      <c r="J2674"/>
      <c r="K2674"/>
      <c r="L2674"/>
    </row>
    <row r="2675" spans="2:12" x14ac:dyDescent="0.2">
      <c r="B2675"/>
      <c r="C2675"/>
      <c r="J2675"/>
      <c r="K2675"/>
      <c r="L2675"/>
    </row>
    <row r="2676" spans="2:12" x14ac:dyDescent="0.2">
      <c r="B2676"/>
      <c r="C2676"/>
      <c r="J2676"/>
      <c r="K2676"/>
      <c r="L2676"/>
    </row>
    <row r="2677" spans="2:12" x14ac:dyDescent="0.2">
      <c r="B2677"/>
      <c r="C2677"/>
      <c r="J2677"/>
      <c r="K2677"/>
      <c r="L2677"/>
    </row>
    <row r="2678" spans="2:12" x14ac:dyDescent="0.2">
      <c r="B2678"/>
      <c r="C2678"/>
      <c r="J2678"/>
      <c r="K2678"/>
      <c r="L2678"/>
    </row>
    <row r="2679" spans="2:12" x14ac:dyDescent="0.2">
      <c r="B2679"/>
      <c r="C2679"/>
      <c r="J2679"/>
      <c r="K2679"/>
      <c r="L2679"/>
    </row>
    <row r="2680" spans="2:12" x14ac:dyDescent="0.2">
      <c r="B2680"/>
      <c r="C2680"/>
      <c r="J2680"/>
      <c r="K2680"/>
      <c r="L2680"/>
    </row>
    <row r="2681" spans="2:12" x14ac:dyDescent="0.2">
      <c r="B2681"/>
      <c r="C2681"/>
      <c r="J2681"/>
      <c r="K2681"/>
      <c r="L2681"/>
    </row>
    <row r="2682" spans="2:12" x14ac:dyDescent="0.2">
      <c r="B2682"/>
      <c r="C2682"/>
      <c r="J2682"/>
      <c r="K2682"/>
      <c r="L2682"/>
    </row>
    <row r="2683" spans="2:12" x14ac:dyDescent="0.2">
      <c r="B2683"/>
      <c r="C2683"/>
      <c r="J2683"/>
      <c r="K2683"/>
      <c r="L2683"/>
    </row>
    <row r="2684" spans="2:12" x14ac:dyDescent="0.2">
      <c r="B2684"/>
      <c r="C2684"/>
      <c r="J2684"/>
      <c r="K2684"/>
      <c r="L2684"/>
    </row>
    <row r="2685" spans="2:12" x14ac:dyDescent="0.2">
      <c r="B2685"/>
      <c r="C2685"/>
      <c r="J2685"/>
      <c r="K2685"/>
      <c r="L2685"/>
    </row>
    <row r="2686" spans="2:12" x14ac:dyDescent="0.2">
      <c r="B2686"/>
      <c r="C2686"/>
      <c r="J2686"/>
      <c r="K2686"/>
      <c r="L2686"/>
    </row>
    <row r="2687" spans="2:12" x14ac:dyDescent="0.2">
      <c r="B2687"/>
      <c r="C2687"/>
      <c r="J2687"/>
      <c r="K2687"/>
      <c r="L2687"/>
    </row>
    <row r="2688" spans="2:12" x14ac:dyDescent="0.2">
      <c r="B2688"/>
      <c r="C2688"/>
      <c r="J2688"/>
      <c r="K2688"/>
      <c r="L2688"/>
    </row>
    <row r="2689" spans="2:12" x14ac:dyDescent="0.2">
      <c r="B2689"/>
      <c r="C2689"/>
      <c r="J2689"/>
      <c r="K2689"/>
      <c r="L2689"/>
    </row>
    <row r="2690" spans="2:12" x14ac:dyDescent="0.2">
      <c r="B2690"/>
      <c r="C2690"/>
      <c r="J2690"/>
      <c r="K2690"/>
      <c r="L2690"/>
    </row>
    <row r="2691" spans="2:12" x14ac:dyDescent="0.2">
      <c r="B2691"/>
      <c r="C2691"/>
      <c r="J2691"/>
      <c r="K2691"/>
      <c r="L2691"/>
    </row>
    <row r="2692" spans="2:12" x14ac:dyDescent="0.2">
      <c r="B2692"/>
      <c r="C2692"/>
      <c r="J2692"/>
      <c r="K2692"/>
      <c r="L2692"/>
    </row>
    <row r="2693" spans="2:12" x14ac:dyDescent="0.2">
      <c r="B2693"/>
      <c r="C2693"/>
      <c r="J2693"/>
      <c r="K2693"/>
      <c r="L2693"/>
    </row>
    <row r="2694" spans="2:12" x14ac:dyDescent="0.2">
      <c r="B2694"/>
      <c r="C2694"/>
      <c r="J2694"/>
      <c r="K2694"/>
      <c r="L2694"/>
    </row>
    <row r="2695" spans="2:12" x14ac:dyDescent="0.2">
      <c r="B2695"/>
      <c r="C2695"/>
      <c r="J2695"/>
      <c r="K2695"/>
      <c r="L2695"/>
    </row>
    <row r="2696" spans="2:12" x14ac:dyDescent="0.2">
      <c r="B2696"/>
      <c r="C2696"/>
      <c r="J2696"/>
      <c r="K2696"/>
      <c r="L2696"/>
    </row>
    <row r="2697" spans="2:12" x14ac:dyDescent="0.2">
      <c r="B2697"/>
      <c r="C2697"/>
      <c r="J2697"/>
      <c r="K2697"/>
      <c r="L2697"/>
    </row>
    <row r="2698" spans="2:12" x14ac:dyDescent="0.2">
      <c r="B2698"/>
      <c r="C2698"/>
      <c r="J2698"/>
      <c r="K2698"/>
      <c r="L2698"/>
    </row>
    <row r="2699" spans="2:12" x14ac:dyDescent="0.2">
      <c r="B2699"/>
      <c r="C2699"/>
      <c r="J2699"/>
      <c r="K2699"/>
      <c r="L2699"/>
    </row>
    <row r="2700" spans="2:12" x14ac:dyDescent="0.2">
      <c r="B2700"/>
      <c r="C2700"/>
      <c r="J2700"/>
      <c r="K2700"/>
      <c r="L2700"/>
    </row>
    <row r="2701" spans="2:12" x14ac:dyDescent="0.2">
      <c r="B2701"/>
      <c r="C2701"/>
      <c r="J2701"/>
      <c r="K2701"/>
      <c r="L2701"/>
    </row>
    <row r="2702" spans="2:12" x14ac:dyDescent="0.2">
      <c r="B2702"/>
      <c r="C2702"/>
      <c r="J2702"/>
      <c r="K2702"/>
      <c r="L2702"/>
    </row>
    <row r="2703" spans="2:12" x14ac:dyDescent="0.2">
      <c r="B2703"/>
      <c r="C2703"/>
      <c r="J2703"/>
      <c r="K2703"/>
      <c r="L2703"/>
    </row>
    <row r="2704" spans="2:12" x14ac:dyDescent="0.2">
      <c r="B2704"/>
      <c r="C2704"/>
      <c r="J2704"/>
      <c r="K2704"/>
      <c r="L2704"/>
    </row>
    <row r="2705" spans="2:12" x14ac:dyDescent="0.2">
      <c r="B2705"/>
      <c r="C2705"/>
      <c r="J2705"/>
      <c r="K2705"/>
      <c r="L2705"/>
    </row>
    <row r="2706" spans="2:12" x14ac:dyDescent="0.2">
      <c r="B2706"/>
      <c r="C2706"/>
      <c r="J2706"/>
      <c r="K2706"/>
      <c r="L2706"/>
    </row>
    <row r="2707" spans="2:12" x14ac:dyDescent="0.2">
      <c r="B2707"/>
      <c r="C2707"/>
      <c r="J2707"/>
      <c r="K2707"/>
      <c r="L2707"/>
    </row>
    <row r="2708" spans="2:12" x14ac:dyDescent="0.2">
      <c r="B2708"/>
      <c r="C2708"/>
      <c r="J2708"/>
      <c r="K2708"/>
      <c r="L2708"/>
    </row>
    <row r="2709" spans="2:12" x14ac:dyDescent="0.2">
      <c r="B2709"/>
      <c r="C2709"/>
      <c r="J2709"/>
      <c r="K2709"/>
      <c r="L2709"/>
    </row>
    <row r="2710" spans="2:12" x14ac:dyDescent="0.2">
      <c r="B2710"/>
      <c r="C2710"/>
      <c r="J2710"/>
      <c r="K2710"/>
      <c r="L2710"/>
    </row>
    <row r="2711" spans="2:12" x14ac:dyDescent="0.2">
      <c r="B2711"/>
      <c r="C2711"/>
      <c r="J2711"/>
      <c r="K2711"/>
      <c r="L2711"/>
    </row>
    <row r="2712" spans="2:12" x14ac:dyDescent="0.2">
      <c r="B2712"/>
      <c r="C2712"/>
      <c r="J2712"/>
      <c r="K2712"/>
      <c r="L2712"/>
    </row>
    <row r="2713" spans="2:12" x14ac:dyDescent="0.2">
      <c r="B2713"/>
      <c r="C2713"/>
      <c r="J2713"/>
      <c r="K2713"/>
      <c r="L2713"/>
    </row>
    <row r="2714" spans="2:12" x14ac:dyDescent="0.2">
      <c r="B2714"/>
      <c r="C2714"/>
      <c r="J2714"/>
      <c r="K2714"/>
      <c r="L2714"/>
    </row>
    <row r="2715" spans="2:12" x14ac:dyDescent="0.2">
      <c r="B2715"/>
      <c r="C2715"/>
      <c r="J2715"/>
      <c r="K2715"/>
      <c r="L2715"/>
    </row>
    <row r="2716" spans="2:12" x14ac:dyDescent="0.2">
      <c r="B2716"/>
      <c r="C2716"/>
      <c r="J2716"/>
      <c r="K2716"/>
      <c r="L2716"/>
    </row>
    <row r="2717" spans="2:12" x14ac:dyDescent="0.2">
      <c r="B2717"/>
      <c r="C2717"/>
      <c r="J2717"/>
      <c r="K2717"/>
      <c r="L2717"/>
    </row>
    <row r="2718" spans="2:12" x14ac:dyDescent="0.2">
      <c r="B2718"/>
      <c r="C2718"/>
      <c r="J2718"/>
      <c r="K2718"/>
      <c r="L2718"/>
    </row>
    <row r="2719" spans="2:12" x14ac:dyDescent="0.2">
      <c r="B2719"/>
      <c r="C2719"/>
      <c r="J2719"/>
      <c r="K2719"/>
      <c r="L2719"/>
    </row>
    <row r="2720" spans="2:12" x14ac:dyDescent="0.2">
      <c r="B2720"/>
      <c r="C2720"/>
      <c r="J2720"/>
      <c r="K2720"/>
      <c r="L2720"/>
    </row>
    <row r="2721" spans="2:12" x14ac:dyDescent="0.2">
      <c r="B2721"/>
      <c r="C2721"/>
      <c r="J2721"/>
      <c r="K2721"/>
      <c r="L2721"/>
    </row>
    <row r="2722" spans="2:12" x14ac:dyDescent="0.2">
      <c r="B2722"/>
      <c r="C2722"/>
      <c r="J2722"/>
      <c r="K2722"/>
      <c r="L2722"/>
    </row>
    <row r="2723" spans="2:12" x14ac:dyDescent="0.2">
      <c r="B2723"/>
      <c r="C2723"/>
      <c r="J2723"/>
      <c r="K2723"/>
      <c r="L2723"/>
    </row>
    <row r="2724" spans="2:12" x14ac:dyDescent="0.2">
      <c r="B2724"/>
      <c r="C2724"/>
      <c r="J2724"/>
      <c r="K2724"/>
      <c r="L2724"/>
    </row>
    <row r="2725" spans="2:12" x14ac:dyDescent="0.2">
      <c r="B2725"/>
      <c r="C2725"/>
      <c r="J2725"/>
      <c r="K2725"/>
      <c r="L2725"/>
    </row>
    <row r="2726" spans="2:12" x14ac:dyDescent="0.2">
      <c r="B2726"/>
      <c r="C2726"/>
      <c r="J2726"/>
      <c r="K2726"/>
      <c r="L2726"/>
    </row>
    <row r="2727" spans="2:12" x14ac:dyDescent="0.2">
      <c r="B2727"/>
      <c r="C2727"/>
      <c r="J2727"/>
      <c r="K2727"/>
      <c r="L2727"/>
    </row>
    <row r="2728" spans="2:12" x14ac:dyDescent="0.2">
      <c r="B2728"/>
      <c r="C2728"/>
      <c r="J2728"/>
      <c r="K2728"/>
      <c r="L2728"/>
    </row>
    <row r="2729" spans="2:12" x14ac:dyDescent="0.2">
      <c r="B2729"/>
      <c r="C2729"/>
      <c r="J2729"/>
      <c r="K2729"/>
      <c r="L2729"/>
    </row>
    <row r="2730" spans="2:12" x14ac:dyDescent="0.2">
      <c r="B2730"/>
      <c r="C2730"/>
      <c r="J2730"/>
      <c r="K2730"/>
      <c r="L2730"/>
    </row>
    <row r="2731" spans="2:12" x14ac:dyDescent="0.2">
      <c r="B2731"/>
      <c r="C2731"/>
      <c r="J2731"/>
      <c r="K2731"/>
      <c r="L2731"/>
    </row>
    <row r="2732" spans="2:12" x14ac:dyDescent="0.2">
      <c r="B2732"/>
      <c r="C2732"/>
      <c r="J2732"/>
      <c r="K2732"/>
      <c r="L2732"/>
    </row>
    <row r="2733" spans="2:12" x14ac:dyDescent="0.2">
      <c r="B2733"/>
      <c r="C2733"/>
      <c r="J2733"/>
      <c r="K2733"/>
      <c r="L2733"/>
    </row>
    <row r="2734" spans="2:12" x14ac:dyDescent="0.2">
      <c r="B2734"/>
      <c r="C2734"/>
      <c r="J2734"/>
      <c r="K2734"/>
      <c r="L2734"/>
    </row>
    <row r="2735" spans="2:12" x14ac:dyDescent="0.2">
      <c r="B2735"/>
      <c r="C2735"/>
      <c r="J2735"/>
      <c r="K2735"/>
      <c r="L2735"/>
    </row>
    <row r="2736" spans="2:12" x14ac:dyDescent="0.2">
      <c r="B2736"/>
      <c r="C2736"/>
      <c r="J2736"/>
      <c r="K2736"/>
      <c r="L2736"/>
    </row>
    <row r="2737" spans="2:12" x14ac:dyDescent="0.2">
      <c r="B2737"/>
      <c r="C2737"/>
      <c r="J2737"/>
      <c r="K2737"/>
      <c r="L2737"/>
    </row>
    <row r="2738" spans="2:12" x14ac:dyDescent="0.2">
      <c r="B2738"/>
      <c r="C2738"/>
      <c r="J2738"/>
      <c r="K2738"/>
      <c r="L2738"/>
    </row>
    <row r="2739" spans="2:12" x14ac:dyDescent="0.2">
      <c r="B2739"/>
      <c r="C2739"/>
      <c r="J2739"/>
      <c r="K2739"/>
      <c r="L2739"/>
    </row>
    <row r="2740" spans="2:12" x14ac:dyDescent="0.2">
      <c r="B2740"/>
      <c r="C2740"/>
      <c r="J2740"/>
      <c r="K2740"/>
      <c r="L2740"/>
    </row>
    <row r="2741" spans="2:12" x14ac:dyDescent="0.2">
      <c r="B2741"/>
      <c r="C2741"/>
      <c r="J2741"/>
      <c r="K2741"/>
      <c r="L2741"/>
    </row>
    <row r="2742" spans="2:12" x14ac:dyDescent="0.2">
      <c r="B2742"/>
      <c r="C2742"/>
      <c r="J2742"/>
      <c r="K2742"/>
      <c r="L2742"/>
    </row>
    <row r="2743" spans="2:12" x14ac:dyDescent="0.2">
      <c r="B2743"/>
      <c r="C2743"/>
      <c r="J2743"/>
      <c r="K2743"/>
      <c r="L2743"/>
    </row>
    <row r="2744" spans="2:12" x14ac:dyDescent="0.2">
      <c r="B2744"/>
      <c r="C2744"/>
      <c r="J2744"/>
      <c r="K2744"/>
      <c r="L2744"/>
    </row>
    <row r="2745" spans="2:12" x14ac:dyDescent="0.2">
      <c r="B2745"/>
      <c r="C2745"/>
      <c r="J2745"/>
      <c r="K2745"/>
      <c r="L2745"/>
    </row>
    <row r="2746" spans="2:12" x14ac:dyDescent="0.2">
      <c r="B2746"/>
      <c r="C2746"/>
      <c r="J2746"/>
      <c r="K2746"/>
      <c r="L2746"/>
    </row>
    <row r="2747" spans="2:12" x14ac:dyDescent="0.2">
      <c r="B2747"/>
      <c r="C2747"/>
      <c r="J2747"/>
      <c r="K2747"/>
      <c r="L2747"/>
    </row>
    <row r="2748" spans="2:12" x14ac:dyDescent="0.2">
      <c r="B2748"/>
      <c r="C2748"/>
      <c r="J2748"/>
      <c r="K2748"/>
      <c r="L2748"/>
    </row>
    <row r="2749" spans="2:12" x14ac:dyDescent="0.2">
      <c r="B2749"/>
      <c r="C2749"/>
      <c r="J2749"/>
      <c r="K2749"/>
      <c r="L2749"/>
    </row>
    <row r="2750" spans="2:12" x14ac:dyDescent="0.2">
      <c r="B2750"/>
      <c r="C2750"/>
      <c r="J2750"/>
      <c r="K2750"/>
      <c r="L2750"/>
    </row>
    <row r="2751" spans="2:12" x14ac:dyDescent="0.2">
      <c r="B2751"/>
      <c r="C2751"/>
      <c r="J2751"/>
      <c r="K2751"/>
      <c r="L2751"/>
    </row>
    <row r="2752" spans="2:12" x14ac:dyDescent="0.2">
      <c r="B2752"/>
      <c r="C2752"/>
      <c r="J2752"/>
      <c r="K2752"/>
      <c r="L2752"/>
    </row>
    <row r="2753" spans="2:12" x14ac:dyDescent="0.2">
      <c r="B2753"/>
      <c r="C2753"/>
      <c r="J2753"/>
      <c r="K2753"/>
      <c r="L2753"/>
    </row>
    <row r="2754" spans="2:12" x14ac:dyDescent="0.2">
      <c r="B2754"/>
      <c r="C2754"/>
      <c r="J2754"/>
      <c r="K2754"/>
      <c r="L2754"/>
    </row>
    <row r="2755" spans="2:12" x14ac:dyDescent="0.2">
      <c r="B2755"/>
      <c r="C2755"/>
      <c r="J2755"/>
      <c r="K2755"/>
      <c r="L2755"/>
    </row>
    <row r="2756" spans="2:12" x14ac:dyDescent="0.2">
      <c r="B2756"/>
      <c r="C2756"/>
      <c r="J2756"/>
      <c r="K2756"/>
      <c r="L2756"/>
    </row>
    <row r="2757" spans="2:12" x14ac:dyDescent="0.2">
      <c r="B2757"/>
      <c r="C2757"/>
      <c r="J2757"/>
      <c r="K2757"/>
      <c r="L2757"/>
    </row>
    <row r="2758" spans="2:12" x14ac:dyDescent="0.2">
      <c r="B2758"/>
      <c r="C2758"/>
      <c r="J2758"/>
      <c r="K2758"/>
      <c r="L2758"/>
    </row>
    <row r="2759" spans="2:12" x14ac:dyDescent="0.2">
      <c r="B2759"/>
      <c r="C2759"/>
      <c r="J2759"/>
      <c r="K2759"/>
      <c r="L2759"/>
    </row>
    <row r="2760" spans="2:12" x14ac:dyDescent="0.2">
      <c r="B2760"/>
      <c r="C2760"/>
      <c r="J2760"/>
      <c r="K2760"/>
      <c r="L2760"/>
    </row>
    <row r="2761" spans="2:12" x14ac:dyDescent="0.2">
      <c r="B2761"/>
      <c r="C2761"/>
      <c r="J2761"/>
      <c r="K2761"/>
      <c r="L2761"/>
    </row>
    <row r="2762" spans="2:12" x14ac:dyDescent="0.2">
      <c r="B2762"/>
      <c r="C2762"/>
      <c r="J2762"/>
      <c r="K2762"/>
      <c r="L2762"/>
    </row>
    <row r="2763" spans="2:12" x14ac:dyDescent="0.2">
      <c r="B2763"/>
      <c r="C2763"/>
      <c r="J2763"/>
      <c r="K2763"/>
      <c r="L2763"/>
    </row>
    <row r="2764" spans="2:12" x14ac:dyDescent="0.2">
      <c r="B2764"/>
      <c r="C2764"/>
      <c r="J2764"/>
      <c r="K2764"/>
      <c r="L2764"/>
    </row>
    <row r="2765" spans="2:12" x14ac:dyDescent="0.2">
      <c r="B2765"/>
      <c r="C2765"/>
      <c r="J2765"/>
      <c r="K2765"/>
      <c r="L2765"/>
    </row>
    <row r="2766" spans="2:12" x14ac:dyDescent="0.2">
      <c r="B2766"/>
      <c r="C2766"/>
      <c r="J2766"/>
      <c r="K2766"/>
      <c r="L2766"/>
    </row>
    <row r="2767" spans="2:12" x14ac:dyDescent="0.2">
      <c r="B2767"/>
      <c r="C2767"/>
      <c r="J2767"/>
      <c r="K2767"/>
      <c r="L2767"/>
    </row>
    <row r="2768" spans="2:12" x14ac:dyDescent="0.2">
      <c r="B2768"/>
      <c r="C2768"/>
      <c r="J2768"/>
      <c r="K2768"/>
      <c r="L2768"/>
    </row>
    <row r="2769" spans="2:12" x14ac:dyDescent="0.2">
      <c r="B2769"/>
      <c r="C2769"/>
      <c r="J2769"/>
      <c r="K2769"/>
      <c r="L2769"/>
    </row>
    <row r="2770" spans="2:12" x14ac:dyDescent="0.2">
      <c r="B2770"/>
      <c r="C2770"/>
      <c r="J2770"/>
      <c r="K2770"/>
      <c r="L2770"/>
    </row>
    <row r="2771" spans="2:12" x14ac:dyDescent="0.2">
      <c r="B2771"/>
      <c r="C2771"/>
      <c r="J2771"/>
      <c r="K2771"/>
      <c r="L2771"/>
    </row>
    <row r="2772" spans="2:12" x14ac:dyDescent="0.2">
      <c r="B2772"/>
      <c r="C2772"/>
      <c r="J2772"/>
      <c r="K2772"/>
      <c r="L2772"/>
    </row>
    <row r="2773" spans="2:12" x14ac:dyDescent="0.2">
      <c r="B2773"/>
      <c r="C2773"/>
      <c r="J2773"/>
      <c r="K2773"/>
      <c r="L2773"/>
    </row>
    <row r="2774" spans="2:12" x14ac:dyDescent="0.2">
      <c r="B2774"/>
      <c r="C2774"/>
      <c r="J2774"/>
      <c r="K2774"/>
      <c r="L2774"/>
    </row>
    <row r="2775" spans="2:12" x14ac:dyDescent="0.2">
      <c r="B2775"/>
      <c r="C2775"/>
      <c r="J2775"/>
      <c r="K2775"/>
      <c r="L2775"/>
    </row>
    <row r="2776" spans="2:12" x14ac:dyDescent="0.2">
      <c r="B2776"/>
      <c r="C2776"/>
      <c r="J2776"/>
      <c r="K2776"/>
      <c r="L2776"/>
    </row>
    <row r="2777" spans="2:12" x14ac:dyDescent="0.2">
      <c r="B2777"/>
      <c r="C2777"/>
      <c r="J2777"/>
      <c r="K2777"/>
      <c r="L2777"/>
    </row>
    <row r="2778" spans="2:12" x14ac:dyDescent="0.2">
      <c r="B2778"/>
      <c r="C2778"/>
      <c r="J2778"/>
      <c r="K2778"/>
      <c r="L2778"/>
    </row>
    <row r="2779" spans="2:12" x14ac:dyDescent="0.2">
      <c r="B2779"/>
      <c r="C2779"/>
      <c r="J2779"/>
      <c r="K2779"/>
      <c r="L2779"/>
    </row>
    <row r="2780" spans="2:12" x14ac:dyDescent="0.2">
      <c r="B2780"/>
      <c r="C2780"/>
      <c r="J2780"/>
      <c r="K2780"/>
      <c r="L2780"/>
    </row>
    <row r="2781" spans="2:12" x14ac:dyDescent="0.2">
      <c r="B2781"/>
      <c r="C2781"/>
      <c r="J2781"/>
      <c r="K2781"/>
      <c r="L2781"/>
    </row>
    <row r="2782" spans="2:12" x14ac:dyDescent="0.2">
      <c r="B2782"/>
      <c r="C2782"/>
      <c r="J2782"/>
      <c r="K2782"/>
      <c r="L2782"/>
    </row>
    <row r="2783" spans="2:12" x14ac:dyDescent="0.2">
      <c r="B2783"/>
      <c r="C2783"/>
      <c r="J2783"/>
      <c r="K2783"/>
      <c r="L2783"/>
    </row>
    <row r="2784" spans="2:12" x14ac:dyDescent="0.2">
      <c r="B2784"/>
      <c r="C2784"/>
      <c r="J2784"/>
      <c r="K2784"/>
      <c r="L2784"/>
    </row>
    <row r="2785" spans="2:12" x14ac:dyDescent="0.2">
      <c r="B2785"/>
      <c r="C2785"/>
      <c r="J2785"/>
      <c r="K2785"/>
      <c r="L2785"/>
    </row>
    <row r="2786" spans="2:12" x14ac:dyDescent="0.2">
      <c r="B2786"/>
      <c r="C2786"/>
      <c r="J2786"/>
      <c r="K2786"/>
      <c r="L2786"/>
    </row>
    <row r="2787" spans="2:12" x14ac:dyDescent="0.2">
      <c r="B2787"/>
      <c r="C2787"/>
      <c r="J2787"/>
      <c r="K2787"/>
      <c r="L2787"/>
    </row>
    <row r="2788" spans="2:12" x14ac:dyDescent="0.2">
      <c r="B2788"/>
      <c r="C2788"/>
      <c r="J2788"/>
      <c r="K2788"/>
      <c r="L2788"/>
    </row>
    <row r="2789" spans="2:12" x14ac:dyDescent="0.2">
      <c r="B2789"/>
      <c r="C2789"/>
      <c r="J2789"/>
      <c r="K2789"/>
      <c r="L2789"/>
    </row>
    <row r="2790" spans="2:12" x14ac:dyDescent="0.2">
      <c r="B2790"/>
      <c r="C2790"/>
      <c r="J2790"/>
      <c r="K2790"/>
      <c r="L2790"/>
    </row>
    <row r="2791" spans="2:12" x14ac:dyDescent="0.2">
      <c r="B2791"/>
      <c r="C2791"/>
      <c r="J2791"/>
      <c r="K2791"/>
      <c r="L2791"/>
    </row>
    <row r="2792" spans="2:12" x14ac:dyDescent="0.2">
      <c r="B2792"/>
      <c r="C2792"/>
      <c r="J2792"/>
      <c r="K2792"/>
      <c r="L2792"/>
    </row>
    <row r="2793" spans="2:12" x14ac:dyDescent="0.2">
      <c r="B2793"/>
      <c r="C2793"/>
      <c r="J2793"/>
      <c r="K2793"/>
      <c r="L2793"/>
    </row>
    <row r="2794" spans="2:12" x14ac:dyDescent="0.2">
      <c r="B2794"/>
      <c r="C2794"/>
      <c r="J2794"/>
      <c r="K2794"/>
      <c r="L2794"/>
    </row>
    <row r="2795" spans="2:12" x14ac:dyDescent="0.2">
      <c r="B2795"/>
      <c r="C2795"/>
      <c r="J2795"/>
      <c r="K2795"/>
      <c r="L2795"/>
    </row>
    <row r="2796" spans="2:12" x14ac:dyDescent="0.2">
      <c r="B2796"/>
      <c r="C2796"/>
      <c r="J2796"/>
      <c r="K2796"/>
      <c r="L2796"/>
    </row>
    <row r="2797" spans="2:12" x14ac:dyDescent="0.2">
      <c r="B2797"/>
      <c r="C2797"/>
      <c r="J2797"/>
      <c r="K2797"/>
      <c r="L2797"/>
    </row>
    <row r="2798" spans="2:12" x14ac:dyDescent="0.2">
      <c r="B2798"/>
      <c r="C2798"/>
      <c r="J2798"/>
      <c r="K2798"/>
      <c r="L2798"/>
    </row>
    <row r="2799" spans="2:12" x14ac:dyDescent="0.2">
      <c r="B2799"/>
      <c r="C2799"/>
      <c r="J2799"/>
      <c r="K2799"/>
      <c r="L2799"/>
    </row>
    <row r="2800" spans="2:12" x14ac:dyDescent="0.2">
      <c r="B2800"/>
      <c r="C2800"/>
      <c r="J2800"/>
      <c r="K2800"/>
      <c r="L2800"/>
    </row>
    <row r="2801" spans="2:12" x14ac:dyDescent="0.2">
      <c r="B2801"/>
      <c r="C2801"/>
      <c r="J2801"/>
      <c r="K2801"/>
      <c r="L2801"/>
    </row>
    <row r="2802" spans="2:12" x14ac:dyDescent="0.2">
      <c r="B2802"/>
      <c r="C2802"/>
      <c r="J2802"/>
      <c r="K2802"/>
      <c r="L2802"/>
    </row>
    <row r="2803" spans="2:12" x14ac:dyDescent="0.2">
      <c r="B2803"/>
      <c r="C2803"/>
      <c r="J2803"/>
      <c r="K2803"/>
      <c r="L2803"/>
    </row>
    <row r="2804" spans="2:12" x14ac:dyDescent="0.2">
      <c r="B2804"/>
      <c r="C2804"/>
      <c r="J2804"/>
      <c r="K2804"/>
      <c r="L2804"/>
    </row>
    <row r="2805" spans="2:12" x14ac:dyDescent="0.2">
      <c r="B2805"/>
      <c r="C2805"/>
      <c r="J2805"/>
      <c r="K2805"/>
      <c r="L2805"/>
    </row>
    <row r="2806" spans="2:12" x14ac:dyDescent="0.2">
      <c r="B2806"/>
      <c r="C2806"/>
      <c r="J2806"/>
      <c r="K2806"/>
      <c r="L2806"/>
    </row>
    <row r="2807" spans="2:12" x14ac:dyDescent="0.2">
      <c r="B2807"/>
      <c r="C2807"/>
      <c r="J2807"/>
      <c r="K2807"/>
      <c r="L2807"/>
    </row>
    <row r="2808" spans="2:12" x14ac:dyDescent="0.2">
      <c r="B2808"/>
      <c r="C2808"/>
      <c r="J2808"/>
      <c r="K2808"/>
      <c r="L2808"/>
    </row>
    <row r="2809" spans="2:12" x14ac:dyDescent="0.2">
      <c r="B2809"/>
      <c r="C2809"/>
      <c r="J2809"/>
      <c r="K2809"/>
      <c r="L2809"/>
    </row>
    <row r="2810" spans="2:12" x14ac:dyDescent="0.2">
      <c r="B2810"/>
      <c r="C2810"/>
      <c r="J2810"/>
      <c r="K2810"/>
      <c r="L2810"/>
    </row>
    <row r="2811" spans="2:12" x14ac:dyDescent="0.2">
      <c r="B2811"/>
      <c r="C2811"/>
      <c r="J2811"/>
      <c r="K2811"/>
      <c r="L2811"/>
    </row>
    <row r="2812" spans="2:12" x14ac:dyDescent="0.2">
      <c r="B2812"/>
      <c r="C2812"/>
      <c r="J2812"/>
      <c r="K2812"/>
      <c r="L2812"/>
    </row>
    <row r="2813" spans="2:12" x14ac:dyDescent="0.2">
      <c r="B2813"/>
      <c r="C2813"/>
      <c r="J2813"/>
      <c r="K2813"/>
      <c r="L2813"/>
    </row>
    <row r="2814" spans="2:12" x14ac:dyDescent="0.2">
      <c r="B2814"/>
      <c r="C2814"/>
      <c r="J2814"/>
      <c r="K2814"/>
      <c r="L2814"/>
    </row>
    <row r="2815" spans="2:12" x14ac:dyDescent="0.2">
      <c r="B2815"/>
      <c r="C2815"/>
      <c r="J2815"/>
      <c r="K2815"/>
      <c r="L2815"/>
    </row>
    <row r="2816" spans="2:12" x14ac:dyDescent="0.2">
      <c r="B2816"/>
      <c r="C2816"/>
      <c r="J2816"/>
      <c r="K2816"/>
      <c r="L2816"/>
    </row>
    <row r="2817" spans="2:12" x14ac:dyDescent="0.2">
      <c r="B2817"/>
      <c r="C2817"/>
      <c r="J2817"/>
      <c r="K2817"/>
      <c r="L2817"/>
    </row>
    <row r="2818" spans="2:12" x14ac:dyDescent="0.2">
      <c r="B2818"/>
      <c r="C2818"/>
      <c r="J2818"/>
      <c r="K2818"/>
      <c r="L2818"/>
    </row>
    <row r="2819" spans="2:12" x14ac:dyDescent="0.2">
      <c r="B2819"/>
      <c r="C2819"/>
      <c r="J2819"/>
      <c r="K2819"/>
      <c r="L2819"/>
    </row>
    <row r="2820" spans="2:12" x14ac:dyDescent="0.2">
      <c r="B2820"/>
      <c r="C2820"/>
      <c r="J2820"/>
      <c r="K2820"/>
      <c r="L2820"/>
    </row>
    <row r="2821" spans="2:12" x14ac:dyDescent="0.2">
      <c r="B2821"/>
      <c r="C2821"/>
      <c r="J2821"/>
      <c r="K2821"/>
      <c r="L2821"/>
    </row>
    <row r="2822" spans="2:12" x14ac:dyDescent="0.2">
      <c r="B2822"/>
      <c r="C2822"/>
      <c r="J2822"/>
      <c r="K2822"/>
      <c r="L2822"/>
    </row>
    <row r="2823" spans="2:12" x14ac:dyDescent="0.2">
      <c r="B2823"/>
      <c r="C2823"/>
      <c r="J2823"/>
      <c r="K2823"/>
      <c r="L2823"/>
    </row>
    <row r="2824" spans="2:12" x14ac:dyDescent="0.2">
      <c r="B2824"/>
      <c r="C2824"/>
      <c r="J2824"/>
      <c r="K2824"/>
      <c r="L2824"/>
    </row>
    <row r="2825" spans="2:12" x14ac:dyDescent="0.2">
      <c r="B2825"/>
      <c r="C2825"/>
      <c r="J2825"/>
      <c r="K2825"/>
      <c r="L2825"/>
    </row>
    <row r="2826" spans="2:12" x14ac:dyDescent="0.2">
      <c r="B2826"/>
      <c r="C2826"/>
      <c r="J2826"/>
      <c r="K2826"/>
      <c r="L2826"/>
    </row>
    <row r="2827" spans="2:12" x14ac:dyDescent="0.2">
      <c r="B2827"/>
      <c r="C2827"/>
      <c r="J2827"/>
      <c r="K2827"/>
      <c r="L2827"/>
    </row>
    <row r="2828" spans="2:12" x14ac:dyDescent="0.2">
      <c r="B2828"/>
      <c r="C2828"/>
      <c r="J2828"/>
      <c r="K2828"/>
      <c r="L2828"/>
    </row>
    <row r="2829" spans="2:12" x14ac:dyDescent="0.2">
      <c r="B2829"/>
      <c r="C2829"/>
      <c r="J2829"/>
      <c r="K2829"/>
      <c r="L2829"/>
    </row>
    <row r="2830" spans="2:12" x14ac:dyDescent="0.2">
      <c r="B2830"/>
      <c r="C2830"/>
      <c r="J2830"/>
      <c r="K2830"/>
      <c r="L2830"/>
    </row>
    <row r="2831" spans="2:12" x14ac:dyDescent="0.2">
      <c r="B2831"/>
      <c r="C2831"/>
      <c r="J2831"/>
      <c r="K2831"/>
      <c r="L2831"/>
    </row>
    <row r="2832" spans="2:12" x14ac:dyDescent="0.2">
      <c r="B2832"/>
      <c r="C2832"/>
      <c r="J2832"/>
      <c r="K2832"/>
      <c r="L2832"/>
    </row>
    <row r="2833" spans="2:12" x14ac:dyDescent="0.2">
      <c r="B2833"/>
      <c r="C2833"/>
      <c r="J2833"/>
      <c r="K2833"/>
      <c r="L2833"/>
    </row>
    <row r="2834" spans="2:12" x14ac:dyDescent="0.2">
      <c r="B2834"/>
      <c r="C2834"/>
      <c r="J2834"/>
      <c r="K2834"/>
      <c r="L2834"/>
    </row>
    <row r="2835" spans="2:12" x14ac:dyDescent="0.2">
      <c r="B2835"/>
      <c r="C2835"/>
      <c r="J2835"/>
      <c r="K2835"/>
      <c r="L2835"/>
    </row>
    <row r="2836" spans="2:12" x14ac:dyDescent="0.2">
      <c r="B2836"/>
      <c r="C2836"/>
      <c r="J2836"/>
      <c r="K2836"/>
      <c r="L2836"/>
    </row>
    <row r="2837" spans="2:12" x14ac:dyDescent="0.2">
      <c r="B2837"/>
      <c r="C2837"/>
      <c r="J2837"/>
      <c r="K2837"/>
      <c r="L2837"/>
    </row>
    <row r="2838" spans="2:12" x14ac:dyDescent="0.2">
      <c r="B2838"/>
      <c r="C2838"/>
      <c r="J2838"/>
      <c r="K2838"/>
      <c r="L2838"/>
    </row>
    <row r="2839" spans="2:12" x14ac:dyDescent="0.2">
      <c r="B2839"/>
      <c r="C2839"/>
      <c r="J2839"/>
      <c r="K2839"/>
      <c r="L2839"/>
    </row>
    <row r="2840" spans="2:12" x14ac:dyDescent="0.2">
      <c r="B2840"/>
      <c r="C2840"/>
      <c r="J2840"/>
      <c r="K2840"/>
      <c r="L2840"/>
    </row>
    <row r="2841" spans="2:12" x14ac:dyDescent="0.2">
      <c r="B2841"/>
      <c r="C2841"/>
      <c r="J2841"/>
      <c r="K2841"/>
      <c r="L2841"/>
    </row>
    <row r="2842" spans="2:12" x14ac:dyDescent="0.2">
      <c r="B2842"/>
      <c r="C2842"/>
      <c r="J2842"/>
      <c r="K2842"/>
      <c r="L2842"/>
    </row>
    <row r="2843" spans="2:12" x14ac:dyDescent="0.2">
      <c r="B2843"/>
      <c r="C2843"/>
      <c r="J2843"/>
      <c r="K2843"/>
      <c r="L2843"/>
    </row>
    <row r="2844" spans="2:12" x14ac:dyDescent="0.2">
      <c r="B2844"/>
      <c r="C2844"/>
      <c r="J2844"/>
      <c r="K2844"/>
      <c r="L2844"/>
    </row>
    <row r="2845" spans="2:12" x14ac:dyDescent="0.2">
      <c r="B2845"/>
      <c r="C2845"/>
      <c r="J2845"/>
      <c r="K2845"/>
      <c r="L2845"/>
    </row>
    <row r="2846" spans="2:12" x14ac:dyDescent="0.2">
      <c r="B2846"/>
      <c r="C2846"/>
      <c r="J2846"/>
      <c r="K2846"/>
      <c r="L2846"/>
    </row>
    <row r="2847" spans="2:12" x14ac:dyDescent="0.2">
      <c r="B2847"/>
      <c r="C2847"/>
      <c r="J2847"/>
      <c r="K2847"/>
      <c r="L2847"/>
    </row>
    <row r="2848" spans="2:12" x14ac:dyDescent="0.2">
      <c r="B2848"/>
      <c r="C2848"/>
      <c r="J2848"/>
      <c r="K2848"/>
      <c r="L2848"/>
    </row>
    <row r="2849" spans="2:12" x14ac:dyDescent="0.2">
      <c r="B2849"/>
      <c r="C2849"/>
      <c r="J2849"/>
      <c r="K2849"/>
      <c r="L2849"/>
    </row>
    <row r="2850" spans="2:12" x14ac:dyDescent="0.2">
      <c r="B2850"/>
      <c r="C2850"/>
      <c r="J2850"/>
      <c r="K2850"/>
      <c r="L2850"/>
    </row>
    <row r="2851" spans="2:12" x14ac:dyDescent="0.2">
      <c r="B2851"/>
      <c r="C2851"/>
      <c r="J2851"/>
      <c r="K2851"/>
      <c r="L2851"/>
    </row>
    <row r="2852" spans="2:12" x14ac:dyDescent="0.2">
      <c r="B2852"/>
      <c r="C2852"/>
      <c r="J2852"/>
      <c r="K2852"/>
      <c r="L2852"/>
    </row>
    <row r="2853" spans="2:12" x14ac:dyDescent="0.2">
      <c r="B2853"/>
      <c r="C2853"/>
      <c r="J2853"/>
      <c r="K2853"/>
      <c r="L2853"/>
    </row>
    <row r="2854" spans="2:12" x14ac:dyDescent="0.2">
      <c r="B2854"/>
      <c r="C2854"/>
      <c r="J2854"/>
      <c r="K2854"/>
      <c r="L2854"/>
    </row>
    <row r="2855" spans="2:12" x14ac:dyDescent="0.2">
      <c r="B2855"/>
      <c r="C2855"/>
      <c r="J2855"/>
      <c r="K2855"/>
      <c r="L2855"/>
    </row>
    <row r="2856" spans="2:12" x14ac:dyDescent="0.2">
      <c r="B2856"/>
      <c r="C2856"/>
      <c r="J2856"/>
      <c r="K2856"/>
      <c r="L2856"/>
    </row>
    <row r="2857" spans="2:12" x14ac:dyDescent="0.2">
      <c r="B2857"/>
      <c r="C2857"/>
      <c r="J2857"/>
      <c r="K2857"/>
      <c r="L2857"/>
    </row>
    <row r="2858" spans="2:12" x14ac:dyDescent="0.2">
      <c r="B2858"/>
      <c r="C2858"/>
      <c r="J2858"/>
      <c r="K2858"/>
      <c r="L2858"/>
    </row>
    <row r="2859" spans="2:12" x14ac:dyDescent="0.2">
      <c r="B2859"/>
      <c r="C2859"/>
      <c r="J2859"/>
      <c r="K2859"/>
      <c r="L2859"/>
    </row>
    <row r="2860" spans="2:12" x14ac:dyDescent="0.2">
      <c r="B2860"/>
      <c r="C2860"/>
      <c r="J2860"/>
      <c r="K2860"/>
      <c r="L2860"/>
    </row>
    <row r="2861" spans="2:12" x14ac:dyDescent="0.2">
      <c r="B2861"/>
      <c r="C2861"/>
      <c r="J2861"/>
      <c r="K2861"/>
      <c r="L2861"/>
    </row>
    <row r="2862" spans="2:12" x14ac:dyDescent="0.2">
      <c r="B2862"/>
      <c r="C2862"/>
      <c r="J2862"/>
      <c r="K2862"/>
      <c r="L2862"/>
    </row>
    <row r="2863" spans="2:12" x14ac:dyDescent="0.2">
      <c r="B2863"/>
      <c r="C2863"/>
      <c r="J2863"/>
      <c r="K2863"/>
      <c r="L2863"/>
    </row>
    <row r="2864" spans="2:12" x14ac:dyDescent="0.2">
      <c r="B2864"/>
      <c r="C2864"/>
      <c r="J2864"/>
      <c r="K2864"/>
      <c r="L2864"/>
    </row>
    <row r="2865" spans="2:12" x14ac:dyDescent="0.2">
      <c r="B2865"/>
      <c r="C2865"/>
      <c r="J2865"/>
      <c r="K2865"/>
      <c r="L2865"/>
    </row>
    <row r="2866" spans="2:12" x14ac:dyDescent="0.2">
      <c r="B2866"/>
      <c r="C2866"/>
      <c r="J2866"/>
      <c r="K2866"/>
      <c r="L2866"/>
    </row>
    <row r="2867" spans="2:12" x14ac:dyDescent="0.2">
      <c r="B2867"/>
      <c r="C2867"/>
      <c r="J2867"/>
      <c r="K2867"/>
      <c r="L2867"/>
    </row>
    <row r="2868" spans="2:12" x14ac:dyDescent="0.2">
      <c r="B2868"/>
      <c r="C2868"/>
      <c r="J2868"/>
      <c r="K2868"/>
      <c r="L2868"/>
    </row>
    <row r="2869" spans="2:12" x14ac:dyDescent="0.2">
      <c r="B2869"/>
      <c r="C2869"/>
      <c r="J2869"/>
      <c r="K2869"/>
      <c r="L2869"/>
    </row>
    <row r="2870" spans="2:12" x14ac:dyDescent="0.2">
      <c r="B2870"/>
      <c r="C2870"/>
      <c r="J2870"/>
      <c r="K2870"/>
      <c r="L2870"/>
    </row>
    <row r="2871" spans="2:12" x14ac:dyDescent="0.2">
      <c r="B2871"/>
      <c r="C2871"/>
      <c r="J2871"/>
      <c r="K2871"/>
      <c r="L2871"/>
    </row>
    <row r="2872" spans="2:12" x14ac:dyDescent="0.2">
      <c r="B2872"/>
      <c r="C2872"/>
      <c r="J2872"/>
      <c r="K2872"/>
      <c r="L2872"/>
    </row>
    <row r="2873" spans="2:12" x14ac:dyDescent="0.2">
      <c r="B2873"/>
      <c r="C2873"/>
      <c r="J2873"/>
      <c r="K2873"/>
      <c r="L2873"/>
    </row>
    <row r="2874" spans="2:12" x14ac:dyDescent="0.2">
      <c r="B2874"/>
      <c r="C2874"/>
      <c r="J2874"/>
      <c r="K2874"/>
      <c r="L2874"/>
    </row>
    <row r="2875" spans="2:12" x14ac:dyDescent="0.2">
      <c r="B2875"/>
      <c r="C2875"/>
      <c r="J2875"/>
      <c r="K2875"/>
      <c r="L2875"/>
    </row>
    <row r="2876" spans="2:12" x14ac:dyDescent="0.2">
      <c r="B2876"/>
      <c r="C2876"/>
      <c r="J2876"/>
      <c r="K2876"/>
      <c r="L2876"/>
    </row>
    <row r="2877" spans="2:12" x14ac:dyDescent="0.2">
      <c r="B2877"/>
      <c r="C2877"/>
      <c r="J2877"/>
      <c r="K2877"/>
      <c r="L2877"/>
    </row>
    <row r="2878" spans="2:12" x14ac:dyDescent="0.2">
      <c r="B2878"/>
      <c r="C2878"/>
      <c r="J2878"/>
      <c r="K2878"/>
      <c r="L2878"/>
    </row>
    <row r="2879" spans="2:12" x14ac:dyDescent="0.2">
      <c r="B2879"/>
      <c r="C2879"/>
      <c r="J2879"/>
      <c r="K2879"/>
      <c r="L2879"/>
    </row>
    <row r="2880" spans="2:12" x14ac:dyDescent="0.2">
      <c r="B2880"/>
      <c r="C2880"/>
      <c r="J2880"/>
      <c r="K2880"/>
      <c r="L2880"/>
    </row>
    <row r="2881" spans="2:12" x14ac:dyDescent="0.2">
      <c r="B2881"/>
      <c r="C2881"/>
      <c r="J2881"/>
      <c r="K2881"/>
      <c r="L2881"/>
    </row>
    <row r="2882" spans="2:12" x14ac:dyDescent="0.2">
      <c r="B2882"/>
      <c r="C2882"/>
      <c r="J2882"/>
      <c r="K2882"/>
      <c r="L2882"/>
    </row>
    <row r="2883" spans="2:12" x14ac:dyDescent="0.2">
      <c r="B2883"/>
      <c r="C2883"/>
      <c r="J2883"/>
      <c r="K2883"/>
      <c r="L2883"/>
    </row>
    <row r="2884" spans="2:12" x14ac:dyDescent="0.2">
      <c r="B2884"/>
      <c r="C2884"/>
      <c r="J2884"/>
      <c r="K2884"/>
      <c r="L2884"/>
    </row>
    <row r="2885" spans="2:12" x14ac:dyDescent="0.2">
      <c r="B2885"/>
      <c r="C2885"/>
      <c r="J2885"/>
      <c r="K2885"/>
      <c r="L2885"/>
    </row>
    <row r="2886" spans="2:12" x14ac:dyDescent="0.2">
      <c r="B2886"/>
      <c r="C2886"/>
      <c r="J2886"/>
      <c r="K2886"/>
      <c r="L2886"/>
    </row>
    <row r="2887" spans="2:12" x14ac:dyDescent="0.2">
      <c r="B2887"/>
      <c r="C2887"/>
      <c r="J2887"/>
      <c r="K2887"/>
      <c r="L2887"/>
    </row>
    <row r="2888" spans="2:12" x14ac:dyDescent="0.2">
      <c r="B2888"/>
      <c r="C2888"/>
      <c r="J2888"/>
      <c r="K2888"/>
      <c r="L2888"/>
    </row>
    <row r="2889" spans="2:12" x14ac:dyDescent="0.2">
      <c r="B2889"/>
      <c r="C2889"/>
      <c r="J2889"/>
      <c r="K2889"/>
      <c r="L2889"/>
    </row>
    <row r="2890" spans="2:12" x14ac:dyDescent="0.2">
      <c r="B2890"/>
      <c r="C2890"/>
      <c r="J2890"/>
      <c r="K2890"/>
      <c r="L2890"/>
    </row>
    <row r="2891" spans="2:12" x14ac:dyDescent="0.2">
      <c r="B2891"/>
      <c r="C2891"/>
      <c r="J2891"/>
      <c r="K2891"/>
      <c r="L2891"/>
    </row>
    <row r="2892" spans="2:12" x14ac:dyDescent="0.2">
      <c r="B2892"/>
      <c r="C2892"/>
      <c r="J2892"/>
      <c r="K2892"/>
      <c r="L2892"/>
    </row>
    <row r="2893" spans="2:12" x14ac:dyDescent="0.2">
      <c r="B2893"/>
      <c r="C2893"/>
      <c r="J2893"/>
      <c r="K2893"/>
      <c r="L2893"/>
    </row>
    <row r="2894" spans="2:12" x14ac:dyDescent="0.2">
      <c r="B2894"/>
      <c r="C2894"/>
      <c r="J2894"/>
      <c r="K2894"/>
      <c r="L2894"/>
    </row>
    <row r="2895" spans="2:12" x14ac:dyDescent="0.2">
      <c r="B2895"/>
      <c r="C2895"/>
      <c r="J2895"/>
      <c r="K2895"/>
      <c r="L2895"/>
    </row>
    <row r="2896" spans="2:12" x14ac:dyDescent="0.2">
      <c r="B2896"/>
      <c r="C2896"/>
      <c r="J2896"/>
      <c r="K2896"/>
      <c r="L2896"/>
    </row>
    <row r="2897" spans="2:12" x14ac:dyDescent="0.2">
      <c r="B2897"/>
      <c r="C2897"/>
      <c r="J2897"/>
      <c r="K2897"/>
      <c r="L2897"/>
    </row>
    <row r="2898" spans="2:12" x14ac:dyDescent="0.2">
      <c r="B2898"/>
      <c r="C2898"/>
      <c r="J2898"/>
      <c r="K2898"/>
      <c r="L2898"/>
    </row>
    <row r="2899" spans="2:12" x14ac:dyDescent="0.2">
      <c r="B2899"/>
      <c r="C2899"/>
      <c r="J2899"/>
      <c r="K2899"/>
      <c r="L2899"/>
    </row>
    <row r="2900" spans="2:12" x14ac:dyDescent="0.2">
      <c r="B2900"/>
      <c r="C2900"/>
      <c r="J2900"/>
      <c r="K2900"/>
      <c r="L2900"/>
    </row>
    <row r="2901" spans="2:12" x14ac:dyDescent="0.2">
      <c r="B2901"/>
      <c r="C2901"/>
      <c r="J2901"/>
      <c r="K2901"/>
      <c r="L2901"/>
    </row>
    <row r="2902" spans="2:12" x14ac:dyDescent="0.2">
      <c r="B2902"/>
      <c r="C2902"/>
      <c r="J2902"/>
      <c r="K2902"/>
      <c r="L2902"/>
    </row>
    <row r="2903" spans="2:12" x14ac:dyDescent="0.2">
      <c r="B2903"/>
      <c r="C2903"/>
      <c r="J2903"/>
      <c r="K2903"/>
      <c r="L2903"/>
    </row>
    <row r="2904" spans="2:12" x14ac:dyDescent="0.2">
      <c r="B2904"/>
      <c r="C2904"/>
      <c r="J2904"/>
      <c r="K2904"/>
      <c r="L2904"/>
    </row>
    <row r="2905" spans="2:12" x14ac:dyDescent="0.2">
      <c r="B2905"/>
      <c r="C2905"/>
      <c r="J2905"/>
      <c r="K2905"/>
      <c r="L2905"/>
    </row>
    <row r="2906" spans="2:12" x14ac:dyDescent="0.2">
      <c r="B2906"/>
      <c r="C2906"/>
      <c r="J2906"/>
      <c r="K2906"/>
      <c r="L2906"/>
    </row>
    <row r="2907" spans="2:12" x14ac:dyDescent="0.2">
      <c r="B2907"/>
      <c r="C2907"/>
      <c r="J2907"/>
      <c r="K2907"/>
      <c r="L2907"/>
    </row>
    <row r="2908" spans="2:12" x14ac:dyDescent="0.2">
      <c r="B2908"/>
      <c r="C2908"/>
      <c r="J2908"/>
      <c r="K2908"/>
      <c r="L2908"/>
    </row>
    <row r="2909" spans="2:12" x14ac:dyDescent="0.2">
      <c r="B2909"/>
      <c r="C2909"/>
      <c r="J2909"/>
      <c r="K2909"/>
      <c r="L2909"/>
    </row>
    <row r="2910" spans="2:12" x14ac:dyDescent="0.2">
      <c r="B2910"/>
      <c r="C2910"/>
      <c r="J2910"/>
      <c r="K2910"/>
      <c r="L2910"/>
    </row>
    <row r="2911" spans="2:12" x14ac:dyDescent="0.2">
      <c r="B2911"/>
      <c r="C2911"/>
      <c r="J2911"/>
      <c r="K2911"/>
      <c r="L2911"/>
    </row>
    <row r="2912" spans="2:12" x14ac:dyDescent="0.2">
      <c r="B2912"/>
      <c r="C2912"/>
      <c r="J2912"/>
      <c r="K2912"/>
      <c r="L2912"/>
    </row>
    <row r="2913" spans="2:12" x14ac:dyDescent="0.2">
      <c r="B2913"/>
      <c r="C2913"/>
      <c r="J2913"/>
      <c r="K2913"/>
      <c r="L2913"/>
    </row>
    <row r="2914" spans="2:12" x14ac:dyDescent="0.2">
      <c r="B2914"/>
      <c r="C2914"/>
      <c r="J2914"/>
      <c r="K2914"/>
      <c r="L2914"/>
    </row>
    <row r="2915" spans="2:12" x14ac:dyDescent="0.2">
      <c r="B2915"/>
      <c r="C2915"/>
      <c r="J2915"/>
      <c r="K2915"/>
      <c r="L2915"/>
    </row>
    <row r="2916" spans="2:12" x14ac:dyDescent="0.2">
      <c r="B2916"/>
      <c r="C2916"/>
      <c r="J2916"/>
      <c r="K2916"/>
      <c r="L2916"/>
    </row>
    <row r="2917" spans="2:12" x14ac:dyDescent="0.2">
      <c r="B2917"/>
      <c r="C2917"/>
      <c r="J2917"/>
      <c r="K2917"/>
      <c r="L2917"/>
    </row>
    <row r="2918" spans="2:12" x14ac:dyDescent="0.2">
      <c r="B2918"/>
      <c r="C2918"/>
      <c r="J2918"/>
      <c r="K2918"/>
      <c r="L2918"/>
    </row>
    <row r="2919" spans="2:12" x14ac:dyDescent="0.2">
      <c r="B2919"/>
      <c r="C2919"/>
      <c r="J2919"/>
      <c r="K2919"/>
      <c r="L2919"/>
    </row>
    <row r="2920" spans="2:12" x14ac:dyDescent="0.2">
      <c r="B2920"/>
      <c r="C2920"/>
      <c r="J2920"/>
      <c r="K2920"/>
      <c r="L2920"/>
    </row>
    <row r="2921" spans="2:12" x14ac:dyDescent="0.2">
      <c r="B2921"/>
      <c r="C2921"/>
      <c r="J2921"/>
      <c r="K2921"/>
      <c r="L2921"/>
    </row>
    <row r="2922" spans="2:12" x14ac:dyDescent="0.2">
      <c r="B2922"/>
      <c r="C2922"/>
      <c r="J2922"/>
      <c r="K2922"/>
      <c r="L2922"/>
    </row>
    <row r="2923" spans="2:12" x14ac:dyDescent="0.2">
      <c r="B2923"/>
      <c r="C2923"/>
      <c r="J2923"/>
      <c r="K2923"/>
      <c r="L2923"/>
    </row>
    <row r="2924" spans="2:12" x14ac:dyDescent="0.2">
      <c r="B2924"/>
      <c r="C2924"/>
      <c r="J2924"/>
      <c r="K2924"/>
      <c r="L2924"/>
    </row>
    <row r="2925" spans="2:12" x14ac:dyDescent="0.2">
      <c r="B2925"/>
      <c r="C2925"/>
      <c r="J2925"/>
      <c r="K2925"/>
      <c r="L2925"/>
    </row>
    <row r="2926" spans="2:12" x14ac:dyDescent="0.2">
      <c r="B2926"/>
      <c r="C2926"/>
      <c r="J2926"/>
      <c r="K2926"/>
      <c r="L2926"/>
    </row>
    <row r="2927" spans="2:12" x14ac:dyDescent="0.2">
      <c r="B2927"/>
      <c r="C2927"/>
      <c r="J2927"/>
      <c r="K2927"/>
      <c r="L2927"/>
    </row>
    <row r="2928" spans="2:12" x14ac:dyDescent="0.2">
      <c r="B2928"/>
      <c r="C2928"/>
      <c r="J2928"/>
      <c r="K2928"/>
      <c r="L2928"/>
    </row>
    <row r="2929" spans="2:12" x14ac:dyDescent="0.2">
      <c r="B2929"/>
      <c r="C2929"/>
      <c r="J2929"/>
      <c r="K2929"/>
      <c r="L2929"/>
    </row>
    <row r="2930" spans="2:12" x14ac:dyDescent="0.2">
      <c r="B2930"/>
      <c r="C2930"/>
      <c r="J2930"/>
      <c r="K2930"/>
      <c r="L2930"/>
    </row>
    <row r="2931" spans="2:12" x14ac:dyDescent="0.2">
      <c r="B2931"/>
      <c r="C2931"/>
      <c r="J2931"/>
      <c r="K2931"/>
      <c r="L2931"/>
    </row>
    <row r="2932" spans="2:12" x14ac:dyDescent="0.2">
      <c r="B2932"/>
      <c r="C2932"/>
      <c r="J2932"/>
      <c r="K2932"/>
      <c r="L2932"/>
    </row>
    <row r="2933" spans="2:12" x14ac:dyDescent="0.2">
      <c r="B2933"/>
      <c r="C2933"/>
      <c r="J2933"/>
      <c r="K2933"/>
      <c r="L2933"/>
    </row>
    <row r="2934" spans="2:12" x14ac:dyDescent="0.2">
      <c r="B2934"/>
      <c r="C2934"/>
      <c r="J2934"/>
      <c r="K2934"/>
      <c r="L2934"/>
    </row>
    <row r="2935" spans="2:12" x14ac:dyDescent="0.2">
      <c r="B2935"/>
      <c r="C2935"/>
      <c r="J2935"/>
      <c r="K2935"/>
      <c r="L2935"/>
    </row>
    <row r="2936" spans="2:12" x14ac:dyDescent="0.2">
      <c r="B2936"/>
      <c r="C2936"/>
      <c r="J2936"/>
      <c r="K2936"/>
      <c r="L2936"/>
    </row>
    <row r="2937" spans="2:12" x14ac:dyDescent="0.2">
      <c r="B2937"/>
      <c r="C2937"/>
      <c r="J2937"/>
      <c r="K2937"/>
      <c r="L2937"/>
    </row>
    <row r="2938" spans="2:12" x14ac:dyDescent="0.2">
      <c r="B2938"/>
      <c r="C2938"/>
      <c r="J2938"/>
      <c r="K2938"/>
      <c r="L2938"/>
    </row>
    <row r="2939" spans="2:12" x14ac:dyDescent="0.2">
      <c r="B2939"/>
      <c r="C2939"/>
      <c r="J2939"/>
      <c r="K2939"/>
      <c r="L2939"/>
    </row>
    <row r="2940" spans="2:12" x14ac:dyDescent="0.2">
      <c r="B2940"/>
      <c r="C2940"/>
      <c r="J2940"/>
      <c r="K2940"/>
      <c r="L2940"/>
    </row>
    <row r="2941" spans="2:12" x14ac:dyDescent="0.2">
      <c r="B2941"/>
      <c r="C2941"/>
      <c r="J2941"/>
      <c r="K2941"/>
      <c r="L2941"/>
    </row>
    <row r="2942" spans="2:12" x14ac:dyDescent="0.2">
      <c r="B2942"/>
      <c r="C2942"/>
      <c r="J2942"/>
      <c r="K2942"/>
      <c r="L2942"/>
    </row>
    <row r="2943" spans="2:12" x14ac:dyDescent="0.2">
      <c r="B2943"/>
      <c r="C2943"/>
      <c r="J2943"/>
      <c r="K2943"/>
      <c r="L2943"/>
    </row>
    <row r="2944" spans="2:12" x14ac:dyDescent="0.2">
      <c r="B2944"/>
      <c r="C2944"/>
      <c r="J2944"/>
      <c r="K2944"/>
      <c r="L2944"/>
    </row>
    <row r="2945" spans="2:12" x14ac:dyDescent="0.2">
      <c r="B2945"/>
      <c r="C2945"/>
      <c r="J2945"/>
      <c r="K2945"/>
      <c r="L2945"/>
    </row>
    <row r="2946" spans="2:12" x14ac:dyDescent="0.2">
      <c r="B2946"/>
      <c r="C2946"/>
      <c r="J2946"/>
      <c r="K2946"/>
      <c r="L2946"/>
    </row>
    <row r="2947" spans="2:12" x14ac:dyDescent="0.2">
      <c r="B2947"/>
      <c r="C2947"/>
      <c r="J2947"/>
      <c r="K2947"/>
      <c r="L2947"/>
    </row>
    <row r="2948" spans="2:12" x14ac:dyDescent="0.2">
      <c r="B2948"/>
      <c r="C2948"/>
      <c r="J2948"/>
      <c r="K2948"/>
      <c r="L2948"/>
    </row>
    <row r="2949" spans="2:12" x14ac:dyDescent="0.2">
      <c r="B2949"/>
      <c r="C2949"/>
      <c r="J2949"/>
      <c r="K2949"/>
      <c r="L2949"/>
    </row>
    <row r="2950" spans="2:12" x14ac:dyDescent="0.2">
      <c r="B2950"/>
      <c r="C2950"/>
      <c r="J2950"/>
      <c r="K2950"/>
      <c r="L2950"/>
    </row>
    <row r="2951" spans="2:12" x14ac:dyDescent="0.2">
      <c r="B2951"/>
      <c r="C2951"/>
      <c r="J2951"/>
      <c r="K2951"/>
      <c r="L2951"/>
    </row>
    <row r="2952" spans="2:12" x14ac:dyDescent="0.2">
      <c r="B2952"/>
      <c r="C2952"/>
      <c r="J2952"/>
      <c r="K2952"/>
      <c r="L2952"/>
    </row>
    <row r="2953" spans="2:12" x14ac:dyDescent="0.2">
      <c r="B2953"/>
      <c r="C2953"/>
      <c r="J2953"/>
      <c r="K2953"/>
      <c r="L2953"/>
    </row>
    <row r="2954" spans="2:12" x14ac:dyDescent="0.2">
      <c r="B2954"/>
      <c r="C2954"/>
      <c r="J2954"/>
      <c r="K2954"/>
      <c r="L2954"/>
    </row>
    <row r="2955" spans="2:12" x14ac:dyDescent="0.2">
      <c r="B2955"/>
      <c r="C2955"/>
      <c r="J2955"/>
      <c r="K2955"/>
      <c r="L2955"/>
    </row>
    <row r="2956" spans="2:12" x14ac:dyDescent="0.2">
      <c r="B2956"/>
      <c r="C2956"/>
      <c r="J2956"/>
      <c r="K2956"/>
      <c r="L2956"/>
    </row>
    <row r="2957" spans="2:12" x14ac:dyDescent="0.2">
      <c r="B2957"/>
      <c r="C2957"/>
      <c r="J2957"/>
      <c r="K2957"/>
      <c r="L2957"/>
    </row>
    <row r="2958" spans="2:12" x14ac:dyDescent="0.2">
      <c r="B2958"/>
      <c r="C2958"/>
      <c r="J2958"/>
      <c r="K2958"/>
      <c r="L2958"/>
    </row>
    <row r="2959" spans="2:12" x14ac:dyDescent="0.2">
      <c r="B2959"/>
      <c r="C2959"/>
      <c r="J2959"/>
      <c r="K2959"/>
      <c r="L2959"/>
    </row>
    <row r="2960" spans="2:12" x14ac:dyDescent="0.2">
      <c r="B2960"/>
      <c r="C2960"/>
      <c r="J2960"/>
      <c r="K2960"/>
      <c r="L2960"/>
    </row>
    <row r="2961" spans="2:12" x14ac:dyDescent="0.2">
      <c r="B2961"/>
      <c r="C2961"/>
      <c r="J2961"/>
      <c r="K2961"/>
      <c r="L2961"/>
    </row>
    <row r="2962" spans="2:12" x14ac:dyDescent="0.2">
      <c r="B2962"/>
      <c r="C2962"/>
      <c r="J2962"/>
      <c r="K2962"/>
      <c r="L2962"/>
    </row>
    <row r="2963" spans="2:12" x14ac:dyDescent="0.2">
      <c r="B2963"/>
      <c r="C2963"/>
      <c r="J2963"/>
      <c r="K2963"/>
      <c r="L2963"/>
    </row>
    <row r="2964" spans="2:12" x14ac:dyDescent="0.2">
      <c r="B2964"/>
      <c r="C2964"/>
      <c r="J2964"/>
      <c r="K2964"/>
      <c r="L2964"/>
    </row>
    <row r="2965" spans="2:12" x14ac:dyDescent="0.2">
      <c r="B2965"/>
      <c r="C2965"/>
      <c r="J2965"/>
      <c r="K2965"/>
      <c r="L2965"/>
    </row>
    <row r="2966" spans="2:12" x14ac:dyDescent="0.2">
      <c r="B2966"/>
      <c r="C2966"/>
      <c r="J2966"/>
      <c r="K2966"/>
      <c r="L2966"/>
    </row>
    <row r="2967" spans="2:12" x14ac:dyDescent="0.2">
      <c r="B2967"/>
      <c r="C2967"/>
      <c r="J2967"/>
      <c r="K2967"/>
      <c r="L2967"/>
    </row>
    <row r="2968" spans="2:12" x14ac:dyDescent="0.2">
      <c r="B2968"/>
      <c r="C2968"/>
      <c r="J2968"/>
      <c r="K2968"/>
      <c r="L2968"/>
    </row>
    <row r="2969" spans="2:12" x14ac:dyDescent="0.2">
      <c r="B2969"/>
      <c r="C2969"/>
      <c r="J2969"/>
      <c r="K2969"/>
      <c r="L2969"/>
    </row>
    <row r="2970" spans="2:12" x14ac:dyDescent="0.2">
      <c r="B2970"/>
      <c r="C2970"/>
      <c r="J2970"/>
      <c r="K2970"/>
      <c r="L2970"/>
    </row>
    <row r="2971" spans="2:12" x14ac:dyDescent="0.2">
      <c r="B2971"/>
      <c r="C2971"/>
      <c r="J2971"/>
      <c r="K2971"/>
      <c r="L2971"/>
    </row>
    <row r="2972" spans="2:12" x14ac:dyDescent="0.2">
      <c r="B2972"/>
      <c r="C2972"/>
      <c r="J2972"/>
      <c r="K2972"/>
      <c r="L2972"/>
    </row>
    <row r="2973" spans="2:12" x14ac:dyDescent="0.2">
      <c r="B2973"/>
      <c r="C2973"/>
      <c r="J2973"/>
      <c r="K2973"/>
      <c r="L2973"/>
    </row>
    <row r="2974" spans="2:12" x14ac:dyDescent="0.2">
      <c r="B2974"/>
      <c r="C2974"/>
      <c r="J2974"/>
      <c r="K2974"/>
      <c r="L2974"/>
    </row>
    <row r="2975" spans="2:12" x14ac:dyDescent="0.2">
      <c r="B2975"/>
      <c r="C2975"/>
      <c r="J2975"/>
      <c r="K2975"/>
      <c r="L2975"/>
    </row>
    <row r="2976" spans="2:12" x14ac:dyDescent="0.2">
      <c r="B2976"/>
      <c r="C2976"/>
      <c r="J2976"/>
      <c r="K2976"/>
      <c r="L2976"/>
    </row>
    <row r="2977" spans="2:12" x14ac:dyDescent="0.2">
      <c r="B2977"/>
      <c r="C2977"/>
      <c r="J2977"/>
      <c r="K2977"/>
      <c r="L2977"/>
    </row>
    <row r="2978" spans="2:12" x14ac:dyDescent="0.2">
      <c r="B2978"/>
      <c r="C2978"/>
      <c r="J2978"/>
      <c r="K2978"/>
      <c r="L2978"/>
    </row>
    <row r="2979" spans="2:12" x14ac:dyDescent="0.2">
      <c r="B2979"/>
      <c r="C2979"/>
      <c r="J2979"/>
      <c r="K2979"/>
      <c r="L2979"/>
    </row>
    <row r="2980" spans="2:12" x14ac:dyDescent="0.2">
      <c r="B2980"/>
      <c r="C2980"/>
      <c r="J2980"/>
      <c r="K2980"/>
      <c r="L2980"/>
    </row>
    <row r="2981" spans="2:12" x14ac:dyDescent="0.2">
      <c r="B2981"/>
      <c r="C2981"/>
      <c r="J2981"/>
      <c r="K2981"/>
      <c r="L2981"/>
    </row>
    <row r="2982" spans="2:12" x14ac:dyDescent="0.2">
      <c r="B2982"/>
      <c r="C2982"/>
      <c r="J2982"/>
      <c r="K2982"/>
      <c r="L2982"/>
    </row>
    <row r="2983" spans="2:12" x14ac:dyDescent="0.2">
      <c r="B2983"/>
      <c r="C2983"/>
      <c r="J2983"/>
      <c r="K2983"/>
      <c r="L2983"/>
    </row>
    <row r="2984" spans="2:12" x14ac:dyDescent="0.2">
      <c r="B2984"/>
      <c r="C2984"/>
      <c r="J2984"/>
      <c r="K2984"/>
      <c r="L2984"/>
    </row>
    <row r="2985" spans="2:12" x14ac:dyDescent="0.2">
      <c r="B2985"/>
      <c r="C2985"/>
      <c r="J2985"/>
      <c r="K2985"/>
      <c r="L2985"/>
    </row>
    <row r="2986" spans="2:12" x14ac:dyDescent="0.2">
      <c r="B2986"/>
      <c r="C2986"/>
      <c r="J2986"/>
      <c r="K2986"/>
      <c r="L2986"/>
    </row>
    <row r="2987" spans="2:12" x14ac:dyDescent="0.2">
      <c r="B2987"/>
      <c r="C2987"/>
      <c r="J2987"/>
      <c r="K2987"/>
      <c r="L2987"/>
    </row>
    <row r="2988" spans="2:12" x14ac:dyDescent="0.2">
      <c r="B2988"/>
      <c r="C2988"/>
      <c r="J2988"/>
      <c r="K2988"/>
      <c r="L2988"/>
    </row>
    <row r="2989" spans="2:12" x14ac:dyDescent="0.2">
      <c r="B2989"/>
      <c r="C2989"/>
      <c r="J2989"/>
      <c r="K2989"/>
      <c r="L2989"/>
    </row>
    <row r="2990" spans="2:12" x14ac:dyDescent="0.2">
      <c r="B2990"/>
      <c r="C2990"/>
      <c r="J2990"/>
      <c r="K2990"/>
      <c r="L2990"/>
    </row>
    <row r="2991" spans="2:12" x14ac:dyDescent="0.2">
      <c r="B2991"/>
      <c r="C2991"/>
      <c r="J2991"/>
      <c r="K2991"/>
      <c r="L2991"/>
    </row>
    <row r="2992" spans="2:12" x14ac:dyDescent="0.2">
      <c r="B2992"/>
      <c r="C2992"/>
      <c r="J2992"/>
      <c r="K2992"/>
      <c r="L2992"/>
    </row>
    <row r="2993" spans="2:12" x14ac:dyDescent="0.2">
      <c r="B2993"/>
      <c r="C2993"/>
      <c r="J2993"/>
      <c r="K2993"/>
      <c r="L2993"/>
    </row>
    <row r="2994" spans="2:12" x14ac:dyDescent="0.2">
      <c r="B2994"/>
      <c r="C2994"/>
      <c r="J2994"/>
      <c r="K2994"/>
      <c r="L2994"/>
    </row>
    <row r="2995" spans="2:12" x14ac:dyDescent="0.2">
      <c r="B2995"/>
      <c r="C2995"/>
      <c r="J2995"/>
      <c r="K2995"/>
      <c r="L2995"/>
    </row>
    <row r="2996" spans="2:12" x14ac:dyDescent="0.2">
      <c r="B2996"/>
      <c r="C2996"/>
      <c r="J2996"/>
      <c r="K2996"/>
      <c r="L2996"/>
    </row>
    <row r="2997" spans="2:12" x14ac:dyDescent="0.2">
      <c r="B2997"/>
      <c r="C2997"/>
      <c r="J2997"/>
      <c r="K2997"/>
      <c r="L2997"/>
    </row>
    <row r="2998" spans="2:12" x14ac:dyDescent="0.2">
      <c r="B2998"/>
      <c r="C2998"/>
      <c r="J2998"/>
      <c r="K2998"/>
      <c r="L2998"/>
    </row>
    <row r="2999" spans="2:12" x14ac:dyDescent="0.2">
      <c r="B2999"/>
      <c r="C2999"/>
      <c r="J2999"/>
      <c r="K2999"/>
      <c r="L2999"/>
    </row>
    <row r="3000" spans="2:12" x14ac:dyDescent="0.2">
      <c r="B3000"/>
      <c r="C3000"/>
      <c r="J3000"/>
      <c r="K3000"/>
      <c r="L3000"/>
    </row>
    <row r="3001" spans="2:12" x14ac:dyDescent="0.2">
      <c r="B3001"/>
      <c r="C3001"/>
      <c r="J3001"/>
      <c r="K3001"/>
      <c r="L3001"/>
    </row>
    <row r="3002" spans="2:12" x14ac:dyDescent="0.2">
      <c r="B3002"/>
      <c r="C3002"/>
      <c r="J3002"/>
      <c r="K3002"/>
      <c r="L3002"/>
    </row>
    <row r="3003" spans="2:12" x14ac:dyDescent="0.2">
      <c r="B3003"/>
      <c r="C3003"/>
      <c r="J3003"/>
      <c r="K3003"/>
      <c r="L3003"/>
    </row>
    <row r="3004" spans="2:12" x14ac:dyDescent="0.2">
      <c r="B3004"/>
      <c r="C3004"/>
      <c r="J3004"/>
      <c r="K3004"/>
      <c r="L3004"/>
    </row>
    <row r="3005" spans="2:12" x14ac:dyDescent="0.2">
      <c r="B3005"/>
      <c r="C3005"/>
      <c r="J3005"/>
      <c r="K3005"/>
      <c r="L3005"/>
    </row>
    <row r="3006" spans="2:12" x14ac:dyDescent="0.2">
      <c r="B3006"/>
      <c r="C3006"/>
      <c r="J3006"/>
      <c r="K3006"/>
      <c r="L3006"/>
    </row>
    <row r="3007" spans="2:12" x14ac:dyDescent="0.2">
      <c r="B3007"/>
      <c r="C3007"/>
      <c r="J3007"/>
      <c r="K3007"/>
      <c r="L3007"/>
    </row>
    <row r="3008" spans="2:12" x14ac:dyDescent="0.2">
      <c r="B3008"/>
      <c r="C3008"/>
      <c r="J3008"/>
      <c r="K3008"/>
      <c r="L3008"/>
    </row>
    <row r="3009" spans="2:12" x14ac:dyDescent="0.2">
      <c r="B3009"/>
      <c r="C3009"/>
      <c r="J3009"/>
      <c r="K3009"/>
      <c r="L3009"/>
    </row>
    <row r="3010" spans="2:12" x14ac:dyDescent="0.2">
      <c r="B3010"/>
      <c r="C3010"/>
      <c r="J3010"/>
      <c r="K3010"/>
      <c r="L3010"/>
    </row>
    <row r="3011" spans="2:12" x14ac:dyDescent="0.2">
      <c r="B3011"/>
      <c r="C3011"/>
      <c r="J3011"/>
      <c r="K3011"/>
      <c r="L3011"/>
    </row>
    <row r="3012" spans="2:12" x14ac:dyDescent="0.2">
      <c r="B3012"/>
      <c r="C3012"/>
      <c r="J3012"/>
      <c r="K3012"/>
      <c r="L3012"/>
    </row>
    <row r="3013" spans="2:12" x14ac:dyDescent="0.2">
      <c r="B3013"/>
      <c r="C3013"/>
      <c r="J3013"/>
      <c r="K3013"/>
      <c r="L3013"/>
    </row>
    <row r="3014" spans="2:12" x14ac:dyDescent="0.2">
      <c r="B3014"/>
      <c r="C3014"/>
      <c r="J3014"/>
      <c r="K3014"/>
      <c r="L3014"/>
    </row>
    <row r="3015" spans="2:12" x14ac:dyDescent="0.2">
      <c r="B3015"/>
      <c r="C3015"/>
      <c r="J3015"/>
      <c r="K3015"/>
      <c r="L3015"/>
    </row>
    <row r="3016" spans="2:12" x14ac:dyDescent="0.2">
      <c r="B3016"/>
      <c r="C3016"/>
      <c r="J3016"/>
      <c r="K3016"/>
      <c r="L3016"/>
    </row>
    <row r="3017" spans="2:12" x14ac:dyDescent="0.2">
      <c r="B3017"/>
      <c r="C3017"/>
      <c r="J3017"/>
      <c r="K3017"/>
      <c r="L3017"/>
    </row>
    <row r="3018" spans="2:12" x14ac:dyDescent="0.2">
      <c r="B3018"/>
      <c r="C3018"/>
      <c r="J3018"/>
      <c r="K3018"/>
      <c r="L3018"/>
    </row>
    <row r="3019" spans="2:12" x14ac:dyDescent="0.2">
      <c r="B3019"/>
      <c r="C3019"/>
      <c r="J3019"/>
      <c r="K3019"/>
      <c r="L3019"/>
    </row>
    <row r="3020" spans="2:12" x14ac:dyDescent="0.2">
      <c r="B3020"/>
      <c r="C3020"/>
      <c r="J3020"/>
      <c r="K3020"/>
      <c r="L3020"/>
    </row>
    <row r="3021" spans="2:12" x14ac:dyDescent="0.2">
      <c r="B3021"/>
      <c r="C3021"/>
      <c r="J3021"/>
      <c r="K3021"/>
      <c r="L3021"/>
    </row>
    <row r="3022" spans="2:12" x14ac:dyDescent="0.2">
      <c r="B3022"/>
      <c r="C3022"/>
      <c r="J3022"/>
      <c r="K3022"/>
      <c r="L3022"/>
    </row>
    <row r="3023" spans="2:12" x14ac:dyDescent="0.2">
      <c r="B3023"/>
      <c r="C3023"/>
      <c r="J3023"/>
      <c r="K3023"/>
      <c r="L3023"/>
    </row>
    <row r="3024" spans="2:12" x14ac:dyDescent="0.2">
      <c r="B3024"/>
      <c r="C3024"/>
      <c r="J3024"/>
      <c r="K3024"/>
      <c r="L3024"/>
    </row>
    <row r="3025" spans="2:12" x14ac:dyDescent="0.2">
      <c r="B3025"/>
      <c r="C3025"/>
      <c r="J3025"/>
      <c r="K3025"/>
      <c r="L3025"/>
    </row>
    <row r="3026" spans="2:12" x14ac:dyDescent="0.2">
      <c r="B3026"/>
      <c r="C3026"/>
      <c r="J3026"/>
      <c r="K3026"/>
      <c r="L3026"/>
    </row>
    <row r="3027" spans="2:12" x14ac:dyDescent="0.2">
      <c r="B3027"/>
      <c r="C3027"/>
      <c r="J3027"/>
      <c r="K3027"/>
      <c r="L3027"/>
    </row>
    <row r="3028" spans="2:12" x14ac:dyDescent="0.2">
      <c r="B3028"/>
      <c r="C3028"/>
      <c r="J3028"/>
      <c r="K3028"/>
      <c r="L3028"/>
    </row>
    <row r="3029" spans="2:12" x14ac:dyDescent="0.2">
      <c r="B3029"/>
      <c r="C3029"/>
      <c r="J3029"/>
      <c r="K3029"/>
      <c r="L3029"/>
    </row>
    <row r="3030" spans="2:12" x14ac:dyDescent="0.2">
      <c r="B3030"/>
      <c r="C3030"/>
      <c r="J3030"/>
      <c r="K3030"/>
      <c r="L3030"/>
    </row>
    <row r="3031" spans="2:12" x14ac:dyDescent="0.2">
      <c r="B3031"/>
      <c r="C3031"/>
      <c r="J3031"/>
      <c r="K3031"/>
      <c r="L3031"/>
    </row>
    <row r="3032" spans="2:12" x14ac:dyDescent="0.2">
      <c r="B3032"/>
      <c r="C3032"/>
      <c r="J3032"/>
      <c r="K3032"/>
      <c r="L3032"/>
    </row>
    <row r="3033" spans="2:12" x14ac:dyDescent="0.2">
      <c r="B3033"/>
      <c r="C3033"/>
      <c r="J3033"/>
      <c r="K3033"/>
      <c r="L3033"/>
    </row>
    <row r="3034" spans="2:12" x14ac:dyDescent="0.2">
      <c r="B3034"/>
      <c r="C3034"/>
      <c r="J3034"/>
      <c r="K3034"/>
      <c r="L3034"/>
    </row>
    <row r="3035" spans="2:12" x14ac:dyDescent="0.2">
      <c r="B3035"/>
      <c r="C3035"/>
      <c r="J3035"/>
      <c r="K3035"/>
      <c r="L3035"/>
    </row>
    <row r="3036" spans="2:12" x14ac:dyDescent="0.2">
      <c r="B3036"/>
      <c r="C3036"/>
      <c r="J3036"/>
      <c r="K3036"/>
      <c r="L3036"/>
    </row>
    <row r="3037" spans="2:12" x14ac:dyDescent="0.2">
      <c r="B3037"/>
      <c r="C3037"/>
      <c r="J3037"/>
      <c r="K3037"/>
      <c r="L3037"/>
    </row>
    <row r="3038" spans="2:12" x14ac:dyDescent="0.2">
      <c r="B3038"/>
      <c r="C3038"/>
      <c r="J3038"/>
      <c r="K3038"/>
      <c r="L3038"/>
    </row>
    <row r="3039" spans="2:12" x14ac:dyDescent="0.2">
      <c r="B3039"/>
      <c r="C3039"/>
      <c r="J3039"/>
      <c r="K3039"/>
      <c r="L3039"/>
    </row>
    <row r="3040" spans="2:12" x14ac:dyDescent="0.2">
      <c r="B3040"/>
      <c r="C3040"/>
      <c r="J3040"/>
      <c r="K3040"/>
      <c r="L3040"/>
    </row>
    <row r="3041" spans="2:12" x14ac:dyDescent="0.2">
      <c r="B3041"/>
      <c r="C3041"/>
      <c r="J3041"/>
      <c r="K3041"/>
      <c r="L3041"/>
    </row>
    <row r="3042" spans="2:12" x14ac:dyDescent="0.2">
      <c r="B3042"/>
      <c r="C3042"/>
      <c r="J3042"/>
      <c r="K3042"/>
      <c r="L3042"/>
    </row>
    <row r="3043" spans="2:12" x14ac:dyDescent="0.2">
      <c r="B3043"/>
      <c r="C3043"/>
      <c r="J3043"/>
      <c r="K3043"/>
      <c r="L3043"/>
    </row>
    <row r="3044" spans="2:12" x14ac:dyDescent="0.2">
      <c r="B3044"/>
      <c r="C3044"/>
      <c r="J3044"/>
      <c r="K3044"/>
      <c r="L3044"/>
    </row>
    <row r="3045" spans="2:12" x14ac:dyDescent="0.2">
      <c r="B3045"/>
      <c r="C3045"/>
      <c r="J3045"/>
      <c r="K3045"/>
      <c r="L3045"/>
    </row>
    <row r="3046" spans="2:12" x14ac:dyDescent="0.2">
      <c r="B3046"/>
      <c r="C3046"/>
      <c r="J3046"/>
      <c r="K3046"/>
      <c r="L3046"/>
    </row>
    <row r="3047" spans="2:12" x14ac:dyDescent="0.2">
      <c r="B3047"/>
      <c r="C3047"/>
      <c r="J3047"/>
      <c r="K3047"/>
      <c r="L3047"/>
    </row>
    <row r="3048" spans="2:12" x14ac:dyDescent="0.2">
      <c r="B3048"/>
      <c r="C3048"/>
      <c r="J3048"/>
      <c r="K3048"/>
      <c r="L3048"/>
    </row>
    <row r="3049" spans="2:12" x14ac:dyDescent="0.2">
      <c r="B3049"/>
      <c r="C3049"/>
      <c r="J3049"/>
      <c r="K3049"/>
      <c r="L3049"/>
    </row>
    <row r="3050" spans="2:12" x14ac:dyDescent="0.2">
      <c r="B3050"/>
      <c r="C3050"/>
      <c r="J3050"/>
      <c r="K3050"/>
      <c r="L3050"/>
    </row>
    <row r="3051" spans="2:12" x14ac:dyDescent="0.2">
      <c r="B3051"/>
      <c r="C3051"/>
      <c r="J3051"/>
      <c r="K3051"/>
      <c r="L3051"/>
    </row>
    <row r="3052" spans="2:12" x14ac:dyDescent="0.2">
      <c r="B3052"/>
      <c r="C3052"/>
      <c r="J3052"/>
      <c r="K3052"/>
      <c r="L3052"/>
    </row>
    <row r="3053" spans="2:12" x14ac:dyDescent="0.2">
      <c r="B3053"/>
      <c r="C3053"/>
      <c r="J3053"/>
      <c r="K3053"/>
      <c r="L3053"/>
    </row>
    <row r="3054" spans="2:12" x14ac:dyDescent="0.2">
      <c r="B3054"/>
      <c r="C3054"/>
      <c r="J3054"/>
      <c r="K3054"/>
      <c r="L3054"/>
    </row>
    <row r="3055" spans="2:12" x14ac:dyDescent="0.2">
      <c r="B3055"/>
      <c r="C3055"/>
      <c r="J3055"/>
      <c r="K3055"/>
      <c r="L3055"/>
    </row>
    <row r="3056" spans="2:12" x14ac:dyDescent="0.2">
      <c r="B3056"/>
      <c r="C3056"/>
      <c r="J3056"/>
      <c r="K3056"/>
      <c r="L3056"/>
    </row>
    <row r="3057" spans="2:12" x14ac:dyDescent="0.2">
      <c r="B3057"/>
      <c r="C3057"/>
      <c r="J3057"/>
      <c r="K3057"/>
      <c r="L3057"/>
    </row>
    <row r="3058" spans="2:12" x14ac:dyDescent="0.2">
      <c r="B3058"/>
      <c r="C3058"/>
      <c r="J3058"/>
      <c r="K3058"/>
      <c r="L3058"/>
    </row>
    <row r="3059" spans="2:12" x14ac:dyDescent="0.2">
      <c r="B3059"/>
      <c r="C3059"/>
      <c r="J3059"/>
      <c r="K3059"/>
      <c r="L3059"/>
    </row>
    <row r="3060" spans="2:12" x14ac:dyDescent="0.2">
      <c r="B3060"/>
      <c r="C3060"/>
      <c r="J3060"/>
      <c r="K3060"/>
      <c r="L3060"/>
    </row>
    <row r="3061" spans="2:12" x14ac:dyDescent="0.2">
      <c r="B3061"/>
      <c r="C3061"/>
      <c r="J3061"/>
      <c r="K3061"/>
      <c r="L3061"/>
    </row>
    <row r="3062" spans="2:12" x14ac:dyDescent="0.2">
      <c r="B3062"/>
      <c r="C3062"/>
      <c r="J3062"/>
      <c r="K3062"/>
      <c r="L3062"/>
    </row>
    <row r="3063" spans="2:12" x14ac:dyDescent="0.2">
      <c r="B3063"/>
      <c r="C3063"/>
      <c r="J3063"/>
      <c r="K3063"/>
      <c r="L3063"/>
    </row>
    <row r="3064" spans="2:12" x14ac:dyDescent="0.2">
      <c r="B3064"/>
      <c r="C3064"/>
      <c r="J3064"/>
      <c r="K3064"/>
      <c r="L3064"/>
    </row>
    <row r="3065" spans="2:12" x14ac:dyDescent="0.2">
      <c r="B3065"/>
      <c r="C3065"/>
      <c r="J3065"/>
      <c r="K3065"/>
      <c r="L3065"/>
    </row>
    <row r="3066" spans="2:12" x14ac:dyDescent="0.2">
      <c r="B3066"/>
      <c r="C3066"/>
      <c r="J3066"/>
      <c r="K3066"/>
      <c r="L3066"/>
    </row>
    <row r="3067" spans="2:12" x14ac:dyDescent="0.2">
      <c r="B3067"/>
      <c r="C3067"/>
      <c r="J3067"/>
      <c r="K3067"/>
      <c r="L3067"/>
    </row>
    <row r="3068" spans="2:12" x14ac:dyDescent="0.2">
      <c r="B3068"/>
      <c r="C3068"/>
      <c r="J3068"/>
      <c r="K3068"/>
      <c r="L3068"/>
    </row>
    <row r="3069" spans="2:12" x14ac:dyDescent="0.2">
      <c r="B3069"/>
      <c r="C3069"/>
      <c r="J3069"/>
      <c r="K3069"/>
      <c r="L3069"/>
    </row>
    <row r="3070" spans="2:12" x14ac:dyDescent="0.2">
      <c r="B3070"/>
      <c r="C3070"/>
      <c r="J3070"/>
      <c r="K3070"/>
      <c r="L3070"/>
    </row>
    <row r="3071" spans="2:12" x14ac:dyDescent="0.2">
      <c r="B3071"/>
      <c r="C3071"/>
      <c r="J3071"/>
      <c r="K3071"/>
      <c r="L3071"/>
    </row>
    <row r="3072" spans="2:12" x14ac:dyDescent="0.2">
      <c r="B3072"/>
      <c r="C3072"/>
      <c r="J3072"/>
      <c r="K3072"/>
      <c r="L3072"/>
    </row>
    <row r="3073" spans="2:12" x14ac:dyDescent="0.2">
      <c r="B3073"/>
      <c r="C3073"/>
      <c r="J3073"/>
      <c r="K3073"/>
      <c r="L3073"/>
    </row>
    <row r="3074" spans="2:12" x14ac:dyDescent="0.2">
      <c r="B3074"/>
      <c r="C3074"/>
      <c r="J3074"/>
      <c r="K3074"/>
      <c r="L3074"/>
    </row>
    <row r="3075" spans="2:12" x14ac:dyDescent="0.2">
      <c r="B3075"/>
      <c r="C3075"/>
      <c r="J3075"/>
      <c r="K3075"/>
      <c r="L3075"/>
    </row>
    <row r="3076" spans="2:12" x14ac:dyDescent="0.2">
      <c r="B3076"/>
      <c r="C3076"/>
      <c r="J3076"/>
      <c r="K3076"/>
      <c r="L3076"/>
    </row>
    <row r="3077" spans="2:12" x14ac:dyDescent="0.2">
      <c r="B3077"/>
      <c r="C3077"/>
      <c r="J3077"/>
      <c r="K3077"/>
      <c r="L3077"/>
    </row>
    <row r="3078" spans="2:12" x14ac:dyDescent="0.2">
      <c r="B3078"/>
      <c r="C3078"/>
      <c r="J3078"/>
      <c r="K3078"/>
      <c r="L3078"/>
    </row>
    <row r="3079" spans="2:12" x14ac:dyDescent="0.2">
      <c r="B3079"/>
      <c r="C3079"/>
      <c r="J3079"/>
      <c r="K3079"/>
      <c r="L3079"/>
    </row>
    <row r="3080" spans="2:12" x14ac:dyDescent="0.2">
      <c r="B3080"/>
      <c r="C3080"/>
      <c r="J3080"/>
      <c r="K3080"/>
      <c r="L3080"/>
    </row>
    <row r="3081" spans="2:12" x14ac:dyDescent="0.2">
      <c r="B3081"/>
      <c r="C3081"/>
      <c r="J3081"/>
      <c r="K3081"/>
      <c r="L3081"/>
    </row>
    <row r="3082" spans="2:12" x14ac:dyDescent="0.2">
      <c r="B3082"/>
      <c r="C3082"/>
      <c r="J3082"/>
      <c r="K3082"/>
      <c r="L3082"/>
    </row>
    <row r="3083" spans="2:12" x14ac:dyDescent="0.2">
      <c r="B3083"/>
      <c r="C3083"/>
      <c r="J3083"/>
      <c r="K3083"/>
      <c r="L3083"/>
    </row>
    <row r="3084" spans="2:12" x14ac:dyDescent="0.2">
      <c r="B3084"/>
      <c r="C3084"/>
      <c r="J3084"/>
      <c r="K3084"/>
      <c r="L3084"/>
    </row>
    <row r="3085" spans="2:12" x14ac:dyDescent="0.2">
      <c r="B3085"/>
      <c r="C3085"/>
      <c r="J3085"/>
      <c r="K3085"/>
      <c r="L3085"/>
    </row>
    <row r="3086" spans="2:12" x14ac:dyDescent="0.2">
      <c r="B3086"/>
      <c r="C3086"/>
      <c r="J3086"/>
      <c r="K3086"/>
      <c r="L3086"/>
    </row>
    <row r="3087" spans="2:12" x14ac:dyDescent="0.2">
      <c r="B3087"/>
      <c r="C3087"/>
      <c r="J3087"/>
      <c r="K3087"/>
      <c r="L3087"/>
    </row>
    <row r="3088" spans="2:12" x14ac:dyDescent="0.2">
      <c r="B3088"/>
      <c r="C3088"/>
      <c r="J3088"/>
      <c r="K3088"/>
      <c r="L3088"/>
    </row>
    <row r="3089" spans="2:12" x14ac:dyDescent="0.2">
      <c r="B3089"/>
      <c r="C3089"/>
      <c r="J3089"/>
      <c r="K3089"/>
      <c r="L3089"/>
    </row>
    <row r="3090" spans="2:12" x14ac:dyDescent="0.2">
      <c r="B3090"/>
      <c r="C3090"/>
      <c r="J3090"/>
      <c r="K3090"/>
      <c r="L3090"/>
    </row>
    <row r="3091" spans="2:12" x14ac:dyDescent="0.2">
      <c r="B3091"/>
      <c r="C3091"/>
      <c r="J3091"/>
      <c r="K3091"/>
      <c r="L3091"/>
    </row>
    <row r="3092" spans="2:12" x14ac:dyDescent="0.2">
      <c r="B3092"/>
      <c r="C3092"/>
      <c r="J3092"/>
      <c r="K3092"/>
      <c r="L3092"/>
    </row>
    <row r="3093" spans="2:12" x14ac:dyDescent="0.2">
      <c r="B3093"/>
      <c r="C3093"/>
      <c r="J3093"/>
      <c r="K3093"/>
      <c r="L3093"/>
    </row>
    <row r="3094" spans="2:12" x14ac:dyDescent="0.2">
      <c r="B3094"/>
      <c r="C3094"/>
      <c r="J3094"/>
      <c r="K3094"/>
      <c r="L3094"/>
    </row>
    <row r="3095" spans="2:12" x14ac:dyDescent="0.2">
      <c r="B3095"/>
      <c r="C3095"/>
      <c r="J3095"/>
      <c r="K3095"/>
      <c r="L3095"/>
    </row>
    <row r="3096" spans="2:12" x14ac:dyDescent="0.2">
      <c r="B3096"/>
      <c r="C3096"/>
      <c r="J3096"/>
      <c r="K3096"/>
      <c r="L3096"/>
    </row>
    <row r="3097" spans="2:12" x14ac:dyDescent="0.2">
      <c r="B3097"/>
      <c r="C3097"/>
      <c r="J3097"/>
      <c r="K3097"/>
      <c r="L3097"/>
    </row>
    <row r="3098" spans="2:12" x14ac:dyDescent="0.2">
      <c r="B3098"/>
      <c r="C3098"/>
      <c r="J3098"/>
      <c r="K3098"/>
      <c r="L3098"/>
    </row>
    <row r="3099" spans="2:12" x14ac:dyDescent="0.2">
      <c r="B3099"/>
      <c r="C3099"/>
      <c r="J3099"/>
      <c r="K3099"/>
      <c r="L3099"/>
    </row>
    <row r="3100" spans="2:12" x14ac:dyDescent="0.2">
      <c r="B3100"/>
      <c r="C3100"/>
      <c r="J3100"/>
      <c r="K3100"/>
      <c r="L3100"/>
    </row>
    <row r="3101" spans="2:12" x14ac:dyDescent="0.2">
      <c r="B3101"/>
      <c r="C3101"/>
      <c r="J3101"/>
      <c r="K3101"/>
      <c r="L3101"/>
    </row>
    <row r="3102" spans="2:12" x14ac:dyDescent="0.2">
      <c r="B3102"/>
      <c r="C3102"/>
      <c r="J3102"/>
      <c r="K3102"/>
      <c r="L3102"/>
    </row>
    <row r="3103" spans="2:12" x14ac:dyDescent="0.2">
      <c r="B3103"/>
      <c r="C3103"/>
      <c r="J3103"/>
      <c r="K3103"/>
      <c r="L3103"/>
    </row>
    <row r="3104" spans="2:12" x14ac:dyDescent="0.2">
      <c r="B3104"/>
      <c r="C3104"/>
      <c r="J3104"/>
      <c r="K3104"/>
      <c r="L3104"/>
    </row>
    <row r="3105" spans="2:12" x14ac:dyDescent="0.2">
      <c r="B3105"/>
      <c r="C3105"/>
      <c r="J3105"/>
      <c r="K3105"/>
      <c r="L3105"/>
    </row>
    <row r="3106" spans="2:12" x14ac:dyDescent="0.2">
      <c r="B3106"/>
      <c r="C3106"/>
      <c r="J3106"/>
      <c r="K3106"/>
      <c r="L3106"/>
    </row>
    <row r="3107" spans="2:12" x14ac:dyDescent="0.2">
      <c r="B3107"/>
      <c r="C3107"/>
      <c r="J3107"/>
      <c r="K3107"/>
      <c r="L3107"/>
    </row>
    <row r="3108" spans="2:12" x14ac:dyDescent="0.2">
      <c r="B3108"/>
      <c r="C3108"/>
      <c r="J3108"/>
      <c r="K3108"/>
      <c r="L3108"/>
    </row>
    <row r="3109" spans="2:12" x14ac:dyDescent="0.2">
      <c r="B3109"/>
      <c r="C3109"/>
      <c r="J3109"/>
      <c r="K3109"/>
      <c r="L3109"/>
    </row>
    <row r="3110" spans="2:12" x14ac:dyDescent="0.2">
      <c r="B3110"/>
      <c r="C3110"/>
      <c r="J3110"/>
      <c r="K3110"/>
      <c r="L3110"/>
    </row>
    <row r="3111" spans="2:12" x14ac:dyDescent="0.2">
      <c r="B3111"/>
      <c r="C3111"/>
      <c r="J3111"/>
      <c r="K3111"/>
      <c r="L3111"/>
    </row>
    <row r="3112" spans="2:12" x14ac:dyDescent="0.2">
      <c r="B3112"/>
      <c r="C3112"/>
      <c r="J3112"/>
      <c r="K3112"/>
      <c r="L3112"/>
    </row>
    <row r="3113" spans="2:12" x14ac:dyDescent="0.2">
      <c r="B3113"/>
      <c r="C3113"/>
      <c r="J3113"/>
      <c r="K3113"/>
      <c r="L3113"/>
    </row>
    <row r="3114" spans="2:12" x14ac:dyDescent="0.2">
      <c r="B3114"/>
      <c r="C3114"/>
      <c r="J3114"/>
      <c r="K3114"/>
      <c r="L3114"/>
    </row>
    <row r="3115" spans="2:12" x14ac:dyDescent="0.2">
      <c r="B3115"/>
      <c r="C3115"/>
      <c r="J3115"/>
      <c r="K3115"/>
      <c r="L3115"/>
    </row>
    <row r="3116" spans="2:12" x14ac:dyDescent="0.2">
      <c r="B3116"/>
      <c r="C3116"/>
      <c r="J3116"/>
      <c r="K3116"/>
      <c r="L3116"/>
    </row>
    <row r="3117" spans="2:12" x14ac:dyDescent="0.2">
      <c r="B3117"/>
      <c r="C3117"/>
      <c r="J3117"/>
      <c r="K3117"/>
      <c r="L3117"/>
    </row>
    <row r="3118" spans="2:12" x14ac:dyDescent="0.2">
      <c r="B3118"/>
      <c r="C3118"/>
      <c r="J3118"/>
      <c r="K3118"/>
      <c r="L3118"/>
    </row>
    <row r="3119" spans="2:12" x14ac:dyDescent="0.2">
      <c r="B3119"/>
      <c r="C3119"/>
      <c r="J3119"/>
      <c r="K3119"/>
      <c r="L3119"/>
    </row>
    <row r="3120" spans="2:12" x14ac:dyDescent="0.2">
      <c r="B3120"/>
      <c r="C3120"/>
      <c r="J3120"/>
      <c r="K3120"/>
      <c r="L3120"/>
    </row>
    <row r="3121" spans="2:12" x14ac:dyDescent="0.2">
      <c r="B3121"/>
      <c r="C3121"/>
      <c r="J3121"/>
      <c r="K3121"/>
      <c r="L3121"/>
    </row>
    <row r="3122" spans="2:12" x14ac:dyDescent="0.2">
      <c r="B3122"/>
      <c r="C3122"/>
      <c r="J3122"/>
      <c r="K3122"/>
      <c r="L3122"/>
    </row>
    <row r="3123" spans="2:12" x14ac:dyDescent="0.2">
      <c r="B3123"/>
      <c r="C3123"/>
      <c r="J3123"/>
      <c r="K3123"/>
      <c r="L3123"/>
    </row>
    <row r="3124" spans="2:12" x14ac:dyDescent="0.2">
      <c r="B3124"/>
      <c r="C3124"/>
      <c r="J3124"/>
      <c r="K3124"/>
      <c r="L3124"/>
    </row>
    <row r="3125" spans="2:12" x14ac:dyDescent="0.2">
      <c r="B3125"/>
      <c r="C3125"/>
      <c r="J3125"/>
      <c r="K3125"/>
      <c r="L3125"/>
    </row>
    <row r="3126" spans="2:12" x14ac:dyDescent="0.2">
      <c r="B3126"/>
      <c r="C3126"/>
      <c r="J3126"/>
      <c r="K3126"/>
      <c r="L3126"/>
    </row>
    <row r="3127" spans="2:12" x14ac:dyDescent="0.2">
      <c r="B3127"/>
      <c r="C3127"/>
      <c r="J3127"/>
      <c r="K3127"/>
      <c r="L3127"/>
    </row>
    <row r="3128" spans="2:12" x14ac:dyDescent="0.2">
      <c r="B3128"/>
      <c r="C3128"/>
      <c r="J3128"/>
      <c r="K3128"/>
      <c r="L3128"/>
    </row>
    <row r="3129" spans="2:12" x14ac:dyDescent="0.2">
      <c r="B3129"/>
      <c r="C3129"/>
      <c r="J3129"/>
      <c r="K3129"/>
      <c r="L3129"/>
    </row>
    <row r="3130" spans="2:12" x14ac:dyDescent="0.2">
      <c r="B3130"/>
      <c r="C3130"/>
      <c r="J3130"/>
      <c r="K3130"/>
      <c r="L3130"/>
    </row>
    <row r="3131" spans="2:12" x14ac:dyDescent="0.2">
      <c r="B3131"/>
      <c r="C3131"/>
      <c r="J3131"/>
      <c r="K3131"/>
      <c r="L3131"/>
    </row>
    <row r="3132" spans="2:12" x14ac:dyDescent="0.2">
      <c r="B3132"/>
      <c r="C3132"/>
      <c r="J3132"/>
      <c r="K3132"/>
      <c r="L3132"/>
    </row>
    <row r="3133" spans="2:12" x14ac:dyDescent="0.2">
      <c r="B3133"/>
      <c r="C3133"/>
      <c r="J3133"/>
      <c r="K3133"/>
      <c r="L3133"/>
    </row>
    <row r="3134" spans="2:12" x14ac:dyDescent="0.2">
      <c r="B3134"/>
      <c r="C3134"/>
      <c r="J3134"/>
      <c r="K3134"/>
      <c r="L3134"/>
    </row>
    <row r="3135" spans="2:12" x14ac:dyDescent="0.2">
      <c r="B3135"/>
      <c r="C3135"/>
      <c r="J3135"/>
      <c r="K3135"/>
      <c r="L3135"/>
    </row>
    <row r="3136" spans="2:12" x14ac:dyDescent="0.2">
      <c r="B3136"/>
      <c r="C3136"/>
      <c r="J3136"/>
      <c r="K3136"/>
      <c r="L3136"/>
    </row>
    <row r="3137" spans="2:12" x14ac:dyDescent="0.2">
      <c r="B3137"/>
      <c r="C3137"/>
      <c r="J3137"/>
      <c r="K3137"/>
      <c r="L3137"/>
    </row>
    <row r="3138" spans="2:12" x14ac:dyDescent="0.2">
      <c r="B3138"/>
      <c r="C3138"/>
      <c r="J3138"/>
      <c r="K3138"/>
      <c r="L3138"/>
    </row>
    <row r="3139" spans="2:12" x14ac:dyDescent="0.2">
      <c r="B3139"/>
      <c r="C3139"/>
      <c r="J3139"/>
      <c r="K3139"/>
      <c r="L3139"/>
    </row>
    <row r="3140" spans="2:12" x14ac:dyDescent="0.2">
      <c r="B3140"/>
      <c r="C3140"/>
      <c r="J3140"/>
      <c r="K3140"/>
      <c r="L3140"/>
    </row>
    <row r="3141" spans="2:12" x14ac:dyDescent="0.2">
      <c r="B3141"/>
      <c r="C3141"/>
      <c r="J3141"/>
      <c r="K3141"/>
      <c r="L3141"/>
    </row>
    <row r="3142" spans="2:12" x14ac:dyDescent="0.2">
      <c r="B3142"/>
      <c r="C3142"/>
      <c r="J3142"/>
      <c r="K3142"/>
      <c r="L3142"/>
    </row>
    <row r="3143" spans="2:12" x14ac:dyDescent="0.2">
      <c r="B3143"/>
      <c r="C3143"/>
      <c r="J3143"/>
      <c r="K3143"/>
      <c r="L3143"/>
    </row>
    <row r="3144" spans="2:12" x14ac:dyDescent="0.2">
      <c r="B3144"/>
      <c r="C3144"/>
      <c r="J3144"/>
      <c r="K3144"/>
      <c r="L3144"/>
    </row>
    <row r="3145" spans="2:12" x14ac:dyDescent="0.2">
      <c r="B3145"/>
      <c r="C3145"/>
      <c r="J3145"/>
      <c r="K3145"/>
      <c r="L3145"/>
    </row>
    <row r="3146" spans="2:12" x14ac:dyDescent="0.2">
      <c r="B3146"/>
      <c r="C3146"/>
      <c r="J3146"/>
      <c r="K3146"/>
      <c r="L3146"/>
    </row>
    <row r="3147" spans="2:12" x14ac:dyDescent="0.2">
      <c r="B3147"/>
      <c r="C3147"/>
      <c r="J3147"/>
      <c r="K3147"/>
      <c r="L3147"/>
    </row>
    <row r="3148" spans="2:12" x14ac:dyDescent="0.2">
      <c r="B3148"/>
      <c r="C3148"/>
      <c r="J3148"/>
      <c r="K3148"/>
      <c r="L3148"/>
    </row>
    <row r="3149" spans="2:12" x14ac:dyDescent="0.2">
      <c r="B3149"/>
      <c r="C3149"/>
      <c r="J3149"/>
      <c r="K3149"/>
      <c r="L3149"/>
    </row>
    <row r="3150" spans="2:12" x14ac:dyDescent="0.2">
      <c r="B3150"/>
      <c r="C3150"/>
      <c r="J3150"/>
      <c r="K3150"/>
      <c r="L3150"/>
    </row>
    <row r="3151" spans="2:12" x14ac:dyDescent="0.2">
      <c r="B3151"/>
      <c r="C3151"/>
      <c r="J3151"/>
      <c r="K3151"/>
      <c r="L3151"/>
    </row>
    <row r="3152" spans="2:12" x14ac:dyDescent="0.2">
      <c r="B3152"/>
      <c r="C3152"/>
      <c r="J3152"/>
      <c r="K3152"/>
      <c r="L3152"/>
    </row>
    <row r="3153" spans="2:12" x14ac:dyDescent="0.2">
      <c r="B3153"/>
      <c r="C3153"/>
      <c r="J3153"/>
      <c r="K3153"/>
      <c r="L3153"/>
    </row>
    <row r="3154" spans="2:12" x14ac:dyDescent="0.2">
      <c r="B3154"/>
      <c r="C3154"/>
      <c r="J3154"/>
      <c r="K3154"/>
      <c r="L3154"/>
    </row>
    <row r="3155" spans="2:12" x14ac:dyDescent="0.2">
      <c r="B3155"/>
      <c r="C3155"/>
      <c r="J3155"/>
      <c r="K3155"/>
      <c r="L3155"/>
    </row>
    <row r="3156" spans="2:12" x14ac:dyDescent="0.2">
      <c r="B3156"/>
      <c r="C3156"/>
      <c r="J3156"/>
      <c r="K3156"/>
      <c r="L3156"/>
    </row>
    <row r="3157" spans="2:12" x14ac:dyDescent="0.2">
      <c r="B3157"/>
      <c r="C3157"/>
      <c r="J3157"/>
      <c r="K3157"/>
      <c r="L3157"/>
    </row>
    <row r="3158" spans="2:12" x14ac:dyDescent="0.2">
      <c r="B3158"/>
      <c r="C3158"/>
      <c r="J3158"/>
      <c r="K3158"/>
      <c r="L3158"/>
    </row>
    <row r="3159" spans="2:12" x14ac:dyDescent="0.2">
      <c r="B3159"/>
      <c r="C3159"/>
      <c r="J3159"/>
      <c r="K3159"/>
      <c r="L3159"/>
    </row>
    <row r="3160" spans="2:12" x14ac:dyDescent="0.2">
      <c r="B3160"/>
      <c r="C3160"/>
      <c r="J3160"/>
      <c r="K3160"/>
      <c r="L3160"/>
    </row>
    <row r="3161" spans="2:12" x14ac:dyDescent="0.2">
      <c r="B3161"/>
      <c r="C3161"/>
      <c r="J3161"/>
      <c r="K3161"/>
      <c r="L3161"/>
    </row>
    <row r="3162" spans="2:12" x14ac:dyDescent="0.2">
      <c r="B3162"/>
      <c r="C3162"/>
      <c r="J3162"/>
      <c r="K3162"/>
      <c r="L3162"/>
    </row>
    <row r="3163" spans="2:12" x14ac:dyDescent="0.2">
      <c r="B3163"/>
      <c r="C3163"/>
      <c r="J3163"/>
      <c r="K3163"/>
      <c r="L3163"/>
    </row>
    <row r="3164" spans="2:12" x14ac:dyDescent="0.2">
      <c r="B3164"/>
      <c r="C3164"/>
      <c r="J3164"/>
      <c r="K3164"/>
      <c r="L3164"/>
    </row>
    <row r="3165" spans="2:12" x14ac:dyDescent="0.2">
      <c r="B3165"/>
      <c r="C3165"/>
      <c r="J3165"/>
      <c r="K3165"/>
      <c r="L3165"/>
    </row>
    <row r="3166" spans="2:12" x14ac:dyDescent="0.2">
      <c r="B3166"/>
      <c r="C3166"/>
      <c r="J3166"/>
      <c r="K3166"/>
      <c r="L3166"/>
    </row>
    <row r="3167" spans="2:12" x14ac:dyDescent="0.2">
      <c r="B3167"/>
      <c r="C3167"/>
      <c r="J3167"/>
      <c r="K3167"/>
      <c r="L3167"/>
    </row>
    <row r="3168" spans="2:12" x14ac:dyDescent="0.2">
      <c r="B3168"/>
      <c r="C3168"/>
      <c r="J3168"/>
      <c r="K3168"/>
      <c r="L3168"/>
    </row>
    <row r="3169" spans="2:12" x14ac:dyDescent="0.2">
      <c r="B3169"/>
      <c r="C3169"/>
      <c r="J3169"/>
      <c r="K3169"/>
      <c r="L3169"/>
    </row>
    <row r="3170" spans="2:12" x14ac:dyDescent="0.2">
      <c r="B3170"/>
      <c r="C3170"/>
      <c r="J3170"/>
      <c r="K3170"/>
      <c r="L3170"/>
    </row>
    <row r="3171" spans="2:12" x14ac:dyDescent="0.2">
      <c r="B3171"/>
      <c r="C3171"/>
      <c r="J3171"/>
      <c r="K3171"/>
      <c r="L3171"/>
    </row>
    <row r="3172" spans="2:12" x14ac:dyDescent="0.2">
      <c r="B3172"/>
      <c r="C3172"/>
      <c r="J3172"/>
      <c r="K3172"/>
      <c r="L3172"/>
    </row>
    <row r="3173" spans="2:12" x14ac:dyDescent="0.2">
      <c r="B3173"/>
      <c r="C3173"/>
      <c r="J3173"/>
      <c r="K3173"/>
      <c r="L3173"/>
    </row>
    <row r="3174" spans="2:12" x14ac:dyDescent="0.2">
      <c r="B3174"/>
      <c r="C3174"/>
      <c r="J3174"/>
      <c r="K3174"/>
      <c r="L3174"/>
    </row>
    <row r="3175" spans="2:12" x14ac:dyDescent="0.2">
      <c r="B3175"/>
      <c r="C3175"/>
      <c r="J3175"/>
      <c r="K3175"/>
      <c r="L3175"/>
    </row>
    <row r="3176" spans="2:12" x14ac:dyDescent="0.2">
      <c r="B3176"/>
      <c r="C3176"/>
      <c r="J3176"/>
      <c r="K3176"/>
      <c r="L3176"/>
    </row>
    <row r="3177" spans="2:12" x14ac:dyDescent="0.2">
      <c r="B3177"/>
      <c r="C3177"/>
      <c r="J3177"/>
      <c r="K3177"/>
      <c r="L3177"/>
    </row>
    <row r="3178" spans="2:12" x14ac:dyDescent="0.2">
      <c r="B3178"/>
      <c r="C3178"/>
      <c r="J3178"/>
      <c r="K3178"/>
      <c r="L3178"/>
    </row>
    <row r="3179" spans="2:12" x14ac:dyDescent="0.2">
      <c r="B3179"/>
      <c r="C3179"/>
      <c r="J3179"/>
      <c r="K3179"/>
      <c r="L3179"/>
    </row>
    <row r="3180" spans="2:12" x14ac:dyDescent="0.2">
      <c r="B3180"/>
      <c r="C3180"/>
      <c r="J3180"/>
      <c r="K3180"/>
      <c r="L3180"/>
    </row>
    <row r="3181" spans="2:12" x14ac:dyDescent="0.2">
      <c r="B3181"/>
      <c r="C3181"/>
      <c r="J3181"/>
      <c r="K3181"/>
      <c r="L3181"/>
    </row>
    <row r="3182" spans="2:12" x14ac:dyDescent="0.2">
      <c r="B3182"/>
      <c r="C3182"/>
      <c r="J3182"/>
      <c r="K3182"/>
      <c r="L3182"/>
    </row>
    <row r="3183" spans="2:12" x14ac:dyDescent="0.2">
      <c r="B3183"/>
      <c r="C3183"/>
      <c r="J3183"/>
      <c r="K3183"/>
      <c r="L3183"/>
    </row>
    <row r="3184" spans="2:12" x14ac:dyDescent="0.2">
      <c r="B3184"/>
      <c r="C3184"/>
      <c r="J3184"/>
      <c r="K3184"/>
      <c r="L3184"/>
    </row>
    <row r="3185" spans="2:12" x14ac:dyDescent="0.2">
      <c r="B3185"/>
      <c r="C3185"/>
      <c r="J3185"/>
      <c r="K3185"/>
      <c r="L3185"/>
    </row>
    <row r="3186" spans="2:12" x14ac:dyDescent="0.2">
      <c r="B3186"/>
      <c r="C3186"/>
      <c r="J3186"/>
      <c r="K3186"/>
      <c r="L3186"/>
    </row>
    <row r="3187" spans="2:12" x14ac:dyDescent="0.2">
      <c r="B3187"/>
      <c r="C3187"/>
      <c r="J3187"/>
      <c r="K3187"/>
      <c r="L3187"/>
    </row>
    <row r="3188" spans="2:12" x14ac:dyDescent="0.2">
      <c r="B3188"/>
      <c r="C3188"/>
      <c r="J3188"/>
      <c r="K3188"/>
      <c r="L3188"/>
    </row>
    <row r="3189" spans="2:12" x14ac:dyDescent="0.2">
      <c r="B3189"/>
      <c r="C3189"/>
      <c r="J3189"/>
      <c r="K3189"/>
      <c r="L3189"/>
    </row>
    <row r="3190" spans="2:12" x14ac:dyDescent="0.2">
      <c r="B3190"/>
      <c r="C3190"/>
      <c r="J3190"/>
      <c r="K3190"/>
      <c r="L3190"/>
    </row>
    <row r="3191" spans="2:12" x14ac:dyDescent="0.2">
      <c r="B3191"/>
      <c r="C3191"/>
      <c r="J3191"/>
      <c r="K3191"/>
      <c r="L3191"/>
    </row>
    <row r="3192" spans="2:12" x14ac:dyDescent="0.2">
      <c r="B3192"/>
      <c r="C3192"/>
      <c r="J3192"/>
      <c r="K3192"/>
      <c r="L3192"/>
    </row>
    <row r="3193" spans="2:12" x14ac:dyDescent="0.2">
      <c r="B3193"/>
      <c r="C3193"/>
      <c r="J3193"/>
      <c r="K3193"/>
      <c r="L3193"/>
    </row>
    <row r="3194" spans="2:12" x14ac:dyDescent="0.2">
      <c r="B3194"/>
      <c r="C3194"/>
      <c r="J3194"/>
      <c r="K3194"/>
      <c r="L3194"/>
    </row>
    <row r="3195" spans="2:12" x14ac:dyDescent="0.2">
      <c r="B3195"/>
      <c r="C3195"/>
      <c r="J3195"/>
      <c r="K3195"/>
      <c r="L3195"/>
    </row>
    <row r="3196" spans="2:12" x14ac:dyDescent="0.2">
      <c r="B3196"/>
      <c r="C3196"/>
      <c r="J3196"/>
      <c r="K3196"/>
      <c r="L3196"/>
    </row>
    <row r="3197" spans="2:12" x14ac:dyDescent="0.2">
      <c r="B3197"/>
      <c r="C3197"/>
      <c r="J3197"/>
      <c r="K3197"/>
      <c r="L3197"/>
    </row>
    <row r="3198" spans="2:12" x14ac:dyDescent="0.2">
      <c r="B3198"/>
      <c r="C3198"/>
      <c r="J3198"/>
      <c r="K3198"/>
      <c r="L3198"/>
    </row>
    <row r="3199" spans="2:12" x14ac:dyDescent="0.2">
      <c r="B3199"/>
      <c r="C3199"/>
      <c r="J3199"/>
      <c r="K3199"/>
      <c r="L3199"/>
    </row>
    <row r="3200" spans="2:12" x14ac:dyDescent="0.2">
      <c r="B3200"/>
      <c r="C3200"/>
      <c r="J3200"/>
      <c r="K3200"/>
      <c r="L3200"/>
    </row>
    <row r="3201" spans="2:12" x14ac:dyDescent="0.2">
      <c r="B3201"/>
      <c r="C3201"/>
      <c r="J3201"/>
      <c r="K3201"/>
      <c r="L3201"/>
    </row>
    <row r="3202" spans="2:12" x14ac:dyDescent="0.2">
      <c r="B3202"/>
      <c r="C3202"/>
      <c r="J3202"/>
      <c r="K3202"/>
      <c r="L3202"/>
    </row>
    <row r="3203" spans="2:12" x14ac:dyDescent="0.2">
      <c r="B3203"/>
      <c r="C3203"/>
      <c r="J3203"/>
      <c r="K3203"/>
      <c r="L3203"/>
    </row>
    <row r="3204" spans="2:12" x14ac:dyDescent="0.2">
      <c r="B3204"/>
      <c r="C3204"/>
      <c r="J3204"/>
      <c r="K3204"/>
      <c r="L3204"/>
    </row>
    <row r="3205" spans="2:12" x14ac:dyDescent="0.2">
      <c r="B3205"/>
      <c r="C3205"/>
      <c r="J3205"/>
      <c r="K3205"/>
      <c r="L3205"/>
    </row>
    <row r="3206" spans="2:12" x14ac:dyDescent="0.2">
      <c r="B3206"/>
      <c r="C3206"/>
      <c r="J3206"/>
      <c r="K3206"/>
      <c r="L3206"/>
    </row>
    <row r="3207" spans="2:12" x14ac:dyDescent="0.2">
      <c r="B3207"/>
      <c r="C3207"/>
      <c r="J3207"/>
      <c r="K3207"/>
      <c r="L3207"/>
    </row>
    <row r="3208" spans="2:12" x14ac:dyDescent="0.2">
      <c r="B3208"/>
      <c r="C3208"/>
      <c r="J3208"/>
      <c r="K3208"/>
      <c r="L3208"/>
    </row>
    <row r="3209" spans="2:12" x14ac:dyDescent="0.2">
      <c r="B3209"/>
      <c r="C3209"/>
      <c r="J3209"/>
      <c r="K3209"/>
      <c r="L3209"/>
    </row>
    <row r="3210" spans="2:12" x14ac:dyDescent="0.2">
      <c r="B3210"/>
      <c r="C3210"/>
      <c r="J3210"/>
      <c r="K3210"/>
      <c r="L3210"/>
    </row>
    <row r="3211" spans="2:12" x14ac:dyDescent="0.2">
      <c r="B3211"/>
      <c r="C3211"/>
      <c r="J3211"/>
      <c r="K3211"/>
      <c r="L3211"/>
    </row>
    <row r="3212" spans="2:12" x14ac:dyDescent="0.2">
      <c r="B3212"/>
      <c r="C3212"/>
      <c r="J3212"/>
      <c r="K3212"/>
      <c r="L3212"/>
    </row>
    <row r="3213" spans="2:12" x14ac:dyDescent="0.2">
      <c r="B3213"/>
      <c r="C3213"/>
      <c r="J3213"/>
      <c r="K3213"/>
      <c r="L3213"/>
    </row>
    <row r="3214" spans="2:12" x14ac:dyDescent="0.2">
      <c r="B3214"/>
      <c r="C3214"/>
      <c r="J3214"/>
      <c r="K3214"/>
      <c r="L3214"/>
    </row>
    <row r="3215" spans="2:12" x14ac:dyDescent="0.2">
      <c r="B3215"/>
      <c r="C3215"/>
      <c r="J3215"/>
      <c r="K3215"/>
      <c r="L3215"/>
    </row>
    <row r="3216" spans="2:12" x14ac:dyDescent="0.2">
      <c r="B3216"/>
      <c r="C3216"/>
      <c r="J3216"/>
      <c r="K3216"/>
      <c r="L3216"/>
    </row>
    <row r="3217" spans="2:12" x14ac:dyDescent="0.2">
      <c r="B3217"/>
      <c r="C3217"/>
      <c r="J3217"/>
      <c r="K3217"/>
      <c r="L3217"/>
    </row>
    <row r="3218" spans="2:12" x14ac:dyDescent="0.2">
      <c r="B3218"/>
      <c r="C3218"/>
      <c r="J3218"/>
      <c r="K3218"/>
      <c r="L3218"/>
    </row>
    <row r="3219" spans="2:12" x14ac:dyDescent="0.2">
      <c r="B3219"/>
      <c r="C3219"/>
      <c r="J3219"/>
      <c r="K3219"/>
      <c r="L3219"/>
    </row>
    <row r="3220" spans="2:12" x14ac:dyDescent="0.2">
      <c r="B3220"/>
      <c r="C3220"/>
      <c r="J3220"/>
      <c r="K3220"/>
      <c r="L3220"/>
    </row>
    <row r="3221" spans="2:12" x14ac:dyDescent="0.2">
      <c r="B3221"/>
      <c r="C3221"/>
      <c r="J3221"/>
      <c r="K3221"/>
      <c r="L3221"/>
    </row>
    <row r="3222" spans="2:12" x14ac:dyDescent="0.2">
      <c r="B3222"/>
      <c r="C3222"/>
      <c r="J3222"/>
      <c r="K3222"/>
      <c r="L3222"/>
    </row>
    <row r="3223" spans="2:12" x14ac:dyDescent="0.2">
      <c r="B3223"/>
      <c r="C3223"/>
      <c r="J3223"/>
      <c r="K3223"/>
      <c r="L3223"/>
    </row>
    <row r="3224" spans="2:12" x14ac:dyDescent="0.2">
      <c r="B3224"/>
      <c r="C3224"/>
      <c r="J3224"/>
      <c r="K3224"/>
      <c r="L3224"/>
    </row>
    <row r="3225" spans="2:12" x14ac:dyDescent="0.2">
      <c r="B3225"/>
      <c r="C3225"/>
      <c r="J3225"/>
      <c r="K3225"/>
      <c r="L3225"/>
    </row>
    <row r="3226" spans="2:12" x14ac:dyDescent="0.2">
      <c r="B3226"/>
      <c r="C3226"/>
      <c r="J3226"/>
      <c r="K3226"/>
      <c r="L3226"/>
    </row>
    <row r="3227" spans="2:12" x14ac:dyDescent="0.2">
      <c r="B3227"/>
      <c r="C3227"/>
      <c r="J3227"/>
      <c r="K3227"/>
      <c r="L3227"/>
    </row>
    <row r="3228" spans="2:12" x14ac:dyDescent="0.2">
      <c r="B3228"/>
      <c r="C3228"/>
      <c r="J3228"/>
      <c r="K3228"/>
      <c r="L3228"/>
    </row>
    <row r="3229" spans="2:12" x14ac:dyDescent="0.2">
      <c r="B3229"/>
      <c r="C3229"/>
      <c r="J3229"/>
      <c r="K3229"/>
      <c r="L3229"/>
    </row>
    <row r="3230" spans="2:12" x14ac:dyDescent="0.2">
      <c r="B3230"/>
      <c r="C3230"/>
      <c r="J3230"/>
      <c r="K3230"/>
      <c r="L3230"/>
    </row>
    <row r="3231" spans="2:12" x14ac:dyDescent="0.2">
      <c r="B3231"/>
      <c r="C3231"/>
      <c r="J3231"/>
      <c r="K3231"/>
      <c r="L3231"/>
    </row>
    <row r="3232" spans="2:12" x14ac:dyDescent="0.2">
      <c r="B3232"/>
      <c r="C3232"/>
      <c r="J3232"/>
      <c r="K3232"/>
      <c r="L3232"/>
    </row>
    <row r="3233" spans="2:12" x14ac:dyDescent="0.2">
      <c r="B3233"/>
      <c r="C3233"/>
      <c r="J3233"/>
      <c r="K3233"/>
      <c r="L3233"/>
    </row>
    <row r="3234" spans="2:12" x14ac:dyDescent="0.2">
      <c r="B3234"/>
      <c r="C3234"/>
      <c r="J3234"/>
      <c r="K3234"/>
      <c r="L3234"/>
    </row>
    <row r="3235" spans="2:12" x14ac:dyDescent="0.2">
      <c r="B3235"/>
      <c r="C3235"/>
      <c r="J3235"/>
      <c r="K3235"/>
      <c r="L3235"/>
    </row>
    <row r="3236" spans="2:12" x14ac:dyDescent="0.2">
      <c r="B3236"/>
      <c r="C3236"/>
      <c r="J3236"/>
      <c r="K3236"/>
      <c r="L3236"/>
    </row>
    <row r="3237" spans="2:12" x14ac:dyDescent="0.2">
      <c r="B3237"/>
      <c r="C3237"/>
      <c r="J3237"/>
      <c r="K3237"/>
      <c r="L3237"/>
    </row>
    <row r="3238" spans="2:12" x14ac:dyDescent="0.2">
      <c r="B3238"/>
      <c r="C3238"/>
      <c r="J3238"/>
      <c r="K3238"/>
      <c r="L3238"/>
    </row>
    <row r="3239" spans="2:12" x14ac:dyDescent="0.2">
      <c r="B3239"/>
      <c r="C3239"/>
      <c r="J3239"/>
      <c r="K3239"/>
      <c r="L3239"/>
    </row>
    <row r="3240" spans="2:12" x14ac:dyDescent="0.2">
      <c r="B3240"/>
      <c r="C3240"/>
      <c r="J3240"/>
      <c r="K3240"/>
      <c r="L3240"/>
    </row>
    <row r="3241" spans="2:12" x14ac:dyDescent="0.2">
      <c r="B3241"/>
      <c r="C3241"/>
      <c r="J3241"/>
      <c r="K3241"/>
      <c r="L3241"/>
    </row>
    <row r="3242" spans="2:12" x14ac:dyDescent="0.2">
      <c r="B3242"/>
      <c r="C3242"/>
      <c r="J3242"/>
      <c r="K3242"/>
      <c r="L3242"/>
    </row>
    <row r="3243" spans="2:12" x14ac:dyDescent="0.2">
      <c r="B3243"/>
      <c r="C3243"/>
      <c r="J3243"/>
      <c r="K3243"/>
      <c r="L3243"/>
    </row>
    <row r="3244" spans="2:12" x14ac:dyDescent="0.2">
      <c r="B3244"/>
      <c r="C3244"/>
      <c r="J3244"/>
      <c r="K3244"/>
      <c r="L3244"/>
    </row>
    <row r="3245" spans="2:12" x14ac:dyDescent="0.2">
      <c r="B3245"/>
      <c r="C3245"/>
      <c r="J3245"/>
      <c r="K3245"/>
      <c r="L3245"/>
    </row>
    <row r="3246" spans="2:12" x14ac:dyDescent="0.2">
      <c r="B3246"/>
      <c r="C3246"/>
      <c r="J3246"/>
      <c r="K3246"/>
      <c r="L3246"/>
    </row>
    <row r="3247" spans="2:12" x14ac:dyDescent="0.2">
      <c r="B3247"/>
      <c r="C3247"/>
      <c r="J3247"/>
      <c r="K3247"/>
      <c r="L3247"/>
    </row>
    <row r="3248" spans="2:12" x14ac:dyDescent="0.2">
      <c r="B3248"/>
      <c r="C3248"/>
      <c r="J3248"/>
      <c r="K3248"/>
      <c r="L3248"/>
    </row>
    <row r="3249" spans="2:12" x14ac:dyDescent="0.2">
      <c r="B3249"/>
      <c r="C3249"/>
      <c r="J3249"/>
      <c r="K3249"/>
      <c r="L3249"/>
    </row>
    <row r="3250" spans="2:12" x14ac:dyDescent="0.2">
      <c r="B3250"/>
      <c r="C3250"/>
      <c r="J3250"/>
      <c r="K3250"/>
      <c r="L3250"/>
    </row>
    <row r="3251" spans="2:12" x14ac:dyDescent="0.2">
      <c r="B3251"/>
      <c r="C3251"/>
      <c r="J3251"/>
      <c r="K3251"/>
      <c r="L3251"/>
    </row>
    <row r="3252" spans="2:12" x14ac:dyDescent="0.2">
      <c r="B3252"/>
      <c r="C3252"/>
      <c r="J3252"/>
      <c r="K3252"/>
      <c r="L3252"/>
    </row>
    <row r="3253" spans="2:12" x14ac:dyDescent="0.2">
      <c r="B3253"/>
      <c r="C3253"/>
      <c r="J3253"/>
      <c r="K3253"/>
      <c r="L3253"/>
    </row>
    <row r="3254" spans="2:12" x14ac:dyDescent="0.2">
      <c r="B3254"/>
      <c r="C3254"/>
      <c r="J3254"/>
      <c r="K3254"/>
      <c r="L3254"/>
    </row>
    <row r="3255" spans="2:12" x14ac:dyDescent="0.2">
      <c r="B3255"/>
      <c r="C3255"/>
      <c r="J3255"/>
      <c r="K3255"/>
      <c r="L3255"/>
    </row>
    <row r="3256" spans="2:12" x14ac:dyDescent="0.2">
      <c r="B3256"/>
      <c r="C3256"/>
      <c r="J3256"/>
      <c r="K3256"/>
      <c r="L3256"/>
    </row>
    <row r="3257" spans="2:12" x14ac:dyDescent="0.2">
      <c r="B3257"/>
      <c r="C3257"/>
      <c r="J3257"/>
      <c r="K3257"/>
      <c r="L3257"/>
    </row>
    <row r="3258" spans="2:12" x14ac:dyDescent="0.2">
      <c r="B3258"/>
      <c r="C3258"/>
      <c r="J3258"/>
      <c r="K3258"/>
      <c r="L3258"/>
    </row>
    <row r="3259" spans="2:12" x14ac:dyDescent="0.2">
      <c r="B3259"/>
      <c r="C3259"/>
      <c r="J3259"/>
      <c r="K3259"/>
      <c r="L3259"/>
    </row>
    <row r="3260" spans="2:12" x14ac:dyDescent="0.2">
      <c r="B3260"/>
      <c r="C3260"/>
      <c r="J3260"/>
      <c r="K3260"/>
      <c r="L3260"/>
    </row>
    <row r="3261" spans="2:12" x14ac:dyDescent="0.2">
      <c r="B3261"/>
      <c r="C3261"/>
      <c r="J3261"/>
      <c r="K3261"/>
      <c r="L3261"/>
    </row>
    <row r="3262" spans="2:12" x14ac:dyDescent="0.2">
      <c r="B3262"/>
      <c r="C3262"/>
      <c r="J3262"/>
      <c r="K3262"/>
      <c r="L3262"/>
    </row>
    <row r="3263" spans="2:12" x14ac:dyDescent="0.2">
      <c r="B3263"/>
      <c r="C3263"/>
      <c r="J3263"/>
      <c r="K3263"/>
      <c r="L3263"/>
    </row>
    <row r="3264" spans="2:12" x14ac:dyDescent="0.2">
      <c r="B3264"/>
      <c r="C3264"/>
      <c r="J3264"/>
      <c r="K3264"/>
      <c r="L3264"/>
    </row>
    <row r="3265" spans="2:12" x14ac:dyDescent="0.2">
      <c r="B3265"/>
      <c r="C3265"/>
      <c r="J3265"/>
      <c r="K3265"/>
      <c r="L3265"/>
    </row>
    <row r="3266" spans="2:12" x14ac:dyDescent="0.2">
      <c r="B3266"/>
      <c r="C3266"/>
      <c r="J3266"/>
      <c r="K3266"/>
      <c r="L3266"/>
    </row>
    <row r="3267" spans="2:12" x14ac:dyDescent="0.2">
      <c r="B3267"/>
      <c r="C3267"/>
      <c r="J3267"/>
      <c r="K3267"/>
      <c r="L3267"/>
    </row>
    <row r="3268" spans="2:12" x14ac:dyDescent="0.2">
      <c r="B3268"/>
      <c r="C3268"/>
      <c r="J3268"/>
      <c r="K3268"/>
      <c r="L3268"/>
    </row>
    <row r="3269" spans="2:12" x14ac:dyDescent="0.2">
      <c r="B3269"/>
      <c r="C3269"/>
      <c r="J3269"/>
      <c r="K3269"/>
      <c r="L3269"/>
    </row>
    <row r="3270" spans="2:12" x14ac:dyDescent="0.2">
      <c r="B3270"/>
      <c r="C3270"/>
      <c r="J3270"/>
      <c r="K3270"/>
      <c r="L3270"/>
    </row>
    <row r="3271" spans="2:12" x14ac:dyDescent="0.2">
      <c r="B3271"/>
      <c r="C3271"/>
      <c r="J3271"/>
      <c r="K3271"/>
      <c r="L3271"/>
    </row>
    <row r="3272" spans="2:12" x14ac:dyDescent="0.2">
      <c r="B3272"/>
      <c r="C3272"/>
      <c r="J3272"/>
      <c r="K3272"/>
      <c r="L3272"/>
    </row>
    <row r="3273" spans="2:12" x14ac:dyDescent="0.2">
      <c r="B3273"/>
      <c r="C3273"/>
      <c r="J3273"/>
      <c r="K3273"/>
      <c r="L3273"/>
    </row>
    <row r="3274" spans="2:12" x14ac:dyDescent="0.2">
      <c r="B3274"/>
      <c r="C3274"/>
      <c r="J3274"/>
      <c r="K3274"/>
      <c r="L3274"/>
    </row>
    <row r="3275" spans="2:12" x14ac:dyDescent="0.2">
      <c r="B3275"/>
      <c r="C3275"/>
      <c r="J3275"/>
      <c r="K3275"/>
      <c r="L3275"/>
    </row>
    <row r="3276" spans="2:12" x14ac:dyDescent="0.2">
      <c r="B3276"/>
      <c r="C3276"/>
      <c r="J3276"/>
      <c r="K3276"/>
      <c r="L3276"/>
    </row>
    <row r="3277" spans="2:12" x14ac:dyDescent="0.2">
      <c r="B3277"/>
      <c r="C3277"/>
      <c r="J3277"/>
      <c r="K3277"/>
      <c r="L3277"/>
    </row>
    <row r="3278" spans="2:12" x14ac:dyDescent="0.2">
      <c r="B3278"/>
      <c r="C3278"/>
      <c r="J3278"/>
      <c r="K3278"/>
      <c r="L3278"/>
    </row>
    <row r="3279" spans="2:12" x14ac:dyDescent="0.2">
      <c r="B3279"/>
      <c r="C3279"/>
      <c r="J3279"/>
      <c r="K3279"/>
      <c r="L3279"/>
    </row>
    <row r="3280" spans="2:12" x14ac:dyDescent="0.2">
      <c r="B3280"/>
      <c r="C3280"/>
      <c r="J3280"/>
      <c r="K3280"/>
      <c r="L3280"/>
    </row>
    <row r="3281" spans="2:12" x14ac:dyDescent="0.2">
      <c r="B3281"/>
      <c r="C3281"/>
      <c r="J3281"/>
      <c r="K3281"/>
      <c r="L3281"/>
    </row>
    <row r="3282" spans="2:12" x14ac:dyDescent="0.2">
      <c r="B3282"/>
      <c r="C3282"/>
      <c r="J3282"/>
      <c r="K3282"/>
      <c r="L3282"/>
    </row>
    <row r="3283" spans="2:12" x14ac:dyDescent="0.2">
      <c r="B3283"/>
      <c r="C3283"/>
      <c r="J3283"/>
      <c r="K3283"/>
      <c r="L3283"/>
    </row>
    <row r="3284" spans="2:12" x14ac:dyDescent="0.2">
      <c r="B3284"/>
      <c r="C3284"/>
      <c r="J3284"/>
      <c r="K3284"/>
      <c r="L3284"/>
    </row>
    <row r="3285" spans="2:12" x14ac:dyDescent="0.2">
      <c r="B3285"/>
      <c r="C3285"/>
      <c r="J3285"/>
      <c r="K3285"/>
      <c r="L3285"/>
    </row>
    <row r="3286" spans="2:12" x14ac:dyDescent="0.2">
      <c r="B3286"/>
      <c r="C3286"/>
      <c r="J3286"/>
      <c r="K3286"/>
      <c r="L3286"/>
    </row>
    <row r="3287" spans="2:12" x14ac:dyDescent="0.2">
      <c r="B3287"/>
      <c r="C3287"/>
      <c r="J3287"/>
      <c r="K3287"/>
      <c r="L3287"/>
    </row>
    <row r="3288" spans="2:12" x14ac:dyDescent="0.2">
      <c r="B3288"/>
      <c r="C3288"/>
      <c r="J3288"/>
      <c r="K3288"/>
      <c r="L3288"/>
    </row>
    <row r="3289" spans="2:12" x14ac:dyDescent="0.2">
      <c r="B3289"/>
      <c r="C3289"/>
      <c r="J3289"/>
      <c r="K3289"/>
      <c r="L3289"/>
    </row>
    <row r="3290" spans="2:12" x14ac:dyDescent="0.2">
      <c r="B3290"/>
      <c r="C3290"/>
      <c r="J3290"/>
      <c r="K3290"/>
      <c r="L3290"/>
    </row>
    <row r="3291" spans="2:12" x14ac:dyDescent="0.2">
      <c r="B3291"/>
      <c r="C3291"/>
      <c r="J3291"/>
      <c r="K3291"/>
      <c r="L3291"/>
    </row>
    <row r="3292" spans="2:12" x14ac:dyDescent="0.2">
      <c r="B3292"/>
      <c r="C3292"/>
      <c r="J3292"/>
      <c r="K3292"/>
      <c r="L3292"/>
    </row>
    <row r="3293" spans="2:12" x14ac:dyDescent="0.2">
      <c r="B3293"/>
      <c r="C3293"/>
      <c r="J3293"/>
      <c r="K3293"/>
      <c r="L3293"/>
    </row>
    <row r="3294" spans="2:12" x14ac:dyDescent="0.2">
      <c r="B3294"/>
      <c r="C3294"/>
      <c r="J3294"/>
      <c r="K3294"/>
      <c r="L3294"/>
    </row>
    <row r="3295" spans="2:12" x14ac:dyDescent="0.2">
      <c r="B3295"/>
      <c r="C3295"/>
      <c r="J3295"/>
      <c r="K3295"/>
      <c r="L3295"/>
    </row>
    <row r="3296" spans="2:12" x14ac:dyDescent="0.2">
      <c r="B3296"/>
      <c r="C3296"/>
      <c r="J3296"/>
      <c r="K3296"/>
      <c r="L3296"/>
    </row>
    <row r="3297" spans="2:12" x14ac:dyDescent="0.2">
      <c r="B3297"/>
      <c r="C3297"/>
      <c r="J3297"/>
      <c r="K3297"/>
      <c r="L3297"/>
    </row>
    <row r="3298" spans="2:12" x14ac:dyDescent="0.2">
      <c r="B3298"/>
      <c r="C3298"/>
      <c r="J3298"/>
      <c r="K3298"/>
      <c r="L3298"/>
    </row>
    <row r="3299" spans="2:12" x14ac:dyDescent="0.2">
      <c r="B3299"/>
      <c r="C3299"/>
      <c r="J3299"/>
      <c r="K3299"/>
      <c r="L3299"/>
    </row>
    <row r="3300" spans="2:12" x14ac:dyDescent="0.2">
      <c r="B3300"/>
      <c r="C3300"/>
      <c r="J3300"/>
      <c r="K3300"/>
      <c r="L3300"/>
    </row>
    <row r="3301" spans="2:12" x14ac:dyDescent="0.2">
      <c r="B3301"/>
      <c r="C3301"/>
      <c r="J3301"/>
      <c r="K3301"/>
      <c r="L3301"/>
    </row>
    <row r="3302" spans="2:12" x14ac:dyDescent="0.2">
      <c r="B3302"/>
      <c r="C3302"/>
      <c r="J3302"/>
      <c r="K3302"/>
      <c r="L3302"/>
    </row>
    <row r="3303" spans="2:12" x14ac:dyDescent="0.2">
      <c r="B3303"/>
      <c r="C3303"/>
      <c r="J3303"/>
      <c r="K3303"/>
      <c r="L3303"/>
    </row>
    <row r="3304" spans="2:12" x14ac:dyDescent="0.2">
      <c r="B3304"/>
      <c r="C3304"/>
      <c r="J3304"/>
      <c r="K3304"/>
      <c r="L3304"/>
    </row>
    <row r="3305" spans="2:12" x14ac:dyDescent="0.2">
      <c r="B3305"/>
      <c r="C3305"/>
      <c r="J3305"/>
      <c r="K3305"/>
      <c r="L3305"/>
    </row>
    <row r="3306" spans="2:12" x14ac:dyDescent="0.2">
      <c r="B3306"/>
      <c r="C3306"/>
      <c r="J3306"/>
      <c r="K3306"/>
      <c r="L3306"/>
    </row>
    <row r="3307" spans="2:12" x14ac:dyDescent="0.2">
      <c r="B3307"/>
      <c r="C3307"/>
      <c r="J3307"/>
      <c r="K3307"/>
      <c r="L3307"/>
    </row>
    <row r="3308" spans="2:12" x14ac:dyDescent="0.2">
      <c r="B3308"/>
      <c r="C3308"/>
      <c r="J3308"/>
      <c r="K3308"/>
      <c r="L3308"/>
    </row>
    <row r="3309" spans="2:12" x14ac:dyDescent="0.2">
      <c r="B3309"/>
      <c r="C3309"/>
      <c r="J3309"/>
      <c r="K3309"/>
      <c r="L3309"/>
    </row>
    <row r="3310" spans="2:12" x14ac:dyDescent="0.2">
      <c r="B3310"/>
      <c r="C3310"/>
      <c r="J3310"/>
      <c r="K3310"/>
      <c r="L3310"/>
    </row>
    <row r="3311" spans="2:12" x14ac:dyDescent="0.2">
      <c r="B3311"/>
      <c r="C3311"/>
      <c r="J3311"/>
      <c r="K3311"/>
      <c r="L3311"/>
    </row>
    <row r="3312" spans="2:12" x14ac:dyDescent="0.2">
      <c r="B3312"/>
      <c r="C3312"/>
      <c r="J3312"/>
      <c r="K3312"/>
      <c r="L3312"/>
    </row>
    <row r="3313" spans="2:12" x14ac:dyDescent="0.2">
      <c r="B3313"/>
      <c r="C3313"/>
      <c r="J3313"/>
      <c r="K3313"/>
      <c r="L3313"/>
    </row>
    <row r="3314" spans="2:12" x14ac:dyDescent="0.2">
      <c r="B3314"/>
      <c r="C3314"/>
      <c r="J3314"/>
      <c r="K3314"/>
      <c r="L3314"/>
    </row>
    <row r="3315" spans="2:12" x14ac:dyDescent="0.2">
      <c r="B3315"/>
      <c r="C3315"/>
      <c r="J3315"/>
      <c r="K3315"/>
      <c r="L3315"/>
    </row>
    <row r="3316" spans="2:12" x14ac:dyDescent="0.2">
      <c r="B3316"/>
      <c r="C3316"/>
      <c r="J3316"/>
      <c r="K3316"/>
      <c r="L3316"/>
    </row>
    <row r="3317" spans="2:12" x14ac:dyDescent="0.2">
      <c r="B3317"/>
      <c r="C3317"/>
      <c r="J3317"/>
      <c r="K3317"/>
      <c r="L3317"/>
    </row>
    <row r="3318" spans="2:12" x14ac:dyDescent="0.2">
      <c r="B3318"/>
      <c r="C3318"/>
      <c r="J3318"/>
      <c r="K3318"/>
      <c r="L3318"/>
    </row>
    <row r="3319" spans="2:12" x14ac:dyDescent="0.2">
      <c r="B3319"/>
      <c r="C3319"/>
      <c r="J3319"/>
      <c r="K3319"/>
      <c r="L3319"/>
    </row>
    <row r="3320" spans="2:12" x14ac:dyDescent="0.2">
      <c r="B3320"/>
      <c r="C3320"/>
      <c r="J3320"/>
      <c r="K3320"/>
      <c r="L3320"/>
    </row>
    <row r="3321" spans="2:12" x14ac:dyDescent="0.2">
      <c r="B3321"/>
      <c r="C3321"/>
      <c r="J3321"/>
      <c r="K3321"/>
      <c r="L3321"/>
    </row>
    <row r="3322" spans="2:12" x14ac:dyDescent="0.2">
      <c r="B3322"/>
      <c r="C3322"/>
      <c r="J3322"/>
      <c r="K3322"/>
      <c r="L3322"/>
    </row>
    <row r="3323" spans="2:12" x14ac:dyDescent="0.2">
      <c r="B3323"/>
      <c r="C3323"/>
      <c r="J3323"/>
      <c r="K3323"/>
      <c r="L3323"/>
    </row>
    <row r="3324" spans="2:12" x14ac:dyDescent="0.2">
      <c r="B3324"/>
      <c r="C3324"/>
      <c r="J3324"/>
      <c r="K3324"/>
      <c r="L3324"/>
    </row>
    <row r="3325" spans="2:12" x14ac:dyDescent="0.2">
      <c r="B3325"/>
      <c r="C3325"/>
      <c r="J3325"/>
      <c r="K3325"/>
      <c r="L3325"/>
    </row>
    <row r="3326" spans="2:12" x14ac:dyDescent="0.2">
      <c r="B3326"/>
      <c r="C3326"/>
      <c r="J3326"/>
      <c r="K3326"/>
      <c r="L3326"/>
    </row>
    <row r="3327" spans="2:12" x14ac:dyDescent="0.2">
      <c r="B3327"/>
      <c r="C3327"/>
      <c r="J3327"/>
      <c r="K3327"/>
      <c r="L3327"/>
    </row>
    <row r="3328" spans="2:12" x14ac:dyDescent="0.2">
      <c r="B3328"/>
      <c r="C3328"/>
      <c r="J3328"/>
      <c r="K3328"/>
      <c r="L3328"/>
    </row>
    <row r="3329" spans="2:12" x14ac:dyDescent="0.2">
      <c r="B3329"/>
      <c r="C3329"/>
      <c r="J3329"/>
      <c r="K3329"/>
      <c r="L3329"/>
    </row>
    <row r="3330" spans="2:12" x14ac:dyDescent="0.2">
      <c r="B3330"/>
      <c r="C3330"/>
      <c r="J3330"/>
      <c r="K3330"/>
      <c r="L3330"/>
    </row>
    <row r="3331" spans="2:12" x14ac:dyDescent="0.2">
      <c r="B3331"/>
      <c r="C3331"/>
      <c r="J3331"/>
      <c r="K3331"/>
      <c r="L3331"/>
    </row>
    <row r="3332" spans="2:12" x14ac:dyDescent="0.2">
      <c r="B3332"/>
      <c r="C3332"/>
      <c r="J3332"/>
      <c r="K3332"/>
      <c r="L3332"/>
    </row>
    <row r="3333" spans="2:12" x14ac:dyDescent="0.2">
      <c r="B3333"/>
      <c r="C3333"/>
      <c r="J3333"/>
      <c r="K3333"/>
      <c r="L3333"/>
    </row>
    <row r="3334" spans="2:12" x14ac:dyDescent="0.2">
      <c r="B3334"/>
      <c r="C3334"/>
      <c r="J3334"/>
      <c r="K3334"/>
      <c r="L3334"/>
    </row>
    <row r="3335" spans="2:12" x14ac:dyDescent="0.2">
      <c r="B3335"/>
      <c r="C3335"/>
      <c r="J3335"/>
      <c r="K3335"/>
      <c r="L3335"/>
    </row>
    <row r="3336" spans="2:12" x14ac:dyDescent="0.2">
      <c r="B3336"/>
      <c r="C3336"/>
      <c r="J3336"/>
      <c r="K3336"/>
      <c r="L3336"/>
    </row>
    <row r="3337" spans="2:12" x14ac:dyDescent="0.2">
      <c r="B3337"/>
      <c r="C3337"/>
      <c r="J3337"/>
      <c r="K3337"/>
      <c r="L3337"/>
    </row>
    <row r="3338" spans="2:12" x14ac:dyDescent="0.2">
      <c r="B3338"/>
      <c r="C3338"/>
      <c r="J3338"/>
      <c r="K3338"/>
      <c r="L3338"/>
    </row>
    <row r="3339" spans="2:12" x14ac:dyDescent="0.2">
      <c r="B3339"/>
      <c r="C3339"/>
      <c r="J3339"/>
      <c r="K3339"/>
      <c r="L3339"/>
    </row>
    <row r="3340" spans="2:12" x14ac:dyDescent="0.2">
      <c r="B3340"/>
      <c r="C3340"/>
      <c r="J3340"/>
      <c r="K3340"/>
      <c r="L3340"/>
    </row>
    <row r="3341" spans="2:12" x14ac:dyDescent="0.2">
      <c r="B3341"/>
      <c r="C3341"/>
      <c r="J3341"/>
      <c r="K3341"/>
      <c r="L3341"/>
    </row>
    <row r="3342" spans="2:12" x14ac:dyDescent="0.2">
      <c r="B3342"/>
      <c r="C3342"/>
      <c r="J3342"/>
      <c r="K3342"/>
      <c r="L3342"/>
    </row>
    <row r="3343" spans="2:12" x14ac:dyDescent="0.2">
      <c r="B3343"/>
      <c r="C3343"/>
      <c r="J3343"/>
      <c r="K3343"/>
      <c r="L3343"/>
    </row>
    <row r="3344" spans="2:12" x14ac:dyDescent="0.2">
      <c r="B3344"/>
      <c r="C3344"/>
      <c r="J3344"/>
      <c r="K3344"/>
      <c r="L3344"/>
    </row>
    <row r="3345" spans="2:12" x14ac:dyDescent="0.2">
      <c r="B3345"/>
      <c r="C3345"/>
      <c r="J3345"/>
      <c r="K3345"/>
      <c r="L3345"/>
    </row>
    <row r="3346" spans="2:12" x14ac:dyDescent="0.2">
      <c r="B3346"/>
      <c r="C3346"/>
      <c r="J3346"/>
      <c r="K3346"/>
      <c r="L3346"/>
    </row>
    <row r="3347" spans="2:12" x14ac:dyDescent="0.2">
      <c r="B3347"/>
      <c r="C3347"/>
      <c r="J3347"/>
      <c r="K3347"/>
      <c r="L3347"/>
    </row>
    <row r="3348" spans="2:12" x14ac:dyDescent="0.2">
      <c r="B3348"/>
      <c r="C3348"/>
      <c r="J3348"/>
      <c r="K3348"/>
      <c r="L3348"/>
    </row>
    <row r="3349" spans="2:12" x14ac:dyDescent="0.2">
      <c r="B3349"/>
      <c r="C3349"/>
      <c r="J3349"/>
      <c r="K3349"/>
      <c r="L3349"/>
    </row>
    <row r="3350" spans="2:12" x14ac:dyDescent="0.2">
      <c r="B3350"/>
      <c r="C3350"/>
      <c r="J3350"/>
      <c r="K3350"/>
      <c r="L3350"/>
    </row>
    <row r="3351" spans="2:12" x14ac:dyDescent="0.2">
      <c r="B3351"/>
      <c r="C3351"/>
      <c r="J3351"/>
      <c r="K3351"/>
      <c r="L3351"/>
    </row>
    <row r="3352" spans="2:12" x14ac:dyDescent="0.2">
      <c r="B3352"/>
      <c r="C3352"/>
      <c r="J3352"/>
      <c r="K3352"/>
      <c r="L3352"/>
    </row>
    <row r="3353" spans="2:12" x14ac:dyDescent="0.2">
      <c r="B3353"/>
      <c r="C3353"/>
      <c r="J3353"/>
      <c r="K3353"/>
      <c r="L3353"/>
    </row>
    <row r="3354" spans="2:12" x14ac:dyDescent="0.2">
      <c r="B3354"/>
      <c r="C3354"/>
      <c r="J3354"/>
      <c r="K3354"/>
      <c r="L3354"/>
    </row>
    <row r="3355" spans="2:12" x14ac:dyDescent="0.2">
      <c r="B3355"/>
      <c r="C3355"/>
      <c r="J3355"/>
      <c r="K3355"/>
      <c r="L3355"/>
    </row>
    <row r="3356" spans="2:12" x14ac:dyDescent="0.2">
      <c r="B3356"/>
      <c r="C3356"/>
      <c r="J3356"/>
      <c r="K3356"/>
      <c r="L3356"/>
    </row>
    <row r="3357" spans="2:12" x14ac:dyDescent="0.2">
      <c r="B3357"/>
      <c r="C3357"/>
      <c r="J3357"/>
      <c r="K3357"/>
      <c r="L3357"/>
    </row>
    <row r="3358" spans="2:12" x14ac:dyDescent="0.2">
      <c r="B3358"/>
      <c r="C3358"/>
      <c r="J3358"/>
      <c r="K3358"/>
      <c r="L3358"/>
    </row>
    <row r="3359" spans="2:12" x14ac:dyDescent="0.2">
      <c r="B3359"/>
      <c r="C3359"/>
      <c r="J3359"/>
      <c r="K3359"/>
      <c r="L3359"/>
    </row>
    <row r="3360" spans="2:12" x14ac:dyDescent="0.2">
      <c r="B3360"/>
      <c r="C3360"/>
      <c r="J3360"/>
      <c r="K3360"/>
      <c r="L3360"/>
    </row>
    <row r="3361" spans="2:12" x14ac:dyDescent="0.2">
      <c r="B3361"/>
      <c r="C3361"/>
      <c r="J3361"/>
      <c r="K3361"/>
      <c r="L3361"/>
    </row>
    <row r="3362" spans="2:12" x14ac:dyDescent="0.2">
      <c r="B3362"/>
      <c r="C3362"/>
      <c r="J3362"/>
      <c r="K3362"/>
      <c r="L3362"/>
    </row>
    <row r="3363" spans="2:12" x14ac:dyDescent="0.2">
      <c r="B3363"/>
      <c r="C3363"/>
      <c r="J3363"/>
      <c r="K3363"/>
      <c r="L3363"/>
    </row>
    <row r="3364" spans="2:12" x14ac:dyDescent="0.2">
      <c r="B3364"/>
      <c r="C3364"/>
      <c r="J3364"/>
      <c r="K3364"/>
      <c r="L3364"/>
    </row>
    <row r="3365" spans="2:12" x14ac:dyDescent="0.2">
      <c r="B3365"/>
      <c r="C3365"/>
      <c r="J3365"/>
      <c r="K3365"/>
      <c r="L3365"/>
    </row>
    <row r="3366" spans="2:12" x14ac:dyDescent="0.2">
      <c r="B3366"/>
      <c r="C3366"/>
      <c r="J3366"/>
      <c r="K3366"/>
      <c r="L3366"/>
    </row>
    <row r="3367" spans="2:12" x14ac:dyDescent="0.2">
      <c r="B3367"/>
      <c r="C3367"/>
      <c r="J3367"/>
      <c r="K3367"/>
      <c r="L3367"/>
    </row>
    <row r="3368" spans="2:12" x14ac:dyDescent="0.2">
      <c r="B3368"/>
      <c r="C3368"/>
      <c r="J3368"/>
      <c r="K3368"/>
      <c r="L3368"/>
    </row>
    <row r="3369" spans="2:12" x14ac:dyDescent="0.2">
      <c r="B3369"/>
      <c r="C3369"/>
      <c r="J3369"/>
      <c r="K3369"/>
      <c r="L3369"/>
    </row>
    <row r="3370" spans="2:12" x14ac:dyDescent="0.2">
      <c r="B3370"/>
      <c r="C3370"/>
      <c r="J3370"/>
      <c r="K3370"/>
      <c r="L3370"/>
    </row>
    <row r="3371" spans="2:12" x14ac:dyDescent="0.2">
      <c r="B3371"/>
      <c r="C3371"/>
      <c r="J3371"/>
      <c r="K3371"/>
      <c r="L3371"/>
    </row>
    <row r="3372" spans="2:12" x14ac:dyDescent="0.2">
      <c r="B3372"/>
      <c r="C3372"/>
      <c r="J3372"/>
      <c r="K3372"/>
      <c r="L3372"/>
    </row>
    <row r="3373" spans="2:12" x14ac:dyDescent="0.2">
      <c r="B3373"/>
      <c r="C3373"/>
      <c r="J3373"/>
      <c r="K3373"/>
      <c r="L3373"/>
    </row>
    <row r="3374" spans="2:12" x14ac:dyDescent="0.2">
      <c r="B3374"/>
      <c r="C3374"/>
      <c r="J3374"/>
      <c r="K3374"/>
      <c r="L3374"/>
    </row>
    <row r="3375" spans="2:12" x14ac:dyDescent="0.2">
      <c r="B3375"/>
      <c r="C3375"/>
      <c r="J3375"/>
      <c r="K3375"/>
      <c r="L3375"/>
    </row>
    <row r="3376" spans="2:12" x14ac:dyDescent="0.2">
      <c r="B3376"/>
      <c r="C3376"/>
      <c r="J3376"/>
      <c r="K3376"/>
      <c r="L3376"/>
    </row>
    <row r="3377" spans="2:12" x14ac:dyDescent="0.2">
      <c r="B3377"/>
      <c r="C3377"/>
      <c r="J3377"/>
      <c r="K3377"/>
      <c r="L3377"/>
    </row>
    <row r="3378" spans="2:12" x14ac:dyDescent="0.2">
      <c r="B3378"/>
      <c r="C3378"/>
      <c r="J3378"/>
      <c r="K3378"/>
      <c r="L3378"/>
    </row>
    <row r="3379" spans="2:12" x14ac:dyDescent="0.2">
      <c r="B3379"/>
      <c r="C3379"/>
      <c r="J3379"/>
      <c r="K3379"/>
      <c r="L3379"/>
    </row>
    <row r="3380" spans="2:12" x14ac:dyDescent="0.2">
      <c r="B3380"/>
      <c r="C3380"/>
      <c r="J3380"/>
      <c r="K3380"/>
      <c r="L3380"/>
    </row>
    <row r="3381" spans="2:12" x14ac:dyDescent="0.2">
      <c r="B3381"/>
      <c r="C3381"/>
      <c r="J3381"/>
      <c r="K3381"/>
      <c r="L3381"/>
    </row>
    <row r="3382" spans="2:12" x14ac:dyDescent="0.2">
      <c r="B3382"/>
      <c r="C3382"/>
      <c r="J3382"/>
      <c r="K3382"/>
      <c r="L3382"/>
    </row>
    <row r="3383" spans="2:12" x14ac:dyDescent="0.2">
      <c r="B3383"/>
      <c r="C3383"/>
      <c r="J3383"/>
      <c r="K3383"/>
      <c r="L3383"/>
    </row>
    <row r="3384" spans="2:12" x14ac:dyDescent="0.2">
      <c r="B3384"/>
      <c r="C3384"/>
      <c r="J3384"/>
      <c r="K3384"/>
      <c r="L3384"/>
    </row>
    <row r="3385" spans="2:12" x14ac:dyDescent="0.2">
      <c r="B3385"/>
      <c r="C3385"/>
      <c r="J3385"/>
      <c r="K3385"/>
      <c r="L3385"/>
    </row>
    <row r="3386" spans="2:12" x14ac:dyDescent="0.2">
      <c r="B3386"/>
      <c r="C3386"/>
      <c r="J3386"/>
      <c r="K3386"/>
      <c r="L3386"/>
    </row>
    <row r="3387" spans="2:12" x14ac:dyDescent="0.2">
      <c r="B3387"/>
      <c r="C3387"/>
      <c r="J3387"/>
      <c r="K3387"/>
      <c r="L3387"/>
    </row>
    <row r="3388" spans="2:12" x14ac:dyDescent="0.2">
      <c r="B3388"/>
      <c r="C3388"/>
      <c r="J3388"/>
      <c r="K3388"/>
      <c r="L3388"/>
    </row>
    <row r="3389" spans="2:12" x14ac:dyDescent="0.2">
      <c r="B3389"/>
      <c r="C3389"/>
      <c r="J3389"/>
      <c r="K3389"/>
      <c r="L3389"/>
    </row>
    <row r="3390" spans="2:12" x14ac:dyDescent="0.2">
      <c r="B3390"/>
      <c r="C3390"/>
      <c r="J3390"/>
      <c r="K3390"/>
      <c r="L3390"/>
    </row>
    <row r="3391" spans="2:12" x14ac:dyDescent="0.2">
      <c r="B3391"/>
      <c r="C3391"/>
      <c r="J3391"/>
      <c r="K3391"/>
      <c r="L3391"/>
    </row>
    <row r="3392" spans="2:12" x14ac:dyDescent="0.2">
      <c r="B3392"/>
      <c r="C3392"/>
      <c r="J3392"/>
      <c r="K3392"/>
      <c r="L3392"/>
    </row>
    <row r="3393" spans="2:12" x14ac:dyDescent="0.2">
      <c r="B3393"/>
      <c r="C3393"/>
      <c r="J3393"/>
      <c r="K3393"/>
      <c r="L3393"/>
    </row>
    <row r="3394" spans="2:12" x14ac:dyDescent="0.2">
      <c r="B3394"/>
      <c r="C3394"/>
      <c r="J3394"/>
      <c r="K3394"/>
      <c r="L3394"/>
    </row>
    <row r="3395" spans="2:12" x14ac:dyDescent="0.2">
      <c r="B3395"/>
      <c r="C3395"/>
      <c r="J3395"/>
      <c r="K3395"/>
      <c r="L3395"/>
    </row>
    <row r="3396" spans="2:12" x14ac:dyDescent="0.2">
      <c r="B3396"/>
      <c r="C3396"/>
      <c r="J3396"/>
      <c r="K3396"/>
      <c r="L3396"/>
    </row>
    <row r="3397" spans="2:12" x14ac:dyDescent="0.2">
      <c r="B3397"/>
      <c r="C3397"/>
      <c r="J3397"/>
      <c r="K3397"/>
      <c r="L3397"/>
    </row>
    <row r="3398" spans="2:12" x14ac:dyDescent="0.2">
      <c r="B3398"/>
      <c r="C3398"/>
      <c r="J3398"/>
      <c r="K3398"/>
      <c r="L3398"/>
    </row>
    <row r="3399" spans="2:12" x14ac:dyDescent="0.2">
      <c r="B3399"/>
      <c r="C3399"/>
      <c r="J3399"/>
      <c r="K3399"/>
      <c r="L3399"/>
    </row>
    <row r="3400" spans="2:12" x14ac:dyDescent="0.2">
      <c r="B3400"/>
      <c r="C3400"/>
      <c r="J3400"/>
      <c r="K3400"/>
      <c r="L3400"/>
    </row>
    <row r="3401" spans="2:12" x14ac:dyDescent="0.2">
      <c r="B3401"/>
      <c r="C3401"/>
      <c r="J3401"/>
      <c r="K3401"/>
      <c r="L3401"/>
    </row>
    <row r="3402" spans="2:12" x14ac:dyDescent="0.2">
      <c r="B3402"/>
      <c r="C3402"/>
      <c r="J3402"/>
      <c r="K3402"/>
      <c r="L3402"/>
    </row>
    <row r="3403" spans="2:12" x14ac:dyDescent="0.2">
      <c r="B3403"/>
      <c r="C3403"/>
      <c r="J3403"/>
      <c r="K3403"/>
      <c r="L3403"/>
    </row>
    <row r="3404" spans="2:12" x14ac:dyDescent="0.2">
      <c r="B3404"/>
      <c r="C3404"/>
      <c r="J3404"/>
      <c r="K3404"/>
      <c r="L3404"/>
    </row>
    <row r="3405" spans="2:12" x14ac:dyDescent="0.2">
      <c r="B3405"/>
      <c r="C3405"/>
      <c r="J3405"/>
      <c r="K3405"/>
      <c r="L3405"/>
    </row>
    <row r="3406" spans="2:12" x14ac:dyDescent="0.2">
      <c r="B3406"/>
      <c r="C3406"/>
      <c r="J3406"/>
      <c r="K3406"/>
      <c r="L3406"/>
    </row>
    <row r="3407" spans="2:12" x14ac:dyDescent="0.2">
      <c r="B3407"/>
      <c r="C3407"/>
      <c r="J3407"/>
      <c r="K3407"/>
      <c r="L3407"/>
    </row>
    <row r="3408" spans="2:12" x14ac:dyDescent="0.2">
      <c r="B3408"/>
      <c r="C3408"/>
      <c r="J3408"/>
      <c r="K3408"/>
      <c r="L3408"/>
    </row>
    <row r="3409" spans="2:12" x14ac:dyDescent="0.2">
      <c r="B3409"/>
      <c r="C3409"/>
      <c r="J3409"/>
      <c r="K3409"/>
      <c r="L3409"/>
    </row>
    <row r="3410" spans="2:12" x14ac:dyDescent="0.2">
      <c r="B3410"/>
      <c r="C3410"/>
      <c r="J3410"/>
      <c r="K3410"/>
      <c r="L3410"/>
    </row>
    <row r="3411" spans="2:12" x14ac:dyDescent="0.2">
      <c r="B3411"/>
      <c r="C3411"/>
      <c r="J3411"/>
      <c r="K3411"/>
      <c r="L3411"/>
    </row>
    <row r="3412" spans="2:12" x14ac:dyDescent="0.2">
      <c r="B3412"/>
      <c r="C3412"/>
      <c r="J3412"/>
      <c r="K3412"/>
      <c r="L3412"/>
    </row>
    <row r="3413" spans="2:12" x14ac:dyDescent="0.2">
      <c r="B3413"/>
      <c r="C3413"/>
      <c r="J3413"/>
      <c r="K3413"/>
      <c r="L3413"/>
    </row>
    <row r="3414" spans="2:12" x14ac:dyDescent="0.2">
      <c r="B3414"/>
      <c r="C3414"/>
      <c r="J3414"/>
      <c r="K3414"/>
      <c r="L3414"/>
    </row>
    <row r="3415" spans="2:12" x14ac:dyDescent="0.2">
      <c r="B3415"/>
      <c r="C3415"/>
      <c r="J3415"/>
      <c r="K3415"/>
      <c r="L3415"/>
    </row>
    <row r="3416" spans="2:12" x14ac:dyDescent="0.2">
      <c r="B3416"/>
      <c r="C3416"/>
      <c r="J3416"/>
      <c r="K3416"/>
      <c r="L3416"/>
    </row>
    <row r="3417" spans="2:12" x14ac:dyDescent="0.2">
      <c r="B3417"/>
      <c r="C3417"/>
      <c r="J3417"/>
      <c r="K3417"/>
      <c r="L3417"/>
    </row>
    <row r="3418" spans="2:12" x14ac:dyDescent="0.2">
      <c r="B3418"/>
      <c r="C3418"/>
      <c r="J3418"/>
      <c r="K3418"/>
      <c r="L3418"/>
    </row>
    <row r="3419" spans="2:12" x14ac:dyDescent="0.2">
      <c r="B3419"/>
      <c r="C3419"/>
      <c r="J3419"/>
      <c r="K3419"/>
      <c r="L3419"/>
    </row>
    <row r="3420" spans="2:12" x14ac:dyDescent="0.2">
      <c r="B3420"/>
      <c r="C3420"/>
      <c r="J3420"/>
      <c r="K3420"/>
      <c r="L3420"/>
    </row>
    <row r="3421" spans="2:12" x14ac:dyDescent="0.2">
      <c r="B3421"/>
      <c r="C3421"/>
      <c r="J3421"/>
      <c r="K3421"/>
      <c r="L3421"/>
    </row>
    <row r="3422" spans="2:12" x14ac:dyDescent="0.2">
      <c r="B3422"/>
      <c r="C3422"/>
      <c r="J3422"/>
      <c r="K3422"/>
      <c r="L3422"/>
    </row>
    <row r="3423" spans="2:12" x14ac:dyDescent="0.2">
      <c r="B3423"/>
      <c r="C3423"/>
      <c r="J3423"/>
      <c r="K3423"/>
      <c r="L3423"/>
    </row>
    <row r="3424" spans="2:12" x14ac:dyDescent="0.2">
      <c r="B3424"/>
      <c r="C3424"/>
      <c r="J3424"/>
      <c r="K3424"/>
      <c r="L3424"/>
    </row>
    <row r="3425" spans="2:12" x14ac:dyDescent="0.2">
      <c r="B3425"/>
      <c r="C3425"/>
      <c r="J3425"/>
      <c r="K3425"/>
      <c r="L3425"/>
    </row>
    <row r="3426" spans="2:12" x14ac:dyDescent="0.2">
      <c r="B3426"/>
      <c r="C3426"/>
      <c r="J3426"/>
      <c r="K3426"/>
      <c r="L3426"/>
    </row>
    <row r="3427" spans="2:12" x14ac:dyDescent="0.2">
      <c r="B3427"/>
      <c r="C3427"/>
      <c r="J3427"/>
      <c r="K3427"/>
      <c r="L3427"/>
    </row>
    <row r="3428" spans="2:12" x14ac:dyDescent="0.2">
      <c r="B3428"/>
      <c r="C3428"/>
      <c r="J3428"/>
      <c r="K3428"/>
      <c r="L3428"/>
    </row>
    <row r="3429" spans="2:12" x14ac:dyDescent="0.2">
      <c r="B3429"/>
      <c r="C3429"/>
      <c r="J3429"/>
      <c r="K3429"/>
      <c r="L3429"/>
    </row>
    <row r="3430" spans="2:12" x14ac:dyDescent="0.2">
      <c r="B3430"/>
      <c r="C3430"/>
      <c r="J3430"/>
      <c r="K3430"/>
      <c r="L3430"/>
    </row>
    <row r="3431" spans="2:12" x14ac:dyDescent="0.2">
      <c r="B3431"/>
      <c r="C3431"/>
      <c r="J3431"/>
      <c r="K3431"/>
      <c r="L3431"/>
    </row>
    <row r="3432" spans="2:12" x14ac:dyDescent="0.2">
      <c r="B3432"/>
      <c r="C3432"/>
      <c r="J3432"/>
      <c r="K3432"/>
      <c r="L3432"/>
    </row>
    <row r="3433" spans="2:12" x14ac:dyDescent="0.2">
      <c r="B3433"/>
      <c r="C3433"/>
      <c r="J3433"/>
      <c r="K3433"/>
      <c r="L3433"/>
    </row>
    <row r="3434" spans="2:12" x14ac:dyDescent="0.2">
      <c r="B3434"/>
      <c r="C3434"/>
      <c r="J3434"/>
      <c r="K3434"/>
      <c r="L3434"/>
    </row>
    <row r="3435" spans="2:12" x14ac:dyDescent="0.2">
      <c r="B3435"/>
      <c r="C3435"/>
      <c r="J3435"/>
      <c r="K3435"/>
      <c r="L3435"/>
    </row>
    <row r="3436" spans="2:12" x14ac:dyDescent="0.2">
      <c r="B3436"/>
      <c r="C3436"/>
      <c r="J3436"/>
      <c r="K3436"/>
      <c r="L3436"/>
    </row>
    <row r="3437" spans="2:12" x14ac:dyDescent="0.2">
      <c r="B3437"/>
      <c r="C3437"/>
      <c r="J3437"/>
      <c r="K3437"/>
      <c r="L3437"/>
    </row>
    <row r="3438" spans="2:12" x14ac:dyDescent="0.2">
      <c r="B3438"/>
      <c r="C3438"/>
      <c r="J3438"/>
      <c r="K3438"/>
      <c r="L3438"/>
    </row>
    <row r="3439" spans="2:12" x14ac:dyDescent="0.2">
      <c r="B3439"/>
      <c r="C3439"/>
      <c r="J3439"/>
      <c r="K3439"/>
      <c r="L3439"/>
    </row>
    <row r="3440" spans="2:12" x14ac:dyDescent="0.2">
      <c r="B3440"/>
      <c r="C3440"/>
      <c r="J3440"/>
      <c r="K3440"/>
      <c r="L3440"/>
    </row>
    <row r="3441" spans="2:12" x14ac:dyDescent="0.2">
      <c r="B3441"/>
      <c r="C3441"/>
      <c r="J3441"/>
      <c r="K3441"/>
      <c r="L3441"/>
    </row>
    <row r="3442" spans="2:12" x14ac:dyDescent="0.2">
      <c r="B3442"/>
      <c r="C3442"/>
      <c r="J3442"/>
      <c r="K3442"/>
      <c r="L3442"/>
    </row>
    <row r="3443" spans="2:12" x14ac:dyDescent="0.2">
      <c r="B3443"/>
      <c r="C3443"/>
      <c r="J3443"/>
      <c r="K3443"/>
      <c r="L3443"/>
    </row>
    <row r="3444" spans="2:12" x14ac:dyDescent="0.2">
      <c r="B3444"/>
      <c r="C3444"/>
      <c r="J3444"/>
      <c r="K3444"/>
      <c r="L3444"/>
    </row>
    <row r="3445" spans="2:12" x14ac:dyDescent="0.2">
      <c r="B3445"/>
      <c r="C3445"/>
      <c r="J3445"/>
      <c r="K3445"/>
      <c r="L3445"/>
    </row>
    <row r="3446" spans="2:12" x14ac:dyDescent="0.2">
      <c r="B3446"/>
      <c r="C3446"/>
      <c r="J3446"/>
      <c r="K3446"/>
      <c r="L3446"/>
    </row>
    <row r="3447" spans="2:12" x14ac:dyDescent="0.2">
      <c r="B3447"/>
      <c r="C3447"/>
      <c r="J3447"/>
      <c r="K3447"/>
      <c r="L3447"/>
    </row>
    <row r="3448" spans="2:12" x14ac:dyDescent="0.2">
      <c r="B3448"/>
      <c r="C3448"/>
      <c r="J3448"/>
      <c r="K3448"/>
      <c r="L3448"/>
    </row>
    <row r="3449" spans="2:12" x14ac:dyDescent="0.2">
      <c r="B3449"/>
      <c r="C3449"/>
      <c r="J3449"/>
      <c r="K3449"/>
      <c r="L3449"/>
    </row>
    <row r="3450" spans="2:12" x14ac:dyDescent="0.2">
      <c r="B3450"/>
      <c r="C3450"/>
      <c r="J3450"/>
      <c r="K3450"/>
      <c r="L3450"/>
    </row>
    <row r="3451" spans="2:12" x14ac:dyDescent="0.2">
      <c r="B3451"/>
      <c r="C3451"/>
      <c r="J3451"/>
      <c r="K3451"/>
      <c r="L3451"/>
    </row>
    <row r="3452" spans="2:12" x14ac:dyDescent="0.2">
      <c r="B3452"/>
      <c r="C3452"/>
      <c r="J3452"/>
      <c r="K3452"/>
      <c r="L3452"/>
    </row>
    <row r="3453" spans="2:12" x14ac:dyDescent="0.2">
      <c r="B3453"/>
      <c r="C3453"/>
      <c r="J3453"/>
      <c r="K3453"/>
      <c r="L3453"/>
    </row>
    <row r="3454" spans="2:12" x14ac:dyDescent="0.2">
      <c r="B3454"/>
      <c r="C3454"/>
      <c r="J3454"/>
      <c r="K3454"/>
      <c r="L3454"/>
    </row>
    <row r="3455" spans="2:12" x14ac:dyDescent="0.2">
      <c r="B3455"/>
      <c r="C3455"/>
      <c r="J3455"/>
      <c r="K3455"/>
      <c r="L3455"/>
    </row>
    <row r="3456" spans="2:12" x14ac:dyDescent="0.2">
      <c r="B3456"/>
      <c r="C3456"/>
      <c r="J3456"/>
      <c r="K3456"/>
      <c r="L3456"/>
    </row>
    <row r="3457" spans="2:12" x14ac:dyDescent="0.2">
      <c r="B3457"/>
      <c r="C3457"/>
      <c r="J3457"/>
      <c r="K3457"/>
      <c r="L3457"/>
    </row>
    <row r="3458" spans="2:12" x14ac:dyDescent="0.2">
      <c r="B3458"/>
      <c r="C3458"/>
      <c r="J3458"/>
      <c r="K3458"/>
      <c r="L3458"/>
    </row>
    <row r="3459" spans="2:12" x14ac:dyDescent="0.2">
      <c r="B3459"/>
      <c r="C3459"/>
      <c r="J3459"/>
      <c r="K3459"/>
      <c r="L3459"/>
    </row>
    <row r="3460" spans="2:12" x14ac:dyDescent="0.2">
      <c r="B3460"/>
      <c r="C3460"/>
      <c r="J3460"/>
      <c r="K3460"/>
      <c r="L3460"/>
    </row>
    <row r="3461" spans="2:12" x14ac:dyDescent="0.2">
      <c r="B3461"/>
      <c r="C3461"/>
      <c r="J3461"/>
      <c r="K3461"/>
      <c r="L3461"/>
    </row>
    <row r="3462" spans="2:12" x14ac:dyDescent="0.2">
      <c r="B3462"/>
      <c r="C3462"/>
      <c r="J3462"/>
      <c r="K3462"/>
      <c r="L3462"/>
    </row>
    <row r="3463" spans="2:12" x14ac:dyDescent="0.2">
      <c r="B3463"/>
      <c r="C3463"/>
      <c r="J3463"/>
      <c r="K3463"/>
      <c r="L3463"/>
    </row>
    <row r="3464" spans="2:12" x14ac:dyDescent="0.2">
      <c r="B3464"/>
      <c r="C3464"/>
      <c r="J3464"/>
      <c r="K3464"/>
      <c r="L3464"/>
    </row>
    <row r="3465" spans="2:12" x14ac:dyDescent="0.2">
      <c r="B3465"/>
      <c r="C3465"/>
      <c r="J3465"/>
      <c r="K3465"/>
      <c r="L3465"/>
    </row>
    <row r="3466" spans="2:12" x14ac:dyDescent="0.2">
      <c r="B3466"/>
      <c r="C3466"/>
      <c r="J3466"/>
      <c r="K3466"/>
      <c r="L3466"/>
    </row>
    <row r="3467" spans="2:12" x14ac:dyDescent="0.2">
      <c r="B3467"/>
      <c r="C3467"/>
      <c r="J3467"/>
      <c r="K3467"/>
      <c r="L3467"/>
    </row>
    <row r="3468" spans="2:12" x14ac:dyDescent="0.2">
      <c r="B3468"/>
      <c r="C3468"/>
      <c r="J3468"/>
      <c r="K3468"/>
      <c r="L3468"/>
    </row>
    <row r="3469" spans="2:12" x14ac:dyDescent="0.2">
      <c r="B3469"/>
      <c r="C3469"/>
      <c r="J3469"/>
      <c r="K3469"/>
      <c r="L3469"/>
    </row>
    <row r="3470" spans="2:12" x14ac:dyDescent="0.2">
      <c r="B3470"/>
      <c r="C3470"/>
      <c r="J3470"/>
      <c r="K3470"/>
      <c r="L3470"/>
    </row>
    <row r="3471" spans="2:12" x14ac:dyDescent="0.2">
      <c r="B3471"/>
      <c r="C3471"/>
      <c r="J3471"/>
      <c r="K3471"/>
      <c r="L3471"/>
    </row>
    <row r="3472" spans="2:12" x14ac:dyDescent="0.2">
      <c r="B3472"/>
      <c r="C3472"/>
      <c r="J3472"/>
      <c r="K3472"/>
      <c r="L3472"/>
    </row>
    <row r="3473" spans="2:12" x14ac:dyDescent="0.2">
      <c r="B3473"/>
      <c r="C3473"/>
      <c r="J3473"/>
      <c r="K3473"/>
      <c r="L3473"/>
    </row>
    <row r="3474" spans="2:12" x14ac:dyDescent="0.2">
      <c r="B3474"/>
      <c r="C3474"/>
      <c r="J3474"/>
      <c r="K3474"/>
      <c r="L3474"/>
    </row>
    <row r="3475" spans="2:12" x14ac:dyDescent="0.2">
      <c r="B3475"/>
      <c r="C3475"/>
      <c r="J3475"/>
      <c r="K3475"/>
      <c r="L3475"/>
    </row>
    <row r="3476" spans="2:12" x14ac:dyDescent="0.2">
      <c r="B3476"/>
      <c r="C3476"/>
      <c r="J3476"/>
      <c r="K3476"/>
      <c r="L3476"/>
    </row>
    <row r="3477" spans="2:12" x14ac:dyDescent="0.2">
      <c r="B3477"/>
      <c r="C3477"/>
      <c r="J3477"/>
      <c r="K3477"/>
      <c r="L3477"/>
    </row>
    <row r="3478" spans="2:12" x14ac:dyDescent="0.2">
      <c r="B3478"/>
      <c r="C3478"/>
      <c r="J3478"/>
      <c r="K3478"/>
      <c r="L3478"/>
    </row>
    <row r="3479" spans="2:12" x14ac:dyDescent="0.2">
      <c r="B3479"/>
      <c r="C3479"/>
      <c r="J3479"/>
      <c r="K3479"/>
      <c r="L3479"/>
    </row>
    <row r="3480" spans="2:12" x14ac:dyDescent="0.2">
      <c r="B3480"/>
      <c r="C3480"/>
      <c r="J3480"/>
      <c r="K3480"/>
      <c r="L3480"/>
    </row>
    <row r="3481" spans="2:12" x14ac:dyDescent="0.2">
      <c r="B3481"/>
      <c r="C3481"/>
      <c r="J3481"/>
      <c r="K3481"/>
      <c r="L3481"/>
    </row>
    <row r="3482" spans="2:12" x14ac:dyDescent="0.2">
      <c r="B3482"/>
      <c r="C3482"/>
      <c r="J3482"/>
      <c r="K3482"/>
      <c r="L3482"/>
    </row>
    <row r="3483" spans="2:12" x14ac:dyDescent="0.2">
      <c r="B3483"/>
      <c r="C3483"/>
      <c r="J3483"/>
      <c r="K3483"/>
      <c r="L3483"/>
    </row>
    <row r="3484" spans="2:12" x14ac:dyDescent="0.2">
      <c r="B3484"/>
      <c r="C3484"/>
      <c r="J3484"/>
      <c r="K3484"/>
      <c r="L3484"/>
    </row>
    <row r="3485" spans="2:12" x14ac:dyDescent="0.2">
      <c r="B3485"/>
      <c r="C3485"/>
      <c r="J3485"/>
      <c r="K3485"/>
      <c r="L3485"/>
    </row>
    <row r="3486" spans="2:12" x14ac:dyDescent="0.2">
      <c r="B3486"/>
      <c r="C3486"/>
      <c r="J3486"/>
      <c r="K3486"/>
      <c r="L3486"/>
    </row>
    <row r="3487" spans="2:12" x14ac:dyDescent="0.2">
      <c r="B3487"/>
      <c r="C3487"/>
      <c r="J3487"/>
      <c r="K3487"/>
      <c r="L3487"/>
    </row>
    <row r="3488" spans="2:12" x14ac:dyDescent="0.2">
      <c r="B3488"/>
      <c r="C3488"/>
      <c r="J3488"/>
      <c r="K3488"/>
      <c r="L3488"/>
    </row>
    <row r="3489" spans="2:12" x14ac:dyDescent="0.2">
      <c r="B3489"/>
      <c r="C3489"/>
      <c r="J3489"/>
      <c r="K3489"/>
      <c r="L3489"/>
    </row>
    <row r="3490" spans="2:12" x14ac:dyDescent="0.2">
      <c r="B3490"/>
      <c r="C3490"/>
      <c r="J3490"/>
      <c r="K3490"/>
      <c r="L3490"/>
    </row>
    <row r="3491" spans="2:12" x14ac:dyDescent="0.2">
      <c r="B3491"/>
      <c r="C3491"/>
      <c r="J3491"/>
      <c r="K3491"/>
      <c r="L3491"/>
    </row>
    <row r="3492" spans="2:12" x14ac:dyDescent="0.2">
      <c r="B3492"/>
      <c r="C3492"/>
      <c r="J3492"/>
      <c r="K3492"/>
      <c r="L3492"/>
    </row>
    <row r="3493" spans="2:12" x14ac:dyDescent="0.2">
      <c r="B3493"/>
      <c r="C3493"/>
      <c r="J3493"/>
      <c r="K3493"/>
      <c r="L3493"/>
    </row>
    <row r="3494" spans="2:12" x14ac:dyDescent="0.2">
      <c r="B3494"/>
      <c r="C3494"/>
      <c r="J3494"/>
      <c r="K3494"/>
      <c r="L3494"/>
    </row>
    <row r="3495" spans="2:12" x14ac:dyDescent="0.2">
      <c r="B3495"/>
      <c r="C3495"/>
      <c r="J3495"/>
      <c r="K3495"/>
      <c r="L3495"/>
    </row>
    <row r="3496" spans="2:12" x14ac:dyDescent="0.2">
      <c r="B3496"/>
      <c r="C3496"/>
      <c r="J3496"/>
      <c r="K3496"/>
      <c r="L3496"/>
    </row>
    <row r="3497" spans="2:12" x14ac:dyDescent="0.2">
      <c r="B3497"/>
      <c r="C3497"/>
      <c r="J3497"/>
      <c r="K3497"/>
      <c r="L3497"/>
    </row>
    <row r="3498" spans="2:12" x14ac:dyDescent="0.2">
      <c r="B3498"/>
      <c r="C3498"/>
      <c r="J3498"/>
      <c r="K3498"/>
      <c r="L3498"/>
    </row>
    <row r="3499" spans="2:12" x14ac:dyDescent="0.2">
      <c r="B3499"/>
      <c r="C3499"/>
      <c r="J3499"/>
      <c r="K3499"/>
      <c r="L3499"/>
    </row>
    <row r="3500" spans="2:12" x14ac:dyDescent="0.2">
      <c r="B3500"/>
      <c r="C3500"/>
      <c r="J3500"/>
      <c r="K3500"/>
      <c r="L3500"/>
    </row>
    <row r="3501" spans="2:12" x14ac:dyDescent="0.2">
      <c r="B3501"/>
      <c r="C3501"/>
      <c r="J3501"/>
      <c r="K3501"/>
      <c r="L3501"/>
    </row>
    <row r="3502" spans="2:12" x14ac:dyDescent="0.2">
      <c r="B3502"/>
      <c r="C3502"/>
      <c r="J3502"/>
      <c r="K3502"/>
      <c r="L3502"/>
    </row>
    <row r="3503" spans="2:12" x14ac:dyDescent="0.2">
      <c r="B3503"/>
      <c r="C3503"/>
      <c r="J3503"/>
      <c r="K3503"/>
      <c r="L3503"/>
    </row>
    <row r="3504" spans="2:12" x14ac:dyDescent="0.2">
      <c r="B3504"/>
      <c r="C3504"/>
      <c r="J3504"/>
      <c r="K3504"/>
      <c r="L3504"/>
    </row>
    <row r="3505" spans="2:12" x14ac:dyDescent="0.2">
      <c r="B3505"/>
      <c r="C3505"/>
      <c r="J3505"/>
      <c r="K3505"/>
      <c r="L3505"/>
    </row>
    <row r="3506" spans="2:12" x14ac:dyDescent="0.2">
      <c r="B3506"/>
      <c r="C3506"/>
      <c r="J3506"/>
      <c r="K3506"/>
      <c r="L3506"/>
    </row>
    <row r="3507" spans="2:12" x14ac:dyDescent="0.2">
      <c r="B3507"/>
      <c r="C3507"/>
      <c r="J3507"/>
      <c r="K3507"/>
      <c r="L3507"/>
    </row>
    <row r="3508" spans="2:12" x14ac:dyDescent="0.2">
      <c r="B3508"/>
      <c r="C3508"/>
      <c r="J3508"/>
      <c r="K3508"/>
      <c r="L3508"/>
    </row>
    <row r="3509" spans="2:12" x14ac:dyDescent="0.2">
      <c r="B3509"/>
      <c r="C3509"/>
      <c r="J3509"/>
      <c r="K3509"/>
      <c r="L3509"/>
    </row>
    <row r="3510" spans="2:12" x14ac:dyDescent="0.2">
      <c r="B3510"/>
      <c r="C3510"/>
      <c r="J3510"/>
      <c r="K3510"/>
      <c r="L3510"/>
    </row>
    <row r="3511" spans="2:12" x14ac:dyDescent="0.2">
      <c r="B3511"/>
      <c r="C3511"/>
      <c r="J3511"/>
      <c r="K3511"/>
      <c r="L3511"/>
    </row>
    <row r="3512" spans="2:12" x14ac:dyDescent="0.2">
      <c r="B3512"/>
      <c r="C3512"/>
      <c r="J3512"/>
      <c r="K3512"/>
      <c r="L3512"/>
    </row>
    <row r="3513" spans="2:12" x14ac:dyDescent="0.2">
      <c r="B3513"/>
      <c r="C3513"/>
      <c r="J3513"/>
      <c r="K3513"/>
      <c r="L3513"/>
    </row>
    <row r="3514" spans="2:12" x14ac:dyDescent="0.2">
      <c r="B3514"/>
      <c r="C3514"/>
      <c r="J3514"/>
      <c r="K3514"/>
      <c r="L3514"/>
    </row>
    <row r="3515" spans="2:12" x14ac:dyDescent="0.2">
      <c r="B3515"/>
      <c r="C3515"/>
      <c r="J3515"/>
      <c r="K3515"/>
      <c r="L3515"/>
    </row>
    <row r="3516" spans="2:12" x14ac:dyDescent="0.2">
      <c r="B3516"/>
      <c r="C3516"/>
      <c r="J3516"/>
      <c r="K3516"/>
      <c r="L3516"/>
    </row>
    <row r="3517" spans="2:12" x14ac:dyDescent="0.2">
      <c r="B3517"/>
      <c r="C3517"/>
      <c r="J3517"/>
      <c r="K3517"/>
      <c r="L3517"/>
    </row>
    <row r="3518" spans="2:12" x14ac:dyDescent="0.2">
      <c r="B3518"/>
      <c r="C3518"/>
      <c r="J3518"/>
      <c r="K3518"/>
      <c r="L3518"/>
    </row>
    <row r="3519" spans="2:12" x14ac:dyDescent="0.2">
      <c r="B3519"/>
      <c r="C3519"/>
      <c r="J3519"/>
      <c r="K3519"/>
      <c r="L3519"/>
    </row>
    <row r="3520" spans="2:12" x14ac:dyDescent="0.2">
      <c r="B3520"/>
      <c r="C3520"/>
      <c r="J3520"/>
      <c r="K3520"/>
      <c r="L3520"/>
    </row>
    <row r="3521" spans="2:12" x14ac:dyDescent="0.2">
      <c r="B3521"/>
      <c r="C3521"/>
      <c r="J3521"/>
      <c r="K3521"/>
      <c r="L3521"/>
    </row>
    <row r="3522" spans="2:12" x14ac:dyDescent="0.2">
      <c r="B3522"/>
      <c r="C3522"/>
      <c r="J3522"/>
      <c r="K3522"/>
      <c r="L3522"/>
    </row>
    <row r="3523" spans="2:12" x14ac:dyDescent="0.2">
      <c r="B3523"/>
      <c r="C3523"/>
      <c r="J3523"/>
      <c r="K3523"/>
      <c r="L3523"/>
    </row>
    <row r="3524" spans="2:12" x14ac:dyDescent="0.2">
      <c r="B3524"/>
      <c r="C3524"/>
      <c r="J3524"/>
      <c r="K3524"/>
      <c r="L3524"/>
    </row>
    <row r="3525" spans="2:12" x14ac:dyDescent="0.2">
      <c r="B3525"/>
      <c r="C3525"/>
      <c r="J3525"/>
      <c r="K3525"/>
      <c r="L3525"/>
    </row>
    <row r="3526" spans="2:12" x14ac:dyDescent="0.2">
      <c r="B3526"/>
      <c r="C3526"/>
      <c r="J3526"/>
      <c r="K3526"/>
      <c r="L3526"/>
    </row>
    <row r="3527" spans="2:12" x14ac:dyDescent="0.2">
      <c r="B3527"/>
      <c r="C3527"/>
      <c r="J3527"/>
      <c r="K3527"/>
      <c r="L3527"/>
    </row>
    <row r="3528" spans="2:12" x14ac:dyDescent="0.2">
      <c r="B3528"/>
      <c r="C3528"/>
      <c r="J3528"/>
      <c r="K3528"/>
      <c r="L3528"/>
    </row>
    <row r="3529" spans="2:12" x14ac:dyDescent="0.2">
      <c r="B3529"/>
      <c r="C3529"/>
      <c r="J3529"/>
      <c r="K3529"/>
      <c r="L3529"/>
    </row>
    <row r="3530" spans="2:12" x14ac:dyDescent="0.2">
      <c r="B3530"/>
      <c r="C3530"/>
      <c r="J3530"/>
      <c r="K3530"/>
      <c r="L3530"/>
    </row>
    <row r="3531" spans="2:12" x14ac:dyDescent="0.2">
      <c r="B3531"/>
      <c r="C3531"/>
      <c r="J3531"/>
      <c r="K3531"/>
      <c r="L3531"/>
    </row>
    <row r="3532" spans="2:12" x14ac:dyDescent="0.2">
      <c r="B3532"/>
      <c r="C3532"/>
      <c r="J3532"/>
      <c r="K3532"/>
      <c r="L3532"/>
    </row>
    <row r="3533" spans="2:12" x14ac:dyDescent="0.2">
      <c r="B3533"/>
      <c r="C3533"/>
      <c r="J3533"/>
      <c r="K3533"/>
      <c r="L3533"/>
    </row>
    <row r="3534" spans="2:12" x14ac:dyDescent="0.2">
      <c r="B3534"/>
      <c r="C3534"/>
      <c r="J3534"/>
      <c r="K3534"/>
      <c r="L3534"/>
    </row>
    <row r="3535" spans="2:12" x14ac:dyDescent="0.2">
      <c r="B3535"/>
      <c r="C3535"/>
      <c r="J3535"/>
      <c r="K3535"/>
      <c r="L3535"/>
    </row>
    <row r="3536" spans="2:12" x14ac:dyDescent="0.2">
      <c r="B3536"/>
      <c r="C3536"/>
      <c r="J3536"/>
      <c r="K3536"/>
      <c r="L3536"/>
    </row>
    <row r="3537" spans="2:12" x14ac:dyDescent="0.2">
      <c r="B3537"/>
      <c r="C3537"/>
      <c r="J3537"/>
      <c r="K3537"/>
      <c r="L3537"/>
    </row>
    <row r="3538" spans="2:12" x14ac:dyDescent="0.2">
      <c r="B3538"/>
      <c r="C3538"/>
      <c r="J3538"/>
      <c r="K3538"/>
      <c r="L3538"/>
    </row>
    <row r="3539" spans="2:12" x14ac:dyDescent="0.2">
      <c r="B3539"/>
      <c r="C3539"/>
      <c r="J3539"/>
      <c r="K3539"/>
      <c r="L3539"/>
    </row>
    <row r="3540" spans="2:12" x14ac:dyDescent="0.2">
      <c r="B3540"/>
      <c r="C3540"/>
      <c r="J3540"/>
      <c r="K3540"/>
      <c r="L3540"/>
    </row>
    <row r="3541" spans="2:12" x14ac:dyDescent="0.2">
      <c r="B3541"/>
      <c r="C3541"/>
      <c r="J3541"/>
      <c r="K3541"/>
      <c r="L3541"/>
    </row>
    <row r="3542" spans="2:12" x14ac:dyDescent="0.2">
      <c r="B3542"/>
      <c r="C3542"/>
      <c r="J3542"/>
      <c r="K3542"/>
      <c r="L3542"/>
    </row>
    <row r="3543" spans="2:12" x14ac:dyDescent="0.2">
      <c r="B3543"/>
      <c r="C3543"/>
      <c r="J3543"/>
      <c r="K3543"/>
      <c r="L3543"/>
    </row>
    <row r="3544" spans="2:12" x14ac:dyDescent="0.2">
      <c r="B3544"/>
      <c r="C3544"/>
      <c r="J3544"/>
      <c r="K3544"/>
      <c r="L3544"/>
    </row>
    <row r="3545" spans="2:12" x14ac:dyDescent="0.2">
      <c r="B3545"/>
      <c r="C3545"/>
      <c r="J3545"/>
      <c r="K3545"/>
      <c r="L3545"/>
    </row>
    <row r="3546" spans="2:12" x14ac:dyDescent="0.2">
      <c r="B3546"/>
      <c r="C3546"/>
      <c r="J3546"/>
      <c r="K3546"/>
      <c r="L3546"/>
    </row>
    <row r="3547" spans="2:12" x14ac:dyDescent="0.2">
      <c r="B3547"/>
      <c r="C3547"/>
      <c r="J3547"/>
      <c r="K3547"/>
      <c r="L3547"/>
    </row>
    <row r="3548" spans="2:12" x14ac:dyDescent="0.2">
      <c r="B3548"/>
      <c r="C3548"/>
      <c r="J3548"/>
      <c r="K3548"/>
      <c r="L3548"/>
    </row>
    <row r="3549" spans="2:12" x14ac:dyDescent="0.2">
      <c r="B3549"/>
      <c r="C3549"/>
      <c r="J3549"/>
      <c r="K3549"/>
      <c r="L3549"/>
    </row>
    <row r="3550" spans="2:12" x14ac:dyDescent="0.2">
      <c r="B3550"/>
      <c r="C3550"/>
      <c r="J3550"/>
      <c r="K3550"/>
      <c r="L3550"/>
    </row>
    <row r="3551" spans="2:12" x14ac:dyDescent="0.2">
      <c r="B3551"/>
      <c r="C3551"/>
      <c r="J3551"/>
      <c r="K3551"/>
      <c r="L3551"/>
    </row>
    <row r="3552" spans="2:12" x14ac:dyDescent="0.2">
      <c r="B3552"/>
      <c r="C3552"/>
      <c r="J3552"/>
      <c r="K3552"/>
      <c r="L3552"/>
    </row>
    <row r="3553" spans="2:12" x14ac:dyDescent="0.2">
      <c r="B3553"/>
      <c r="C3553"/>
      <c r="J3553"/>
      <c r="K3553"/>
      <c r="L3553"/>
    </row>
    <row r="3554" spans="2:12" x14ac:dyDescent="0.2">
      <c r="B3554"/>
      <c r="C3554"/>
      <c r="J3554"/>
      <c r="K3554"/>
      <c r="L3554"/>
    </row>
    <row r="3555" spans="2:12" x14ac:dyDescent="0.2">
      <c r="B3555"/>
      <c r="C3555"/>
      <c r="J3555"/>
      <c r="K3555"/>
      <c r="L3555"/>
    </row>
    <row r="3556" spans="2:12" x14ac:dyDescent="0.2">
      <c r="B3556"/>
      <c r="C3556"/>
      <c r="J3556"/>
      <c r="K3556"/>
      <c r="L3556"/>
    </row>
    <row r="3557" spans="2:12" x14ac:dyDescent="0.2">
      <c r="B3557"/>
      <c r="C3557"/>
      <c r="J3557"/>
      <c r="K3557"/>
      <c r="L3557"/>
    </row>
    <row r="3558" spans="2:12" x14ac:dyDescent="0.2">
      <c r="B3558"/>
      <c r="C3558"/>
      <c r="J3558"/>
      <c r="K3558"/>
      <c r="L3558"/>
    </row>
    <row r="3559" spans="2:12" x14ac:dyDescent="0.2">
      <c r="B3559"/>
      <c r="C3559"/>
      <c r="J3559"/>
      <c r="K3559"/>
      <c r="L3559"/>
    </row>
    <row r="3560" spans="2:12" x14ac:dyDescent="0.2">
      <c r="B3560"/>
      <c r="C3560"/>
      <c r="J3560"/>
      <c r="K3560"/>
      <c r="L3560"/>
    </row>
    <row r="3561" spans="2:12" x14ac:dyDescent="0.2">
      <c r="B3561"/>
      <c r="C3561"/>
      <c r="J3561"/>
      <c r="K3561"/>
      <c r="L3561"/>
    </row>
    <row r="3562" spans="2:12" x14ac:dyDescent="0.2">
      <c r="B3562"/>
      <c r="C3562"/>
      <c r="J3562"/>
      <c r="K3562"/>
      <c r="L3562"/>
    </row>
    <row r="3563" spans="2:12" x14ac:dyDescent="0.2">
      <c r="B3563"/>
      <c r="C3563"/>
      <c r="J3563"/>
      <c r="K3563"/>
      <c r="L3563"/>
    </row>
    <row r="3564" spans="2:12" x14ac:dyDescent="0.2">
      <c r="B3564"/>
      <c r="C3564"/>
      <c r="J3564"/>
      <c r="K3564"/>
      <c r="L3564"/>
    </row>
    <row r="3565" spans="2:12" x14ac:dyDescent="0.2">
      <c r="B3565"/>
      <c r="C3565"/>
      <c r="J3565"/>
      <c r="K3565"/>
      <c r="L3565"/>
    </row>
    <row r="3566" spans="2:12" x14ac:dyDescent="0.2">
      <c r="B3566"/>
      <c r="C3566"/>
      <c r="J3566"/>
      <c r="K3566"/>
      <c r="L3566"/>
    </row>
    <row r="3567" spans="2:12" x14ac:dyDescent="0.2">
      <c r="B3567"/>
      <c r="C3567"/>
      <c r="J3567"/>
      <c r="K3567"/>
      <c r="L3567"/>
    </row>
    <row r="3568" spans="2:12" x14ac:dyDescent="0.2">
      <c r="B3568"/>
      <c r="C3568"/>
      <c r="J3568"/>
      <c r="K3568"/>
      <c r="L3568"/>
    </row>
    <row r="3569" spans="2:12" x14ac:dyDescent="0.2">
      <c r="B3569"/>
      <c r="C3569"/>
      <c r="J3569"/>
      <c r="K3569"/>
      <c r="L3569"/>
    </row>
    <row r="3570" spans="2:12" x14ac:dyDescent="0.2">
      <c r="B3570"/>
      <c r="C3570"/>
      <c r="J3570"/>
      <c r="K3570"/>
      <c r="L3570"/>
    </row>
    <row r="3571" spans="2:12" x14ac:dyDescent="0.2">
      <c r="B3571"/>
      <c r="C3571"/>
      <c r="J3571"/>
      <c r="K3571"/>
      <c r="L3571"/>
    </row>
    <row r="3572" spans="2:12" x14ac:dyDescent="0.2">
      <c r="B3572"/>
      <c r="C3572"/>
      <c r="J3572"/>
      <c r="K3572"/>
      <c r="L3572"/>
    </row>
    <row r="3573" spans="2:12" x14ac:dyDescent="0.2">
      <c r="B3573"/>
      <c r="C3573"/>
      <c r="J3573"/>
      <c r="K3573"/>
      <c r="L3573"/>
    </row>
    <row r="3574" spans="2:12" x14ac:dyDescent="0.2">
      <c r="B3574"/>
      <c r="C3574"/>
      <c r="J3574"/>
      <c r="K3574"/>
      <c r="L3574"/>
    </row>
    <row r="3575" spans="2:12" x14ac:dyDescent="0.2">
      <c r="B3575"/>
      <c r="C3575"/>
      <c r="J3575"/>
      <c r="K3575"/>
      <c r="L3575"/>
    </row>
    <row r="3576" spans="2:12" x14ac:dyDescent="0.2">
      <c r="B3576"/>
      <c r="C3576"/>
      <c r="J3576"/>
      <c r="K3576"/>
      <c r="L3576"/>
    </row>
    <row r="3577" spans="2:12" x14ac:dyDescent="0.2">
      <c r="B3577"/>
      <c r="C3577"/>
      <c r="J3577"/>
      <c r="K3577"/>
      <c r="L3577"/>
    </row>
    <row r="3578" spans="2:12" x14ac:dyDescent="0.2">
      <c r="B3578"/>
      <c r="C3578"/>
      <c r="J3578"/>
      <c r="K3578"/>
      <c r="L3578"/>
    </row>
    <row r="3579" spans="2:12" x14ac:dyDescent="0.2">
      <c r="B3579"/>
      <c r="C3579"/>
      <c r="J3579"/>
      <c r="K3579"/>
      <c r="L3579"/>
    </row>
    <row r="3580" spans="2:12" x14ac:dyDescent="0.2">
      <c r="B3580"/>
      <c r="C3580"/>
      <c r="J3580"/>
      <c r="K3580"/>
      <c r="L3580"/>
    </row>
    <row r="3581" spans="2:12" x14ac:dyDescent="0.2">
      <c r="B3581"/>
      <c r="C3581"/>
      <c r="J3581"/>
      <c r="K3581"/>
      <c r="L3581"/>
    </row>
    <row r="3582" spans="2:12" x14ac:dyDescent="0.2">
      <c r="B3582"/>
      <c r="C3582"/>
      <c r="J3582"/>
      <c r="K3582"/>
      <c r="L3582"/>
    </row>
    <row r="3583" spans="2:12" x14ac:dyDescent="0.2">
      <c r="B3583"/>
      <c r="C3583"/>
      <c r="J3583"/>
      <c r="K3583"/>
      <c r="L3583"/>
    </row>
    <row r="3584" spans="2:12" x14ac:dyDescent="0.2">
      <c r="B3584"/>
      <c r="C3584"/>
      <c r="J3584"/>
      <c r="K3584"/>
      <c r="L3584"/>
    </row>
    <row r="3585" spans="2:12" x14ac:dyDescent="0.2">
      <c r="B3585"/>
      <c r="C3585"/>
      <c r="J3585"/>
      <c r="K3585"/>
      <c r="L3585"/>
    </row>
    <row r="3586" spans="2:12" x14ac:dyDescent="0.2">
      <c r="B3586"/>
      <c r="C3586"/>
      <c r="J3586"/>
      <c r="K3586"/>
      <c r="L3586"/>
    </row>
    <row r="3587" spans="2:12" x14ac:dyDescent="0.2">
      <c r="B3587"/>
      <c r="C3587"/>
      <c r="J3587"/>
      <c r="K3587"/>
      <c r="L3587"/>
    </row>
    <row r="3588" spans="2:12" x14ac:dyDescent="0.2">
      <c r="B3588"/>
      <c r="C3588"/>
      <c r="J3588"/>
      <c r="K3588"/>
      <c r="L3588"/>
    </row>
    <row r="3589" spans="2:12" x14ac:dyDescent="0.2">
      <c r="B3589"/>
      <c r="C3589"/>
      <c r="J3589"/>
      <c r="K3589"/>
      <c r="L3589"/>
    </row>
    <row r="3590" spans="2:12" x14ac:dyDescent="0.2">
      <c r="B3590"/>
      <c r="C3590"/>
      <c r="J3590"/>
      <c r="K3590"/>
      <c r="L3590"/>
    </row>
    <row r="3591" spans="2:12" x14ac:dyDescent="0.2">
      <c r="B3591"/>
      <c r="C3591"/>
      <c r="J3591"/>
      <c r="K3591"/>
      <c r="L3591"/>
    </row>
    <row r="3592" spans="2:12" x14ac:dyDescent="0.2">
      <c r="B3592"/>
      <c r="C3592"/>
      <c r="J3592"/>
      <c r="K3592"/>
      <c r="L3592"/>
    </row>
    <row r="3593" spans="2:12" x14ac:dyDescent="0.2">
      <c r="B3593"/>
      <c r="C3593"/>
      <c r="J3593"/>
      <c r="K3593"/>
      <c r="L3593"/>
    </row>
    <row r="3594" spans="2:12" x14ac:dyDescent="0.2">
      <c r="B3594"/>
      <c r="C3594"/>
      <c r="J3594"/>
      <c r="K3594"/>
      <c r="L3594"/>
    </row>
    <row r="3595" spans="2:12" x14ac:dyDescent="0.2">
      <c r="B3595"/>
      <c r="C3595"/>
      <c r="J3595"/>
      <c r="K3595"/>
      <c r="L3595"/>
    </row>
    <row r="3596" spans="2:12" x14ac:dyDescent="0.2">
      <c r="B3596"/>
      <c r="C3596"/>
      <c r="J3596"/>
      <c r="K3596"/>
      <c r="L3596"/>
    </row>
    <row r="3597" spans="2:12" x14ac:dyDescent="0.2">
      <c r="B3597"/>
      <c r="C3597"/>
      <c r="J3597"/>
      <c r="K3597"/>
      <c r="L3597"/>
    </row>
    <row r="3598" spans="2:12" x14ac:dyDescent="0.2">
      <c r="B3598"/>
      <c r="C3598"/>
      <c r="J3598"/>
      <c r="K3598"/>
      <c r="L3598"/>
    </row>
    <row r="3599" spans="2:12" x14ac:dyDescent="0.2">
      <c r="B3599"/>
      <c r="C3599"/>
      <c r="J3599"/>
      <c r="K3599"/>
      <c r="L3599"/>
    </row>
    <row r="3600" spans="2:12" x14ac:dyDescent="0.2">
      <c r="B3600"/>
      <c r="C3600"/>
      <c r="J3600"/>
      <c r="K3600"/>
      <c r="L3600"/>
    </row>
    <row r="3601" spans="2:12" x14ac:dyDescent="0.2">
      <c r="B3601"/>
      <c r="C3601"/>
      <c r="J3601"/>
      <c r="K3601"/>
      <c r="L3601"/>
    </row>
    <row r="3602" spans="2:12" x14ac:dyDescent="0.2">
      <c r="B3602"/>
      <c r="C3602"/>
      <c r="J3602"/>
      <c r="K3602"/>
      <c r="L3602"/>
    </row>
    <row r="3603" spans="2:12" x14ac:dyDescent="0.2">
      <c r="B3603"/>
      <c r="C3603"/>
      <c r="J3603"/>
      <c r="K3603"/>
      <c r="L3603"/>
    </row>
    <row r="3604" spans="2:12" x14ac:dyDescent="0.2">
      <c r="B3604"/>
      <c r="C3604"/>
      <c r="J3604"/>
      <c r="K3604"/>
      <c r="L3604"/>
    </row>
    <row r="3605" spans="2:12" x14ac:dyDescent="0.2">
      <c r="B3605"/>
      <c r="C3605"/>
      <c r="J3605"/>
      <c r="K3605"/>
      <c r="L3605"/>
    </row>
    <row r="3606" spans="2:12" x14ac:dyDescent="0.2">
      <c r="B3606"/>
      <c r="C3606"/>
      <c r="J3606"/>
      <c r="K3606"/>
      <c r="L3606"/>
    </row>
    <row r="3607" spans="2:12" x14ac:dyDescent="0.2">
      <c r="B3607"/>
      <c r="C3607"/>
      <c r="J3607"/>
      <c r="K3607"/>
      <c r="L3607"/>
    </row>
    <row r="3608" spans="2:12" x14ac:dyDescent="0.2">
      <c r="B3608"/>
      <c r="C3608"/>
      <c r="J3608"/>
      <c r="K3608"/>
      <c r="L3608"/>
    </row>
    <row r="3609" spans="2:12" x14ac:dyDescent="0.2">
      <c r="B3609"/>
      <c r="C3609"/>
      <c r="J3609"/>
      <c r="K3609"/>
      <c r="L3609"/>
    </row>
    <row r="3610" spans="2:12" x14ac:dyDescent="0.2">
      <c r="B3610"/>
      <c r="C3610"/>
      <c r="J3610"/>
      <c r="K3610"/>
      <c r="L3610"/>
    </row>
    <row r="3611" spans="2:12" x14ac:dyDescent="0.2">
      <c r="B3611"/>
      <c r="C3611"/>
      <c r="J3611"/>
      <c r="K3611"/>
      <c r="L3611"/>
    </row>
    <row r="3612" spans="2:12" x14ac:dyDescent="0.2">
      <c r="B3612"/>
      <c r="C3612"/>
      <c r="J3612"/>
      <c r="K3612"/>
      <c r="L3612"/>
    </row>
    <row r="3613" spans="2:12" x14ac:dyDescent="0.2">
      <c r="B3613"/>
      <c r="C3613"/>
      <c r="J3613"/>
      <c r="K3613"/>
      <c r="L3613"/>
    </row>
    <row r="3614" spans="2:12" x14ac:dyDescent="0.2">
      <c r="B3614"/>
      <c r="C3614"/>
      <c r="J3614"/>
      <c r="K3614"/>
      <c r="L3614"/>
    </row>
    <row r="3615" spans="2:12" x14ac:dyDescent="0.2">
      <c r="B3615"/>
      <c r="C3615"/>
      <c r="J3615"/>
      <c r="K3615"/>
      <c r="L3615"/>
    </row>
    <row r="3616" spans="2:12" x14ac:dyDescent="0.2">
      <c r="B3616"/>
      <c r="C3616"/>
      <c r="J3616"/>
      <c r="K3616"/>
      <c r="L3616"/>
    </row>
    <row r="3617" spans="2:12" x14ac:dyDescent="0.2">
      <c r="B3617"/>
      <c r="C3617"/>
      <c r="J3617"/>
      <c r="K3617"/>
      <c r="L3617"/>
    </row>
    <row r="3618" spans="2:12" x14ac:dyDescent="0.2">
      <c r="B3618"/>
      <c r="C3618"/>
      <c r="J3618"/>
      <c r="K3618"/>
      <c r="L3618"/>
    </row>
    <row r="3619" spans="2:12" x14ac:dyDescent="0.2">
      <c r="B3619"/>
      <c r="C3619"/>
      <c r="J3619"/>
      <c r="K3619"/>
      <c r="L3619"/>
    </row>
    <row r="3620" spans="2:12" x14ac:dyDescent="0.2">
      <c r="B3620"/>
      <c r="C3620"/>
      <c r="J3620"/>
      <c r="K3620"/>
      <c r="L3620"/>
    </row>
    <row r="3621" spans="2:12" x14ac:dyDescent="0.2">
      <c r="B3621"/>
      <c r="C3621"/>
      <c r="J3621"/>
      <c r="K3621"/>
      <c r="L3621"/>
    </row>
    <row r="3622" spans="2:12" x14ac:dyDescent="0.2">
      <c r="B3622"/>
      <c r="C3622"/>
      <c r="J3622"/>
      <c r="K3622"/>
      <c r="L3622"/>
    </row>
    <row r="3623" spans="2:12" x14ac:dyDescent="0.2">
      <c r="B3623"/>
      <c r="C3623"/>
      <c r="J3623"/>
      <c r="K3623"/>
      <c r="L3623"/>
    </row>
    <row r="3624" spans="2:12" x14ac:dyDescent="0.2">
      <c r="B3624"/>
      <c r="C3624"/>
      <c r="J3624"/>
      <c r="K3624"/>
      <c r="L3624"/>
    </row>
    <row r="3625" spans="2:12" x14ac:dyDescent="0.2">
      <c r="B3625"/>
      <c r="C3625"/>
      <c r="J3625"/>
      <c r="K3625"/>
      <c r="L3625"/>
    </row>
    <row r="3626" spans="2:12" x14ac:dyDescent="0.2">
      <c r="B3626"/>
      <c r="C3626"/>
      <c r="J3626"/>
      <c r="K3626"/>
      <c r="L3626"/>
    </row>
    <row r="3627" spans="2:12" x14ac:dyDescent="0.2">
      <c r="B3627"/>
      <c r="C3627"/>
      <c r="J3627"/>
      <c r="K3627"/>
      <c r="L3627"/>
    </row>
    <row r="3628" spans="2:12" x14ac:dyDescent="0.2">
      <c r="B3628"/>
      <c r="C3628"/>
      <c r="J3628"/>
      <c r="K3628"/>
      <c r="L3628"/>
    </row>
    <row r="3629" spans="2:12" x14ac:dyDescent="0.2">
      <c r="B3629"/>
      <c r="C3629"/>
      <c r="J3629"/>
      <c r="K3629"/>
      <c r="L3629"/>
    </row>
    <row r="3630" spans="2:12" x14ac:dyDescent="0.2">
      <c r="B3630"/>
      <c r="C3630"/>
      <c r="J3630"/>
      <c r="K3630"/>
      <c r="L3630"/>
    </row>
    <row r="3631" spans="2:12" x14ac:dyDescent="0.2">
      <c r="B3631"/>
      <c r="C3631"/>
      <c r="J3631"/>
      <c r="K3631"/>
      <c r="L3631"/>
    </row>
    <row r="3632" spans="2:12" x14ac:dyDescent="0.2">
      <c r="B3632"/>
      <c r="C3632"/>
      <c r="J3632"/>
      <c r="K3632"/>
      <c r="L3632"/>
    </row>
    <row r="3633" spans="2:12" x14ac:dyDescent="0.2">
      <c r="B3633"/>
      <c r="C3633"/>
      <c r="J3633"/>
      <c r="K3633"/>
      <c r="L3633"/>
    </row>
    <row r="3634" spans="2:12" x14ac:dyDescent="0.2">
      <c r="B3634"/>
      <c r="C3634"/>
      <c r="J3634"/>
      <c r="K3634"/>
      <c r="L3634"/>
    </row>
    <row r="3635" spans="2:12" x14ac:dyDescent="0.2">
      <c r="B3635"/>
      <c r="C3635"/>
      <c r="J3635"/>
      <c r="K3635"/>
      <c r="L3635"/>
    </row>
    <row r="3636" spans="2:12" x14ac:dyDescent="0.2">
      <c r="B3636"/>
      <c r="C3636"/>
      <c r="J3636"/>
      <c r="K3636"/>
      <c r="L3636"/>
    </row>
    <row r="3637" spans="2:12" x14ac:dyDescent="0.2">
      <c r="B3637"/>
      <c r="C3637"/>
      <c r="J3637"/>
      <c r="K3637"/>
      <c r="L3637"/>
    </row>
    <row r="3638" spans="2:12" x14ac:dyDescent="0.2">
      <c r="B3638"/>
      <c r="C3638"/>
      <c r="J3638"/>
      <c r="K3638"/>
      <c r="L3638"/>
    </row>
    <row r="3639" spans="2:12" x14ac:dyDescent="0.2">
      <c r="B3639"/>
      <c r="C3639"/>
      <c r="J3639"/>
      <c r="K3639"/>
      <c r="L3639"/>
    </row>
    <row r="3640" spans="2:12" x14ac:dyDescent="0.2">
      <c r="B3640"/>
      <c r="C3640"/>
      <c r="J3640"/>
      <c r="K3640"/>
      <c r="L3640"/>
    </row>
    <row r="3641" spans="2:12" x14ac:dyDescent="0.2">
      <c r="B3641"/>
      <c r="C3641"/>
      <c r="J3641"/>
      <c r="K3641"/>
      <c r="L3641"/>
    </row>
    <row r="3642" spans="2:12" x14ac:dyDescent="0.2">
      <c r="B3642"/>
      <c r="C3642"/>
      <c r="J3642"/>
      <c r="K3642"/>
      <c r="L3642"/>
    </row>
    <row r="3643" spans="2:12" x14ac:dyDescent="0.2">
      <c r="B3643"/>
      <c r="C3643"/>
      <c r="J3643"/>
      <c r="K3643"/>
      <c r="L3643"/>
    </row>
    <row r="3644" spans="2:12" x14ac:dyDescent="0.2">
      <c r="B3644"/>
      <c r="C3644"/>
      <c r="J3644"/>
      <c r="K3644"/>
      <c r="L3644"/>
    </row>
    <row r="3645" spans="2:12" x14ac:dyDescent="0.2">
      <c r="B3645"/>
      <c r="C3645"/>
      <c r="J3645"/>
      <c r="K3645"/>
      <c r="L3645"/>
    </row>
    <row r="3646" spans="2:12" x14ac:dyDescent="0.2">
      <c r="B3646"/>
      <c r="C3646"/>
      <c r="J3646"/>
      <c r="K3646"/>
      <c r="L3646"/>
    </row>
    <row r="3647" spans="2:12" x14ac:dyDescent="0.2">
      <c r="B3647"/>
      <c r="C3647"/>
      <c r="J3647"/>
      <c r="K3647"/>
      <c r="L3647"/>
    </row>
    <row r="3648" spans="2:12" x14ac:dyDescent="0.2">
      <c r="B3648"/>
      <c r="C3648"/>
      <c r="J3648"/>
      <c r="K3648"/>
      <c r="L3648"/>
    </row>
    <row r="3649" spans="2:12" x14ac:dyDescent="0.2">
      <c r="B3649"/>
      <c r="C3649"/>
      <c r="J3649"/>
      <c r="K3649"/>
      <c r="L3649"/>
    </row>
    <row r="3650" spans="2:12" x14ac:dyDescent="0.2">
      <c r="B3650"/>
      <c r="C3650"/>
      <c r="J3650"/>
      <c r="K3650"/>
      <c r="L3650"/>
    </row>
    <row r="3651" spans="2:12" x14ac:dyDescent="0.2">
      <c r="B3651"/>
      <c r="C3651"/>
      <c r="J3651"/>
      <c r="K3651"/>
      <c r="L3651"/>
    </row>
    <row r="3652" spans="2:12" x14ac:dyDescent="0.2">
      <c r="B3652"/>
      <c r="C3652"/>
      <c r="J3652"/>
      <c r="K3652"/>
      <c r="L3652"/>
    </row>
    <row r="3653" spans="2:12" x14ac:dyDescent="0.2">
      <c r="B3653"/>
      <c r="C3653"/>
      <c r="J3653"/>
      <c r="K3653"/>
      <c r="L3653"/>
    </row>
    <row r="3654" spans="2:12" x14ac:dyDescent="0.2">
      <c r="B3654"/>
      <c r="C3654"/>
      <c r="J3654"/>
      <c r="K3654"/>
      <c r="L3654"/>
    </row>
    <row r="3655" spans="2:12" x14ac:dyDescent="0.2">
      <c r="B3655"/>
      <c r="C3655"/>
      <c r="J3655"/>
      <c r="K3655"/>
      <c r="L3655"/>
    </row>
    <row r="3656" spans="2:12" x14ac:dyDescent="0.2">
      <c r="B3656"/>
      <c r="C3656"/>
      <c r="J3656"/>
      <c r="K3656"/>
      <c r="L3656"/>
    </row>
    <row r="3657" spans="2:12" x14ac:dyDescent="0.2">
      <c r="B3657"/>
      <c r="C3657"/>
      <c r="J3657"/>
      <c r="K3657"/>
      <c r="L3657"/>
    </row>
    <row r="3658" spans="2:12" x14ac:dyDescent="0.2">
      <c r="B3658"/>
      <c r="C3658"/>
      <c r="J3658"/>
      <c r="K3658"/>
      <c r="L3658"/>
    </row>
    <row r="3659" spans="2:12" x14ac:dyDescent="0.2">
      <c r="B3659"/>
      <c r="C3659"/>
      <c r="J3659"/>
      <c r="K3659"/>
      <c r="L3659"/>
    </row>
    <row r="3660" spans="2:12" x14ac:dyDescent="0.2">
      <c r="B3660"/>
      <c r="C3660"/>
      <c r="J3660"/>
      <c r="K3660"/>
      <c r="L3660"/>
    </row>
    <row r="3661" spans="2:12" x14ac:dyDescent="0.2">
      <c r="B3661"/>
      <c r="C3661"/>
      <c r="J3661"/>
      <c r="K3661"/>
      <c r="L3661"/>
    </row>
    <row r="3662" spans="2:12" x14ac:dyDescent="0.2">
      <c r="B3662"/>
      <c r="C3662"/>
      <c r="J3662"/>
      <c r="K3662"/>
      <c r="L3662"/>
    </row>
    <row r="3663" spans="2:12" x14ac:dyDescent="0.2">
      <c r="B3663"/>
      <c r="C3663"/>
      <c r="J3663"/>
      <c r="K3663"/>
      <c r="L3663"/>
    </row>
    <row r="3664" spans="2:12" x14ac:dyDescent="0.2">
      <c r="B3664"/>
      <c r="C3664"/>
      <c r="J3664"/>
      <c r="K3664"/>
      <c r="L3664"/>
    </row>
    <row r="3665" spans="2:12" x14ac:dyDescent="0.2">
      <c r="B3665"/>
      <c r="C3665"/>
      <c r="J3665"/>
      <c r="K3665"/>
      <c r="L3665"/>
    </row>
    <row r="3666" spans="2:12" x14ac:dyDescent="0.2">
      <c r="B3666"/>
      <c r="C3666"/>
      <c r="J3666"/>
      <c r="K3666"/>
      <c r="L3666"/>
    </row>
    <row r="3667" spans="2:12" x14ac:dyDescent="0.2">
      <c r="B3667"/>
      <c r="C3667"/>
      <c r="J3667"/>
      <c r="K3667"/>
      <c r="L3667"/>
    </row>
    <row r="3668" spans="2:12" x14ac:dyDescent="0.2">
      <c r="B3668"/>
      <c r="C3668"/>
      <c r="J3668"/>
      <c r="K3668"/>
      <c r="L3668"/>
    </row>
    <row r="3669" spans="2:12" x14ac:dyDescent="0.2">
      <c r="B3669"/>
      <c r="C3669"/>
      <c r="J3669"/>
      <c r="K3669"/>
      <c r="L3669"/>
    </row>
    <row r="3670" spans="2:12" x14ac:dyDescent="0.2">
      <c r="B3670"/>
      <c r="C3670"/>
      <c r="J3670"/>
      <c r="K3670"/>
      <c r="L3670"/>
    </row>
    <row r="3671" spans="2:12" x14ac:dyDescent="0.2">
      <c r="B3671"/>
      <c r="C3671"/>
      <c r="J3671"/>
      <c r="K3671"/>
      <c r="L3671"/>
    </row>
    <row r="3672" spans="2:12" x14ac:dyDescent="0.2">
      <c r="B3672"/>
      <c r="C3672"/>
      <c r="J3672"/>
      <c r="K3672"/>
      <c r="L3672"/>
    </row>
    <row r="3673" spans="2:12" x14ac:dyDescent="0.2">
      <c r="B3673"/>
      <c r="C3673"/>
      <c r="J3673"/>
      <c r="K3673"/>
      <c r="L3673"/>
    </row>
    <row r="3674" spans="2:12" x14ac:dyDescent="0.2">
      <c r="B3674"/>
      <c r="C3674"/>
      <c r="J3674"/>
      <c r="K3674"/>
      <c r="L3674"/>
    </row>
    <row r="3675" spans="2:12" x14ac:dyDescent="0.2">
      <c r="B3675"/>
      <c r="C3675"/>
      <c r="J3675"/>
      <c r="K3675"/>
      <c r="L3675"/>
    </row>
    <row r="3676" spans="2:12" x14ac:dyDescent="0.2">
      <c r="B3676"/>
      <c r="C3676"/>
      <c r="J3676"/>
      <c r="K3676"/>
      <c r="L3676"/>
    </row>
    <row r="3677" spans="2:12" x14ac:dyDescent="0.2">
      <c r="B3677"/>
      <c r="C3677"/>
      <c r="J3677"/>
      <c r="K3677"/>
      <c r="L3677"/>
    </row>
    <row r="3678" spans="2:12" x14ac:dyDescent="0.2">
      <c r="B3678"/>
      <c r="C3678"/>
      <c r="J3678"/>
      <c r="K3678"/>
      <c r="L3678"/>
    </row>
    <row r="3679" spans="2:12" x14ac:dyDescent="0.2">
      <c r="B3679"/>
      <c r="C3679"/>
      <c r="J3679"/>
      <c r="K3679"/>
      <c r="L3679"/>
    </row>
    <row r="3680" spans="2:12" x14ac:dyDescent="0.2">
      <c r="B3680"/>
      <c r="C3680"/>
      <c r="J3680"/>
      <c r="K3680"/>
      <c r="L3680"/>
    </row>
    <row r="3681" spans="2:12" x14ac:dyDescent="0.2">
      <c r="B3681"/>
      <c r="C3681"/>
      <c r="J3681"/>
      <c r="K3681"/>
      <c r="L3681"/>
    </row>
    <row r="3682" spans="2:12" x14ac:dyDescent="0.2">
      <c r="B3682"/>
      <c r="C3682"/>
      <c r="J3682"/>
      <c r="K3682"/>
      <c r="L3682"/>
    </row>
    <row r="3683" spans="2:12" x14ac:dyDescent="0.2">
      <c r="B3683"/>
      <c r="C3683"/>
      <c r="J3683"/>
      <c r="K3683"/>
      <c r="L3683"/>
    </row>
    <row r="3684" spans="2:12" x14ac:dyDescent="0.2">
      <c r="B3684"/>
      <c r="C3684"/>
      <c r="J3684"/>
      <c r="K3684"/>
      <c r="L3684"/>
    </row>
    <row r="3685" spans="2:12" x14ac:dyDescent="0.2">
      <c r="B3685"/>
      <c r="C3685"/>
      <c r="J3685"/>
      <c r="K3685"/>
      <c r="L3685"/>
    </row>
    <row r="3686" spans="2:12" x14ac:dyDescent="0.2">
      <c r="B3686"/>
      <c r="C3686"/>
      <c r="J3686"/>
      <c r="K3686"/>
      <c r="L3686"/>
    </row>
    <row r="3687" spans="2:12" x14ac:dyDescent="0.2">
      <c r="B3687"/>
      <c r="C3687"/>
      <c r="J3687"/>
      <c r="K3687"/>
      <c r="L3687"/>
    </row>
    <row r="3688" spans="2:12" x14ac:dyDescent="0.2">
      <c r="B3688"/>
      <c r="C3688"/>
      <c r="J3688"/>
      <c r="K3688"/>
      <c r="L3688"/>
    </row>
    <row r="3689" spans="2:12" x14ac:dyDescent="0.2">
      <c r="B3689"/>
      <c r="C3689"/>
      <c r="J3689"/>
      <c r="K3689"/>
      <c r="L3689"/>
    </row>
    <row r="3690" spans="2:12" x14ac:dyDescent="0.2">
      <c r="B3690"/>
      <c r="C3690"/>
      <c r="J3690"/>
      <c r="K3690"/>
      <c r="L3690"/>
    </row>
    <row r="3691" spans="2:12" x14ac:dyDescent="0.2">
      <c r="B3691"/>
      <c r="C3691"/>
      <c r="J3691"/>
      <c r="K3691"/>
      <c r="L3691"/>
    </row>
    <row r="3692" spans="2:12" x14ac:dyDescent="0.2">
      <c r="B3692"/>
      <c r="C3692"/>
      <c r="J3692"/>
      <c r="K3692"/>
      <c r="L3692"/>
    </row>
    <row r="3693" spans="2:12" x14ac:dyDescent="0.2">
      <c r="B3693"/>
      <c r="C3693"/>
      <c r="J3693"/>
      <c r="K3693"/>
      <c r="L3693"/>
    </row>
    <row r="3694" spans="2:12" x14ac:dyDescent="0.2">
      <c r="B3694"/>
      <c r="C3694"/>
      <c r="J3694"/>
      <c r="K3694"/>
      <c r="L3694"/>
    </row>
    <row r="3695" spans="2:12" x14ac:dyDescent="0.2">
      <c r="B3695"/>
      <c r="C3695"/>
      <c r="J3695"/>
      <c r="K3695"/>
      <c r="L3695"/>
    </row>
    <row r="3696" spans="2:12" x14ac:dyDescent="0.2">
      <c r="B3696"/>
      <c r="C3696"/>
      <c r="J3696"/>
      <c r="K3696"/>
      <c r="L3696"/>
    </row>
    <row r="3697" spans="2:12" x14ac:dyDescent="0.2">
      <c r="B3697"/>
      <c r="C3697"/>
      <c r="J3697"/>
      <c r="K3697"/>
      <c r="L3697"/>
    </row>
    <row r="3698" spans="2:12" x14ac:dyDescent="0.2">
      <c r="B3698"/>
      <c r="C3698"/>
      <c r="J3698"/>
      <c r="K3698"/>
      <c r="L3698"/>
    </row>
    <row r="3699" spans="2:12" x14ac:dyDescent="0.2">
      <c r="B3699"/>
      <c r="C3699"/>
      <c r="J3699"/>
      <c r="K3699"/>
      <c r="L3699"/>
    </row>
    <row r="3700" spans="2:12" x14ac:dyDescent="0.2">
      <c r="B3700"/>
      <c r="C3700"/>
      <c r="J3700"/>
      <c r="K3700"/>
      <c r="L3700"/>
    </row>
    <row r="3701" spans="2:12" x14ac:dyDescent="0.2">
      <c r="B3701"/>
      <c r="C3701"/>
      <c r="J3701"/>
      <c r="K3701"/>
      <c r="L3701"/>
    </row>
    <row r="3702" spans="2:12" x14ac:dyDescent="0.2">
      <c r="B3702"/>
      <c r="C3702"/>
      <c r="J3702"/>
      <c r="K3702"/>
      <c r="L3702"/>
    </row>
    <row r="3703" spans="2:12" x14ac:dyDescent="0.2">
      <c r="B3703"/>
      <c r="C3703"/>
      <c r="J3703"/>
      <c r="K3703"/>
      <c r="L3703"/>
    </row>
    <row r="3704" spans="2:12" x14ac:dyDescent="0.2">
      <c r="B3704"/>
      <c r="C3704"/>
      <c r="J3704"/>
      <c r="K3704"/>
      <c r="L3704"/>
    </row>
    <row r="3705" spans="2:12" x14ac:dyDescent="0.2">
      <c r="B3705"/>
      <c r="C3705"/>
      <c r="J3705"/>
      <c r="K3705"/>
      <c r="L3705"/>
    </row>
    <row r="3706" spans="2:12" x14ac:dyDescent="0.2">
      <c r="B3706"/>
      <c r="C3706"/>
      <c r="J3706"/>
      <c r="K3706"/>
      <c r="L3706"/>
    </row>
    <row r="3707" spans="2:12" x14ac:dyDescent="0.2">
      <c r="B3707"/>
      <c r="C3707"/>
      <c r="J3707"/>
      <c r="K3707"/>
      <c r="L3707"/>
    </row>
    <row r="3708" spans="2:12" x14ac:dyDescent="0.2">
      <c r="B3708"/>
      <c r="C3708"/>
      <c r="J3708"/>
      <c r="K3708"/>
      <c r="L3708"/>
    </row>
    <row r="3709" spans="2:12" x14ac:dyDescent="0.2">
      <c r="B3709"/>
      <c r="C3709"/>
      <c r="J3709"/>
      <c r="K3709"/>
      <c r="L3709"/>
    </row>
    <row r="3710" spans="2:12" x14ac:dyDescent="0.2">
      <c r="B3710"/>
      <c r="C3710"/>
      <c r="J3710"/>
      <c r="K3710"/>
      <c r="L3710"/>
    </row>
    <row r="3711" spans="2:12" x14ac:dyDescent="0.2">
      <c r="B3711"/>
      <c r="C3711"/>
      <c r="J3711"/>
      <c r="K3711"/>
      <c r="L3711"/>
    </row>
    <row r="3712" spans="2:12" x14ac:dyDescent="0.2">
      <c r="B3712"/>
      <c r="C3712"/>
      <c r="J3712"/>
      <c r="K3712"/>
      <c r="L3712"/>
    </row>
    <row r="3713" spans="2:12" x14ac:dyDescent="0.2">
      <c r="B3713"/>
      <c r="C3713"/>
      <c r="J3713"/>
      <c r="K3713"/>
      <c r="L3713"/>
    </row>
    <row r="3714" spans="2:12" x14ac:dyDescent="0.2">
      <c r="B3714"/>
      <c r="C3714"/>
      <c r="J3714"/>
      <c r="K3714"/>
      <c r="L3714"/>
    </row>
    <row r="3715" spans="2:12" x14ac:dyDescent="0.2">
      <c r="B3715"/>
      <c r="C3715"/>
      <c r="J3715"/>
      <c r="K3715"/>
      <c r="L3715"/>
    </row>
    <row r="3716" spans="2:12" x14ac:dyDescent="0.2">
      <c r="B3716"/>
      <c r="C3716"/>
      <c r="J3716"/>
      <c r="K3716"/>
      <c r="L3716"/>
    </row>
    <row r="3717" spans="2:12" x14ac:dyDescent="0.2">
      <c r="B3717"/>
      <c r="C3717"/>
      <c r="J3717"/>
      <c r="K3717"/>
      <c r="L3717"/>
    </row>
    <row r="3718" spans="2:12" x14ac:dyDescent="0.2">
      <c r="B3718"/>
      <c r="C3718"/>
      <c r="J3718"/>
      <c r="K3718"/>
      <c r="L3718"/>
    </row>
    <row r="3719" spans="2:12" x14ac:dyDescent="0.2">
      <c r="B3719"/>
      <c r="C3719"/>
      <c r="J3719"/>
      <c r="K3719"/>
      <c r="L3719"/>
    </row>
    <row r="3720" spans="2:12" x14ac:dyDescent="0.2">
      <c r="B3720"/>
      <c r="C3720"/>
      <c r="J3720"/>
      <c r="K3720"/>
      <c r="L3720"/>
    </row>
    <row r="3721" spans="2:12" x14ac:dyDescent="0.2">
      <c r="B3721"/>
      <c r="C3721"/>
      <c r="J3721"/>
      <c r="K3721"/>
      <c r="L3721"/>
    </row>
    <row r="3722" spans="2:12" x14ac:dyDescent="0.2">
      <c r="B3722"/>
      <c r="C3722"/>
      <c r="J3722"/>
      <c r="K3722"/>
      <c r="L3722"/>
    </row>
    <row r="3723" spans="2:12" x14ac:dyDescent="0.2">
      <c r="B3723"/>
      <c r="C3723"/>
      <c r="J3723"/>
      <c r="K3723"/>
      <c r="L3723"/>
    </row>
    <row r="3724" spans="2:12" x14ac:dyDescent="0.2">
      <c r="B3724"/>
      <c r="C3724"/>
      <c r="J3724"/>
      <c r="K3724"/>
      <c r="L3724"/>
    </row>
    <row r="3725" spans="2:12" x14ac:dyDescent="0.2">
      <c r="B3725"/>
      <c r="C3725"/>
      <c r="J3725"/>
      <c r="K3725"/>
      <c r="L3725"/>
    </row>
    <row r="3726" spans="2:12" x14ac:dyDescent="0.2">
      <c r="B3726"/>
      <c r="C3726"/>
      <c r="J3726"/>
      <c r="K3726"/>
      <c r="L3726"/>
    </row>
    <row r="3727" spans="2:12" x14ac:dyDescent="0.2">
      <c r="B3727"/>
      <c r="C3727"/>
      <c r="J3727"/>
      <c r="K3727"/>
      <c r="L3727"/>
    </row>
    <row r="3728" spans="2:12" x14ac:dyDescent="0.2">
      <c r="B3728"/>
      <c r="C3728"/>
      <c r="J3728"/>
      <c r="K3728"/>
      <c r="L3728"/>
    </row>
    <row r="3729" spans="2:12" x14ac:dyDescent="0.2">
      <c r="B3729"/>
      <c r="C3729"/>
      <c r="J3729"/>
      <c r="K3729"/>
      <c r="L3729"/>
    </row>
    <row r="3730" spans="2:12" x14ac:dyDescent="0.2">
      <c r="B3730"/>
      <c r="C3730"/>
      <c r="J3730"/>
      <c r="K3730"/>
      <c r="L3730"/>
    </row>
    <row r="3731" spans="2:12" x14ac:dyDescent="0.2">
      <c r="B3731"/>
      <c r="C3731"/>
      <c r="J3731"/>
      <c r="K3731"/>
      <c r="L3731"/>
    </row>
    <row r="3732" spans="2:12" x14ac:dyDescent="0.2">
      <c r="B3732"/>
      <c r="C3732"/>
      <c r="J3732"/>
      <c r="K3732"/>
      <c r="L3732"/>
    </row>
    <row r="3733" spans="2:12" x14ac:dyDescent="0.2">
      <c r="B3733"/>
      <c r="C3733"/>
      <c r="J3733"/>
      <c r="K3733"/>
      <c r="L3733"/>
    </row>
    <row r="3734" spans="2:12" x14ac:dyDescent="0.2">
      <c r="B3734"/>
      <c r="C3734"/>
      <c r="J3734"/>
      <c r="K3734"/>
      <c r="L3734"/>
    </row>
    <row r="3735" spans="2:12" x14ac:dyDescent="0.2">
      <c r="B3735"/>
      <c r="C3735"/>
      <c r="J3735"/>
      <c r="K3735"/>
      <c r="L3735"/>
    </row>
    <row r="3736" spans="2:12" x14ac:dyDescent="0.2">
      <c r="B3736"/>
      <c r="C3736"/>
      <c r="J3736"/>
      <c r="K3736"/>
      <c r="L3736"/>
    </row>
    <row r="3737" spans="2:12" x14ac:dyDescent="0.2">
      <c r="B3737"/>
      <c r="C3737"/>
      <c r="J3737"/>
      <c r="K3737"/>
      <c r="L3737"/>
    </row>
    <row r="3738" spans="2:12" x14ac:dyDescent="0.2">
      <c r="B3738"/>
      <c r="C3738"/>
      <c r="J3738"/>
      <c r="K3738"/>
      <c r="L3738"/>
    </row>
    <row r="3739" spans="2:12" x14ac:dyDescent="0.2">
      <c r="B3739"/>
      <c r="C3739"/>
      <c r="J3739"/>
      <c r="K3739"/>
      <c r="L3739"/>
    </row>
    <row r="3740" spans="2:12" x14ac:dyDescent="0.2">
      <c r="B3740"/>
      <c r="C3740"/>
      <c r="J3740"/>
      <c r="K3740"/>
      <c r="L3740"/>
    </row>
    <row r="3741" spans="2:12" x14ac:dyDescent="0.2">
      <c r="B3741"/>
      <c r="C3741"/>
      <c r="J3741"/>
      <c r="K3741"/>
      <c r="L3741"/>
    </row>
    <row r="3742" spans="2:12" x14ac:dyDescent="0.2">
      <c r="B3742"/>
      <c r="C3742"/>
      <c r="J3742"/>
      <c r="K3742"/>
      <c r="L3742"/>
    </row>
    <row r="3743" spans="2:12" x14ac:dyDescent="0.2">
      <c r="B3743"/>
      <c r="C3743"/>
      <c r="J3743"/>
      <c r="K3743"/>
      <c r="L3743"/>
    </row>
    <row r="3744" spans="2:12" x14ac:dyDescent="0.2">
      <c r="B3744"/>
      <c r="C3744"/>
      <c r="J3744"/>
      <c r="K3744"/>
      <c r="L3744"/>
    </row>
    <row r="3745" spans="2:12" x14ac:dyDescent="0.2">
      <c r="B3745"/>
      <c r="C3745"/>
      <c r="J3745"/>
      <c r="K3745"/>
      <c r="L3745"/>
    </row>
    <row r="3746" spans="2:12" x14ac:dyDescent="0.2">
      <c r="B3746"/>
      <c r="C3746"/>
      <c r="J3746"/>
      <c r="K3746"/>
      <c r="L3746"/>
    </row>
    <row r="3747" spans="2:12" x14ac:dyDescent="0.2">
      <c r="B3747"/>
      <c r="C3747"/>
      <c r="J3747"/>
      <c r="K3747"/>
      <c r="L3747"/>
    </row>
    <row r="3748" spans="2:12" x14ac:dyDescent="0.2">
      <c r="B3748"/>
      <c r="C3748"/>
      <c r="J3748"/>
      <c r="K3748"/>
      <c r="L3748"/>
    </row>
    <row r="3749" spans="2:12" x14ac:dyDescent="0.2">
      <c r="B3749"/>
      <c r="C3749"/>
      <c r="J3749"/>
      <c r="K3749"/>
      <c r="L3749"/>
    </row>
    <row r="3750" spans="2:12" x14ac:dyDescent="0.2">
      <c r="B3750"/>
      <c r="C3750"/>
      <c r="J3750"/>
      <c r="K3750"/>
      <c r="L3750"/>
    </row>
    <row r="3751" spans="2:12" x14ac:dyDescent="0.2">
      <c r="B3751"/>
      <c r="C3751"/>
      <c r="J3751"/>
      <c r="K3751"/>
      <c r="L3751"/>
    </row>
    <row r="3752" spans="2:12" x14ac:dyDescent="0.2">
      <c r="B3752"/>
      <c r="C3752"/>
      <c r="J3752"/>
      <c r="K3752"/>
      <c r="L3752"/>
    </row>
    <row r="3753" spans="2:12" x14ac:dyDescent="0.2">
      <c r="B3753"/>
      <c r="C3753"/>
      <c r="J3753"/>
      <c r="K3753"/>
      <c r="L3753"/>
    </row>
    <row r="3754" spans="2:12" x14ac:dyDescent="0.2">
      <c r="B3754"/>
      <c r="C3754"/>
      <c r="J3754"/>
      <c r="K3754"/>
      <c r="L3754"/>
    </row>
    <row r="3755" spans="2:12" x14ac:dyDescent="0.2">
      <c r="B3755"/>
      <c r="C3755"/>
      <c r="J3755"/>
      <c r="K3755"/>
      <c r="L3755"/>
    </row>
    <row r="3756" spans="2:12" x14ac:dyDescent="0.2">
      <c r="B3756"/>
      <c r="C3756"/>
      <c r="J3756"/>
      <c r="K3756"/>
      <c r="L3756"/>
    </row>
    <row r="3757" spans="2:12" x14ac:dyDescent="0.2">
      <c r="B3757"/>
      <c r="C3757"/>
      <c r="J3757"/>
      <c r="K3757"/>
      <c r="L3757"/>
    </row>
    <row r="3758" spans="2:12" x14ac:dyDescent="0.2">
      <c r="B3758"/>
      <c r="C3758"/>
      <c r="J3758"/>
      <c r="K3758"/>
      <c r="L3758"/>
    </row>
    <row r="3759" spans="2:12" x14ac:dyDescent="0.2">
      <c r="B3759"/>
      <c r="C3759"/>
      <c r="J3759"/>
      <c r="K3759"/>
      <c r="L3759"/>
    </row>
    <row r="3760" spans="2:12" x14ac:dyDescent="0.2">
      <c r="B3760"/>
      <c r="C3760"/>
      <c r="J3760"/>
      <c r="K3760"/>
      <c r="L3760"/>
    </row>
    <row r="3761" spans="2:12" x14ac:dyDescent="0.2">
      <c r="B3761"/>
      <c r="C3761"/>
      <c r="J3761"/>
      <c r="K3761"/>
      <c r="L3761"/>
    </row>
    <row r="3762" spans="2:12" x14ac:dyDescent="0.2">
      <c r="B3762"/>
      <c r="C3762"/>
      <c r="J3762"/>
      <c r="K3762"/>
      <c r="L3762"/>
    </row>
    <row r="3763" spans="2:12" x14ac:dyDescent="0.2">
      <c r="B3763"/>
      <c r="C3763"/>
      <c r="J3763"/>
      <c r="K3763"/>
      <c r="L3763"/>
    </row>
    <row r="3764" spans="2:12" x14ac:dyDescent="0.2">
      <c r="B3764"/>
      <c r="C3764"/>
      <c r="J3764"/>
      <c r="K3764"/>
      <c r="L3764"/>
    </row>
    <row r="3765" spans="2:12" x14ac:dyDescent="0.2">
      <c r="B3765"/>
      <c r="C3765"/>
      <c r="J3765"/>
      <c r="K3765"/>
      <c r="L3765"/>
    </row>
    <row r="3766" spans="2:12" x14ac:dyDescent="0.2">
      <c r="B3766"/>
      <c r="C3766"/>
      <c r="J3766"/>
      <c r="K3766"/>
      <c r="L3766"/>
    </row>
    <row r="3767" spans="2:12" x14ac:dyDescent="0.2">
      <c r="B3767"/>
      <c r="C3767"/>
      <c r="J3767"/>
      <c r="K3767"/>
      <c r="L3767"/>
    </row>
    <row r="3768" spans="2:12" x14ac:dyDescent="0.2">
      <c r="B3768"/>
      <c r="C3768"/>
      <c r="J3768"/>
      <c r="K3768"/>
      <c r="L3768"/>
    </row>
    <row r="3769" spans="2:12" x14ac:dyDescent="0.2">
      <c r="B3769"/>
      <c r="C3769"/>
      <c r="J3769"/>
      <c r="K3769"/>
      <c r="L3769"/>
    </row>
    <row r="3770" spans="2:12" x14ac:dyDescent="0.2">
      <c r="B3770"/>
      <c r="C3770"/>
      <c r="J3770"/>
      <c r="K3770"/>
      <c r="L3770"/>
    </row>
    <row r="3771" spans="2:12" x14ac:dyDescent="0.2">
      <c r="B3771"/>
      <c r="C3771"/>
      <c r="J3771"/>
      <c r="K3771"/>
      <c r="L3771"/>
    </row>
    <row r="3772" spans="2:12" x14ac:dyDescent="0.2">
      <c r="B3772"/>
      <c r="C3772"/>
      <c r="J3772"/>
      <c r="K3772"/>
      <c r="L3772"/>
    </row>
    <row r="3773" spans="2:12" x14ac:dyDescent="0.2">
      <c r="B3773"/>
      <c r="C3773"/>
      <c r="J3773"/>
      <c r="K3773"/>
      <c r="L3773"/>
    </row>
    <row r="3774" spans="2:12" x14ac:dyDescent="0.2">
      <c r="B3774"/>
      <c r="C3774"/>
      <c r="J3774"/>
      <c r="K3774"/>
      <c r="L3774"/>
    </row>
    <row r="3775" spans="2:12" x14ac:dyDescent="0.2">
      <c r="B3775"/>
      <c r="C3775"/>
      <c r="J3775"/>
      <c r="K3775"/>
      <c r="L3775"/>
    </row>
    <row r="3776" spans="2:12" x14ac:dyDescent="0.2">
      <c r="B3776"/>
      <c r="C3776"/>
      <c r="J3776"/>
      <c r="K3776"/>
      <c r="L3776"/>
    </row>
    <row r="3777" spans="2:12" x14ac:dyDescent="0.2">
      <c r="B3777"/>
      <c r="C3777"/>
      <c r="J3777"/>
      <c r="K3777"/>
      <c r="L3777"/>
    </row>
    <row r="3778" spans="2:12" x14ac:dyDescent="0.2">
      <c r="B3778"/>
      <c r="C3778"/>
      <c r="J3778"/>
      <c r="K3778"/>
      <c r="L3778"/>
    </row>
    <row r="3779" spans="2:12" x14ac:dyDescent="0.2">
      <c r="B3779"/>
      <c r="C3779"/>
      <c r="J3779"/>
      <c r="K3779"/>
      <c r="L3779"/>
    </row>
    <row r="3780" spans="2:12" x14ac:dyDescent="0.2">
      <c r="B3780"/>
      <c r="C3780"/>
      <c r="J3780"/>
      <c r="K3780"/>
      <c r="L3780"/>
    </row>
    <row r="3781" spans="2:12" x14ac:dyDescent="0.2">
      <c r="B3781"/>
      <c r="C3781"/>
      <c r="J3781"/>
      <c r="K3781"/>
      <c r="L3781"/>
    </row>
    <row r="3782" spans="2:12" x14ac:dyDescent="0.2">
      <c r="B3782"/>
      <c r="C3782"/>
      <c r="J3782"/>
      <c r="K3782"/>
      <c r="L3782"/>
    </row>
    <row r="3783" spans="2:12" x14ac:dyDescent="0.2">
      <c r="B3783"/>
      <c r="C3783"/>
      <c r="J3783"/>
      <c r="K3783"/>
      <c r="L3783"/>
    </row>
    <row r="3784" spans="2:12" x14ac:dyDescent="0.2">
      <c r="B3784"/>
      <c r="C3784"/>
      <c r="J3784"/>
      <c r="K3784"/>
      <c r="L3784"/>
    </row>
    <row r="3785" spans="2:12" x14ac:dyDescent="0.2">
      <c r="B3785"/>
      <c r="C3785"/>
      <c r="J3785"/>
      <c r="K3785"/>
      <c r="L3785"/>
    </row>
    <row r="3786" spans="2:12" x14ac:dyDescent="0.2">
      <c r="B3786"/>
      <c r="C3786"/>
      <c r="J3786"/>
      <c r="K3786"/>
      <c r="L3786"/>
    </row>
    <row r="3787" spans="2:12" x14ac:dyDescent="0.2">
      <c r="B3787"/>
      <c r="C3787"/>
      <c r="J3787"/>
      <c r="K3787"/>
      <c r="L3787"/>
    </row>
    <row r="3788" spans="2:12" x14ac:dyDescent="0.2">
      <c r="B3788"/>
      <c r="C3788"/>
      <c r="J3788"/>
      <c r="K3788"/>
      <c r="L3788"/>
    </row>
    <row r="3789" spans="2:12" x14ac:dyDescent="0.2">
      <c r="B3789"/>
      <c r="C3789"/>
      <c r="J3789"/>
      <c r="K3789"/>
      <c r="L3789"/>
    </row>
    <row r="3790" spans="2:12" x14ac:dyDescent="0.2">
      <c r="B3790"/>
      <c r="C3790"/>
      <c r="J3790"/>
      <c r="K3790"/>
      <c r="L3790"/>
    </row>
    <row r="3791" spans="2:12" x14ac:dyDescent="0.2">
      <c r="B3791"/>
      <c r="C3791"/>
      <c r="J3791"/>
      <c r="K3791"/>
      <c r="L3791"/>
    </row>
    <row r="3792" spans="2:12" x14ac:dyDescent="0.2">
      <c r="B3792"/>
      <c r="C3792"/>
      <c r="J3792"/>
      <c r="K3792"/>
      <c r="L3792"/>
    </row>
    <row r="3793" spans="2:12" x14ac:dyDescent="0.2">
      <c r="B3793"/>
      <c r="C3793"/>
      <c r="J3793"/>
      <c r="K3793"/>
      <c r="L3793"/>
    </row>
    <row r="3794" spans="2:12" x14ac:dyDescent="0.2">
      <c r="B3794"/>
      <c r="C3794"/>
      <c r="J3794"/>
      <c r="K3794"/>
      <c r="L3794"/>
    </row>
    <row r="3795" spans="2:12" x14ac:dyDescent="0.2">
      <c r="B3795"/>
      <c r="C3795"/>
      <c r="J3795"/>
      <c r="K3795"/>
      <c r="L3795"/>
    </row>
    <row r="3796" spans="2:12" x14ac:dyDescent="0.2">
      <c r="B3796"/>
      <c r="C3796"/>
      <c r="J3796"/>
      <c r="K3796"/>
      <c r="L3796"/>
    </row>
    <row r="3797" spans="2:12" x14ac:dyDescent="0.2">
      <c r="B3797"/>
      <c r="C3797"/>
      <c r="J3797"/>
      <c r="K3797"/>
      <c r="L3797"/>
    </row>
    <row r="3798" spans="2:12" x14ac:dyDescent="0.2">
      <c r="B3798"/>
      <c r="C3798"/>
      <c r="J3798"/>
      <c r="K3798"/>
      <c r="L3798"/>
    </row>
    <row r="3799" spans="2:12" x14ac:dyDescent="0.2">
      <c r="B3799"/>
      <c r="C3799"/>
      <c r="J3799"/>
      <c r="K3799"/>
      <c r="L3799"/>
    </row>
    <row r="3800" spans="2:12" x14ac:dyDescent="0.2">
      <c r="B3800"/>
      <c r="C3800"/>
      <c r="J3800"/>
      <c r="K3800"/>
      <c r="L3800"/>
    </row>
    <row r="3801" spans="2:12" x14ac:dyDescent="0.2">
      <c r="B3801"/>
      <c r="C3801"/>
      <c r="J3801"/>
      <c r="K3801"/>
      <c r="L3801"/>
    </row>
    <row r="3802" spans="2:12" x14ac:dyDescent="0.2">
      <c r="B3802"/>
      <c r="C3802"/>
      <c r="J3802"/>
      <c r="K3802"/>
      <c r="L3802"/>
    </row>
    <row r="3803" spans="2:12" x14ac:dyDescent="0.2">
      <c r="B3803"/>
      <c r="C3803"/>
      <c r="J3803"/>
      <c r="K3803"/>
      <c r="L3803"/>
    </row>
    <row r="3804" spans="2:12" x14ac:dyDescent="0.2">
      <c r="B3804"/>
      <c r="C3804"/>
      <c r="J3804"/>
      <c r="K3804"/>
      <c r="L3804"/>
    </row>
    <row r="3805" spans="2:12" x14ac:dyDescent="0.2">
      <c r="B3805"/>
      <c r="C3805"/>
      <c r="J3805"/>
      <c r="K3805"/>
      <c r="L3805"/>
    </row>
    <row r="3806" spans="2:12" x14ac:dyDescent="0.2">
      <c r="B3806"/>
      <c r="C3806"/>
      <c r="J3806"/>
      <c r="K3806"/>
      <c r="L3806"/>
    </row>
    <row r="3807" spans="2:12" x14ac:dyDescent="0.2">
      <c r="B3807"/>
      <c r="C3807"/>
      <c r="J3807"/>
      <c r="K3807"/>
      <c r="L3807"/>
    </row>
    <row r="3808" spans="2:12" x14ac:dyDescent="0.2">
      <c r="B3808"/>
      <c r="C3808"/>
      <c r="J3808"/>
      <c r="K3808"/>
      <c r="L3808"/>
    </row>
    <row r="3809" spans="2:12" x14ac:dyDescent="0.2">
      <c r="B3809"/>
      <c r="C3809"/>
      <c r="J3809"/>
      <c r="K3809"/>
      <c r="L3809"/>
    </row>
    <row r="3810" spans="2:12" x14ac:dyDescent="0.2">
      <c r="B3810"/>
      <c r="C3810"/>
      <c r="J3810"/>
      <c r="K3810"/>
      <c r="L3810"/>
    </row>
    <row r="3811" spans="2:12" x14ac:dyDescent="0.2">
      <c r="B3811"/>
      <c r="C3811"/>
      <c r="J3811"/>
      <c r="K3811"/>
      <c r="L3811"/>
    </row>
    <row r="3812" spans="2:12" x14ac:dyDescent="0.2">
      <c r="B3812"/>
      <c r="C3812"/>
      <c r="J3812"/>
      <c r="K3812"/>
      <c r="L3812"/>
    </row>
    <row r="3813" spans="2:12" x14ac:dyDescent="0.2">
      <c r="B3813"/>
      <c r="C3813"/>
      <c r="J3813"/>
      <c r="K3813"/>
      <c r="L3813"/>
    </row>
    <row r="3814" spans="2:12" x14ac:dyDescent="0.2">
      <c r="B3814"/>
      <c r="C3814"/>
      <c r="J3814"/>
      <c r="K3814"/>
      <c r="L3814"/>
    </row>
    <row r="3815" spans="2:12" x14ac:dyDescent="0.2">
      <c r="B3815"/>
      <c r="C3815"/>
      <c r="J3815"/>
      <c r="K3815"/>
      <c r="L3815"/>
    </row>
    <row r="3816" spans="2:12" x14ac:dyDescent="0.2">
      <c r="B3816"/>
      <c r="C3816"/>
      <c r="J3816"/>
      <c r="K3816"/>
      <c r="L3816"/>
    </row>
    <row r="3817" spans="2:12" x14ac:dyDescent="0.2">
      <c r="B3817"/>
      <c r="C3817"/>
      <c r="J3817"/>
      <c r="K3817"/>
      <c r="L3817"/>
    </row>
    <row r="3818" spans="2:12" x14ac:dyDescent="0.2">
      <c r="B3818"/>
      <c r="C3818"/>
      <c r="J3818"/>
      <c r="K3818"/>
      <c r="L3818"/>
    </row>
    <row r="3819" spans="2:12" x14ac:dyDescent="0.2">
      <c r="B3819"/>
      <c r="C3819"/>
      <c r="J3819"/>
      <c r="K3819"/>
      <c r="L3819"/>
    </row>
    <row r="3820" spans="2:12" x14ac:dyDescent="0.2">
      <c r="B3820"/>
      <c r="C3820"/>
      <c r="J3820"/>
      <c r="K3820"/>
      <c r="L3820"/>
    </row>
    <row r="3821" spans="2:12" x14ac:dyDescent="0.2">
      <c r="B3821"/>
      <c r="C3821"/>
      <c r="J3821"/>
      <c r="K3821"/>
      <c r="L3821"/>
    </row>
    <row r="3822" spans="2:12" x14ac:dyDescent="0.2">
      <c r="B3822"/>
      <c r="C3822"/>
      <c r="J3822"/>
      <c r="K3822"/>
      <c r="L3822"/>
    </row>
    <row r="3823" spans="2:12" x14ac:dyDescent="0.2">
      <c r="B3823"/>
      <c r="C3823"/>
      <c r="J3823"/>
      <c r="K3823"/>
      <c r="L3823"/>
    </row>
    <row r="3824" spans="2:12" x14ac:dyDescent="0.2">
      <c r="B3824"/>
      <c r="C3824"/>
      <c r="J3824"/>
      <c r="K3824"/>
      <c r="L3824"/>
    </row>
    <row r="3825" spans="2:12" x14ac:dyDescent="0.2">
      <c r="B3825"/>
      <c r="C3825"/>
      <c r="J3825"/>
      <c r="K3825"/>
      <c r="L3825"/>
    </row>
    <row r="3826" spans="2:12" x14ac:dyDescent="0.2">
      <c r="B3826"/>
      <c r="C3826"/>
      <c r="J3826"/>
      <c r="K3826"/>
      <c r="L3826"/>
    </row>
    <row r="3827" spans="2:12" x14ac:dyDescent="0.2">
      <c r="B3827"/>
      <c r="C3827"/>
      <c r="J3827"/>
      <c r="K3827"/>
      <c r="L3827"/>
    </row>
    <row r="3828" spans="2:12" x14ac:dyDescent="0.2">
      <c r="B3828"/>
      <c r="C3828"/>
      <c r="J3828"/>
      <c r="K3828"/>
      <c r="L3828"/>
    </row>
    <row r="3829" spans="2:12" x14ac:dyDescent="0.2">
      <c r="B3829"/>
      <c r="C3829"/>
      <c r="J3829"/>
      <c r="K3829"/>
      <c r="L3829"/>
    </row>
    <row r="3830" spans="2:12" x14ac:dyDescent="0.2">
      <c r="B3830"/>
      <c r="C3830"/>
      <c r="J3830"/>
      <c r="K3830"/>
      <c r="L3830"/>
    </row>
    <row r="3831" spans="2:12" x14ac:dyDescent="0.2">
      <c r="B3831"/>
      <c r="C3831"/>
      <c r="J3831"/>
      <c r="K3831"/>
      <c r="L3831"/>
    </row>
    <row r="3832" spans="2:12" x14ac:dyDescent="0.2">
      <c r="B3832"/>
      <c r="C3832"/>
      <c r="J3832"/>
      <c r="K3832"/>
      <c r="L3832"/>
    </row>
    <row r="3833" spans="2:12" x14ac:dyDescent="0.2">
      <c r="B3833"/>
      <c r="C3833"/>
      <c r="J3833"/>
      <c r="K3833"/>
      <c r="L3833"/>
    </row>
    <row r="3834" spans="2:12" x14ac:dyDescent="0.2">
      <c r="B3834"/>
      <c r="C3834"/>
      <c r="J3834"/>
      <c r="K3834"/>
      <c r="L3834"/>
    </row>
    <row r="3835" spans="2:12" x14ac:dyDescent="0.2">
      <c r="B3835"/>
      <c r="C3835"/>
      <c r="J3835"/>
      <c r="K3835"/>
      <c r="L3835"/>
    </row>
    <row r="3836" spans="2:12" x14ac:dyDescent="0.2">
      <c r="B3836"/>
      <c r="C3836"/>
      <c r="J3836"/>
      <c r="K3836"/>
      <c r="L3836"/>
    </row>
    <row r="3837" spans="2:12" x14ac:dyDescent="0.2">
      <c r="B3837"/>
      <c r="C3837"/>
      <c r="J3837"/>
      <c r="K3837"/>
      <c r="L3837"/>
    </row>
    <row r="3838" spans="2:12" x14ac:dyDescent="0.2">
      <c r="B3838"/>
      <c r="C3838"/>
      <c r="J3838"/>
      <c r="K3838"/>
      <c r="L3838"/>
    </row>
    <row r="3839" spans="2:12" x14ac:dyDescent="0.2">
      <c r="B3839"/>
      <c r="C3839"/>
      <c r="J3839"/>
      <c r="K3839"/>
      <c r="L3839"/>
    </row>
    <row r="3840" spans="2:12" x14ac:dyDescent="0.2">
      <c r="B3840"/>
      <c r="C3840"/>
      <c r="J3840"/>
      <c r="K3840"/>
      <c r="L3840"/>
    </row>
    <row r="3841" spans="2:12" x14ac:dyDescent="0.2">
      <c r="B3841"/>
      <c r="C3841"/>
      <c r="J3841"/>
      <c r="K3841"/>
      <c r="L3841"/>
    </row>
    <row r="3842" spans="2:12" x14ac:dyDescent="0.2">
      <c r="B3842"/>
      <c r="C3842"/>
      <c r="J3842"/>
      <c r="K3842"/>
      <c r="L3842"/>
    </row>
    <row r="3843" spans="2:12" x14ac:dyDescent="0.2">
      <c r="B3843"/>
      <c r="C3843"/>
      <c r="J3843"/>
      <c r="K3843"/>
      <c r="L3843"/>
    </row>
    <row r="3844" spans="2:12" x14ac:dyDescent="0.2">
      <c r="B3844"/>
      <c r="C3844"/>
      <c r="J3844"/>
      <c r="K3844"/>
      <c r="L3844"/>
    </row>
    <row r="3845" spans="2:12" x14ac:dyDescent="0.2">
      <c r="B3845"/>
      <c r="C3845"/>
      <c r="J3845"/>
      <c r="K3845"/>
      <c r="L3845"/>
    </row>
    <row r="3846" spans="2:12" x14ac:dyDescent="0.2">
      <c r="B3846"/>
      <c r="C3846"/>
      <c r="J3846"/>
      <c r="K3846"/>
      <c r="L3846"/>
    </row>
    <row r="3847" spans="2:12" x14ac:dyDescent="0.2">
      <c r="B3847"/>
      <c r="C3847"/>
      <c r="J3847"/>
      <c r="K3847"/>
      <c r="L3847"/>
    </row>
    <row r="3848" spans="2:12" x14ac:dyDescent="0.2">
      <c r="B3848"/>
      <c r="C3848"/>
      <c r="J3848"/>
      <c r="K3848"/>
      <c r="L3848"/>
    </row>
    <row r="3849" spans="2:12" x14ac:dyDescent="0.2">
      <c r="B3849"/>
      <c r="C3849"/>
      <c r="J3849"/>
      <c r="K3849"/>
      <c r="L3849"/>
    </row>
    <row r="3850" spans="2:12" x14ac:dyDescent="0.2">
      <c r="B3850"/>
      <c r="C3850"/>
      <c r="J3850"/>
      <c r="K3850"/>
      <c r="L3850"/>
    </row>
    <row r="3851" spans="2:12" x14ac:dyDescent="0.2">
      <c r="B3851"/>
      <c r="C3851"/>
      <c r="J3851"/>
      <c r="K3851"/>
      <c r="L3851"/>
    </row>
    <row r="3852" spans="2:12" x14ac:dyDescent="0.2">
      <c r="B3852"/>
      <c r="C3852"/>
      <c r="J3852"/>
      <c r="K3852"/>
      <c r="L3852"/>
    </row>
    <row r="3853" spans="2:12" x14ac:dyDescent="0.2">
      <c r="B3853"/>
      <c r="C3853"/>
      <c r="J3853"/>
      <c r="K3853"/>
      <c r="L3853"/>
    </row>
    <row r="3854" spans="2:12" x14ac:dyDescent="0.2">
      <c r="B3854"/>
      <c r="C3854"/>
      <c r="J3854"/>
      <c r="K3854"/>
      <c r="L3854"/>
    </row>
    <row r="3855" spans="2:12" x14ac:dyDescent="0.2">
      <c r="B3855"/>
      <c r="C3855"/>
      <c r="J3855"/>
      <c r="K3855"/>
      <c r="L3855"/>
    </row>
    <row r="3856" spans="2:12" x14ac:dyDescent="0.2">
      <c r="B3856"/>
      <c r="C3856"/>
      <c r="J3856"/>
      <c r="K3856"/>
      <c r="L3856"/>
    </row>
    <row r="3857" spans="2:12" x14ac:dyDescent="0.2">
      <c r="B3857"/>
      <c r="C3857"/>
      <c r="J3857"/>
      <c r="K3857"/>
      <c r="L3857"/>
    </row>
    <row r="3858" spans="2:12" x14ac:dyDescent="0.2">
      <c r="B3858"/>
      <c r="C3858"/>
      <c r="J3858"/>
      <c r="K3858"/>
      <c r="L3858"/>
    </row>
    <row r="3859" spans="2:12" x14ac:dyDescent="0.2">
      <c r="B3859"/>
      <c r="C3859"/>
      <c r="J3859"/>
      <c r="K3859"/>
      <c r="L3859"/>
    </row>
    <row r="3860" spans="2:12" x14ac:dyDescent="0.2">
      <c r="B3860"/>
      <c r="C3860"/>
      <c r="J3860"/>
      <c r="K3860"/>
      <c r="L3860"/>
    </row>
    <row r="3861" spans="2:12" x14ac:dyDescent="0.2">
      <c r="B3861"/>
      <c r="C3861"/>
      <c r="J3861"/>
      <c r="K3861"/>
      <c r="L3861"/>
    </row>
    <row r="3862" spans="2:12" x14ac:dyDescent="0.2">
      <c r="B3862"/>
      <c r="C3862"/>
      <c r="J3862"/>
      <c r="K3862"/>
      <c r="L3862"/>
    </row>
    <row r="3863" spans="2:12" x14ac:dyDescent="0.2">
      <c r="B3863"/>
      <c r="C3863"/>
      <c r="J3863"/>
      <c r="K3863"/>
      <c r="L3863"/>
    </row>
    <row r="3864" spans="2:12" x14ac:dyDescent="0.2">
      <c r="B3864"/>
      <c r="C3864"/>
      <c r="J3864"/>
      <c r="K3864"/>
      <c r="L3864"/>
    </row>
    <row r="3865" spans="2:12" x14ac:dyDescent="0.2">
      <c r="B3865"/>
      <c r="C3865"/>
      <c r="J3865"/>
      <c r="K3865"/>
      <c r="L3865"/>
    </row>
    <row r="3866" spans="2:12" x14ac:dyDescent="0.2">
      <c r="B3866"/>
      <c r="C3866"/>
      <c r="J3866"/>
      <c r="K3866"/>
      <c r="L3866"/>
    </row>
    <row r="3867" spans="2:12" x14ac:dyDescent="0.2">
      <c r="B3867"/>
      <c r="C3867"/>
      <c r="J3867"/>
      <c r="K3867"/>
      <c r="L3867"/>
    </row>
    <row r="3868" spans="2:12" x14ac:dyDescent="0.2">
      <c r="B3868"/>
      <c r="C3868"/>
      <c r="J3868"/>
      <c r="K3868"/>
      <c r="L3868"/>
    </row>
    <row r="3869" spans="2:12" x14ac:dyDescent="0.2">
      <c r="B3869"/>
      <c r="C3869"/>
      <c r="J3869"/>
      <c r="K3869"/>
      <c r="L3869"/>
    </row>
    <row r="3870" spans="2:12" x14ac:dyDescent="0.2">
      <c r="B3870"/>
      <c r="C3870"/>
      <c r="J3870"/>
      <c r="K3870"/>
      <c r="L3870"/>
    </row>
    <row r="3871" spans="2:12" x14ac:dyDescent="0.2">
      <c r="B3871"/>
      <c r="C3871"/>
      <c r="J3871"/>
      <c r="K3871"/>
      <c r="L3871"/>
    </row>
    <row r="3872" spans="2:12" x14ac:dyDescent="0.2">
      <c r="B3872"/>
      <c r="C3872"/>
      <c r="J3872"/>
      <c r="K3872"/>
      <c r="L3872"/>
    </row>
    <row r="3873" spans="2:12" x14ac:dyDescent="0.2">
      <c r="B3873"/>
      <c r="C3873"/>
      <c r="J3873"/>
      <c r="K3873"/>
      <c r="L3873"/>
    </row>
    <row r="3874" spans="2:12" x14ac:dyDescent="0.2">
      <c r="B3874"/>
      <c r="C3874"/>
      <c r="J3874"/>
      <c r="K3874"/>
      <c r="L3874"/>
    </row>
    <row r="3875" spans="2:12" x14ac:dyDescent="0.2">
      <c r="B3875"/>
      <c r="C3875"/>
      <c r="J3875"/>
      <c r="K3875"/>
      <c r="L3875"/>
    </row>
    <row r="3876" spans="2:12" x14ac:dyDescent="0.2">
      <c r="B3876"/>
      <c r="C3876"/>
      <c r="J3876"/>
      <c r="K3876"/>
      <c r="L3876"/>
    </row>
    <row r="3877" spans="2:12" x14ac:dyDescent="0.2">
      <c r="B3877"/>
      <c r="C3877"/>
      <c r="J3877"/>
      <c r="K3877"/>
      <c r="L3877"/>
    </row>
    <row r="3878" spans="2:12" x14ac:dyDescent="0.2">
      <c r="B3878"/>
      <c r="C3878"/>
      <c r="J3878"/>
      <c r="K3878"/>
      <c r="L3878"/>
    </row>
    <row r="3879" spans="2:12" x14ac:dyDescent="0.2">
      <c r="B3879"/>
      <c r="C3879"/>
      <c r="J3879"/>
      <c r="K3879"/>
      <c r="L3879"/>
    </row>
    <row r="3880" spans="2:12" x14ac:dyDescent="0.2">
      <c r="B3880"/>
      <c r="C3880"/>
      <c r="J3880"/>
      <c r="K3880"/>
      <c r="L3880"/>
    </row>
    <row r="3881" spans="2:12" x14ac:dyDescent="0.2">
      <c r="B3881"/>
      <c r="C3881"/>
      <c r="J3881"/>
      <c r="K3881"/>
      <c r="L3881"/>
    </row>
    <row r="3882" spans="2:12" x14ac:dyDescent="0.2">
      <c r="B3882"/>
      <c r="C3882"/>
      <c r="J3882"/>
      <c r="K3882"/>
      <c r="L3882"/>
    </row>
    <row r="3883" spans="2:12" x14ac:dyDescent="0.2">
      <c r="B3883"/>
      <c r="C3883"/>
      <c r="J3883"/>
      <c r="K3883"/>
      <c r="L3883"/>
    </row>
    <row r="3884" spans="2:12" x14ac:dyDescent="0.2">
      <c r="B3884"/>
      <c r="C3884"/>
      <c r="J3884"/>
      <c r="K3884"/>
      <c r="L3884"/>
    </row>
    <row r="3885" spans="2:12" x14ac:dyDescent="0.2">
      <c r="B3885"/>
      <c r="C3885"/>
      <c r="J3885"/>
      <c r="K3885"/>
      <c r="L3885"/>
    </row>
    <row r="3886" spans="2:12" x14ac:dyDescent="0.2">
      <c r="B3886"/>
      <c r="C3886"/>
      <c r="J3886"/>
      <c r="K3886"/>
      <c r="L3886"/>
    </row>
    <row r="3887" spans="2:12" x14ac:dyDescent="0.2">
      <c r="B3887"/>
      <c r="C3887"/>
      <c r="J3887"/>
      <c r="K3887"/>
      <c r="L3887"/>
    </row>
    <row r="3888" spans="2:12" x14ac:dyDescent="0.2">
      <c r="B3888"/>
      <c r="C3888"/>
      <c r="J3888"/>
      <c r="K3888"/>
      <c r="L3888"/>
    </row>
    <row r="3889" spans="2:12" x14ac:dyDescent="0.2">
      <c r="B3889"/>
      <c r="C3889"/>
      <c r="J3889"/>
      <c r="K3889"/>
      <c r="L3889"/>
    </row>
    <row r="3890" spans="2:12" x14ac:dyDescent="0.2">
      <c r="B3890"/>
      <c r="C3890"/>
      <c r="J3890"/>
      <c r="K3890"/>
      <c r="L3890"/>
    </row>
    <row r="3891" spans="2:12" x14ac:dyDescent="0.2">
      <c r="B3891"/>
      <c r="C3891"/>
      <c r="J3891"/>
      <c r="K3891"/>
      <c r="L3891"/>
    </row>
    <row r="3892" spans="2:12" x14ac:dyDescent="0.2">
      <c r="B3892"/>
      <c r="C3892"/>
      <c r="J3892"/>
      <c r="K3892"/>
      <c r="L3892"/>
    </row>
    <row r="3893" spans="2:12" x14ac:dyDescent="0.2">
      <c r="B3893"/>
      <c r="C3893"/>
      <c r="J3893"/>
      <c r="K3893"/>
      <c r="L3893"/>
    </row>
    <row r="3894" spans="2:12" x14ac:dyDescent="0.2">
      <c r="B3894"/>
      <c r="C3894"/>
      <c r="J3894"/>
      <c r="K3894"/>
      <c r="L3894"/>
    </row>
    <row r="3895" spans="2:12" x14ac:dyDescent="0.2">
      <c r="B3895"/>
      <c r="C3895"/>
      <c r="J3895"/>
      <c r="K3895"/>
      <c r="L3895"/>
    </row>
    <row r="3896" spans="2:12" x14ac:dyDescent="0.2">
      <c r="B3896"/>
      <c r="C3896"/>
      <c r="J3896"/>
      <c r="K3896"/>
      <c r="L3896"/>
    </row>
    <row r="3897" spans="2:12" x14ac:dyDescent="0.2">
      <c r="B3897"/>
      <c r="C3897"/>
      <c r="J3897"/>
      <c r="K3897"/>
      <c r="L3897"/>
    </row>
    <row r="3898" spans="2:12" x14ac:dyDescent="0.2">
      <c r="B3898"/>
      <c r="C3898"/>
      <c r="J3898"/>
      <c r="K3898"/>
      <c r="L3898"/>
    </row>
    <row r="3899" spans="2:12" x14ac:dyDescent="0.2">
      <c r="B3899"/>
      <c r="C3899"/>
      <c r="J3899"/>
      <c r="K3899"/>
      <c r="L3899"/>
    </row>
    <row r="3900" spans="2:12" x14ac:dyDescent="0.2">
      <c r="B3900"/>
      <c r="C3900"/>
      <c r="J3900"/>
      <c r="K3900"/>
      <c r="L3900"/>
    </row>
    <row r="3901" spans="2:12" x14ac:dyDescent="0.2">
      <c r="B3901"/>
      <c r="C3901"/>
      <c r="J3901"/>
      <c r="K3901"/>
      <c r="L3901"/>
    </row>
    <row r="3902" spans="2:12" x14ac:dyDescent="0.2">
      <c r="B3902"/>
      <c r="C3902"/>
      <c r="J3902"/>
      <c r="K3902"/>
      <c r="L3902"/>
    </row>
    <row r="3903" spans="2:12" x14ac:dyDescent="0.2">
      <c r="B3903"/>
      <c r="C3903"/>
      <c r="J3903"/>
      <c r="K3903"/>
      <c r="L3903"/>
    </row>
    <row r="3904" spans="2:12" x14ac:dyDescent="0.2">
      <c r="B3904"/>
      <c r="C3904"/>
      <c r="J3904"/>
      <c r="K3904"/>
      <c r="L3904"/>
    </row>
    <row r="3905" spans="2:12" x14ac:dyDescent="0.2">
      <c r="B3905"/>
      <c r="C3905"/>
      <c r="J3905"/>
      <c r="K3905"/>
      <c r="L3905"/>
    </row>
    <row r="3906" spans="2:12" x14ac:dyDescent="0.2">
      <c r="B3906"/>
      <c r="C3906"/>
      <c r="J3906"/>
      <c r="K3906"/>
      <c r="L3906"/>
    </row>
    <row r="3907" spans="2:12" x14ac:dyDescent="0.2">
      <c r="B3907"/>
      <c r="C3907"/>
      <c r="J3907"/>
      <c r="K3907"/>
      <c r="L3907"/>
    </row>
    <row r="3908" spans="2:12" x14ac:dyDescent="0.2">
      <c r="B3908"/>
      <c r="C3908"/>
      <c r="J3908"/>
      <c r="K3908"/>
      <c r="L3908"/>
    </row>
    <row r="3909" spans="2:12" x14ac:dyDescent="0.2">
      <c r="B3909"/>
      <c r="C3909"/>
      <c r="J3909"/>
      <c r="K3909"/>
      <c r="L3909"/>
    </row>
    <row r="3910" spans="2:12" x14ac:dyDescent="0.2">
      <c r="B3910"/>
      <c r="C3910"/>
      <c r="J3910"/>
      <c r="K3910"/>
      <c r="L3910"/>
    </row>
    <row r="3911" spans="2:12" x14ac:dyDescent="0.2">
      <c r="B3911"/>
      <c r="C3911"/>
      <c r="J3911"/>
      <c r="K3911"/>
      <c r="L3911"/>
    </row>
    <row r="3912" spans="2:12" x14ac:dyDescent="0.2">
      <c r="B3912"/>
      <c r="C3912"/>
      <c r="J3912"/>
      <c r="K3912"/>
      <c r="L3912"/>
    </row>
    <row r="3913" spans="2:12" x14ac:dyDescent="0.2">
      <c r="B3913"/>
      <c r="C3913"/>
      <c r="J3913"/>
      <c r="K3913"/>
      <c r="L3913"/>
    </row>
    <row r="3914" spans="2:12" x14ac:dyDescent="0.2">
      <c r="B3914"/>
      <c r="C3914"/>
      <c r="J3914"/>
      <c r="K3914"/>
      <c r="L3914"/>
    </row>
    <row r="3915" spans="2:12" x14ac:dyDescent="0.2">
      <c r="B3915"/>
      <c r="C3915"/>
      <c r="J3915"/>
      <c r="K3915"/>
      <c r="L3915"/>
    </row>
    <row r="3916" spans="2:12" x14ac:dyDescent="0.2">
      <c r="B3916"/>
      <c r="C3916"/>
      <c r="J3916"/>
      <c r="K3916"/>
      <c r="L3916"/>
    </row>
    <row r="3917" spans="2:12" x14ac:dyDescent="0.2">
      <c r="B3917"/>
      <c r="C3917"/>
      <c r="J3917"/>
      <c r="K3917"/>
      <c r="L3917"/>
    </row>
    <row r="3918" spans="2:12" x14ac:dyDescent="0.2">
      <c r="B3918"/>
      <c r="C3918"/>
      <c r="J3918"/>
      <c r="K3918"/>
      <c r="L3918"/>
    </row>
    <row r="3919" spans="2:12" x14ac:dyDescent="0.2">
      <c r="B3919"/>
      <c r="C3919"/>
      <c r="J3919"/>
      <c r="K3919"/>
      <c r="L3919"/>
    </row>
    <row r="3920" spans="2:12" x14ac:dyDescent="0.2">
      <c r="B3920"/>
      <c r="C3920"/>
      <c r="J3920"/>
      <c r="K3920"/>
      <c r="L3920"/>
    </row>
    <row r="3921" spans="2:12" x14ac:dyDescent="0.2">
      <c r="B3921"/>
      <c r="C3921"/>
      <c r="J3921"/>
      <c r="K3921"/>
      <c r="L3921"/>
    </row>
    <row r="3922" spans="2:12" x14ac:dyDescent="0.2">
      <c r="B3922"/>
      <c r="C3922"/>
      <c r="J3922"/>
      <c r="K3922"/>
      <c r="L3922"/>
    </row>
    <row r="3923" spans="2:12" x14ac:dyDescent="0.2">
      <c r="B3923"/>
      <c r="C3923"/>
      <c r="J3923"/>
      <c r="K3923"/>
      <c r="L3923"/>
    </row>
    <row r="3924" spans="2:12" x14ac:dyDescent="0.2">
      <c r="B3924"/>
      <c r="C3924"/>
      <c r="J3924"/>
      <c r="K3924"/>
      <c r="L3924"/>
    </row>
    <row r="3925" spans="2:12" x14ac:dyDescent="0.2">
      <c r="B3925"/>
      <c r="C3925"/>
      <c r="J3925"/>
      <c r="K3925"/>
      <c r="L3925"/>
    </row>
    <row r="3926" spans="2:12" x14ac:dyDescent="0.2">
      <c r="B3926"/>
      <c r="C3926"/>
      <c r="J3926"/>
      <c r="K3926"/>
      <c r="L3926"/>
    </row>
    <row r="3927" spans="2:12" x14ac:dyDescent="0.2">
      <c r="B3927"/>
      <c r="C3927"/>
      <c r="J3927"/>
      <c r="K3927"/>
      <c r="L3927"/>
    </row>
    <row r="3928" spans="2:12" x14ac:dyDescent="0.2">
      <c r="B3928"/>
      <c r="C3928"/>
      <c r="J3928"/>
      <c r="K3928"/>
      <c r="L3928"/>
    </row>
    <row r="3929" spans="2:12" x14ac:dyDescent="0.2">
      <c r="B3929"/>
      <c r="C3929"/>
      <c r="J3929"/>
      <c r="K3929"/>
      <c r="L3929"/>
    </row>
    <row r="3930" spans="2:12" x14ac:dyDescent="0.2">
      <c r="B3930"/>
      <c r="C3930"/>
      <c r="J3930"/>
      <c r="K3930"/>
      <c r="L3930"/>
    </row>
    <row r="3931" spans="2:12" x14ac:dyDescent="0.2">
      <c r="B3931"/>
      <c r="C3931"/>
      <c r="J3931"/>
      <c r="K3931"/>
      <c r="L3931"/>
    </row>
    <row r="3932" spans="2:12" x14ac:dyDescent="0.2">
      <c r="B3932"/>
      <c r="C3932"/>
      <c r="J3932"/>
      <c r="K3932"/>
      <c r="L3932"/>
    </row>
    <row r="3933" spans="2:12" x14ac:dyDescent="0.2">
      <c r="B3933"/>
      <c r="C3933"/>
      <c r="J3933"/>
      <c r="K3933"/>
      <c r="L3933"/>
    </row>
    <row r="3934" spans="2:12" x14ac:dyDescent="0.2">
      <c r="B3934"/>
      <c r="C3934"/>
      <c r="J3934"/>
      <c r="K3934"/>
      <c r="L3934"/>
    </row>
    <row r="3935" spans="2:12" x14ac:dyDescent="0.2">
      <c r="B3935"/>
      <c r="C3935"/>
      <c r="J3935"/>
      <c r="K3935"/>
      <c r="L3935"/>
    </row>
    <row r="3936" spans="2:12" x14ac:dyDescent="0.2">
      <c r="B3936"/>
      <c r="C3936"/>
      <c r="J3936"/>
      <c r="K3936"/>
      <c r="L3936"/>
    </row>
    <row r="3937" spans="2:12" x14ac:dyDescent="0.2">
      <c r="B3937"/>
      <c r="C3937"/>
      <c r="J3937"/>
      <c r="K3937"/>
      <c r="L3937"/>
    </row>
    <row r="3938" spans="2:12" x14ac:dyDescent="0.2">
      <c r="B3938"/>
      <c r="C3938"/>
      <c r="J3938"/>
      <c r="K3938"/>
      <c r="L3938"/>
    </row>
    <row r="3939" spans="2:12" x14ac:dyDescent="0.2">
      <c r="B3939"/>
      <c r="C3939"/>
      <c r="J3939"/>
      <c r="K3939"/>
      <c r="L3939"/>
    </row>
    <row r="3940" spans="2:12" x14ac:dyDescent="0.2">
      <c r="B3940"/>
      <c r="C3940"/>
      <c r="J3940"/>
      <c r="K3940"/>
      <c r="L3940"/>
    </row>
    <row r="3941" spans="2:12" x14ac:dyDescent="0.2">
      <c r="B3941"/>
      <c r="C3941"/>
      <c r="J3941"/>
      <c r="K3941"/>
      <c r="L3941"/>
    </row>
    <row r="3942" spans="2:12" x14ac:dyDescent="0.2">
      <c r="B3942"/>
      <c r="C3942"/>
      <c r="J3942"/>
      <c r="K3942"/>
      <c r="L3942"/>
    </row>
    <row r="3943" spans="2:12" x14ac:dyDescent="0.2">
      <c r="B3943"/>
      <c r="C3943"/>
      <c r="J3943"/>
      <c r="K3943"/>
      <c r="L3943"/>
    </row>
    <row r="3944" spans="2:12" x14ac:dyDescent="0.2">
      <c r="B3944"/>
      <c r="C3944"/>
      <c r="J3944"/>
      <c r="K3944"/>
      <c r="L3944"/>
    </row>
    <row r="3945" spans="2:12" x14ac:dyDescent="0.2">
      <c r="B3945"/>
      <c r="C3945"/>
      <c r="J3945"/>
      <c r="K3945"/>
      <c r="L3945"/>
    </row>
    <row r="3946" spans="2:12" x14ac:dyDescent="0.2">
      <c r="B3946"/>
      <c r="C3946"/>
      <c r="J3946"/>
      <c r="K3946"/>
      <c r="L3946"/>
    </row>
    <row r="3947" spans="2:12" x14ac:dyDescent="0.2">
      <c r="B3947"/>
      <c r="C3947"/>
      <c r="J3947"/>
      <c r="K3947"/>
      <c r="L3947"/>
    </row>
    <row r="3948" spans="2:12" x14ac:dyDescent="0.2">
      <c r="B3948"/>
      <c r="C3948"/>
      <c r="J3948"/>
      <c r="K3948"/>
      <c r="L3948"/>
    </row>
    <row r="3949" spans="2:12" x14ac:dyDescent="0.2">
      <c r="B3949"/>
      <c r="C3949"/>
      <c r="J3949"/>
      <c r="K3949"/>
      <c r="L3949"/>
    </row>
    <row r="3950" spans="2:12" x14ac:dyDescent="0.2">
      <c r="B3950"/>
      <c r="C3950"/>
      <c r="J3950"/>
      <c r="K3950"/>
      <c r="L3950"/>
    </row>
    <row r="3951" spans="2:12" x14ac:dyDescent="0.2">
      <c r="B3951"/>
      <c r="C3951"/>
      <c r="J3951"/>
      <c r="K3951"/>
      <c r="L3951"/>
    </row>
    <row r="3952" spans="2:12" x14ac:dyDescent="0.2">
      <c r="B3952"/>
      <c r="C3952"/>
      <c r="J3952"/>
      <c r="K3952"/>
      <c r="L3952"/>
    </row>
    <row r="3953" spans="2:12" x14ac:dyDescent="0.2">
      <c r="B3953"/>
      <c r="C3953"/>
      <c r="J3953"/>
      <c r="K3953"/>
      <c r="L3953"/>
    </row>
    <row r="3954" spans="2:12" x14ac:dyDescent="0.2">
      <c r="B3954"/>
      <c r="C3954"/>
      <c r="J3954"/>
      <c r="K3954"/>
      <c r="L3954"/>
    </row>
    <row r="3955" spans="2:12" x14ac:dyDescent="0.2">
      <c r="B3955"/>
      <c r="C3955"/>
      <c r="J3955"/>
      <c r="K3955"/>
      <c r="L3955"/>
    </row>
    <row r="3956" spans="2:12" x14ac:dyDescent="0.2">
      <c r="B3956"/>
      <c r="C3956"/>
      <c r="J3956"/>
      <c r="K3956"/>
      <c r="L3956"/>
    </row>
    <row r="3957" spans="2:12" x14ac:dyDescent="0.2">
      <c r="B3957"/>
      <c r="C3957"/>
      <c r="J3957"/>
      <c r="K3957"/>
      <c r="L3957"/>
    </row>
    <row r="3958" spans="2:12" x14ac:dyDescent="0.2">
      <c r="B3958"/>
      <c r="C3958"/>
      <c r="J3958"/>
      <c r="K3958"/>
      <c r="L3958"/>
    </row>
    <row r="3959" spans="2:12" x14ac:dyDescent="0.2">
      <c r="B3959"/>
      <c r="C3959"/>
      <c r="J3959"/>
      <c r="K3959"/>
      <c r="L3959"/>
    </row>
    <row r="3960" spans="2:12" x14ac:dyDescent="0.2">
      <c r="B3960"/>
      <c r="C3960"/>
      <c r="J3960"/>
      <c r="K3960"/>
      <c r="L3960"/>
    </row>
    <row r="3961" spans="2:12" x14ac:dyDescent="0.2">
      <c r="B3961"/>
      <c r="C3961"/>
      <c r="J3961"/>
      <c r="K3961"/>
      <c r="L3961"/>
    </row>
    <row r="3962" spans="2:12" x14ac:dyDescent="0.2">
      <c r="B3962"/>
      <c r="C3962"/>
      <c r="J3962"/>
      <c r="K3962"/>
      <c r="L3962"/>
    </row>
    <row r="3963" spans="2:12" x14ac:dyDescent="0.2">
      <c r="B3963"/>
      <c r="C3963"/>
      <c r="J3963"/>
      <c r="K3963"/>
      <c r="L3963"/>
    </row>
    <row r="3964" spans="2:12" x14ac:dyDescent="0.2">
      <c r="B3964"/>
      <c r="C3964"/>
      <c r="J3964"/>
      <c r="K3964"/>
      <c r="L3964"/>
    </row>
    <row r="3965" spans="2:12" x14ac:dyDescent="0.2">
      <c r="B3965"/>
      <c r="C3965"/>
      <c r="J3965"/>
      <c r="K3965"/>
      <c r="L3965"/>
    </row>
    <row r="3966" spans="2:12" x14ac:dyDescent="0.2">
      <c r="B3966"/>
      <c r="C3966"/>
      <c r="J3966"/>
      <c r="K3966"/>
      <c r="L3966"/>
    </row>
    <row r="3967" spans="2:12" x14ac:dyDescent="0.2">
      <c r="B3967"/>
      <c r="C3967"/>
      <c r="J3967"/>
      <c r="K3967"/>
      <c r="L3967"/>
    </row>
    <row r="3968" spans="2:12" x14ac:dyDescent="0.2">
      <c r="B3968"/>
      <c r="C3968"/>
      <c r="J3968"/>
      <c r="K3968"/>
      <c r="L3968"/>
    </row>
    <row r="3969" spans="2:12" x14ac:dyDescent="0.2">
      <c r="B3969"/>
      <c r="C3969"/>
      <c r="J3969"/>
      <c r="K3969"/>
      <c r="L3969"/>
    </row>
    <row r="3970" spans="2:12" x14ac:dyDescent="0.2">
      <c r="B3970"/>
      <c r="C3970"/>
      <c r="J3970"/>
      <c r="K3970"/>
      <c r="L3970"/>
    </row>
    <row r="3971" spans="2:12" x14ac:dyDescent="0.2">
      <c r="B3971"/>
      <c r="C3971"/>
      <c r="J3971"/>
      <c r="K3971"/>
      <c r="L3971"/>
    </row>
    <row r="3972" spans="2:12" x14ac:dyDescent="0.2">
      <c r="B3972"/>
      <c r="C3972"/>
      <c r="J3972"/>
      <c r="K3972"/>
      <c r="L3972"/>
    </row>
    <row r="3973" spans="2:12" x14ac:dyDescent="0.2">
      <c r="B3973"/>
      <c r="C3973"/>
      <c r="J3973"/>
      <c r="K3973"/>
      <c r="L3973"/>
    </row>
    <row r="3974" spans="2:12" x14ac:dyDescent="0.2">
      <c r="B3974"/>
      <c r="C3974"/>
      <c r="J3974"/>
      <c r="K3974"/>
      <c r="L3974"/>
    </row>
    <row r="3975" spans="2:12" x14ac:dyDescent="0.2">
      <c r="B3975"/>
      <c r="C3975"/>
      <c r="J3975"/>
      <c r="K3975"/>
      <c r="L3975"/>
    </row>
    <row r="3976" spans="2:12" x14ac:dyDescent="0.2">
      <c r="B3976"/>
      <c r="C3976"/>
      <c r="J3976"/>
      <c r="K3976"/>
      <c r="L3976"/>
    </row>
    <row r="3977" spans="2:12" x14ac:dyDescent="0.2">
      <c r="B3977"/>
      <c r="C3977"/>
      <c r="J3977"/>
      <c r="K3977"/>
      <c r="L3977"/>
    </row>
    <row r="3978" spans="2:12" x14ac:dyDescent="0.2">
      <c r="B3978"/>
      <c r="C3978"/>
      <c r="J3978"/>
      <c r="K3978"/>
      <c r="L3978"/>
    </row>
    <row r="3979" spans="2:12" x14ac:dyDescent="0.2">
      <c r="B3979"/>
      <c r="C3979"/>
      <c r="J3979"/>
      <c r="K3979"/>
      <c r="L3979"/>
    </row>
    <row r="3980" spans="2:12" x14ac:dyDescent="0.2">
      <c r="B3980"/>
      <c r="C3980"/>
      <c r="J3980"/>
      <c r="K3980"/>
      <c r="L3980"/>
    </row>
    <row r="3981" spans="2:12" x14ac:dyDescent="0.2">
      <c r="B3981"/>
      <c r="C3981"/>
      <c r="J3981"/>
      <c r="K3981"/>
      <c r="L3981"/>
    </row>
    <row r="3982" spans="2:12" x14ac:dyDescent="0.2">
      <c r="B3982"/>
      <c r="C3982"/>
      <c r="J3982"/>
      <c r="K3982"/>
      <c r="L3982"/>
    </row>
    <row r="3983" spans="2:12" x14ac:dyDescent="0.2">
      <c r="B3983"/>
      <c r="C3983"/>
      <c r="J3983"/>
      <c r="K3983"/>
      <c r="L3983"/>
    </row>
    <row r="3984" spans="2:12" x14ac:dyDescent="0.2">
      <c r="B3984"/>
      <c r="C3984"/>
      <c r="J3984"/>
      <c r="K3984"/>
      <c r="L3984"/>
    </row>
    <row r="3985" spans="2:12" x14ac:dyDescent="0.2">
      <c r="B3985"/>
      <c r="C3985"/>
      <c r="J3985"/>
      <c r="K3985"/>
      <c r="L3985"/>
    </row>
    <row r="3986" spans="2:12" x14ac:dyDescent="0.2">
      <c r="B3986"/>
      <c r="C3986"/>
      <c r="J3986"/>
      <c r="K3986"/>
      <c r="L3986"/>
    </row>
    <row r="3987" spans="2:12" x14ac:dyDescent="0.2">
      <c r="B3987"/>
      <c r="C3987"/>
      <c r="J3987"/>
      <c r="K3987"/>
      <c r="L3987"/>
    </row>
    <row r="3988" spans="2:12" x14ac:dyDescent="0.2">
      <c r="B3988"/>
      <c r="C3988"/>
      <c r="J3988"/>
      <c r="K3988"/>
      <c r="L3988"/>
    </row>
    <row r="3989" spans="2:12" x14ac:dyDescent="0.2">
      <c r="B3989"/>
      <c r="C3989"/>
      <c r="J3989"/>
      <c r="K3989"/>
      <c r="L3989"/>
    </row>
    <row r="3990" spans="2:12" x14ac:dyDescent="0.2">
      <c r="B3990"/>
      <c r="C3990"/>
      <c r="J3990"/>
      <c r="K3990"/>
      <c r="L3990"/>
    </row>
    <row r="3991" spans="2:12" x14ac:dyDescent="0.2">
      <c r="B3991"/>
      <c r="C3991"/>
      <c r="J3991"/>
      <c r="K3991"/>
      <c r="L3991"/>
    </row>
    <row r="3992" spans="2:12" x14ac:dyDescent="0.2">
      <c r="B3992"/>
      <c r="C3992"/>
      <c r="J3992"/>
      <c r="K3992"/>
      <c r="L3992"/>
    </row>
    <row r="3993" spans="2:12" x14ac:dyDescent="0.2">
      <c r="B3993"/>
      <c r="C3993"/>
      <c r="J3993"/>
      <c r="K3993"/>
      <c r="L3993"/>
    </row>
    <row r="3994" spans="2:12" x14ac:dyDescent="0.2">
      <c r="B3994"/>
      <c r="C3994"/>
      <c r="J3994"/>
      <c r="K3994"/>
      <c r="L3994"/>
    </row>
    <row r="3995" spans="2:12" x14ac:dyDescent="0.2">
      <c r="B3995"/>
      <c r="C3995"/>
      <c r="J3995"/>
      <c r="K3995"/>
      <c r="L3995"/>
    </row>
    <row r="3996" spans="2:12" x14ac:dyDescent="0.2">
      <c r="B3996"/>
      <c r="C3996"/>
      <c r="J3996"/>
      <c r="K3996"/>
      <c r="L3996"/>
    </row>
    <row r="3997" spans="2:12" x14ac:dyDescent="0.2">
      <c r="B3997"/>
      <c r="C3997"/>
      <c r="J3997"/>
      <c r="K3997"/>
      <c r="L3997"/>
    </row>
    <row r="3998" spans="2:12" x14ac:dyDescent="0.2">
      <c r="B3998"/>
      <c r="C3998"/>
      <c r="J3998"/>
      <c r="K3998"/>
      <c r="L3998"/>
    </row>
    <row r="3999" spans="2:12" x14ac:dyDescent="0.2">
      <c r="B3999"/>
      <c r="C3999"/>
      <c r="J3999"/>
      <c r="K3999"/>
      <c r="L3999"/>
    </row>
    <row r="4000" spans="2:12" x14ac:dyDescent="0.2">
      <c r="B4000"/>
      <c r="C4000"/>
      <c r="J4000"/>
      <c r="K4000"/>
      <c r="L4000"/>
    </row>
    <row r="4001" spans="2:12" x14ac:dyDescent="0.2">
      <c r="B4001"/>
      <c r="C4001"/>
      <c r="J4001"/>
      <c r="K4001"/>
      <c r="L4001"/>
    </row>
    <row r="4002" spans="2:12" x14ac:dyDescent="0.2">
      <c r="B4002"/>
      <c r="C4002"/>
      <c r="J4002"/>
      <c r="K4002"/>
      <c r="L4002"/>
    </row>
    <row r="4003" spans="2:12" x14ac:dyDescent="0.2">
      <c r="B4003"/>
      <c r="C4003"/>
      <c r="J4003"/>
      <c r="K4003"/>
      <c r="L4003"/>
    </row>
    <row r="4004" spans="2:12" x14ac:dyDescent="0.2">
      <c r="B4004"/>
      <c r="C4004"/>
      <c r="J4004"/>
      <c r="K4004"/>
      <c r="L4004"/>
    </row>
    <row r="4005" spans="2:12" x14ac:dyDescent="0.2">
      <c r="B4005"/>
      <c r="C4005"/>
      <c r="J4005"/>
      <c r="K4005"/>
      <c r="L4005"/>
    </row>
    <row r="4006" spans="2:12" x14ac:dyDescent="0.2">
      <c r="B4006"/>
      <c r="C4006"/>
      <c r="J4006"/>
      <c r="K4006"/>
      <c r="L4006"/>
    </row>
    <row r="4007" spans="2:12" x14ac:dyDescent="0.2">
      <c r="B4007"/>
      <c r="C4007"/>
      <c r="J4007"/>
      <c r="K4007"/>
      <c r="L4007"/>
    </row>
    <row r="4008" spans="2:12" x14ac:dyDescent="0.2">
      <c r="B4008"/>
      <c r="C4008"/>
      <c r="J4008"/>
      <c r="K4008"/>
      <c r="L4008"/>
    </row>
    <row r="4009" spans="2:12" x14ac:dyDescent="0.2">
      <c r="B4009"/>
      <c r="C4009"/>
      <c r="J4009"/>
      <c r="K4009"/>
      <c r="L4009"/>
    </row>
    <row r="4010" spans="2:12" x14ac:dyDescent="0.2">
      <c r="B4010"/>
      <c r="C4010"/>
      <c r="J4010"/>
      <c r="K4010"/>
      <c r="L4010"/>
    </row>
    <row r="4011" spans="2:12" x14ac:dyDescent="0.2">
      <c r="B4011"/>
      <c r="C4011"/>
      <c r="J4011"/>
      <c r="K4011"/>
      <c r="L4011"/>
    </row>
    <row r="4012" spans="2:12" x14ac:dyDescent="0.2">
      <c r="B4012"/>
      <c r="C4012"/>
      <c r="J4012"/>
      <c r="K4012"/>
      <c r="L4012"/>
    </row>
    <row r="4013" spans="2:12" x14ac:dyDescent="0.2">
      <c r="B4013"/>
      <c r="C4013"/>
      <c r="J4013"/>
      <c r="K4013"/>
      <c r="L4013"/>
    </row>
    <row r="4014" spans="2:12" x14ac:dyDescent="0.2">
      <c r="B4014"/>
      <c r="C4014"/>
      <c r="J4014"/>
      <c r="K4014"/>
      <c r="L4014"/>
    </row>
    <row r="4015" spans="2:12" x14ac:dyDescent="0.2">
      <c r="B4015"/>
      <c r="C4015"/>
      <c r="J4015"/>
      <c r="K4015"/>
      <c r="L4015"/>
    </row>
    <row r="4016" spans="2:12" x14ac:dyDescent="0.2">
      <c r="B4016"/>
      <c r="C4016"/>
      <c r="J4016"/>
      <c r="K4016"/>
      <c r="L4016"/>
    </row>
    <row r="4017" spans="2:12" x14ac:dyDescent="0.2">
      <c r="B4017"/>
      <c r="C4017"/>
      <c r="J4017"/>
      <c r="K4017"/>
      <c r="L4017"/>
    </row>
    <row r="4018" spans="2:12" x14ac:dyDescent="0.2">
      <c r="B4018"/>
      <c r="C4018"/>
      <c r="J4018"/>
      <c r="K4018"/>
      <c r="L4018"/>
    </row>
    <row r="4019" spans="2:12" x14ac:dyDescent="0.2">
      <c r="B4019"/>
      <c r="C4019"/>
      <c r="J4019"/>
      <c r="K4019"/>
      <c r="L4019"/>
    </row>
    <row r="4020" spans="2:12" x14ac:dyDescent="0.2">
      <c r="B4020"/>
      <c r="C4020"/>
      <c r="J4020"/>
      <c r="K4020"/>
      <c r="L4020"/>
    </row>
    <row r="4021" spans="2:12" x14ac:dyDescent="0.2">
      <c r="B4021"/>
      <c r="C4021"/>
      <c r="J4021"/>
      <c r="K4021"/>
      <c r="L4021"/>
    </row>
    <row r="4022" spans="2:12" x14ac:dyDescent="0.2">
      <c r="B4022"/>
      <c r="C4022"/>
      <c r="J4022"/>
      <c r="K4022"/>
      <c r="L4022"/>
    </row>
    <row r="4023" spans="2:12" x14ac:dyDescent="0.2">
      <c r="B4023"/>
      <c r="C4023"/>
      <c r="J4023"/>
      <c r="K4023"/>
      <c r="L4023"/>
    </row>
    <row r="4024" spans="2:12" x14ac:dyDescent="0.2">
      <c r="B4024"/>
      <c r="C4024"/>
      <c r="J4024"/>
      <c r="K4024"/>
      <c r="L4024"/>
    </row>
    <row r="4025" spans="2:12" x14ac:dyDescent="0.2">
      <c r="B4025"/>
      <c r="C4025"/>
      <c r="J4025"/>
      <c r="K4025"/>
      <c r="L4025"/>
    </row>
    <row r="4026" spans="2:12" x14ac:dyDescent="0.2">
      <c r="B4026"/>
      <c r="C4026"/>
      <c r="J4026"/>
      <c r="K4026"/>
      <c r="L4026"/>
    </row>
    <row r="4027" spans="2:12" x14ac:dyDescent="0.2">
      <c r="B4027"/>
      <c r="C4027"/>
      <c r="J4027"/>
      <c r="K4027"/>
      <c r="L4027"/>
    </row>
    <row r="4028" spans="2:12" x14ac:dyDescent="0.2">
      <c r="B4028"/>
      <c r="C4028"/>
      <c r="J4028"/>
      <c r="K4028"/>
      <c r="L4028"/>
    </row>
    <row r="4029" spans="2:12" x14ac:dyDescent="0.2">
      <c r="B4029"/>
      <c r="C4029"/>
      <c r="J4029"/>
      <c r="K4029"/>
      <c r="L4029"/>
    </row>
    <row r="4030" spans="2:12" x14ac:dyDescent="0.2">
      <c r="B4030"/>
      <c r="C4030"/>
      <c r="J4030"/>
      <c r="K4030"/>
      <c r="L4030"/>
    </row>
    <row r="4031" spans="2:12" x14ac:dyDescent="0.2">
      <c r="B4031"/>
      <c r="C4031"/>
      <c r="J4031"/>
      <c r="K4031"/>
      <c r="L4031"/>
    </row>
    <row r="4032" spans="2:12" x14ac:dyDescent="0.2">
      <c r="B4032"/>
      <c r="C4032"/>
      <c r="J4032"/>
      <c r="K4032"/>
      <c r="L4032"/>
    </row>
    <row r="4033" spans="2:12" x14ac:dyDescent="0.2">
      <c r="B4033"/>
      <c r="C4033"/>
      <c r="J4033"/>
      <c r="K4033"/>
      <c r="L4033"/>
    </row>
    <row r="4034" spans="2:12" x14ac:dyDescent="0.2">
      <c r="B4034"/>
      <c r="C4034"/>
      <c r="J4034"/>
      <c r="K4034"/>
      <c r="L4034"/>
    </row>
    <row r="4035" spans="2:12" x14ac:dyDescent="0.2">
      <c r="B4035"/>
      <c r="C4035"/>
      <c r="J4035"/>
      <c r="K4035"/>
      <c r="L4035"/>
    </row>
    <row r="4036" spans="2:12" x14ac:dyDescent="0.2">
      <c r="B4036"/>
      <c r="C4036"/>
      <c r="J4036"/>
      <c r="K4036"/>
      <c r="L4036"/>
    </row>
    <row r="4037" spans="2:12" x14ac:dyDescent="0.2">
      <c r="B4037"/>
      <c r="C4037"/>
      <c r="J4037"/>
      <c r="K4037"/>
      <c r="L4037"/>
    </row>
    <row r="4038" spans="2:12" x14ac:dyDescent="0.2">
      <c r="B4038"/>
      <c r="C4038"/>
      <c r="J4038"/>
      <c r="K4038"/>
      <c r="L4038"/>
    </row>
    <row r="4039" spans="2:12" x14ac:dyDescent="0.2">
      <c r="B4039"/>
      <c r="C4039"/>
      <c r="J4039"/>
      <c r="K4039"/>
      <c r="L4039"/>
    </row>
    <row r="4040" spans="2:12" x14ac:dyDescent="0.2">
      <c r="B4040"/>
      <c r="C4040"/>
      <c r="J4040"/>
      <c r="K4040"/>
      <c r="L4040"/>
    </row>
    <row r="4041" spans="2:12" x14ac:dyDescent="0.2">
      <c r="B4041"/>
      <c r="C4041"/>
      <c r="J4041"/>
      <c r="K4041"/>
      <c r="L4041"/>
    </row>
    <row r="4042" spans="2:12" x14ac:dyDescent="0.2">
      <c r="B4042"/>
      <c r="C4042"/>
      <c r="J4042"/>
      <c r="K4042"/>
      <c r="L4042"/>
    </row>
    <row r="4043" spans="2:12" x14ac:dyDescent="0.2">
      <c r="B4043"/>
      <c r="C4043"/>
      <c r="J4043"/>
      <c r="K4043"/>
      <c r="L4043"/>
    </row>
    <row r="4044" spans="2:12" x14ac:dyDescent="0.2">
      <c r="B4044"/>
      <c r="C4044"/>
      <c r="J4044"/>
      <c r="K4044"/>
      <c r="L4044"/>
    </row>
    <row r="4045" spans="2:12" x14ac:dyDescent="0.2">
      <c r="B4045"/>
      <c r="C4045"/>
      <c r="J4045"/>
      <c r="K4045"/>
      <c r="L4045"/>
    </row>
    <row r="4046" spans="2:12" x14ac:dyDescent="0.2">
      <c r="B4046"/>
      <c r="C4046"/>
      <c r="J4046"/>
      <c r="K4046"/>
      <c r="L4046"/>
    </row>
    <row r="4047" spans="2:12" x14ac:dyDescent="0.2">
      <c r="B4047"/>
      <c r="C4047"/>
      <c r="J4047"/>
      <c r="K4047"/>
      <c r="L4047"/>
    </row>
    <row r="4048" spans="2:12" x14ac:dyDescent="0.2">
      <c r="B4048"/>
      <c r="C4048"/>
      <c r="J4048"/>
      <c r="K4048"/>
      <c r="L4048"/>
    </row>
    <row r="4049" spans="2:12" x14ac:dyDescent="0.2">
      <c r="B4049"/>
      <c r="C4049"/>
      <c r="J4049"/>
      <c r="K4049"/>
      <c r="L4049"/>
    </row>
    <row r="4050" spans="2:12" x14ac:dyDescent="0.2">
      <c r="B4050"/>
      <c r="C4050"/>
      <c r="J4050"/>
      <c r="K4050"/>
      <c r="L4050"/>
    </row>
    <row r="4051" spans="2:12" x14ac:dyDescent="0.2">
      <c r="B4051"/>
      <c r="C4051"/>
      <c r="J4051"/>
      <c r="K4051"/>
      <c r="L4051"/>
    </row>
    <row r="4052" spans="2:12" x14ac:dyDescent="0.2">
      <c r="B4052"/>
      <c r="C4052"/>
      <c r="J4052"/>
      <c r="K4052"/>
      <c r="L4052"/>
    </row>
    <row r="4053" spans="2:12" x14ac:dyDescent="0.2">
      <c r="B4053"/>
      <c r="C4053"/>
      <c r="J4053"/>
      <c r="K4053"/>
      <c r="L4053"/>
    </row>
    <row r="4054" spans="2:12" x14ac:dyDescent="0.2">
      <c r="B4054"/>
      <c r="C4054"/>
      <c r="J4054"/>
      <c r="K4054"/>
      <c r="L4054"/>
    </row>
    <row r="4055" spans="2:12" x14ac:dyDescent="0.2">
      <c r="B4055"/>
      <c r="C4055"/>
      <c r="J4055"/>
      <c r="K4055"/>
      <c r="L4055"/>
    </row>
    <row r="4056" spans="2:12" x14ac:dyDescent="0.2">
      <c r="B4056"/>
      <c r="C4056"/>
      <c r="J4056"/>
      <c r="K4056"/>
      <c r="L4056"/>
    </row>
    <row r="4057" spans="2:12" x14ac:dyDescent="0.2">
      <c r="B4057"/>
      <c r="C4057"/>
      <c r="J4057"/>
      <c r="K4057"/>
      <c r="L4057"/>
    </row>
    <row r="4058" spans="2:12" x14ac:dyDescent="0.2">
      <c r="B4058"/>
      <c r="C4058"/>
      <c r="J4058"/>
      <c r="K4058"/>
      <c r="L4058"/>
    </row>
    <row r="4059" spans="2:12" x14ac:dyDescent="0.2">
      <c r="B4059"/>
      <c r="C4059"/>
      <c r="J4059"/>
      <c r="K4059"/>
      <c r="L4059"/>
    </row>
    <row r="4060" spans="2:12" x14ac:dyDescent="0.2">
      <c r="B4060"/>
      <c r="C4060"/>
      <c r="J4060"/>
      <c r="K4060"/>
      <c r="L4060"/>
    </row>
    <row r="4061" spans="2:12" x14ac:dyDescent="0.2">
      <c r="B4061"/>
      <c r="C4061"/>
      <c r="J4061"/>
      <c r="K4061"/>
      <c r="L4061"/>
    </row>
    <row r="4062" spans="2:12" x14ac:dyDescent="0.2">
      <c r="B4062"/>
      <c r="C4062"/>
      <c r="J4062"/>
      <c r="K4062"/>
      <c r="L4062"/>
    </row>
    <row r="4063" spans="2:12" x14ac:dyDescent="0.2">
      <c r="B4063"/>
      <c r="C4063"/>
      <c r="J4063"/>
      <c r="K4063"/>
      <c r="L4063"/>
    </row>
    <row r="4064" spans="2:12" x14ac:dyDescent="0.2">
      <c r="B4064"/>
      <c r="C4064"/>
      <c r="J4064"/>
      <c r="K4064"/>
      <c r="L4064"/>
    </row>
    <row r="4065" spans="2:12" x14ac:dyDescent="0.2">
      <c r="B4065"/>
      <c r="C4065"/>
      <c r="J4065"/>
      <c r="K4065"/>
      <c r="L4065"/>
    </row>
    <row r="4066" spans="2:12" x14ac:dyDescent="0.2">
      <c r="B4066"/>
      <c r="C4066"/>
      <c r="J4066"/>
      <c r="K4066"/>
      <c r="L4066"/>
    </row>
    <row r="4067" spans="2:12" x14ac:dyDescent="0.2">
      <c r="B4067"/>
      <c r="C4067"/>
      <c r="J4067"/>
      <c r="K4067"/>
      <c r="L4067"/>
    </row>
    <row r="4068" spans="2:12" x14ac:dyDescent="0.2">
      <c r="B4068"/>
      <c r="C4068"/>
      <c r="J4068"/>
      <c r="K4068"/>
      <c r="L4068"/>
    </row>
    <row r="4069" spans="2:12" x14ac:dyDescent="0.2">
      <c r="B4069"/>
      <c r="C4069"/>
      <c r="J4069"/>
      <c r="K4069"/>
      <c r="L4069"/>
    </row>
    <row r="4070" spans="2:12" x14ac:dyDescent="0.2">
      <c r="B4070"/>
      <c r="C4070"/>
      <c r="J4070"/>
      <c r="K4070"/>
      <c r="L4070"/>
    </row>
    <row r="4071" spans="2:12" x14ac:dyDescent="0.2">
      <c r="B4071"/>
      <c r="C4071"/>
      <c r="J4071"/>
      <c r="K4071"/>
      <c r="L4071"/>
    </row>
    <row r="4072" spans="2:12" x14ac:dyDescent="0.2">
      <c r="B4072"/>
      <c r="C4072"/>
      <c r="J4072"/>
      <c r="K4072"/>
      <c r="L4072"/>
    </row>
    <row r="4073" spans="2:12" x14ac:dyDescent="0.2">
      <c r="B4073"/>
      <c r="C4073"/>
      <c r="J4073"/>
      <c r="K4073"/>
      <c r="L4073"/>
    </row>
    <row r="4074" spans="2:12" x14ac:dyDescent="0.2">
      <c r="B4074"/>
      <c r="C4074"/>
      <c r="J4074"/>
      <c r="K4074"/>
      <c r="L4074"/>
    </row>
    <row r="4075" spans="2:12" x14ac:dyDescent="0.2">
      <c r="B4075"/>
      <c r="C4075"/>
      <c r="J4075"/>
      <c r="K4075"/>
      <c r="L4075"/>
    </row>
    <row r="4076" spans="2:12" x14ac:dyDescent="0.2">
      <c r="B4076"/>
      <c r="C4076"/>
      <c r="J4076"/>
      <c r="K4076"/>
      <c r="L4076"/>
    </row>
    <row r="4077" spans="2:12" x14ac:dyDescent="0.2">
      <c r="B4077"/>
      <c r="C4077"/>
      <c r="J4077"/>
      <c r="K4077"/>
      <c r="L4077"/>
    </row>
    <row r="4078" spans="2:12" x14ac:dyDescent="0.2">
      <c r="B4078"/>
      <c r="C4078"/>
      <c r="J4078"/>
      <c r="K4078"/>
      <c r="L4078"/>
    </row>
    <row r="4079" spans="2:12" x14ac:dyDescent="0.2">
      <c r="B4079"/>
      <c r="C4079"/>
      <c r="J4079"/>
      <c r="K4079"/>
      <c r="L4079"/>
    </row>
    <row r="4080" spans="2:12" x14ac:dyDescent="0.2">
      <c r="B4080"/>
      <c r="C4080"/>
      <c r="J4080"/>
      <c r="K4080"/>
      <c r="L4080"/>
    </row>
    <row r="4081" spans="2:12" x14ac:dyDescent="0.2">
      <c r="B4081"/>
      <c r="C4081"/>
      <c r="J4081"/>
      <c r="K4081"/>
      <c r="L4081"/>
    </row>
    <row r="4082" spans="2:12" x14ac:dyDescent="0.2">
      <c r="B4082"/>
      <c r="C4082"/>
      <c r="J4082"/>
      <c r="K4082"/>
      <c r="L4082"/>
    </row>
    <row r="4083" spans="2:12" x14ac:dyDescent="0.2">
      <c r="B4083"/>
      <c r="C4083"/>
      <c r="J4083"/>
      <c r="K4083"/>
      <c r="L4083"/>
    </row>
    <row r="4084" spans="2:12" x14ac:dyDescent="0.2">
      <c r="B4084"/>
      <c r="C4084"/>
      <c r="J4084"/>
      <c r="K4084"/>
      <c r="L4084"/>
    </row>
    <row r="4085" spans="2:12" x14ac:dyDescent="0.2">
      <c r="B4085"/>
      <c r="C4085"/>
      <c r="J4085"/>
      <c r="K4085"/>
      <c r="L4085"/>
    </row>
    <row r="4086" spans="2:12" x14ac:dyDescent="0.2">
      <c r="B4086"/>
      <c r="C4086"/>
      <c r="J4086"/>
      <c r="K4086"/>
      <c r="L4086"/>
    </row>
    <row r="4087" spans="2:12" x14ac:dyDescent="0.2">
      <c r="B4087"/>
      <c r="C4087"/>
      <c r="J4087"/>
      <c r="K4087"/>
      <c r="L4087"/>
    </row>
    <row r="4088" spans="2:12" x14ac:dyDescent="0.2">
      <c r="B4088"/>
      <c r="C4088"/>
      <c r="J4088"/>
      <c r="K4088"/>
      <c r="L4088"/>
    </row>
    <row r="4089" spans="2:12" x14ac:dyDescent="0.2">
      <c r="B4089"/>
      <c r="C4089"/>
      <c r="J4089"/>
      <c r="K4089"/>
      <c r="L4089"/>
    </row>
    <row r="4090" spans="2:12" x14ac:dyDescent="0.2">
      <c r="B4090"/>
      <c r="C4090"/>
      <c r="J4090"/>
      <c r="K4090"/>
      <c r="L4090"/>
    </row>
    <row r="4091" spans="2:12" x14ac:dyDescent="0.2">
      <c r="B4091"/>
      <c r="C4091"/>
      <c r="J4091"/>
      <c r="K4091"/>
      <c r="L4091"/>
    </row>
    <row r="4092" spans="2:12" x14ac:dyDescent="0.2">
      <c r="B4092"/>
      <c r="C4092"/>
      <c r="J4092"/>
      <c r="K4092"/>
      <c r="L4092"/>
    </row>
    <row r="4093" spans="2:12" x14ac:dyDescent="0.2">
      <c r="B4093"/>
      <c r="C4093"/>
      <c r="J4093"/>
      <c r="K4093"/>
      <c r="L4093"/>
    </row>
    <row r="4094" spans="2:12" x14ac:dyDescent="0.2">
      <c r="B4094"/>
      <c r="C4094"/>
      <c r="J4094"/>
      <c r="K4094"/>
      <c r="L4094"/>
    </row>
    <row r="4095" spans="2:12" x14ac:dyDescent="0.2">
      <c r="B4095"/>
      <c r="C4095"/>
      <c r="J4095"/>
      <c r="K4095"/>
      <c r="L4095"/>
    </row>
    <row r="4096" spans="2:12" x14ac:dyDescent="0.2">
      <c r="B4096"/>
      <c r="C4096"/>
      <c r="J4096"/>
      <c r="K4096"/>
      <c r="L4096"/>
    </row>
    <row r="4097" spans="2:12" x14ac:dyDescent="0.2">
      <c r="B4097"/>
      <c r="C4097"/>
      <c r="J4097"/>
      <c r="K4097"/>
      <c r="L4097"/>
    </row>
    <row r="4098" spans="2:12" x14ac:dyDescent="0.2">
      <c r="B4098"/>
      <c r="C4098"/>
      <c r="J4098"/>
      <c r="K4098"/>
      <c r="L4098"/>
    </row>
    <row r="4099" spans="2:12" x14ac:dyDescent="0.2">
      <c r="B4099"/>
      <c r="C4099"/>
      <c r="J4099"/>
      <c r="K4099"/>
      <c r="L4099"/>
    </row>
    <row r="4100" spans="2:12" x14ac:dyDescent="0.2">
      <c r="B4100"/>
      <c r="C4100"/>
      <c r="J4100"/>
      <c r="K4100"/>
      <c r="L4100"/>
    </row>
    <row r="4101" spans="2:12" x14ac:dyDescent="0.2">
      <c r="B4101"/>
      <c r="C4101"/>
      <c r="J4101"/>
      <c r="K4101"/>
      <c r="L4101"/>
    </row>
    <row r="4102" spans="2:12" x14ac:dyDescent="0.2">
      <c r="B4102"/>
      <c r="C4102"/>
      <c r="J4102"/>
      <c r="K4102"/>
      <c r="L4102"/>
    </row>
    <row r="4103" spans="2:12" x14ac:dyDescent="0.2">
      <c r="B4103"/>
      <c r="C4103"/>
      <c r="J4103"/>
      <c r="K4103"/>
      <c r="L4103"/>
    </row>
    <row r="4104" spans="2:12" x14ac:dyDescent="0.2">
      <c r="B4104"/>
      <c r="C4104"/>
      <c r="J4104"/>
      <c r="K4104"/>
      <c r="L4104"/>
    </row>
    <row r="4105" spans="2:12" x14ac:dyDescent="0.2">
      <c r="B4105"/>
      <c r="C4105"/>
      <c r="J4105"/>
      <c r="K4105"/>
      <c r="L4105"/>
    </row>
    <row r="4106" spans="2:12" x14ac:dyDescent="0.2">
      <c r="B4106"/>
      <c r="C4106"/>
      <c r="J4106"/>
      <c r="K4106"/>
      <c r="L4106"/>
    </row>
    <row r="4107" spans="2:12" x14ac:dyDescent="0.2">
      <c r="B4107"/>
      <c r="C4107"/>
      <c r="J4107"/>
      <c r="K4107"/>
      <c r="L4107"/>
    </row>
    <row r="4108" spans="2:12" x14ac:dyDescent="0.2">
      <c r="B4108"/>
      <c r="C4108"/>
      <c r="J4108"/>
      <c r="K4108"/>
      <c r="L4108"/>
    </row>
    <row r="4109" spans="2:12" x14ac:dyDescent="0.2">
      <c r="B4109"/>
      <c r="C4109"/>
      <c r="J4109"/>
      <c r="K4109"/>
      <c r="L4109"/>
    </row>
    <row r="4110" spans="2:12" x14ac:dyDescent="0.2">
      <c r="B4110"/>
      <c r="C4110"/>
      <c r="J4110"/>
      <c r="K4110"/>
      <c r="L4110"/>
    </row>
    <row r="4111" spans="2:12" x14ac:dyDescent="0.2">
      <c r="B4111"/>
      <c r="C4111"/>
      <c r="J4111"/>
      <c r="K4111"/>
      <c r="L4111"/>
    </row>
    <row r="4112" spans="2:12" x14ac:dyDescent="0.2">
      <c r="B4112"/>
      <c r="C4112"/>
      <c r="J4112"/>
      <c r="K4112"/>
      <c r="L4112"/>
    </row>
    <row r="4113" spans="2:12" x14ac:dyDescent="0.2">
      <c r="B4113"/>
      <c r="C4113"/>
      <c r="J4113"/>
      <c r="K4113"/>
      <c r="L4113"/>
    </row>
    <row r="4114" spans="2:12" x14ac:dyDescent="0.2">
      <c r="B4114"/>
      <c r="C4114"/>
      <c r="J4114"/>
      <c r="K4114"/>
      <c r="L4114"/>
    </row>
    <row r="4115" spans="2:12" x14ac:dyDescent="0.2">
      <c r="B4115"/>
      <c r="C4115"/>
      <c r="J4115"/>
      <c r="K4115"/>
      <c r="L4115"/>
    </row>
    <row r="4116" spans="2:12" x14ac:dyDescent="0.2">
      <c r="B4116"/>
      <c r="C4116"/>
      <c r="J4116"/>
      <c r="K4116"/>
      <c r="L4116"/>
    </row>
    <row r="4117" spans="2:12" x14ac:dyDescent="0.2">
      <c r="B4117"/>
      <c r="C4117"/>
      <c r="J4117"/>
      <c r="K4117"/>
      <c r="L4117"/>
    </row>
    <row r="4118" spans="2:12" x14ac:dyDescent="0.2">
      <c r="B4118"/>
      <c r="C4118"/>
      <c r="J4118"/>
      <c r="K4118"/>
      <c r="L4118"/>
    </row>
    <row r="4119" spans="2:12" x14ac:dyDescent="0.2">
      <c r="B4119"/>
      <c r="C4119"/>
      <c r="J4119"/>
      <c r="K4119"/>
      <c r="L4119"/>
    </row>
    <row r="4120" spans="2:12" x14ac:dyDescent="0.2">
      <c r="B4120"/>
      <c r="C4120"/>
      <c r="J4120"/>
      <c r="K4120"/>
      <c r="L4120"/>
    </row>
    <row r="4121" spans="2:12" x14ac:dyDescent="0.2">
      <c r="B4121"/>
      <c r="C4121"/>
      <c r="J4121"/>
      <c r="K4121"/>
      <c r="L4121"/>
    </row>
    <row r="4122" spans="2:12" x14ac:dyDescent="0.2">
      <c r="B4122"/>
      <c r="C4122"/>
      <c r="J4122"/>
      <c r="K4122"/>
      <c r="L4122"/>
    </row>
    <row r="4123" spans="2:12" x14ac:dyDescent="0.2">
      <c r="B4123"/>
      <c r="C4123"/>
      <c r="J4123"/>
      <c r="K4123"/>
      <c r="L4123"/>
    </row>
    <row r="4124" spans="2:12" x14ac:dyDescent="0.2">
      <c r="B4124"/>
      <c r="C4124"/>
      <c r="J4124"/>
      <c r="K4124"/>
      <c r="L4124"/>
    </row>
    <row r="4125" spans="2:12" x14ac:dyDescent="0.2">
      <c r="B4125"/>
      <c r="C4125"/>
      <c r="J4125"/>
      <c r="K4125"/>
      <c r="L4125"/>
    </row>
    <row r="4126" spans="2:12" x14ac:dyDescent="0.2">
      <c r="B4126"/>
      <c r="C4126"/>
      <c r="J4126"/>
      <c r="K4126"/>
      <c r="L4126"/>
    </row>
    <row r="4127" spans="2:12" x14ac:dyDescent="0.2">
      <c r="B4127"/>
      <c r="C4127"/>
      <c r="J4127"/>
      <c r="K4127"/>
      <c r="L4127"/>
    </row>
    <row r="4128" spans="2:12" x14ac:dyDescent="0.2">
      <c r="B4128"/>
      <c r="C4128"/>
      <c r="J4128"/>
      <c r="K4128"/>
      <c r="L4128"/>
    </row>
    <row r="4129" spans="2:12" x14ac:dyDescent="0.2">
      <c r="B4129"/>
      <c r="C4129"/>
      <c r="J4129"/>
      <c r="K4129"/>
      <c r="L4129"/>
    </row>
    <row r="4130" spans="2:12" x14ac:dyDescent="0.2">
      <c r="B4130"/>
      <c r="C4130"/>
      <c r="J4130"/>
      <c r="K4130"/>
      <c r="L4130"/>
    </row>
    <row r="4131" spans="2:12" x14ac:dyDescent="0.2">
      <c r="B4131"/>
      <c r="C4131"/>
      <c r="J4131"/>
      <c r="K4131"/>
      <c r="L4131"/>
    </row>
    <row r="4132" spans="2:12" x14ac:dyDescent="0.2">
      <c r="B4132"/>
      <c r="C4132"/>
      <c r="J4132"/>
      <c r="K4132"/>
      <c r="L4132"/>
    </row>
    <row r="4133" spans="2:12" x14ac:dyDescent="0.2">
      <c r="B4133"/>
      <c r="C4133"/>
      <c r="J4133"/>
      <c r="K4133"/>
      <c r="L4133"/>
    </row>
    <row r="4134" spans="2:12" x14ac:dyDescent="0.2">
      <c r="B4134"/>
      <c r="C4134"/>
      <c r="J4134"/>
      <c r="K4134"/>
      <c r="L4134"/>
    </row>
    <row r="4135" spans="2:12" x14ac:dyDescent="0.2">
      <c r="B4135"/>
      <c r="C4135"/>
      <c r="J4135"/>
      <c r="K4135"/>
      <c r="L4135"/>
    </row>
    <row r="4136" spans="2:12" x14ac:dyDescent="0.2">
      <c r="B4136"/>
      <c r="C4136"/>
      <c r="J4136"/>
      <c r="K4136"/>
      <c r="L4136"/>
    </row>
    <row r="4137" spans="2:12" x14ac:dyDescent="0.2">
      <c r="B4137"/>
      <c r="C4137"/>
      <c r="J4137"/>
      <c r="K4137"/>
      <c r="L4137"/>
    </row>
    <row r="4138" spans="2:12" x14ac:dyDescent="0.2">
      <c r="B4138"/>
      <c r="C4138"/>
      <c r="J4138"/>
      <c r="K4138"/>
      <c r="L4138"/>
    </row>
    <row r="4139" spans="2:12" x14ac:dyDescent="0.2">
      <c r="B4139"/>
      <c r="C4139"/>
      <c r="J4139"/>
      <c r="K4139"/>
      <c r="L4139"/>
    </row>
    <row r="4140" spans="2:12" x14ac:dyDescent="0.2">
      <c r="B4140"/>
      <c r="C4140"/>
      <c r="J4140"/>
      <c r="K4140"/>
      <c r="L4140"/>
    </row>
    <row r="4141" spans="2:12" x14ac:dyDescent="0.2">
      <c r="B4141"/>
      <c r="C4141"/>
      <c r="J4141"/>
      <c r="K4141"/>
      <c r="L4141"/>
    </row>
    <row r="4142" spans="2:12" x14ac:dyDescent="0.2">
      <c r="B4142"/>
      <c r="C4142"/>
      <c r="J4142"/>
      <c r="K4142"/>
      <c r="L4142"/>
    </row>
    <row r="4143" spans="2:12" x14ac:dyDescent="0.2">
      <c r="B4143"/>
      <c r="C4143"/>
      <c r="J4143"/>
      <c r="K4143"/>
      <c r="L4143"/>
    </row>
    <row r="4144" spans="2:12" x14ac:dyDescent="0.2">
      <c r="B4144"/>
      <c r="C4144"/>
      <c r="J4144"/>
      <c r="K4144"/>
      <c r="L4144"/>
    </row>
    <row r="4145" spans="2:12" x14ac:dyDescent="0.2">
      <c r="B4145"/>
      <c r="C4145"/>
      <c r="J4145"/>
      <c r="K4145"/>
      <c r="L4145"/>
    </row>
    <row r="4146" spans="2:12" x14ac:dyDescent="0.2">
      <c r="B4146"/>
      <c r="C4146"/>
      <c r="J4146"/>
      <c r="K4146"/>
      <c r="L4146"/>
    </row>
    <row r="4147" spans="2:12" x14ac:dyDescent="0.2">
      <c r="B4147"/>
      <c r="C4147"/>
      <c r="J4147"/>
      <c r="K4147"/>
      <c r="L4147"/>
    </row>
    <row r="4148" spans="2:12" x14ac:dyDescent="0.2">
      <c r="B4148"/>
      <c r="C4148"/>
      <c r="J4148"/>
      <c r="K4148"/>
      <c r="L4148"/>
    </row>
    <row r="4149" spans="2:12" x14ac:dyDescent="0.2">
      <c r="B4149"/>
      <c r="C4149"/>
      <c r="J4149"/>
      <c r="K4149"/>
      <c r="L4149"/>
    </row>
    <row r="4150" spans="2:12" x14ac:dyDescent="0.2">
      <c r="B4150"/>
      <c r="C4150"/>
      <c r="J4150"/>
      <c r="K4150"/>
      <c r="L4150"/>
    </row>
    <row r="4151" spans="2:12" x14ac:dyDescent="0.2">
      <c r="B4151"/>
      <c r="C4151"/>
      <c r="J4151"/>
      <c r="K4151"/>
      <c r="L4151"/>
    </row>
    <row r="4152" spans="2:12" x14ac:dyDescent="0.2">
      <c r="B4152"/>
      <c r="C4152"/>
      <c r="J4152"/>
      <c r="K4152"/>
      <c r="L4152"/>
    </row>
    <row r="4153" spans="2:12" x14ac:dyDescent="0.2">
      <c r="B4153"/>
      <c r="C4153"/>
      <c r="J4153"/>
      <c r="K4153"/>
      <c r="L4153"/>
    </row>
    <row r="4154" spans="2:12" x14ac:dyDescent="0.2">
      <c r="B4154"/>
      <c r="C4154"/>
      <c r="J4154"/>
      <c r="K4154"/>
      <c r="L4154"/>
    </row>
    <row r="4155" spans="2:12" x14ac:dyDescent="0.2">
      <c r="B4155"/>
      <c r="C4155"/>
      <c r="J4155"/>
      <c r="K4155"/>
      <c r="L4155"/>
    </row>
    <row r="4156" spans="2:12" x14ac:dyDescent="0.2">
      <c r="B4156"/>
      <c r="C4156"/>
      <c r="J4156"/>
      <c r="K4156"/>
      <c r="L4156"/>
    </row>
    <row r="4157" spans="2:12" x14ac:dyDescent="0.2">
      <c r="B4157"/>
      <c r="C4157"/>
      <c r="J4157"/>
      <c r="K4157"/>
      <c r="L4157"/>
    </row>
    <row r="4158" spans="2:12" x14ac:dyDescent="0.2">
      <c r="B4158"/>
      <c r="C4158"/>
      <c r="J4158"/>
      <c r="K4158"/>
      <c r="L4158"/>
    </row>
    <row r="4159" spans="2:12" x14ac:dyDescent="0.2">
      <c r="B4159"/>
      <c r="C4159"/>
      <c r="J4159"/>
      <c r="K4159"/>
      <c r="L4159"/>
    </row>
    <row r="4160" spans="2:12" x14ac:dyDescent="0.2">
      <c r="B4160"/>
      <c r="C4160"/>
      <c r="J4160"/>
      <c r="K4160"/>
      <c r="L4160"/>
    </row>
    <row r="4161" spans="2:12" x14ac:dyDescent="0.2">
      <c r="B4161"/>
      <c r="C4161"/>
      <c r="J4161"/>
      <c r="K4161"/>
      <c r="L4161"/>
    </row>
    <row r="4162" spans="2:12" x14ac:dyDescent="0.2">
      <c r="B4162"/>
      <c r="C4162"/>
      <c r="J4162"/>
      <c r="K4162"/>
      <c r="L4162"/>
    </row>
    <row r="4163" spans="2:12" x14ac:dyDescent="0.2">
      <c r="B4163"/>
      <c r="C4163"/>
      <c r="J4163"/>
      <c r="K4163"/>
      <c r="L4163"/>
    </row>
    <row r="4164" spans="2:12" x14ac:dyDescent="0.2">
      <c r="B4164"/>
      <c r="C4164"/>
      <c r="J4164"/>
      <c r="K4164"/>
      <c r="L4164"/>
    </row>
    <row r="4165" spans="2:12" x14ac:dyDescent="0.2">
      <c r="B4165"/>
      <c r="C4165"/>
      <c r="J4165"/>
      <c r="K4165"/>
      <c r="L4165"/>
    </row>
    <row r="4166" spans="2:12" x14ac:dyDescent="0.2">
      <c r="B4166"/>
      <c r="C4166"/>
      <c r="J4166"/>
      <c r="K4166"/>
      <c r="L4166"/>
    </row>
    <row r="4167" spans="2:12" x14ac:dyDescent="0.2">
      <c r="B4167"/>
      <c r="C4167"/>
      <c r="J4167"/>
      <c r="K4167"/>
      <c r="L4167"/>
    </row>
    <row r="4168" spans="2:12" x14ac:dyDescent="0.2">
      <c r="B4168"/>
      <c r="C4168"/>
      <c r="J4168"/>
      <c r="K4168"/>
      <c r="L4168"/>
    </row>
    <row r="4169" spans="2:12" x14ac:dyDescent="0.2">
      <c r="B4169"/>
      <c r="C4169"/>
      <c r="J4169"/>
      <c r="K4169"/>
      <c r="L4169"/>
    </row>
    <row r="4170" spans="2:12" x14ac:dyDescent="0.2">
      <c r="B4170"/>
      <c r="C4170"/>
      <c r="J4170"/>
      <c r="K4170"/>
      <c r="L4170"/>
    </row>
    <row r="4171" spans="2:12" x14ac:dyDescent="0.2">
      <c r="B4171"/>
      <c r="C4171"/>
      <c r="J4171"/>
      <c r="K4171"/>
      <c r="L4171"/>
    </row>
    <row r="4172" spans="2:12" x14ac:dyDescent="0.2">
      <c r="B4172"/>
      <c r="C4172"/>
      <c r="J4172"/>
      <c r="K4172"/>
      <c r="L4172"/>
    </row>
    <row r="4173" spans="2:12" x14ac:dyDescent="0.2">
      <c r="B4173"/>
      <c r="C4173"/>
      <c r="J4173"/>
      <c r="K4173"/>
      <c r="L4173"/>
    </row>
    <row r="4174" spans="2:12" x14ac:dyDescent="0.2">
      <c r="B4174"/>
      <c r="C4174"/>
      <c r="J4174"/>
      <c r="K4174"/>
      <c r="L4174"/>
    </row>
    <row r="4175" spans="2:12" x14ac:dyDescent="0.2">
      <c r="B4175"/>
      <c r="C4175"/>
      <c r="J4175"/>
      <c r="K4175"/>
      <c r="L4175"/>
    </row>
    <row r="4176" spans="2:12" x14ac:dyDescent="0.2">
      <c r="B4176"/>
      <c r="C4176"/>
      <c r="J4176"/>
      <c r="K4176"/>
      <c r="L4176"/>
    </row>
    <row r="4177" spans="2:12" x14ac:dyDescent="0.2">
      <c r="B4177"/>
      <c r="C4177"/>
      <c r="J4177"/>
      <c r="K4177"/>
      <c r="L4177"/>
    </row>
    <row r="4178" spans="2:12" x14ac:dyDescent="0.2">
      <c r="B4178"/>
      <c r="C4178"/>
      <c r="J4178"/>
      <c r="K4178"/>
      <c r="L4178"/>
    </row>
    <row r="4179" spans="2:12" x14ac:dyDescent="0.2">
      <c r="B4179"/>
      <c r="C4179"/>
      <c r="J4179"/>
      <c r="K4179"/>
      <c r="L4179"/>
    </row>
    <row r="4180" spans="2:12" x14ac:dyDescent="0.2">
      <c r="B4180"/>
      <c r="C4180"/>
      <c r="J4180"/>
      <c r="K4180"/>
      <c r="L4180"/>
    </row>
    <row r="4181" spans="2:12" x14ac:dyDescent="0.2">
      <c r="B4181"/>
      <c r="C4181"/>
      <c r="J4181"/>
      <c r="K4181"/>
      <c r="L4181"/>
    </row>
    <row r="4182" spans="2:12" x14ac:dyDescent="0.2">
      <c r="B4182"/>
      <c r="C4182"/>
      <c r="J4182"/>
      <c r="K4182"/>
      <c r="L4182"/>
    </row>
    <row r="4183" spans="2:12" x14ac:dyDescent="0.2">
      <c r="B4183"/>
      <c r="C4183"/>
      <c r="J4183"/>
      <c r="K4183"/>
      <c r="L4183"/>
    </row>
    <row r="4184" spans="2:12" x14ac:dyDescent="0.2">
      <c r="B4184"/>
      <c r="C4184"/>
      <c r="J4184"/>
      <c r="K4184"/>
      <c r="L4184"/>
    </row>
    <row r="4185" spans="2:12" x14ac:dyDescent="0.2">
      <c r="B4185"/>
      <c r="C4185"/>
      <c r="J4185"/>
      <c r="K4185"/>
      <c r="L4185"/>
    </row>
    <row r="4186" spans="2:12" x14ac:dyDescent="0.2">
      <c r="B4186"/>
      <c r="C4186"/>
      <c r="J4186"/>
      <c r="K4186"/>
      <c r="L4186"/>
    </row>
    <row r="4187" spans="2:12" x14ac:dyDescent="0.2">
      <c r="B4187"/>
      <c r="C4187"/>
      <c r="J4187"/>
      <c r="K4187"/>
      <c r="L4187"/>
    </row>
    <row r="4188" spans="2:12" x14ac:dyDescent="0.2">
      <c r="B4188"/>
      <c r="C4188"/>
      <c r="J4188"/>
      <c r="K4188"/>
      <c r="L4188"/>
    </row>
    <row r="4189" spans="2:12" x14ac:dyDescent="0.2">
      <c r="B4189"/>
      <c r="C4189"/>
      <c r="J4189"/>
      <c r="K4189"/>
      <c r="L4189"/>
    </row>
    <row r="4190" spans="2:12" x14ac:dyDescent="0.2">
      <c r="B4190"/>
      <c r="C4190"/>
      <c r="J4190"/>
      <c r="K4190"/>
      <c r="L4190"/>
    </row>
    <row r="4191" spans="2:12" x14ac:dyDescent="0.2">
      <c r="B4191"/>
      <c r="C4191"/>
      <c r="J4191"/>
      <c r="K4191"/>
      <c r="L4191"/>
    </row>
    <row r="4192" spans="2:12" x14ac:dyDescent="0.2">
      <c r="B4192"/>
      <c r="C4192"/>
      <c r="J4192"/>
      <c r="K4192"/>
      <c r="L4192"/>
    </row>
    <row r="4193" spans="2:12" x14ac:dyDescent="0.2">
      <c r="B4193"/>
      <c r="C4193"/>
      <c r="J4193"/>
      <c r="K4193"/>
      <c r="L4193"/>
    </row>
    <row r="4194" spans="2:12" x14ac:dyDescent="0.2">
      <c r="B4194"/>
      <c r="C4194"/>
      <c r="J4194"/>
      <c r="K4194"/>
      <c r="L4194"/>
    </row>
    <row r="4195" spans="2:12" x14ac:dyDescent="0.2">
      <c r="B4195"/>
      <c r="C4195"/>
      <c r="J4195"/>
      <c r="K4195"/>
      <c r="L4195"/>
    </row>
    <row r="4196" spans="2:12" x14ac:dyDescent="0.2">
      <c r="B4196"/>
      <c r="C4196"/>
      <c r="J4196"/>
      <c r="K4196"/>
      <c r="L4196"/>
    </row>
    <row r="4197" spans="2:12" x14ac:dyDescent="0.2">
      <c r="B4197"/>
      <c r="C4197"/>
      <c r="J4197"/>
      <c r="K4197"/>
      <c r="L4197"/>
    </row>
    <row r="4198" spans="2:12" x14ac:dyDescent="0.2">
      <c r="B4198"/>
      <c r="C4198"/>
      <c r="J4198"/>
      <c r="K4198"/>
      <c r="L4198"/>
    </row>
    <row r="4199" spans="2:12" x14ac:dyDescent="0.2">
      <c r="B4199"/>
      <c r="C4199"/>
      <c r="J4199"/>
      <c r="K4199"/>
      <c r="L4199"/>
    </row>
    <row r="4200" spans="2:12" x14ac:dyDescent="0.2">
      <c r="B4200"/>
      <c r="C4200"/>
      <c r="J4200"/>
      <c r="K4200"/>
      <c r="L4200"/>
    </row>
    <row r="4201" spans="2:12" x14ac:dyDescent="0.2">
      <c r="B4201"/>
      <c r="C4201"/>
      <c r="J4201"/>
      <c r="K4201"/>
      <c r="L4201"/>
    </row>
    <row r="4202" spans="2:12" x14ac:dyDescent="0.2">
      <c r="B4202"/>
      <c r="C4202"/>
      <c r="J4202"/>
      <c r="K4202"/>
      <c r="L4202"/>
    </row>
    <row r="4203" spans="2:12" x14ac:dyDescent="0.2">
      <c r="B4203"/>
      <c r="C4203"/>
      <c r="J4203"/>
      <c r="K4203"/>
      <c r="L4203"/>
    </row>
    <row r="4204" spans="2:12" x14ac:dyDescent="0.2">
      <c r="B4204"/>
      <c r="C4204"/>
      <c r="J4204"/>
      <c r="K4204"/>
      <c r="L4204"/>
    </row>
    <row r="4205" spans="2:12" x14ac:dyDescent="0.2">
      <c r="B4205"/>
      <c r="C4205"/>
      <c r="J4205"/>
      <c r="K4205"/>
      <c r="L4205"/>
    </row>
    <row r="4206" spans="2:12" x14ac:dyDescent="0.2">
      <c r="B4206"/>
      <c r="C4206"/>
      <c r="J4206"/>
      <c r="K4206"/>
      <c r="L4206"/>
    </row>
    <row r="4207" spans="2:12" x14ac:dyDescent="0.2">
      <c r="B4207"/>
      <c r="C4207"/>
      <c r="J4207"/>
      <c r="K4207"/>
      <c r="L4207"/>
    </row>
    <row r="4208" spans="2:12" x14ac:dyDescent="0.2">
      <c r="B4208"/>
      <c r="C4208"/>
      <c r="J4208"/>
      <c r="K4208"/>
      <c r="L4208"/>
    </row>
    <row r="4209" spans="2:12" x14ac:dyDescent="0.2">
      <c r="B4209"/>
      <c r="C4209"/>
      <c r="J4209"/>
      <c r="K4209"/>
      <c r="L4209"/>
    </row>
    <row r="4210" spans="2:12" x14ac:dyDescent="0.2">
      <c r="B4210"/>
      <c r="C4210"/>
      <c r="J4210"/>
      <c r="K4210"/>
      <c r="L4210"/>
    </row>
    <row r="4211" spans="2:12" x14ac:dyDescent="0.2">
      <c r="B4211"/>
      <c r="C4211"/>
      <c r="J4211"/>
      <c r="K4211"/>
      <c r="L4211"/>
    </row>
    <row r="4212" spans="2:12" x14ac:dyDescent="0.2">
      <c r="B4212"/>
      <c r="C4212"/>
      <c r="J4212"/>
      <c r="K4212"/>
      <c r="L4212"/>
    </row>
    <row r="4213" spans="2:12" x14ac:dyDescent="0.2">
      <c r="B4213"/>
      <c r="C4213"/>
      <c r="J4213"/>
      <c r="K4213"/>
      <c r="L4213"/>
    </row>
    <row r="4214" spans="2:12" x14ac:dyDescent="0.2">
      <c r="B4214"/>
      <c r="C4214"/>
      <c r="J4214"/>
      <c r="K4214"/>
      <c r="L4214"/>
    </row>
    <row r="4215" spans="2:12" x14ac:dyDescent="0.2">
      <c r="B4215"/>
      <c r="C4215"/>
      <c r="J4215"/>
      <c r="K4215"/>
      <c r="L4215"/>
    </row>
    <row r="4216" spans="2:12" x14ac:dyDescent="0.2">
      <c r="B4216"/>
      <c r="C4216"/>
      <c r="J4216"/>
      <c r="K4216"/>
      <c r="L4216"/>
    </row>
    <row r="4217" spans="2:12" x14ac:dyDescent="0.2">
      <c r="B4217"/>
      <c r="C4217"/>
      <c r="J4217"/>
      <c r="K4217"/>
      <c r="L4217"/>
    </row>
    <row r="4218" spans="2:12" x14ac:dyDescent="0.2">
      <c r="B4218"/>
      <c r="C4218"/>
      <c r="J4218"/>
      <c r="K4218"/>
      <c r="L4218"/>
    </row>
    <row r="4219" spans="2:12" x14ac:dyDescent="0.2">
      <c r="B4219"/>
      <c r="C4219"/>
      <c r="J4219"/>
      <c r="K4219"/>
      <c r="L4219"/>
    </row>
    <row r="4220" spans="2:12" x14ac:dyDescent="0.2">
      <c r="B4220"/>
      <c r="C4220"/>
      <c r="J4220"/>
      <c r="K4220"/>
      <c r="L4220"/>
    </row>
    <row r="4221" spans="2:12" x14ac:dyDescent="0.2">
      <c r="B4221"/>
      <c r="C4221"/>
      <c r="J4221"/>
      <c r="K4221"/>
      <c r="L4221"/>
    </row>
    <row r="4222" spans="2:12" x14ac:dyDescent="0.2">
      <c r="B4222"/>
      <c r="C4222"/>
      <c r="J4222"/>
      <c r="K4222"/>
      <c r="L4222"/>
    </row>
    <row r="4223" spans="2:12" x14ac:dyDescent="0.2">
      <c r="B4223"/>
      <c r="C4223"/>
      <c r="J4223"/>
      <c r="K4223"/>
      <c r="L4223"/>
    </row>
    <row r="4224" spans="2:12" x14ac:dyDescent="0.2">
      <c r="B4224"/>
      <c r="C4224"/>
      <c r="J4224"/>
      <c r="K4224"/>
      <c r="L4224"/>
    </row>
    <row r="4225" spans="2:12" x14ac:dyDescent="0.2">
      <c r="B4225"/>
      <c r="C4225"/>
      <c r="J4225"/>
      <c r="K4225"/>
      <c r="L4225"/>
    </row>
    <row r="4226" spans="2:12" x14ac:dyDescent="0.2">
      <c r="B4226"/>
      <c r="C4226"/>
      <c r="J4226"/>
      <c r="K4226"/>
      <c r="L4226"/>
    </row>
    <row r="4227" spans="2:12" x14ac:dyDescent="0.2">
      <c r="B4227"/>
      <c r="C4227"/>
      <c r="J4227"/>
      <c r="K4227"/>
      <c r="L4227"/>
    </row>
    <row r="4228" spans="2:12" x14ac:dyDescent="0.2">
      <c r="B4228"/>
      <c r="C4228"/>
      <c r="J4228"/>
      <c r="K4228"/>
      <c r="L4228"/>
    </row>
    <row r="4229" spans="2:12" x14ac:dyDescent="0.2">
      <c r="B4229"/>
      <c r="C4229"/>
      <c r="J4229"/>
      <c r="K4229"/>
      <c r="L4229"/>
    </row>
    <row r="4230" spans="2:12" x14ac:dyDescent="0.2">
      <c r="B4230"/>
      <c r="C4230"/>
      <c r="J4230"/>
      <c r="K4230"/>
      <c r="L4230"/>
    </row>
    <row r="4231" spans="2:12" x14ac:dyDescent="0.2">
      <c r="B4231"/>
      <c r="C4231"/>
      <c r="J4231"/>
      <c r="K4231"/>
      <c r="L4231"/>
    </row>
    <row r="4232" spans="2:12" x14ac:dyDescent="0.2">
      <c r="B4232"/>
      <c r="C4232"/>
      <c r="J4232"/>
      <c r="K4232"/>
      <c r="L4232"/>
    </row>
    <row r="4233" spans="2:12" x14ac:dyDescent="0.2">
      <c r="B4233"/>
      <c r="C4233"/>
      <c r="J4233"/>
      <c r="K4233"/>
      <c r="L4233"/>
    </row>
    <row r="4234" spans="2:12" x14ac:dyDescent="0.2">
      <c r="B4234"/>
      <c r="C4234"/>
      <c r="J4234"/>
      <c r="K4234"/>
      <c r="L4234"/>
    </row>
    <row r="4235" spans="2:12" x14ac:dyDescent="0.2">
      <c r="B4235"/>
      <c r="C4235"/>
      <c r="J4235"/>
      <c r="K4235"/>
      <c r="L4235"/>
    </row>
    <row r="4236" spans="2:12" x14ac:dyDescent="0.2">
      <c r="B4236"/>
      <c r="C4236"/>
      <c r="J4236"/>
      <c r="K4236"/>
      <c r="L4236"/>
    </row>
    <row r="4237" spans="2:12" x14ac:dyDescent="0.2">
      <c r="B4237"/>
      <c r="C4237"/>
      <c r="J4237"/>
      <c r="K4237"/>
      <c r="L4237"/>
    </row>
    <row r="4238" spans="2:12" x14ac:dyDescent="0.2">
      <c r="B4238"/>
      <c r="C4238"/>
      <c r="J4238"/>
      <c r="K4238"/>
      <c r="L4238"/>
    </row>
    <row r="4239" spans="2:12" x14ac:dyDescent="0.2">
      <c r="B4239"/>
      <c r="C4239"/>
      <c r="J4239"/>
      <c r="K4239"/>
      <c r="L4239"/>
    </row>
    <row r="4240" spans="2:12" x14ac:dyDescent="0.2">
      <c r="B4240"/>
      <c r="C4240"/>
      <c r="J4240"/>
      <c r="K4240"/>
      <c r="L4240"/>
    </row>
    <row r="4241" spans="2:12" x14ac:dyDescent="0.2">
      <c r="B4241"/>
      <c r="C4241"/>
      <c r="J4241"/>
      <c r="K4241"/>
      <c r="L4241"/>
    </row>
    <row r="4242" spans="2:12" x14ac:dyDescent="0.2">
      <c r="B4242"/>
      <c r="C4242"/>
      <c r="J4242"/>
      <c r="K4242"/>
      <c r="L4242"/>
    </row>
    <row r="4243" spans="2:12" x14ac:dyDescent="0.2">
      <c r="B4243"/>
      <c r="C4243"/>
      <c r="J4243"/>
      <c r="K4243"/>
      <c r="L4243"/>
    </row>
    <row r="4244" spans="2:12" x14ac:dyDescent="0.2">
      <c r="B4244"/>
      <c r="C4244"/>
      <c r="J4244"/>
      <c r="K4244"/>
      <c r="L4244"/>
    </row>
    <row r="4245" spans="2:12" x14ac:dyDescent="0.2">
      <c r="B4245"/>
      <c r="C4245"/>
      <c r="J4245"/>
      <c r="K4245"/>
      <c r="L4245"/>
    </row>
    <row r="4246" spans="2:12" x14ac:dyDescent="0.2">
      <c r="B4246"/>
      <c r="C4246"/>
      <c r="J4246"/>
      <c r="K4246"/>
      <c r="L4246"/>
    </row>
    <row r="4247" spans="2:12" x14ac:dyDescent="0.2">
      <c r="B4247"/>
      <c r="C4247"/>
      <c r="J4247"/>
      <c r="K4247"/>
      <c r="L4247"/>
    </row>
    <row r="4248" spans="2:12" x14ac:dyDescent="0.2">
      <c r="B4248"/>
      <c r="C4248"/>
      <c r="J4248"/>
      <c r="K4248"/>
      <c r="L4248"/>
    </row>
    <row r="4249" spans="2:12" x14ac:dyDescent="0.2">
      <c r="B4249"/>
      <c r="C4249"/>
      <c r="J4249"/>
      <c r="K4249"/>
      <c r="L4249"/>
    </row>
    <row r="4250" spans="2:12" x14ac:dyDescent="0.2">
      <c r="B4250"/>
      <c r="C4250"/>
      <c r="J4250"/>
      <c r="K4250"/>
      <c r="L4250"/>
    </row>
    <row r="4251" spans="2:12" x14ac:dyDescent="0.2">
      <c r="B4251"/>
      <c r="C4251"/>
      <c r="J4251"/>
      <c r="K4251"/>
      <c r="L4251"/>
    </row>
    <row r="4252" spans="2:12" x14ac:dyDescent="0.2">
      <c r="B4252"/>
      <c r="C4252"/>
      <c r="J4252"/>
      <c r="K4252"/>
      <c r="L4252"/>
    </row>
    <row r="4253" spans="2:12" x14ac:dyDescent="0.2">
      <c r="B4253"/>
      <c r="C4253"/>
      <c r="J4253"/>
      <c r="K4253"/>
      <c r="L4253"/>
    </row>
    <row r="4254" spans="2:12" x14ac:dyDescent="0.2">
      <c r="B4254"/>
      <c r="C4254"/>
      <c r="J4254"/>
      <c r="K4254"/>
      <c r="L4254"/>
    </row>
    <row r="4255" spans="2:12" x14ac:dyDescent="0.2">
      <c r="B4255"/>
      <c r="C4255"/>
      <c r="J4255"/>
      <c r="K4255"/>
      <c r="L4255"/>
    </row>
    <row r="4256" spans="2:12" x14ac:dyDescent="0.2">
      <c r="B4256"/>
      <c r="C4256"/>
      <c r="J4256"/>
      <c r="K4256"/>
      <c r="L4256"/>
    </row>
    <row r="4257" spans="2:12" x14ac:dyDescent="0.2">
      <c r="B4257"/>
      <c r="C4257"/>
      <c r="J4257"/>
      <c r="K4257"/>
      <c r="L4257"/>
    </row>
    <row r="4258" spans="2:12" x14ac:dyDescent="0.2">
      <c r="B4258"/>
      <c r="C4258"/>
      <c r="J4258"/>
      <c r="K4258"/>
      <c r="L4258"/>
    </row>
    <row r="4259" spans="2:12" x14ac:dyDescent="0.2">
      <c r="B4259"/>
      <c r="C4259"/>
      <c r="J4259"/>
      <c r="K4259"/>
      <c r="L4259"/>
    </row>
    <row r="4260" spans="2:12" x14ac:dyDescent="0.2">
      <c r="B4260"/>
      <c r="C4260"/>
      <c r="J4260"/>
      <c r="K4260"/>
      <c r="L4260"/>
    </row>
    <row r="4261" spans="2:12" x14ac:dyDescent="0.2">
      <c r="B4261"/>
      <c r="C4261"/>
      <c r="J4261"/>
      <c r="K4261"/>
      <c r="L4261"/>
    </row>
    <row r="4262" spans="2:12" x14ac:dyDescent="0.2">
      <c r="B4262"/>
      <c r="C4262"/>
      <c r="J4262"/>
      <c r="K4262"/>
      <c r="L4262"/>
    </row>
    <row r="4263" spans="2:12" x14ac:dyDescent="0.2">
      <c r="B4263"/>
      <c r="C4263"/>
      <c r="J4263"/>
      <c r="K4263"/>
      <c r="L4263"/>
    </row>
    <row r="4264" spans="2:12" x14ac:dyDescent="0.2">
      <c r="B4264"/>
      <c r="C4264"/>
      <c r="J4264"/>
      <c r="K4264"/>
      <c r="L4264"/>
    </row>
    <row r="4265" spans="2:12" x14ac:dyDescent="0.2">
      <c r="B4265"/>
      <c r="C4265"/>
      <c r="J4265"/>
      <c r="K4265"/>
      <c r="L4265"/>
    </row>
    <row r="4266" spans="2:12" x14ac:dyDescent="0.2">
      <c r="B4266"/>
      <c r="C4266"/>
      <c r="J4266"/>
      <c r="K4266"/>
      <c r="L4266"/>
    </row>
    <row r="4267" spans="2:12" x14ac:dyDescent="0.2">
      <c r="B4267"/>
      <c r="C4267"/>
      <c r="J4267"/>
      <c r="K4267"/>
      <c r="L4267"/>
    </row>
    <row r="4268" spans="2:12" x14ac:dyDescent="0.2">
      <c r="B4268"/>
      <c r="C4268"/>
      <c r="J4268"/>
      <c r="K4268"/>
      <c r="L4268"/>
    </row>
    <row r="4269" spans="2:12" x14ac:dyDescent="0.2">
      <c r="B4269"/>
      <c r="C4269"/>
      <c r="J4269"/>
      <c r="K4269"/>
      <c r="L4269"/>
    </row>
    <row r="4270" spans="2:12" x14ac:dyDescent="0.2">
      <c r="B4270"/>
      <c r="C4270"/>
      <c r="J4270"/>
      <c r="K4270"/>
      <c r="L4270"/>
    </row>
    <row r="4271" spans="2:12" x14ac:dyDescent="0.2">
      <c r="B4271"/>
      <c r="C4271"/>
      <c r="J4271"/>
      <c r="K4271"/>
      <c r="L4271"/>
    </row>
    <row r="4272" spans="2:12" x14ac:dyDescent="0.2">
      <c r="B4272"/>
      <c r="C4272"/>
      <c r="J4272"/>
      <c r="K4272"/>
      <c r="L4272"/>
    </row>
    <row r="4273" spans="2:12" x14ac:dyDescent="0.2">
      <c r="B4273"/>
      <c r="C4273"/>
      <c r="J4273"/>
      <c r="K4273"/>
      <c r="L4273"/>
    </row>
    <row r="4274" spans="2:12" x14ac:dyDescent="0.2">
      <c r="B4274"/>
      <c r="C4274"/>
      <c r="J4274"/>
      <c r="K4274"/>
      <c r="L4274"/>
    </row>
    <row r="4275" spans="2:12" x14ac:dyDescent="0.2">
      <c r="B4275"/>
      <c r="C4275"/>
      <c r="J4275"/>
      <c r="K4275"/>
      <c r="L4275"/>
    </row>
    <row r="4276" spans="2:12" x14ac:dyDescent="0.2">
      <c r="B4276"/>
      <c r="C4276"/>
      <c r="J4276"/>
      <c r="K4276"/>
      <c r="L4276"/>
    </row>
    <row r="4277" spans="2:12" x14ac:dyDescent="0.2">
      <c r="B4277"/>
      <c r="C4277"/>
      <c r="J4277"/>
      <c r="K4277"/>
      <c r="L4277"/>
    </row>
    <row r="4278" spans="2:12" x14ac:dyDescent="0.2">
      <c r="B4278"/>
      <c r="C4278"/>
      <c r="J4278"/>
      <c r="K4278"/>
      <c r="L4278"/>
    </row>
    <row r="4279" spans="2:12" x14ac:dyDescent="0.2">
      <c r="B4279"/>
      <c r="C4279"/>
      <c r="J4279"/>
      <c r="K4279"/>
      <c r="L4279"/>
    </row>
    <row r="4280" spans="2:12" x14ac:dyDescent="0.2">
      <c r="B4280"/>
      <c r="C4280"/>
      <c r="J4280"/>
      <c r="K4280"/>
      <c r="L4280"/>
    </row>
    <row r="4281" spans="2:12" x14ac:dyDescent="0.2">
      <c r="B4281"/>
      <c r="C4281"/>
      <c r="J4281"/>
      <c r="K4281"/>
      <c r="L4281"/>
    </row>
    <row r="4282" spans="2:12" x14ac:dyDescent="0.2">
      <c r="B4282"/>
      <c r="C4282"/>
      <c r="J4282"/>
      <c r="K4282"/>
      <c r="L4282"/>
    </row>
    <row r="4283" spans="2:12" x14ac:dyDescent="0.2">
      <c r="B4283"/>
      <c r="C4283"/>
      <c r="J4283"/>
      <c r="K4283"/>
      <c r="L4283"/>
    </row>
    <row r="4284" spans="2:12" x14ac:dyDescent="0.2">
      <c r="B4284"/>
      <c r="C4284"/>
      <c r="J4284"/>
      <c r="K4284"/>
      <c r="L4284"/>
    </row>
    <row r="4285" spans="2:12" x14ac:dyDescent="0.2">
      <c r="B4285"/>
      <c r="C4285"/>
      <c r="J4285"/>
      <c r="K4285"/>
      <c r="L4285"/>
    </row>
    <row r="4286" spans="2:12" x14ac:dyDescent="0.2">
      <c r="B4286"/>
      <c r="C4286"/>
      <c r="J4286"/>
      <c r="K4286"/>
      <c r="L4286"/>
    </row>
    <row r="4287" spans="2:12" x14ac:dyDescent="0.2">
      <c r="B4287"/>
      <c r="C4287"/>
      <c r="J4287"/>
      <c r="K4287"/>
      <c r="L4287"/>
    </row>
    <row r="4288" spans="2:12" x14ac:dyDescent="0.2">
      <c r="B4288"/>
      <c r="C4288"/>
      <c r="J4288"/>
      <c r="K4288"/>
      <c r="L4288"/>
    </row>
    <row r="4289" spans="2:12" x14ac:dyDescent="0.2">
      <c r="B4289"/>
      <c r="C4289"/>
      <c r="J4289"/>
      <c r="K4289"/>
      <c r="L4289"/>
    </row>
    <row r="4290" spans="2:12" x14ac:dyDescent="0.2">
      <c r="B4290"/>
      <c r="C4290"/>
      <c r="J4290"/>
      <c r="K4290"/>
      <c r="L4290"/>
    </row>
    <row r="4291" spans="2:12" x14ac:dyDescent="0.2">
      <c r="B4291"/>
      <c r="C4291"/>
      <c r="J4291"/>
      <c r="K4291"/>
      <c r="L4291"/>
    </row>
    <row r="4292" spans="2:12" x14ac:dyDescent="0.2">
      <c r="B4292"/>
      <c r="C4292"/>
      <c r="J4292"/>
      <c r="K4292"/>
      <c r="L4292"/>
    </row>
    <row r="4293" spans="2:12" x14ac:dyDescent="0.2">
      <c r="B4293"/>
      <c r="C4293"/>
      <c r="J4293"/>
      <c r="K4293"/>
      <c r="L4293"/>
    </row>
    <row r="4294" spans="2:12" x14ac:dyDescent="0.2">
      <c r="B4294"/>
      <c r="C4294"/>
      <c r="J4294"/>
      <c r="K4294"/>
      <c r="L4294"/>
    </row>
    <row r="4295" spans="2:12" x14ac:dyDescent="0.2">
      <c r="B4295"/>
      <c r="C4295"/>
      <c r="J4295"/>
      <c r="K4295"/>
      <c r="L4295"/>
    </row>
    <row r="4296" spans="2:12" x14ac:dyDescent="0.2">
      <c r="B4296"/>
      <c r="C4296"/>
      <c r="J4296"/>
      <c r="K4296"/>
      <c r="L4296"/>
    </row>
    <row r="4297" spans="2:12" x14ac:dyDescent="0.2">
      <c r="B4297"/>
      <c r="C4297"/>
      <c r="J4297"/>
      <c r="K4297"/>
      <c r="L4297"/>
    </row>
    <row r="4298" spans="2:12" x14ac:dyDescent="0.2">
      <c r="B4298"/>
      <c r="C4298"/>
      <c r="J4298"/>
      <c r="K4298"/>
      <c r="L4298"/>
    </row>
    <row r="4299" spans="2:12" x14ac:dyDescent="0.2">
      <c r="B4299"/>
      <c r="C4299"/>
      <c r="J4299"/>
      <c r="K4299"/>
      <c r="L4299"/>
    </row>
    <row r="4300" spans="2:12" x14ac:dyDescent="0.2">
      <c r="B4300"/>
      <c r="C4300"/>
      <c r="J4300"/>
      <c r="K4300"/>
      <c r="L4300"/>
    </row>
    <row r="4301" spans="2:12" x14ac:dyDescent="0.2">
      <c r="B4301"/>
      <c r="C4301"/>
      <c r="J4301"/>
      <c r="K4301"/>
      <c r="L4301"/>
    </row>
    <row r="4302" spans="2:12" x14ac:dyDescent="0.2">
      <c r="B4302"/>
      <c r="C4302"/>
      <c r="J4302"/>
      <c r="K4302"/>
      <c r="L4302"/>
    </row>
    <row r="4303" spans="2:12" x14ac:dyDescent="0.2">
      <c r="B4303"/>
      <c r="C4303"/>
      <c r="J4303"/>
      <c r="K4303"/>
      <c r="L4303"/>
    </row>
    <row r="4304" spans="2:12" x14ac:dyDescent="0.2">
      <c r="B4304"/>
      <c r="C4304"/>
      <c r="J4304"/>
      <c r="K4304"/>
      <c r="L4304"/>
    </row>
    <row r="4305" spans="2:12" x14ac:dyDescent="0.2">
      <c r="B4305"/>
      <c r="C4305"/>
      <c r="J4305"/>
      <c r="K4305"/>
      <c r="L4305"/>
    </row>
    <row r="4306" spans="2:12" x14ac:dyDescent="0.2">
      <c r="B4306"/>
      <c r="C4306"/>
      <c r="J4306"/>
      <c r="K4306"/>
      <c r="L4306"/>
    </row>
    <row r="4307" spans="2:12" x14ac:dyDescent="0.2">
      <c r="B4307"/>
      <c r="C4307"/>
      <c r="J4307"/>
      <c r="K4307"/>
      <c r="L4307"/>
    </row>
    <row r="4308" spans="2:12" x14ac:dyDescent="0.2">
      <c r="B4308"/>
      <c r="C4308"/>
      <c r="J4308"/>
      <c r="K4308"/>
      <c r="L4308"/>
    </row>
    <row r="4309" spans="2:12" x14ac:dyDescent="0.2">
      <c r="B4309"/>
      <c r="C4309"/>
      <c r="J4309"/>
      <c r="K4309"/>
      <c r="L4309"/>
    </row>
    <row r="4310" spans="2:12" x14ac:dyDescent="0.2">
      <c r="B4310"/>
      <c r="C4310"/>
      <c r="J4310"/>
      <c r="K4310"/>
      <c r="L4310"/>
    </row>
    <row r="4311" spans="2:12" x14ac:dyDescent="0.2">
      <c r="B4311"/>
      <c r="C4311"/>
      <c r="J4311"/>
      <c r="K4311"/>
      <c r="L4311"/>
    </row>
    <row r="4312" spans="2:12" x14ac:dyDescent="0.2">
      <c r="B4312"/>
      <c r="C4312"/>
      <c r="J4312"/>
      <c r="K4312"/>
      <c r="L4312"/>
    </row>
    <row r="4313" spans="2:12" x14ac:dyDescent="0.2">
      <c r="B4313"/>
      <c r="C4313"/>
      <c r="J4313"/>
      <c r="K4313"/>
      <c r="L4313"/>
    </row>
    <row r="4314" spans="2:12" x14ac:dyDescent="0.2">
      <c r="B4314"/>
      <c r="C4314"/>
      <c r="J4314"/>
      <c r="K4314"/>
      <c r="L4314"/>
    </row>
    <row r="4315" spans="2:12" x14ac:dyDescent="0.2">
      <c r="B4315"/>
      <c r="C4315"/>
      <c r="J4315"/>
      <c r="K4315"/>
      <c r="L4315"/>
    </row>
    <row r="4316" spans="2:12" x14ac:dyDescent="0.2">
      <c r="B4316"/>
      <c r="C4316"/>
      <c r="J4316"/>
      <c r="K4316"/>
      <c r="L4316"/>
    </row>
    <row r="4317" spans="2:12" x14ac:dyDescent="0.2">
      <c r="B4317"/>
      <c r="C4317"/>
      <c r="J4317"/>
      <c r="K4317"/>
      <c r="L4317"/>
    </row>
    <row r="4318" spans="2:12" x14ac:dyDescent="0.2">
      <c r="B4318"/>
      <c r="C4318"/>
      <c r="J4318"/>
      <c r="K4318"/>
      <c r="L4318"/>
    </row>
    <row r="4319" spans="2:12" x14ac:dyDescent="0.2">
      <c r="B4319"/>
      <c r="C4319"/>
      <c r="J4319"/>
      <c r="K4319"/>
      <c r="L4319"/>
    </row>
    <row r="4320" spans="2:12" x14ac:dyDescent="0.2">
      <c r="B4320"/>
      <c r="C4320"/>
      <c r="J4320"/>
      <c r="K4320"/>
      <c r="L4320"/>
    </row>
    <row r="4321" spans="2:12" x14ac:dyDescent="0.2">
      <c r="B4321"/>
      <c r="C4321"/>
      <c r="J4321"/>
      <c r="K4321"/>
      <c r="L4321"/>
    </row>
    <row r="4322" spans="2:12" x14ac:dyDescent="0.2">
      <c r="B4322"/>
      <c r="C4322"/>
      <c r="J4322"/>
      <c r="K4322"/>
      <c r="L4322"/>
    </row>
    <row r="4323" spans="2:12" x14ac:dyDescent="0.2">
      <c r="B4323"/>
      <c r="C4323"/>
      <c r="J4323"/>
      <c r="K4323"/>
      <c r="L4323"/>
    </row>
    <row r="4324" spans="2:12" x14ac:dyDescent="0.2">
      <c r="B4324"/>
      <c r="C4324"/>
      <c r="J4324"/>
      <c r="K4324"/>
      <c r="L4324"/>
    </row>
    <row r="4325" spans="2:12" x14ac:dyDescent="0.2">
      <c r="B4325"/>
      <c r="C4325"/>
      <c r="J4325"/>
      <c r="K4325"/>
      <c r="L4325"/>
    </row>
    <row r="4326" spans="2:12" x14ac:dyDescent="0.2">
      <c r="B4326"/>
      <c r="C4326"/>
      <c r="J4326"/>
      <c r="K4326"/>
      <c r="L4326"/>
    </row>
    <row r="4327" spans="2:12" x14ac:dyDescent="0.2">
      <c r="B4327"/>
      <c r="C4327"/>
      <c r="J4327"/>
      <c r="K4327"/>
      <c r="L4327"/>
    </row>
    <row r="4328" spans="2:12" x14ac:dyDescent="0.2">
      <c r="B4328"/>
      <c r="C4328"/>
      <c r="J4328"/>
      <c r="K4328"/>
      <c r="L4328"/>
    </row>
    <row r="4329" spans="2:12" x14ac:dyDescent="0.2">
      <c r="B4329"/>
      <c r="C4329"/>
      <c r="J4329"/>
      <c r="K4329"/>
      <c r="L4329"/>
    </row>
    <row r="4330" spans="2:12" x14ac:dyDescent="0.2">
      <c r="B4330"/>
      <c r="C4330"/>
      <c r="J4330"/>
      <c r="K4330"/>
      <c r="L4330"/>
    </row>
    <row r="4331" spans="2:12" x14ac:dyDescent="0.2">
      <c r="B4331"/>
      <c r="C4331"/>
      <c r="J4331"/>
      <c r="K4331"/>
      <c r="L4331"/>
    </row>
    <row r="4332" spans="2:12" x14ac:dyDescent="0.2">
      <c r="B4332"/>
      <c r="C4332"/>
      <c r="J4332"/>
      <c r="K4332"/>
      <c r="L4332"/>
    </row>
    <row r="4333" spans="2:12" x14ac:dyDescent="0.2">
      <c r="B4333"/>
      <c r="C4333"/>
      <c r="J4333"/>
      <c r="K4333"/>
      <c r="L4333"/>
    </row>
    <row r="4334" spans="2:12" x14ac:dyDescent="0.2">
      <c r="B4334"/>
      <c r="C4334"/>
      <c r="J4334"/>
      <c r="K4334"/>
      <c r="L4334"/>
    </row>
    <row r="4335" spans="2:12" x14ac:dyDescent="0.2">
      <c r="B4335"/>
      <c r="C4335"/>
      <c r="J4335"/>
      <c r="K4335"/>
      <c r="L4335"/>
    </row>
    <row r="4336" spans="2:12" x14ac:dyDescent="0.2">
      <c r="B4336"/>
      <c r="C4336"/>
      <c r="J4336"/>
      <c r="K4336"/>
      <c r="L4336"/>
    </row>
    <row r="4337" spans="2:12" x14ac:dyDescent="0.2">
      <c r="B4337"/>
      <c r="C4337"/>
      <c r="J4337"/>
      <c r="K4337"/>
      <c r="L4337"/>
    </row>
    <row r="4338" spans="2:12" x14ac:dyDescent="0.2">
      <c r="B4338"/>
      <c r="C4338"/>
      <c r="J4338"/>
      <c r="K4338"/>
      <c r="L4338"/>
    </row>
    <row r="4339" spans="2:12" x14ac:dyDescent="0.2">
      <c r="B4339"/>
      <c r="C4339"/>
      <c r="J4339"/>
      <c r="K4339"/>
      <c r="L4339"/>
    </row>
    <row r="4340" spans="2:12" x14ac:dyDescent="0.2">
      <c r="B4340"/>
      <c r="C4340"/>
      <c r="J4340"/>
      <c r="K4340"/>
      <c r="L4340"/>
    </row>
    <row r="4341" spans="2:12" x14ac:dyDescent="0.2">
      <c r="B4341"/>
      <c r="C4341"/>
      <c r="J4341"/>
      <c r="K4341"/>
      <c r="L4341"/>
    </row>
    <row r="4342" spans="2:12" x14ac:dyDescent="0.2">
      <c r="B4342"/>
      <c r="C4342"/>
      <c r="J4342"/>
      <c r="K4342"/>
      <c r="L4342"/>
    </row>
    <row r="4343" spans="2:12" x14ac:dyDescent="0.2">
      <c r="B4343"/>
      <c r="C4343"/>
      <c r="J4343"/>
      <c r="K4343"/>
      <c r="L4343"/>
    </row>
    <row r="4344" spans="2:12" x14ac:dyDescent="0.2">
      <c r="B4344"/>
      <c r="C4344"/>
      <c r="J4344"/>
      <c r="K4344"/>
      <c r="L4344"/>
    </row>
    <row r="4345" spans="2:12" x14ac:dyDescent="0.2">
      <c r="B4345"/>
      <c r="C4345"/>
      <c r="J4345"/>
      <c r="K4345"/>
      <c r="L4345"/>
    </row>
    <row r="4346" spans="2:12" x14ac:dyDescent="0.2">
      <c r="B4346"/>
      <c r="C4346"/>
      <c r="J4346"/>
      <c r="K4346"/>
      <c r="L4346"/>
    </row>
    <row r="4347" spans="2:12" x14ac:dyDescent="0.2">
      <c r="B4347"/>
      <c r="C4347"/>
      <c r="J4347"/>
      <c r="K4347"/>
      <c r="L4347"/>
    </row>
    <row r="4348" spans="2:12" x14ac:dyDescent="0.2">
      <c r="B4348"/>
      <c r="C4348"/>
      <c r="J4348"/>
      <c r="K4348"/>
      <c r="L4348"/>
    </row>
    <row r="4349" spans="2:12" x14ac:dyDescent="0.2">
      <c r="B4349"/>
      <c r="C4349"/>
      <c r="J4349"/>
      <c r="K4349"/>
      <c r="L4349"/>
    </row>
    <row r="4350" spans="2:12" x14ac:dyDescent="0.2">
      <c r="B4350"/>
      <c r="C4350"/>
      <c r="J4350"/>
      <c r="K4350"/>
      <c r="L4350"/>
    </row>
    <row r="4351" spans="2:12" x14ac:dyDescent="0.2">
      <c r="B4351"/>
      <c r="C4351"/>
      <c r="J4351"/>
      <c r="K4351"/>
      <c r="L4351"/>
    </row>
    <row r="4352" spans="2:12" x14ac:dyDescent="0.2">
      <c r="B4352"/>
      <c r="C4352"/>
      <c r="J4352"/>
      <c r="K4352"/>
      <c r="L4352"/>
    </row>
    <row r="4353" spans="2:12" x14ac:dyDescent="0.2">
      <c r="B4353"/>
      <c r="C4353"/>
      <c r="J4353"/>
      <c r="K4353"/>
      <c r="L4353"/>
    </row>
    <row r="4354" spans="2:12" x14ac:dyDescent="0.2">
      <c r="B4354"/>
      <c r="C4354"/>
      <c r="J4354"/>
      <c r="K4354"/>
      <c r="L4354"/>
    </row>
    <row r="4355" spans="2:12" x14ac:dyDescent="0.2">
      <c r="B4355"/>
      <c r="C4355"/>
      <c r="J4355"/>
      <c r="K4355"/>
      <c r="L4355"/>
    </row>
    <row r="4356" spans="2:12" x14ac:dyDescent="0.2">
      <c r="B4356"/>
      <c r="C4356"/>
      <c r="J4356"/>
      <c r="K4356"/>
      <c r="L4356"/>
    </row>
    <row r="4357" spans="2:12" x14ac:dyDescent="0.2">
      <c r="B4357"/>
      <c r="C4357"/>
      <c r="J4357"/>
      <c r="K4357"/>
      <c r="L4357"/>
    </row>
    <row r="4358" spans="2:12" x14ac:dyDescent="0.2">
      <c r="B4358"/>
      <c r="C4358"/>
      <c r="J4358"/>
      <c r="K4358"/>
      <c r="L4358"/>
    </row>
    <row r="4359" spans="2:12" x14ac:dyDescent="0.2">
      <c r="B4359"/>
      <c r="C4359"/>
      <c r="J4359"/>
      <c r="K4359"/>
      <c r="L4359"/>
    </row>
    <row r="4360" spans="2:12" x14ac:dyDescent="0.2">
      <c r="B4360"/>
      <c r="C4360"/>
      <c r="J4360"/>
      <c r="K4360"/>
      <c r="L4360"/>
    </row>
    <row r="4361" spans="2:12" x14ac:dyDescent="0.2">
      <c r="B4361"/>
      <c r="C4361"/>
      <c r="J4361"/>
      <c r="K4361"/>
      <c r="L4361"/>
    </row>
    <row r="4362" spans="2:12" x14ac:dyDescent="0.2">
      <c r="B4362"/>
      <c r="C4362"/>
      <c r="J4362"/>
      <c r="K4362"/>
      <c r="L4362"/>
    </row>
    <row r="4363" spans="2:12" x14ac:dyDescent="0.2">
      <c r="B4363"/>
      <c r="C4363"/>
      <c r="J4363"/>
      <c r="K4363"/>
      <c r="L4363"/>
    </row>
    <row r="4364" spans="2:12" x14ac:dyDescent="0.2">
      <c r="B4364"/>
      <c r="C4364"/>
      <c r="J4364"/>
      <c r="K4364"/>
      <c r="L4364"/>
    </row>
    <row r="4365" spans="2:12" x14ac:dyDescent="0.2">
      <c r="B4365"/>
      <c r="C4365"/>
      <c r="J4365"/>
      <c r="K4365"/>
      <c r="L4365"/>
    </row>
    <row r="4366" spans="2:12" x14ac:dyDescent="0.2">
      <c r="B4366"/>
      <c r="C4366"/>
      <c r="J4366"/>
      <c r="K4366"/>
      <c r="L4366"/>
    </row>
    <row r="4367" spans="2:12" x14ac:dyDescent="0.2">
      <c r="B4367"/>
      <c r="C4367"/>
      <c r="J4367"/>
      <c r="K4367"/>
      <c r="L4367"/>
    </row>
    <row r="4368" spans="2:12" x14ac:dyDescent="0.2">
      <c r="B4368"/>
      <c r="C4368"/>
      <c r="J4368"/>
      <c r="K4368"/>
      <c r="L4368"/>
    </row>
    <row r="4369" spans="2:12" x14ac:dyDescent="0.2">
      <c r="B4369"/>
      <c r="C4369"/>
      <c r="J4369"/>
      <c r="K4369"/>
      <c r="L4369"/>
    </row>
    <row r="4370" spans="2:12" x14ac:dyDescent="0.2">
      <c r="B4370"/>
      <c r="C4370"/>
      <c r="J4370"/>
      <c r="K4370"/>
      <c r="L4370"/>
    </row>
    <row r="4371" spans="2:12" x14ac:dyDescent="0.2">
      <c r="B4371"/>
      <c r="C4371"/>
      <c r="J4371"/>
      <c r="K4371"/>
      <c r="L4371"/>
    </row>
    <row r="4372" spans="2:12" x14ac:dyDescent="0.2">
      <c r="B4372"/>
      <c r="C4372"/>
      <c r="J4372"/>
      <c r="K4372"/>
      <c r="L4372"/>
    </row>
    <row r="4373" spans="2:12" x14ac:dyDescent="0.2">
      <c r="B4373"/>
      <c r="C4373"/>
      <c r="J4373"/>
      <c r="K4373"/>
      <c r="L4373"/>
    </row>
    <row r="4374" spans="2:12" x14ac:dyDescent="0.2">
      <c r="B4374"/>
      <c r="C4374"/>
      <c r="J4374"/>
      <c r="K4374"/>
      <c r="L4374"/>
    </row>
    <row r="4375" spans="2:12" x14ac:dyDescent="0.2">
      <c r="B4375"/>
      <c r="C4375"/>
      <c r="J4375"/>
      <c r="K4375"/>
      <c r="L4375"/>
    </row>
    <row r="4376" spans="2:12" x14ac:dyDescent="0.2">
      <c r="B4376"/>
      <c r="C4376"/>
      <c r="J4376"/>
      <c r="K4376"/>
      <c r="L4376"/>
    </row>
    <row r="4377" spans="2:12" x14ac:dyDescent="0.2">
      <c r="B4377"/>
      <c r="C4377"/>
      <c r="J4377"/>
      <c r="K4377"/>
      <c r="L4377"/>
    </row>
    <row r="4378" spans="2:12" x14ac:dyDescent="0.2">
      <c r="B4378"/>
      <c r="C4378"/>
      <c r="J4378"/>
      <c r="K4378"/>
      <c r="L4378"/>
    </row>
    <row r="4379" spans="2:12" x14ac:dyDescent="0.2">
      <c r="B4379"/>
      <c r="C4379"/>
      <c r="J4379"/>
      <c r="K4379"/>
      <c r="L4379"/>
    </row>
    <row r="4380" spans="2:12" x14ac:dyDescent="0.2">
      <c r="B4380"/>
      <c r="C4380"/>
      <c r="J4380"/>
      <c r="K4380"/>
      <c r="L4380"/>
    </row>
    <row r="4381" spans="2:12" x14ac:dyDescent="0.2">
      <c r="B4381"/>
      <c r="C4381"/>
      <c r="J4381"/>
      <c r="K4381"/>
      <c r="L4381"/>
    </row>
    <row r="4382" spans="2:12" x14ac:dyDescent="0.2">
      <c r="B4382"/>
      <c r="C4382"/>
      <c r="J4382"/>
      <c r="K4382"/>
      <c r="L4382"/>
    </row>
    <row r="4383" spans="2:12" x14ac:dyDescent="0.2">
      <c r="B4383"/>
      <c r="C4383"/>
      <c r="J4383"/>
      <c r="K4383"/>
      <c r="L4383"/>
    </row>
    <row r="4384" spans="2:12" x14ac:dyDescent="0.2">
      <c r="B4384"/>
      <c r="C4384"/>
      <c r="J4384"/>
      <c r="K4384"/>
      <c r="L4384"/>
    </row>
    <row r="4385" spans="2:12" x14ac:dyDescent="0.2">
      <c r="B4385"/>
      <c r="C4385"/>
      <c r="J4385"/>
      <c r="K4385"/>
      <c r="L4385"/>
    </row>
    <row r="4386" spans="2:12" x14ac:dyDescent="0.2">
      <c r="B4386"/>
      <c r="C4386"/>
      <c r="J4386"/>
      <c r="K4386"/>
      <c r="L4386"/>
    </row>
    <row r="4387" spans="2:12" x14ac:dyDescent="0.2">
      <c r="B4387"/>
      <c r="C4387"/>
      <c r="J4387"/>
      <c r="K4387"/>
      <c r="L4387"/>
    </row>
    <row r="4388" spans="2:12" x14ac:dyDescent="0.2">
      <c r="B4388"/>
      <c r="C4388"/>
      <c r="J4388"/>
      <c r="K4388"/>
      <c r="L4388"/>
    </row>
    <row r="4389" spans="2:12" x14ac:dyDescent="0.2">
      <c r="B4389"/>
      <c r="C4389"/>
      <c r="J4389"/>
      <c r="K4389"/>
      <c r="L4389"/>
    </row>
    <row r="4390" spans="2:12" x14ac:dyDescent="0.2">
      <c r="B4390"/>
      <c r="C4390"/>
      <c r="J4390"/>
      <c r="K4390"/>
      <c r="L4390"/>
    </row>
    <row r="4391" spans="2:12" x14ac:dyDescent="0.2">
      <c r="B4391"/>
      <c r="C4391"/>
      <c r="J4391"/>
      <c r="K4391"/>
      <c r="L4391"/>
    </row>
    <row r="4392" spans="2:12" x14ac:dyDescent="0.2">
      <c r="B4392"/>
      <c r="C4392"/>
      <c r="J4392"/>
      <c r="K4392"/>
      <c r="L4392"/>
    </row>
    <row r="4393" spans="2:12" x14ac:dyDescent="0.2">
      <c r="B4393"/>
      <c r="C4393"/>
      <c r="J4393"/>
      <c r="K4393"/>
      <c r="L4393"/>
    </row>
    <row r="4394" spans="2:12" x14ac:dyDescent="0.2">
      <c r="B4394"/>
      <c r="C4394"/>
      <c r="J4394"/>
      <c r="K4394"/>
      <c r="L4394"/>
    </row>
    <row r="4395" spans="2:12" x14ac:dyDescent="0.2">
      <c r="B4395"/>
      <c r="C4395"/>
      <c r="J4395"/>
      <c r="K4395"/>
      <c r="L4395"/>
    </row>
    <row r="4396" spans="2:12" x14ac:dyDescent="0.2">
      <c r="B4396"/>
      <c r="C4396"/>
      <c r="J4396"/>
      <c r="K4396"/>
      <c r="L4396"/>
    </row>
    <row r="4397" spans="2:12" x14ac:dyDescent="0.2">
      <c r="B4397"/>
      <c r="C4397"/>
      <c r="J4397"/>
      <c r="K4397"/>
      <c r="L4397"/>
    </row>
    <row r="4398" spans="2:12" x14ac:dyDescent="0.2">
      <c r="B4398"/>
      <c r="C4398"/>
      <c r="J4398"/>
      <c r="K4398"/>
      <c r="L4398"/>
    </row>
    <row r="4399" spans="2:12" x14ac:dyDescent="0.2">
      <c r="B4399"/>
      <c r="C4399"/>
      <c r="J4399"/>
      <c r="K4399"/>
      <c r="L4399"/>
    </row>
    <row r="4400" spans="2:12" x14ac:dyDescent="0.2">
      <c r="B4400"/>
      <c r="C4400"/>
      <c r="J4400"/>
      <c r="K4400"/>
      <c r="L4400"/>
    </row>
    <row r="4401" spans="2:12" x14ac:dyDescent="0.2">
      <c r="B4401"/>
      <c r="C4401"/>
      <c r="J4401"/>
      <c r="K4401"/>
      <c r="L4401"/>
    </row>
    <row r="4402" spans="2:12" x14ac:dyDescent="0.2">
      <c r="B4402"/>
      <c r="C4402"/>
      <c r="J4402"/>
      <c r="K4402"/>
      <c r="L4402"/>
    </row>
    <row r="4403" spans="2:12" x14ac:dyDescent="0.2">
      <c r="B4403"/>
      <c r="C4403"/>
      <c r="J4403"/>
      <c r="K4403"/>
      <c r="L4403"/>
    </row>
    <row r="4404" spans="2:12" x14ac:dyDescent="0.2">
      <c r="B4404"/>
      <c r="C4404"/>
      <c r="J4404"/>
      <c r="K4404"/>
      <c r="L4404"/>
    </row>
    <row r="4405" spans="2:12" x14ac:dyDescent="0.2">
      <c r="B4405"/>
      <c r="C4405"/>
      <c r="J4405"/>
      <c r="K4405"/>
      <c r="L4405"/>
    </row>
    <row r="4406" spans="2:12" x14ac:dyDescent="0.2">
      <c r="B4406"/>
      <c r="C4406"/>
      <c r="J4406"/>
      <c r="K4406"/>
      <c r="L4406"/>
    </row>
    <row r="4407" spans="2:12" x14ac:dyDescent="0.2">
      <c r="B4407"/>
      <c r="C4407"/>
      <c r="J4407"/>
      <c r="K4407"/>
      <c r="L4407"/>
    </row>
    <row r="4408" spans="2:12" x14ac:dyDescent="0.2">
      <c r="B4408"/>
      <c r="C4408"/>
      <c r="J4408"/>
      <c r="K4408"/>
      <c r="L4408"/>
    </row>
    <row r="4409" spans="2:12" x14ac:dyDescent="0.2">
      <c r="B4409"/>
      <c r="C4409"/>
      <c r="J4409"/>
      <c r="K4409"/>
      <c r="L4409"/>
    </row>
    <row r="4410" spans="2:12" x14ac:dyDescent="0.2">
      <c r="B4410"/>
      <c r="C4410"/>
      <c r="J4410"/>
      <c r="K4410"/>
      <c r="L4410"/>
    </row>
    <row r="4411" spans="2:12" x14ac:dyDescent="0.2">
      <c r="B4411"/>
      <c r="C4411"/>
      <c r="J4411"/>
      <c r="K4411"/>
      <c r="L4411"/>
    </row>
    <row r="4412" spans="2:12" x14ac:dyDescent="0.2">
      <c r="B4412"/>
      <c r="C4412"/>
      <c r="J4412"/>
      <c r="K4412"/>
      <c r="L4412"/>
    </row>
    <row r="4413" spans="2:12" x14ac:dyDescent="0.2">
      <c r="B4413"/>
      <c r="C4413"/>
      <c r="J4413"/>
      <c r="K4413"/>
      <c r="L4413"/>
    </row>
    <row r="4414" spans="2:12" x14ac:dyDescent="0.2">
      <c r="B4414"/>
      <c r="C4414"/>
      <c r="J4414"/>
      <c r="K4414"/>
      <c r="L4414"/>
    </row>
    <row r="4415" spans="2:12" x14ac:dyDescent="0.2">
      <c r="B4415"/>
      <c r="C4415"/>
      <c r="J4415"/>
      <c r="K4415"/>
      <c r="L4415"/>
    </row>
    <row r="4416" spans="2:12" x14ac:dyDescent="0.2">
      <c r="B4416"/>
      <c r="C4416"/>
      <c r="J4416"/>
      <c r="K4416"/>
      <c r="L4416"/>
    </row>
    <row r="4417" spans="2:12" x14ac:dyDescent="0.2">
      <c r="B4417"/>
      <c r="C4417"/>
      <c r="J4417"/>
      <c r="K4417"/>
      <c r="L4417"/>
    </row>
    <row r="4418" spans="2:12" x14ac:dyDescent="0.2">
      <c r="B4418"/>
      <c r="C4418"/>
      <c r="J4418"/>
      <c r="K4418"/>
      <c r="L4418"/>
    </row>
    <row r="4419" spans="2:12" x14ac:dyDescent="0.2">
      <c r="B4419"/>
      <c r="C4419"/>
      <c r="J4419"/>
      <c r="K4419"/>
      <c r="L4419"/>
    </row>
    <row r="4420" spans="2:12" x14ac:dyDescent="0.2">
      <c r="B4420"/>
      <c r="C4420"/>
      <c r="J4420"/>
      <c r="K4420"/>
      <c r="L4420"/>
    </row>
    <row r="4421" spans="2:12" x14ac:dyDescent="0.2">
      <c r="B4421"/>
      <c r="C4421"/>
      <c r="J4421"/>
      <c r="K4421"/>
      <c r="L4421"/>
    </row>
    <row r="4422" spans="2:12" x14ac:dyDescent="0.2">
      <c r="B4422"/>
      <c r="C4422"/>
      <c r="J4422"/>
      <c r="K4422"/>
      <c r="L4422"/>
    </row>
    <row r="4423" spans="2:12" x14ac:dyDescent="0.2">
      <c r="B4423"/>
      <c r="C4423"/>
      <c r="J4423"/>
      <c r="K4423"/>
      <c r="L4423"/>
    </row>
    <row r="4424" spans="2:12" x14ac:dyDescent="0.2">
      <c r="B4424"/>
      <c r="C4424"/>
      <c r="J4424"/>
      <c r="K4424"/>
      <c r="L4424"/>
    </row>
    <row r="4425" spans="2:12" x14ac:dyDescent="0.2">
      <c r="B4425"/>
      <c r="C4425"/>
      <c r="J4425"/>
      <c r="K4425"/>
      <c r="L4425"/>
    </row>
    <row r="4426" spans="2:12" x14ac:dyDescent="0.2">
      <c r="B4426"/>
      <c r="C4426"/>
      <c r="J4426"/>
      <c r="K4426"/>
      <c r="L4426"/>
    </row>
    <row r="4427" spans="2:12" x14ac:dyDescent="0.2">
      <c r="B4427"/>
      <c r="C4427"/>
      <c r="J4427"/>
      <c r="K4427"/>
      <c r="L4427"/>
    </row>
    <row r="4428" spans="2:12" x14ac:dyDescent="0.2">
      <c r="B4428"/>
      <c r="C4428"/>
      <c r="J4428"/>
      <c r="K4428"/>
      <c r="L4428"/>
    </row>
    <row r="4429" spans="2:12" x14ac:dyDescent="0.2">
      <c r="B4429"/>
      <c r="C4429"/>
      <c r="J4429"/>
      <c r="K4429"/>
      <c r="L4429"/>
    </row>
    <row r="4430" spans="2:12" x14ac:dyDescent="0.2">
      <c r="B4430"/>
      <c r="C4430"/>
      <c r="J4430"/>
      <c r="K4430"/>
      <c r="L4430"/>
    </row>
    <row r="4431" spans="2:12" x14ac:dyDescent="0.2">
      <c r="B4431"/>
      <c r="C4431"/>
      <c r="J4431"/>
      <c r="K4431"/>
      <c r="L4431"/>
    </row>
    <row r="4432" spans="2:12" x14ac:dyDescent="0.2">
      <c r="B4432"/>
      <c r="C4432"/>
      <c r="J4432"/>
      <c r="K4432"/>
      <c r="L4432"/>
    </row>
    <row r="4433" spans="2:12" x14ac:dyDescent="0.2">
      <c r="B4433"/>
      <c r="C4433"/>
      <c r="J4433"/>
      <c r="K4433"/>
      <c r="L4433"/>
    </row>
    <row r="4434" spans="2:12" x14ac:dyDescent="0.2">
      <c r="B4434"/>
      <c r="C4434"/>
      <c r="J4434"/>
      <c r="K4434"/>
      <c r="L4434"/>
    </row>
    <row r="4435" spans="2:12" x14ac:dyDescent="0.2">
      <c r="B4435"/>
      <c r="C4435"/>
      <c r="J4435"/>
      <c r="K4435"/>
      <c r="L4435"/>
    </row>
    <row r="4436" spans="2:12" x14ac:dyDescent="0.2">
      <c r="B4436"/>
      <c r="C4436"/>
      <c r="J4436"/>
      <c r="K4436"/>
      <c r="L4436"/>
    </row>
    <row r="4437" spans="2:12" x14ac:dyDescent="0.2">
      <c r="B4437"/>
      <c r="C4437"/>
      <c r="J4437"/>
      <c r="K4437"/>
      <c r="L4437"/>
    </row>
    <row r="4438" spans="2:12" x14ac:dyDescent="0.2">
      <c r="B4438"/>
      <c r="C4438"/>
      <c r="J4438"/>
      <c r="K4438"/>
      <c r="L4438"/>
    </row>
    <row r="4439" spans="2:12" x14ac:dyDescent="0.2">
      <c r="B4439"/>
      <c r="C4439"/>
      <c r="J4439"/>
      <c r="K4439"/>
      <c r="L4439"/>
    </row>
    <row r="4440" spans="2:12" x14ac:dyDescent="0.2">
      <c r="B4440"/>
      <c r="C4440"/>
      <c r="J4440"/>
      <c r="K4440"/>
      <c r="L4440"/>
    </row>
    <row r="4441" spans="2:12" x14ac:dyDescent="0.2">
      <c r="B4441"/>
      <c r="C4441"/>
      <c r="J4441"/>
      <c r="K4441"/>
      <c r="L4441"/>
    </row>
    <row r="4442" spans="2:12" x14ac:dyDescent="0.2">
      <c r="B4442"/>
      <c r="C4442"/>
      <c r="J4442"/>
      <c r="K4442"/>
      <c r="L4442"/>
    </row>
    <row r="4443" spans="2:12" x14ac:dyDescent="0.2">
      <c r="B4443"/>
      <c r="C4443"/>
      <c r="J4443"/>
      <c r="K4443"/>
      <c r="L4443"/>
    </row>
    <row r="4444" spans="2:12" x14ac:dyDescent="0.2">
      <c r="B4444"/>
      <c r="C4444"/>
      <c r="J4444"/>
      <c r="K4444"/>
      <c r="L4444"/>
    </row>
    <row r="4445" spans="2:12" x14ac:dyDescent="0.2">
      <c r="B4445"/>
      <c r="C4445"/>
      <c r="J4445"/>
      <c r="K4445"/>
      <c r="L4445"/>
    </row>
    <row r="4446" spans="2:12" x14ac:dyDescent="0.2">
      <c r="B4446"/>
      <c r="C4446"/>
      <c r="J4446"/>
      <c r="K4446"/>
      <c r="L4446"/>
    </row>
    <row r="4447" spans="2:12" x14ac:dyDescent="0.2">
      <c r="B4447"/>
      <c r="C4447"/>
      <c r="J4447"/>
      <c r="K4447"/>
      <c r="L4447"/>
    </row>
    <row r="4448" spans="2:12" x14ac:dyDescent="0.2">
      <c r="B4448"/>
      <c r="C4448"/>
      <c r="J4448"/>
      <c r="K4448"/>
      <c r="L4448"/>
    </row>
    <row r="4449" spans="2:12" x14ac:dyDescent="0.2">
      <c r="B4449"/>
      <c r="C4449"/>
      <c r="J4449"/>
      <c r="K4449"/>
      <c r="L4449"/>
    </row>
    <row r="4450" spans="2:12" x14ac:dyDescent="0.2">
      <c r="B4450"/>
      <c r="C4450"/>
      <c r="J4450"/>
      <c r="K4450"/>
      <c r="L4450"/>
    </row>
    <row r="4451" spans="2:12" x14ac:dyDescent="0.2">
      <c r="B4451"/>
      <c r="C4451"/>
      <c r="J4451"/>
      <c r="K4451"/>
      <c r="L4451"/>
    </row>
    <row r="4452" spans="2:12" x14ac:dyDescent="0.2">
      <c r="B4452"/>
      <c r="C4452"/>
      <c r="J4452"/>
      <c r="K4452"/>
      <c r="L4452"/>
    </row>
    <row r="4453" spans="2:12" x14ac:dyDescent="0.2">
      <c r="B4453"/>
      <c r="C4453"/>
      <c r="J4453"/>
      <c r="K4453"/>
      <c r="L4453"/>
    </row>
    <row r="4454" spans="2:12" x14ac:dyDescent="0.2">
      <c r="B4454"/>
      <c r="C4454"/>
      <c r="J4454"/>
      <c r="K4454"/>
      <c r="L4454"/>
    </row>
    <row r="4455" spans="2:12" x14ac:dyDescent="0.2">
      <c r="B4455"/>
      <c r="C4455"/>
      <c r="J4455"/>
      <c r="K4455"/>
      <c r="L4455"/>
    </row>
    <row r="4456" spans="2:12" x14ac:dyDescent="0.2">
      <c r="B4456"/>
      <c r="C4456"/>
      <c r="J4456"/>
      <c r="K4456"/>
      <c r="L4456"/>
    </row>
    <row r="4457" spans="2:12" x14ac:dyDescent="0.2">
      <c r="B4457"/>
      <c r="C4457"/>
      <c r="J4457"/>
      <c r="K4457"/>
      <c r="L4457"/>
    </row>
    <row r="4458" spans="2:12" x14ac:dyDescent="0.2">
      <c r="B4458"/>
      <c r="C4458"/>
      <c r="J4458"/>
      <c r="K4458"/>
      <c r="L4458"/>
    </row>
    <row r="4459" spans="2:12" x14ac:dyDescent="0.2">
      <c r="B4459"/>
      <c r="C4459"/>
      <c r="J4459"/>
      <c r="K4459"/>
      <c r="L4459"/>
    </row>
    <row r="4460" spans="2:12" x14ac:dyDescent="0.2">
      <c r="B4460"/>
      <c r="C4460"/>
      <c r="J4460"/>
      <c r="K4460"/>
      <c r="L4460"/>
    </row>
    <row r="4461" spans="2:12" x14ac:dyDescent="0.2">
      <c r="B4461"/>
      <c r="C4461"/>
      <c r="J4461"/>
      <c r="K4461"/>
      <c r="L4461"/>
    </row>
    <row r="4462" spans="2:12" x14ac:dyDescent="0.2">
      <c r="B4462"/>
      <c r="C4462"/>
      <c r="J4462"/>
      <c r="K4462"/>
      <c r="L4462"/>
    </row>
    <row r="4463" spans="2:12" x14ac:dyDescent="0.2">
      <c r="B4463"/>
      <c r="C4463"/>
      <c r="J4463"/>
      <c r="K4463"/>
      <c r="L4463"/>
    </row>
    <row r="4464" spans="2:12" x14ac:dyDescent="0.2">
      <c r="B4464"/>
      <c r="C4464"/>
      <c r="J4464"/>
      <c r="K4464"/>
      <c r="L4464"/>
    </row>
    <row r="4465" spans="2:12" x14ac:dyDescent="0.2">
      <c r="B4465"/>
      <c r="C4465"/>
      <c r="J4465"/>
      <c r="K4465"/>
      <c r="L4465"/>
    </row>
    <row r="4466" spans="2:12" x14ac:dyDescent="0.2">
      <c r="B4466"/>
      <c r="C4466"/>
      <c r="J4466"/>
      <c r="K4466"/>
      <c r="L4466"/>
    </row>
    <row r="4467" spans="2:12" x14ac:dyDescent="0.2">
      <c r="B4467"/>
      <c r="C4467"/>
      <c r="J4467"/>
      <c r="K4467"/>
      <c r="L4467"/>
    </row>
    <row r="4468" spans="2:12" x14ac:dyDescent="0.2">
      <c r="B4468"/>
      <c r="C4468"/>
      <c r="J4468"/>
      <c r="K4468"/>
      <c r="L4468"/>
    </row>
    <row r="4469" spans="2:12" x14ac:dyDescent="0.2">
      <c r="B4469"/>
      <c r="C4469"/>
      <c r="J4469"/>
      <c r="K4469"/>
      <c r="L4469"/>
    </row>
    <row r="4470" spans="2:12" x14ac:dyDescent="0.2">
      <c r="B4470"/>
      <c r="C4470"/>
      <c r="J4470"/>
      <c r="K4470"/>
      <c r="L4470"/>
    </row>
    <row r="4471" spans="2:12" x14ac:dyDescent="0.2">
      <c r="B4471"/>
      <c r="C4471"/>
      <c r="J4471"/>
      <c r="K4471"/>
      <c r="L4471"/>
    </row>
    <row r="4472" spans="2:12" x14ac:dyDescent="0.2">
      <c r="B4472"/>
      <c r="C4472"/>
      <c r="J4472"/>
      <c r="K4472"/>
      <c r="L4472"/>
    </row>
    <row r="4473" spans="2:12" x14ac:dyDescent="0.2">
      <c r="B4473"/>
      <c r="C4473"/>
      <c r="J4473"/>
      <c r="K4473"/>
      <c r="L4473"/>
    </row>
    <row r="4474" spans="2:12" x14ac:dyDescent="0.2">
      <c r="B4474"/>
      <c r="C4474"/>
      <c r="J4474"/>
      <c r="K4474"/>
      <c r="L4474"/>
    </row>
    <row r="4475" spans="2:12" x14ac:dyDescent="0.2">
      <c r="B4475"/>
      <c r="C4475"/>
      <c r="J4475"/>
      <c r="K4475"/>
      <c r="L4475"/>
    </row>
    <row r="4476" spans="2:12" x14ac:dyDescent="0.2">
      <c r="B4476"/>
      <c r="C4476"/>
      <c r="J4476"/>
      <c r="K4476"/>
      <c r="L4476"/>
    </row>
    <row r="4477" spans="2:12" x14ac:dyDescent="0.2">
      <c r="B4477"/>
      <c r="C4477"/>
      <c r="J4477"/>
      <c r="K4477"/>
      <c r="L4477"/>
    </row>
    <row r="4478" spans="2:12" x14ac:dyDescent="0.2">
      <c r="B4478"/>
      <c r="C4478"/>
      <c r="J4478"/>
      <c r="K4478"/>
      <c r="L4478"/>
    </row>
    <row r="4479" spans="2:12" x14ac:dyDescent="0.2">
      <c r="B4479"/>
      <c r="C4479"/>
      <c r="J4479"/>
      <c r="K4479"/>
      <c r="L4479"/>
    </row>
    <row r="4480" spans="2:12" x14ac:dyDescent="0.2">
      <c r="B4480"/>
      <c r="C4480"/>
      <c r="J4480"/>
      <c r="K4480"/>
      <c r="L4480"/>
    </row>
    <row r="4481" spans="2:12" x14ac:dyDescent="0.2">
      <c r="B4481"/>
      <c r="C4481"/>
      <c r="J4481"/>
      <c r="K4481"/>
      <c r="L4481"/>
    </row>
    <row r="4482" spans="2:12" x14ac:dyDescent="0.2">
      <c r="B4482"/>
      <c r="C4482"/>
      <c r="J4482"/>
      <c r="K4482"/>
      <c r="L4482"/>
    </row>
    <row r="4483" spans="2:12" x14ac:dyDescent="0.2">
      <c r="B4483"/>
      <c r="C4483"/>
      <c r="J4483"/>
      <c r="K4483"/>
      <c r="L4483"/>
    </row>
    <row r="4484" spans="2:12" x14ac:dyDescent="0.2">
      <c r="B4484"/>
      <c r="C4484"/>
      <c r="J4484"/>
      <c r="K4484"/>
      <c r="L4484"/>
    </row>
    <row r="4485" spans="2:12" x14ac:dyDescent="0.2">
      <c r="B4485"/>
      <c r="C4485"/>
      <c r="J4485"/>
      <c r="K4485"/>
      <c r="L4485"/>
    </row>
    <row r="4486" spans="2:12" x14ac:dyDescent="0.2">
      <c r="B4486"/>
      <c r="C4486"/>
      <c r="J4486"/>
      <c r="K4486"/>
      <c r="L4486"/>
    </row>
    <row r="4487" spans="2:12" x14ac:dyDescent="0.2">
      <c r="B4487"/>
      <c r="C4487"/>
      <c r="J4487"/>
      <c r="K4487"/>
      <c r="L4487"/>
    </row>
    <row r="4488" spans="2:12" x14ac:dyDescent="0.2">
      <c r="B4488"/>
      <c r="C4488"/>
      <c r="J4488"/>
      <c r="K4488"/>
      <c r="L4488"/>
    </row>
    <row r="4489" spans="2:12" x14ac:dyDescent="0.2">
      <c r="B4489"/>
      <c r="C4489"/>
      <c r="J4489"/>
      <c r="K4489"/>
      <c r="L4489"/>
    </row>
    <row r="4490" spans="2:12" x14ac:dyDescent="0.2">
      <c r="B4490"/>
      <c r="C4490"/>
      <c r="J4490"/>
      <c r="K4490"/>
      <c r="L4490"/>
    </row>
    <row r="4491" spans="2:12" x14ac:dyDescent="0.2">
      <c r="B4491"/>
      <c r="C4491"/>
      <c r="J4491"/>
      <c r="K4491"/>
      <c r="L4491"/>
    </row>
    <row r="4492" spans="2:12" x14ac:dyDescent="0.2">
      <c r="B4492"/>
      <c r="C4492"/>
      <c r="J4492"/>
      <c r="K4492"/>
      <c r="L4492"/>
    </row>
    <row r="4493" spans="2:12" x14ac:dyDescent="0.2">
      <c r="B4493"/>
      <c r="C4493"/>
      <c r="J4493"/>
      <c r="K4493"/>
      <c r="L4493"/>
    </row>
    <row r="4494" spans="2:12" x14ac:dyDescent="0.2">
      <c r="B4494"/>
      <c r="C4494"/>
      <c r="J4494"/>
      <c r="K4494"/>
      <c r="L4494"/>
    </row>
    <row r="4495" spans="2:12" x14ac:dyDescent="0.2">
      <c r="B4495"/>
      <c r="C4495"/>
      <c r="J4495"/>
      <c r="K4495"/>
      <c r="L4495"/>
    </row>
    <row r="4496" spans="2:12" x14ac:dyDescent="0.2">
      <c r="B4496"/>
      <c r="C4496"/>
      <c r="J4496"/>
      <c r="K4496"/>
      <c r="L4496"/>
    </row>
    <row r="4497" spans="2:12" x14ac:dyDescent="0.2">
      <c r="B4497"/>
      <c r="C4497"/>
      <c r="J4497"/>
      <c r="K4497"/>
      <c r="L4497"/>
    </row>
    <row r="4498" spans="2:12" x14ac:dyDescent="0.2">
      <c r="B4498"/>
      <c r="C4498"/>
      <c r="J4498"/>
      <c r="K4498"/>
      <c r="L4498"/>
    </row>
    <row r="4499" spans="2:12" x14ac:dyDescent="0.2">
      <c r="B4499"/>
      <c r="C4499"/>
      <c r="J4499"/>
      <c r="K4499"/>
      <c r="L4499"/>
    </row>
    <row r="4500" spans="2:12" x14ac:dyDescent="0.2">
      <c r="B4500"/>
      <c r="C4500"/>
      <c r="J4500"/>
      <c r="K4500"/>
      <c r="L4500"/>
    </row>
    <row r="4501" spans="2:12" x14ac:dyDescent="0.2">
      <c r="B4501"/>
      <c r="C4501"/>
      <c r="J4501"/>
      <c r="K4501"/>
      <c r="L4501"/>
    </row>
    <row r="4502" spans="2:12" x14ac:dyDescent="0.2">
      <c r="B4502"/>
      <c r="C4502"/>
      <c r="J4502"/>
      <c r="K4502"/>
      <c r="L4502"/>
    </row>
    <row r="4503" spans="2:12" x14ac:dyDescent="0.2">
      <c r="B4503"/>
      <c r="C4503"/>
      <c r="J4503"/>
      <c r="K4503"/>
      <c r="L4503"/>
    </row>
    <row r="4504" spans="2:12" x14ac:dyDescent="0.2">
      <c r="B4504"/>
      <c r="C4504"/>
      <c r="J4504"/>
      <c r="K4504"/>
      <c r="L4504"/>
    </row>
    <row r="4505" spans="2:12" x14ac:dyDescent="0.2">
      <c r="B4505"/>
      <c r="C4505"/>
      <c r="J4505"/>
      <c r="K4505"/>
      <c r="L4505"/>
    </row>
    <row r="4506" spans="2:12" x14ac:dyDescent="0.2">
      <c r="B4506"/>
      <c r="C4506"/>
      <c r="J4506"/>
      <c r="K4506"/>
      <c r="L4506"/>
    </row>
    <row r="4507" spans="2:12" x14ac:dyDescent="0.2">
      <c r="B4507"/>
      <c r="C4507"/>
      <c r="J4507"/>
      <c r="K4507"/>
      <c r="L4507"/>
    </row>
    <row r="4508" spans="2:12" x14ac:dyDescent="0.2">
      <c r="B4508"/>
      <c r="C4508"/>
      <c r="J4508"/>
      <c r="K4508"/>
      <c r="L4508"/>
    </row>
    <row r="4509" spans="2:12" x14ac:dyDescent="0.2">
      <c r="B4509"/>
      <c r="C4509"/>
      <c r="J4509"/>
      <c r="K4509"/>
      <c r="L4509"/>
    </row>
    <row r="4510" spans="2:12" x14ac:dyDescent="0.2">
      <c r="B4510"/>
      <c r="C4510"/>
      <c r="J4510"/>
      <c r="K4510"/>
      <c r="L4510"/>
    </row>
    <row r="4511" spans="2:12" x14ac:dyDescent="0.2">
      <c r="B4511"/>
      <c r="C4511"/>
      <c r="J4511"/>
      <c r="K4511"/>
      <c r="L4511"/>
    </row>
    <row r="4512" spans="2:12" x14ac:dyDescent="0.2">
      <c r="B4512"/>
      <c r="C4512"/>
      <c r="J4512"/>
      <c r="K4512"/>
      <c r="L4512"/>
    </row>
    <row r="4513" spans="2:12" x14ac:dyDescent="0.2">
      <c r="B4513"/>
      <c r="C4513"/>
      <c r="J4513"/>
      <c r="K4513"/>
      <c r="L4513"/>
    </row>
    <row r="4514" spans="2:12" x14ac:dyDescent="0.2">
      <c r="B4514"/>
      <c r="C4514"/>
      <c r="J4514"/>
      <c r="K4514"/>
      <c r="L4514"/>
    </row>
    <row r="4515" spans="2:12" x14ac:dyDescent="0.2">
      <c r="B4515"/>
      <c r="C4515"/>
      <c r="J4515"/>
      <c r="K4515"/>
      <c r="L4515"/>
    </row>
    <row r="4516" spans="2:12" x14ac:dyDescent="0.2">
      <c r="B4516"/>
      <c r="C4516"/>
      <c r="J4516"/>
      <c r="K4516"/>
      <c r="L4516"/>
    </row>
    <row r="4517" spans="2:12" x14ac:dyDescent="0.2">
      <c r="B4517"/>
      <c r="C4517"/>
      <c r="J4517"/>
      <c r="K4517"/>
      <c r="L4517"/>
    </row>
    <row r="4518" spans="2:12" x14ac:dyDescent="0.2">
      <c r="B4518"/>
      <c r="C4518"/>
      <c r="J4518"/>
      <c r="K4518"/>
      <c r="L4518"/>
    </row>
    <row r="4519" spans="2:12" x14ac:dyDescent="0.2">
      <c r="B4519"/>
      <c r="C4519"/>
      <c r="J4519"/>
      <c r="K4519"/>
      <c r="L4519"/>
    </row>
    <row r="4520" spans="2:12" x14ac:dyDescent="0.2">
      <c r="B4520"/>
      <c r="C4520"/>
      <c r="J4520"/>
      <c r="K4520"/>
      <c r="L4520"/>
    </row>
    <row r="4521" spans="2:12" x14ac:dyDescent="0.2">
      <c r="B4521"/>
      <c r="C4521"/>
      <c r="J4521"/>
      <c r="K4521"/>
      <c r="L4521"/>
    </row>
    <row r="4522" spans="2:12" x14ac:dyDescent="0.2">
      <c r="B4522"/>
      <c r="C4522"/>
      <c r="J4522"/>
      <c r="K4522"/>
      <c r="L4522"/>
    </row>
    <row r="4523" spans="2:12" x14ac:dyDescent="0.2">
      <c r="B4523"/>
      <c r="C4523"/>
      <c r="J4523"/>
      <c r="K4523"/>
      <c r="L4523"/>
    </row>
    <row r="4524" spans="2:12" x14ac:dyDescent="0.2">
      <c r="B4524"/>
      <c r="C4524"/>
      <c r="J4524"/>
      <c r="K4524"/>
      <c r="L4524"/>
    </row>
    <row r="4525" spans="2:12" x14ac:dyDescent="0.2">
      <c r="B4525"/>
      <c r="C4525"/>
      <c r="J4525"/>
      <c r="K4525"/>
      <c r="L4525"/>
    </row>
    <row r="4526" spans="2:12" x14ac:dyDescent="0.2">
      <c r="B4526"/>
      <c r="C4526"/>
      <c r="J4526"/>
      <c r="K4526"/>
      <c r="L4526"/>
    </row>
    <row r="4527" spans="2:12" x14ac:dyDescent="0.2">
      <c r="B4527"/>
      <c r="C4527"/>
      <c r="J4527"/>
      <c r="K4527"/>
      <c r="L4527"/>
    </row>
    <row r="4528" spans="2:12" x14ac:dyDescent="0.2">
      <c r="B4528"/>
      <c r="C4528"/>
      <c r="J4528"/>
      <c r="K4528"/>
      <c r="L4528"/>
    </row>
    <row r="4529" spans="2:12" x14ac:dyDescent="0.2">
      <c r="B4529"/>
      <c r="C4529"/>
      <c r="J4529"/>
      <c r="K4529"/>
      <c r="L4529"/>
    </row>
    <row r="4530" spans="2:12" x14ac:dyDescent="0.2">
      <c r="B4530"/>
      <c r="C4530"/>
      <c r="J4530"/>
      <c r="K4530"/>
      <c r="L4530"/>
    </row>
    <row r="4531" spans="2:12" x14ac:dyDescent="0.2">
      <c r="B4531"/>
      <c r="C4531"/>
      <c r="J4531"/>
      <c r="K4531"/>
      <c r="L4531"/>
    </row>
    <row r="4532" spans="2:12" x14ac:dyDescent="0.2">
      <c r="B4532"/>
      <c r="C4532"/>
      <c r="J4532"/>
      <c r="K4532"/>
      <c r="L4532"/>
    </row>
    <row r="4533" spans="2:12" x14ac:dyDescent="0.2">
      <c r="B4533"/>
      <c r="C4533"/>
      <c r="J4533"/>
      <c r="K4533"/>
      <c r="L4533"/>
    </row>
    <row r="4534" spans="2:12" x14ac:dyDescent="0.2">
      <c r="B4534"/>
      <c r="C4534"/>
      <c r="J4534"/>
      <c r="K4534"/>
      <c r="L4534"/>
    </row>
    <row r="4535" spans="2:12" x14ac:dyDescent="0.2">
      <c r="B4535"/>
      <c r="C4535"/>
      <c r="J4535"/>
      <c r="K4535"/>
      <c r="L4535"/>
    </row>
    <row r="4536" spans="2:12" x14ac:dyDescent="0.2">
      <c r="B4536"/>
      <c r="C4536"/>
      <c r="J4536"/>
      <c r="K4536"/>
      <c r="L4536"/>
    </row>
    <row r="4537" spans="2:12" x14ac:dyDescent="0.2">
      <c r="B4537"/>
      <c r="C4537"/>
      <c r="J4537"/>
      <c r="K4537"/>
      <c r="L4537"/>
    </row>
    <row r="4538" spans="2:12" x14ac:dyDescent="0.2">
      <c r="B4538"/>
      <c r="C4538"/>
      <c r="J4538"/>
      <c r="K4538"/>
      <c r="L4538"/>
    </row>
    <row r="4539" spans="2:12" x14ac:dyDescent="0.2">
      <c r="B4539"/>
      <c r="C4539"/>
      <c r="J4539"/>
      <c r="K4539"/>
      <c r="L4539"/>
    </row>
    <row r="4540" spans="2:12" x14ac:dyDescent="0.2">
      <c r="B4540"/>
      <c r="C4540"/>
      <c r="J4540"/>
      <c r="K4540"/>
      <c r="L4540"/>
    </row>
    <row r="4541" spans="2:12" x14ac:dyDescent="0.2">
      <c r="B4541"/>
      <c r="C4541"/>
      <c r="J4541"/>
      <c r="K4541"/>
      <c r="L4541"/>
    </row>
    <row r="4542" spans="2:12" x14ac:dyDescent="0.2">
      <c r="B4542"/>
      <c r="C4542"/>
      <c r="J4542"/>
      <c r="K4542"/>
      <c r="L4542"/>
    </row>
    <row r="4543" spans="2:12" x14ac:dyDescent="0.2">
      <c r="B4543"/>
      <c r="C4543"/>
      <c r="J4543"/>
      <c r="K4543"/>
      <c r="L4543"/>
    </row>
    <row r="4544" spans="2:12" x14ac:dyDescent="0.2">
      <c r="B4544"/>
      <c r="C4544"/>
      <c r="J4544"/>
      <c r="K4544"/>
      <c r="L4544"/>
    </row>
    <row r="4545" spans="2:12" x14ac:dyDescent="0.2">
      <c r="B4545"/>
      <c r="C4545"/>
      <c r="J4545"/>
      <c r="K4545"/>
      <c r="L4545"/>
    </row>
    <row r="4546" spans="2:12" x14ac:dyDescent="0.2">
      <c r="B4546"/>
      <c r="C4546"/>
      <c r="J4546"/>
      <c r="K4546"/>
      <c r="L4546"/>
    </row>
    <row r="4547" spans="2:12" x14ac:dyDescent="0.2">
      <c r="B4547"/>
      <c r="C4547"/>
      <c r="J4547"/>
      <c r="K4547"/>
      <c r="L4547"/>
    </row>
    <row r="4548" spans="2:12" x14ac:dyDescent="0.2">
      <c r="B4548"/>
      <c r="C4548"/>
      <c r="J4548"/>
      <c r="K4548"/>
      <c r="L4548"/>
    </row>
    <row r="4549" spans="2:12" x14ac:dyDescent="0.2">
      <c r="B4549"/>
      <c r="C4549"/>
      <c r="J4549"/>
      <c r="K4549"/>
      <c r="L4549"/>
    </row>
    <row r="4550" spans="2:12" x14ac:dyDescent="0.2">
      <c r="B4550"/>
      <c r="C4550"/>
      <c r="J4550"/>
      <c r="K4550"/>
      <c r="L4550"/>
    </row>
    <row r="4551" spans="2:12" x14ac:dyDescent="0.2">
      <c r="B4551"/>
      <c r="C4551"/>
      <c r="J4551"/>
      <c r="K4551"/>
      <c r="L4551"/>
    </row>
    <row r="4552" spans="2:12" x14ac:dyDescent="0.2">
      <c r="B4552"/>
      <c r="C4552"/>
      <c r="J4552"/>
      <c r="K4552"/>
      <c r="L4552"/>
    </row>
    <row r="4553" spans="2:12" x14ac:dyDescent="0.2">
      <c r="B4553"/>
      <c r="C4553"/>
      <c r="J4553"/>
      <c r="K4553"/>
      <c r="L4553"/>
    </row>
    <row r="4554" spans="2:12" x14ac:dyDescent="0.2">
      <c r="B4554"/>
      <c r="C4554"/>
      <c r="J4554"/>
      <c r="K4554"/>
      <c r="L4554"/>
    </row>
    <row r="4555" spans="2:12" x14ac:dyDescent="0.2">
      <c r="B4555"/>
      <c r="C4555"/>
      <c r="J4555"/>
      <c r="K4555"/>
      <c r="L4555"/>
    </row>
    <row r="4556" spans="2:12" x14ac:dyDescent="0.2">
      <c r="B4556"/>
      <c r="C4556"/>
      <c r="J4556"/>
      <c r="K4556"/>
      <c r="L4556"/>
    </row>
    <row r="4557" spans="2:12" x14ac:dyDescent="0.2">
      <c r="B4557"/>
      <c r="C4557"/>
      <c r="J4557"/>
      <c r="K4557"/>
      <c r="L4557"/>
    </row>
    <row r="4558" spans="2:12" x14ac:dyDescent="0.2">
      <c r="B4558"/>
      <c r="C4558"/>
      <c r="J4558"/>
      <c r="K4558"/>
      <c r="L4558"/>
    </row>
    <row r="4559" spans="2:12" x14ac:dyDescent="0.2">
      <c r="B4559"/>
      <c r="C4559"/>
      <c r="J4559"/>
      <c r="K4559"/>
      <c r="L4559"/>
    </row>
    <row r="4560" spans="2:12" x14ac:dyDescent="0.2">
      <c r="B4560"/>
      <c r="C4560"/>
      <c r="J4560"/>
      <c r="K4560"/>
      <c r="L4560"/>
    </row>
    <row r="4561" spans="2:12" x14ac:dyDescent="0.2">
      <c r="B4561"/>
      <c r="C4561"/>
      <c r="J4561"/>
      <c r="K4561"/>
      <c r="L4561"/>
    </row>
    <row r="4562" spans="2:12" x14ac:dyDescent="0.2">
      <c r="B4562"/>
      <c r="C4562"/>
      <c r="J4562"/>
      <c r="K4562"/>
      <c r="L4562"/>
    </row>
    <row r="4563" spans="2:12" x14ac:dyDescent="0.2">
      <c r="B4563"/>
      <c r="C4563"/>
      <c r="J4563"/>
      <c r="K4563"/>
      <c r="L4563"/>
    </row>
    <row r="4564" spans="2:12" x14ac:dyDescent="0.2">
      <c r="B4564"/>
      <c r="C4564"/>
      <c r="J4564"/>
      <c r="K4564"/>
      <c r="L4564"/>
    </row>
    <row r="4565" spans="2:12" x14ac:dyDescent="0.2">
      <c r="B4565"/>
      <c r="C4565"/>
      <c r="J4565"/>
      <c r="K4565"/>
      <c r="L4565"/>
    </row>
    <row r="4566" spans="2:12" x14ac:dyDescent="0.2">
      <c r="B4566"/>
      <c r="C4566"/>
      <c r="J4566"/>
      <c r="K4566"/>
      <c r="L4566"/>
    </row>
    <row r="4567" spans="2:12" x14ac:dyDescent="0.2">
      <c r="B4567"/>
      <c r="C4567"/>
      <c r="J4567"/>
      <c r="K4567"/>
      <c r="L4567"/>
    </row>
    <row r="4568" spans="2:12" x14ac:dyDescent="0.2">
      <c r="B4568"/>
      <c r="C4568"/>
      <c r="J4568"/>
      <c r="K4568"/>
      <c r="L4568"/>
    </row>
    <row r="4569" spans="2:12" x14ac:dyDescent="0.2">
      <c r="B4569"/>
      <c r="C4569"/>
      <c r="J4569"/>
      <c r="K4569"/>
      <c r="L4569"/>
    </row>
    <row r="4570" spans="2:12" x14ac:dyDescent="0.2">
      <c r="B4570"/>
      <c r="C4570"/>
      <c r="J4570"/>
      <c r="K4570"/>
      <c r="L4570"/>
    </row>
    <row r="4571" spans="2:12" x14ac:dyDescent="0.2">
      <c r="B4571"/>
      <c r="C4571"/>
      <c r="J4571"/>
      <c r="K4571"/>
      <c r="L4571"/>
    </row>
    <row r="4572" spans="2:12" x14ac:dyDescent="0.2">
      <c r="B4572"/>
      <c r="C4572"/>
      <c r="J4572"/>
      <c r="K4572"/>
      <c r="L4572"/>
    </row>
    <row r="4573" spans="2:12" x14ac:dyDescent="0.2">
      <c r="B4573"/>
      <c r="C4573"/>
      <c r="J4573"/>
      <c r="K4573"/>
      <c r="L4573"/>
    </row>
    <row r="4574" spans="2:12" x14ac:dyDescent="0.2">
      <c r="B4574"/>
      <c r="C4574"/>
      <c r="J4574"/>
      <c r="K4574"/>
      <c r="L4574"/>
    </row>
    <row r="4575" spans="2:12" x14ac:dyDescent="0.2">
      <c r="B4575"/>
      <c r="C4575"/>
      <c r="J4575"/>
      <c r="K4575"/>
      <c r="L4575"/>
    </row>
    <row r="4576" spans="2:12" x14ac:dyDescent="0.2">
      <c r="B4576"/>
      <c r="C4576"/>
      <c r="J4576"/>
      <c r="K4576"/>
      <c r="L4576"/>
    </row>
    <row r="4577" spans="2:12" x14ac:dyDescent="0.2">
      <c r="B4577"/>
      <c r="C4577"/>
      <c r="J4577"/>
      <c r="K4577"/>
      <c r="L4577"/>
    </row>
    <row r="4578" spans="2:12" x14ac:dyDescent="0.2">
      <c r="B4578"/>
      <c r="C4578"/>
      <c r="J4578"/>
      <c r="K4578"/>
      <c r="L4578"/>
    </row>
    <row r="4579" spans="2:12" x14ac:dyDescent="0.2">
      <c r="B4579"/>
      <c r="C4579"/>
      <c r="J4579"/>
      <c r="K4579"/>
      <c r="L4579"/>
    </row>
    <row r="4580" spans="2:12" x14ac:dyDescent="0.2">
      <c r="B4580"/>
      <c r="C4580"/>
      <c r="J4580"/>
      <c r="K4580"/>
      <c r="L4580"/>
    </row>
    <row r="4581" spans="2:12" x14ac:dyDescent="0.2">
      <c r="B4581"/>
      <c r="C4581"/>
      <c r="J4581"/>
      <c r="K4581"/>
      <c r="L4581"/>
    </row>
    <row r="4582" spans="2:12" x14ac:dyDescent="0.2">
      <c r="B4582"/>
      <c r="C4582"/>
      <c r="J4582"/>
      <c r="K4582"/>
      <c r="L4582"/>
    </row>
    <row r="4583" spans="2:12" x14ac:dyDescent="0.2">
      <c r="B4583"/>
      <c r="C4583"/>
      <c r="J4583"/>
      <c r="K4583"/>
      <c r="L4583"/>
    </row>
    <row r="4584" spans="2:12" x14ac:dyDescent="0.2">
      <c r="B4584"/>
      <c r="C4584"/>
      <c r="J4584"/>
      <c r="K4584"/>
      <c r="L4584"/>
    </row>
    <row r="4585" spans="2:12" x14ac:dyDescent="0.2">
      <c r="B4585"/>
      <c r="C4585"/>
      <c r="J4585"/>
      <c r="K4585"/>
      <c r="L4585"/>
    </row>
    <row r="4586" spans="2:12" x14ac:dyDescent="0.2">
      <c r="B4586"/>
      <c r="C4586"/>
      <c r="J4586"/>
      <c r="K4586"/>
      <c r="L4586"/>
    </row>
    <row r="4587" spans="2:12" x14ac:dyDescent="0.2">
      <c r="B4587"/>
      <c r="C4587"/>
      <c r="J4587"/>
      <c r="K4587"/>
      <c r="L4587"/>
    </row>
    <row r="4588" spans="2:12" x14ac:dyDescent="0.2">
      <c r="B4588"/>
      <c r="C4588"/>
      <c r="J4588"/>
      <c r="K4588"/>
      <c r="L4588"/>
    </row>
    <row r="4589" spans="2:12" x14ac:dyDescent="0.2">
      <c r="B4589"/>
      <c r="C4589"/>
      <c r="J4589"/>
      <c r="K4589"/>
      <c r="L4589"/>
    </row>
    <row r="4590" spans="2:12" x14ac:dyDescent="0.2">
      <c r="B4590"/>
      <c r="C4590"/>
      <c r="J4590"/>
      <c r="K4590"/>
      <c r="L4590"/>
    </row>
    <row r="4591" spans="2:12" x14ac:dyDescent="0.2">
      <c r="B4591"/>
      <c r="C4591"/>
      <c r="J4591"/>
      <c r="K4591"/>
      <c r="L4591"/>
    </row>
    <row r="4592" spans="2:12" x14ac:dyDescent="0.2">
      <c r="B4592"/>
      <c r="C4592"/>
      <c r="J4592"/>
      <c r="K4592"/>
      <c r="L4592"/>
    </row>
    <row r="4593" spans="2:12" x14ac:dyDescent="0.2">
      <c r="B4593"/>
      <c r="C4593"/>
      <c r="J4593"/>
      <c r="K4593"/>
      <c r="L4593"/>
    </row>
    <row r="4594" spans="2:12" x14ac:dyDescent="0.2">
      <c r="B4594"/>
      <c r="C4594"/>
      <c r="J4594"/>
      <c r="K4594"/>
      <c r="L4594"/>
    </row>
    <row r="4595" spans="2:12" x14ac:dyDescent="0.2">
      <c r="B4595"/>
      <c r="C4595"/>
      <c r="J4595"/>
      <c r="K4595"/>
      <c r="L4595"/>
    </row>
    <row r="4596" spans="2:12" x14ac:dyDescent="0.2">
      <c r="B4596"/>
      <c r="C4596"/>
      <c r="J4596"/>
      <c r="K4596"/>
      <c r="L4596"/>
    </row>
    <row r="4597" spans="2:12" x14ac:dyDescent="0.2">
      <c r="B4597"/>
      <c r="C4597"/>
      <c r="J4597"/>
      <c r="K4597"/>
      <c r="L4597"/>
    </row>
    <row r="4598" spans="2:12" x14ac:dyDescent="0.2">
      <c r="B4598"/>
      <c r="C4598"/>
      <c r="J4598"/>
      <c r="K4598"/>
      <c r="L4598"/>
    </row>
    <row r="4599" spans="2:12" x14ac:dyDescent="0.2">
      <c r="B4599"/>
      <c r="C4599"/>
      <c r="J4599"/>
      <c r="K4599"/>
      <c r="L4599"/>
    </row>
    <row r="4600" spans="2:12" x14ac:dyDescent="0.2">
      <c r="B4600"/>
      <c r="C4600"/>
      <c r="J4600"/>
      <c r="K4600"/>
      <c r="L4600"/>
    </row>
    <row r="4601" spans="2:12" x14ac:dyDescent="0.2">
      <c r="B4601"/>
      <c r="C4601"/>
      <c r="J4601"/>
      <c r="K4601"/>
      <c r="L4601"/>
    </row>
    <row r="4602" spans="2:12" x14ac:dyDescent="0.2">
      <c r="B4602"/>
      <c r="C4602"/>
      <c r="J4602"/>
      <c r="K4602"/>
      <c r="L4602"/>
    </row>
    <row r="4603" spans="2:12" x14ac:dyDescent="0.2">
      <c r="B4603"/>
      <c r="C4603"/>
      <c r="J4603"/>
      <c r="K4603"/>
      <c r="L4603"/>
    </row>
    <row r="4604" spans="2:12" x14ac:dyDescent="0.2">
      <c r="B4604"/>
      <c r="C4604"/>
      <c r="J4604"/>
      <c r="K4604"/>
      <c r="L4604"/>
    </row>
    <row r="4605" spans="2:12" x14ac:dyDescent="0.2">
      <c r="B4605"/>
      <c r="C4605"/>
      <c r="J4605"/>
      <c r="K4605"/>
      <c r="L4605"/>
    </row>
    <row r="4606" spans="2:12" x14ac:dyDescent="0.2">
      <c r="B4606"/>
      <c r="C4606"/>
      <c r="J4606"/>
      <c r="K4606"/>
      <c r="L4606"/>
    </row>
    <row r="4607" spans="2:12" x14ac:dyDescent="0.2">
      <c r="B4607"/>
      <c r="C4607"/>
      <c r="J4607"/>
      <c r="K4607"/>
      <c r="L4607"/>
    </row>
    <row r="4608" spans="2:12" x14ac:dyDescent="0.2">
      <c r="B4608"/>
      <c r="C4608"/>
      <c r="J4608"/>
      <c r="K4608"/>
      <c r="L4608"/>
    </row>
    <row r="4609" spans="2:12" x14ac:dyDescent="0.2">
      <c r="B4609"/>
      <c r="C4609"/>
      <c r="J4609"/>
      <c r="K4609"/>
      <c r="L4609"/>
    </row>
    <row r="4610" spans="2:12" x14ac:dyDescent="0.2">
      <c r="B4610"/>
      <c r="C4610"/>
      <c r="J4610"/>
      <c r="K4610"/>
      <c r="L4610"/>
    </row>
    <row r="4611" spans="2:12" x14ac:dyDescent="0.2">
      <c r="B4611"/>
      <c r="C4611"/>
      <c r="J4611"/>
      <c r="K4611"/>
      <c r="L4611"/>
    </row>
    <row r="4612" spans="2:12" x14ac:dyDescent="0.2">
      <c r="B4612"/>
      <c r="C4612"/>
      <c r="J4612"/>
      <c r="K4612"/>
      <c r="L4612"/>
    </row>
    <row r="4613" spans="2:12" x14ac:dyDescent="0.2">
      <c r="B4613"/>
      <c r="C4613"/>
      <c r="J4613"/>
      <c r="K4613"/>
      <c r="L4613"/>
    </row>
    <row r="4614" spans="2:12" x14ac:dyDescent="0.2">
      <c r="B4614"/>
      <c r="C4614"/>
      <c r="J4614"/>
      <c r="K4614"/>
      <c r="L4614"/>
    </row>
    <row r="4615" spans="2:12" x14ac:dyDescent="0.2">
      <c r="B4615"/>
      <c r="C4615"/>
      <c r="J4615"/>
      <c r="K4615"/>
      <c r="L4615"/>
    </row>
    <row r="4616" spans="2:12" x14ac:dyDescent="0.2">
      <c r="B4616"/>
      <c r="C4616"/>
      <c r="J4616"/>
      <c r="K4616"/>
      <c r="L4616"/>
    </row>
    <row r="4617" spans="2:12" x14ac:dyDescent="0.2">
      <c r="B4617"/>
      <c r="C4617"/>
      <c r="J4617"/>
      <c r="K4617"/>
      <c r="L4617"/>
    </row>
    <row r="4618" spans="2:12" x14ac:dyDescent="0.2">
      <c r="B4618"/>
      <c r="C4618"/>
      <c r="J4618"/>
      <c r="K4618"/>
      <c r="L4618"/>
    </row>
    <row r="4619" spans="2:12" x14ac:dyDescent="0.2">
      <c r="B4619"/>
      <c r="C4619"/>
      <c r="J4619"/>
      <c r="K4619"/>
      <c r="L4619"/>
    </row>
    <row r="4620" spans="2:12" x14ac:dyDescent="0.2">
      <c r="B4620"/>
      <c r="C4620"/>
      <c r="J4620"/>
      <c r="K4620"/>
      <c r="L4620"/>
    </row>
    <row r="4621" spans="2:12" x14ac:dyDescent="0.2">
      <c r="B4621"/>
      <c r="C4621"/>
      <c r="J4621"/>
      <c r="K4621"/>
      <c r="L4621"/>
    </row>
    <row r="4622" spans="2:12" x14ac:dyDescent="0.2">
      <c r="B4622"/>
      <c r="C4622"/>
      <c r="J4622"/>
      <c r="K4622"/>
      <c r="L4622"/>
    </row>
    <row r="4623" spans="2:12" x14ac:dyDescent="0.2">
      <c r="B4623"/>
      <c r="C4623"/>
      <c r="J4623"/>
      <c r="K4623"/>
      <c r="L4623"/>
    </row>
    <row r="4624" spans="2:12" x14ac:dyDescent="0.2">
      <c r="B4624"/>
      <c r="C4624"/>
      <c r="J4624"/>
      <c r="K4624"/>
      <c r="L4624"/>
    </row>
    <row r="4625" spans="2:12" x14ac:dyDescent="0.2">
      <c r="B4625"/>
      <c r="C4625"/>
      <c r="J4625"/>
      <c r="K4625"/>
      <c r="L4625"/>
    </row>
    <row r="4626" spans="2:12" x14ac:dyDescent="0.2">
      <c r="B4626"/>
      <c r="C4626"/>
      <c r="J4626"/>
      <c r="K4626"/>
      <c r="L4626"/>
    </row>
    <row r="4627" spans="2:12" x14ac:dyDescent="0.2">
      <c r="B4627"/>
      <c r="C4627"/>
      <c r="J4627"/>
      <c r="K4627"/>
      <c r="L4627"/>
    </row>
    <row r="4628" spans="2:12" x14ac:dyDescent="0.2">
      <c r="B4628"/>
      <c r="C4628"/>
      <c r="J4628"/>
      <c r="K4628"/>
      <c r="L4628"/>
    </row>
    <row r="4629" spans="2:12" x14ac:dyDescent="0.2">
      <c r="B4629"/>
      <c r="C4629"/>
      <c r="J4629"/>
      <c r="K4629"/>
      <c r="L4629"/>
    </row>
    <row r="4630" spans="2:12" x14ac:dyDescent="0.2">
      <c r="B4630"/>
      <c r="C4630"/>
      <c r="J4630"/>
      <c r="K4630"/>
      <c r="L4630"/>
    </row>
    <row r="4631" spans="2:12" x14ac:dyDescent="0.2">
      <c r="B4631"/>
      <c r="C4631"/>
      <c r="J4631"/>
      <c r="K4631"/>
      <c r="L4631"/>
    </row>
    <row r="4632" spans="2:12" x14ac:dyDescent="0.2">
      <c r="B4632"/>
      <c r="C4632"/>
      <c r="J4632"/>
      <c r="K4632"/>
      <c r="L4632"/>
    </row>
    <row r="4633" spans="2:12" x14ac:dyDescent="0.2">
      <c r="B4633"/>
      <c r="C4633"/>
      <c r="J4633"/>
      <c r="K4633"/>
      <c r="L4633"/>
    </row>
    <row r="4634" spans="2:12" x14ac:dyDescent="0.2">
      <c r="B4634"/>
      <c r="C4634"/>
      <c r="J4634"/>
      <c r="K4634"/>
      <c r="L4634"/>
    </row>
    <row r="4635" spans="2:12" x14ac:dyDescent="0.2">
      <c r="B4635"/>
      <c r="C4635"/>
      <c r="J4635"/>
      <c r="K4635"/>
      <c r="L4635"/>
    </row>
    <row r="4636" spans="2:12" x14ac:dyDescent="0.2">
      <c r="B4636"/>
      <c r="C4636"/>
      <c r="J4636"/>
      <c r="K4636"/>
      <c r="L4636"/>
    </row>
    <row r="4637" spans="2:12" x14ac:dyDescent="0.2">
      <c r="B4637"/>
      <c r="C4637"/>
      <c r="J4637"/>
      <c r="K4637"/>
      <c r="L4637"/>
    </row>
    <row r="4638" spans="2:12" x14ac:dyDescent="0.2">
      <c r="B4638"/>
      <c r="C4638"/>
      <c r="J4638"/>
      <c r="K4638"/>
      <c r="L4638"/>
    </row>
    <row r="4639" spans="2:12" x14ac:dyDescent="0.2">
      <c r="B4639"/>
      <c r="C4639"/>
      <c r="J4639"/>
      <c r="K4639"/>
      <c r="L4639"/>
    </row>
    <row r="4640" spans="2:12" x14ac:dyDescent="0.2">
      <c r="B4640"/>
      <c r="C4640"/>
      <c r="J4640"/>
      <c r="K4640"/>
      <c r="L4640"/>
    </row>
    <row r="4641" spans="2:12" x14ac:dyDescent="0.2">
      <c r="B4641"/>
      <c r="C4641"/>
      <c r="J4641"/>
      <c r="K4641"/>
      <c r="L4641"/>
    </row>
    <row r="4642" spans="2:12" x14ac:dyDescent="0.2">
      <c r="B4642"/>
      <c r="C4642"/>
      <c r="J4642"/>
      <c r="K4642"/>
      <c r="L4642"/>
    </row>
    <row r="4643" spans="2:12" x14ac:dyDescent="0.2">
      <c r="B4643"/>
      <c r="C4643"/>
      <c r="J4643"/>
      <c r="K4643"/>
      <c r="L4643"/>
    </row>
    <row r="4644" spans="2:12" x14ac:dyDescent="0.2">
      <c r="B4644"/>
      <c r="C4644"/>
      <c r="J4644"/>
      <c r="K4644"/>
      <c r="L4644"/>
    </row>
    <row r="4645" spans="2:12" x14ac:dyDescent="0.2">
      <c r="B4645"/>
      <c r="C4645"/>
      <c r="J4645"/>
      <c r="K4645"/>
      <c r="L4645"/>
    </row>
    <row r="4646" spans="2:12" x14ac:dyDescent="0.2">
      <c r="B4646"/>
      <c r="C4646"/>
      <c r="J4646"/>
      <c r="K4646"/>
      <c r="L4646"/>
    </row>
    <row r="4647" spans="2:12" x14ac:dyDescent="0.2">
      <c r="B4647"/>
      <c r="C4647"/>
      <c r="J4647"/>
      <c r="K4647"/>
      <c r="L4647"/>
    </row>
    <row r="4648" spans="2:12" x14ac:dyDescent="0.2">
      <c r="B4648"/>
      <c r="C4648"/>
      <c r="J4648"/>
      <c r="K4648"/>
      <c r="L4648"/>
    </row>
    <row r="4649" spans="2:12" x14ac:dyDescent="0.2">
      <c r="B4649"/>
      <c r="C4649"/>
      <c r="J4649"/>
      <c r="K4649"/>
      <c r="L4649"/>
    </row>
    <row r="4650" spans="2:12" x14ac:dyDescent="0.2">
      <c r="B4650"/>
      <c r="C4650"/>
      <c r="J4650"/>
      <c r="K4650"/>
      <c r="L4650"/>
    </row>
    <row r="4651" spans="2:12" x14ac:dyDescent="0.2">
      <c r="B4651"/>
      <c r="C4651"/>
      <c r="J4651"/>
      <c r="K4651"/>
      <c r="L4651"/>
    </row>
    <row r="4652" spans="2:12" x14ac:dyDescent="0.2">
      <c r="B4652"/>
      <c r="C4652"/>
      <c r="J4652"/>
      <c r="K4652"/>
      <c r="L4652"/>
    </row>
    <row r="4653" spans="2:12" x14ac:dyDescent="0.2">
      <c r="B4653"/>
      <c r="C4653"/>
      <c r="J4653"/>
      <c r="K4653"/>
      <c r="L4653"/>
    </row>
    <row r="4654" spans="2:12" x14ac:dyDescent="0.2">
      <c r="B4654"/>
      <c r="C4654"/>
      <c r="J4654"/>
      <c r="K4654"/>
      <c r="L4654"/>
    </row>
    <row r="4655" spans="2:12" x14ac:dyDescent="0.2">
      <c r="B4655"/>
      <c r="C4655"/>
      <c r="J4655"/>
      <c r="K4655"/>
      <c r="L4655"/>
    </row>
    <row r="4656" spans="2:12" x14ac:dyDescent="0.2">
      <c r="B4656"/>
      <c r="C4656"/>
      <c r="J4656"/>
      <c r="K4656"/>
      <c r="L4656"/>
    </row>
    <row r="4657" spans="2:12" x14ac:dyDescent="0.2">
      <c r="B4657"/>
      <c r="C4657"/>
      <c r="J4657"/>
      <c r="K4657"/>
      <c r="L4657"/>
    </row>
    <row r="4658" spans="2:12" x14ac:dyDescent="0.2">
      <c r="B4658"/>
      <c r="C4658"/>
      <c r="J4658"/>
      <c r="K4658"/>
      <c r="L4658"/>
    </row>
    <row r="4659" spans="2:12" x14ac:dyDescent="0.2">
      <c r="B4659"/>
      <c r="C4659"/>
      <c r="J4659"/>
      <c r="K4659"/>
      <c r="L4659"/>
    </row>
    <row r="4660" spans="2:12" x14ac:dyDescent="0.2">
      <c r="B4660"/>
      <c r="C4660"/>
      <c r="J4660"/>
      <c r="K4660"/>
      <c r="L4660"/>
    </row>
    <row r="4661" spans="2:12" x14ac:dyDescent="0.2">
      <c r="B4661"/>
      <c r="C4661"/>
      <c r="J4661"/>
      <c r="K4661"/>
      <c r="L4661"/>
    </row>
    <row r="4662" spans="2:12" x14ac:dyDescent="0.2">
      <c r="B4662"/>
      <c r="C4662"/>
      <c r="J4662"/>
      <c r="K4662"/>
      <c r="L4662"/>
    </row>
    <row r="4663" spans="2:12" x14ac:dyDescent="0.2">
      <c r="B4663"/>
      <c r="C4663"/>
      <c r="J4663"/>
      <c r="K4663"/>
      <c r="L4663"/>
    </row>
    <row r="4664" spans="2:12" x14ac:dyDescent="0.2">
      <c r="B4664"/>
      <c r="C4664"/>
      <c r="J4664"/>
      <c r="K4664"/>
      <c r="L4664"/>
    </row>
    <row r="4665" spans="2:12" x14ac:dyDescent="0.2">
      <c r="B4665"/>
      <c r="C4665"/>
      <c r="J4665"/>
      <c r="K4665"/>
      <c r="L4665"/>
    </row>
    <row r="4666" spans="2:12" x14ac:dyDescent="0.2">
      <c r="B4666"/>
      <c r="C4666"/>
      <c r="J4666"/>
      <c r="K4666"/>
      <c r="L4666"/>
    </row>
    <row r="4667" spans="2:12" x14ac:dyDescent="0.2">
      <c r="B4667"/>
      <c r="C4667"/>
      <c r="J4667"/>
      <c r="K4667"/>
      <c r="L4667"/>
    </row>
    <row r="4668" spans="2:12" x14ac:dyDescent="0.2">
      <c r="B4668"/>
      <c r="C4668"/>
      <c r="J4668"/>
      <c r="K4668"/>
      <c r="L4668"/>
    </row>
    <row r="4669" spans="2:12" x14ac:dyDescent="0.2">
      <c r="B4669"/>
      <c r="C4669"/>
      <c r="J4669"/>
      <c r="K4669"/>
      <c r="L4669"/>
    </row>
    <row r="4670" spans="2:12" x14ac:dyDescent="0.2">
      <c r="B4670"/>
      <c r="C4670"/>
      <c r="J4670"/>
      <c r="K4670"/>
      <c r="L4670"/>
    </row>
    <row r="4671" spans="2:12" x14ac:dyDescent="0.2">
      <c r="B4671"/>
      <c r="C4671"/>
      <c r="J4671"/>
      <c r="K4671"/>
      <c r="L4671"/>
    </row>
    <row r="4672" spans="2:12" x14ac:dyDescent="0.2">
      <c r="B4672"/>
      <c r="C4672"/>
      <c r="J4672"/>
      <c r="K4672"/>
      <c r="L4672"/>
    </row>
    <row r="4673" spans="2:12" x14ac:dyDescent="0.2">
      <c r="B4673"/>
      <c r="C4673"/>
      <c r="J4673"/>
      <c r="K4673"/>
      <c r="L4673"/>
    </row>
    <row r="4674" spans="2:12" x14ac:dyDescent="0.2">
      <c r="B4674"/>
      <c r="C4674"/>
      <c r="J4674"/>
      <c r="K4674"/>
      <c r="L4674"/>
    </row>
    <row r="4675" spans="2:12" x14ac:dyDescent="0.2">
      <c r="B4675"/>
      <c r="C4675"/>
      <c r="J4675"/>
      <c r="K4675"/>
      <c r="L4675"/>
    </row>
    <row r="4676" spans="2:12" x14ac:dyDescent="0.2">
      <c r="B4676"/>
      <c r="C4676"/>
      <c r="J4676"/>
      <c r="K4676"/>
      <c r="L4676"/>
    </row>
    <row r="4677" spans="2:12" x14ac:dyDescent="0.2">
      <c r="B4677"/>
      <c r="C4677"/>
      <c r="J4677"/>
      <c r="K4677"/>
      <c r="L4677"/>
    </row>
    <row r="4678" spans="2:12" x14ac:dyDescent="0.2">
      <c r="B4678"/>
      <c r="C4678"/>
      <c r="J4678"/>
      <c r="K4678"/>
      <c r="L4678"/>
    </row>
    <row r="4679" spans="2:12" x14ac:dyDescent="0.2">
      <c r="B4679"/>
      <c r="C4679"/>
      <c r="J4679"/>
      <c r="K4679"/>
      <c r="L4679"/>
    </row>
    <row r="4680" spans="2:12" x14ac:dyDescent="0.2">
      <c r="B4680"/>
      <c r="C4680"/>
      <c r="J4680"/>
      <c r="K4680"/>
      <c r="L4680"/>
    </row>
    <row r="4681" spans="2:12" x14ac:dyDescent="0.2">
      <c r="B4681"/>
      <c r="C4681"/>
      <c r="J4681"/>
      <c r="K4681"/>
      <c r="L4681"/>
    </row>
    <row r="4682" spans="2:12" x14ac:dyDescent="0.2">
      <c r="B4682"/>
      <c r="C4682"/>
      <c r="J4682"/>
      <c r="K4682"/>
      <c r="L4682"/>
    </row>
    <row r="4683" spans="2:12" x14ac:dyDescent="0.2">
      <c r="B4683"/>
      <c r="C4683"/>
      <c r="J4683"/>
      <c r="K4683"/>
      <c r="L4683"/>
    </row>
    <row r="4684" spans="2:12" x14ac:dyDescent="0.2">
      <c r="B4684"/>
      <c r="C4684"/>
      <c r="J4684"/>
      <c r="K4684"/>
      <c r="L4684"/>
    </row>
    <row r="4685" spans="2:12" x14ac:dyDescent="0.2">
      <c r="B4685"/>
      <c r="C4685"/>
      <c r="J4685"/>
      <c r="K4685"/>
      <c r="L4685"/>
    </row>
    <row r="4686" spans="2:12" x14ac:dyDescent="0.2">
      <c r="B4686"/>
      <c r="C4686"/>
      <c r="J4686"/>
      <c r="K4686"/>
      <c r="L4686"/>
    </row>
    <row r="4687" spans="2:12" x14ac:dyDescent="0.2">
      <c r="B4687"/>
      <c r="C4687"/>
      <c r="J4687"/>
      <c r="K4687"/>
      <c r="L4687"/>
    </row>
    <row r="4688" spans="2:12" x14ac:dyDescent="0.2">
      <c r="B4688"/>
      <c r="C4688"/>
      <c r="J4688"/>
      <c r="K4688"/>
      <c r="L4688"/>
    </row>
    <row r="4689" spans="2:12" x14ac:dyDescent="0.2">
      <c r="B4689"/>
      <c r="C4689"/>
      <c r="J4689"/>
      <c r="K4689"/>
      <c r="L4689"/>
    </row>
    <row r="4690" spans="2:12" x14ac:dyDescent="0.2">
      <c r="B4690"/>
      <c r="C4690"/>
      <c r="J4690"/>
      <c r="K4690"/>
      <c r="L4690"/>
    </row>
    <row r="4691" spans="2:12" x14ac:dyDescent="0.2">
      <c r="B4691"/>
      <c r="C4691"/>
      <c r="J4691"/>
      <c r="K4691"/>
      <c r="L4691"/>
    </row>
    <row r="4692" spans="2:12" x14ac:dyDescent="0.2">
      <c r="B4692"/>
      <c r="C4692"/>
      <c r="J4692"/>
      <c r="K4692"/>
      <c r="L4692"/>
    </row>
    <row r="4693" spans="2:12" x14ac:dyDescent="0.2">
      <c r="B4693"/>
      <c r="C4693"/>
      <c r="J4693"/>
      <c r="K4693"/>
      <c r="L4693"/>
    </row>
    <row r="4694" spans="2:12" x14ac:dyDescent="0.2">
      <c r="B4694"/>
      <c r="C4694"/>
      <c r="J4694"/>
      <c r="K4694"/>
      <c r="L4694"/>
    </row>
    <row r="4695" spans="2:12" x14ac:dyDescent="0.2">
      <c r="B4695"/>
      <c r="C4695"/>
      <c r="J4695"/>
      <c r="K4695"/>
      <c r="L4695"/>
    </row>
    <row r="4696" spans="2:12" x14ac:dyDescent="0.2">
      <c r="B4696"/>
      <c r="C4696"/>
      <c r="J4696"/>
      <c r="K4696"/>
      <c r="L4696"/>
    </row>
    <row r="4697" spans="2:12" x14ac:dyDescent="0.2">
      <c r="B4697"/>
      <c r="C4697"/>
      <c r="J4697"/>
      <c r="K4697"/>
      <c r="L4697"/>
    </row>
    <row r="4698" spans="2:12" x14ac:dyDescent="0.2">
      <c r="B4698"/>
      <c r="C4698"/>
      <c r="J4698"/>
      <c r="K4698"/>
      <c r="L4698"/>
    </row>
    <row r="4699" spans="2:12" x14ac:dyDescent="0.2">
      <c r="B4699"/>
      <c r="C4699"/>
      <c r="J4699"/>
      <c r="K4699"/>
      <c r="L4699"/>
    </row>
    <row r="4700" spans="2:12" x14ac:dyDescent="0.2">
      <c r="B4700"/>
      <c r="C4700"/>
      <c r="J4700"/>
      <c r="K4700"/>
      <c r="L4700"/>
    </row>
    <row r="4701" spans="2:12" x14ac:dyDescent="0.2">
      <c r="B4701"/>
      <c r="C4701"/>
      <c r="J4701"/>
      <c r="K4701"/>
      <c r="L4701"/>
    </row>
    <row r="4702" spans="2:12" x14ac:dyDescent="0.2">
      <c r="B4702"/>
      <c r="C4702"/>
      <c r="J4702"/>
      <c r="K4702"/>
      <c r="L4702"/>
    </row>
    <row r="4703" spans="2:12" x14ac:dyDescent="0.2">
      <c r="B4703"/>
      <c r="C4703"/>
      <c r="J4703"/>
      <c r="K4703"/>
      <c r="L4703"/>
    </row>
    <row r="4704" spans="2:12" x14ac:dyDescent="0.2">
      <c r="B4704"/>
      <c r="C4704"/>
      <c r="J4704"/>
      <c r="K4704"/>
      <c r="L4704"/>
    </row>
    <row r="4705" spans="2:12" x14ac:dyDescent="0.2">
      <c r="B4705"/>
      <c r="C4705"/>
      <c r="J4705"/>
      <c r="K4705"/>
      <c r="L4705"/>
    </row>
    <row r="4706" spans="2:12" x14ac:dyDescent="0.2">
      <c r="B4706"/>
      <c r="C4706"/>
      <c r="J4706"/>
      <c r="K4706"/>
      <c r="L4706"/>
    </row>
    <row r="4707" spans="2:12" x14ac:dyDescent="0.2">
      <c r="B4707"/>
      <c r="C4707"/>
      <c r="J4707"/>
      <c r="K4707"/>
      <c r="L4707"/>
    </row>
    <row r="4708" spans="2:12" x14ac:dyDescent="0.2">
      <c r="B4708"/>
      <c r="C4708"/>
      <c r="J4708"/>
      <c r="K4708"/>
      <c r="L4708"/>
    </row>
    <row r="4709" spans="2:12" x14ac:dyDescent="0.2">
      <c r="B4709"/>
      <c r="C4709"/>
      <c r="J4709"/>
      <c r="K4709"/>
      <c r="L4709"/>
    </row>
    <row r="4710" spans="2:12" x14ac:dyDescent="0.2">
      <c r="B4710"/>
      <c r="C4710"/>
      <c r="J4710"/>
      <c r="K4710"/>
      <c r="L4710"/>
    </row>
    <row r="4711" spans="2:12" x14ac:dyDescent="0.2">
      <c r="B4711"/>
      <c r="C4711"/>
      <c r="J4711"/>
      <c r="K4711"/>
      <c r="L4711"/>
    </row>
    <row r="4712" spans="2:12" x14ac:dyDescent="0.2">
      <c r="B4712"/>
      <c r="C4712"/>
      <c r="J4712"/>
      <c r="K4712"/>
      <c r="L4712"/>
    </row>
    <row r="4713" spans="2:12" x14ac:dyDescent="0.2">
      <c r="B4713"/>
      <c r="C4713"/>
      <c r="J4713"/>
      <c r="K4713"/>
      <c r="L4713"/>
    </row>
    <row r="4714" spans="2:12" x14ac:dyDescent="0.2">
      <c r="B4714"/>
      <c r="C4714"/>
      <c r="J4714"/>
      <c r="K4714"/>
      <c r="L4714"/>
    </row>
    <row r="4715" spans="2:12" x14ac:dyDescent="0.2">
      <c r="B4715"/>
      <c r="C4715"/>
      <c r="J4715"/>
      <c r="K4715"/>
      <c r="L4715"/>
    </row>
    <row r="4716" spans="2:12" x14ac:dyDescent="0.2">
      <c r="B4716"/>
      <c r="C4716"/>
      <c r="J4716"/>
      <c r="K4716"/>
      <c r="L4716"/>
    </row>
    <row r="4717" spans="2:12" x14ac:dyDescent="0.2">
      <c r="B4717"/>
      <c r="C4717"/>
      <c r="J4717"/>
      <c r="K4717"/>
      <c r="L4717"/>
    </row>
    <row r="4718" spans="2:12" x14ac:dyDescent="0.2">
      <c r="B4718"/>
      <c r="C4718"/>
      <c r="J4718"/>
      <c r="K4718"/>
      <c r="L4718"/>
    </row>
    <row r="4719" spans="2:12" x14ac:dyDescent="0.2">
      <c r="B4719"/>
      <c r="C4719"/>
      <c r="J4719"/>
      <c r="K4719"/>
      <c r="L4719"/>
    </row>
    <row r="4720" spans="2:12" x14ac:dyDescent="0.2">
      <c r="B4720"/>
      <c r="C4720"/>
      <c r="J4720"/>
      <c r="K4720"/>
      <c r="L4720"/>
    </row>
    <row r="4721" spans="2:12" x14ac:dyDescent="0.2">
      <c r="B4721"/>
      <c r="C4721"/>
      <c r="J4721"/>
      <c r="K4721"/>
      <c r="L4721"/>
    </row>
    <row r="4722" spans="2:12" x14ac:dyDescent="0.2">
      <c r="B4722"/>
      <c r="C4722"/>
      <c r="J4722"/>
      <c r="K4722"/>
      <c r="L4722"/>
    </row>
    <row r="4723" spans="2:12" x14ac:dyDescent="0.2">
      <c r="B4723"/>
      <c r="C4723"/>
      <c r="J4723"/>
      <c r="K4723"/>
      <c r="L4723"/>
    </row>
    <row r="4724" spans="2:12" x14ac:dyDescent="0.2">
      <c r="B4724"/>
      <c r="C4724"/>
      <c r="J4724"/>
      <c r="K4724"/>
      <c r="L4724"/>
    </row>
    <row r="4725" spans="2:12" x14ac:dyDescent="0.2">
      <c r="B4725"/>
      <c r="C4725"/>
      <c r="J4725"/>
      <c r="K4725"/>
      <c r="L4725"/>
    </row>
    <row r="4726" spans="2:12" x14ac:dyDescent="0.2">
      <c r="B4726"/>
      <c r="C4726"/>
      <c r="J4726"/>
      <c r="K4726"/>
      <c r="L4726"/>
    </row>
    <row r="4727" spans="2:12" x14ac:dyDescent="0.2">
      <c r="B4727"/>
      <c r="C4727"/>
      <c r="J4727"/>
      <c r="K4727"/>
      <c r="L4727"/>
    </row>
    <row r="4728" spans="2:12" x14ac:dyDescent="0.2">
      <c r="B4728"/>
      <c r="C4728"/>
      <c r="J4728"/>
      <c r="K4728"/>
      <c r="L4728"/>
    </row>
    <row r="4729" spans="2:12" x14ac:dyDescent="0.2">
      <c r="B4729"/>
      <c r="C4729"/>
      <c r="J4729"/>
      <c r="K4729"/>
      <c r="L4729"/>
    </row>
    <row r="4730" spans="2:12" x14ac:dyDescent="0.2">
      <c r="B4730"/>
      <c r="C4730"/>
      <c r="J4730"/>
      <c r="K4730"/>
      <c r="L4730"/>
    </row>
    <row r="4731" spans="2:12" x14ac:dyDescent="0.2">
      <c r="B4731"/>
      <c r="C4731"/>
      <c r="J4731"/>
      <c r="K4731"/>
      <c r="L4731"/>
    </row>
    <row r="4732" spans="2:12" x14ac:dyDescent="0.2">
      <c r="B4732"/>
      <c r="C4732"/>
      <c r="J4732"/>
      <c r="K4732"/>
      <c r="L4732"/>
    </row>
    <row r="4733" spans="2:12" x14ac:dyDescent="0.2">
      <c r="B4733"/>
      <c r="C4733"/>
      <c r="J4733"/>
      <c r="K4733"/>
      <c r="L4733"/>
    </row>
    <row r="4734" spans="2:12" x14ac:dyDescent="0.2">
      <c r="B4734"/>
      <c r="C4734"/>
      <c r="J4734"/>
      <c r="K4734"/>
      <c r="L4734"/>
    </row>
    <row r="4735" spans="2:12" x14ac:dyDescent="0.2">
      <c r="B4735"/>
      <c r="C4735"/>
      <c r="J4735"/>
      <c r="K4735"/>
      <c r="L4735"/>
    </row>
    <row r="4736" spans="2:12" x14ac:dyDescent="0.2">
      <c r="B4736"/>
      <c r="C4736"/>
      <c r="J4736"/>
      <c r="K4736"/>
      <c r="L4736"/>
    </row>
    <row r="4737" spans="2:12" x14ac:dyDescent="0.2">
      <c r="B4737"/>
      <c r="C4737"/>
      <c r="J4737"/>
      <c r="K4737"/>
      <c r="L4737"/>
    </row>
    <row r="4738" spans="2:12" x14ac:dyDescent="0.2">
      <c r="B4738"/>
      <c r="C4738"/>
      <c r="J4738"/>
      <c r="K4738"/>
      <c r="L4738"/>
    </row>
    <row r="4739" spans="2:12" x14ac:dyDescent="0.2">
      <c r="B4739"/>
      <c r="C4739"/>
      <c r="J4739"/>
      <c r="K4739"/>
      <c r="L4739"/>
    </row>
    <row r="4740" spans="2:12" x14ac:dyDescent="0.2">
      <c r="B4740"/>
      <c r="C4740"/>
      <c r="J4740"/>
      <c r="K4740"/>
      <c r="L4740"/>
    </row>
    <row r="4741" spans="2:12" x14ac:dyDescent="0.2">
      <c r="B4741"/>
      <c r="C4741"/>
      <c r="J4741"/>
      <c r="K4741"/>
      <c r="L4741"/>
    </row>
    <row r="4742" spans="2:12" x14ac:dyDescent="0.2">
      <c r="B4742"/>
      <c r="C4742"/>
      <c r="J4742"/>
      <c r="K4742"/>
      <c r="L4742"/>
    </row>
    <row r="4743" spans="2:12" x14ac:dyDescent="0.2">
      <c r="B4743"/>
      <c r="C4743"/>
      <c r="J4743"/>
      <c r="K4743"/>
      <c r="L4743"/>
    </row>
    <row r="4744" spans="2:12" x14ac:dyDescent="0.2">
      <c r="B4744"/>
      <c r="C4744"/>
      <c r="J4744"/>
      <c r="K4744"/>
      <c r="L4744"/>
    </row>
    <row r="4745" spans="2:12" x14ac:dyDescent="0.2">
      <c r="B4745"/>
      <c r="C4745"/>
      <c r="J4745"/>
      <c r="K4745"/>
      <c r="L4745"/>
    </row>
    <row r="4746" spans="2:12" x14ac:dyDescent="0.2">
      <c r="B4746"/>
      <c r="C4746"/>
      <c r="J4746"/>
      <c r="K4746"/>
      <c r="L4746"/>
    </row>
    <row r="4747" spans="2:12" x14ac:dyDescent="0.2">
      <c r="B4747"/>
      <c r="C4747"/>
      <c r="J4747"/>
      <c r="K4747"/>
      <c r="L4747"/>
    </row>
    <row r="4748" spans="2:12" x14ac:dyDescent="0.2">
      <c r="B4748"/>
      <c r="C4748"/>
      <c r="J4748"/>
      <c r="K4748"/>
      <c r="L4748"/>
    </row>
    <row r="4749" spans="2:12" x14ac:dyDescent="0.2">
      <c r="B4749"/>
      <c r="C4749"/>
      <c r="J4749"/>
      <c r="K4749"/>
      <c r="L4749"/>
    </row>
    <row r="4750" spans="2:12" x14ac:dyDescent="0.2">
      <c r="B4750"/>
      <c r="C4750"/>
      <c r="J4750"/>
      <c r="K4750"/>
      <c r="L4750"/>
    </row>
    <row r="4751" spans="2:12" x14ac:dyDescent="0.2">
      <c r="B4751"/>
      <c r="C4751"/>
      <c r="J4751"/>
      <c r="K4751"/>
      <c r="L4751"/>
    </row>
    <row r="4752" spans="2:12" x14ac:dyDescent="0.2">
      <c r="B4752"/>
      <c r="C4752"/>
      <c r="J4752"/>
      <c r="K4752"/>
      <c r="L4752"/>
    </row>
    <row r="4753" spans="2:12" x14ac:dyDescent="0.2">
      <c r="B4753"/>
      <c r="C4753"/>
      <c r="J4753"/>
      <c r="K4753"/>
      <c r="L4753"/>
    </row>
    <row r="4754" spans="2:12" x14ac:dyDescent="0.2">
      <c r="B4754"/>
      <c r="C4754"/>
      <c r="J4754"/>
      <c r="K4754"/>
      <c r="L4754"/>
    </row>
    <row r="4755" spans="2:12" x14ac:dyDescent="0.2">
      <c r="B4755"/>
      <c r="C4755"/>
      <c r="J4755"/>
      <c r="K4755"/>
      <c r="L4755"/>
    </row>
    <row r="4756" spans="2:12" x14ac:dyDescent="0.2">
      <c r="B4756"/>
      <c r="C4756"/>
      <c r="J4756"/>
      <c r="K4756"/>
      <c r="L4756"/>
    </row>
    <row r="4757" spans="2:12" x14ac:dyDescent="0.2">
      <c r="B4757"/>
      <c r="C4757"/>
      <c r="J4757"/>
      <c r="K4757"/>
      <c r="L4757"/>
    </row>
    <row r="4758" spans="2:12" x14ac:dyDescent="0.2">
      <c r="B4758"/>
      <c r="C4758"/>
      <c r="J4758"/>
      <c r="K4758"/>
      <c r="L4758"/>
    </row>
    <row r="4759" spans="2:12" x14ac:dyDescent="0.2">
      <c r="B4759"/>
      <c r="C4759"/>
      <c r="J4759"/>
      <c r="K4759"/>
      <c r="L4759"/>
    </row>
    <row r="4760" spans="2:12" x14ac:dyDescent="0.2">
      <c r="B4760"/>
      <c r="C4760"/>
      <c r="J4760"/>
      <c r="K4760"/>
      <c r="L4760"/>
    </row>
    <row r="4761" spans="2:12" x14ac:dyDescent="0.2">
      <c r="B4761"/>
      <c r="C4761"/>
      <c r="J4761"/>
      <c r="K4761"/>
      <c r="L4761"/>
    </row>
    <row r="4762" spans="2:12" x14ac:dyDescent="0.2">
      <c r="B4762"/>
      <c r="C4762"/>
      <c r="J4762"/>
      <c r="K4762"/>
      <c r="L4762"/>
    </row>
    <row r="4763" spans="2:12" x14ac:dyDescent="0.2">
      <c r="B4763"/>
      <c r="C4763"/>
      <c r="J4763"/>
      <c r="K4763"/>
      <c r="L4763"/>
    </row>
    <row r="4764" spans="2:12" x14ac:dyDescent="0.2">
      <c r="B4764"/>
      <c r="C4764"/>
      <c r="J4764"/>
      <c r="K4764"/>
      <c r="L4764"/>
    </row>
    <row r="4765" spans="2:12" x14ac:dyDescent="0.2">
      <c r="B4765"/>
      <c r="C4765"/>
      <c r="J4765"/>
      <c r="K4765"/>
      <c r="L4765"/>
    </row>
    <row r="4766" spans="2:12" x14ac:dyDescent="0.2">
      <c r="B4766"/>
      <c r="C4766"/>
      <c r="J4766"/>
      <c r="K4766"/>
      <c r="L4766"/>
    </row>
    <row r="4767" spans="2:12" x14ac:dyDescent="0.2">
      <c r="B4767"/>
      <c r="C4767"/>
      <c r="J4767"/>
      <c r="K4767"/>
      <c r="L4767"/>
    </row>
    <row r="4768" spans="2:12" x14ac:dyDescent="0.2">
      <c r="B4768"/>
      <c r="C4768"/>
      <c r="J4768"/>
      <c r="K4768"/>
      <c r="L4768"/>
    </row>
    <row r="4769" spans="2:12" x14ac:dyDescent="0.2">
      <c r="B4769"/>
      <c r="C4769"/>
      <c r="J4769"/>
      <c r="K4769"/>
      <c r="L4769"/>
    </row>
    <row r="4770" spans="2:12" x14ac:dyDescent="0.2">
      <c r="B4770"/>
      <c r="C4770"/>
      <c r="J4770"/>
      <c r="K4770"/>
      <c r="L4770"/>
    </row>
    <row r="4771" spans="2:12" x14ac:dyDescent="0.2">
      <c r="B4771"/>
      <c r="C4771"/>
      <c r="J4771"/>
      <c r="K4771"/>
      <c r="L4771"/>
    </row>
    <row r="4772" spans="2:12" x14ac:dyDescent="0.2">
      <c r="B4772"/>
      <c r="C4772"/>
      <c r="J4772"/>
      <c r="K4772"/>
      <c r="L4772"/>
    </row>
    <row r="4773" spans="2:12" x14ac:dyDescent="0.2">
      <c r="B4773"/>
      <c r="C4773"/>
      <c r="J4773"/>
      <c r="K4773"/>
      <c r="L4773"/>
    </row>
    <row r="4774" spans="2:12" x14ac:dyDescent="0.2">
      <c r="B4774"/>
      <c r="C4774"/>
      <c r="J4774"/>
      <c r="K4774"/>
      <c r="L4774"/>
    </row>
    <row r="4775" spans="2:12" x14ac:dyDescent="0.2">
      <c r="B4775"/>
      <c r="C4775"/>
      <c r="J4775"/>
      <c r="K4775"/>
      <c r="L4775"/>
    </row>
    <row r="4776" spans="2:12" x14ac:dyDescent="0.2">
      <c r="B4776"/>
      <c r="C4776"/>
      <c r="J4776"/>
      <c r="K4776"/>
      <c r="L4776"/>
    </row>
    <row r="4777" spans="2:12" x14ac:dyDescent="0.2">
      <c r="B4777"/>
      <c r="C4777"/>
      <c r="J4777"/>
      <c r="K4777"/>
      <c r="L4777"/>
    </row>
    <row r="4778" spans="2:12" x14ac:dyDescent="0.2">
      <c r="B4778"/>
      <c r="C4778"/>
      <c r="J4778"/>
      <c r="K4778"/>
      <c r="L4778"/>
    </row>
    <row r="4779" spans="2:12" x14ac:dyDescent="0.2">
      <c r="B4779"/>
      <c r="C4779"/>
      <c r="J4779"/>
      <c r="K4779"/>
      <c r="L4779"/>
    </row>
    <row r="4780" spans="2:12" x14ac:dyDescent="0.2">
      <c r="B4780"/>
      <c r="C4780"/>
      <c r="J4780"/>
      <c r="K4780"/>
      <c r="L4780"/>
    </row>
    <row r="4781" spans="2:12" x14ac:dyDescent="0.2">
      <c r="B4781"/>
      <c r="C4781"/>
      <c r="J4781"/>
      <c r="K4781"/>
      <c r="L4781"/>
    </row>
    <row r="4782" spans="2:12" x14ac:dyDescent="0.2">
      <c r="B4782"/>
      <c r="C4782"/>
      <c r="J4782"/>
      <c r="K4782"/>
      <c r="L4782"/>
    </row>
    <row r="4783" spans="2:12" x14ac:dyDescent="0.2">
      <c r="B4783"/>
      <c r="C4783"/>
      <c r="J4783"/>
      <c r="K4783"/>
      <c r="L4783"/>
    </row>
    <row r="4784" spans="2:12" x14ac:dyDescent="0.2">
      <c r="B4784"/>
      <c r="C4784"/>
      <c r="J4784"/>
      <c r="K4784"/>
      <c r="L4784"/>
    </row>
    <row r="4785" spans="2:12" x14ac:dyDescent="0.2">
      <c r="B4785"/>
      <c r="C4785"/>
      <c r="J4785"/>
      <c r="K4785"/>
      <c r="L4785"/>
    </row>
    <row r="4786" spans="2:12" x14ac:dyDescent="0.2">
      <c r="B4786"/>
      <c r="C4786"/>
      <c r="J4786"/>
      <c r="K4786"/>
      <c r="L4786"/>
    </row>
    <row r="4787" spans="2:12" x14ac:dyDescent="0.2">
      <c r="B4787"/>
      <c r="C4787"/>
      <c r="J4787"/>
      <c r="K4787"/>
      <c r="L4787"/>
    </row>
    <row r="4788" spans="2:12" x14ac:dyDescent="0.2">
      <c r="B4788"/>
      <c r="C4788"/>
      <c r="J4788"/>
      <c r="K4788"/>
      <c r="L4788"/>
    </row>
    <row r="4789" spans="2:12" x14ac:dyDescent="0.2">
      <c r="B4789"/>
      <c r="C4789"/>
      <c r="J4789"/>
      <c r="K4789"/>
      <c r="L4789"/>
    </row>
    <row r="4790" spans="2:12" x14ac:dyDescent="0.2">
      <c r="B4790"/>
      <c r="C4790"/>
      <c r="J4790"/>
      <c r="K4790"/>
      <c r="L4790"/>
    </row>
    <row r="4791" spans="2:12" x14ac:dyDescent="0.2">
      <c r="B4791"/>
      <c r="C4791"/>
      <c r="J4791"/>
      <c r="K4791"/>
      <c r="L4791"/>
    </row>
    <row r="4792" spans="2:12" x14ac:dyDescent="0.2">
      <c r="B4792"/>
      <c r="C4792"/>
      <c r="J4792"/>
      <c r="K4792"/>
      <c r="L4792"/>
    </row>
    <row r="4793" spans="2:12" x14ac:dyDescent="0.2">
      <c r="B4793"/>
      <c r="C4793"/>
      <c r="J4793"/>
      <c r="K4793"/>
      <c r="L4793"/>
    </row>
    <row r="4794" spans="2:12" x14ac:dyDescent="0.2">
      <c r="B4794"/>
      <c r="C4794"/>
      <c r="J4794"/>
      <c r="K4794"/>
      <c r="L4794"/>
    </row>
    <row r="4795" spans="2:12" x14ac:dyDescent="0.2">
      <c r="B4795"/>
      <c r="C4795"/>
      <c r="J4795"/>
      <c r="K4795"/>
      <c r="L4795"/>
    </row>
    <row r="4796" spans="2:12" x14ac:dyDescent="0.2">
      <c r="B4796"/>
      <c r="C4796"/>
      <c r="J4796"/>
      <c r="K4796"/>
      <c r="L4796"/>
    </row>
    <row r="4797" spans="2:12" x14ac:dyDescent="0.2">
      <c r="B4797"/>
      <c r="C4797"/>
      <c r="J4797"/>
      <c r="K4797"/>
      <c r="L4797"/>
    </row>
    <row r="4798" spans="2:12" x14ac:dyDescent="0.2">
      <c r="B4798"/>
      <c r="C4798"/>
      <c r="J4798"/>
      <c r="K4798"/>
      <c r="L4798"/>
    </row>
    <row r="4799" spans="2:12" x14ac:dyDescent="0.2">
      <c r="B4799"/>
      <c r="C4799"/>
      <c r="J4799"/>
      <c r="K4799"/>
      <c r="L4799"/>
    </row>
    <row r="4800" spans="2:12" x14ac:dyDescent="0.2">
      <c r="B4800"/>
      <c r="C4800"/>
      <c r="J4800"/>
      <c r="K4800"/>
      <c r="L4800"/>
    </row>
    <row r="4801" spans="2:12" x14ac:dyDescent="0.2">
      <c r="B4801"/>
      <c r="C4801"/>
      <c r="J4801"/>
      <c r="K4801"/>
      <c r="L4801"/>
    </row>
    <row r="4802" spans="2:12" x14ac:dyDescent="0.2">
      <c r="B4802"/>
      <c r="C4802"/>
      <c r="J4802"/>
      <c r="K4802"/>
      <c r="L4802"/>
    </row>
    <row r="4803" spans="2:12" x14ac:dyDescent="0.2">
      <c r="B4803"/>
      <c r="C4803"/>
      <c r="J4803"/>
      <c r="K4803"/>
      <c r="L4803"/>
    </row>
    <row r="4804" spans="2:12" x14ac:dyDescent="0.2">
      <c r="B4804"/>
      <c r="C4804"/>
      <c r="J4804"/>
      <c r="K4804"/>
      <c r="L4804"/>
    </row>
    <row r="4805" spans="2:12" x14ac:dyDescent="0.2">
      <c r="B4805"/>
      <c r="C4805"/>
      <c r="J4805"/>
      <c r="K4805"/>
      <c r="L4805"/>
    </row>
    <row r="4806" spans="2:12" x14ac:dyDescent="0.2">
      <c r="B4806"/>
      <c r="C4806"/>
      <c r="J4806"/>
      <c r="K4806"/>
      <c r="L4806"/>
    </row>
    <row r="4807" spans="2:12" x14ac:dyDescent="0.2">
      <c r="B4807"/>
      <c r="C4807"/>
      <c r="J4807"/>
      <c r="K4807"/>
      <c r="L4807"/>
    </row>
    <row r="4808" spans="2:12" x14ac:dyDescent="0.2">
      <c r="B4808"/>
      <c r="C4808"/>
      <c r="J4808"/>
      <c r="K4808"/>
      <c r="L4808"/>
    </row>
    <row r="4809" spans="2:12" x14ac:dyDescent="0.2">
      <c r="B4809"/>
      <c r="C4809"/>
      <c r="J4809"/>
      <c r="K4809"/>
      <c r="L4809"/>
    </row>
    <row r="4810" spans="2:12" x14ac:dyDescent="0.2">
      <c r="B4810"/>
      <c r="C4810"/>
      <c r="J4810"/>
      <c r="K4810"/>
      <c r="L4810"/>
    </row>
    <row r="4811" spans="2:12" x14ac:dyDescent="0.2">
      <c r="B4811"/>
      <c r="C4811"/>
      <c r="J4811"/>
      <c r="K4811"/>
      <c r="L4811"/>
    </row>
    <row r="4812" spans="2:12" x14ac:dyDescent="0.2">
      <c r="B4812"/>
      <c r="C4812"/>
      <c r="J4812"/>
      <c r="K4812"/>
      <c r="L4812"/>
    </row>
    <row r="4813" spans="2:12" x14ac:dyDescent="0.2">
      <c r="B4813"/>
      <c r="C4813"/>
      <c r="J4813"/>
      <c r="K4813"/>
      <c r="L4813"/>
    </row>
    <row r="4814" spans="2:12" x14ac:dyDescent="0.2">
      <c r="B4814"/>
      <c r="C4814"/>
      <c r="J4814"/>
      <c r="K4814"/>
      <c r="L4814"/>
    </row>
    <row r="4815" spans="2:12" x14ac:dyDescent="0.2">
      <c r="B4815"/>
      <c r="C4815"/>
      <c r="J4815"/>
      <c r="K4815"/>
      <c r="L4815"/>
    </row>
    <row r="4816" spans="2:12" x14ac:dyDescent="0.2">
      <c r="B4816"/>
      <c r="C4816"/>
      <c r="J4816"/>
      <c r="K4816"/>
      <c r="L4816"/>
    </row>
    <row r="4817" spans="2:12" x14ac:dyDescent="0.2">
      <c r="B4817"/>
      <c r="C4817"/>
      <c r="J4817"/>
      <c r="K4817"/>
      <c r="L4817"/>
    </row>
    <row r="4818" spans="2:12" x14ac:dyDescent="0.2">
      <c r="B4818"/>
      <c r="C4818"/>
      <c r="J4818"/>
      <c r="K4818"/>
      <c r="L4818"/>
    </row>
    <row r="4819" spans="2:12" x14ac:dyDescent="0.2">
      <c r="B4819"/>
      <c r="C4819"/>
      <c r="J4819"/>
      <c r="K4819"/>
      <c r="L4819"/>
    </row>
    <row r="4820" spans="2:12" x14ac:dyDescent="0.2">
      <c r="B4820"/>
      <c r="C4820"/>
      <c r="J4820"/>
      <c r="K4820"/>
      <c r="L4820"/>
    </row>
    <row r="4821" spans="2:12" x14ac:dyDescent="0.2">
      <c r="B4821"/>
      <c r="C4821"/>
      <c r="J4821"/>
      <c r="K4821"/>
      <c r="L4821"/>
    </row>
    <row r="4822" spans="2:12" x14ac:dyDescent="0.2">
      <c r="B4822"/>
      <c r="C4822"/>
      <c r="J4822"/>
      <c r="K4822"/>
      <c r="L4822"/>
    </row>
    <row r="4823" spans="2:12" x14ac:dyDescent="0.2">
      <c r="B4823"/>
      <c r="C4823"/>
      <c r="J4823"/>
      <c r="K4823"/>
      <c r="L4823"/>
    </row>
    <row r="4824" spans="2:12" x14ac:dyDescent="0.2">
      <c r="B4824"/>
      <c r="C4824"/>
      <c r="J4824"/>
      <c r="K4824"/>
      <c r="L4824"/>
    </row>
    <row r="4825" spans="2:12" x14ac:dyDescent="0.2">
      <c r="B4825"/>
      <c r="C4825"/>
      <c r="J4825"/>
      <c r="K4825"/>
      <c r="L4825"/>
    </row>
    <row r="4826" spans="2:12" x14ac:dyDescent="0.2">
      <c r="B4826"/>
      <c r="C4826"/>
      <c r="J4826"/>
      <c r="K4826"/>
      <c r="L4826"/>
    </row>
    <row r="4827" spans="2:12" x14ac:dyDescent="0.2">
      <c r="B4827"/>
      <c r="C4827"/>
      <c r="J4827"/>
      <c r="K4827"/>
      <c r="L4827"/>
    </row>
    <row r="4828" spans="2:12" x14ac:dyDescent="0.2">
      <c r="B4828"/>
      <c r="C4828"/>
      <c r="J4828"/>
      <c r="K4828"/>
      <c r="L4828"/>
    </row>
    <row r="4829" spans="2:12" x14ac:dyDescent="0.2">
      <c r="B4829"/>
      <c r="C4829"/>
      <c r="J4829"/>
      <c r="K4829"/>
      <c r="L4829"/>
    </row>
    <row r="4830" spans="2:12" x14ac:dyDescent="0.2">
      <c r="B4830"/>
      <c r="C4830"/>
      <c r="J4830"/>
      <c r="K4830"/>
      <c r="L4830"/>
    </row>
    <row r="4831" spans="2:12" x14ac:dyDescent="0.2">
      <c r="B4831"/>
      <c r="C4831"/>
      <c r="J4831"/>
      <c r="K4831"/>
      <c r="L4831"/>
    </row>
    <row r="4832" spans="2:12" x14ac:dyDescent="0.2">
      <c r="B4832"/>
      <c r="C4832"/>
      <c r="J4832"/>
      <c r="K4832"/>
      <c r="L4832"/>
    </row>
    <row r="4833" spans="2:12" x14ac:dyDescent="0.2">
      <c r="B4833"/>
      <c r="C4833"/>
      <c r="J4833"/>
      <c r="K4833"/>
      <c r="L4833"/>
    </row>
    <row r="4834" spans="2:12" x14ac:dyDescent="0.2">
      <c r="B4834"/>
      <c r="C4834"/>
      <c r="J4834"/>
      <c r="K4834"/>
      <c r="L4834"/>
    </row>
    <row r="4835" spans="2:12" x14ac:dyDescent="0.2">
      <c r="B4835"/>
      <c r="C4835"/>
      <c r="J4835"/>
      <c r="K4835"/>
      <c r="L4835"/>
    </row>
    <row r="4836" spans="2:12" x14ac:dyDescent="0.2">
      <c r="B4836"/>
      <c r="C4836"/>
      <c r="J4836"/>
      <c r="K4836"/>
      <c r="L4836"/>
    </row>
    <row r="4837" spans="2:12" x14ac:dyDescent="0.2">
      <c r="B4837"/>
      <c r="C4837"/>
      <c r="J4837"/>
      <c r="K4837"/>
      <c r="L4837"/>
    </row>
    <row r="4838" spans="2:12" x14ac:dyDescent="0.2">
      <c r="B4838"/>
      <c r="C4838"/>
      <c r="J4838"/>
      <c r="K4838"/>
      <c r="L4838"/>
    </row>
    <row r="4839" spans="2:12" x14ac:dyDescent="0.2">
      <c r="B4839"/>
      <c r="C4839"/>
      <c r="J4839"/>
      <c r="K4839"/>
      <c r="L4839"/>
    </row>
    <row r="4840" spans="2:12" x14ac:dyDescent="0.2">
      <c r="B4840"/>
      <c r="C4840"/>
      <c r="J4840"/>
      <c r="K4840"/>
      <c r="L4840"/>
    </row>
    <row r="4841" spans="2:12" x14ac:dyDescent="0.2">
      <c r="B4841"/>
      <c r="C4841"/>
      <c r="J4841"/>
      <c r="K4841"/>
      <c r="L4841"/>
    </row>
    <row r="4842" spans="2:12" x14ac:dyDescent="0.2">
      <c r="B4842"/>
      <c r="C4842"/>
      <c r="J4842"/>
      <c r="K4842"/>
      <c r="L4842"/>
    </row>
    <row r="4843" spans="2:12" x14ac:dyDescent="0.2">
      <c r="B4843"/>
      <c r="C4843"/>
      <c r="J4843"/>
      <c r="K4843"/>
      <c r="L4843"/>
    </row>
    <row r="4844" spans="2:12" x14ac:dyDescent="0.2">
      <c r="B4844"/>
      <c r="C4844"/>
      <c r="J4844"/>
      <c r="K4844"/>
      <c r="L4844"/>
    </row>
    <row r="4845" spans="2:12" x14ac:dyDescent="0.2">
      <c r="B4845"/>
      <c r="C4845"/>
      <c r="J4845"/>
      <c r="K4845"/>
      <c r="L4845"/>
    </row>
    <row r="4846" spans="2:12" x14ac:dyDescent="0.2">
      <c r="B4846"/>
      <c r="C4846"/>
      <c r="J4846"/>
      <c r="K4846"/>
      <c r="L4846"/>
    </row>
    <row r="4847" spans="2:12" x14ac:dyDescent="0.2">
      <c r="B4847"/>
      <c r="C4847"/>
      <c r="J4847"/>
      <c r="K4847"/>
      <c r="L4847"/>
    </row>
    <row r="4848" spans="2:12" x14ac:dyDescent="0.2">
      <c r="B4848"/>
      <c r="C4848"/>
      <c r="J4848"/>
      <c r="K4848"/>
      <c r="L4848"/>
    </row>
    <row r="4849" spans="2:12" x14ac:dyDescent="0.2">
      <c r="B4849"/>
      <c r="C4849"/>
      <c r="J4849"/>
      <c r="K4849"/>
      <c r="L4849"/>
    </row>
    <row r="4850" spans="2:12" x14ac:dyDescent="0.2">
      <c r="B4850"/>
      <c r="C4850"/>
      <c r="J4850"/>
      <c r="K4850"/>
      <c r="L4850"/>
    </row>
    <row r="4851" spans="2:12" x14ac:dyDescent="0.2">
      <c r="B4851"/>
      <c r="C4851"/>
      <c r="J4851"/>
      <c r="K4851"/>
      <c r="L4851"/>
    </row>
    <row r="4852" spans="2:12" x14ac:dyDescent="0.2">
      <c r="B4852"/>
      <c r="C4852"/>
      <c r="J4852"/>
      <c r="K4852"/>
      <c r="L4852"/>
    </row>
    <row r="4853" spans="2:12" x14ac:dyDescent="0.2">
      <c r="B4853"/>
      <c r="C4853"/>
      <c r="J4853"/>
      <c r="K4853"/>
      <c r="L4853"/>
    </row>
    <row r="4854" spans="2:12" x14ac:dyDescent="0.2">
      <c r="B4854"/>
      <c r="C4854"/>
      <c r="J4854"/>
      <c r="K4854"/>
      <c r="L4854"/>
    </row>
    <row r="4855" spans="2:12" x14ac:dyDescent="0.2">
      <c r="B4855"/>
      <c r="C4855"/>
      <c r="J4855"/>
      <c r="K4855"/>
      <c r="L4855"/>
    </row>
    <row r="4856" spans="2:12" x14ac:dyDescent="0.2">
      <c r="B4856"/>
      <c r="C4856"/>
      <c r="J4856"/>
      <c r="K4856"/>
      <c r="L4856"/>
    </row>
    <row r="4857" spans="2:12" x14ac:dyDescent="0.2">
      <c r="B4857"/>
      <c r="C4857"/>
      <c r="J4857"/>
      <c r="K4857"/>
      <c r="L4857"/>
    </row>
    <row r="4858" spans="2:12" x14ac:dyDescent="0.2">
      <c r="B4858"/>
      <c r="C4858"/>
      <c r="J4858"/>
      <c r="K4858"/>
      <c r="L4858"/>
    </row>
    <row r="4859" spans="2:12" x14ac:dyDescent="0.2">
      <c r="B4859"/>
      <c r="C4859"/>
      <c r="J4859"/>
      <c r="K4859"/>
      <c r="L4859"/>
    </row>
    <row r="4860" spans="2:12" x14ac:dyDescent="0.2">
      <c r="B4860"/>
      <c r="C4860"/>
      <c r="J4860"/>
      <c r="K4860"/>
      <c r="L4860"/>
    </row>
    <row r="4861" spans="2:12" x14ac:dyDescent="0.2">
      <c r="B4861"/>
      <c r="C4861"/>
      <c r="J4861"/>
      <c r="K4861"/>
      <c r="L4861"/>
    </row>
    <row r="4862" spans="2:12" x14ac:dyDescent="0.2">
      <c r="B4862"/>
      <c r="C4862"/>
      <c r="J4862"/>
      <c r="K4862"/>
      <c r="L4862"/>
    </row>
    <row r="4863" spans="2:12" x14ac:dyDescent="0.2">
      <c r="B4863"/>
      <c r="C4863"/>
      <c r="J4863"/>
      <c r="K4863"/>
      <c r="L4863"/>
    </row>
    <row r="4864" spans="2:12" x14ac:dyDescent="0.2">
      <c r="B4864"/>
      <c r="C4864"/>
      <c r="J4864"/>
      <c r="K4864"/>
      <c r="L4864"/>
    </row>
    <row r="4865" spans="2:12" x14ac:dyDescent="0.2">
      <c r="B4865"/>
      <c r="C4865"/>
      <c r="J4865"/>
      <c r="K4865"/>
      <c r="L4865"/>
    </row>
    <row r="4866" spans="2:12" x14ac:dyDescent="0.2">
      <c r="B4866"/>
      <c r="C4866"/>
      <c r="J4866"/>
      <c r="K4866"/>
      <c r="L4866"/>
    </row>
    <row r="4867" spans="2:12" x14ac:dyDescent="0.2">
      <c r="B4867"/>
      <c r="C4867"/>
      <c r="J4867"/>
      <c r="K4867"/>
      <c r="L4867"/>
    </row>
    <row r="4868" spans="2:12" x14ac:dyDescent="0.2">
      <c r="B4868"/>
      <c r="C4868"/>
      <c r="J4868"/>
      <c r="K4868"/>
      <c r="L4868"/>
    </row>
    <row r="4869" spans="2:12" x14ac:dyDescent="0.2">
      <c r="B4869"/>
      <c r="C4869"/>
      <c r="J4869"/>
      <c r="K4869"/>
      <c r="L4869"/>
    </row>
    <row r="4870" spans="2:12" x14ac:dyDescent="0.2">
      <c r="B4870"/>
      <c r="C4870"/>
      <c r="J4870"/>
      <c r="K4870"/>
      <c r="L4870"/>
    </row>
    <row r="4871" spans="2:12" x14ac:dyDescent="0.2">
      <c r="B4871"/>
      <c r="C4871"/>
      <c r="J4871"/>
      <c r="K4871"/>
      <c r="L4871"/>
    </row>
    <row r="4872" spans="2:12" x14ac:dyDescent="0.2">
      <c r="B4872"/>
      <c r="C4872"/>
      <c r="J4872"/>
      <c r="K4872"/>
      <c r="L4872"/>
    </row>
    <row r="4873" spans="2:12" x14ac:dyDescent="0.2">
      <c r="B4873"/>
      <c r="C4873"/>
      <c r="J4873"/>
      <c r="K4873"/>
      <c r="L4873"/>
    </row>
    <row r="4874" spans="2:12" x14ac:dyDescent="0.2">
      <c r="B4874"/>
      <c r="C4874"/>
      <c r="J4874"/>
      <c r="K4874"/>
      <c r="L4874"/>
    </row>
    <row r="4875" spans="2:12" x14ac:dyDescent="0.2">
      <c r="B4875"/>
      <c r="C4875"/>
      <c r="J4875"/>
      <c r="K4875"/>
      <c r="L4875"/>
    </row>
    <row r="4876" spans="2:12" x14ac:dyDescent="0.2">
      <c r="B4876"/>
      <c r="C4876"/>
      <c r="J4876"/>
      <c r="K4876"/>
      <c r="L4876"/>
    </row>
    <row r="4877" spans="2:12" x14ac:dyDescent="0.2">
      <c r="B4877"/>
      <c r="C4877"/>
      <c r="J4877"/>
      <c r="K4877"/>
      <c r="L4877"/>
    </row>
    <row r="4878" spans="2:12" x14ac:dyDescent="0.2">
      <c r="B4878"/>
      <c r="C4878"/>
      <c r="J4878"/>
      <c r="K4878"/>
      <c r="L4878"/>
    </row>
    <row r="4879" spans="2:12" x14ac:dyDescent="0.2">
      <c r="B4879"/>
      <c r="C4879"/>
      <c r="J4879"/>
      <c r="K4879"/>
      <c r="L4879"/>
    </row>
    <row r="4880" spans="2:12" x14ac:dyDescent="0.2">
      <c r="B4880"/>
      <c r="C4880"/>
      <c r="J4880"/>
      <c r="K4880"/>
      <c r="L4880"/>
    </row>
    <row r="4881" spans="2:12" x14ac:dyDescent="0.2">
      <c r="B4881"/>
      <c r="C4881"/>
      <c r="J4881"/>
      <c r="K4881"/>
      <c r="L4881"/>
    </row>
    <row r="4882" spans="2:12" x14ac:dyDescent="0.2">
      <c r="B4882"/>
      <c r="C4882"/>
      <c r="J4882"/>
      <c r="K4882"/>
      <c r="L4882"/>
    </row>
    <row r="4883" spans="2:12" x14ac:dyDescent="0.2">
      <c r="B4883"/>
      <c r="C4883"/>
      <c r="J4883"/>
      <c r="K4883"/>
      <c r="L4883"/>
    </row>
    <row r="4884" spans="2:12" x14ac:dyDescent="0.2">
      <c r="B4884"/>
      <c r="C4884"/>
      <c r="J4884"/>
      <c r="K4884"/>
      <c r="L4884"/>
    </row>
    <row r="4885" spans="2:12" x14ac:dyDescent="0.2">
      <c r="B4885"/>
      <c r="C4885"/>
      <c r="J4885"/>
      <c r="K4885"/>
      <c r="L4885"/>
    </row>
    <row r="4886" spans="2:12" x14ac:dyDescent="0.2">
      <c r="B4886"/>
      <c r="C4886"/>
      <c r="J4886"/>
      <c r="K4886"/>
      <c r="L4886"/>
    </row>
    <row r="4887" spans="2:12" x14ac:dyDescent="0.2">
      <c r="B4887"/>
      <c r="C4887"/>
      <c r="J4887"/>
      <c r="K4887"/>
      <c r="L4887"/>
    </row>
    <row r="4888" spans="2:12" x14ac:dyDescent="0.2">
      <c r="B4888"/>
      <c r="C4888"/>
      <c r="J4888"/>
      <c r="K4888"/>
      <c r="L4888"/>
    </row>
    <row r="4889" spans="2:12" x14ac:dyDescent="0.2">
      <c r="B4889"/>
      <c r="C4889"/>
      <c r="J4889"/>
      <c r="K4889"/>
      <c r="L4889"/>
    </row>
    <row r="4890" spans="2:12" x14ac:dyDescent="0.2">
      <c r="B4890"/>
      <c r="C4890"/>
      <c r="J4890"/>
      <c r="K4890"/>
      <c r="L4890"/>
    </row>
    <row r="4891" spans="2:12" x14ac:dyDescent="0.2">
      <c r="B4891"/>
      <c r="C4891"/>
      <c r="J4891"/>
      <c r="K4891"/>
      <c r="L4891"/>
    </row>
    <row r="4892" spans="2:12" x14ac:dyDescent="0.2">
      <c r="B4892"/>
      <c r="C4892"/>
      <c r="J4892"/>
      <c r="K4892"/>
      <c r="L4892"/>
    </row>
    <row r="4893" spans="2:12" x14ac:dyDescent="0.2">
      <c r="B4893"/>
      <c r="C4893"/>
      <c r="J4893"/>
      <c r="K4893"/>
      <c r="L4893"/>
    </row>
    <row r="4894" spans="2:12" x14ac:dyDescent="0.2">
      <c r="B4894"/>
      <c r="C4894"/>
      <c r="J4894"/>
      <c r="K4894"/>
      <c r="L4894"/>
    </row>
    <row r="4895" spans="2:12" x14ac:dyDescent="0.2">
      <c r="B4895"/>
      <c r="C4895"/>
      <c r="J4895"/>
      <c r="K4895"/>
      <c r="L4895"/>
    </row>
    <row r="4896" spans="2:12" x14ac:dyDescent="0.2">
      <c r="B4896"/>
      <c r="C4896"/>
      <c r="J4896"/>
      <c r="K4896"/>
      <c r="L4896"/>
    </row>
    <row r="4897" spans="2:12" x14ac:dyDescent="0.2">
      <c r="B4897"/>
      <c r="C4897"/>
      <c r="J4897"/>
      <c r="K4897"/>
      <c r="L4897"/>
    </row>
    <row r="4898" spans="2:12" x14ac:dyDescent="0.2">
      <c r="B4898"/>
      <c r="C4898"/>
      <c r="J4898"/>
      <c r="K4898"/>
      <c r="L4898"/>
    </row>
    <row r="4899" spans="2:12" x14ac:dyDescent="0.2">
      <c r="B4899"/>
      <c r="C4899"/>
      <c r="J4899"/>
      <c r="K4899"/>
      <c r="L4899"/>
    </row>
    <row r="4900" spans="2:12" x14ac:dyDescent="0.2">
      <c r="B4900"/>
      <c r="C4900"/>
      <c r="J4900"/>
      <c r="K4900"/>
      <c r="L4900"/>
    </row>
    <row r="4901" spans="2:12" x14ac:dyDescent="0.2">
      <c r="B4901"/>
      <c r="C4901"/>
      <c r="J4901"/>
      <c r="K4901"/>
      <c r="L4901"/>
    </row>
    <row r="4902" spans="2:12" x14ac:dyDescent="0.2">
      <c r="B4902"/>
      <c r="C4902"/>
      <c r="J4902"/>
      <c r="K4902"/>
      <c r="L4902"/>
    </row>
    <row r="4903" spans="2:12" x14ac:dyDescent="0.2">
      <c r="B4903"/>
      <c r="C4903"/>
      <c r="J4903"/>
      <c r="K4903"/>
      <c r="L4903"/>
    </row>
    <row r="4904" spans="2:12" x14ac:dyDescent="0.2">
      <c r="B4904"/>
      <c r="C4904"/>
      <c r="J4904"/>
      <c r="K4904"/>
      <c r="L4904"/>
    </row>
    <row r="4905" spans="2:12" x14ac:dyDescent="0.2">
      <c r="B4905"/>
      <c r="C4905"/>
      <c r="J4905"/>
      <c r="K4905"/>
      <c r="L4905"/>
    </row>
    <row r="4906" spans="2:12" x14ac:dyDescent="0.2">
      <c r="B4906"/>
      <c r="C4906"/>
      <c r="J4906"/>
      <c r="K4906"/>
      <c r="L4906"/>
    </row>
    <row r="4907" spans="2:12" x14ac:dyDescent="0.2">
      <c r="B4907"/>
      <c r="C4907"/>
      <c r="J4907"/>
      <c r="K4907"/>
      <c r="L4907"/>
    </row>
    <row r="4908" spans="2:12" x14ac:dyDescent="0.2">
      <c r="B4908"/>
      <c r="C4908"/>
      <c r="J4908"/>
      <c r="K4908"/>
      <c r="L4908"/>
    </row>
    <row r="4909" spans="2:12" x14ac:dyDescent="0.2">
      <c r="B4909"/>
      <c r="C4909"/>
      <c r="J4909"/>
      <c r="K4909"/>
      <c r="L4909"/>
    </row>
    <row r="4910" spans="2:12" x14ac:dyDescent="0.2">
      <c r="B4910"/>
      <c r="C4910"/>
      <c r="J4910"/>
      <c r="K4910"/>
      <c r="L4910"/>
    </row>
    <row r="4911" spans="2:12" x14ac:dyDescent="0.2">
      <c r="B4911"/>
      <c r="C4911"/>
      <c r="J4911"/>
      <c r="K4911"/>
      <c r="L4911"/>
    </row>
    <row r="4912" spans="2:12" x14ac:dyDescent="0.2">
      <c r="B4912"/>
      <c r="C4912"/>
      <c r="J4912"/>
      <c r="K4912"/>
      <c r="L4912"/>
    </row>
    <row r="4913" spans="2:12" x14ac:dyDescent="0.2">
      <c r="B4913"/>
      <c r="C4913"/>
      <c r="J4913"/>
      <c r="K4913"/>
      <c r="L4913"/>
    </row>
    <row r="4914" spans="2:12" x14ac:dyDescent="0.2">
      <c r="B4914"/>
      <c r="C4914"/>
      <c r="J4914"/>
      <c r="K4914"/>
      <c r="L4914"/>
    </row>
    <row r="4915" spans="2:12" x14ac:dyDescent="0.2">
      <c r="B4915"/>
      <c r="C4915"/>
      <c r="J4915"/>
      <c r="K4915"/>
      <c r="L4915"/>
    </row>
    <row r="4916" spans="2:12" x14ac:dyDescent="0.2">
      <c r="B4916"/>
      <c r="C4916"/>
      <c r="J4916"/>
      <c r="K4916"/>
      <c r="L4916"/>
    </row>
    <row r="4917" spans="2:12" x14ac:dyDescent="0.2">
      <c r="B4917"/>
      <c r="C4917"/>
      <c r="J4917"/>
      <c r="K4917"/>
      <c r="L4917"/>
    </row>
    <row r="4918" spans="2:12" x14ac:dyDescent="0.2">
      <c r="B4918"/>
      <c r="C4918"/>
      <c r="J4918"/>
      <c r="K4918"/>
      <c r="L4918"/>
    </row>
    <row r="4919" spans="2:12" x14ac:dyDescent="0.2">
      <c r="B4919"/>
      <c r="C4919"/>
      <c r="J4919"/>
      <c r="K4919"/>
      <c r="L4919"/>
    </row>
    <row r="4920" spans="2:12" x14ac:dyDescent="0.2">
      <c r="B4920"/>
      <c r="C4920"/>
      <c r="J4920"/>
      <c r="K4920"/>
      <c r="L4920"/>
    </row>
    <row r="4921" spans="2:12" x14ac:dyDescent="0.2">
      <c r="B4921"/>
      <c r="C4921"/>
      <c r="J4921"/>
      <c r="K4921"/>
      <c r="L4921"/>
    </row>
    <row r="4922" spans="2:12" x14ac:dyDescent="0.2">
      <c r="B4922"/>
      <c r="C4922"/>
      <c r="J4922"/>
      <c r="K4922"/>
      <c r="L4922"/>
    </row>
    <row r="4923" spans="2:12" x14ac:dyDescent="0.2">
      <c r="B4923"/>
      <c r="C4923"/>
      <c r="J4923"/>
      <c r="K4923"/>
      <c r="L4923"/>
    </row>
    <row r="4924" spans="2:12" x14ac:dyDescent="0.2">
      <c r="B4924"/>
      <c r="C4924"/>
      <c r="J4924"/>
      <c r="K4924"/>
      <c r="L4924"/>
    </row>
    <row r="4925" spans="2:12" x14ac:dyDescent="0.2">
      <c r="B4925"/>
      <c r="C4925"/>
      <c r="J4925"/>
      <c r="K4925"/>
      <c r="L4925"/>
    </row>
    <row r="4926" spans="2:12" x14ac:dyDescent="0.2">
      <c r="B4926"/>
      <c r="C4926"/>
      <c r="J4926"/>
      <c r="K4926"/>
      <c r="L4926"/>
    </row>
    <row r="4927" spans="2:12" x14ac:dyDescent="0.2">
      <c r="B4927"/>
      <c r="C4927"/>
      <c r="J4927"/>
      <c r="K4927"/>
      <c r="L4927"/>
    </row>
    <row r="4928" spans="2:12" x14ac:dyDescent="0.2">
      <c r="B4928"/>
      <c r="C4928"/>
      <c r="J4928"/>
      <c r="K4928"/>
      <c r="L4928"/>
    </row>
    <row r="4929" spans="2:12" x14ac:dyDescent="0.2">
      <c r="B4929"/>
      <c r="C4929"/>
      <c r="J4929"/>
      <c r="K4929"/>
      <c r="L4929"/>
    </row>
    <row r="4930" spans="2:12" x14ac:dyDescent="0.2">
      <c r="B4930"/>
      <c r="C4930"/>
      <c r="J4930"/>
      <c r="K4930"/>
      <c r="L4930"/>
    </row>
    <row r="4931" spans="2:12" x14ac:dyDescent="0.2">
      <c r="B4931"/>
      <c r="C4931"/>
      <c r="J4931"/>
      <c r="K4931"/>
      <c r="L4931"/>
    </row>
    <row r="4932" spans="2:12" x14ac:dyDescent="0.2">
      <c r="B4932"/>
      <c r="C4932"/>
      <c r="J4932"/>
      <c r="K4932"/>
      <c r="L4932"/>
    </row>
    <row r="4933" spans="2:12" x14ac:dyDescent="0.2">
      <c r="B4933"/>
      <c r="C4933"/>
      <c r="J4933"/>
      <c r="K4933"/>
      <c r="L4933"/>
    </row>
    <row r="4934" spans="2:12" x14ac:dyDescent="0.2">
      <c r="B4934"/>
      <c r="C4934"/>
      <c r="J4934"/>
      <c r="K4934"/>
      <c r="L4934"/>
    </row>
    <row r="4935" spans="2:12" x14ac:dyDescent="0.2">
      <c r="B4935"/>
      <c r="C4935"/>
      <c r="J4935"/>
      <c r="K4935"/>
      <c r="L4935"/>
    </row>
    <row r="4936" spans="2:12" x14ac:dyDescent="0.2">
      <c r="B4936"/>
      <c r="C4936"/>
      <c r="J4936"/>
      <c r="K4936"/>
      <c r="L4936"/>
    </row>
    <row r="4937" spans="2:12" x14ac:dyDescent="0.2">
      <c r="B4937"/>
      <c r="C4937"/>
      <c r="J4937"/>
      <c r="K4937"/>
      <c r="L4937"/>
    </row>
    <row r="4938" spans="2:12" x14ac:dyDescent="0.2">
      <c r="B4938"/>
      <c r="C4938"/>
      <c r="J4938"/>
      <c r="K4938"/>
      <c r="L4938"/>
    </row>
    <row r="4939" spans="2:12" x14ac:dyDescent="0.2">
      <c r="B4939"/>
      <c r="C4939"/>
      <c r="J4939"/>
      <c r="K4939"/>
      <c r="L4939"/>
    </row>
    <row r="4940" spans="2:12" x14ac:dyDescent="0.2">
      <c r="B4940"/>
      <c r="C4940"/>
      <c r="J4940"/>
      <c r="K4940"/>
      <c r="L4940"/>
    </row>
    <row r="4941" spans="2:12" x14ac:dyDescent="0.2">
      <c r="B4941"/>
      <c r="C4941"/>
      <c r="J4941"/>
      <c r="K4941"/>
      <c r="L4941"/>
    </row>
    <row r="4942" spans="2:12" x14ac:dyDescent="0.2">
      <c r="B4942"/>
      <c r="C4942"/>
      <c r="J4942"/>
      <c r="K4942"/>
      <c r="L4942"/>
    </row>
    <row r="4943" spans="2:12" x14ac:dyDescent="0.2">
      <c r="B4943"/>
      <c r="C4943"/>
      <c r="J4943"/>
      <c r="K4943"/>
      <c r="L4943"/>
    </row>
    <row r="4944" spans="2:12" x14ac:dyDescent="0.2">
      <c r="B4944"/>
      <c r="C4944"/>
      <c r="J4944"/>
      <c r="K4944"/>
      <c r="L4944"/>
    </row>
    <row r="4945" spans="2:12" x14ac:dyDescent="0.2">
      <c r="B4945"/>
      <c r="C4945"/>
      <c r="J4945"/>
      <c r="K4945"/>
      <c r="L4945"/>
    </row>
    <row r="4946" spans="2:12" x14ac:dyDescent="0.2">
      <c r="B4946"/>
      <c r="C4946"/>
      <c r="J4946"/>
      <c r="K4946"/>
      <c r="L4946"/>
    </row>
    <row r="4947" spans="2:12" x14ac:dyDescent="0.2">
      <c r="B4947"/>
      <c r="C4947"/>
      <c r="J4947"/>
      <c r="K4947"/>
      <c r="L4947"/>
    </row>
    <row r="4948" spans="2:12" x14ac:dyDescent="0.2">
      <c r="B4948"/>
      <c r="C4948"/>
      <c r="J4948"/>
      <c r="K4948"/>
      <c r="L4948"/>
    </row>
    <row r="4949" spans="2:12" x14ac:dyDescent="0.2">
      <c r="B4949"/>
      <c r="C4949"/>
      <c r="J4949"/>
      <c r="K4949"/>
      <c r="L4949"/>
    </row>
    <row r="4950" spans="2:12" x14ac:dyDescent="0.2">
      <c r="B4950"/>
      <c r="C4950"/>
      <c r="J4950"/>
      <c r="K4950"/>
      <c r="L4950"/>
    </row>
    <row r="4951" spans="2:12" x14ac:dyDescent="0.2">
      <c r="B4951"/>
      <c r="C4951"/>
      <c r="J4951"/>
      <c r="K4951"/>
      <c r="L4951"/>
    </row>
    <row r="4952" spans="2:12" x14ac:dyDescent="0.2">
      <c r="B4952"/>
      <c r="C4952"/>
      <c r="J4952"/>
      <c r="K4952"/>
      <c r="L4952"/>
    </row>
    <row r="4953" spans="2:12" x14ac:dyDescent="0.2">
      <c r="B4953"/>
      <c r="C4953"/>
      <c r="J4953"/>
      <c r="K4953"/>
      <c r="L4953"/>
    </row>
    <row r="4954" spans="2:12" x14ac:dyDescent="0.2">
      <c r="B4954"/>
      <c r="C4954"/>
      <c r="J4954"/>
      <c r="K4954"/>
      <c r="L4954"/>
    </row>
    <row r="4955" spans="2:12" x14ac:dyDescent="0.2">
      <c r="B4955"/>
      <c r="C4955"/>
      <c r="J4955"/>
      <c r="K4955"/>
      <c r="L4955"/>
    </row>
    <row r="4956" spans="2:12" x14ac:dyDescent="0.2">
      <c r="B4956"/>
      <c r="C4956"/>
      <c r="J4956"/>
      <c r="K4956"/>
      <c r="L4956"/>
    </row>
    <row r="4957" spans="2:12" x14ac:dyDescent="0.2">
      <c r="B4957"/>
      <c r="C4957"/>
      <c r="J4957"/>
      <c r="K4957"/>
      <c r="L4957"/>
    </row>
    <row r="4958" spans="2:12" x14ac:dyDescent="0.2">
      <c r="B4958"/>
      <c r="C4958"/>
      <c r="J4958"/>
      <c r="K4958"/>
      <c r="L4958"/>
    </row>
    <row r="4959" spans="2:12" x14ac:dyDescent="0.2">
      <c r="B4959"/>
      <c r="C4959"/>
      <c r="J4959"/>
      <c r="K4959"/>
      <c r="L4959"/>
    </row>
    <row r="4960" spans="2:12" x14ac:dyDescent="0.2">
      <c r="B4960"/>
      <c r="C4960"/>
      <c r="J4960"/>
      <c r="K4960"/>
      <c r="L4960"/>
    </row>
    <row r="4961" spans="2:12" x14ac:dyDescent="0.2">
      <c r="B4961"/>
      <c r="C4961"/>
      <c r="J4961"/>
      <c r="K4961"/>
      <c r="L4961"/>
    </row>
    <row r="4962" spans="2:12" x14ac:dyDescent="0.2">
      <c r="B4962"/>
      <c r="C4962"/>
      <c r="J4962"/>
      <c r="K4962"/>
      <c r="L4962"/>
    </row>
    <row r="4963" spans="2:12" x14ac:dyDescent="0.2">
      <c r="B4963"/>
      <c r="C4963"/>
      <c r="J4963"/>
      <c r="K4963"/>
      <c r="L4963"/>
    </row>
    <row r="4964" spans="2:12" x14ac:dyDescent="0.2">
      <c r="B4964"/>
      <c r="C4964"/>
      <c r="J4964"/>
      <c r="K4964"/>
      <c r="L4964"/>
    </row>
    <row r="4965" spans="2:12" x14ac:dyDescent="0.2">
      <c r="B4965"/>
      <c r="C4965"/>
      <c r="J4965"/>
      <c r="K4965"/>
      <c r="L4965"/>
    </row>
    <row r="4966" spans="2:12" x14ac:dyDescent="0.2">
      <c r="B4966"/>
      <c r="C4966"/>
      <c r="J4966"/>
      <c r="K4966"/>
      <c r="L4966"/>
    </row>
    <row r="4967" spans="2:12" x14ac:dyDescent="0.2">
      <c r="B4967"/>
      <c r="C4967"/>
      <c r="J4967"/>
      <c r="K4967"/>
      <c r="L4967"/>
    </row>
    <row r="4968" spans="2:12" x14ac:dyDescent="0.2">
      <c r="B4968"/>
      <c r="C4968"/>
      <c r="J4968"/>
      <c r="K4968"/>
      <c r="L4968"/>
    </row>
    <row r="4969" spans="2:12" x14ac:dyDescent="0.2">
      <c r="B4969"/>
      <c r="C4969"/>
      <c r="J4969"/>
      <c r="K4969"/>
      <c r="L4969"/>
    </row>
    <row r="4970" spans="2:12" x14ac:dyDescent="0.2">
      <c r="B4970"/>
      <c r="C4970"/>
      <c r="J4970"/>
      <c r="K4970"/>
      <c r="L4970"/>
    </row>
    <row r="4971" spans="2:12" x14ac:dyDescent="0.2">
      <c r="B4971"/>
      <c r="C4971"/>
      <c r="J4971"/>
      <c r="K4971"/>
      <c r="L4971"/>
    </row>
    <row r="4972" spans="2:12" x14ac:dyDescent="0.2">
      <c r="B4972"/>
      <c r="C4972"/>
      <c r="J4972"/>
      <c r="K4972"/>
      <c r="L4972"/>
    </row>
    <row r="4973" spans="2:12" x14ac:dyDescent="0.2">
      <c r="B4973"/>
      <c r="C4973"/>
      <c r="J4973"/>
      <c r="K4973"/>
      <c r="L4973"/>
    </row>
    <row r="4974" spans="2:12" x14ac:dyDescent="0.2">
      <c r="B4974"/>
      <c r="C4974"/>
      <c r="J4974"/>
      <c r="K4974"/>
      <c r="L4974"/>
    </row>
    <row r="4975" spans="2:12" x14ac:dyDescent="0.2">
      <c r="B4975"/>
      <c r="C4975"/>
      <c r="J4975"/>
      <c r="K4975"/>
      <c r="L4975"/>
    </row>
    <row r="4976" spans="2:12" x14ac:dyDescent="0.2">
      <c r="B4976"/>
      <c r="C4976"/>
      <c r="J4976"/>
      <c r="K4976"/>
      <c r="L4976"/>
    </row>
    <row r="4977" spans="2:12" x14ac:dyDescent="0.2">
      <c r="B4977"/>
      <c r="C4977"/>
      <c r="J4977"/>
      <c r="K4977"/>
      <c r="L4977"/>
    </row>
    <row r="4978" spans="2:12" x14ac:dyDescent="0.2">
      <c r="B4978"/>
      <c r="C4978"/>
      <c r="J4978"/>
      <c r="K4978"/>
      <c r="L4978"/>
    </row>
    <row r="4979" spans="2:12" x14ac:dyDescent="0.2">
      <c r="B4979"/>
      <c r="C4979"/>
      <c r="J4979"/>
      <c r="K4979"/>
      <c r="L4979"/>
    </row>
    <row r="4980" spans="2:12" x14ac:dyDescent="0.2">
      <c r="B4980"/>
      <c r="C4980"/>
      <c r="J4980"/>
      <c r="K4980"/>
      <c r="L4980"/>
    </row>
    <row r="4981" spans="2:12" x14ac:dyDescent="0.2">
      <c r="B4981"/>
      <c r="C4981"/>
      <c r="J4981"/>
      <c r="K4981"/>
      <c r="L4981"/>
    </row>
    <row r="4982" spans="2:12" x14ac:dyDescent="0.2">
      <c r="B4982"/>
      <c r="C4982"/>
      <c r="J4982"/>
      <c r="K4982"/>
      <c r="L4982"/>
    </row>
    <row r="4983" spans="2:12" x14ac:dyDescent="0.2">
      <c r="B4983"/>
      <c r="C4983"/>
      <c r="J4983"/>
      <c r="K4983"/>
      <c r="L4983"/>
    </row>
    <row r="4984" spans="2:12" x14ac:dyDescent="0.2">
      <c r="B4984"/>
      <c r="C4984"/>
      <c r="J4984"/>
      <c r="K4984"/>
      <c r="L4984"/>
    </row>
    <row r="4985" spans="2:12" x14ac:dyDescent="0.2">
      <c r="B4985"/>
      <c r="C4985"/>
      <c r="J4985"/>
      <c r="K4985"/>
      <c r="L4985"/>
    </row>
    <row r="4986" spans="2:12" x14ac:dyDescent="0.2">
      <c r="B4986"/>
      <c r="C4986"/>
      <c r="J4986"/>
      <c r="K4986"/>
      <c r="L4986"/>
    </row>
    <row r="4987" spans="2:12" x14ac:dyDescent="0.2">
      <c r="B4987"/>
      <c r="C4987"/>
      <c r="J4987"/>
      <c r="K4987"/>
      <c r="L4987"/>
    </row>
    <row r="4988" spans="2:12" x14ac:dyDescent="0.2">
      <c r="B4988"/>
      <c r="C4988"/>
      <c r="J4988"/>
      <c r="K4988"/>
      <c r="L4988"/>
    </row>
    <row r="4989" spans="2:12" x14ac:dyDescent="0.2">
      <c r="B4989"/>
      <c r="C4989"/>
      <c r="J4989"/>
      <c r="K4989"/>
      <c r="L4989"/>
    </row>
    <row r="4990" spans="2:12" x14ac:dyDescent="0.2">
      <c r="B4990"/>
      <c r="C4990"/>
      <c r="J4990"/>
      <c r="K4990"/>
      <c r="L4990"/>
    </row>
    <row r="4991" spans="2:12" x14ac:dyDescent="0.2">
      <c r="B4991"/>
      <c r="C4991"/>
      <c r="J4991"/>
      <c r="K4991"/>
      <c r="L4991"/>
    </row>
    <row r="4992" spans="2:12" x14ac:dyDescent="0.2">
      <c r="B4992"/>
      <c r="C4992"/>
      <c r="J4992"/>
      <c r="K4992"/>
      <c r="L4992"/>
    </row>
    <row r="4993" spans="2:12" x14ac:dyDescent="0.2">
      <c r="B4993"/>
      <c r="C4993"/>
      <c r="J4993"/>
      <c r="K4993"/>
      <c r="L4993"/>
    </row>
    <row r="4994" spans="2:12" x14ac:dyDescent="0.2">
      <c r="B4994"/>
      <c r="C4994"/>
      <c r="J4994"/>
      <c r="K4994"/>
      <c r="L4994"/>
    </row>
    <row r="4995" spans="2:12" x14ac:dyDescent="0.2">
      <c r="B4995"/>
      <c r="C4995"/>
      <c r="J4995"/>
      <c r="K4995"/>
      <c r="L4995"/>
    </row>
    <row r="4996" spans="2:12" x14ac:dyDescent="0.2">
      <c r="B4996"/>
      <c r="C4996"/>
      <c r="J4996"/>
      <c r="K4996"/>
      <c r="L4996"/>
    </row>
    <row r="4997" spans="2:12" x14ac:dyDescent="0.2">
      <c r="B4997"/>
      <c r="C4997"/>
      <c r="J4997"/>
      <c r="K4997"/>
      <c r="L4997"/>
    </row>
    <row r="4998" spans="2:12" x14ac:dyDescent="0.2">
      <c r="B4998"/>
      <c r="C4998"/>
      <c r="J4998"/>
      <c r="K4998"/>
      <c r="L4998"/>
    </row>
    <row r="4999" spans="2:12" x14ac:dyDescent="0.2">
      <c r="B4999"/>
      <c r="C4999"/>
      <c r="J4999"/>
      <c r="K4999"/>
      <c r="L4999"/>
    </row>
    <row r="5000" spans="2:12" x14ac:dyDescent="0.2">
      <c r="B5000"/>
      <c r="C5000"/>
      <c r="J5000"/>
      <c r="K5000"/>
      <c r="L5000"/>
    </row>
    <row r="5001" spans="2:12" x14ac:dyDescent="0.2">
      <c r="B5001"/>
      <c r="C5001"/>
      <c r="J5001"/>
      <c r="K5001"/>
      <c r="L5001"/>
    </row>
    <row r="5002" spans="2:12" x14ac:dyDescent="0.2">
      <c r="B5002"/>
      <c r="C5002"/>
      <c r="J5002"/>
      <c r="K5002"/>
      <c r="L5002"/>
    </row>
    <row r="5003" spans="2:12" x14ac:dyDescent="0.2">
      <c r="B5003"/>
      <c r="C5003"/>
      <c r="J5003"/>
      <c r="K5003"/>
      <c r="L5003"/>
    </row>
    <row r="5004" spans="2:12" x14ac:dyDescent="0.2">
      <c r="B5004"/>
      <c r="C5004"/>
      <c r="J5004"/>
      <c r="K5004"/>
      <c r="L5004"/>
    </row>
    <row r="5005" spans="2:12" x14ac:dyDescent="0.2">
      <c r="B5005"/>
      <c r="C5005"/>
      <c r="J5005"/>
      <c r="K5005"/>
      <c r="L5005"/>
    </row>
    <row r="5006" spans="2:12" x14ac:dyDescent="0.2">
      <c r="B5006"/>
      <c r="C5006"/>
      <c r="J5006"/>
      <c r="K5006"/>
      <c r="L5006"/>
    </row>
    <row r="5007" spans="2:12" x14ac:dyDescent="0.2">
      <c r="B5007"/>
      <c r="C5007"/>
      <c r="J5007"/>
      <c r="K5007"/>
      <c r="L5007"/>
    </row>
    <row r="5008" spans="2:12" x14ac:dyDescent="0.2">
      <c r="B5008"/>
      <c r="C5008"/>
      <c r="J5008"/>
      <c r="K5008"/>
      <c r="L5008"/>
    </row>
    <row r="5009" spans="2:12" x14ac:dyDescent="0.2">
      <c r="B5009"/>
      <c r="C5009"/>
      <c r="J5009"/>
      <c r="K5009"/>
      <c r="L5009"/>
    </row>
    <row r="5010" spans="2:12" x14ac:dyDescent="0.2">
      <c r="B5010"/>
      <c r="C5010"/>
      <c r="J5010"/>
      <c r="K5010"/>
      <c r="L5010"/>
    </row>
    <row r="5011" spans="2:12" x14ac:dyDescent="0.2">
      <c r="B5011"/>
      <c r="C5011"/>
      <c r="J5011"/>
      <c r="K5011"/>
      <c r="L5011"/>
    </row>
    <row r="5012" spans="2:12" x14ac:dyDescent="0.2">
      <c r="B5012"/>
      <c r="C5012"/>
      <c r="J5012"/>
      <c r="K5012"/>
      <c r="L5012"/>
    </row>
    <row r="5013" spans="2:12" x14ac:dyDescent="0.2">
      <c r="B5013"/>
      <c r="C5013"/>
      <c r="J5013"/>
      <c r="K5013"/>
      <c r="L5013"/>
    </row>
    <row r="5014" spans="2:12" x14ac:dyDescent="0.2">
      <c r="B5014"/>
      <c r="C5014"/>
      <c r="J5014"/>
      <c r="K5014"/>
      <c r="L5014"/>
    </row>
    <row r="5015" spans="2:12" x14ac:dyDescent="0.2">
      <c r="B5015"/>
      <c r="C5015"/>
      <c r="J5015"/>
      <c r="K5015"/>
      <c r="L5015"/>
    </row>
    <row r="5016" spans="2:12" x14ac:dyDescent="0.2">
      <c r="B5016"/>
      <c r="C5016"/>
      <c r="J5016"/>
      <c r="K5016"/>
      <c r="L5016"/>
    </row>
    <row r="5017" spans="2:12" x14ac:dyDescent="0.2">
      <c r="B5017"/>
      <c r="C5017"/>
      <c r="J5017"/>
      <c r="K5017"/>
      <c r="L5017"/>
    </row>
    <row r="5018" spans="2:12" x14ac:dyDescent="0.2">
      <c r="B5018"/>
      <c r="C5018"/>
      <c r="J5018"/>
      <c r="K5018"/>
      <c r="L5018"/>
    </row>
    <row r="5019" spans="2:12" x14ac:dyDescent="0.2">
      <c r="B5019"/>
      <c r="C5019"/>
      <c r="J5019"/>
      <c r="K5019"/>
      <c r="L5019"/>
    </row>
    <row r="5020" spans="2:12" x14ac:dyDescent="0.2">
      <c r="B5020"/>
      <c r="C5020"/>
      <c r="J5020"/>
      <c r="K5020"/>
      <c r="L5020"/>
    </row>
    <row r="5021" spans="2:12" x14ac:dyDescent="0.2">
      <c r="B5021"/>
      <c r="C5021"/>
      <c r="J5021"/>
      <c r="K5021"/>
      <c r="L5021"/>
    </row>
    <row r="5022" spans="2:12" x14ac:dyDescent="0.2">
      <c r="B5022"/>
      <c r="C5022"/>
      <c r="J5022"/>
      <c r="K5022"/>
      <c r="L5022"/>
    </row>
    <row r="5023" spans="2:12" x14ac:dyDescent="0.2">
      <c r="B5023"/>
      <c r="C5023"/>
      <c r="J5023"/>
      <c r="K5023"/>
      <c r="L5023"/>
    </row>
    <row r="5024" spans="2:12" x14ac:dyDescent="0.2">
      <c r="B5024"/>
      <c r="C5024"/>
      <c r="J5024"/>
      <c r="K5024"/>
      <c r="L5024"/>
    </row>
    <row r="5025" spans="2:12" x14ac:dyDescent="0.2">
      <c r="B5025"/>
      <c r="C5025"/>
      <c r="J5025"/>
      <c r="K5025"/>
      <c r="L5025"/>
    </row>
    <row r="5026" spans="2:12" x14ac:dyDescent="0.2">
      <c r="B5026"/>
      <c r="C5026"/>
      <c r="J5026"/>
      <c r="K5026"/>
      <c r="L5026"/>
    </row>
    <row r="5027" spans="2:12" x14ac:dyDescent="0.2">
      <c r="B5027"/>
      <c r="C5027"/>
      <c r="J5027"/>
      <c r="K5027"/>
      <c r="L5027"/>
    </row>
    <row r="5028" spans="2:12" x14ac:dyDescent="0.2">
      <c r="B5028"/>
      <c r="C5028"/>
      <c r="J5028"/>
      <c r="K5028"/>
      <c r="L5028"/>
    </row>
    <row r="5029" spans="2:12" x14ac:dyDescent="0.2">
      <c r="B5029"/>
      <c r="C5029"/>
      <c r="J5029"/>
      <c r="K5029"/>
      <c r="L5029"/>
    </row>
    <row r="5030" spans="2:12" x14ac:dyDescent="0.2">
      <c r="B5030"/>
      <c r="C5030"/>
      <c r="J5030"/>
      <c r="K5030"/>
      <c r="L5030"/>
    </row>
    <row r="5031" spans="2:12" x14ac:dyDescent="0.2">
      <c r="B5031"/>
      <c r="C5031"/>
      <c r="J5031"/>
      <c r="K5031"/>
      <c r="L5031"/>
    </row>
    <row r="5032" spans="2:12" x14ac:dyDescent="0.2">
      <c r="B5032"/>
      <c r="C5032"/>
      <c r="J5032"/>
      <c r="K5032"/>
      <c r="L5032"/>
    </row>
    <row r="5033" spans="2:12" x14ac:dyDescent="0.2">
      <c r="B5033"/>
      <c r="C5033"/>
      <c r="J5033"/>
      <c r="K5033"/>
      <c r="L5033"/>
    </row>
    <row r="5034" spans="2:12" x14ac:dyDescent="0.2">
      <c r="B5034"/>
      <c r="C5034"/>
      <c r="J5034"/>
      <c r="K5034"/>
      <c r="L5034"/>
    </row>
    <row r="5035" spans="2:12" x14ac:dyDescent="0.2">
      <c r="B5035"/>
      <c r="C5035"/>
      <c r="J5035"/>
      <c r="K5035"/>
      <c r="L5035"/>
    </row>
    <row r="5036" spans="2:12" x14ac:dyDescent="0.2">
      <c r="B5036"/>
      <c r="C5036"/>
      <c r="J5036"/>
      <c r="K5036"/>
      <c r="L5036"/>
    </row>
    <row r="5037" spans="2:12" x14ac:dyDescent="0.2">
      <c r="B5037"/>
      <c r="C5037"/>
      <c r="J5037"/>
      <c r="K5037"/>
      <c r="L5037"/>
    </row>
    <row r="5038" spans="2:12" x14ac:dyDescent="0.2">
      <c r="B5038"/>
      <c r="C5038"/>
      <c r="J5038"/>
      <c r="K5038"/>
      <c r="L5038"/>
    </row>
    <row r="5039" spans="2:12" x14ac:dyDescent="0.2">
      <c r="B5039"/>
      <c r="C5039"/>
      <c r="J5039"/>
      <c r="K5039"/>
      <c r="L5039"/>
    </row>
    <row r="5040" spans="2:12" x14ac:dyDescent="0.2">
      <c r="B5040"/>
      <c r="C5040"/>
      <c r="J5040"/>
      <c r="K5040"/>
      <c r="L5040"/>
    </row>
    <row r="5041" spans="2:12" x14ac:dyDescent="0.2">
      <c r="B5041"/>
      <c r="C5041"/>
      <c r="J5041"/>
      <c r="K5041"/>
      <c r="L5041"/>
    </row>
    <row r="5042" spans="2:12" x14ac:dyDescent="0.2">
      <c r="B5042"/>
      <c r="C5042"/>
      <c r="J5042"/>
      <c r="K5042"/>
      <c r="L5042"/>
    </row>
    <row r="5043" spans="2:12" x14ac:dyDescent="0.2">
      <c r="B5043"/>
      <c r="C5043"/>
      <c r="J5043"/>
      <c r="K5043"/>
      <c r="L5043"/>
    </row>
    <row r="5044" spans="2:12" x14ac:dyDescent="0.2">
      <c r="B5044"/>
      <c r="C5044"/>
      <c r="J5044"/>
      <c r="K5044"/>
      <c r="L5044"/>
    </row>
    <row r="5045" spans="2:12" x14ac:dyDescent="0.2">
      <c r="B5045"/>
      <c r="C5045"/>
      <c r="J5045"/>
      <c r="K5045"/>
      <c r="L5045"/>
    </row>
    <row r="5046" spans="2:12" x14ac:dyDescent="0.2">
      <c r="B5046"/>
      <c r="C5046"/>
      <c r="J5046"/>
      <c r="K5046"/>
      <c r="L5046"/>
    </row>
    <row r="5047" spans="2:12" x14ac:dyDescent="0.2">
      <c r="B5047"/>
      <c r="C5047"/>
      <c r="J5047"/>
      <c r="K5047"/>
      <c r="L5047"/>
    </row>
    <row r="5048" spans="2:12" x14ac:dyDescent="0.2">
      <c r="B5048"/>
      <c r="C5048"/>
      <c r="J5048"/>
      <c r="K5048"/>
      <c r="L5048"/>
    </row>
    <row r="5049" spans="2:12" x14ac:dyDescent="0.2">
      <c r="B5049"/>
      <c r="C5049"/>
      <c r="J5049"/>
      <c r="K5049"/>
      <c r="L5049"/>
    </row>
    <row r="5050" spans="2:12" x14ac:dyDescent="0.2">
      <c r="B5050"/>
      <c r="C5050"/>
      <c r="J5050"/>
      <c r="K5050"/>
      <c r="L5050"/>
    </row>
    <row r="5051" spans="2:12" x14ac:dyDescent="0.2">
      <c r="B5051"/>
      <c r="C5051"/>
      <c r="J5051"/>
      <c r="K5051"/>
      <c r="L5051"/>
    </row>
    <row r="5052" spans="2:12" x14ac:dyDescent="0.2">
      <c r="B5052"/>
      <c r="C5052"/>
      <c r="J5052"/>
      <c r="K5052"/>
      <c r="L5052"/>
    </row>
    <row r="5053" spans="2:12" x14ac:dyDescent="0.2">
      <c r="B5053"/>
      <c r="C5053"/>
      <c r="J5053"/>
      <c r="K5053"/>
      <c r="L5053"/>
    </row>
    <row r="5054" spans="2:12" x14ac:dyDescent="0.2">
      <c r="B5054"/>
      <c r="C5054"/>
      <c r="J5054"/>
      <c r="K5054"/>
      <c r="L5054"/>
    </row>
    <row r="5055" spans="2:12" x14ac:dyDescent="0.2">
      <c r="B5055"/>
      <c r="C5055"/>
      <c r="J5055"/>
      <c r="K5055"/>
      <c r="L5055"/>
    </row>
    <row r="5056" spans="2:12" x14ac:dyDescent="0.2">
      <c r="B5056"/>
      <c r="C5056"/>
      <c r="J5056"/>
      <c r="K5056"/>
      <c r="L5056"/>
    </row>
    <row r="5057" spans="2:12" x14ac:dyDescent="0.2">
      <c r="B5057"/>
      <c r="C5057"/>
      <c r="J5057"/>
      <c r="K5057"/>
      <c r="L5057"/>
    </row>
    <row r="5058" spans="2:12" x14ac:dyDescent="0.2">
      <c r="B5058"/>
      <c r="C5058"/>
      <c r="J5058"/>
      <c r="K5058"/>
      <c r="L5058"/>
    </row>
    <row r="5059" spans="2:12" x14ac:dyDescent="0.2">
      <c r="B5059"/>
      <c r="C5059"/>
      <c r="J5059"/>
      <c r="K5059"/>
      <c r="L5059"/>
    </row>
    <row r="5060" spans="2:12" x14ac:dyDescent="0.2">
      <c r="B5060"/>
      <c r="C5060"/>
      <c r="J5060"/>
      <c r="K5060"/>
      <c r="L5060"/>
    </row>
    <row r="5061" spans="2:12" x14ac:dyDescent="0.2">
      <c r="B5061"/>
      <c r="C5061"/>
      <c r="J5061"/>
      <c r="K5061"/>
      <c r="L5061"/>
    </row>
    <row r="5062" spans="2:12" x14ac:dyDescent="0.2">
      <c r="B5062"/>
      <c r="C5062"/>
      <c r="J5062"/>
      <c r="K5062"/>
      <c r="L5062"/>
    </row>
    <row r="5063" spans="2:12" x14ac:dyDescent="0.2">
      <c r="B5063"/>
      <c r="C5063"/>
      <c r="J5063"/>
      <c r="K5063"/>
      <c r="L5063"/>
    </row>
    <row r="5064" spans="2:12" x14ac:dyDescent="0.2">
      <c r="B5064"/>
      <c r="C5064"/>
      <c r="J5064"/>
      <c r="K5064"/>
      <c r="L5064"/>
    </row>
    <row r="5065" spans="2:12" x14ac:dyDescent="0.2">
      <c r="B5065"/>
      <c r="C5065"/>
      <c r="J5065"/>
      <c r="K5065"/>
      <c r="L5065"/>
    </row>
    <row r="5066" spans="2:12" x14ac:dyDescent="0.2">
      <c r="B5066"/>
      <c r="C5066"/>
      <c r="J5066"/>
      <c r="K5066"/>
      <c r="L5066"/>
    </row>
    <row r="5067" spans="2:12" x14ac:dyDescent="0.2">
      <c r="B5067"/>
      <c r="C5067"/>
      <c r="J5067"/>
      <c r="K5067"/>
      <c r="L5067"/>
    </row>
    <row r="5068" spans="2:12" x14ac:dyDescent="0.2">
      <c r="B5068"/>
      <c r="C5068"/>
      <c r="J5068"/>
      <c r="K5068"/>
      <c r="L5068"/>
    </row>
    <row r="5069" spans="2:12" x14ac:dyDescent="0.2">
      <c r="B5069"/>
      <c r="C5069"/>
      <c r="J5069"/>
      <c r="K5069"/>
      <c r="L5069"/>
    </row>
    <row r="5070" spans="2:12" x14ac:dyDescent="0.2">
      <c r="B5070"/>
      <c r="C5070"/>
      <c r="J5070"/>
      <c r="K5070"/>
      <c r="L5070"/>
    </row>
    <row r="5071" spans="2:12" x14ac:dyDescent="0.2">
      <c r="B5071"/>
      <c r="C5071"/>
      <c r="J5071"/>
      <c r="K5071"/>
      <c r="L5071"/>
    </row>
    <row r="5072" spans="2:12" x14ac:dyDescent="0.2">
      <c r="B5072"/>
      <c r="C5072"/>
      <c r="J5072"/>
      <c r="K5072"/>
      <c r="L5072"/>
    </row>
    <row r="5073" spans="2:12" x14ac:dyDescent="0.2">
      <c r="B5073"/>
      <c r="C5073"/>
      <c r="J5073"/>
      <c r="K5073"/>
      <c r="L5073"/>
    </row>
    <row r="5074" spans="2:12" x14ac:dyDescent="0.2">
      <c r="B5074"/>
      <c r="C5074"/>
      <c r="J5074"/>
      <c r="K5074"/>
      <c r="L5074"/>
    </row>
    <row r="5075" spans="2:12" x14ac:dyDescent="0.2">
      <c r="B5075"/>
      <c r="C5075"/>
      <c r="J5075"/>
      <c r="K5075"/>
      <c r="L5075"/>
    </row>
    <row r="5076" spans="2:12" x14ac:dyDescent="0.2">
      <c r="B5076"/>
      <c r="C5076"/>
      <c r="J5076"/>
      <c r="K5076"/>
      <c r="L5076"/>
    </row>
    <row r="5077" spans="2:12" x14ac:dyDescent="0.2">
      <c r="B5077"/>
      <c r="C5077"/>
      <c r="J5077"/>
      <c r="K5077"/>
      <c r="L5077"/>
    </row>
    <row r="5078" spans="2:12" x14ac:dyDescent="0.2">
      <c r="B5078"/>
      <c r="C5078"/>
      <c r="J5078"/>
      <c r="K5078"/>
      <c r="L5078"/>
    </row>
    <row r="5079" spans="2:12" x14ac:dyDescent="0.2">
      <c r="B5079"/>
      <c r="C5079"/>
      <c r="J5079"/>
      <c r="K5079"/>
      <c r="L5079"/>
    </row>
    <row r="5080" spans="2:12" x14ac:dyDescent="0.2">
      <c r="B5080"/>
      <c r="C5080"/>
      <c r="J5080"/>
      <c r="K5080"/>
      <c r="L5080"/>
    </row>
    <row r="5081" spans="2:12" x14ac:dyDescent="0.2">
      <c r="B5081"/>
      <c r="C5081"/>
      <c r="J5081"/>
      <c r="K5081"/>
      <c r="L5081"/>
    </row>
    <row r="5082" spans="2:12" x14ac:dyDescent="0.2">
      <c r="B5082"/>
      <c r="C5082"/>
      <c r="J5082"/>
      <c r="K5082"/>
      <c r="L5082"/>
    </row>
    <row r="5083" spans="2:12" x14ac:dyDescent="0.2">
      <c r="B5083"/>
      <c r="C5083"/>
      <c r="J5083"/>
      <c r="K5083"/>
      <c r="L5083"/>
    </row>
    <row r="5084" spans="2:12" x14ac:dyDescent="0.2">
      <c r="B5084"/>
      <c r="C5084"/>
      <c r="J5084"/>
      <c r="K5084"/>
      <c r="L5084"/>
    </row>
    <row r="5085" spans="2:12" x14ac:dyDescent="0.2">
      <c r="B5085"/>
      <c r="C5085"/>
      <c r="J5085"/>
      <c r="K5085"/>
      <c r="L5085"/>
    </row>
    <row r="5086" spans="2:12" x14ac:dyDescent="0.2">
      <c r="B5086"/>
      <c r="C5086"/>
      <c r="J5086"/>
      <c r="K5086"/>
      <c r="L5086"/>
    </row>
    <row r="5087" spans="2:12" x14ac:dyDescent="0.2">
      <c r="B5087"/>
      <c r="C5087"/>
      <c r="J5087"/>
      <c r="K5087"/>
      <c r="L5087"/>
    </row>
    <row r="5088" spans="2:12" x14ac:dyDescent="0.2">
      <c r="B5088"/>
      <c r="C5088"/>
      <c r="J5088"/>
      <c r="K5088"/>
      <c r="L5088"/>
    </row>
    <row r="5089" spans="2:12" x14ac:dyDescent="0.2">
      <c r="B5089"/>
      <c r="C5089"/>
      <c r="J5089"/>
      <c r="K5089"/>
      <c r="L5089"/>
    </row>
    <row r="5090" spans="2:12" x14ac:dyDescent="0.2">
      <c r="B5090"/>
      <c r="C5090"/>
      <c r="J5090"/>
      <c r="K5090"/>
      <c r="L5090"/>
    </row>
    <row r="5091" spans="2:12" x14ac:dyDescent="0.2">
      <c r="B5091"/>
      <c r="C5091"/>
      <c r="J5091"/>
      <c r="K5091"/>
      <c r="L5091"/>
    </row>
    <row r="5092" spans="2:12" x14ac:dyDescent="0.2">
      <c r="B5092"/>
      <c r="C5092"/>
      <c r="J5092"/>
      <c r="K5092"/>
      <c r="L5092"/>
    </row>
    <row r="5093" spans="2:12" x14ac:dyDescent="0.2">
      <c r="B5093"/>
      <c r="C5093"/>
      <c r="J5093"/>
      <c r="K5093"/>
      <c r="L5093"/>
    </row>
    <row r="5094" spans="2:12" x14ac:dyDescent="0.2">
      <c r="B5094"/>
      <c r="C5094"/>
      <c r="J5094"/>
      <c r="K5094"/>
      <c r="L5094"/>
    </row>
    <row r="5095" spans="2:12" x14ac:dyDescent="0.2">
      <c r="B5095"/>
      <c r="C5095"/>
      <c r="J5095"/>
      <c r="K5095"/>
      <c r="L5095"/>
    </row>
    <row r="5096" spans="2:12" x14ac:dyDescent="0.2">
      <c r="B5096"/>
      <c r="C5096"/>
      <c r="J5096"/>
      <c r="K5096"/>
      <c r="L5096"/>
    </row>
    <row r="5097" spans="2:12" x14ac:dyDescent="0.2">
      <c r="B5097"/>
      <c r="C5097"/>
      <c r="J5097"/>
      <c r="K5097"/>
      <c r="L5097"/>
    </row>
    <row r="5098" spans="2:12" x14ac:dyDescent="0.2">
      <c r="B5098"/>
      <c r="C5098"/>
      <c r="J5098"/>
      <c r="K5098"/>
      <c r="L5098"/>
    </row>
    <row r="5099" spans="2:12" x14ac:dyDescent="0.2">
      <c r="B5099"/>
      <c r="C5099"/>
      <c r="J5099"/>
      <c r="K5099"/>
      <c r="L5099"/>
    </row>
    <row r="5100" spans="2:12" x14ac:dyDescent="0.2">
      <c r="B5100"/>
      <c r="C5100"/>
      <c r="J5100"/>
      <c r="K5100"/>
      <c r="L5100"/>
    </row>
    <row r="5101" spans="2:12" x14ac:dyDescent="0.2">
      <c r="B5101"/>
      <c r="C5101"/>
      <c r="J5101"/>
      <c r="K5101"/>
      <c r="L5101"/>
    </row>
    <row r="5102" spans="2:12" x14ac:dyDescent="0.2">
      <c r="B5102"/>
      <c r="C5102"/>
      <c r="J5102"/>
      <c r="K5102"/>
      <c r="L5102"/>
    </row>
    <row r="5103" spans="2:12" x14ac:dyDescent="0.2">
      <c r="B5103"/>
      <c r="C5103"/>
      <c r="J5103"/>
      <c r="K5103"/>
      <c r="L5103"/>
    </row>
    <row r="5104" spans="2:12" x14ac:dyDescent="0.2">
      <c r="B5104"/>
      <c r="C5104"/>
      <c r="J5104"/>
      <c r="K5104"/>
      <c r="L5104"/>
    </row>
    <row r="5105" spans="2:12" x14ac:dyDescent="0.2">
      <c r="B5105"/>
      <c r="C5105"/>
      <c r="J5105"/>
      <c r="K5105"/>
      <c r="L5105"/>
    </row>
    <row r="5106" spans="2:12" x14ac:dyDescent="0.2">
      <c r="B5106"/>
      <c r="C5106"/>
      <c r="J5106"/>
      <c r="K5106"/>
      <c r="L5106"/>
    </row>
    <row r="5107" spans="2:12" x14ac:dyDescent="0.2">
      <c r="B5107"/>
      <c r="C5107"/>
      <c r="J5107"/>
      <c r="K5107"/>
      <c r="L5107"/>
    </row>
    <row r="5108" spans="2:12" x14ac:dyDescent="0.2">
      <c r="B5108"/>
      <c r="C5108"/>
      <c r="J5108"/>
      <c r="K5108"/>
      <c r="L5108"/>
    </row>
    <row r="5109" spans="2:12" x14ac:dyDescent="0.2">
      <c r="B5109"/>
      <c r="C5109"/>
      <c r="J5109"/>
      <c r="K5109"/>
      <c r="L5109"/>
    </row>
    <row r="5110" spans="2:12" x14ac:dyDescent="0.2">
      <c r="B5110"/>
      <c r="C5110"/>
      <c r="J5110"/>
      <c r="K5110"/>
      <c r="L5110"/>
    </row>
    <row r="5111" spans="2:12" x14ac:dyDescent="0.2">
      <c r="B5111"/>
      <c r="C5111"/>
      <c r="J5111"/>
      <c r="K5111"/>
      <c r="L5111"/>
    </row>
    <row r="5112" spans="2:12" x14ac:dyDescent="0.2">
      <c r="B5112"/>
      <c r="C5112"/>
      <c r="J5112"/>
      <c r="K5112"/>
      <c r="L5112"/>
    </row>
    <row r="5113" spans="2:12" x14ac:dyDescent="0.2">
      <c r="B5113"/>
      <c r="C5113"/>
      <c r="J5113"/>
      <c r="K5113"/>
      <c r="L5113"/>
    </row>
    <row r="5114" spans="2:12" x14ac:dyDescent="0.2">
      <c r="B5114"/>
      <c r="C5114"/>
      <c r="J5114"/>
      <c r="K5114"/>
      <c r="L5114"/>
    </row>
    <row r="5115" spans="2:12" x14ac:dyDescent="0.2">
      <c r="B5115"/>
      <c r="C5115"/>
      <c r="J5115"/>
      <c r="K5115"/>
      <c r="L5115"/>
    </row>
    <row r="5116" spans="2:12" x14ac:dyDescent="0.2">
      <c r="B5116"/>
      <c r="C5116"/>
      <c r="J5116"/>
      <c r="K5116"/>
      <c r="L5116"/>
    </row>
    <row r="5117" spans="2:12" x14ac:dyDescent="0.2">
      <c r="B5117"/>
      <c r="C5117"/>
      <c r="J5117"/>
      <c r="K5117"/>
      <c r="L5117"/>
    </row>
    <row r="5118" spans="2:12" x14ac:dyDescent="0.2">
      <c r="B5118"/>
      <c r="C5118"/>
      <c r="J5118"/>
      <c r="K5118"/>
      <c r="L5118"/>
    </row>
    <row r="5119" spans="2:12" x14ac:dyDescent="0.2">
      <c r="B5119"/>
      <c r="C5119"/>
      <c r="J5119"/>
      <c r="K5119"/>
      <c r="L5119"/>
    </row>
    <row r="5120" spans="2:12" x14ac:dyDescent="0.2">
      <c r="B5120"/>
      <c r="C5120"/>
      <c r="J5120"/>
      <c r="K5120"/>
      <c r="L5120"/>
    </row>
    <row r="5121" spans="2:12" x14ac:dyDescent="0.2">
      <c r="B5121"/>
      <c r="C5121"/>
      <c r="J5121"/>
      <c r="K5121"/>
      <c r="L5121"/>
    </row>
    <row r="5122" spans="2:12" x14ac:dyDescent="0.2">
      <c r="B5122"/>
      <c r="C5122"/>
      <c r="J5122"/>
      <c r="K5122"/>
      <c r="L5122"/>
    </row>
    <row r="5123" spans="2:12" x14ac:dyDescent="0.2">
      <c r="B5123"/>
      <c r="C5123"/>
      <c r="J5123"/>
      <c r="K5123"/>
      <c r="L5123"/>
    </row>
    <row r="5124" spans="2:12" x14ac:dyDescent="0.2">
      <c r="B5124"/>
      <c r="C5124"/>
      <c r="J5124"/>
      <c r="K5124"/>
      <c r="L5124"/>
    </row>
    <row r="5125" spans="2:12" x14ac:dyDescent="0.2">
      <c r="B5125"/>
      <c r="C5125"/>
      <c r="J5125"/>
      <c r="K5125"/>
      <c r="L5125"/>
    </row>
    <row r="5126" spans="2:12" x14ac:dyDescent="0.2">
      <c r="B5126"/>
      <c r="C5126"/>
      <c r="J5126"/>
      <c r="K5126"/>
      <c r="L5126"/>
    </row>
    <row r="5127" spans="2:12" x14ac:dyDescent="0.2">
      <c r="B5127"/>
      <c r="C5127"/>
      <c r="J5127"/>
      <c r="K5127"/>
      <c r="L5127"/>
    </row>
    <row r="5128" spans="2:12" x14ac:dyDescent="0.2">
      <c r="B5128"/>
      <c r="C5128"/>
      <c r="J5128"/>
      <c r="K5128"/>
      <c r="L5128"/>
    </row>
    <row r="5129" spans="2:12" x14ac:dyDescent="0.2">
      <c r="B5129"/>
      <c r="C5129"/>
      <c r="J5129"/>
      <c r="K5129"/>
      <c r="L5129"/>
    </row>
    <row r="5130" spans="2:12" x14ac:dyDescent="0.2">
      <c r="B5130"/>
      <c r="C5130"/>
      <c r="J5130"/>
      <c r="K5130"/>
      <c r="L5130"/>
    </row>
    <row r="5131" spans="2:12" x14ac:dyDescent="0.2">
      <c r="B5131"/>
      <c r="C5131"/>
      <c r="J5131"/>
      <c r="K5131"/>
      <c r="L5131"/>
    </row>
    <row r="5132" spans="2:12" x14ac:dyDescent="0.2">
      <c r="B5132"/>
      <c r="C5132"/>
      <c r="J5132"/>
      <c r="K5132"/>
      <c r="L5132"/>
    </row>
    <row r="5133" spans="2:12" x14ac:dyDescent="0.2">
      <c r="B5133"/>
      <c r="C5133"/>
      <c r="J5133"/>
      <c r="K5133"/>
      <c r="L5133"/>
    </row>
    <row r="5134" spans="2:12" x14ac:dyDescent="0.2">
      <c r="B5134"/>
      <c r="C5134"/>
      <c r="J5134"/>
      <c r="K5134"/>
      <c r="L5134"/>
    </row>
    <row r="5135" spans="2:12" x14ac:dyDescent="0.2">
      <c r="B5135"/>
      <c r="C5135"/>
      <c r="J5135"/>
      <c r="K5135"/>
      <c r="L5135"/>
    </row>
    <row r="5136" spans="2:12" x14ac:dyDescent="0.2">
      <c r="B5136"/>
      <c r="C5136"/>
      <c r="J5136"/>
      <c r="K5136"/>
      <c r="L5136"/>
    </row>
    <row r="5137" spans="2:12" x14ac:dyDescent="0.2">
      <c r="B5137"/>
      <c r="C5137"/>
      <c r="J5137"/>
      <c r="K5137"/>
      <c r="L5137"/>
    </row>
    <row r="5138" spans="2:12" x14ac:dyDescent="0.2">
      <c r="B5138"/>
      <c r="C5138"/>
      <c r="J5138"/>
      <c r="K5138"/>
      <c r="L5138"/>
    </row>
    <row r="5139" spans="2:12" x14ac:dyDescent="0.2">
      <c r="B5139"/>
      <c r="C5139"/>
      <c r="J5139"/>
      <c r="K5139"/>
      <c r="L5139"/>
    </row>
    <row r="5140" spans="2:12" x14ac:dyDescent="0.2">
      <c r="B5140"/>
      <c r="C5140"/>
      <c r="J5140"/>
      <c r="K5140"/>
      <c r="L5140"/>
    </row>
    <row r="5141" spans="2:12" x14ac:dyDescent="0.2">
      <c r="B5141"/>
      <c r="C5141"/>
      <c r="J5141"/>
      <c r="K5141"/>
      <c r="L5141"/>
    </row>
    <row r="5142" spans="2:12" x14ac:dyDescent="0.2">
      <c r="B5142"/>
      <c r="C5142"/>
      <c r="J5142"/>
      <c r="K5142"/>
      <c r="L5142"/>
    </row>
    <row r="5143" spans="2:12" x14ac:dyDescent="0.2">
      <c r="B5143"/>
      <c r="C5143"/>
      <c r="J5143"/>
      <c r="K5143"/>
      <c r="L5143"/>
    </row>
    <row r="5144" spans="2:12" x14ac:dyDescent="0.2">
      <c r="B5144"/>
      <c r="C5144"/>
      <c r="J5144"/>
      <c r="K5144"/>
      <c r="L5144"/>
    </row>
    <row r="5145" spans="2:12" x14ac:dyDescent="0.2">
      <c r="B5145"/>
      <c r="C5145"/>
      <c r="J5145"/>
      <c r="K5145"/>
      <c r="L5145"/>
    </row>
    <row r="5146" spans="2:12" x14ac:dyDescent="0.2">
      <c r="B5146"/>
      <c r="C5146"/>
      <c r="J5146"/>
      <c r="K5146"/>
      <c r="L5146"/>
    </row>
    <row r="5147" spans="2:12" x14ac:dyDescent="0.2">
      <c r="B5147"/>
      <c r="C5147"/>
      <c r="J5147"/>
      <c r="K5147"/>
      <c r="L5147"/>
    </row>
    <row r="5148" spans="2:12" x14ac:dyDescent="0.2">
      <c r="B5148"/>
      <c r="C5148"/>
      <c r="J5148"/>
      <c r="K5148"/>
      <c r="L5148"/>
    </row>
    <row r="5149" spans="2:12" x14ac:dyDescent="0.2">
      <c r="B5149"/>
      <c r="C5149"/>
      <c r="J5149"/>
      <c r="K5149"/>
      <c r="L5149"/>
    </row>
    <row r="5150" spans="2:12" x14ac:dyDescent="0.2">
      <c r="B5150"/>
      <c r="C5150"/>
      <c r="J5150"/>
      <c r="K5150"/>
      <c r="L5150"/>
    </row>
    <row r="5151" spans="2:12" x14ac:dyDescent="0.2">
      <c r="B5151"/>
      <c r="C5151"/>
      <c r="J5151"/>
      <c r="K5151"/>
      <c r="L5151"/>
    </row>
    <row r="5152" spans="2:12" x14ac:dyDescent="0.2">
      <c r="B5152"/>
      <c r="C5152"/>
      <c r="J5152"/>
      <c r="K5152"/>
      <c r="L5152"/>
    </row>
    <row r="5153" spans="2:12" x14ac:dyDescent="0.2">
      <c r="B5153"/>
      <c r="C5153"/>
      <c r="J5153"/>
      <c r="K5153"/>
      <c r="L5153"/>
    </row>
    <row r="5154" spans="2:12" x14ac:dyDescent="0.2">
      <c r="B5154"/>
      <c r="C5154"/>
      <c r="J5154"/>
      <c r="K5154"/>
      <c r="L5154"/>
    </row>
    <row r="5155" spans="2:12" x14ac:dyDescent="0.2">
      <c r="B5155"/>
      <c r="C5155"/>
      <c r="J5155"/>
      <c r="K5155"/>
      <c r="L5155"/>
    </row>
    <row r="5156" spans="2:12" x14ac:dyDescent="0.2">
      <c r="B5156"/>
      <c r="C5156"/>
      <c r="J5156"/>
      <c r="K5156"/>
      <c r="L5156"/>
    </row>
    <row r="5157" spans="2:12" x14ac:dyDescent="0.2">
      <c r="B5157"/>
      <c r="C5157"/>
      <c r="J5157"/>
      <c r="K5157"/>
      <c r="L5157"/>
    </row>
    <row r="5158" spans="2:12" x14ac:dyDescent="0.2">
      <c r="B5158"/>
      <c r="C5158"/>
      <c r="J5158"/>
      <c r="K5158"/>
      <c r="L5158"/>
    </row>
    <row r="5159" spans="2:12" x14ac:dyDescent="0.2">
      <c r="B5159"/>
      <c r="C5159"/>
      <c r="J5159"/>
      <c r="K5159"/>
      <c r="L5159"/>
    </row>
    <row r="5160" spans="2:12" x14ac:dyDescent="0.2">
      <c r="B5160"/>
      <c r="C5160"/>
      <c r="J5160"/>
      <c r="K5160"/>
      <c r="L5160"/>
    </row>
    <row r="5161" spans="2:12" x14ac:dyDescent="0.2">
      <c r="B5161"/>
      <c r="C5161"/>
      <c r="J5161"/>
      <c r="K5161"/>
      <c r="L5161"/>
    </row>
    <row r="5162" spans="2:12" x14ac:dyDescent="0.2">
      <c r="B5162"/>
      <c r="C5162"/>
      <c r="J5162"/>
      <c r="K5162"/>
      <c r="L5162"/>
    </row>
    <row r="5163" spans="2:12" x14ac:dyDescent="0.2">
      <c r="B5163"/>
      <c r="C5163"/>
      <c r="J5163"/>
      <c r="K5163"/>
      <c r="L5163"/>
    </row>
    <row r="5164" spans="2:12" x14ac:dyDescent="0.2">
      <c r="B5164"/>
      <c r="C5164"/>
      <c r="J5164"/>
      <c r="K5164"/>
      <c r="L5164"/>
    </row>
    <row r="5165" spans="2:12" x14ac:dyDescent="0.2">
      <c r="B5165"/>
      <c r="C5165"/>
      <c r="J5165"/>
      <c r="K5165"/>
      <c r="L5165"/>
    </row>
    <row r="5166" spans="2:12" x14ac:dyDescent="0.2">
      <c r="B5166"/>
      <c r="C5166"/>
      <c r="J5166"/>
      <c r="K5166"/>
      <c r="L5166"/>
    </row>
    <row r="5167" spans="2:12" x14ac:dyDescent="0.2">
      <c r="B5167"/>
      <c r="C5167"/>
      <c r="J5167"/>
      <c r="K5167"/>
      <c r="L5167"/>
    </row>
    <row r="5168" spans="2:12" x14ac:dyDescent="0.2">
      <c r="B5168"/>
      <c r="C5168"/>
      <c r="J5168"/>
      <c r="K5168"/>
      <c r="L5168"/>
    </row>
    <row r="5169" spans="2:12" x14ac:dyDescent="0.2">
      <c r="B5169"/>
      <c r="C5169"/>
      <c r="J5169"/>
      <c r="K5169"/>
      <c r="L5169"/>
    </row>
    <row r="5170" spans="2:12" x14ac:dyDescent="0.2">
      <c r="B5170"/>
      <c r="C5170"/>
      <c r="J5170"/>
      <c r="K5170"/>
      <c r="L5170"/>
    </row>
    <row r="5171" spans="2:12" x14ac:dyDescent="0.2">
      <c r="B5171"/>
      <c r="C5171"/>
      <c r="J5171"/>
      <c r="K5171"/>
      <c r="L5171"/>
    </row>
    <row r="5172" spans="2:12" x14ac:dyDescent="0.2">
      <c r="B5172"/>
      <c r="C5172"/>
      <c r="J5172"/>
      <c r="K5172"/>
      <c r="L5172"/>
    </row>
    <row r="5173" spans="2:12" x14ac:dyDescent="0.2">
      <c r="B5173"/>
      <c r="C5173"/>
      <c r="J5173"/>
      <c r="K5173"/>
      <c r="L5173"/>
    </row>
    <row r="5174" spans="2:12" x14ac:dyDescent="0.2">
      <c r="B5174"/>
      <c r="C5174"/>
      <c r="J5174"/>
      <c r="K5174"/>
      <c r="L5174"/>
    </row>
    <row r="5175" spans="2:12" x14ac:dyDescent="0.2">
      <c r="B5175"/>
      <c r="C5175"/>
      <c r="J5175"/>
      <c r="K5175"/>
      <c r="L5175"/>
    </row>
    <row r="5176" spans="2:12" x14ac:dyDescent="0.2">
      <c r="B5176"/>
      <c r="C5176"/>
      <c r="J5176"/>
      <c r="K5176"/>
      <c r="L5176"/>
    </row>
    <row r="5177" spans="2:12" x14ac:dyDescent="0.2">
      <c r="B5177"/>
      <c r="C5177"/>
      <c r="J5177"/>
      <c r="K5177"/>
      <c r="L5177"/>
    </row>
    <row r="5178" spans="2:12" x14ac:dyDescent="0.2">
      <c r="B5178"/>
      <c r="C5178"/>
      <c r="J5178"/>
      <c r="K5178"/>
      <c r="L5178"/>
    </row>
    <row r="5179" spans="2:12" x14ac:dyDescent="0.2">
      <c r="B5179"/>
      <c r="C5179"/>
      <c r="J5179"/>
      <c r="K5179"/>
      <c r="L5179"/>
    </row>
    <row r="5180" spans="2:12" x14ac:dyDescent="0.2">
      <c r="B5180"/>
      <c r="C5180"/>
      <c r="J5180"/>
      <c r="K5180"/>
      <c r="L5180"/>
    </row>
    <row r="5181" spans="2:12" x14ac:dyDescent="0.2">
      <c r="B5181"/>
      <c r="C5181"/>
      <c r="J5181"/>
      <c r="K5181"/>
      <c r="L5181"/>
    </row>
    <row r="5182" spans="2:12" x14ac:dyDescent="0.2">
      <c r="B5182"/>
      <c r="C5182"/>
      <c r="J5182"/>
      <c r="K5182"/>
      <c r="L5182"/>
    </row>
    <row r="5183" spans="2:12" x14ac:dyDescent="0.2">
      <c r="B5183"/>
      <c r="C5183"/>
      <c r="J5183"/>
      <c r="K5183"/>
      <c r="L5183"/>
    </row>
    <row r="5184" spans="2:12" x14ac:dyDescent="0.2">
      <c r="B5184"/>
      <c r="C5184"/>
      <c r="J5184"/>
      <c r="K5184"/>
      <c r="L5184"/>
    </row>
    <row r="5185" spans="2:12" x14ac:dyDescent="0.2">
      <c r="B5185"/>
      <c r="C5185"/>
      <c r="J5185"/>
      <c r="K5185"/>
      <c r="L5185"/>
    </row>
    <row r="5186" spans="2:12" x14ac:dyDescent="0.2">
      <c r="B5186"/>
      <c r="C5186"/>
      <c r="J5186"/>
      <c r="K5186"/>
      <c r="L5186"/>
    </row>
    <row r="5187" spans="2:12" x14ac:dyDescent="0.2">
      <c r="B5187"/>
      <c r="C5187"/>
      <c r="J5187"/>
      <c r="K5187"/>
      <c r="L5187"/>
    </row>
    <row r="5188" spans="2:12" x14ac:dyDescent="0.2">
      <c r="B5188"/>
      <c r="C5188"/>
      <c r="J5188"/>
      <c r="K5188"/>
      <c r="L5188"/>
    </row>
    <row r="5189" spans="2:12" x14ac:dyDescent="0.2">
      <c r="B5189"/>
      <c r="C5189"/>
      <c r="J5189"/>
      <c r="K5189"/>
      <c r="L5189"/>
    </row>
    <row r="5190" spans="2:12" x14ac:dyDescent="0.2">
      <c r="B5190"/>
      <c r="C5190"/>
      <c r="J5190"/>
      <c r="K5190"/>
      <c r="L5190"/>
    </row>
    <row r="5191" spans="2:12" x14ac:dyDescent="0.2">
      <c r="B5191"/>
      <c r="C5191"/>
      <c r="J5191"/>
      <c r="K5191"/>
      <c r="L5191"/>
    </row>
    <row r="5192" spans="2:12" x14ac:dyDescent="0.2">
      <c r="B5192"/>
      <c r="C5192"/>
      <c r="J5192"/>
      <c r="K5192"/>
      <c r="L5192"/>
    </row>
    <row r="5193" spans="2:12" x14ac:dyDescent="0.2">
      <c r="B5193"/>
      <c r="C5193"/>
      <c r="J5193"/>
      <c r="K5193"/>
      <c r="L5193"/>
    </row>
    <row r="5194" spans="2:12" x14ac:dyDescent="0.2">
      <c r="B5194"/>
      <c r="C5194"/>
      <c r="J5194"/>
      <c r="K5194"/>
      <c r="L5194"/>
    </row>
    <row r="5195" spans="2:12" x14ac:dyDescent="0.2">
      <c r="B5195"/>
      <c r="C5195"/>
      <c r="J5195"/>
      <c r="K5195"/>
      <c r="L5195"/>
    </row>
    <row r="5196" spans="2:12" x14ac:dyDescent="0.2">
      <c r="B5196"/>
      <c r="C5196"/>
      <c r="J5196"/>
      <c r="K5196"/>
      <c r="L5196"/>
    </row>
    <row r="5197" spans="2:12" x14ac:dyDescent="0.2">
      <c r="B5197"/>
      <c r="C5197"/>
      <c r="J5197"/>
      <c r="K5197"/>
      <c r="L5197"/>
    </row>
    <row r="5198" spans="2:12" x14ac:dyDescent="0.2">
      <c r="B5198"/>
      <c r="C5198"/>
      <c r="J5198"/>
      <c r="K5198"/>
      <c r="L5198"/>
    </row>
    <row r="5199" spans="2:12" x14ac:dyDescent="0.2">
      <c r="B5199"/>
      <c r="C5199"/>
      <c r="J5199"/>
      <c r="K5199"/>
      <c r="L5199"/>
    </row>
    <row r="5200" spans="2:12" x14ac:dyDescent="0.2">
      <c r="B5200"/>
      <c r="C5200"/>
      <c r="J5200"/>
      <c r="K5200"/>
      <c r="L5200"/>
    </row>
    <row r="5201" spans="2:12" x14ac:dyDescent="0.2">
      <c r="B5201"/>
      <c r="C5201"/>
      <c r="J5201"/>
      <c r="K5201"/>
      <c r="L5201"/>
    </row>
    <row r="5202" spans="2:12" x14ac:dyDescent="0.2">
      <c r="B5202"/>
      <c r="C5202"/>
      <c r="J5202"/>
      <c r="K5202"/>
      <c r="L5202"/>
    </row>
    <row r="5203" spans="2:12" x14ac:dyDescent="0.2">
      <c r="B5203"/>
      <c r="C5203"/>
      <c r="J5203"/>
      <c r="K5203"/>
      <c r="L5203"/>
    </row>
    <row r="5204" spans="2:12" x14ac:dyDescent="0.2">
      <c r="B5204"/>
      <c r="C5204"/>
      <c r="J5204"/>
      <c r="K5204"/>
      <c r="L5204"/>
    </row>
    <row r="5205" spans="2:12" x14ac:dyDescent="0.2">
      <c r="B5205"/>
      <c r="C5205"/>
      <c r="J5205"/>
      <c r="K5205"/>
      <c r="L5205"/>
    </row>
    <row r="5206" spans="2:12" x14ac:dyDescent="0.2">
      <c r="B5206"/>
      <c r="C5206"/>
      <c r="J5206"/>
      <c r="K5206"/>
      <c r="L5206"/>
    </row>
    <row r="5207" spans="2:12" x14ac:dyDescent="0.2">
      <c r="B5207"/>
      <c r="C5207"/>
      <c r="J5207"/>
      <c r="K5207"/>
      <c r="L5207"/>
    </row>
    <row r="5208" spans="2:12" x14ac:dyDescent="0.2">
      <c r="B5208"/>
      <c r="C5208"/>
      <c r="J5208"/>
      <c r="K5208"/>
      <c r="L5208"/>
    </row>
    <row r="5209" spans="2:12" x14ac:dyDescent="0.2">
      <c r="B5209"/>
      <c r="C5209"/>
      <c r="J5209"/>
      <c r="K5209"/>
      <c r="L5209"/>
    </row>
    <row r="5210" spans="2:12" x14ac:dyDescent="0.2">
      <c r="B5210"/>
      <c r="C5210"/>
      <c r="J5210"/>
      <c r="K5210"/>
      <c r="L5210"/>
    </row>
    <row r="5211" spans="2:12" x14ac:dyDescent="0.2">
      <c r="B5211"/>
      <c r="C5211"/>
      <c r="J5211"/>
      <c r="K5211"/>
      <c r="L5211"/>
    </row>
    <row r="5212" spans="2:12" x14ac:dyDescent="0.2">
      <c r="B5212"/>
      <c r="C5212"/>
      <c r="J5212"/>
      <c r="K5212"/>
      <c r="L5212"/>
    </row>
    <row r="5213" spans="2:12" x14ac:dyDescent="0.2">
      <c r="B5213"/>
      <c r="C5213"/>
      <c r="J5213"/>
      <c r="K5213"/>
      <c r="L5213"/>
    </row>
    <row r="5214" spans="2:12" x14ac:dyDescent="0.2">
      <c r="B5214"/>
      <c r="C5214"/>
      <c r="J5214"/>
      <c r="K5214"/>
      <c r="L5214"/>
    </row>
    <row r="5215" spans="2:12" x14ac:dyDescent="0.2">
      <c r="B5215"/>
      <c r="C5215"/>
      <c r="J5215"/>
      <c r="K5215"/>
      <c r="L5215"/>
    </row>
    <row r="5216" spans="2:12" x14ac:dyDescent="0.2">
      <c r="B5216"/>
      <c r="C5216"/>
      <c r="J5216"/>
      <c r="K5216"/>
      <c r="L5216"/>
    </row>
    <row r="5217" spans="2:12" x14ac:dyDescent="0.2">
      <c r="B5217"/>
      <c r="C5217"/>
      <c r="J5217"/>
      <c r="K5217"/>
      <c r="L5217"/>
    </row>
    <row r="5218" spans="2:12" x14ac:dyDescent="0.2">
      <c r="B5218"/>
      <c r="C5218"/>
      <c r="J5218"/>
      <c r="K5218"/>
      <c r="L5218"/>
    </row>
    <row r="5219" spans="2:12" x14ac:dyDescent="0.2">
      <c r="B5219"/>
      <c r="C5219"/>
      <c r="J5219"/>
      <c r="K5219"/>
      <c r="L5219"/>
    </row>
    <row r="5220" spans="2:12" x14ac:dyDescent="0.2">
      <c r="B5220"/>
      <c r="C5220"/>
      <c r="J5220"/>
      <c r="K5220"/>
      <c r="L5220"/>
    </row>
    <row r="5221" spans="2:12" x14ac:dyDescent="0.2">
      <c r="B5221"/>
      <c r="C5221"/>
      <c r="J5221"/>
      <c r="K5221"/>
      <c r="L5221"/>
    </row>
    <row r="5222" spans="2:12" x14ac:dyDescent="0.2">
      <c r="B5222"/>
      <c r="C5222"/>
      <c r="J5222"/>
      <c r="K5222"/>
      <c r="L5222"/>
    </row>
    <row r="5223" spans="2:12" x14ac:dyDescent="0.2">
      <c r="B5223"/>
      <c r="C5223"/>
      <c r="J5223"/>
      <c r="K5223"/>
      <c r="L5223"/>
    </row>
    <row r="5224" spans="2:12" x14ac:dyDescent="0.2">
      <c r="B5224"/>
      <c r="C5224"/>
      <c r="J5224"/>
      <c r="K5224"/>
      <c r="L5224"/>
    </row>
    <row r="5225" spans="2:12" x14ac:dyDescent="0.2">
      <c r="B5225"/>
      <c r="C5225"/>
      <c r="J5225"/>
      <c r="K5225"/>
      <c r="L5225"/>
    </row>
    <row r="5226" spans="2:12" x14ac:dyDescent="0.2">
      <c r="B5226"/>
      <c r="C5226"/>
      <c r="J5226"/>
      <c r="K5226"/>
      <c r="L5226"/>
    </row>
    <row r="5227" spans="2:12" x14ac:dyDescent="0.2">
      <c r="B5227"/>
      <c r="C5227"/>
      <c r="J5227"/>
      <c r="K5227"/>
      <c r="L5227"/>
    </row>
    <row r="5228" spans="2:12" x14ac:dyDescent="0.2">
      <c r="B5228"/>
      <c r="C5228"/>
      <c r="J5228"/>
      <c r="K5228"/>
      <c r="L5228"/>
    </row>
    <row r="5229" spans="2:12" x14ac:dyDescent="0.2">
      <c r="B5229"/>
      <c r="C5229"/>
      <c r="J5229"/>
      <c r="K5229"/>
      <c r="L5229"/>
    </row>
    <row r="5230" spans="2:12" x14ac:dyDescent="0.2">
      <c r="B5230"/>
      <c r="C5230"/>
      <c r="J5230"/>
      <c r="K5230"/>
      <c r="L5230"/>
    </row>
    <row r="5231" spans="2:12" x14ac:dyDescent="0.2">
      <c r="B5231"/>
      <c r="C5231"/>
      <c r="J5231"/>
      <c r="K5231"/>
      <c r="L5231"/>
    </row>
    <row r="5232" spans="2:12" x14ac:dyDescent="0.2">
      <c r="B5232"/>
      <c r="C5232"/>
      <c r="J5232"/>
      <c r="K5232"/>
      <c r="L5232"/>
    </row>
    <row r="5233" spans="2:12" x14ac:dyDescent="0.2">
      <c r="B5233"/>
      <c r="C5233"/>
      <c r="J5233"/>
      <c r="K5233"/>
      <c r="L5233"/>
    </row>
    <row r="5234" spans="2:12" x14ac:dyDescent="0.2">
      <c r="B5234"/>
      <c r="C5234"/>
      <c r="J5234"/>
      <c r="K5234"/>
      <c r="L5234"/>
    </row>
    <row r="5235" spans="2:12" x14ac:dyDescent="0.2">
      <c r="B5235"/>
      <c r="C5235"/>
      <c r="J5235"/>
      <c r="K5235"/>
      <c r="L5235"/>
    </row>
    <row r="5236" spans="2:12" x14ac:dyDescent="0.2">
      <c r="B5236"/>
      <c r="C5236"/>
      <c r="J5236"/>
      <c r="K5236"/>
      <c r="L5236"/>
    </row>
    <row r="5237" spans="2:12" x14ac:dyDescent="0.2">
      <c r="B5237"/>
      <c r="C5237"/>
      <c r="J5237"/>
      <c r="K5237"/>
      <c r="L5237"/>
    </row>
    <row r="5238" spans="2:12" x14ac:dyDescent="0.2">
      <c r="B5238"/>
      <c r="C5238"/>
      <c r="J5238"/>
      <c r="K5238"/>
      <c r="L5238"/>
    </row>
    <row r="5239" spans="2:12" x14ac:dyDescent="0.2">
      <c r="B5239"/>
      <c r="C5239"/>
      <c r="J5239"/>
      <c r="K5239"/>
      <c r="L5239"/>
    </row>
    <row r="5240" spans="2:12" x14ac:dyDescent="0.2">
      <c r="B5240"/>
      <c r="C5240"/>
      <c r="J5240"/>
      <c r="K5240"/>
      <c r="L5240"/>
    </row>
    <row r="5241" spans="2:12" x14ac:dyDescent="0.2">
      <c r="B5241"/>
      <c r="C5241"/>
      <c r="J5241"/>
      <c r="K5241"/>
      <c r="L5241"/>
    </row>
    <row r="5242" spans="2:12" x14ac:dyDescent="0.2">
      <c r="B5242"/>
      <c r="C5242"/>
      <c r="J5242"/>
      <c r="K5242"/>
      <c r="L5242"/>
    </row>
    <row r="5243" spans="2:12" x14ac:dyDescent="0.2">
      <c r="B5243"/>
      <c r="C5243"/>
      <c r="J5243"/>
      <c r="K5243"/>
      <c r="L5243"/>
    </row>
    <row r="5244" spans="2:12" x14ac:dyDescent="0.2">
      <c r="B5244"/>
      <c r="C5244"/>
      <c r="J5244"/>
      <c r="K5244"/>
      <c r="L5244"/>
    </row>
    <row r="5245" spans="2:12" x14ac:dyDescent="0.2">
      <c r="B5245"/>
      <c r="C5245"/>
      <c r="J5245"/>
      <c r="K5245"/>
      <c r="L5245"/>
    </row>
    <row r="5246" spans="2:12" x14ac:dyDescent="0.2">
      <c r="B5246"/>
      <c r="C5246"/>
      <c r="J5246"/>
      <c r="K5246"/>
      <c r="L5246"/>
    </row>
    <row r="5247" spans="2:12" x14ac:dyDescent="0.2">
      <c r="B5247"/>
      <c r="C5247"/>
      <c r="J5247"/>
      <c r="K5247"/>
      <c r="L5247"/>
    </row>
    <row r="5248" spans="2:12" x14ac:dyDescent="0.2">
      <c r="B5248"/>
      <c r="C5248"/>
      <c r="J5248"/>
      <c r="K5248"/>
      <c r="L5248"/>
    </row>
    <row r="5249" spans="2:12" x14ac:dyDescent="0.2">
      <c r="B5249"/>
      <c r="C5249"/>
      <c r="J5249"/>
      <c r="K5249"/>
      <c r="L5249"/>
    </row>
    <row r="5250" spans="2:12" x14ac:dyDescent="0.2">
      <c r="B5250"/>
      <c r="C5250"/>
      <c r="J5250"/>
      <c r="K5250"/>
      <c r="L5250"/>
    </row>
    <row r="5251" spans="2:12" x14ac:dyDescent="0.2">
      <c r="B5251"/>
      <c r="C5251"/>
      <c r="J5251"/>
      <c r="K5251"/>
      <c r="L5251"/>
    </row>
    <row r="5252" spans="2:12" x14ac:dyDescent="0.2">
      <c r="B5252"/>
      <c r="C5252"/>
      <c r="J5252"/>
      <c r="K5252"/>
      <c r="L5252"/>
    </row>
    <row r="5253" spans="2:12" x14ac:dyDescent="0.2">
      <c r="B5253"/>
      <c r="C5253"/>
      <c r="J5253"/>
      <c r="K5253"/>
      <c r="L5253"/>
    </row>
    <row r="5254" spans="2:12" x14ac:dyDescent="0.2">
      <c r="B5254"/>
      <c r="C5254"/>
      <c r="J5254"/>
      <c r="K5254"/>
      <c r="L5254"/>
    </row>
    <row r="5255" spans="2:12" x14ac:dyDescent="0.2">
      <c r="B5255"/>
      <c r="C5255"/>
      <c r="J5255"/>
      <c r="K5255"/>
      <c r="L5255"/>
    </row>
    <row r="5256" spans="2:12" x14ac:dyDescent="0.2">
      <c r="B5256"/>
      <c r="C5256"/>
      <c r="J5256"/>
      <c r="K5256"/>
      <c r="L5256"/>
    </row>
    <row r="5257" spans="2:12" x14ac:dyDescent="0.2">
      <c r="B5257"/>
      <c r="C5257"/>
      <c r="J5257"/>
      <c r="K5257"/>
      <c r="L5257"/>
    </row>
    <row r="5258" spans="2:12" x14ac:dyDescent="0.2">
      <c r="B5258"/>
      <c r="C5258"/>
      <c r="J5258"/>
      <c r="K5258"/>
      <c r="L5258"/>
    </row>
    <row r="5259" spans="2:12" x14ac:dyDescent="0.2">
      <c r="B5259"/>
      <c r="C5259"/>
      <c r="J5259"/>
      <c r="K5259"/>
      <c r="L5259"/>
    </row>
    <row r="5260" spans="2:12" x14ac:dyDescent="0.2">
      <c r="B5260"/>
      <c r="C5260"/>
      <c r="J5260"/>
      <c r="K5260"/>
      <c r="L5260"/>
    </row>
    <row r="5261" spans="2:12" x14ac:dyDescent="0.2">
      <c r="B5261"/>
      <c r="C5261"/>
      <c r="J5261"/>
      <c r="K5261"/>
      <c r="L5261"/>
    </row>
    <row r="5262" spans="2:12" x14ac:dyDescent="0.2">
      <c r="B5262"/>
      <c r="C5262"/>
      <c r="J5262"/>
      <c r="K5262"/>
      <c r="L5262"/>
    </row>
    <row r="5263" spans="2:12" x14ac:dyDescent="0.2">
      <c r="B5263"/>
      <c r="C5263"/>
      <c r="J5263"/>
      <c r="K5263"/>
      <c r="L5263"/>
    </row>
    <row r="5264" spans="2:12" x14ac:dyDescent="0.2">
      <c r="B5264"/>
      <c r="C5264"/>
      <c r="J5264"/>
      <c r="K5264"/>
      <c r="L5264"/>
    </row>
    <row r="5265" spans="2:12" x14ac:dyDescent="0.2">
      <c r="B5265"/>
      <c r="C5265"/>
      <c r="J5265"/>
      <c r="K5265"/>
      <c r="L5265"/>
    </row>
    <row r="5266" spans="2:12" x14ac:dyDescent="0.2">
      <c r="B5266"/>
      <c r="C5266"/>
      <c r="J5266"/>
      <c r="K5266"/>
      <c r="L5266"/>
    </row>
    <row r="5267" spans="2:12" x14ac:dyDescent="0.2">
      <c r="B5267"/>
      <c r="C5267"/>
      <c r="J5267"/>
      <c r="K5267"/>
      <c r="L5267"/>
    </row>
    <row r="5268" spans="2:12" x14ac:dyDescent="0.2">
      <c r="B5268"/>
      <c r="C5268"/>
      <c r="J5268"/>
      <c r="K5268"/>
      <c r="L5268"/>
    </row>
    <row r="5269" spans="2:12" x14ac:dyDescent="0.2">
      <c r="B5269"/>
      <c r="C5269"/>
      <c r="J5269"/>
      <c r="K5269"/>
      <c r="L5269"/>
    </row>
    <row r="5270" spans="2:12" x14ac:dyDescent="0.2">
      <c r="B5270"/>
      <c r="C5270"/>
      <c r="J5270"/>
      <c r="K5270"/>
      <c r="L5270"/>
    </row>
    <row r="5271" spans="2:12" x14ac:dyDescent="0.2">
      <c r="B5271"/>
      <c r="C5271"/>
      <c r="J5271"/>
      <c r="K5271"/>
      <c r="L5271"/>
    </row>
    <row r="5272" spans="2:12" x14ac:dyDescent="0.2">
      <c r="B5272"/>
      <c r="C5272"/>
      <c r="J5272"/>
      <c r="K5272"/>
      <c r="L5272"/>
    </row>
    <row r="5273" spans="2:12" x14ac:dyDescent="0.2">
      <c r="B5273"/>
      <c r="C5273"/>
      <c r="J5273"/>
      <c r="K5273"/>
      <c r="L5273"/>
    </row>
    <row r="5274" spans="2:12" x14ac:dyDescent="0.2">
      <c r="B5274"/>
      <c r="C5274"/>
      <c r="J5274"/>
      <c r="K5274"/>
      <c r="L5274"/>
    </row>
    <row r="5275" spans="2:12" x14ac:dyDescent="0.2">
      <c r="B5275"/>
      <c r="C5275"/>
      <c r="J5275"/>
      <c r="K5275"/>
      <c r="L5275"/>
    </row>
    <row r="5276" spans="2:12" x14ac:dyDescent="0.2">
      <c r="B5276"/>
      <c r="C5276"/>
      <c r="J5276"/>
      <c r="K5276"/>
      <c r="L5276"/>
    </row>
    <row r="5277" spans="2:12" x14ac:dyDescent="0.2">
      <c r="B5277"/>
      <c r="C5277"/>
      <c r="J5277"/>
      <c r="K5277"/>
      <c r="L5277"/>
    </row>
    <row r="5278" spans="2:12" x14ac:dyDescent="0.2">
      <c r="B5278"/>
      <c r="C5278"/>
      <c r="J5278"/>
      <c r="K5278"/>
      <c r="L5278"/>
    </row>
    <row r="5279" spans="2:12" x14ac:dyDescent="0.2">
      <c r="B5279"/>
      <c r="C5279"/>
      <c r="J5279"/>
      <c r="K5279"/>
      <c r="L5279"/>
    </row>
    <row r="5280" spans="2:12" x14ac:dyDescent="0.2">
      <c r="B5280"/>
      <c r="C5280"/>
      <c r="J5280"/>
      <c r="K5280"/>
      <c r="L5280"/>
    </row>
    <row r="5281" spans="2:12" x14ac:dyDescent="0.2">
      <c r="B5281"/>
      <c r="C5281"/>
      <c r="J5281"/>
      <c r="K5281"/>
      <c r="L5281"/>
    </row>
    <row r="5282" spans="2:12" x14ac:dyDescent="0.2">
      <c r="B5282"/>
      <c r="C5282"/>
      <c r="J5282"/>
      <c r="K5282"/>
      <c r="L5282"/>
    </row>
    <row r="5283" spans="2:12" x14ac:dyDescent="0.2">
      <c r="B5283"/>
      <c r="C5283"/>
      <c r="J5283"/>
      <c r="K5283"/>
      <c r="L5283"/>
    </row>
    <row r="5284" spans="2:12" x14ac:dyDescent="0.2">
      <c r="B5284"/>
      <c r="C5284"/>
      <c r="J5284"/>
      <c r="K5284"/>
      <c r="L5284"/>
    </row>
    <row r="5285" spans="2:12" x14ac:dyDescent="0.2">
      <c r="B5285"/>
      <c r="C5285"/>
      <c r="J5285"/>
      <c r="K5285"/>
      <c r="L5285"/>
    </row>
    <row r="5286" spans="2:12" x14ac:dyDescent="0.2">
      <c r="B5286"/>
      <c r="C5286"/>
      <c r="J5286"/>
      <c r="K5286"/>
      <c r="L5286"/>
    </row>
    <row r="5287" spans="2:12" x14ac:dyDescent="0.2">
      <c r="B5287"/>
      <c r="C5287"/>
      <c r="J5287"/>
      <c r="K5287"/>
      <c r="L5287"/>
    </row>
    <row r="5288" spans="2:12" x14ac:dyDescent="0.2">
      <c r="B5288"/>
      <c r="C5288"/>
      <c r="J5288"/>
      <c r="K5288"/>
      <c r="L5288"/>
    </row>
    <row r="5289" spans="2:12" x14ac:dyDescent="0.2">
      <c r="B5289"/>
      <c r="C5289"/>
      <c r="J5289"/>
      <c r="K5289"/>
      <c r="L5289"/>
    </row>
    <row r="5290" spans="2:12" x14ac:dyDescent="0.2">
      <c r="B5290"/>
      <c r="C5290"/>
      <c r="J5290"/>
      <c r="K5290"/>
      <c r="L5290"/>
    </row>
    <row r="5291" spans="2:12" x14ac:dyDescent="0.2">
      <c r="B5291"/>
      <c r="C5291"/>
      <c r="J5291"/>
      <c r="K5291"/>
      <c r="L5291"/>
    </row>
    <row r="5292" spans="2:12" x14ac:dyDescent="0.2">
      <c r="B5292"/>
      <c r="C5292"/>
      <c r="J5292"/>
      <c r="K5292"/>
      <c r="L5292"/>
    </row>
    <row r="5293" spans="2:12" x14ac:dyDescent="0.2">
      <c r="B5293"/>
      <c r="C5293"/>
      <c r="J5293"/>
      <c r="K5293"/>
      <c r="L5293"/>
    </row>
    <row r="5294" spans="2:12" x14ac:dyDescent="0.2">
      <c r="B5294"/>
      <c r="C5294"/>
      <c r="J5294"/>
      <c r="K5294"/>
      <c r="L5294"/>
    </row>
    <row r="5295" spans="2:12" x14ac:dyDescent="0.2">
      <c r="B5295"/>
      <c r="C5295"/>
      <c r="J5295"/>
      <c r="K5295"/>
      <c r="L5295"/>
    </row>
    <row r="5296" spans="2:12" x14ac:dyDescent="0.2">
      <c r="B5296"/>
      <c r="C5296"/>
      <c r="J5296"/>
      <c r="K5296"/>
      <c r="L5296"/>
    </row>
    <row r="5297" spans="2:12" x14ac:dyDescent="0.2">
      <c r="B5297"/>
      <c r="C5297"/>
      <c r="J5297"/>
      <c r="K5297"/>
      <c r="L5297"/>
    </row>
    <row r="5298" spans="2:12" x14ac:dyDescent="0.2">
      <c r="B5298"/>
      <c r="C5298"/>
      <c r="J5298"/>
      <c r="K5298"/>
      <c r="L5298"/>
    </row>
    <row r="5299" spans="2:12" x14ac:dyDescent="0.2">
      <c r="B5299"/>
      <c r="C5299"/>
      <c r="J5299"/>
      <c r="K5299"/>
      <c r="L5299"/>
    </row>
    <row r="5300" spans="2:12" x14ac:dyDescent="0.2">
      <c r="B5300"/>
      <c r="C5300"/>
      <c r="J5300"/>
      <c r="K5300"/>
      <c r="L5300"/>
    </row>
    <row r="5301" spans="2:12" x14ac:dyDescent="0.2">
      <c r="B5301"/>
      <c r="C5301"/>
      <c r="J5301"/>
      <c r="K5301"/>
      <c r="L5301"/>
    </row>
    <row r="5302" spans="2:12" x14ac:dyDescent="0.2">
      <c r="B5302"/>
      <c r="C5302"/>
      <c r="J5302"/>
      <c r="K5302"/>
      <c r="L5302"/>
    </row>
    <row r="5303" spans="2:12" x14ac:dyDescent="0.2">
      <c r="B5303"/>
      <c r="C5303"/>
      <c r="J5303"/>
      <c r="K5303"/>
      <c r="L5303"/>
    </row>
    <row r="5304" spans="2:12" x14ac:dyDescent="0.2">
      <c r="B5304"/>
      <c r="C5304"/>
      <c r="J5304"/>
      <c r="K5304"/>
      <c r="L5304"/>
    </row>
    <row r="5305" spans="2:12" x14ac:dyDescent="0.2">
      <c r="B5305"/>
      <c r="C5305"/>
      <c r="J5305"/>
      <c r="K5305"/>
      <c r="L5305"/>
    </row>
    <row r="5306" spans="2:12" x14ac:dyDescent="0.2">
      <c r="B5306"/>
      <c r="C5306"/>
      <c r="J5306"/>
      <c r="K5306"/>
      <c r="L5306"/>
    </row>
    <row r="5307" spans="2:12" x14ac:dyDescent="0.2">
      <c r="B5307"/>
      <c r="C5307"/>
      <c r="J5307"/>
      <c r="K5307"/>
      <c r="L5307"/>
    </row>
    <row r="5308" spans="2:12" x14ac:dyDescent="0.2">
      <c r="B5308"/>
      <c r="C5308"/>
      <c r="J5308"/>
      <c r="K5308"/>
      <c r="L5308"/>
    </row>
    <row r="5309" spans="2:12" x14ac:dyDescent="0.2">
      <c r="B5309"/>
      <c r="C5309"/>
      <c r="J5309"/>
      <c r="K5309"/>
      <c r="L5309"/>
    </row>
    <row r="5310" spans="2:12" x14ac:dyDescent="0.2">
      <c r="B5310"/>
      <c r="C5310"/>
      <c r="J5310"/>
      <c r="K5310"/>
      <c r="L5310"/>
    </row>
    <row r="5311" spans="2:12" x14ac:dyDescent="0.2">
      <c r="B5311"/>
      <c r="C5311"/>
      <c r="J5311"/>
      <c r="K5311"/>
      <c r="L5311"/>
    </row>
    <row r="5312" spans="2:12" x14ac:dyDescent="0.2">
      <c r="B5312"/>
      <c r="C5312"/>
      <c r="J5312"/>
      <c r="K5312"/>
      <c r="L5312"/>
    </row>
    <row r="5313" spans="2:12" x14ac:dyDescent="0.2">
      <c r="B5313"/>
      <c r="C5313"/>
      <c r="J5313"/>
      <c r="K5313"/>
      <c r="L5313"/>
    </row>
    <row r="5314" spans="2:12" x14ac:dyDescent="0.2">
      <c r="B5314"/>
      <c r="C5314"/>
      <c r="J5314"/>
      <c r="K5314"/>
      <c r="L5314"/>
    </row>
    <row r="5315" spans="2:12" x14ac:dyDescent="0.2">
      <c r="B5315"/>
      <c r="C5315"/>
      <c r="J5315"/>
      <c r="K5315"/>
      <c r="L5315"/>
    </row>
    <row r="5316" spans="2:12" x14ac:dyDescent="0.2">
      <c r="B5316"/>
      <c r="C5316"/>
      <c r="J5316"/>
      <c r="K5316"/>
      <c r="L5316"/>
    </row>
    <row r="5317" spans="2:12" x14ac:dyDescent="0.2">
      <c r="B5317"/>
      <c r="C5317"/>
      <c r="J5317"/>
      <c r="K5317"/>
      <c r="L5317"/>
    </row>
    <row r="5318" spans="2:12" x14ac:dyDescent="0.2">
      <c r="B5318"/>
      <c r="C5318"/>
      <c r="J5318"/>
      <c r="K5318"/>
      <c r="L5318"/>
    </row>
    <row r="5319" spans="2:12" x14ac:dyDescent="0.2">
      <c r="B5319"/>
      <c r="C5319"/>
      <c r="J5319"/>
      <c r="K5319"/>
      <c r="L5319"/>
    </row>
    <row r="5320" spans="2:12" x14ac:dyDescent="0.2">
      <c r="B5320"/>
      <c r="C5320"/>
      <c r="J5320"/>
      <c r="K5320"/>
      <c r="L5320"/>
    </row>
    <row r="5321" spans="2:12" x14ac:dyDescent="0.2">
      <c r="B5321"/>
      <c r="C5321"/>
      <c r="J5321"/>
      <c r="K5321"/>
      <c r="L5321"/>
    </row>
    <row r="5322" spans="2:12" x14ac:dyDescent="0.2">
      <c r="B5322"/>
      <c r="C5322"/>
      <c r="J5322"/>
      <c r="K5322"/>
      <c r="L5322"/>
    </row>
    <row r="5323" spans="2:12" x14ac:dyDescent="0.2">
      <c r="B5323"/>
      <c r="C5323"/>
      <c r="J5323"/>
      <c r="K5323"/>
      <c r="L5323"/>
    </row>
    <row r="5324" spans="2:12" x14ac:dyDescent="0.2">
      <c r="B5324"/>
      <c r="C5324"/>
      <c r="J5324"/>
      <c r="K5324"/>
      <c r="L5324"/>
    </row>
    <row r="5325" spans="2:12" x14ac:dyDescent="0.2">
      <c r="B5325"/>
      <c r="C5325"/>
      <c r="J5325"/>
      <c r="K5325"/>
      <c r="L5325"/>
    </row>
    <row r="5326" spans="2:12" x14ac:dyDescent="0.2">
      <c r="B5326"/>
      <c r="C5326"/>
      <c r="J5326"/>
      <c r="K5326"/>
      <c r="L5326"/>
    </row>
    <row r="5327" spans="2:12" x14ac:dyDescent="0.2">
      <c r="B5327"/>
      <c r="C5327"/>
      <c r="J5327"/>
      <c r="K5327"/>
      <c r="L5327"/>
    </row>
    <row r="5328" spans="2:12" x14ac:dyDescent="0.2">
      <c r="B5328"/>
      <c r="C5328"/>
      <c r="J5328"/>
      <c r="K5328"/>
      <c r="L5328"/>
    </row>
    <row r="5329" spans="2:12" x14ac:dyDescent="0.2">
      <c r="B5329"/>
      <c r="C5329"/>
      <c r="J5329"/>
      <c r="K5329"/>
      <c r="L5329"/>
    </row>
    <row r="5330" spans="2:12" x14ac:dyDescent="0.2">
      <c r="B5330"/>
      <c r="C5330"/>
      <c r="J5330"/>
      <c r="K5330"/>
      <c r="L5330"/>
    </row>
    <row r="5331" spans="2:12" x14ac:dyDescent="0.2">
      <c r="B5331"/>
      <c r="C5331"/>
      <c r="J5331"/>
      <c r="K5331"/>
      <c r="L5331"/>
    </row>
    <row r="5332" spans="2:12" x14ac:dyDescent="0.2">
      <c r="B5332"/>
      <c r="C5332"/>
      <c r="J5332"/>
      <c r="K5332"/>
      <c r="L5332"/>
    </row>
    <row r="5333" spans="2:12" x14ac:dyDescent="0.2">
      <c r="B5333"/>
      <c r="C5333"/>
      <c r="J5333"/>
      <c r="K5333"/>
      <c r="L5333"/>
    </row>
    <row r="5334" spans="2:12" x14ac:dyDescent="0.2">
      <c r="B5334"/>
      <c r="C5334"/>
      <c r="J5334"/>
      <c r="K5334"/>
      <c r="L5334"/>
    </row>
    <row r="5335" spans="2:12" x14ac:dyDescent="0.2">
      <c r="B5335"/>
      <c r="C5335"/>
      <c r="J5335"/>
      <c r="K5335"/>
      <c r="L5335"/>
    </row>
    <row r="5336" spans="2:12" x14ac:dyDescent="0.2">
      <c r="B5336"/>
      <c r="C5336"/>
      <c r="J5336"/>
      <c r="K5336"/>
      <c r="L5336"/>
    </row>
    <row r="5337" spans="2:12" x14ac:dyDescent="0.2">
      <c r="B5337"/>
      <c r="C5337"/>
      <c r="J5337"/>
      <c r="K5337"/>
      <c r="L5337"/>
    </row>
    <row r="5338" spans="2:12" x14ac:dyDescent="0.2">
      <c r="B5338"/>
      <c r="C5338"/>
      <c r="J5338"/>
      <c r="K5338"/>
      <c r="L5338"/>
    </row>
    <row r="5339" spans="2:12" x14ac:dyDescent="0.2">
      <c r="B5339"/>
      <c r="C5339"/>
      <c r="J5339"/>
      <c r="K5339"/>
      <c r="L5339"/>
    </row>
    <row r="5340" spans="2:12" x14ac:dyDescent="0.2">
      <c r="B5340"/>
      <c r="C5340"/>
      <c r="J5340"/>
      <c r="K5340"/>
      <c r="L5340"/>
    </row>
    <row r="5341" spans="2:12" x14ac:dyDescent="0.2">
      <c r="B5341"/>
      <c r="C5341"/>
      <c r="J5341"/>
      <c r="K5341"/>
      <c r="L5341"/>
    </row>
    <row r="5342" spans="2:12" x14ac:dyDescent="0.2">
      <c r="B5342"/>
      <c r="C5342"/>
      <c r="J5342"/>
      <c r="K5342"/>
      <c r="L5342"/>
    </row>
    <row r="5343" spans="2:12" x14ac:dyDescent="0.2">
      <c r="B5343"/>
      <c r="C5343"/>
      <c r="J5343"/>
      <c r="K5343"/>
      <c r="L5343"/>
    </row>
    <row r="5344" spans="2:12" x14ac:dyDescent="0.2">
      <c r="B5344"/>
      <c r="C5344"/>
      <c r="J5344"/>
      <c r="K5344"/>
      <c r="L5344"/>
    </row>
    <row r="5345" spans="2:12" x14ac:dyDescent="0.2">
      <c r="B5345"/>
      <c r="C5345"/>
      <c r="J5345"/>
      <c r="K5345"/>
      <c r="L5345"/>
    </row>
    <row r="5346" spans="2:12" x14ac:dyDescent="0.2">
      <c r="B5346"/>
      <c r="C5346"/>
      <c r="J5346"/>
      <c r="K5346"/>
      <c r="L5346"/>
    </row>
    <row r="5347" spans="2:12" x14ac:dyDescent="0.2">
      <c r="B5347"/>
      <c r="C5347"/>
      <c r="J5347"/>
      <c r="K5347"/>
      <c r="L5347"/>
    </row>
    <row r="5348" spans="2:12" x14ac:dyDescent="0.2">
      <c r="B5348"/>
      <c r="C5348"/>
      <c r="J5348"/>
      <c r="K5348"/>
      <c r="L5348"/>
    </row>
    <row r="5349" spans="2:12" x14ac:dyDescent="0.2">
      <c r="B5349"/>
      <c r="C5349"/>
      <c r="J5349"/>
      <c r="K5349"/>
      <c r="L5349"/>
    </row>
    <row r="5350" spans="2:12" x14ac:dyDescent="0.2">
      <c r="B5350"/>
      <c r="C5350"/>
      <c r="J5350"/>
      <c r="K5350"/>
      <c r="L5350"/>
    </row>
    <row r="5351" spans="2:12" x14ac:dyDescent="0.2">
      <c r="B5351"/>
      <c r="C5351"/>
      <c r="J5351"/>
      <c r="K5351"/>
      <c r="L5351"/>
    </row>
    <row r="5352" spans="2:12" x14ac:dyDescent="0.2">
      <c r="B5352"/>
      <c r="C5352"/>
      <c r="J5352"/>
      <c r="K5352"/>
      <c r="L5352"/>
    </row>
    <row r="5353" spans="2:12" x14ac:dyDescent="0.2">
      <c r="B5353"/>
      <c r="C5353"/>
      <c r="J5353"/>
      <c r="K5353"/>
      <c r="L5353"/>
    </row>
    <row r="5354" spans="2:12" x14ac:dyDescent="0.2">
      <c r="B5354"/>
      <c r="C5354"/>
      <c r="J5354"/>
      <c r="K5354"/>
      <c r="L5354"/>
    </row>
    <row r="5355" spans="2:12" x14ac:dyDescent="0.2">
      <c r="B5355"/>
      <c r="C5355"/>
      <c r="J5355"/>
      <c r="K5355"/>
      <c r="L5355"/>
    </row>
    <row r="5356" spans="2:12" x14ac:dyDescent="0.2">
      <c r="B5356"/>
      <c r="C5356"/>
      <c r="J5356"/>
      <c r="K5356"/>
      <c r="L5356"/>
    </row>
    <row r="5357" spans="2:12" x14ac:dyDescent="0.2">
      <c r="B5357"/>
      <c r="C5357"/>
      <c r="J5357"/>
      <c r="K5357"/>
      <c r="L5357"/>
    </row>
    <row r="5358" spans="2:12" x14ac:dyDescent="0.2">
      <c r="B5358"/>
      <c r="C5358"/>
      <c r="J5358"/>
      <c r="K5358"/>
      <c r="L5358"/>
    </row>
    <row r="5359" spans="2:12" x14ac:dyDescent="0.2">
      <c r="B5359"/>
      <c r="C5359"/>
      <c r="J5359"/>
      <c r="K5359"/>
      <c r="L5359"/>
    </row>
    <row r="5360" spans="2:12" x14ac:dyDescent="0.2">
      <c r="B5360"/>
      <c r="C5360"/>
      <c r="J5360"/>
      <c r="K5360"/>
      <c r="L5360"/>
    </row>
    <row r="5361" spans="2:12" x14ac:dyDescent="0.2">
      <c r="B5361"/>
      <c r="C5361"/>
      <c r="J5361"/>
      <c r="K5361"/>
      <c r="L5361"/>
    </row>
    <row r="5362" spans="2:12" x14ac:dyDescent="0.2">
      <c r="B5362"/>
      <c r="C5362"/>
      <c r="J5362"/>
      <c r="K5362"/>
      <c r="L5362"/>
    </row>
    <row r="5363" spans="2:12" x14ac:dyDescent="0.2">
      <c r="B5363"/>
      <c r="C5363"/>
      <c r="J5363"/>
      <c r="K5363"/>
      <c r="L5363"/>
    </row>
    <row r="5364" spans="2:12" x14ac:dyDescent="0.2">
      <c r="B5364"/>
      <c r="C5364"/>
      <c r="J5364"/>
      <c r="K5364"/>
      <c r="L5364"/>
    </row>
    <row r="5365" spans="2:12" x14ac:dyDescent="0.2">
      <c r="B5365"/>
      <c r="C5365"/>
      <c r="J5365"/>
      <c r="K5365"/>
      <c r="L5365"/>
    </row>
    <row r="5366" spans="2:12" x14ac:dyDescent="0.2">
      <c r="B5366"/>
      <c r="C5366"/>
      <c r="J5366"/>
      <c r="K5366"/>
      <c r="L5366"/>
    </row>
    <row r="5367" spans="2:12" x14ac:dyDescent="0.2">
      <c r="B5367"/>
      <c r="C5367"/>
      <c r="J5367"/>
      <c r="K5367"/>
      <c r="L5367"/>
    </row>
    <row r="5368" spans="2:12" x14ac:dyDescent="0.2">
      <c r="B5368"/>
      <c r="C5368"/>
      <c r="J5368"/>
      <c r="K5368"/>
      <c r="L5368"/>
    </row>
    <row r="5369" spans="2:12" x14ac:dyDescent="0.2">
      <c r="B5369"/>
      <c r="C5369"/>
      <c r="J5369"/>
      <c r="K5369"/>
      <c r="L5369"/>
    </row>
    <row r="5370" spans="2:12" x14ac:dyDescent="0.2">
      <c r="B5370"/>
      <c r="C5370"/>
      <c r="J5370"/>
      <c r="K5370"/>
      <c r="L5370"/>
    </row>
    <row r="5371" spans="2:12" x14ac:dyDescent="0.2">
      <c r="B5371"/>
      <c r="C5371"/>
      <c r="J5371"/>
      <c r="K5371"/>
      <c r="L5371"/>
    </row>
    <row r="5372" spans="2:12" x14ac:dyDescent="0.2">
      <c r="B5372"/>
      <c r="C5372"/>
      <c r="J5372"/>
      <c r="K5372"/>
      <c r="L5372"/>
    </row>
    <row r="5373" spans="2:12" x14ac:dyDescent="0.2">
      <c r="B5373"/>
      <c r="C5373"/>
      <c r="J5373"/>
      <c r="K5373"/>
      <c r="L5373"/>
    </row>
    <row r="5374" spans="2:12" x14ac:dyDescent="0.2">
      <c r="B5374"/>
      <c r="C5374"/>
      <c r="J5374"/>
      <c r="K5374"/>
      <c r="L5374"/>
    </row>
    <row r="5375" spans="2:12" x14ac:dyDescent="0.2">
      <c r="B5375"/>
      <c r="C5375"/>
      <c r="J5375"/>
      <c r="K5375"/>
      <c r="L5375"/>
    </row>
    <row r="5376" spans="2:12" x14ac:dyDescent="0.2">
      <c r="B5376"/>
      <c r="C5376"/>
      <c r="J5376"/>
      <c r="K5376"/>
      <c r="L5376"/>
    </row>
    <row r="5377" spans="2:12" x14ac:dyDescent="0.2">
      <c r="B5377"/>
      <c r="C5377"/>
      <c r="J5377"/>
      <c r="K5377"/>
      <c r="L5377"/>
    </row>
    <row r="5378" spans="2:12" x14ac:dyDescent="0.2">
      <c r="B5378"/>
      <c r="C5378"/>
      <c r="J5378"/>
      <c r="K5378"/>
      <c r="L5378"/>
    </row>
    <row r="5379" spans="2:12" x14ac:dyDescent="0.2">
      <c r="B5379"/>
      <c r="C5379"/>
      <c r="J5379"/>
      <c r="K5379"/>
      <c r="L5379"/>
    </row>
    <row r="5380" spans="2:12" x14ac:dyDescent="0.2">
      <c r="B5380"/>
      <c r="C5380"/>
      <c r="J5380"/>
      <c r="K5380"/>
      <c r="L5380"/>
    </row>
    <row r="5381" spans="2:12" x14ac:dyDescent="0.2">
      <c r="B5381"/>
      <c r="C5381"/>
      <c r="J5381"/>
      <c r="K5381"/>
      <c r="L5381"/>
    </row>
    <row r="5382" spans="2:12" x14ac:dyDescent="0.2">
      <c r="B5382"/>
      <c r="C5382"/>
      <c r="J5382"/>
      <c r="K5382"/>
      <c r="L5382"/>
    </row>
    <row r="5383" spans="2:12" x14ac:dyDescent="0.2">
      <c r="B5383"/>
      <c r="C5383"/>
      <c r="J5383"/>
      <c r="K5383"/>
      <c r="L5383"/>
    </row>
    <row r="5384" spans="2:12" x14ac:dyDescent="0.2">
      <c r="B5384"/>
      <c r="C5384"/>
      <c r="J5384"/>
      <c r="K5384"/>
      <c r="L5384"/>
    </row>
    <row r="5385" spans="2:12" x14ac:dyDescent="0.2">
      <c r="B5385"/>
      <c r="C5385"/>
      <c r="J5385"/>
      <c r="K5385"/>
      <c r="L5385"/>
    </row>
    <row r="5386" spans="2:12" x14ac:dyDescent="0.2">
      <c r="B5386"/>
      <c r="C5386"/>
      <c r="J5386"/>
      <c r="K5386"/>
      <c r="L5386"/>
    </row>
    <row r="5387" spans="2:12" x14ac:dyDescent="0.2">
      <c r="B5387"/>
      <c r="C5387"/>
      <c r="J5387"/>
      <c r="K5387"/>
      <c r="L5387"/>
    </row>
    <row r="5388" spans="2:12" x14ac:dyDescent="0.2">
      <c r="B5388"/>
      <c r="C5388"/>
      <c r="J5388"/>
      <c r="K5388"/>
      <c r="L5388"/>
    </row>
    <row r="5389" spans="2:12" x14ac:dyDescent="0.2">
      <c r="B5389"/>
      <c r="C5389"/>
      <c r="J5389"/>
      <c r="K5389"/>
      <c r="L5389"/>
    </row>
    <row r="5390" spans="2:12" x14ac:dyDescent="0.2">
      <c r="B5390"/>
      <c r="C5390"/>
      <c r="J5390"/>
      <c r="K5390"/>
      <c r="L5390"/>
    </row>
    <row r="5391" spans="2:12" x14ac:dyDescent="0.2">
      <c r="B5391"/>
      <c r="C5391"/>
      <c r="J5391"/>
      <c r="K5391"/>
      <c r="L5391"/>
    </row>
    <row r="5392" spans="2:12" x14ac:dyDescent="0.2">
      <c r="B5392"/>
      <c r="C5392"/>
      <c r="J5392"/>
      <c r="K5392"/>
      <c r="L5392"/>
    </row>
    <row r="5393" spans="2:12" x14ac:dyDescent="0.2">
      <c r="B5393"/>
      <c r="C5393"/>
      <c r="J5393"/>
      <c r="K5393"/>
      <c r="L5393"/>
    </row>
    <row r="5394" spans="2:12" x14ac:dyDescent="0.2">
      <c r="B5394"/>
      <c r="C5394"/>
      <c r="J5394"/>
      <c r="K5394"/>
      <c r="L5394"/>
    </row>
    <row r="5395" spans="2:12" x14ac:dyDescent="0.2">
      <c r="B5395"/>
      <c r="C5395"/>
      <c r="J5395"/>
      <c r="K5395"/>
      <c r="L5395"/>
    </row>
    <row r="5396" spans="2:12" x14ac:dyDescent="0.2">
      <c r="B5396"/>
      <c r="C5396"/>
      <c r="J5396"/>
      <c r="K5396"/>
      <c r="L5396"/>
    </row>
    <row r="5397" spans="2:12" x14ac:dyDescent="0.2">
      <c r="B5397"/>
      <c r="C5397"/>
      <c r="J5397"/>
      <c r="K5397"/>
      <c r="L5397"/>
    </row>
    <row r="5398" spans="2:12" x14ac:dyDescent="0.2">
      <c r="B5398"/>
      <c r="C5398"/>
      <c r="J5398"/>
      <c r="K5398"/>
      <c r="L5398"/>
    </row>
    <row r="5399" spans="2:12" x14ac:dyDescent="0.2">
      <c r="B5399"/>
      <c r="C5399"/>
      <c r="J5399"/>
      <c r="K5399"/>
      <c r="L5399"/>
    </row>
    <row r="5400" spans="2:12" x14ac:dyDescent="0.2">
      <c r="B5400"/>
      <c r="C5400"/>
      <c r="J5400"/>
      <c r="K5400"/>
      <c r="L5400"/>
    </row>
    <row r="5401" spans="2:12" x14ac:dyDescent="0.2">
      <c r="B5401"/>
      <c r="C5401"/>
      <c r="J5401"/>
      <c r="K5401"/>
      <c r="L5401"/>
    </row>
    <row r="5402" spans="2:12" x14ac:dyDescent="0.2">
      <c r="B5402"/>
      <c r="C5402"/>
      <c r="J5402"/>
      <c r="K5402"/>
      <c r="L5402"/>
    </row>
    <row r="5403" spans="2:12" x14ac:dyDescent="0.2">
      <c r="B5403"/>
      <c r="C5403"/>
      <c r="J5403"/>
      <c r="K5403"/>
      <c r="L5403"/>
    </row>
    <row r="5404" spans="2:12" x14ac:dyDescent="0.2">
      <c r="B5404"/>
      <c r="C5404"/>
      <c r="J5404"/>
      <c r="K5404"/>
      <c r="L5404"/>
    </row>
    <row r="5405" spans="2:12" x14ac:dyDescent="0.2">
      <c r="B5405"/>
      <c r="C5405"/>
      <c r="J5405"/>
      <c r="K5405"/>
      <c r="L5405"/>
    </row>
    <row r="5406" spans="2:12" x14ac:dyDescent="0.2">
      <c r="B5406"/>
      <c r="C5406"/>
      <c r="J5406"/>
      <c r="K5406"/>
      <c r="L5406"/>
    </row>
    <row r="5407" spans="2:12" x14ac:dyDescent="0.2">
      <c r="B5407"/>
      <c r="C5407"/>
      <c r="J5407"/>
      <c r="K5407"/>
      <c r="L5407"/>
    </row>
    <row r="5408" spans="2:12" x14ac:dyDescent="0.2">
      <c r="B5408"/>
      <c r="C5408"/>
      <c r="J5408"/>
      <c r="K5408"/>
      <c r="L5408"/>
    </row>
    <row r="5409" spans="2:12" x14ac:dyDescent="0.2">
      <c r="B5409"/>
      <c r="C5409"/>
      <c r="J5409"/>
      <c r="K5409"/>
      <c r="L5409"/>
    </row>
    <row r="5410" spans="2:12" x14ac:dyDescent="0.2">
      <c r="B5410"/>
      <c r="C5410"/>
      <c r="J5410"/>
      <c r="K5410"/>
      <c r="L5410"/>
    </row>
    <row r="5411" spans="2:12" x14ac:dyDescent="0.2">
      <c r="B5411"/>
      <c r="C5411"/>
      <c r="J5411"/>
      <c r="K5411"/>
      <c r="L5411"/>
    </row>
    <row r="5412" spans="2:12" x14ac:dyDescent="0.2">
      <c r="B5412"/>
      <c r="C5412"/>
      <c r="J5412"/>
      <c r="K5412"/>
      <c r="L5412"/>
    </row>
    <row r="5413" spans="2:12" x14ac:dyDescent="0.2">
      <c r="B5413"/>
      <c r="C5413"/>
      <c r="J5413"/>
      <c r="K5413"/>
      <c r="L5413"/>
    </row>
    <row r="5414" spans="2:12" x14ac:dyDescent="0.2">
      <c r="B5414"/>
      <c r="C5414"/>
      <c r="J5414"/>
      <c r="K5414"/>
      <c r="L5414"/>
    </row>
    <row r="5415" spans="2:12" x14ac:dyDescent="0.2">
      <c r="B5415"/>
      <c r="C5415"/>
      <c r="J5415"/>
      <c r="K5415"/>
      <c r="L5415"/>
    </row>
    <row r="5416" spans="2:12" x14ac:dyDescent="0.2">
      <c r="B5416"/>
      <c r="C5416"/>
      <c r="J5416"/>
      <c r="K5416"/>
      <c r="L5416"/>
    </row>
    <row r="5417" spans="2:12" x14ac:dyDescent="0.2">
      <c r="B5417"/>
      <c r="C5417"/>
      <c r="J5417"/>
      <c r="K5417"/>
      <c r="L5417"/>
    </row>
    <row r="5418" spans="2:12" x14ac:dyDescent="0.2">
      <c r="B5418"/>
      <c r="C5418"/>
      <c r="J5418"/>
      <c r="K5418"/>
      <c r="L5418"/>
    </row>
    <row r="5419" spans="2:12" x14ac:dyDescent="0.2">
      <c r="B5419"/>
      <c r="C5419"/>
      <c r="J5419"/>
      <c r="K5419"/>
      <c r="L5419"/>
    </row>
    <row r="5420" spans="2:12" x14ac:dyDescent="0.2">
      <c r="B5420"/>
      <c r="C5420"/>
      <c r="J5420"/>
      <c r="K5420"/>
      <c r="L5420"/>
    </row>
    <row r="5421" spans="2:12" x14ac:dyDescent="0.2">
      <c r="B5421"/>
      <c r="C5421"/>
      <c r="J5421"/>
      <c r="K5421"/>
      <c r="L5421"/>
    </row>
    <row r="5422" spans="2:12" x14ac:dyDescent="0.2">
      <c r="B5422"/>
      <c r="C5422"/>
      <c r="J5422"/>
      <c r="K5422"/>
      <c r="L5422"/>
    </row>
    <row r="5423" spans="2:12" x14ac:dyDescent="0.2">
      <c r="B5423"/>
      <c r="C5423"/>
      <c r="J5423"/>
      <c r="K5423"/>
      <c r="L5423"/>
    </row>
    <row r="5424" spans="2:12" x14ac:dyDescent="0.2">
      <c r="B5424"/>
      <c r="C5424"/>
      <c r="J5424"/>
      <c r="K5424"/>
      <c r="L5424"/>
    </row>
    <row r="5425" spans="2:12" x14ac:dyDescent="0.2">
      <c r="B5425"/>
      <c r="C5425"/>
      <c r="J5425"/>
      <c r="K5425"/>
      <c r="L5425"/>
    </row>
    <row r="5426" spans="2:12" x14ac:dyDescent="0.2">
      <c r="B5426"/>
      <c r="C5426"/>
      <c r="J5426"/>
      <c r="K5426"/>
      <c r="L5426"/>
    </row>
    <row r="5427" spans="2:12" x14ac:dyDescent="0.2">
      <c r="B5427"/>
      <c r="C5427"/>
      <c r="J5427"/>
      <c r="K5427"/>
      <c r="L5427"/>
    </row>
    <row r="5428" spans="2:12" x14ac:dyDescent="0.2">
      <c r="B5428"/>
      <c r="C5428"/>
      <c r="J5428"/>
      <c r="K5428"/>
      <c r="L5428"/>
    </row>
    <row r="5429" spans="2:12" x14ac:dyDescent="0.2">
      <c r="B5429"/>
      <c r="C5429"/>
      <c r="J5429"/>
      <c r="K5429"/>
      <c r="L5429"/>
    </row>
    <row r="5430" spans="2:12" x14ac:dyDescent="0.2">
      <c r="B5430"/>
      <c r="C5430"/>
      <c r="J5430"/>
      <c r="K5430"/>
      <c r="L5430"/>
    </row>
    <row r="5431" spans="2:12" x14ac:dyDescent="0.2">
      <c r="B5431"/>
      <c r="C5431"/>
      <c r="J5431"/>
      <c r="K5431"/>
      <c r="L5431"/>
    </row>
    <row r="5432" spans="2:12" x14ac:dyDescent="0.2">
      <c r="B5432"/>
      <c r="C5432"/>
      <c r="J5432"/>
      <c r="K5432"/>
      <c r="L5432"/>
    </row>
    <row r="5433" spans="2:12" x14ac:dyDescent="0.2">
      <c r="B5433"/>
      <c r="C5433"/>
      <c r="J5433"/>
      <c r="K5433"/>
      <c r="L5433"/>
    </row>
    <row r="5434" spans="2:12" x14ac:dyDescent="0.2">
      <c r="B5434"/>
      <c r="C5434"/>
      <c r="J5434"/>
      <c r="K5434"/>
      <c r="L5434"/>
    </row>
    <row r="5435" spans="2:12" x14ac:dyDescent="0.2">
      <c r="B5435"/>
      <c r="C5435"/>
      <c r="J5435"/>
      <c r="K5435"/>
      <c r="L5435"/>
    </row>
    <row r="5436" spans="2:12" x14ac:dyDescent="0.2">
      <c r="B5436"/>
      <c r="C5436"/>
      <c r="J5436"/>
      <c r="K5436"/>
      <c r="L5436"/>
    </row>
    <row r="5437" spans="2:12" x14ac:dyDescent="0.2">
      <c r="B5437"/>
      <c r="C5437"/>
      <c r="J5437"/>
      <c r="K5437"/>
      <c r="L5437"/>
    </row>
    <row r="5438" spans="2:12" x14ac:dyDescent="0.2">
      <c r="B5438"/>
      <c r="C5438"/>
      <c r="J5438"/>
      <c r="K5438"/>
      <c r="L5438"/>
    </row>
    <row r="5439" spans="2:12" x14ac:dyDescent="0.2">
      <c r="B5439"/>
      <c r="C5439"/>
      <c r="J5439"/>
      <c r="K5439"/>
      <c r="L5439"/>
    </row>
    <row r="5440" spans="2:12" x14ac:dyDescent="0.2">
      <c r="B5440"/>
      <c r="C5440"/>
      <c r="J5440"/>
      <c r="K5440"/>
      <c r="L5440"/>
    </row>
    <row r="5441" spans="2:12" x14ac:dyDescent="0.2">
      <c r="B5441"/>
      <c r="C5441"/>
      <c r="J5441"/>
      <c r="K5441"/>
      <c r="L5441"/>
    </row>
    <row r="5442" spans="2:12" x14ac:dyDescent="0.2">
      <c r="B5442"/>
      <c r="C5442"/>
      <c r="J5442"/>
      <c r="K5442"/>
      <c r="L5442"/>
    </row>
    <row r="5443" spans="2:12" x14ac:dyDescent="0.2">
      <c r="B5443"/>
      <c r="C5443"/>
      <c r="J5443"/>
      <c r="K5443"/>
      <c r="L5443"/>
    </row>
    <row r="5444" spans="2:12" x14ac:dyDescent="0.2">
      <c r="B5444"/>
      <c r="C5444"/>
      <c r="J5444"/>
      <c r="K5444"/>
      <c r="L5444"/>
    </row>
    <row r="5445" spans="2:12" x14ac:dyDescent="0.2">
      <c r="B5445"/>
      <c r="C5445"/>
      <c r="J5445"/>
      <c r="K5445"/>
      <c r="L5445"/>
    </row>
    <row r="5446" spans="2:12" x14ac:dyDescent="0.2">
      <c r="B5446"/>
      <c r="C5446"/>
      <c r="J5446"/>
      <c r="K5446"/>
      <c r="L5446"/>
    </row>
    <row r="5447" spans="2:12" x14ac:dyDescent="0.2">
      <c r="B5447"/>
      <c r="C5447"/>
      <c r="J5447"/>
      <c r="K5447"/>
      <c r="L5447"/>
    </row>
    <row r="5448" spans="2:12" x14ac:dyDescent="0.2">
      <c r="B5448"/>
      <c r="C5448"/>
      <c r="J5448"/>
      <c r="K5448"/>
      <c r="L5448"/>
    </row>
    <row r="5449" spans="2:12" x14ac:dyDescent="0.2">
      <c r="B5449"/>
      <c r="C5449"/>
      <c r="J5449"/>
      <c r="K5449"/>
      <c r="L5449"/>
    </row>
    <row r="5450" spans="2:12" x14ac:dyDescent="0.2">
      <c r="B5450"/>
      <c r="C5450"/>
      <c r="J5450"/>
      <c r="K5450"/>
      <c r="L5450"/>
    </row>
    <row r="5451" spans="2:12" x14ac:dyDescent="0.2">
      <c r="B5451"/>
      <c r="C5451"/>
      <c r="J5451"/>
      <c r="K5451"/>
      <c r="L5451"/>
    </row>
    <row r="5452" spans="2:12" x14ac:dyDescent="0.2">
      <c r="B5452"/>
      <c r="C5452"/>
      <c r="J5452"/>
      <c r="K5452"/>
      <c r="L5452"/>
    </row>
    <row r="5453" spans="2:12" x14ac:dyDescent="0.2">
      <c r="B5453"/>
      <c r="C5453"/>
      <c r="J5453"/>
      <c r="K5453"/>
      <c r="L5453"/>
    </row>
    <row r="5454" spans="2:12" x14ac:dyDescent="0.2">
      <c r="B5454"/>
      <c r="C5454"/>
      <c r="J5454"/>
      <c r="K5454"/>
      <c r="L5454"/>
    </row>
    <row r="5455" spans="2:12" x14ac:dyDescent="0.2">
      <c r="B5455"/>
      <c r="C5455"/>
      <c r="J5455"/>
      <c r="K5455"/>
      <c r="L5455"/>
    </row>
    <row r="5456" spans="2:12" x14ac:dyDescent="0.2">
      <c r="B5456"/>
      <c r="C5456"/>
      <c r="J5456"/>
      <c r="K5456"/>
      <c r="L5456"/>
    </row>
    <row r="5457" spans="2:12" x14ac:dyDescent="0.2">
      <c r="B5457"/>
      <c r="C5457"/>
      <c r="J5457"/>
      <c r="K5457"/>
      <c r="L5457"/>
    </row>
    <row r="5458" spans="2:12" x14ac:dyDescent="0.2">
      <c r="B5458"/>
      <c r="C5458"/>
      <c r="J5458"/>
      <c r="K5458"/>
      <c r="L5458"/>
    </row>
    <row r="5459" spans="2:12" x14ac:dyDescent="0.2">
      <c r="B5459"/>
      <c r="C5459"/>
      <c r="J5459"/>
      <c r="K5459"/>
      <c r="L5459"/>
    </row>
    <row r="5460" spans="2:12" x14ac:dyDescent="0.2">
      <c r="B5460"/>
      <c r="C5460"/>
      <c r="J5460"/>
      <c r="K5460"/>
      <c r="L5460"/>
    </row>
    <row r="5461" spans="2:12" x14ac:dyDescent="0.2">
      <c r="B5461"/>
      <c r="C5461"/>
      <c r="J5461"/>
      <c r="K5461"/>
      <c r="L5461"/>
    </row>
    <row r="5462" spans="2:12" x14ac:dyDescent="0.2">
      <c r="B5462"/>
      <c r="C5462"/>
      <c r="J5462"/>
      <c r="K5462"/>
      <c r="L5462"/>
    </row>
    <row r="5463" spans="2:12" x14ac:dyDescent="0.2">
      <c r="B5463"/>
      <c r="C5463"/>
      <c r="J5463"/>
      <c r="K5463"/>
      <c r="L5463"/>
    </row>
    <row r="5464" spans="2:12" x14ac:dyDescent="0.2">
      <c r="B5464"/>
      <c r="C5464"/>
      <c r="J5464"/>
      <c r="K5464"/>
      <c r="L5464"/>
    </row>
    <row r="5465" spans="2:12" x14ac:dyDescent="0.2">
      <c r="B5465"/>
      <c r="C5465"/>
      <c r="J5465"/>
      <c r="K5465"/>
      <c r="L5465"/>
    </row>
    <row r="5466" spans="2:12" x14ac:dyDescent="0.2">
      <c r="B5466"/>
      <c r="C5466"/>
      <c r="J5466"/>
      <c r="K5466"/>
      <c r="L5466"/>
    </row>
    <row r="5467" spans="2:12" x14ac:dyDescent="0.2">
      <c r="B5467"/>
      <c r="C5467"/>
      <c r="J5467"/>
      <c r="K5467"/>
      <c r="L5467"/>
    </row>
    <row r="5468" spans="2:12" x14ac:dyDescent="0.2">
      <c r="B5468"/>
      <c r="C5468"/>
      <c r="J5468"/>
      <c r="K5468"/>
      <c r="L5468"/>
    </row>
    <row r="5469" spans="2:12" x14ac:dyDescent="0.2">
      <c r="B5469"/>
      <c r="C5469"/>
      <c r="J5469"/>
      <c r="K5469"/>
      <c r="L5469"/>
    </row>
    <row r="5470" spans="2:12" x14ac:dyDescent="0.2">
      <c r="B5470"/>
      <c r="C5470"/>
      <c r="J5470"/>
      <c r="K5470"/>
      <c r="L5470"/>
    </row>
    <row r="5471" spans="2:12" x14ac:dyDescent="0.2">
      <c r="B5471"/>
      <c r="C5471"/>
      <c r="J5471"/>
      <c r="K5471"/>
      <c r="L5471"/>
    </row>
    <row r="5472" spans="2:12" x14ac:dyDescent="0.2">
      <c r="B5472"/>
      <c r="C5472"/>
      <c r="J5472"/>
      <c r="K5472"/>
      <c r="L5472"/>
    </row>
    <row r="5473" spans="2:12" x14ac:dyDescent="0.2">
      <c r="B5473"/>
      <c r="C5473"/>
      <c r="J5473"/>
      <c r="K5473"/>
      <c r="L5473"/>
    </row>
    <row r="5474" spans="2:12" x14ac:dyDescent="0.2">
      <c r="B5474"/>
      <c r="C5474"/>
      <c r="J5474"/>
      <c r="K5474"/>
      <c r="L5474"/>
    </row>
    <row r="5475" spans="2:12" x14ac:dyDescent="0.2">
      <c r="B5475"/>
      <c r="C5475"/>
      <c r="J5475"/>
      <c r="K5475"/>
      <c r="L5475"/>
    </row>
    <row r="5476" spans="2:12" x14ac:dyDescent="0.2">
      <c r="B5476"/>
      <c r="C5476"/>
      <c r="J5476"/>
      <c r="K5476"/>
      <c r="L5476"/>
    </row>
    <row r="5477" spans="2:12" x14ac:dyDescent="0.2">
      <c r="B5477"/>
      <c r="C5477"/>
      <c r="J5477"/>
      <c r="K5477"/>
      <c r="L5477"/>
    </row>
    <row r="5478" spans="2:12" x14ac:dyDescent="0.2">
      <c r="B5478"/>
      <c r="C5478"/>
      <c r="J5478"/>
      <c r="K5478"/>
      <c r="L5478"/>
    </row>
    <row r="5479" spans="2:12" x14ac:dyDescent="0.2">
      <c r="B5479"/>
      <c r="C5479"/>
      <c r="J5479"/>
      <c r="K5479"/>
      <c r="L5479"/>
    </row>
    <row r="5480" spans="2:12" x14ac:dyDescent="0.2">
      <c r="B5480"/>
      <c r="C5480"/>
      <c r="J5480"/>
      <c r="K5480"/>
      <c r="L5480"/>
    </row>
    <row r="5481" spans="2:12" x14ac:dyDescent="0.2">
      <c r="B5481"/>
      <c r="C5481"/>
      <c r="J5481"/>
      <c r="K5481"/>
      <c r="L5481"/>
    </row>
    <row r="5482" spans="2:12" x14ac:dyDescent="0.2">
      <c r="B5482"/>
      <c r="C5482"/>
      <c r="J5482"/>
      <c r="K5482"/>
      <c r="L5482"/>
    </row>
    <row r="5483" spans="2:12" x14ac:dyDescent="0.2">
      <c r="B5483"/>
      <c r="C5483"/>
      <c r="J5483"/>
      <c r="K5483"/>
      <c r="L5483"/>
    </row>
    <row r="5484" spans="2:12" x14ac:dyDescent="0.2">
      <c r="B5484"/>
      <c r="C5484"/>
      <c r="J5484"/>
      <c r="K5484"/>
      <c r="L5484"/>
    </row>
    <row r="5485" spans="2:12" x14ac:dyDescent="0.2">
      <c r="B5485"/>
      <c r="C5485"/>
      <c r="J5485"/>
      <c r="K5485"/>
      <c r="L5485"/>
    </row>
    <row r="5486" spans="2:12" x14ac:dyDescent="0.2">
      <c r="B5486"/>
      <c r="C5486"/>
      <c r="J5486"/>
      <c r="K5486"/>
      <c r="L5486"/>
    </row>
    <row r="5487" spans="2:12" x14ac:dyDescent="0.2">
      <c r="B5487"/>
      <c r="C5487"/>
      <c r="J5487"/>
      <c r="K5487"/>
      <c r="L5487"/>
    </row>
    <row r="5488" spans="2:12" x14ac:dyDescent="0.2">
      <c r="B5488"/>
      <c r="C5488"/>
      <c r="J5488"/>
      <c r="K5488"/>
      <c r="L5488"/>
    </row>
    <row r="5489" spans="2:12" x14ac:dyDescent="0.2">
      <c r="B5489"/>
      <c r="C5489"/>
      <c r="J5489"/>
      <c r="K5489"/>
      <c r="L5489"/>
    </row>
    <row r="5490" spans="2:12" x14ac:dyDescent="0.2">
      <c r="B5490"/>
      <c r="C5490"/>
      <c r="J5490"/>
      <c r="K5490"/>
      <c r="L5490"/>
    </row>
    <row r="5491" spans="2:12" x14ac:dyDescent="0.2">
      <c r="B5491"/>
      <c r="C5491"/>
      <c r="J5491"/>
      <c r="K5491"/>
      <c r="L5491"/>
    </row>
    <row r="5492" spans="2:12" x14ac:dyDescent="0.2">
      <c r="B5492"/>
      <c r="C5492"/>
      <c r="J5492"/>
      <c r="K5492"/>
      <c r="L5492"/>
    </row>
    <row r="5493" spans="2:12" x14ac:dyDescent="0.2">
      <c r="B5493"/>
      <c r="C5493"/>
      <c r="J5493"/>
      <c r="K5493"/>
      <c r="L5493"/>
    </row>
    <row r="5494" spans="2:12" x14ac:dyDescent="0.2">
      <c r="B5494"/>
      <c r="C5494"/>
      <c r="J5494"/>
      <c r="K5494"/>
      <c r="L5494"/>
    </row>
    <row r="5495" spans="2:12" x14ac:dyDescent="0.2">
      <c r="B5495"/>
      <c r="C5495"/>
      <c r="J5495"/>
      <c r="K5495"/>
      <c r="L5495"/>
    </row>
    <row r="5496" spans="2:12" x14ac:dyDescent="0.2">
      <c r="B5496"/>
      <c r="C5496"/>
      <c r="J5496"/>
      <c r="K5496"/>
      <c r="L5496"/>
    </row>
    <row r="5497" spans="2:12" x14ac:dyDescent="0.2">
      <c r="B5497"/>
      <c r="C5497"/>
      <c r="J5497"/>
      <c r="K5497"/>
      <c r="L5497"/>
    </row>
    <row r="5498" spans="2:12" x14ac:dyDescent="0.2">
      <c r="B5498"/>
      <c r="C5498"/>
      <c r="J5498"/>
      <c r="K5498"/>
      <c r="L5498"/>
    </row>
    <row r="5499" spans="2:12" x14ac:dyDescent="0.2">
      <c r="B5499"/>
      <c r="C5499"/>
      <c r="J5499"/>
      <c r="K5499"/>
      <c r="L5499"/>
    </row>
    <row r="5500" spans="2:12" x14ac:dyDescent="0.2">
      <c r="B5500"/>
      <c r="C5500"/>
      <c r="J5500"/>
      <c r="K5500"/>
      <c r="L5500"/>
    </row>
    <row r="5501" spans="2:12" x14ac:dyDescent="0.2">
      <c r="B5501"/>
      <c r="C5501"/>
      <c r="J5501"/>
      <c r="K5501"/>
      <c r="L5501"/>
    </row>
    <row r="5502" spans="2:12" x14ac:dyDescent="0.2">
      <c r="B5502"/>
      <c r="C5502"/>
      <c r="J5502"/>
      <c r="K5502"/>
      <c r="L5502"/>
    </row>
    <row r="5503" spans="2:12" x14ac:dyDescent="0.2">
      <c r="B5503"/>
      <c r="C5503"/>
      <c r="J5503"/>
      <c r="K5503"/>
      <c r="L5503"/>
    </row>
    <row r="5504" spans="2:12" x14ac:dyDescent="0.2">
      <c r="B5504"/>
      <c r="C5504"/>
      <c r="J5504"/>
      <c r="K5504"/>
      <c r="L5504"/>
    </row>
    <row r="5505" spans="2:12" x14ac:dyDescent="0.2">
      <c r="B5505"/>
      <c r="C5505"/>
      <c r="J5505"/>
      <c r="K5505"/>
      <c r="L5505"/>
    </row>
    <row r="5506" spans="2:12" x14ac:dyDescent="0.2">
      <c r="B5506"/>
      <c r="C5506"/>
      <c r="J5506"/>
      <c r="K5506"/>
      <c r="L5506"/>
    </row>
    <row r="5507" spans="2:12" x14ac:dyDescent="0.2">
      <c r="B5507"/>
      <c r="C5507"/>
      <c r="J5507"/>
      <c r="K5507"/>
      <c r="L5507"/>
    </row>
    <row r="5508" spans="2:12" x14ac:dyDescent="0.2">
      <c r="B5508"/>
      <c r="C5508"/>
      <c r="J5508"/>
      <c r="K5508"/>
      <c r="L5508"/>
    </row>
    <row r="5509" spans="2:12" x14ac:dyDescent="0.2">
      <c r="B5509"/>
      <c r="C5509"/>
      <c r="J5509"/>
      <c r="K5509"/>
      <c r="L5509"/>
    </row>
    <row r="5510" spans="2:12" x14ac:dyDescent="0.2">
      <c r="B5510"/>
      <c r="C5510"/>
      <c r="J5510"/>
      <c r="K5510"/>
      <c r="L5510"/>
    </row>
    <row r="5511" spans="2:12" x14ac:dyDescent="0.2">
      <c r="B5511"/>
      <c r="C5511"/>
      <c r="J5511"/>
      <c r="K5511"/>
      <c r="L5511"/>
    </row>
    <row r="5512" spans="2:12" x14ac:dyDescent="0.2">
      <c r="B5512"/>
      <c r="C5512"/>
      <c r="J5512"/>
      <c r="K5512"/>
      <c r="L5512"/>
    </row>
    <row r="5513" spans="2:12" x14ac:dyDescent="0.2">
      <c r="B5513"/>
      <c r="C5513"/>
      <c r="J5513"/>
      <c r="K5513"/>
      <c r="L5513"/>
    </row>
    <row r="5514" spans="2:12" x14ac:dyDescent="0.2">
      <c r="B5514"/>
      <c r="C5514"/>
      <c r="J5514"/>
      <c r="K5514"/>
      <c r="L5514"/>
    </row>
    <row r="5515" spans="2:12" x14ac:dyDescent="0.2">
      <c r="B5515"/>
      <c r="C5515"/>
      <c r="J5515"/>
      <c r="K5515"/>
      <c r="L5515"/>
    </row>
    <row r="5516" spans="2:12" x14ac:dyDescent="0.2">
      <c r="B5516"/>
      <c r="C5516"/>
      <c r="J5516"/>
      <c r="K5516"/>
      <c r="L5516"/>
    </row>
    <row r="5517" spans="2:12" x14ac:dyDescent="0.2">
      <c r="B5517"/>
      <c r="C5517"/>
      <c r="J5517"/>
      <c r="K5517"/>
      <c r="L5517"/>
    </row>
    <row r="5518" spans="2:12" x14ac:dyDescent="0.2">
      <c r="B5518"/>
      <c r="C5518"/>
      <c r="J5518"/>
      <c r="K5518"/>
      <c r="L5518"/>
    </row>
    <row r="5519" spans="2:12" x14ac:dyDescent="0.2">
      <c r="B5519"/>
      <c r="C5519"/>
      <c r="J5519"/>
      <c r="K5519"/>
      <c r="L5519"/>
    </row>
    <row r="5520" spans="2:12" x14ac:dyDescent="0.2">
      <c r="B5520"/>
      <c r="C5520"/>
      <c r="J5520"/>
      <c r="K5520"/>
      <c r="L5520"/>
    </row>
    <row r="5521" spans="2:12" x14ac:dyDescent="0.2">
      <c r="B5521"/>
      <c r="C5521"/>
      <c r="J5521"/>
      <c r="K5521"/>
      <c r="L5521"/>
    </row>
    <row r="5522" spans="2:12" x14ac:dyDescent="0.2">
      <c r="B5522"/>
      <c r="C5522"/>
      <c r="J5522"/>
      <c r="K5522"/>
      <c r="L5522"/>
    </row>
    <row r="5523" spans="2:12" x14ac:dyDescent="0.2">
      <c r="B5523"/>
      <c r="C5523"/>
      <c r="J5523"/>
      <c r="K5523"/>
      <c r="L5523"/>
    </row>
    <row r="5524" spans="2:12" x14ac:dyDescent="0.2">
      <c r="B5524"/>
      <c r="C5524"/>
      <c r="J5524"/>
      <c r="K5524"/>
      <c r="L5524"/>
    </row>
    <row r="5525" spans="2:12" x14ac:dyDescent="0.2">
      <c r="B5525"/>
      <c r="C5525"/>
      <c r="J5525"/>
      <c r="K5525"/>
      <c r="L5525"/>
    </row>
    <row r="5526" spans="2:12" x14ac:dyDescent="0.2">
      <c r="B5526"/>
      <c r="C5526"/>
      <c r="J5526"/>
      <c r="K5526"/>
      <c r="L5526"/>
    </row>
    <row r="5527" spans="2:12" x14ac:dyDescent="0.2">
      <c r="B5527"/>
      <c r="C5527"/>
      <c r="J5527"/>
      <c r="K5527"/>
      <c r="L5527"/>
    </row>
    <row r="5528" spans="2:12" x14ac:dyDescent="0.2">
      <c r="B5528"/>
      <c r="C5528"/>
      <c r="J5528"/>
      <c r="K5528"/>
      <c r="L5528"/>
    </row>
    <row r="5529" spans="2:12" x14ac:dyDescent="0.2">
      <c r="B5529"/>
      <c r="C5529"/>
      <c r="J5529"/>
      <c r="K5529"/>
      <c r="L5529"/>
    </row>
    <row r="5530" spans="2:12" x14ac:dyDescent="0.2">
      <c r="B5530"/>
      <c r="C5530"/>
      <c r="J5530"/>
      <c r="K5530"/>
      <c r="L5530"/>
    </row>
    <row r="5531" spans="2:12" x14ac:dyDescent="0.2">
      <c r="B5531"/>
      <c r="C5531"/>
      <c r="J5531"/>
      <c r="K5531"/>
      <c r="L5531"/>
    </row>
    <row r="5532" spans="2:12" x14ac:dyDescent="0.2">
      <c r="B5532"/>
      <c r="C5532"/>
      <c r="J5532"/>
      <c r="K5532"/>
      <c r="L5532"/>
    </row>
    <row r="5533" spans="2:12" x14ac:dyDescent="0.2">
      <c r="B5533"/>
      <c r="C5533"/>
      <c r="J5533"/>
      <c r="K5533"/>
      <c r="L5533"/>
    </row>
    <row r="5534" spans="2:12" x14ac:dyDescent="0.2">
      <c r="B5534"/>
      <c r="C5534"/>
      <c r="J5534"/>
      <c r="K5534"/>
      <c r="L5534"/>
    </row>
    <row r="5535" spans="2:12" x14ac:dyDescent="0.2">
      <c r="B5535"/>
      <c r="C5535"/>
      <c r="J5535"/>
      <c r="K5535"/>
      <c r="L5535"/>
    </row>
    <row r="5536" spans="2:12" x14ac:dyDescent="0.2">
      <c r="B5536"/>
      <c r="C5536"/>
      <c r="J5536"/>
      <c r="K5536"/>
      <c r="L5536"/>
    </row>
    <row r="5537" spans="2:12" x14ac:dyDescent="0.2">
      <c r="B5537"/>
      <c r="C5537"/>
      <c r="J5537"/>
      <c r="K5537"/>
      <c r="L5537"/>
    </row>
    <row r="5538" spans="2:12" x14ac:dyDescent="0.2">
      <c r="B5538"/>
      <c r="C5538"/>
      <c r="J5538"/>
      <c r="K5538"/>
      <c r="L5538"/>
    </row>
    <row r="5539" spans="2:12" x14ac:dyDescent="0.2">
      <c r="B5539"/>
      <c r="C5539"/>
      <c r="J5539"/>
      <c r="K5539"/>
      <c r="L5539"/>
    </row>
    <row r="5540" spans="2:12" x14ac:dyDescent="0.2">
      <c r="B5540"/>
      <c r="C5540"/>
      <c r="J5540"/>
      <c r="K5540"/>
      <c r="L5540"/>
    </row>
    <row r="5541" spans="2:12" x14ac:dyDescent="0.2">
      <c r="B5541"/>
      <c r="C5541"/>
      <c r="J5541"/>
      <c r="K5541"/>
      <c r="L5541"/>
    </row>
    <row r="5542" spans="2:12" x14ac:dyDescent="0.2">
      <c r="B5542"/>
      <c r="C5542"/>
      <c r="J5542"/>
      <c r="K5542"/>
      <c r="L5542"/>
    </row>
    <row r="5543" spans="2:12" x14ac:dyDescent="0.2">
      <c r="B5543"/>
      <c r="C5543"/>
      <c r="J5543"/>
      <c r="K5543"/>
      <c r="L5543"/>
    </row>
    <row r="5544" spans="2:12" x14ac:dyDescent="0.2">
      <c r="B5544"/>
      <c r="C5544"/>
      <c r="J5544"/>
      <c r="K5544"/>
      <c r="L5544"/>
    </row>
    <row r="5545" spans="2:12" x14ac:dyDescent="0.2">
      <c r="B5545"/>
      <c r="C5545"/>
      <c r="J5545"/>
      <c r="K5545"/>
      <c r="L5545"/>
    </row>
    <row r="5546" spans="2:12" x14ac:dyDescent="0.2">
      <c r="B5546"/>
      <c r="C5546"/>
      <c r="J5546"/>
      <c r="K5546"/>
      <c r="L5546"/>
    </row>
    <row r="5547" spans="2:12" x14ac:dyDescent="0.2">
      <c r="B5547"/>
      <c r="C5547"/>
      <c r="J5547"/>
      <c r="K5547"/>
      <c r="L5547"/>
    </row>
    <row r="5548" spans="2:12" x14ac:dyDescent="0.2">
      <c r="B5548"/>
      <c r="C5548"/>
      <c r="J5548"/>
      <c r="K5548"/>
      <c r="L5548"/>
    </row>
    <row r="5549" spans="2:12" x14ac:dyDescent="0.2">
      <c r="B5549"/>
      <c r="C5549"/>
      <c r="J5549"/>
      <c r="K5549"/>
      <c r="L5549"/>
    </row>
    <row r="5550" spans="2:12" x14ac:dyDescent="0.2">
      <c r="B5550"/>
      <c r="C5550"/>
      <c r="J5550"/>
      <c r="K5550"/>
      <c r="L5550"/>
    </row>
    <row r="5551" spans="2:12" x14ac:dyDescent="0.2">
      <c r="B5551"/>
      <c r="C5551"/>
      <c r="J5551"/>
      <c r="K5551"/>
      <c r="L5551"/>
    </row>
    <row r="5552" spans="2:12" x14ac:dyDescent="0.2">
      <c r="B5552"/>
      <c r="C5552"/>
      <c r="J5552"/>
      <c r="K5552"/>
      <c r="L5552"/>
    </row>
    <row r="5553" spans="2:12" x14ac:dyDescent="0.2">
      <c r="B5553"/>
      <c r="C5553"/>
      <c r="J5553"/>
      <c r="K5553"/>
      <c r="L5553"/>
    </row>
    <row r="5554" spans="2:12" x14ac:dyDescent="0.2">
      <c r="B5554"/>
      <c r="C5554"/>
      <c r="J5554"/>
      <c r="K5554"/>
      <c r="L5554"/>
    </row>
    <row r="5555" spans="2:12" x14ac:dyDescent="0.2">
      <c r="B5555"/>
      <c r="C5555"/>
      <c r="J5555"/>
      <c r="K5555"/>
      <c r="L5555"/>
    </row>
    <row r="5556" spans="2:12" x14ac:dyDescent="0.2">
      <c r="B5556"/>
      <c r="C5556"/>
      <c r="J5556"/>
      <c r="K5556"/>
      <c r="L5556"/>
    </row>
    <row r="5557" spans="2:12" x14ac:dyDescent="0.2">
      <c r="B5557"/>
      <c r="C5557"/>
      <c r="J5557"/>
      <c r="K5557"/>
      <c r="L5557"/>
    </row>
    <row r="5558" spans="2:12" x14ac:dyDescent="0.2">
      <c r="B5558"/>
      <c r="C5558"/>
      <c r="J5558"/>
      <c r="K5558"/>
      <c r="L5558"/>
    </row>
    <row r="5559" spans="2:12" x14ac:dyDescent="0.2">
      <c r="B5559"/>
      <c r="C5559"/>
      <c r="J5559"/>
      <c r="K5559"/>
      <c r="L5559"/>
    </row>
    <row r="5560" spans="2:12" x14ac:dyDescent="0.2">
      <c r="B5560"/>
      <c r="C5560"/>
      <c r="J5560"/>
      <c r="K5560"/>
      <c r="L5560"/>
    </row>
    <row r="5561" spans="2:12" x14ac:dyDescent="0.2">
      <c r="B5561"/>
      <c r="C5561"/>
      <c r="J5561"/>
      <c r="K5561"/>
      <c r="L5561"/>
    </row>
    <row r="5562" spans="2:12" x14ac:dyDescent="0.2">
      <c r="B5562"/>
      <c r="C5562"/>
      <c r="J5562"/>
      <c r="K5562"/>
      <c r="L5562"/>
    </row>
    <row r="5563" spans="2:12" x14ac:dyDescent="0.2">
      <c r="B5563"/>
      <c r="C5563"/>
      <c r="J5563"/>
      <c r="K5563"/>
      <c r="L5563"/>
    </row>
    <row r="5564" spans="2:12" x14ac:dyDescent="0.2">
      <c r="B5564"/>
      <c r="C5564"/>
      <c r="J5564"/>
      <c r="K5564"/>
      <c r="L5564"/>
    </row>
    <row r="5565" spans="2:12" x14ac:dyDescent="0.2">
      <c r="B5565"/>
      <c r="C5565"/>
      <c r="J5565"/>
      <c r="K5565"/>
      <c r="L5565"/>
    </row>
    <row r="5566" spans="2:12" x14ac:dyDescent="0.2">
      <c r="B5566"/>
      <c r="C5566"/>
      <c r="J5566"/>
      <c r="K5566"/>
      <c r="L5566"/>
    </row>
    <row r="5567" spans="2:12" x14ac:dyDescent="0.2">
      <c r="B5567"/>
      <c r="C5567"/>
      <c r="J5567"/>
      <c r="K5567"/>
      <c r="L5567"/>
    </row>
    <row r="5568" spans="2:12" x14ac:dyDescent="0.2">
      <c r="B5568"/>
      <c r="C5568"/>
      <c r="J5568"/>
      <c r="K5568"/>
      <c r="L5568"/>
    </row>
    <row r="5569" spans="2:12" x14ac:dyDescent="0.2">
      <c r="B5569"/>
      <c r="C5569"/>
      <c r="J5569"/>
      <c r="K5569"/>
      <c r="L5569"/>
    </row>
    <row r="5570" spans="2:12" x14ac:dyDescent="0.2">
      <c r="B5570"/>
      <c r="C5570"/>
      <c r="J5570"/>
      <c r="K5570"/>
      <c r="L5570"/>
    </row>
    <row r="5571" spans="2:12" x14ac:dyDescent="0.2">
      <c r="B5571"/>
      <c r="C5571"/>
      <c r="J5571"/>
      <c r="K5571"/>
      <c r="L5571"/>
    </row>
    <row r="5572" spans="2:12" x14ac:dyDescent="0.2">
      <c r="B5572"/>
      <c r="C5572"/>
      <c r="J5572"/>
      <c r="K5572"/>
      <c r="L5572"/>
    </row>
    <row r="5573" spans="2:12" x14ac:dyDescent="0.2">
      <c r="B5573"/>
      <c r="C5573"/>
      <c r="J5573"/>
      <c r="K5573"/>
      <c r="L5573"/>
    </row>
    <row r="5574" spans="2:12" x14ac:dyDescent="0.2">
      <c r="B5574"/>
      <c r="C5574"/>
      <c r="J5574"/>
      <c r="K5574"/>
      <c r="L5574"/>
    </row>
    <row r="5575" spans="2:12" x14ac:dyDescent="0.2">
      <c r="B5575"/>
      <c r="C5575"/>
      <c r="J5575"/>
      <c r="K5575"/>
      <c r="L5575"/>
    </row>
    <row r="5576" spans="2:12" x14ac:dyDescent="0.2">
      <c r="B5576"/>
      <c r="C5576"/>
      <c r="J5576"/>
      <c r="K5576"/>
      <c r="L5576"/>
    </row>
    <row r="5577" spans="2:12" x14ac:dyDescent="0.2">
      <c r="B5577"/>
      <c r="C5577"/>
      <c r="J5577"/>
      <c r="K5577"/>
      <c r="L5577"/>
    </row>
    <row r="5578" spans="2:12" x14ac:dyDescent="0.2">
      <c r="B5578"/>
      <c r="C5578"/>
      <c r="J5578"/>
      <c r="K5578"/>
      <c r="L5578"/>
    </row>
    <row r="5579" spans="2:12" x14ac:dyDescent="0.2">
      <c r="B5579"/>
      <c r="C5579"/>
      <c r="J5579"/>
      <c r="K5579"/>
      <c r="L5579"/>
    </row>
    <row r="5580" spans="2:12" x14ac:dyDescent="0.2">
      <c r="B5580"/>
      <c r="C5580"/>
      <c r="J5580"/>
      <c r="K5580"/>
      <c r="L5580"/>
    </row>
    <row r="5581" spans="2:12" x14ac:dyDescent="0.2">
      <c r="B5581"/>
      <c r="C5581"/>
      <c r="J5581"/>
      <c r="K5581"/>
      <c r="L5581"/>
    </row>
    <row r="5582" spans="2:12" x14ac:dyDescent="0.2">
      <c r="B5582"/>
      <c r="C5582"/>
      <c r="J5582"/>
      <c r="K5582"/>
      <c r="L5582"/>
    </row>
    <row r="5583" spans="2:12" x14ac:dyDescent="0.2">
      <c r="B5583"/>
      <c r="C5583"/>
      <c r="J5583"/>
      <c r="K5583"/>
      <c r="L5583"/>
    </row>
    <row r="5584" spans="2:12" x14ac:dyDescent="0.2">
      <c r="B5584"/>
      <c r="C5584"/>
      <c r="J5584"/>
      <c r="K5584"/>
      <c r="L5584"/>
    </row>
    <row r="5585" spans="2:12" x14ac:dyDescent="0.2">
      <c r="B5585"/>
      <c r="C5585"/>
      <c r="J5585"/>
      <c r="K5585"/>
      <c r="L5585"/>
    </row>
    <row r="5586" spans="2:12" x14ac:dyDescent="0.2">
      <c r="B5586"/>
      <c r="C5586"/>
      <c r="J5586"/>
      <c r="K5586"/>
      <c r="L5586"/>
    </row>
    <row r="5587" spans="2:12" x14ac:dyDescent="0.2">
      <c r="B5587"/>
      <c r="C5587"/>
      <c r="J5587"/>
      <c r="K5587"/>
      <c r="L5587"/>
    </row>
    <row r="5588" spans="2:12" x14ac:dyDescent="0.2">
      <c r="B5588"/>
      <c r="C5588"/>
      <c r="J5588"/>
      <c r="K5588"/>
      <c r="L5588"/>
    </row>
    <row r="5589" spans="2:12" x14ac:dyDescent="0.2">
      <c r="B5589"/>
      <c r="C5589"/>
      <c r="J5589"/>
      <c r="K5589"/>
      <c r="L5589"/>
    </row>
    <row r="5590" spans="2:12" x14ac:dyDescent="0.2">
      <c r="B5590"/>
      <c r="C5590"/>
      <c r="J5590"/>
      <c r="K5590"/>
      <c r="L5590"/>
    </row>
    <row r="5591" spans="2:12" x14ac:dyDescent="0.2">
      <c r="B5591"/>
      <c r="C5591"/>
      <c r="J5591"/>
      <c r="K5591"/>
      <c r="L5591"/>
    </row>
    <row r="5592" spans="2:12" x14ac:dyDescent="0.2">
      <c r="B5592"/>
      <c r="C5592"/>
      <c r="J5592"/>
      <c r="K5592"/>
      <c r="L5592"/>
    </row>
    <row r="5593" spans="2:12" x14ac:dyDescent="0.2">
      <c r="B5593"/>
      <c r="C5593"/>
      <c r="J5593"/>
      <c r="K5593"/>
      <c r="L5593"/>
    </row>
    <row r="5594" spans="2:12" x14ac:dyDescent="0.2">
      <c r="B5594"/>
      <c r="C5594"/>
      <c r="J5594"/>
      <c r="K5594"/>
      <c r="L5594"/>
    </row>
    <row r="5595" spans="2:12" x14ac:dyDescent="0.2">
      <c r="B5595"/>
      <c r="C5595"/>
      <c r="J5595"/>
      <c r="K5595"/>
      <c r="L5595"/>
    </row>
    <row r="5596" spans="2:12" x14ac:dyDescent="0.2">
      <c r="B5596"/>
      <c r="C5596"/>
      <c r="J5596"/>
      <c r="K5596"/>
      <c r="L5596"/>
    </row>
    <row r="5597" spans="2:12" x14ac:dyDescent="0.2">
      <c r="B5597"/>
      <c r="C5597"/>
      <c r="J5597"/>
      <c r="K5597"/>
      <c r="L5597"/>
    </row>
    <row r="5598" spans="2:12" x14ac:dyDescent="0.2">
      <c r="B5598"/>
      <c r="C5598"/>
      <c r="J5598"/>
      <c r="K5598"/>
      <c r="L5598"/>
    </row>
    <row r="5599" spans="2:12" x14ac:dyDescent="0.2">
      <c r="B5599"/>
      <c r="C5599"/>
      <c r="J5599"/>
      <c r="K5599"/>
      <c r="L5599"/>
    </row>
    <row r="5600" spans="2:12" x14ac:dyDescent="0.2">
      <c r="B5600"/>
      <c r="C5600"/>
      <c r="J5600"/>
      <c r="K5600"/>
      <c r="L5600"/>
    </row>
    <row r="5601" spans="2:12" x14ac:dyDescent="0.2">
      <c r="B5601"/>
      <c r="C5601"/>
      <c r="J5601"/>
      <c r="K5601"/>
      <c r="L5601"/>
    </row>
    <row r="5602" spans="2:12" x14ac:dyDescent="0.2">
      <c r="B5602"/>
      <c r="C5602"/>
      <c r="J5602"/>
      <c r="K5602"/>
      <c r="L5602"/>
    </row>
    <row r="5603" spans="2:12" x14ac:dyDescent="0.2">
      <c r="B5603"/>
      <c r="C5603"/>
      <c r="J5603"/>
      <c r="K5603"/>
      <c r="L5603"/>
    </row>
    <row r="5604" spans="2:12" x14ac:dyDescent="0.2">
      <c r="B5604"/>
      <c r="C5604"/>
      <c r="J5604"/>
      <c r="K5604"/>
      <c r="L5604"/>
    </row>
    <row r="5605" spans="2:12" x14ac:dyDescent="0.2">
      <c r="B5605"/>
      <c r="C5605"/>
      <c r="J5605"/>
      <c r="K5605"/>
      <c r="L5605"/>
    </row>
    <row r="5606" spans="2:12" x14ac:dyDescent="0.2">
      <c r="B5606"/>
      <c r="C5606"/>
      <c r="J5606"/>
      <c r="K5606"/>
      <c r="L5606"/>
    </row>
    <row r="5607" spans="2:12" x14ac:dyDescent="0.2">
      <c r="B5607"/>
      <c r="C5607"/>
      <c r="J5607"/>
      <c r="K5607"/>
      <c r="L5607"/>
    </row>
    <row r="5608" spans="2:12" x14ac:dyDescent="0.2">
      <c r="B5608"/>
      <c r="C5608"/>
      <c r="J5608"/>
      <c r="K5608"/>
      <c r="L5608"/>
    </row>
    <row r="5609" spans="2:12" x14ac:dyDescent="0.2">
      <c r="B5609"/>
      <c r="C5609"/>
      <c r="J5609"/>
      <c r="K5609"/>
      <c r="L5609"/>
    </row>
    <row r="5610" spans="2:12" x14ac:dyDescent="0.2">
      <c r="B5610"/>
      <c r="C5610"/>
      <c r="J5610"/>
      <c r="K5610"/>
      <c r="L5610"/>
    </row>
    <row r="5611" spans="2:12" x14ac:dyDescent="0.2">
      <c r="B5611"/>
      <c r="C5611"/>
      <c r="J5611"/>
      <c r="K5611"/>
      <c r="L5611"/>
    </row>
    <row r="5612" spans="2:12" x14ac:dyDescent="0.2">
      <c r="B5612"/>
      <c r="C5612"/>
      <c r="J5612"/>
      <c r="K5612"/>
      <c r="L5612"/>
    </row>
    <row r="5613" spans="2:12" x14ac:dyDescent="0.2">
      <c r="B5613"/>
      <c r="C5613"/>
      <c r="J5613"/>
      <c r="K5613"/>
      <c r="L5613"/>
    </row>
    <row r="5614" spans="2:12" x14ac:dyDescent="0.2">
      <c r="B5614"/>
      <c r="C5614"/>
      <c r="J5614"/>
      <c r="K5614"/>
      <c r="L5614"/>
    </row>
    <row r="5615" spans="2:12" x14ac:dyDescent="0.2">
      <c r="B5615"/>
      <c r="C5615"/>
      <c r="J5615"/>
      <c r="K5615"/>
      <c r="L5615"/>
    </row>
    <row r="5616" spans="2:12" x14ac:dyDescent="0.2">
      <c r="B5616"/>
      <c r="C5616"/>
      <c r="J5616"/>
      <c r="K5616"/>
      <c r="L5616"/>
    </row>
    <row r="5617" spans="2:12" x14ac:dyDescent="0.2">
      <c r="B5617"/>
      <c r="C5617"/>
      <c r="J5617"/>
      <c r="K5617"/>
      <c r="L5617"/>
    </row>
    <row r="5618" spans="2:12" x14ac:dyDescent="0.2">
      <c r="B5618"/>
      <c r="C5618"/>
      <c r="J5618"/>
      <c r="K5618"/>
      <c r="L5618"/>
    </row>
    <row r="5619" spans="2:12" x14ac:dyDescent="0.2">
      <c r="B5619"/>
      <c r="C5619"/>
      <c r="J5619"/>
      <c r="K5619"/>
      <c r="L5619"/>
    </row>
    <row r="5620" spans="2:12" x14ac:dyDescent="0.2">
      <c r="B5620"/>
      <c r="C5620"/>
      <c r="J5620"/>
      <c r="K5620"/>
      <c r="L5620"/>
    </row>
    <row r="5621" spans="2:12" x14ac:dyDescent="0.2">
      <c r="B5621"/>
      <c r="C5621"/>
      <c r="J5621"/>
      <c r="K5621"/>
      <c r="L5621"/>
    </row>
    <row r="5622" spans="2:12" x14ac:dyDescent="0.2">
      <c r="B5622"/>
      <c r="C5622"/>
      <c r="J5622"/>
      <c r="K5622"/>
      <c r="L5622"/>
    </row>
    <row r="5623" spans="2:12" x14ac:dyDescent="0.2">
      <c r="B5623"/>
      <c r="C5623"/>
      <c r="J5623"/>
      <c r="K5623"/>
      <c r="L5623"/>
    </row>
    <row r="5624" spans="2:12" x14ac:dyDescent="0.2">
      <c r="B5624"/>
      <c r="C5624"/>
      <c r="J5624"/>
      <c r="K5624"/>
      <c r="L5624"/>
    </row>
    <row r="5625" spans="2:12" x14ac:dyDescent="0.2">
      <c r="B5625"/>
      <c r="C5625"/>
      <c r="J5625"/>
      <c r="K5625"/>
      <c r="L5625"/>
    </row>
    <row r="5626" spans="2:12" x14ac:dyDescent="0.2">
      <c r="B5626"/>
      <c r="C5626"/>
      <c r="J5626"/>
      <c r="K5626"/>
      <c r="L5626"/>
    </row>
    <row r="5627" spans="2:12" x14ac:dyDescent="0.2">
      <c r="B5627"/>
      <c r="C5627"/>
      <c r="J5627"/>
      <c r="K5627"/>
      <c r="L5627"/>
    </row>
    <row r="5628" spans="2:12" x14ac:dyDescent="0.2">
      <c r="B5628"/>
      <c r="C5628"/>
      <c r="J5628"/>
      <c r="K5628"/>
      <c r="L5628"/>
    </row>
    <row r="5629" spans="2:12" x14ac:dyDescent="0.2">
      <c r="B5629"/>
      <c r="C5629"/>
      <c r="J5629"/>
      <c r="K5629"/>
      <c r="L5629"/>
    </row>
    <row r="5630" spans="2:12" x14ac:dyDescent="0.2">
      <c r="B5630"/>
      <c r="C5630"/>
      <c r="J5630"/>
      <c r="K5630"/>
      <c r="L5630"/>
    </row>
    <row r="5631" spans="2:12" x14ac:dyDescent="0.2">
      <c r="B5631"/>
      <c r="C5631"/>
      <c r="J5631"/>
      <c r="K5631"/>
      <c r="L5631"/>
    </row>
    <row r="5632" spans="2:12" x14ac:dyDescent="0.2">
      <c r="B5632"/>
      <c r="C5632"/>
      <c r="J5632"/>
      <c r="K5632"/>
      <c r="L5632"/>
    </row>
    <row r="5633" spans="2:12" x14ac:dyDescent="0.2">
      <c r="B5633"/>
      <c r="C5633"/>
      <c r="J5633"/>
      <c r="K5633"/>
      <c r="L5633"/>
    </row>
    <row r="5634" spans="2:12" x14ac:dyDescent="0.2">
      <c r="B5634"/>
      <c r="C5634"/>
      <c r="J5634"/>
      <c r="K5634"/>
      <c r="L5634"/>
    </row>
    <row r="5635" spans="2:12" x14ac:dyDescent="0.2">
      <c r="B5635"/>
      <c r="C5635"/>
      <c r="J5635"/>
      <c r="K5635"/>
      <c r="L5635"/>
    </row>
    <row r="5636" spans="2:12" x14ac:dyDescent="0.2">
      <c r="B5636"/>
      <c r="C5636"/>
      <c r="J5636"/>
      <c r="K5636"/>
      <c r="L5636"/>
    </row>
    <row r="5637" spans="2:12" x14ac:dyDescent="0.2">
      <c r="B5637"/>
      <c r="C5637"/>
      <c r="J5637"/>
      <c r="K5637"/>
      <c r="L5637"/>
    </row>
    <row r="5638" spans="2:12" x14ac:dyDescent="0.2">
      <c r="B5638"/>
      <c r="C5638"/>
      <c r="J5638"/>
      <c r="K5638"/>
      <c r="L5638"/>
    </row>
    <row r="5639" spans="2:12" x14ac:dyDescent="0.2">
      <c r="B5639"/>
      <c r="C5639"/>
      <c r="J5639"/>
      <c r="K5639"/>
      <c r="L5639"/>
    </row>
    <row r="5640" spans="2:12" x14ac:dyDescent="0.2">
      <c r="B5640"/>
      <c r="C5640"/>
      <c r="J5640"/>
      <c r="K5640"/>
      <c r="L5640"/>
    </row>
    <row r="5641" spans="2:12" x14ac:dyDescent="0.2">
      <c r="B5641"/>
      <c r="C5641"/>
      <c r="J5641"/>
      <c r="K5641"/>
      <c r="L5641"/>
    </row>
    <row r="5642" spans="2:12" x14ac:dyDescent="0.2">
      <c r="B5642"/>
      <c r="C5642"/>
      <c r="J5642"/>
      <c r="K5642"/>
      <c r="L5642"/>
    </row>
    <row r="5643" spans="2:12" x14ac:dyDescent="0.2">
      <c r="B5643"/>
      <c r="C5643"/>
      <c r="J5643"/>
      <c r="K5643"/>
      <c r="L5643"/>
    </row>
    <row r="5644" spans="2:12" x14ac:dyDescent="0.2">
      <c r="B5644"/>
      <c r="C5644"/>
      <c r="J5644"/>
      <c r="K5644"/>
      <c r="L5644"/>
    </row>
    <row r="5645" spans="2:12" x14ac:dyDescent="0.2">
      <c r="B5645"/>
      <c r="C5645"/>
      <c r="J5645"/>
      <c r="K5645"/>
      <c r="L5645"/>
    </row>
    <row r="5646" spans="2:12" x14ac:dyDescent="0.2">
      <c r="B5646"/>
      <c r="C5646"/>
      <c r="J5646"/>
      <c r="K5646"/>
      <c r="L5646"/>
    </row>
    <row r="5647" spans="2:12" x14ac:dyDescent="0.2">
      <c r="B5647"/>
      <c r="C5647"/>
      <c r="J5647"/>
      <c r="K5647"/>
      <c r="L5647"/>
    </row>
    <row r="5648" spans="2:12" x14ac:dyDescent="0.2">
      <c r="B5648"/>
      <c r="C5648"/>
      <c r="J5648"/>
      <c r="K5648"/>
      <c r="L5648"/>
    </row>
    <row r="5649" spans="2:12" x14ac:dyDescent="0.2">
      <c r="B5649"/>
      <c r="C5649"/>
      <c r="J5649"/>
      <c r="K5649"/>
      <c r="L5649"/>
    </row>
    <row r="5650" spans="2:12" x14ac:dyDescent="0.2">
      <c r="B5650"/>
      <c r="C5650"/>
      <c r="J5650"/>
      <c r="K5650"/>
      <c r="L5650"/>
    </row>
    <row r="5651" spans="2:12" x14ac:dyDescent="0.2">
      <c r="B5651"/>
      <c r="C5651"/>
      <c r="J5651"/>
      <c r="K5651"/>
      <c r="L5651"/>
    </row>
    <row r="5652" spans="2:12" x14ac:dyDescent="0.2">
      <c r="B5652"/>
      <c r="C5652"/>
      <c r="J5652"/>
      <c r="K5652"/>
      <c r="L5652"/>
    </row>
    <row r="5653" spans="2:12" x14ac:dyDescent="0.2">
      <c r="B5653"/>
      <c r="C5653"/>
      <c r="J5653"/>
      <c r="K5653"/>
      <c r="L5653"/>
    </row>
    <row r="5654" spans="2:12" x14ac:dyDescent="0.2">
      <c r="B5654"/>
      <c r="C5654"/>
      <c r="J5654"/>
      <c r="K5654"/>
      <c r="L5654"/>
    </row>
    <row r="5655" spans="2:12" x14ac:dyDescent="0.2">
      <c r="B5655"/>
      <c r="C5655"/>
      <c r="J5655"/>
      <c r="K5655"/>
      <c r="L5655"/>
    </row>
    <row r="5656" spans="2:12" x14ac:dyDescent="0.2">
      <c r="B5656"/>
      <c r="C5656"/>
      <c r="J5656"/>
      <c r="K5656"/>
      <c r="L5656"/>
    </row>
    <row r="5657" spans="2:12" x14ac:dyDescent="0.2">
      <c r="B5657"/>
      <c r="C5657"/>
      <c r="J5657"/>
      <c r="K5657"/>
      <c r="L5657"/>
    </row>
    <row r="5658" spans="2:12" x14ac:dyDescent="0.2">
      <c r="B5658"/>
      <c r="C5658"/>
      <c r="J5658"/>
      <c r="K5658"/>
      <c r="L5658"/>
    </row>
    <row r="5659" spans="2:12" x14ac:dyDescent="0.2">
      <c r="B5659"/>
      <c r="C5659"/>
      <c r="J5659"/>
      <c r="K5659"/>
      <c r="L5659"/>
    </row>
    <row r="5660" spans="2:12" x14ac:dyDescent="0.2">
      <c r="B5660"/>
      <c r="C5660"/>
      <c r="J5660"/>
      <c r="K5660"/>
      <c r="L5660"/>
    </row>
    <row r="5661" spans="2:12" x14ac:dyDescent="0.2">
      <c r="B5661"/>
      <c r="C5661"/>
      <c r="J5661"/>
      <c r="K5661"/>
      <c r="L5661"/>
    </row>
    <row r="5662" spans="2:12" x14ac:dyDescent="0.2">
      <c r="B5662"/>
      <c r="C5662"/>
      <c r="J5662"/>
      <c r="K5662"/>
      <c r="L5662"/>
    </row>
    <row r="5663" spans="2:12" x14ac:dyDescent="0.2">
      <c r="B5663"/>
      <c r="C5663"/>
      <c r="J5663"/>
      <c r="K5663"/>
      <c r="L5663"/>
    </row>
    <row r="5664" spans="2:12" x14ac:dyDescent="0.2">
      <c r="B5664"/>
      <c r="C5664"/>
      <c r="J5664"/>
      <c r="K5664"/>
      <c r="L5664"/>
    </row>
    <row r="5665" spans="2:12" x14ac:dyDescent="0.2">
      <c r="B5665"/>
      <c r="C5665"/>
      <c r="J5665"/>
      <c r="K5665"/>
      <c r="L5665"/>
    </row>
    <row r="5666" spans="2:12" x14ac:dyDescent="0.2">
      <c r="B5666"/>
      <c r="C5666"/>
      <c r="J5666"/>
      <c r="K5666"/>
      <c r="L5666"/>
    </row>
    <row r="5667" spans="2:12" x14ac:dyDescent="0.2">
      <c r="B5667"/>
      <c r="C5667"/>
      <c r="J5667"/>
      <c r="K5667"/>
      <c r="L5667"/>
    </row>
    <row r="5668" spans="2:12" x14ac:dyDescent="0.2">
      <c r="B5668"/>
      <c r="C5668"/>
      <c r="J5668"/>
      <c r="K5668"/>
      <c r="L5668"/>
    </row>
    <row r="5669" spans="2:12" x14ac:dyDescent="0.2">
      <c r="B5669"/>
      <c r="C5669"/>
      <c r="J5669"/>
      <c r="K5669"/>
      <c r="L5669"/>
    </row>
    <row r="5670" spans="2:12" x14ac:dyDescent="0.2">
      <c r="B5670"/>
      <c r="C5670"/>
      <c r="J5670"/>
      <c r="K5670"/>
      <c r="L5670"/>
    </row>
    <row r="5671" spans="2:12" x14ac:dyDescent="0.2">
      <c r="B5671"/>
      <c r="C5671"/>
      <c r="J5671"/>
      <c r="K5671"/>
      <c r="L5671"/>
    </row>
    <row r="5672" spans="2:12" x14ac:dyDescent="0.2">
      <c r="B5672"/>
      <c r="C5672"/>
      <c r="J5672"/>
      <c r="K5672"/>
      <c r="L5672"/>
    </row>
    <row r="5673" spans="2:12" x14ac:dyDescent="0.2">
      <c r="B5673"/>
      <c r="C5673"/>
      <c r="J5673"/>
      <c r="K5673"/>
      <c r="L5673"/>
    </row>
    <row r="5674" spans="2:12" x14ac:dyDescent="0.2">
      <c r="B5674"/>
      <c r="C5674"/>
      <c r="J5674"/>
      <c r="K5674"/>
      <c r="L5674"/>
    </row>
    <row r="5675" spans="2:12" x14ac:dyDescent="0.2">
      <c r="B5675"/>
      <c r="C5675"/>
      <c r="J5675"/>
      <c r="K5675"/>
      <c r="L5675"/>
    </row>
    <row r="5676" spans="2:12" x14ac:dyDescent="0.2">
      <c r="B5676"/>
      <c r="C5676"/>
      <c r="J5676"/>
      <c r="K5676"/>
      <c r="L5676"/>
    </row>
    <row r="5677" spans="2:12" x14ac:dyDescent="0.2">
      <c r="B5677"/>
      <c r="C5677"/>
      <c r="J5677"/>
      <c r="K5677"/>
      <c r="L5677"/>
    </row>
    <row r="5678" spans="2:12" x14ac:dyDescent="0.2">
      <c r="B5678"/>
      <c r="C5678"/>
      <c r="J5678"/>
      <c r="K5678"/>
      <c r="L5678"/>
    </row>
    <row r="5679" spans="2:12" x14ac:dyDescent="0.2">
      <c r="B5679"/>
      <c r="C5679"/>
      <c r="J5679"/>
      <c r="K5679"/>
      <c r="L5679"/>
    </row>
    <row r="5680" spans="2:12" x14ac:dyDescent="0.2">
      <c r="B5680"/>
      <c r="C5680"/>
      <c r="J5680"/>
      <c r="K5680"/>
      <c r="L5680"/>
    </row>
    <row r="5681" spans="2:12" x14ac:dyDescent="0.2">
      <c r="B5681"/>
      <c r="C5681"/>
      <c r="J5681"/>
      <c r="K5681"/>
      <c r="L5681"/>
    </row>
    <row r="5682" spans="2:12" x14ac:dyDescent="0.2">
      <c r="B5682"/>
      <c r="C5682"/>
      <c r="J5682"/>
      <c r="K5682"/>
      <c r="L5682"/>
    </row>
    <row r="5683" spans="2:12" x14ac:dyDescent="0.2">
      <c r="B5683"/>
      <c r="C5683"/>
      <c r="J5683"/>
      <c r="K5683"/>
      <c r="L5683"/>
    </row>
    <row r="5684" spans="2:12" x14ac:dyDescent="0.2">
      <c r="B5684"/>
      <c r="C5684"/>
      <c r="J5684"/>
      <c r="K5684"/>
      <c r="L5684"/>
    </row>
    <row r="5685" spans="2:12" x14ac:dyDescent="0.2">
      <c r="B5685"/>
      <c r="C5685"/>
      <c r="J5685"/>
      <c r="K5685"/>
      <c r="L5685"/>
    </row>
    <row r="5686" spans="2:12" x14ac:dyDescent="0.2">
      <c r="B5686"/>
      <c r="C5686"/>
      <c r="J5686"/>
      <c r="K5686"/>
      <c r="L5686"/>
    </row>
    <row r="5687" spans="2:12" x14ac:dyDescent="0.2">
      <c r="B5687"/>
      <c r="C5687"/>
      <c r="J5687"/>
      <c r="K5687"/>
      <c r="L5687"/>
    </row>
    <row r="5688" spans="2:12" x14ac:dyDescent="0.2">
      <c r="B5688"/>
      <c r="C5688"/>
      <c r="J5688"/>
      <c r="K5688"/>
      <c r="L5688"/>
    </row>
    <row r="5689" spans="2:12" x14ac:dyDescent="0.2">
      <c r="B5689"/>
      <c r="C5689"/>
      <c r="J5689"/>
      <c r="K5689"/>
      <c r="L5689"/>
    </row>
    <row r="5690" spans="2:12" x14ac:dyDescent="0.2">
      <c r="B5690"/>
      <c r="C5690"/>
      <c r="J5690"/>
      <c r="K5690"/>
      <c r="L5690"/>
    </row>
    <row r="5691" spans="2:12" x14ac:dyDescent="0.2">
      <c r="B5691"/>
      <c r="C5691"/>
      <c r="J5691"/>
      <c r="K5691"/>
      <c r="L5691"/>
    </row>
    <row r="5692" spans="2:12" x14ac:dyDescent="0.2">
      <c r="B5692"/>
      <c r="C5692"/>
      <c r="J5692"/>
      <c r="K5692"/>
      <c r="L5692"/>
    </row>
    <row r="5693" spans="2:12" x14ac:dyDescent="0.2">
      <c r="B5693"/>
      <c r="C5693"/>
      <c r="J5693"/>
      <c r="K5693"/>
      <c r="L5693"/>
    </row>
    <row r="5694" spans="2:12" x14ac:dyDescent="0.2">
      <c r="B5694"/>
      <c r="C5694"/>
      <c r="J5694"/>
      <c r="K5694"/>
      <c r="L5694"/>
    </row>
    <row r="5695" spans="2:12" x14ac:dyDescent="0.2">
      <c r="B5695"/>
      <c r="C5695"/>
      <c r="J5695"/>
      <c r="K5695"/>
      <c r="L5695"/>
    </row>
    <row r="5696" spans="2:12" x14ac:dyDescent="0.2">
      <c r="B5696"/>
      <c r="C5696"/>
      <c r="J5696"/>
      <c r="K5696"/>
      <c r="L5696"/>
    </row>
    <row r="5697" spans="2:12" x14ac:dyDescent="0.2">
      <c r="B5697"/>
      <c r="C5697"/>
      <c r="J5697"/>
      <c r="K5697"/>
      <c r="L5697"/>
    </row>
    <row r="5698" spans="2:12" x14ac:dyDescent="0.2">
      <c r="B5698"/>
      <c r="C5698"/>
      <c r="J5698"/>
      <c r="K5698"/>
      <c r="L5698"/>
    </row>
    <row r="5699" spans="2:12" x14ac:dyDescent="0.2">
      <c r="B5699"/>
      <c r="C5699"/>
      <c r="J5699"/>
      <c r="K5699"/>
      <c r="L5699"/>
    </row>
    <row r="5700" spans="2:12" x14ac:dyDescent="0.2">
      <c r="B5700"/>
      <c r="C5700"/>
      <c r="J5700"/>
      <c r="K5700"/>
      <c r="L5700"/>
    </row>
    <row r="5701" spans="2:12" x14ac:dyDescent="0.2">
      <c r="B5701"/>
      <c r="C5701"/>
      <c r="J5701"/>
      <c r="K5701"/>
      <c r="L5701"/>
    </row>
    <row r="5702" spans="2:12" x14ac:dyDescent="0.2">
      <c r="B5702"/>
      <c r="C5702"/>
      <c r="J5702"/>
      <c r="K5702"/>
      <c r="L5702"/>
    </row>
    <row r="5703" spans="2:12" x14ac:dyDescent="0.2">
      <c r="B5703"/>
      <c r="C5703"/>
      <c r="J5703"/>
      <c r="K5703"/>
      <c r="L5703"/>
    </row>
    <row r="5704" spans="2:12" x14ac:dyDescent="0.2">
      <c r="B5704"/>
      <c r="C5704"/>
      <c r="J5704"/>
      <c r="K5704"/>
      <c r="L5704"/>
    </row>
    <row r="5705" spans="2:12" x14ac:dyDescent="0.2">
      <c r="B5705"/>
      <c r="C5705"/>
      <c r="J5705"/>
      <c r="K5705"/>
      <c r="L5705"/>
    </row>
    <row r="5706" spans="2:12" x14ac:dyDescent="0.2">
      <c r="B5706"/>
      <c r="C5706"/>
      <c r="J5706"/>
      <c r="K5706"/>
      <c r="L5706"/>
    </row>
    <row r="5707" spans="2:12" x14ac:dyDescent="0.2">
      <c r="B5707"/>
      <c r="C5707"/>
      <c r="J5707"/>
      <c r="K5707"/>
      <c r="L5707"/>
    </row>
    <row r="5708" spans="2:12" x14ac:dyDescent="0.2">
      <c r="B5708"/>
      <c r="C5708"/>
      <c r="J5708"/>
      <c r="K5708"/>
      <c r="L5708"/>
    </row>
    <row r="5709" spans="2:12" x14ac:dyDescent="0.2">
      <c r="B5709"/>
      <c r="C5709"/>
      <c r="J5709"/>
      <c r="K5709"/>
      <c r="L5709"/>
    </row>
    <row r="5710" spans="2:12" x14ac:dyDescent="0.2">
      <c r="B5710"/>
      <c r="C5710"/>
      <c r="J5710"/>
      <c r="K5710"/>
      <c r="L5710"/>
    </row>
    <row r="5711" spans="2:12" x14ac:dyDescent="0.2">
      <c r="B5711"/>
      <c r="C5711"/>
      <c r="J5711"/>
      <c r="K5711"/>
      <c r="L5711"/>
    </row>
    <row r="5712" spans="2:12" x14ac:dyDescent="0.2">
      <c r="B5712"/>
      <c r="C5712"/>
      <c r="J5712"/>
      <c r="K5712"/>
      <c r="L5712"/>
    </row>
    <row r="5713" spans="2:12" x14ac:dyDescent="0.2">
      <c r="B5713"/>
      <c r="C5713"/>
      <c r="J5713"/>
      <c r="K5713"/>
      <c r="L5713"/>
    </row>
    <row r="5714" spans="2:12" x14ac:dyDescent="0.2">
      <c r="B5714"/>
      <c r="C5714"/>
      <c r="J5714"/>
      <c r="K5714"/>
      <c r="L5714"/>
    </row>
    <row r="5715" spans="2:12" x14ac:dyDescent="0.2">
      <c r="B5715"/>
      <c r="C5715"/>
      <c r="J5715"/>
      <c r="K5715"/>
      <c r="L5715"/>
    </row>
    <row r="5716" spans="2:12" x14ac:dyDescent="0.2">
      <c r="B5716"/>
      <c r="C5716"/>
      <c r="J5716"/>
      <c r="K5716"/>
      <c r="L5716"/>
    </row>
    <row r="5717" spans="2:12" x14ac:dyDescent="0.2">
      <c r="B5717"/>
      <c r="C5717"/>
      <c r="J5717"/>
      <c r="K5717"/>
      <c r="L5717"/>
    </row>
    <row r="5718" spans="2:12" x14ac:dyDescent="0.2">
      <c r="B5718"/>
      <c r="C5718"/>
      <c r="J5718"/>
      <c r="K5718"/>
      <c r="L5718"/>
    </row>
    <row r="5719" spans="2:12" x14ac:dyDescent="0.2">
      <c r="B5719"/>
      <c r="C5719"/>
      <c r="J5719"/>
      <c r="K5719"/>
      <c r="L5719"/>
    </row>
    <row r="5720" spans="2:12" x14ac:dyDescent="0.2">
      <c r="B5720"/>
      <c r="C5720"/>
      <c r="J5720"/>
      <c r="K5720"/>
      <c r="L5720"/>
    </row>
    <row r="5721" spans="2:12" x14ac:dyDescent="0.2">
      <c r="B5721"/>
      <c r="C5721"/>
      <c r="J5721"/>
      <c r="K5721"/>
      <c r="L5721"/>
    </row>
    <row r="5722" spans="2:12" x14ac:dyDescent="0.2">
      <c r="B5722"/>
      <c r="C5722"/>
      <c r="J5722"/>
      <c r="K5722"/>
      <c r="L5722"/>
    </row>
    <row r="5723" spans="2:12" x14ac:dyDescent="0.2">
      <c r="B5723"/>
      <c r="C5723"/>
      <c r="J5723"/>
      <c r="K5723"/>
      <c r="L5723"/>
    </row>
    <row r="5724" spans="2:12" x14ac:dyDescent="0.2">
      <c r="B5724"/>
      <c r="C5724"/>
      <c r="J5724"/>
      <c r="K5724"/>
      <c r="L5724"/>
    </row>
    <row r="5725" spans="2:12" x14ac:dyDescent="0.2">
      <c r="B5725"/>
      <c r="C5725"/>
      <c r="J5725"/>
      <c r="K5725"/>
      <c r="L5725"/>
    </row>
    <row r="5726" spans="2:12" x14ac:dyDescent="0.2">
      <c r="B5726"/>
      <c r="C5726"/>
      <c r="J5726"/>
      <c r="K5726"/>
      <c r="L5726"/>
    </row>
    <row r="5727" spans="2:12" x14ac:dyDescent="0.2">
      <c r="B5727"/>
      <c r="C5727"/>
      <c r="J5727"/>
      <c r="K5727"/>
      <c r="L5727"/>
    </row>
    <row r="5728" spans="2:12" x14ac:dyDescent="0.2">
      <c r="B5728"/>
      <c r="C5728"/>
      <c r="J5728"/>
      <c r="K5728"/>
      <c r="L5728"/>
    </row>
    <row r="5729" spans="2:12" x14ac:dyDescent="0.2">
      <c r="B5729"/>
      <c r="C5729"/>
      <c r="J5729"/>
      <c r="K5729"/>
      <c r="L5729"/>
    </row>
    <row r="5730" spans="2:12" x14ac:dyDescent="0.2">
      <c r="B5730"/>
      <c r="C5730"/>
      <c r="J5730"/>
      <c r="K5730"/>
      <c r="L5730"/>
    </row>
    <row r="5731" spans="2:12" x14ac:dyDescent="0.2">
      <c r="B5731"/>
      <c r="C5731"/>
      <c r="J5731"/>
      <c r="K5731"/>
      <c r="L5731"/>
    </row>
    <row r="5732" spans="2:12" x14ac:dyDescent="0.2">
      <c r="B5732"/>
      <c r="C5732"/>
      <c r="J5732"/>
      <c r="K5732"/>
      <c r="L5732"/>
    </row>
    <row r="5733" spans="2:12" x14ac:dyDescent="0.2">
      <c r="B5733"/>
      <c r="C5733"/>
      <c r="J5733"/>
      <c r="K5733"/>
      <c r="L5733"/>
    </row>
    <row r="5734" spans="2:12" x14ac:dyDescent="0.2">
      <c r="B5734"/>
      <c r="C5734"/>
      <c r="J5734"/>
      <c r="K5734"/>
      <c r="L5734"/>
    </row>
    <row r="5735" spans="2:12" x14ac:dyDescent="0.2">
      <c r="B5735"/>
      <c r="C5735"/>
      <c r="J5735"/>
      <c r="K5735"/>
      <c r="L5735"/>
    </row>
    <row r="5736" spans="2:12" x14ac:dyDescent="0.2">
      <c r="B5736"/>
      <c r="C5736"/>
      <c r="J5736"/>
      <c r="K5736"/>
      <c r="L5736"/>
    </row>
    <row r="5737" spans="2:12" x14ac:dyDescent="0.2">
      <c r="B5737"/>
      <c r="C5737"/>
      <c r="J5737"/>
      <c r="K5737"/>
      <c r="L5737"/>
    </row>
    <row r="5738" spans="2:12" x14ac:dyDescent="0.2">
      <c r="B5738"/>
      <c r="C5738"/>
      <c r="J5738"/>
      <c r="K5738"/>
      <c r="L5738"/>
    </row>
    <row r="5739" spans="2:12" x14ac:dyDescent="0.2">
      <c r="B5739"/>
      <c r="C5739"/>
      <c r="J5739"/>
      <c r="K5739"/>
      <c r="L5739"/>
    </row>
    <row r="5740" spans="2:12" x14ac:dyDescent="0.2">
      <c r="B5740"/>
      <c r="C5740"/>
      <c r="J5740"/>
      <c r="K5740"/>
      <c r="L5740"/>
    </row>
    <row r="5741" spans="2:12" x14ac:dyDescent="0.2">
      <c r="B5741"/>
      <c r="C5741"/>
      <c r="J5741"/>
      <c r="K5741"/>
      <c r="L5741"/>
    </row>
    <row r="5742" spans="2:12" x14ac:dyDescent="0.2">
      <c r="B5742"/>
      <c r="C5742"/>
      <c r="J5742"/>
      <c r="K5742"/>
      <c r="L5742"/>
    </row>
    <row r="5743" spans="2:12" x14ac:dyDescent="0.2">
      <c r="B5743"/>
      <c r="C5743"/>
      <c r="J5743"/>
      <c r="K5743"/>
      <c r="L5743"/>
    </row>
    <row r="5744" spans="2:12" x14ac:dyDescent="0.2">
      <c r="B5744"/>
      <c r="C5744"/>
      <c r="J5744"/>
      <c r="K5744"/>
      <c r="L5744"/>
    </row>
    <row r="5745" spans="2:12" x14ac:dyDescent="0.2">
      <c r="B5745"/>
      <c r="C5745"/>
      <c r="J5745"/>
      <c r="K5745"/>
      <c r="L5745"/>
    </row>
    <row r="5746" spans="2:12" x14ac:dyDescent="0.2">
      <c r="B5746"/>
      <c r="C5746"/>
      <c r="J5746"/>
      <c r="K5746"/>
      <c r="L5746"/>
    </row>
    <row r="5747" spans="2:12" x14ac:dyDescent="0.2">
      <c r="B5747"/>
      <c r="C5747"/>
      <c r="J5747"/>
      <c r="K5747"/>
      <c r="L5747"/>
    </row>
    <row r="5748" spans="2:12" x14ac:dyDescent="0.2">
      <c r="B5748"/>
      <c r="C5748"/>
      <c r="J5748"/>
      <c r="K5748"/>
      <c r="L5748"/>
    </row>
    <row r="5749" spans="2:12" x14ac:dyDescent="0.2">
      <c r="B5749"/>
      <c r="C5749"/>
      <c r="J5749"/>
      <c r="K5749"/>
      <c r="L5749"/>
    </row>
    <row r="5750" spans="2:12" x14ac:dyDescent="0.2">
      <c r="B5750"/>
      <c r="C5750"/>
      <c r="J5750"/>
      <c r="K5750"/>
      <c r="L5750"/>
    </row>
    <row r="5751" spans="2:12" x14ac:dyDescent="0.2">
      <c r="B5751"/>
      <c r="C5751"/>
      <c r="J5751"/>
      <c r="K5751"/>
      <c r="L5751"/>
    </row>
    <row r="5752" spans="2:12" x14ac:dyDescent="0.2">
      <c r="B5752"/>
      <c r="C5752"/>
      <c r="J5752"/>
      <c r="K5752"/>
      <c r="L5752"/>
    </row>
    <row r="5753" spans="2:12" x14ac:dyDescent="0.2">
      <c r="B5753"/>
      <c r="C5753"/>
      <c r="J5753"/>
      <c r="K5753"/>
      <c r="L5753"/>
    </row>
    <row r="5754" spans="2:12" x14ac:dyDescent="0.2">
      <c r="B5754"/>
      <c r="C5754"/>
      <c r="J5754"/>
      <c r="K5754"/>
      <c r="L5754"/>
    </row>
    <row r="5755" spans="2:12" x14ac:dyDescent="0.2">
      <c r="B5755"/>
      <c r="C5755"/>
      <c r="J5755"/>
      <c r="K5755"/>
      <c r="L5755"/>
    </row>
    <row r="5756" spans="2:12" x14ac:dyDescent="0.2">
      <c r="B5756"/>
      <c r="C5756"/>
      <c r="J5756"/>
      <c r="K5756"/>
      <c r="L5756"/>
    </row>
    <row r="5757" spans="2:12" x14ac:dyDescent="0.2">
      <c r="B5757"/>
      <c r="C5757"/>
      <c r="J5757"/>
      <c r="K5757"/>
      <c r="L5757"/>
    </row>
    <row r="5758" spans="2:12" x14ac:dyDescent="0.2">
      <c r="B5758"/>
      <c r="C5758"/>
      <c r="J5758"/>
      <c r="K5758"/>
      <c r="L5758"/>
    </row>
    <row r="5759" spans="2:12" x14ac:dyDescent="0.2">
      <c r="B5759"/>
      <c r="C5759"/>
      <c r="J5759"/>
      <c r="K5759"/>
      <c r="L5759"/>
    </row>
    <row r="5760" spans="2:12" x14ac:dyDescent="0.2">
      <c r="B5760"/>
      <c r="C5760"/>
      <c r="J5760"/>
      <c r="K5760"/>
      <c r="L5760"/>
    </row>
    <row r="5761" spans="2:12" x14ac:dyDescent="0.2">
      <c r="B5761"/>
      <c r="C5761"/>
      <c r="J5761"/>
      <c r="K5761"/>
      <c r="L5761"/>
    </row>
    <row r="5762" spans="2:12" x14ac:dyDescent="0.2">
      <c r="B5762"/>
      <c r="C5762"/>
      <c r="J5762"/>
      <c r="K5762"/>
      <c r="L5762"/>
    </row>
    <row r="5763" spans="2:12" x14ac:dyDescent="0.2">
      <c r="B5763"/>
      <c r="C5763"/>
      <c r="J5763"/>
      <c r="K5763"/>
      <c r="L5763"/>
    </row>
    <row r="5764" spans="2:12" x14ac:dyDescent="0.2">
      <c r="B5764"/>
      <c r="C5764"/>
      <c r="J5764"/>
      <c r="K5764"/>
      <c r="L5764"/>
    </row>
    <row r="5765" spans="2:12" x14ac:dyDescent="0.2">
      <c r="B5765"/>
      <c r="C5765"/>
      <c r="J5765"/>
      <c r="K5765"/>
      <c r="L5765"/>
    </row>
    <row r="5766" spans="2:12" x14ac:dyDescent="0.2">
      <c r="B5766"/>
      <c r="C5766"/>
      <c r="J5766"/>
      <c r="K5766"/>
      <c r="L5766"/>
    </row>
    <row r="5767" spans="2:12" x14ac:dyDescent="0.2">
      <c r="B5767"/>
      <c r="C5767"/>
      <c r="J5767"/>
      <c r="K5767"/>
      <c r="L5767"/>
    </row>
    <row r="5768" spans="2:12" x14ac:dyDescent="0.2">
      <c r="B5768"/>
      <c r="C5768"/>
      <c r="J5768"/>
      <c r="K5768"/>
      <c r="L5768"/>
    </row>
    <row r="5769" spans="2:12" x14ac:dyDescent="0.2">
      <c r="B5769"/>
      <c r="C5769"/>
      <c r="J5769"/>
      <c r="K5769"/>
      <c r="L5769"/>
    </row>
    <row r="5770" spans="2:12" x14ac:dyDescent="0.2">
      <c r="B5770"/>
      <c r="C5770"/>
      <c r="J5770"/>
      <c r="K5770"/>
      <c r="L5770"/>
    </row>
    <row r="5771" spans="2:12" x14ac:dyDescent="0.2">
      <c r="B5771"/>
      <c r="C5771"/>
      <c r="J5771"/>
      <c r="K5771"/>
      <c r="L5771"/>
    </row>
    <row r="5772" spans="2:12" x14ac:dyDescent="0.2">
      <c r="B5772"/>
      <c r="C5772"/>
      <c r="J5772"/>
      <c r="K5772"/>
      <c r="L5772"/>
    </row>
    <row r="5773" spans="2:12" x14ac:dyDescent="0.2">
      <c r="B5773"/>
      <c r="C5773"/>
      <c r="J5773"/>
      <c r="K5773"/>
      <c r="L5773"/>
    </row>
    <row r="5774" spans="2:12" x14ac:dyDescent="0.2">
      <c r="B5774"/>
      <c r="C5774"/>
      <c r="J5774"/>
      <c r="K5774"/>
      <c r="L5774"/>
    </row>
    <row r="5775" spans="2:12" x14ac:dyDescent="0.2">
      <c r="B5775"/>
      <c r="C5775"/>
      <c r="J5775"/>
      <c r="K5775"/>
      <c r="L5775"/>
    </row>
    <row r="5776" spans="2:12" x14ac:dyDescent="0.2">
      <c r="B5776"/>
      <c r="C5776"/>
      <c r="J5776"/>
      <c r="K5776"/>
      <c r="L5776"/>
    </row>
    <row r="5777" spans="2:12" x14ac:dyDescent="0.2">
      <c r="B5777"/>
      <c r="C5777"/>
      <c r="J5777"/>
      <c r="K5777"/>
      <c r="L5777"/>
    </row>
    <row r="5778" spans="2:12" x14ac:dyDescent="0.2">
      <c r="B5778"/>
      <c r="C5778"/>
      <c r="J5778"/>
      <c r="K5778"/>
      <c r="L5778"/>
    </row>
    <row r="5779" spans="2:12" x14ac:dyDescent="0.2">
      <c r="B5779"/>
      <c r="C5779"/>
      <c r="J5779"/>
      <c r="K5779"/>
      <c r="L5779"/>
    </row>
    <row r="5780" spans="2:12" x14ac:dyDescent="0.2">
      <c r="B5780"/>
      <c r="C5780"/>
      <c r="J5780"/>
      <c r="K5780"/>
      <c r="L5780"/>
    </row>
    <row r="5781" spans="2:12" x14ac:dyDescent="0.2">
      <c r="B5781"/>
      <c r="C5781"/>
      <c r="J5781"/>
      <c r="K5781"/>
      <c r="L5781"/>
    </row>
    <row r="5782" spans="2:12" x14ac:dyDescent="0.2">
      <c r="B5782"/>
      <c r="C5782"/>
      <c r="J5782"/>
      <c r="K5782"/>
      <c r="L5782"/>
    </row>
    <row r="5783" spans="2:12" x14ac:dyDescent="0.2">
      <c r="B5783"/>
      <c r="C5783"/>
      <c r="J5783"/>
      <c r="K5783"/>
      <c r="L5783"/>
    </row>
    <row r="5784" spans="2:12" x14ac:dyDescent="0.2">
      <c r="B5784"/>
      <c r="C5784"/>
      <c r="J5784"/>
      <c r="K5784"/>
      <c r="L5784"/>
    </row>
    <row r="5785" spans="2:12" x14ac:dyDescent="0.2">
      <c r="B5785"/>
      <c r="C5785"/>
      <c r="J5785"/>
      <c r="K5785"/>
      <c r="L5785"/>
    </row>
    <row r="5786" spans="2:12" x14ac:dyDescent="0.2">
      <c r="B5786"/>
      <c r="C5786"/>
      <c r="J5786"/>
      <c r="K5786"/>
      <c r="L5786"/>
    </row>
    <row r="5787" spans="2:12" x14ac:dyDescent="0.2">
      <c r="B5787"/>
      <c r="C5787"/>
      <c r="J5787"/>
      <c r="K5787"/>
      <c r="L5787"/>
    </row>
    <row r="5788" spans="2:12" x14ac:dyDescent="0.2">
      <c r="B5788"/>
      <c r="C5788"/>
      <c r="J5788"/>
      <c r="K5788"/>
      <c r="L5788"/>
    </row>
    <row r="5789" spans="2:12" x14ac:dyDescent="0.2">
      <c r="B5789"/>
      <c r="C5789"/>
      <c r="J5789"/>
      <c r="K5789"/>
      <c r="L5789"/>
    </row>
    <row r="5790" spans="2:12" x14ac:dyDescent="0.2">
      <c r="B5790"/>
      <c r="C5790"/>
      <c r="J5790"/>
      <c r="K5790"/>
      <c r="L5790"/>
    </row>
    <row r="5791" spans="2:12" x14ac:dyDescent="0.2">
      <c r="B5791"/>
      <c r="C5791"/>
      <c r="J5791"/>
      <c r="K5791"/>
      <c r="L5791"/>
    </row>
    <row r="5792" spans="2:12" x14ac:dyDescent="0.2">
      <c r="B5792"/>
      <c r="C5792"/>
      <c r="J5792"/>
      <c r="K5792"/>
      <c r="L5792"/>
    </row>
    <row r="5793" spans="2:12" x14ac:dyDescent="0.2">
      <c r="B5793"/>
      <c r="C5793"/>
      <c r="J5793"/>
      <c r="K5793"/>
      <c r="L5793"/>
    </row>
    <row r="5794" spans="2:12" x14ac:dyDescent="0.2">
      <c r="B5794"/>
      <c r="C5794"/>
      <c r="J5794"/>
      <c r="K5794"/>
      <c r="L5794"/>
    </row>
    <row r="5795" spans="2:12" x14ac:dyDescent="0.2">
      <c r="B5795"/>
      <c r="C5795"/>
      <c r="J5795"/>
      <c r="K5795"/>
      <c r="L5795"/>
    </row>
    <row r="5796" spans="2:12" x14ac:dyDescent="0.2">
      <c r="B5796"/>
      <c r="C5796"/>
      <c r="J5796"/>
      <c r="K5796"/>
      <c r="L5796"/>
    </row>
    <row r="5797" spans="2:12" x14ac:dyDescent="0.2">
      <c r="B5797"/>
      <c r="C5797"/>
      <c r="J5797"/>
      <c r="K5797"/>
      <c r="L5797"/>
    </row>
    <row r="5798" spans="2:12" x14ac:dyDescent="0.2">
      <c r="B5798"/>
      <c r="C5798"/>
      <c r="J5798"/>
      <c r="K5798"/>
      <c r="L5798"/>
    </row>
    <row r="5799" spans="2:12" x14ac:dyDescent="0.2">
      <c r="B5799"/>
      <c r="C5799"/>
      <c r="J5799"/>
      <c r="K5799"/>
      <c r="L5799"/>
    </row>
    <row r="5800" spans="2:12" x14ac:dyDescent="0.2">
      <c r="B5800"/>
      <c r="C5800"/>
      <c r="J5800"/>
      <c r="K5800"/>
      <c r="L5800"/>
    </row>
    <row r="5801" spans="2:12" x14ac:dyDescent="0.2">
      <c r="B5801"/>
      <c r="C5801"/>
      <c r="J5801"/>
      <c r="K5801"/>
      <c r="L5801"/>
    </row>
    <row r="5802" spans="2:12" x14ac:dyDescent="0.2">
      <c r="B5802"/>
      <c r="C5802"/>
      <c r="J5802"/>
      <c r="K5802"/>
      <c r="L5802"/>
    </row>
    <row r="5803" spans="2:12" x14ac:dyDescent="0.2">
      <c r="B5803"/>
      <c r="C5803"/>
      <c r="J5803"/>
      <c r="K5803"/>
      <c r="L5803"/>
    </row>
    <row r="5804" spans="2:12" x14ac:dyDescent="0.2">
      <c r="B5804"/>
      <c r="C5804"/>
      <c r="J5804"/>
      <c r="K5804"/>
      <c r="L5804"/>
    </row>
    <row r="5805" spans="2:12" x14ac:dyDescent="0.2">
      <c r="B5805"/>
      <c r="C5805"/>
      <c r="J5805"/>
      <c r="K5805"/>
      <c r="L5805"/>
    </row>
    <row r="5806" spans="2:12" x14ac:dyDescent="0.2">
      <c r="B5806"/>
      <c r="C5806"/>
      <c r="J5806"/>
      <c r="K5806"/>
      <c r="L5806"/>
    </row>
    <row r="5807" spans="2:12" x14ac:dyDescent="0.2">
      <c r="B5807"/>
      <c r="C5807"/>
      <c r="J5807"/>
      <c r="K5807"/>
      <c r="L5807"/>
    </row>
    <row r="5808" spans="2:12" x14ac:dyDescent="0.2">
      <c r="B5808"/>
      <c r="C5808"/>
      <c r="J5808"/>
      <c r="K5808"/>
      <c r="L5808"/>
    </row>
    <row r="5809" spans="2:12" x14ac:dyDescent="0.2">
      <c r="B5809"/>
      <c r="C5809"/>
      <c r="J5809"/>
      <c r="K5809"/>
      <c r="L5809"/>
    </row>
    <row r="5810" spans="2:12" x14ac:dyDescent="0.2">
      <c r="B5810"/>
      <c r="C5810"/>
      <c r="J5810"/>
      <c r="K5810"/>
      <c r="L5810"/>
    </row>
    <row r="5811" spans="2:12" x14ac:dyDescent="0.2">
      <c r="B5811"/>
      <c r="C5811"/>
      <c r="J5811"/>
      <c r="K5811"/>
      <c r="L5811"/>
    </row>
    <row r="5812" spans="2:12" x14ac:dyDescent="0.2">
      <c r="B5812"/>
      <c r="C5812"/>
      <c r="J5812"/>
      <c r="K5812"/>
      <c r="L5812"/>
    </row>
    <row r="5813" spans="2:12" x14ac:dyDescent="0.2">
      <c r="B5813"/>
      <c r="C5813"/>
      <c r="J5813"/>
      <c r="K5813"/>
      <c r="L5813"/>
    </row>
    <row r="5814" spans="2:12" x14ac:dyDescent="0.2">
      <c r="B5814"/>
      <c r="C5814"/>
      <c r="J5814"/>
      <c r="K5814"/>
      <c r="L5814"/>
    </row>
    <row r="5815" spans="2:12" x14ac:dyDescent="0.2">
      <c r="B5815"/>
      <c r="C5815"/>
      <c r="J5815"/>
      <c r="K5815"/>
      <c r="L5815"/>
    </row>
    <row r="5816" spans="2:12" x14ac:dyDescent="0.2">
      <c r="B5816"/>
      <c r="C5816"/>
      <c r="J5816"/>
      <c r="K5816"/>
      <c r="L5816"/>
    </row>
    <row r="5817" spans="2:12" x14ac:dyDescent="0.2">
      <c r="B5817"/>
      <c r="C5817"/>
      <c r="J5817"/>
      <c r="K5817"/>
      <c r="L5817"/>
    </row>
    <row r="5818" spans="2:12" x14ac:dyDescent="0.2">
      <c r="B5818"/>
      <c r="C5818"/>
      <c r="J5818"/>
      <c r="K5818"/>
      <c r="L5818"/>
    </row>
    <row r="5819" spans="2:12" x14ac:dyDescent="0.2">
      <c r="B5819"/>
      <c r="C5819"/>
      <c r="J5819"/>
      <c r="K5819"/>
      <c r="L5819"/>
    </row>
    <row r="5820" spans="2:12" x14ac:dyDescent="0.2">
      <c r="B5820"/>
      <c r="C5820"/>
      <c r="J5820"/>
      <c r="K5820"/>
      <c r="L5820"/>
    </row>
    <row r="5821" spans="2:12" x14ac:dyDescent="0.2">
      <c r="B5821"/>
      <c r="C5821"/>
      <c r="J5821"/>
      <c r="K5821"/>
      <c r="L5821"/>
    </row>
    <row r="5822" spans="2:12" x14ac:dyDescent="0.2">
      <c r="B5822"/>
      <c r="C5822"/>
      <c r="J5822"/>
      <c r="K5822"/>
      <c r="L5822"/>
    </row>
    <row r="5823" spans="2:12" x14ac:dyDescent="0.2">
      <c r="B5823"/>
      <c r="C5823"/>
      <c r="J5823"/>
      <c r="K5823"/>
      <c r="L5823"/>
    </row>
    <row r="5824" spans="2:12" x14ac:dyDescent="0.2">
      <c r="B5824"/>
      <c r="C5824"/>
      <c r="J5824"/>
      <c r="K5824"/>
      <c r="L5824"/>
    </row>
    <row r="5825" spans="2:12" x14ac:dyDescent="0.2">
      <c r="B5825"/>
      <c r="C5825"/>
      <c r="J5825"/>
      <c r="K5825"/>
      <c r="L5825"/>
    </row>
    <row r="5826" spans="2:12" x14ac:dyDescent="0.2">
      <c r="B5826"/>
      <c r="C5826"/>
      <c r="J5826"/>
      <c r="K5826"/>
      <c r="L5826"/>
    </row>
    <row r="5827" spans="2:12" x14ac:dyDescent="0.2">
      <c r="B5827"/>
      <c r="C5827"/>
      <c r="J5827"/>
      <c r="K5827"/>
      <c r="L5827"/>
    </row>
    <row r="5828" spans="2:12" x14ac:dyDescent="0.2">
      <c r="B5828"/>
      <c r="C5828"/>
      <c r="J5828"/>
      <c r="K5828"/>
      <c r="L5828"/>
    </row>
    <row r="5829" spans="2:12" x14ac:dyDescent="0.2">
      <c r="B5829"/>
      <c r="C5829"/>
      <c r="J5829"/>
      <c r="K5829"/>
      <c r="L5829"/>
    </row>
    <row r="5830" spans="2:12" x14ac:dyDescent="0.2">
      <c r="B5830"/>
      <c r="C5830"/>
      <c r="J5830"/>
      <c r="K5830"/>
      <c r="L5830"/>
    </row>
    <row r="5831" spans="2:12" x14ac:dyDescent="0.2">
      <c r="B5831"/>
      <c r="C5831"/>
      <c r="J5831"/>
      <c r="K5831"/>
      <c r="L5831"/>
    </row>
    <row r="5832" spans="2:12" x14ac:dyDescent="0.2">
      <c r="B5832"/>
      <c r="C5832"/>
      <c r="J5832"/>
      <c r="K5832"/>
      <c r="L5832"/>
    </row>
    <row r="5833" spans="2:12" x14ac:dyDescent="0.2">
      <c r="B5833"/>
      <c r="C5833"/>
      <c r="J5833"/>
      <c r="K5833"/>
      <c r="L5833"/>
    </row>
    <row r="5834" spans="2:12" x14ac:dyDescent="0.2">
      <c r="B5834"/>
      <c r="C5834"/>
      <c r="J5834"/>
      <c r="K5834"/>
      <c r="L5834"/>
    </row>
    <row r="5835" spans="2:12" x14ac:dyDescent="0.2">
      <c r="B5835"/>
      <c r="C5835"/>
      <c r="J5835"/>
      <c r="K5835"/>
      <c r="L5835"/>
    </row>
    <row r="5836" spans="2:12" x14ac:dyDescent="0.2">
      <c r="B5836"/>
      <c r="C5836"/>
      <c r="J5836"/>
      <c r="K5836"/>
      <c r="L5836"/>
    </row>
    <row r="5837" spans="2:12" x14ac:dyDescent="0.2">
      <c r="B5837"/>
      <c r="C5837"/>
      <c r="J5837"/>
      <c r="K5837"/>
      <c r="L5837"/>
    </row>
    <row r="5838" spans="2:12" x14ac:dyDescent="0.2">
      <c r="B5838"/>
      <c r="C5838"/>
      <c r="J5838"/>
      <c r="K5838"/>
      <c r="L5838"/>
    </row>
    <row r="5839" spans="2:12" x14ac:dyDescent="0.2">
      <c r="B5839"/>
      <c r="C5839"/>
      <c r="J5839"/>
      <c r="K5839"/>
      <c r="L5839"/>
    </row>
    <row r="5840" spans="2:12" x14ac:dyDescent="0.2">
      <c r="B5840"/>
      <c r="C5840"/>
      <c r="J5840"/>
      <c r="K5840"/>
      <c r="L5840"/>
    </row>
    <row r="5841" spans="2:12" x14ac:dyDescent="0.2">
      <c r="B5841"/>
      <c r="C5841"/>
      <c r="J5841"/>
      <c r="K5841"/>
      <c r="L5841"/>
    </row>
    <row r="5842" spans="2:12" x14ac:dyDescent="0.2">
      <c r="B5842"/>
      <c r="C5842"/>
      <c r="J5842"/>
      <c r="K5842"/>
      <c r="L5842"/>
    </row>
    <row r="5843" spans="2:12" x14ac:dyDescent="0.2">
      <c r="B5843"/>
      <c r="C5843"/>
      <c r="J5843"/>
      <c r="K5843"/>
      <c r="L5843"/>
    </row>
    <row r="5844" spans="2:12" x14ac:dyDescent="0.2">
      <c r="B5844"/>
      <c r="C5844"/>
      <c r="J5844"/>
      <c r="K5844"/>
      <c r="L5844"/>
    </row>
    <row r="5845" spans="2:12" x14ac:dyDescent="0.2">
      <c r="B5845"/>
      <c r="C5845"/>
      <c r="J5845"/>
      <c r="K5845"/>
      <c r="L5845"/>
    </row>
    <row r="5846" spans="2:12" x14ac:dyDescent="0.2">
      <c r="B5846"/>
      <c r="C5846"/>
      <c r="J5846"/>
      <c r="K5846"/>
      <c r="L5846"/>
    </row>
    <row r="5847" spans="2:12" x14ac:dyDescent="0.2">
      <c r="B5847"/>
      <c r="C5847"/>
      <c r="J5847"/>
      <c r="K5847"/>
      <c r="L5847"/>
    </row>
    <row r="5848" spans="2:12" x14ac:dyDescent="0.2">
      <c r="B5848"/>
      <c r="C5848"/>
      <c r="J5848"/>
      <c r="K5848"/>
      <c r="L5848"/>
    </row>
    <row r="5849" spans="2:12" x14ac:dyDescent="0.2">
      <c r="B5849"/>
      <c r="C5849"/>
      <c r="J5849"/>
      <c r="K5849"/>
      <c r="L5849"/>
    </row>
    <row r="5850" spans="2:12" x14ac:dyDescent="0.2">
      <c r="B5850"/>
      <c r="C5850"/>
      <c r="J5850"/>
      <c r="K5850"/>
      <c r="L5850"/>
    </row>
    <row r="5851" spans="2:12" x14ac:dyDescent="0.2">
      <c r="B5851"/>
      <c r="C5851"/>
      <c r="J5851"/>
      <c r="K5851"/>
      <c r="L5851"/>
    </row>
    <row r="5852" spans="2:12" x14ac:dyDescent="0.2">
      <c r="B5852"/>
      <c r="C5852"/>
      <c r="J5852"/>
      <c r="K5852"/>
      <c r="L5852"/>
    </row>
    <row r="5853" spans="2:12" x14ac:dyDescent="0.2">
      <c r="B5853"/>
      <c r="C5853"/>
      <c r="J5853"/>
      <c r="K5853"/>
      <c r="L5853"/>
    </row>
    <row r="5854" spans="2:12" x14ac:dyDescent="0.2">
      <c r="B5854"/>
      <c r="C5854"/>
      <c r="J5854"/>
      <c r="K5854"/>
      <c r="L5854"/>
    </row>
    <row r="5855" spans="2:12" x14ac:dyDescent="0.2">
      <c r="B5855"/>
      <c r="C5855"/>
      <c r="J5855"/>
      <c r="K5855"/>
      <c r="L5855"/>
    </row>
    <row r="5856" spans="2:12" x14ac:dyDescent="0.2">
      <c r="B5856"/>
      <c r="C5856"/>
      <c r="J5856"/>
      <c r="K5856"/>
      <c r="L5856"/>
    </row>
    <row r="5857" spans="2:12" x14ac:dyDescent="0.2">
      <c r="B5857"/>
      <c r="C5857"/>
      <c r="J5857"/>
      <c r="K5857"/>
      <c r="L5857"/>
    </row>
    <row r="5858" spans="2:12" x14ac:dyDescent="0.2">
      <c r="B5858"/>
      <c r="C5858"/>
      <c r="J5858"/>
      <c r="K5858"/>
      <c r="L5858"/>
    </row>
    <row r="5859" spans="2:12" x14ac:dyDescent="0.2">
      <c r="B5859"/>
      <c r="C5859"/>
      <c r="J5859"/>
      <c r="K5859"/>
      <c r="L5859"/>
    </row>
    <row r="5860" spans="2:12" x14ac:dyDescent="0.2">
      <c r="B5860"/>
      <c r="C5860"/>
      <c r="J5860"/>
      <c r="K5860"/>
      <c r="L5860"/>
    </row>
    <row r="5861" spans="2:12" x14ac:dyDescent="0.2">
      <c r="B5861"/>
      <c r="C5861"/>
      <c r="J5861"/>
      <c r="K5861"/>
      <c r="L5861"/>
    </row>
    <row r="5862" spans="2:12" x14ac:dyDescent="0.2">
      <c r="B5862"/>
      <c r="C5862"/>
      <c r="J5862"/>
      <c r="K5862"/>
      <c r="L5862"/>
    </row>
    <row r="5863" spans="2:12" x14ac:dyDescent="0.2">
      <c r="B5863"/>
      <c r="C5863"/>
      <c r="J5863"/>
      <c r="K5863"/>
      <c r="L5863"/>
    </row>
    <row r="5864" spans="2:12" x14ac:dyDescent="0.2">
      <c r="B5864"/>
      <c r="C5864"/>
      <c r="J5864"/>
      <c r="K5864"/>
      <c r="L5864"/>
    </row>
    <row r="5865" spans="2:12" x14ac:dyDescent="0.2">
      <c r="B5865"/>
      <c r="C5865"/>
      <c r="J5865"/>
      <c r="K5865"/>
      <c r="L5865"/>
    </row>
    <row r="5866" spans="2:12" x14ac:dyDescent="0.2">
      <c r="B5866"/>
      <c r="C5866"/>
      <c r="J5866"/>
      <c r="K5866"/>
      <c r="L5866"/>
    </row>
    <row r="5867" spans="2:12" x14ac:dyDescent="0.2">
      <c r="B5867"/>
      <c r="C5867"/>
      <c r="J5867"/>
      <c r="K5867"/>
      <c r="L5867"/>
    </row>
    <row r="5868" spans="2:12" x14ac:dyDescent="0.2">
      <c r="B5868"/>
      <c r="C5868"/>
      <c r="J5868"/>
      <c r="K5868"/>
      <c r="L5868"/>
    </row>
    <row r="5869" spans="2:12" x14ac:dyDescent="0.2">
      <c r="B5869"/>
      <c r="C5869"/>
      <c r="J5869"/>
      <c r="K5869"/>
      <c r="L5869"/>
    </row>
    <row r="5870" spans="2:12" x14ac:dyDescent="0.2">
      <c r="B5870"/>
      <c r="C5870"/>
      <c r="J5870"/>
      <c r="K5870"/>
      <c r="L5870"/>
    </row>
    <row r="5871" spans="2:12" x14ac:dyDescent="0.2">
      <c r="B5871"/>
      <c r="C5871"/>
      <c r="J5871"/>
      <c r="K5871"/>
      <c r="L5871"/>
    </row>
    <row r="5872" spans="2:12" x14ac:dyDescent="0.2">
      <c r="B5872"/>
      <c r="C5872"/>
      <c r="J5872"/>
      <c r="K5872"/>
      <c r="L5872"/>
    </row>
    <row r="5873" spans="2:12" x14ac:dyDescent="0.2">
      <c r="B5873"/>
      <c r="C5873"/>
      <c r="J5873"/>
      <c r="K5873"/>
      <c r="L5873"/>
    </row>
    <row r="5874" spans="2:12" x14ac:dyDescent="0.2">
      <c r="B5874"/>
      <c r="C5874"/>
      <c r="J5874"/>
      <c r="K5874"/>
      <c r="L5874"/>
    </row>
    <row r="5875" spans="2:12" x14ac:dyDescent="0.2">
      <c r="B5875"/>
      <c r="C5875"/>
      <c r="J5875"/>
      <c r="K5875"/>
      <c r="L5875"/>
    </row>
    <row r="5876" spans="2:12" x14ac:dyDescent="0.2">
      <c r="B5876"/>
      <c r="C5876"/>
      <c r="J5876"/>
      <c r="K5876"/>
      <c r="L5876"/>
    </row>
    <row r="5877" spans="2:12" x14ac:dyDescent="0.2">
      <c r="B5877"/>
      <c r="C5877"/>
      <c r="J5877"/>
      <c r="K5877"/>
      <c r="L5877"/>
    </row>
    <row r="5878" spans="2:12" x14ac:dyDescent="0.2">
      <c r="B5878"/>
      <c r="C5878"/>
      <c r="J5878"/>
      <c r="K5878"/>
      <c r="L5878"/>
    </row>
    <row r="5879" spans="2:12" x14ac:dyDescent="0.2">
      <c r="B5879"/>
      <c r="C5879"/>
      <c r="J5879"/>
      <c r="K5879"/>
      <c r="L5879"/>
    </row>
    <row r="5880" spans="2:12" x14ac:dyDescent="0.2">
      <c r="B5880"/>
      <c r="C5880"/>
      <c r="J5880"/>
      <c r="K5880"/>
      <c r="L5880"/>
    </row>
    <row r="5881" spans="2:12" x14ac:dyDescent="0.2">
      <c r="B5881"/>
      <c r="C5881"/>
      <c r="J5881"/>
      <c r="K5881"/>
      <c r="L5881"/>
    </row>
    <row r="5882" spans="2:12" x14ac:dyDescent="0.2">
      <c r="B5882"/>
      <c r="C5882"/>
      <c r="J5882"/>
      <c r="K5882"/>
      <c r="L5882"/>
    </row>
    <row r="5883" spans="2:12" x14ac:dyDescent="0.2">
      <c r="B5883"/>
      <c r="C5883"/>
      <c r="J5883"/>
      <c r="K5883"/>
      <c r="L5883"/>
    </row>
    <row r="5884" spans="2:12" x14ac:dyDescent="0.2">
      <c r="B5884"/>
      <c r="C5884"/>
      <c r="J5884"/>
      <c r="K5884"/>
      <c r="L5884"/>
    </row>
    <row r="5885" spans="2:12" x14ac:dyDescent="0.2">
      <c r="B5885"/>
      <c r="C5885"/>
      <c r="J5885"/>
      <c r="K5885"/>
      <c r="L5885"/>
    </row>
    <row r="5886" spans="2:12" x14ac:dyDescent="0.2">
      <c r="B5886"/>
      <c r="C5886"/>
      <c r="J5886"/>
      <c r="K5886"/>
      <c r="L5886"/>
    </row>
    <row r="5887" spans="2:12" x14ac:dyDescent="0.2">
      <c r="B5887"/>
      <c r="C5887"/>
      <c r="J5887"/>
      <c r="K5887"/>
      <c r="L5887"/>
    </row>
    <row r="5888" spans="2:12" x14ac:dyDescent="0.2">
      <c r="B5888"/>
      <c r="C5888"/>
      <c r="J5888"/>
      <c r="K5888"/>
      <c r="L5888"/>
    </row>
    <row r="5889" spans="2:12" x14ac:dyDescent="0.2">
      <c r="B5889"/>
      <c r="C5889"/>
      <c r="J5889"/>
      <c r="K5889"/>
      <c r="L5889"/>
    </row>
    <row r="5890" spans="2:12" x14ac:dyDescent="0.2">
      <c r="B5890"/>
      <c r="C5890"/>
      <c r="J5890"/>
      <c r="K5890"/>
      <c r="L5890"/>
    </row>
    <row r="5891" spans="2:12" x14ac:dyDescent="0.2">
      <c r="B5891"/>
      <c r="C5891"/>
      <c r="J5891"/>
      <c r="K5891"/>
      <c r="L5891"/>
    </row>
    <row r="5892" spans="2:12" x14ac:dyDescent="0.2">
      <c r="B5892"/>
      <c r="C5892"/>
      <c r="J5892"/>
      <c r="K5892"/>
      <c r="L5892"/>
    </row>
    <row r="5893" spans="2:12" x14ac:dyDescent="0.2">
      <c r="B5893"/>
      <c r="C5893"/>
      <c r="J5893"/>
      <c r="K5893"/>
      <c r="L5893"/>
    </row>
    <row r="5894" spans="2:12" x14ac:dyDescent="0.2">
      <c r="B5894"/>
      <c r="C5894"/>
      <c r="J5894"/>
      <c r="K5894"/>
      <c r="L5894"/>
    </row>
    <row r="5895" spans="2:12" x14ac:dyDescent="0.2">
      <c r="B5895"/>
      <c r="C5895"/>
      <c r="J5895"/>
      <c r="K5895"/>
      <c r="L5895"/>
    </row>
    <row r="5896" spans="2:12" x14ac:dyDescent="0.2">
      <c r="B5896"/>
      <c r="C5896"/>
      <c r="J5896"/>
      <c r="K5896"/>
      <c r="L5896"/>
    </row>
    <row r="5897" spans="2:12" x14ac:dyDescent="0.2">
      <c r="B5897"/>
      <c r="C5897"/>
      <c r="J5897"/>
      <c r="K5897"/>
      <c r="L5897"/>
    </row>
    <row r="5898" spans="2:12" x14ac:dyDescent="0.2">
      <c r="B5898"/>
      <c r="C5898"/>
      <c r="J5898"/>
      <c r="K5898"/>
      <c r="L5898"/>
    </row>
    <row r="5899" spans="2:12" x14ac:dyDescent="0.2">
      <c r="B5899"/>
      <c r="C5899"/>
      <c r="J5899"/>
      <c r="K5899"/>
      <c r="L5899"/>
    </row>
    <row r="5900" spans="2:12" x14ac:dyDescent="0.2">
      <c r="B5900"/>
      <c r="C5900"/>
      <c r="J5900"/>
      <c r="K5900"/>
      <c r="L5900"/>
    </row>
    <row r="5901" spans="2:12" x14ac:dyDescent="0.2">
      <c r="B5901"/>
      <c r="C5901"/>
      <c r="J5901"/>
      <c r="K5901"/>
      <c r="L5901"/>
    </row>
    <row r="5902" spans="2:12" x14ac:dyDescent="0.2">
      <c r="B5902"/>
      <c r="C5902"/>
      <c r="J5902"/>
      <c r="K5902"/>
      <c r="L5902"/>
    </row>
    <row r="5903" spans="2:12" x14ac:dyDescent="0.2">
      <c r="B5903"/>
      <c r="C5903"/>
      <c r="J5903"/>
      <c r="K5903"/>
      <c r="L5903"/>
    </row>
    <row r="5904" spans="2:12" x14ac:dyDescent="0.2">
      <c r="B5904"/>
      <c r="C5904"/>
      <c r="J5904"/>
      <c r="K5904"/>
      <c r="L5904"/>
    </row>
    <row r="5905" spans="2:12" x14ac:dyDescent="0.2">
      <c r="B5905"/>
      <c r="C5905"/>
      <c r="J5905"/>
      <c r="K5905"/>
      <c r="L5905"/>
    </row>
    <row r="5906" spans="2:12" x14ac:dyDescent="0.2">
      <c r="B5906"/>
      <c r="C5906"/>
      <c r="J5906"/>
      <c r="K5906"/>
      <c r="L5906"/>
    </row>
    <row r="5907" spans="2:12" x14ac:dyDescent="0.2">
      <c r="B5907"/>
      <c r="C5907"/>
      <c r="J5907"/>
      <c r="K5907"/>
      <c r="L5907"/>
    </row>
    <row r="5908" spans="2:12" x14ac:dyDescent="0.2">
      <c r="B5908"/>
      <c r="C5908"/>
      <c r="J5908"/>
      <c r="K5908"/>
      <c r="L5908"/>
    </row>
    <row r="5909" spans="2:12" x14ac:dyDescent="0.2">
      <c r="B5909"/>
      <c r="C5909"/>
      <c r="J5909"/>
      <c r="K5909"/>
      <c r="L5909"/>
    </row>
    <row r="5910" spans="2:12" x14ac:dyDescent="0.2">
      <c r="B5910"/>
      <c r="C5910"/>
      <c r="J5910"/>
      <c r="K5910"/>
      <c r="L5910"/>
    </row>
    <row r="5911" spans="2:12" x14ac:dyDescent="0.2">
      <c r="B5911"/>
      <c r="C5911"/>
      <c r="J5911"/>
      <c r="K5911"/>
      <c r="L5911"/>
    </row>
    <row r="5912" spans="2:12" x14ac:dyDescent="0.2">
      <c r="B5912"/>
      <c r="C5912"/>
      <c r="J5912"/>
      <c r="K5912"/>
      <c r="L5912"/>
    </row>
    <row r="5913" spans="2:12" x14ac:dyDescent="0.2">
      <c r="B5913"/>
      <c r="C5913"/>
      <c r="J5913"/>
      <c r="K5913"/>
      <c r="L5913"/>
    </row>
    <row r="5914" spans="2:12" x14ac:dyDescent="0.2">
      <c r="B5914"/>
      <c r="C5914"/>
      <c r="J5914"/>
      <c r="K5914"/>
      <c r="L5914"/>
    </row>
    <row r="5915" spans="2:12" x14ac:dyDescent="0.2">
      <c r="B5915"/>
      <c r="C5915"/>
      <c r="J5915"/>
      <c r="K5915"/>
      <c r="L5915"/>
    </row>
    <row r="5916" spans="2:12" x14ac:dyDescent="0.2">
      <c r="B5916"/>
      <c r="C5916"/>
      <c r="J5916"/>
      <c r="K5916"/>
      <c r="L5916"/>
    </row>
    <row r="5917" spans="2:12" x14ac:dyDescent="0.2">
      <c r="B5917"/>
      <c r="C5917"/>
      <c r="J5917"/>
      <c r="K5917"/>
      <c r="L5917"/>
    </row>
    <row r="5918" spans="2:12" x14ac:dyDescent="0.2">
      <c r="B5918"/>
      <c r="C5918"/>
      <c r="J5918"/>
      <c r="K5918"/>
      <c r="L5918"/>
    </row>
    <row r="5919" spans="2:12" x14ac:dyDescent="0.2">
      <c r="B5919"/>
      <c r="C5919"/>
      <c r="J5919"/>
      <c r="K5919"/>
      <c r="L5919"/>
    </row>
    <row r="5920" spans="2:12" x14ac:dyDescent="0.2">
      <c r="B5920"/>
      <c r="C5920"/>
      <c r="J5920"/>
      <c r="K5920"/>
      <c r="L5920"/>
    </row>
    <row r="5921" spans="2:12" x14ac:dyDescent="0.2">
      <c r="B5921"/>
      <c r="C5921"/>
      <c r="J5921"/>
      <c r="K5921"/>
      <c r="L5921"/>
    </row>
    <row r="5922" spans="2:12" x14ac:dyDescent="0.2">
      <c r="B5922"/>
      <c r="C5922"/>
      <c r="J5922"/>
      <c r="K5922"/>
      <c r="L5922"/>
    </row>
    <row r="5923" spans="2:12" x14ac:dyDescent="0.2">
      <c r="B5923"/>
      <c r="C5923"/>
      <c r="J5923"/>
      <c r="K5923"/>
      <c r="L5923"/>
    </row>
    <row r="5924" spans="2:12" x14ac:dyDescent="0.2">
      <c r="B5924"/>
      <c r="C5924"/>
      <c r="J5924"/>
      <c r="K5924"/>
      <c r="L5924"/>
    </row>
    <row r="5925" spans="2:12" x14ac:dyDescent="0.2">
      <c r="B5925"/>
      <c r="C5925"/>
      <c r="J5925"/>
      <c r="K5925"/>
      <c r="L5925"/>
    </row>
    <row r="5926" spans="2:12" x14ac:dyDescent="0.2">
      <c r="B5926"/>
      <c r="C5926"/>
      <c r="J5926"/>
      <c r="K5926"/>
      <c r="L5926"/>
    </row>
    <row r="5927" spans="2:12" x14ac:dyDescent="0.2">
      <c r="B5927"/>
      <c r="C5927"/>
      <c r="J5927"/>
      <c r="K5927"/>
      <c r="L5927"/>
    </row>
    <row r="5928" spans="2:12" x14ac:dyDescent="0.2">
      <c r="B5928"/>
      <c r="C5928"/>
      <c r="J5928"/>
      <c r="K5928"/>
      <c r="L5928"/>
    </row>
    <row r="5929" spans="2:12" x14ac:dyDescent="0.2">
      <c r="B5929"/>
      <c r="C5929"/>
      <c r="J5929"/>
      <c r="K5929"/>
      <c r="L5929"/>
    </row>
    <row r="5930" spans="2:12" x14ac:dyDescent="0.2">
      <c r="B5930"/>
      <c r="C5930"/>
      <c r="J5930"/>
      <c r="K5930"/>
      <c r="L5930"/>
    </row>
    <row r="5931" spans="2:12" x14ac:dyDescent="0.2">
      <c r="B5931"/>
      <c r="C5931"/>
      <c r="J5931"/>
      <c r="K5931"/>
      <c r="L5931"/>
    </row>
    <row r="5932" spans="2:12" x14ac:dyDescent="0.2">
      <c r="B5932"/>
      <c r="C5932"/>
      <c r="J5932"/>
      <c r="K5932"/>
      <c r="L5932"/>
    </row>
    <row r="5933" spans="2:12" x14ac:dyDescent="0.2">
      <c r="B5933"/>
      <c r="C5933"/>
      <c r="J5933"/>
      <c r="K5933"/>
      <c r="L5933"/>
    </row>
    <row r="5934" spans="2:12" x14ac:dyDescent="0.2">
      <c r="B5934"/>
      <c r="C5934"/>
      <c r="J5934"/>
      <c r="K5934"/>
      <c r="L5934"/>
    </row>
    <row r="5935" spans="2:12" x14ac:dyDescent="0.2">
      <c r="B5935"/>
      <c r="C5935"/>
      <c r="J5935"/>
      <c r="K5935"/>
      <c r="L5935"/>
    </row>
    <row r="5936" spans="2:12" x14ac:dyDescent="0.2">
      <c r="B5936"/>
      <c r="C5936"/>
      <c r="J5936"/>
      <c r="K5936"/>
      <c r="L5936"/>
    </row>
    <row r="5937" spans="2:12" x14ac:dyDescent="0.2">
      <c r="B5937"/>
      <c r="C5937"/>
      <c r="J5937"/>
      <c r="K5937"/>
      <c r="L5937"/>
    </row>
    <row r="5938" spans="2:12" x14ac:dyDescent="0.2">
      <c r="B5938"/>
      <c r="C5938"/>
      <c r="J5938"/>
      <c r="K5938"/>
      <c r="L5938"/>
    </row>
    <row r="5939" spans="2:12" x14ac:dyDescent="0.2">
      <c r="B5939"/>
      <c r="C5939"/>
      <c r="J5939"/>
      <c r="K5939"/>
      <c r="L5939"/>
    </row>
    <row r="5940" spans="2:12" x14ac:dyDescent="0.2">
      <c r="B5940"/>
      <c r="C5940"/>
      <c r="J5940"/>
      <c r="K5940"/>
      <c r="L5940"/>
    </row>
    <row r="5941" spans="2:12" x14ac:dyDescent="0.2">
      <c r="B5941"/>
      <c r="C5941"/>
      <c r="J5941"/>
      <c r="K5941"/>
      <c r="L5941"/>
    </row>
    <row r="5942" spans="2:12" x14ac:dyDescent="0.2">
      <c r="B5942"/>
      <c r="C5942"/>
      <c r="J5942"/>
      <c r="K5942"/>
      <c r="L5942"/>
    </row>
    <row r="5943" spans="2:12" x14ac:dyDescent="0.2">
      <c r="B5943"/>
      <c r="C5943"/>
      <c r="J5943"/>
      <c r="K5943"/>
      <c r="L5943"/>
    </row>
    <row r="5944" spans="2:12" x14ac:dyDescent="0.2">
      <c r="B5944"/>
      <c r="C5944"/>
      <c r="J5944"/>
      <c r="K5944"/>
      <c r="L5944"/>
    </row>
    <row r="5945" spans="2:12" x14ac:dyDescent="0.2">
      <c r="B5945"/>
      <c r="C5945"/>
      <c r="J5945"/>
      <c r="K5945"/>
      <c r="L5945"/>
    </row>
    <row r="5946" spans="2:12" x14ac:dyDescent="0.2">
      <c r="B5946"/>
      <c r="C5946"/>
      <c r="J5946"/>
      <c r="K5946"/>
      <c r="L5946"/>
    </row>
    <row r="5947" spans="2:12" x14ac:dyDescent="0.2">
      <c r="B5947"/>
      <c r="C5947"/>
      <c r="J5947"/>
      <c r="K5947"/>
      <c r="L5947"/>
    </row>
    <row r="5948" spans="2:12" x14ac:dyDescent="0.2">
      <c r="B5948"/>
      <c r="C5948"/>
      <c r="J5948"/>
      <c r="K5948"/>
      <c r="L5948"/>
    </row>
    <row r="5949" spans="2:12" x14ac:dyDescent="0.2">
      <c r="B5949"/>
      <c r="C5949"/>
      <c r="J5949"/>
      <c r="K5949"/>
      <c r="L5949"/>
    </row>
    <row r="5950" spans="2:12" x14ac:dyDescent="0.2">
      <c r="B5950"/>
      <c r="C5950"/>
      <c r="J5950"/>
      <c r="K5950"/>
      <c r="L5950"/>
    </row>
    <row r="5951" spans="2:12" x14ac:dyDescent="0.2">
      <c r="B5951"/>
      <c r="C5951"/>
      <c r="J5951"/>
      <c r="K5951"/>
      <c r="L5951"/>
    </row>
    <row r="5952" spans="2:12" x14ac:dyDescent="0.2">
      <c r="B5952"/>
      <c r="C5952"/>
      <c r="J5952"/>
      <c r="K5952"/>
      <c r="L5952"/>
    </row>
    <row r="5953" spans="2:12" x14ac:dyDescent="0.2">
      <c r="B5953"/>
      <c r="C5953"/>
      <c r="J5953"/>
      <c r="K5953"/>
      <c r="L5953"/>
    </row>
    <row r="5954" spans="2:12" x14ac:dyDescent="0.2">
      <c r="B5954"/>
      <c r="C5954"/>
      <c r="J5954"/>
      <c r="K5954"/>
      <c r="L5954"/>
    </row>
    <row r="5955" spans="2:12" x14ac:dyDescent="0.2">
      <c r="B5955"/>
      <c r="C5955"/>
      <c r="J5955"/>
      <c r="K5955"/>
      <c r="L5955"/>
    </row>
    <row r="5956" spans="2:12" x14ac:dyDescent="0.2">
      <c r="B5956"/>
      <c r="C5956"/>
      <c r="J5956"/>
      <c r="K5956"/>
      <c r="L5956"/>
    </row>
    <row r="5957" spans="2:12" x14ac:dyDescent="0.2">
      <c r="B5957"/>
      <c r="C5957"/>
      <c r="J5957"/>
      <c r="K5957"/>
      <c r="L5957"/>
    </row>
    <row r="5958" spans="2:12" x14ac:dyDescent="0.2">
      <c r="B5958"/>
      <c r="C5958"/>
      <c r="J5958"/>
      <c r="K5958"/>
      <c r="L5958"/>
    </row>
    <row r="5959" spans="2:12" x14ac:dyDescent="0.2">
      <c r="B5959"/>
      <c r="C5959"/>
      <c r="J5959"/>
      <c r="K5959"/>
      <c r="L5959"/>
    </row>
    <row r="5960" spans="2:12" x14ac:dyDescent="0.2">
      <c r="B5960"/>
      <c r="C5960"/>
      <c r="J5960"/>
      <c r="K5960"/>
      <c r="L5960"/>
    </row>
    <row r="5961" spans="2:12" x14ac:dyDescent="0.2">
      <c r="B5961"/>
      <c r="C5961"/>
      <c r="J5961"/>
      <c r="K5961"/>
      <c r="L5961"/>
    </row>
    <row r="5962" spans="2:12" x14ac:dyDescent="0.2">
      <c r="B5962"/>
      <c r="C5962"/>
      <c r="J5962"/>
      <c r="K5962"/>
      <c r="L5962"/>
    </row>
    <row r="5963" spans="2:12" x14ac:dyDescent="0.2">
      <c r="B5963"/>
      <c r="C5963"/>
      <c r="J5963"/>
      <c r="K5963"/>
      <c r="L5963"/>
    </row>
    <row r="5964" spans="2:12" x14ac:dyDescent="0.2">
      <c r="B5964"/>
      <c r="C5964"/>
      <c r="J5964"/>
      <c r="K5964"/>
      <c r="L5964"/>
    </row>
    <row r="5965" spans="2:12" x14ac:dyDescent="0.2">
      <c r="B5965"/>
      <c r="C5965"/>
      <c r="J5965"/>
      <c r="K5965"/>
      <c r="L5965"/>
    </row>
    <row r="5966" spans="2:12" x14ac:dyDescent="0.2">
      <c r="B5966"/>
      <c r="C5966"/>
      <c r="J5966"/>
      <c r="K5966"/>
      <c r="L5966"/>
    </row>
    <row r="5967" spans="2:12" x14ac:dyDescent="0.2">
      <c r="B5967"/>
      <c r="C5967"/>
      <c r="J5967"/>
      <c r="K5967"/>
      <c r="L5967"/>
    </row>
    <row r="5968" spans="2:12" x14ac:dyDescent="0.2">
      <c r="B5968"/>
      <c r="C5968"/>
      <c r="J5968"/>
      <c r="K5968"/>
      <c r="L5968"/>
    </row>
    <row r="5969" spans="2:12" x14ac:dyDescent="0.2">
      <c r="B5969"/>
      <c r="C5969"/>
      <c r="J5969"/>
      <c r="K5969"/>
      <c r="L5969"/>
    </row>
    <row r="5970" spans="2:12" x14ac:dyDescent="0.2">
      <c r="B5970"/>
      <c r="C5970"/>
      <c r="J5970"/>
      <c r="K5970"/>
      <c r="L5970"/>
    </row>
    <row r="5971" spans="2:12" x14ac:dyDescent="0.2">
      <c r="B5971"/>
      <c r="C5971"/>
      <c r="J5971"/>
      <c r="K5971"/>
      <c r="L5971"/>
    </row>
    <row r="5972" spans="2:12" x14ac:dyDescent="0.2">
      <c r="B5972"/>
      <c r="C5972"/>
      <c r="J5972"/>
      <c r="K5972"/>
      <c r="L5972"/>
    </row>
    <row r="5973" spans="2:12" x14ac:dyDescent="0.2">
      <c r="B5973"/>
      <c r="C5973"/>
      <c r="J5973"/>
      <c r="K5973"/>
      <c r="L5973"/>
    </row>
    <row r="5974" spans="2:12" x14ac:dyDescent="0.2">
      <c r="B5974"/>
      <c r="C5974"/>
      <c r="J5974"/>
      <c r="K5974"/>
      <c r="L5974"/>
    </row>
    <row r="5975" spans="2:12" x14ac:dyDescent="0.2">
      <c r="B5975"/>
      <c r="C5975"/>
      <c r="J5975"/>
      <c r="K5975"/>
      <c r="L5975"/>
    </row>
    <row r="5976" spans="2:12" x14ac:dyDescent="0.2">
      <c r="B5976"/>
      <c r="C5976"/>
      <c r="J5976"/>
      <c r="K5976"/>
      <c r="L5976"/>
    </row>
    <row r="5977" spans="2:12" x14ac:dyDescent="0.2">
      <c r="B5977"/>
      <c r="C5977"/>
      <c r="J5977"/>
      <c r="K5977"/>
      <c r="L5977"/>
    </row>
    <row r="5978" spans="2:12" x14ac:dyDescent="0.2">
      <c r="B5978"/>
      <c r="C5978"/>
      <c r="J5978"/>
      <c r="K5978"/>
      <c r="L5978"/>
    </row>
    <row r="5979" spans="2:12" x14ac:dyDescent="0.2">
      <c r="B5979"/>
      <c r="C5979"/>
      <c r="J5979"/>
      <c r="K5979"/>
      <c r="L5979"/>
    </row>
    <row r="5980" spans="2:12" x14ac:dyDescent="0.2">
      <c r="B5980"/>
      <c r="C5980"/>
      <c r="J5980"/>
      <c r="K5980"/>
      <c r="L5980"/>
    </row>
    <row r="5981" spans="2:12" x14ac:dyDescent="0.2">
      <c r="B5981"/>
      <c r="C5981"/>
      <c r="J5981"/>
      <c r="K5981"/>
      <c r="L5981"/>
    </row>
    <row r="5982" spans="2:12" x14ac:dyDescent="0.2">
      <c r="B5982"/>
      <c r="C5982"/>
      <c r="J5982"/>
      <c r="K5982"/>
      <c r="L5982"/>
    </row>
    <row r="5983" spans="2:12" x14ac:dyDescent="0.2">
      <c r="B5983"/>
      <c r="C5983"/>
      <c r="J5983"/>
      <c r="K5983"/>
      <c r="L5983"/>
    </row>
    <row r="5984" spans="2:12" x14ac:dyDescent="0.2">
      <c r="B5984"/>
      <c r="C5984"/>
      <c r="J5984"/>
      <c r="K5984"/>
      <c r="L5984"/>
    </row>
    <row r="5985" spans="2:12" x14ac:dyDescent="0.2">
      <c r="B5985"/>
      <c r="C5985"/>
      <c r="J5985"/>
      <c r="K5985"/>
      <c r="L5985"/>
    </row>
    <row r="5986" spans="2:12" x14ac:dyDescent="0.2">
      <c r="B5986"/>
      <c r="C5986"/>
      <c r="J5986"/>
      <c r="K5986"/>
      <c r="L5986"/>
    </row>
    <row r="5987" spans="2:12" x14ac:dyDescent="0.2">
      <c r="B5987"/>
      <c r="C5987"/>
      <c r="J5987"/>
      <c r="K5987"/>
      <c r="L5987"/>
    </row>
    <row r="5988" spans="2:12" x14ac:dyDescent="0.2">
      <c r="B5988"/>
      <c r="C5988"/>
      <c r="J5988"/>
      <c r="K5988"/>
      <c r="L5988"/>
    </row>
    <row r="5989" spans="2:12" x14ac:dyDescent="0.2">
      <c r="B5989"/>
      <c r="C5989"/>
      <c r="J5989"/>
      <c r="K5989"/>
      <c r="L5989"/>
    </row>
    <row r="5990" spans="2:12" x14ac:dyDescent="0.2">
      <c r="B5990"/>
      <c r="C5990"/>
      <c r="J5990"/>
      <c r="K5990"/>
      <c r="L5990"/>
    </row>
    <row r="5991" spans="2:12" x14ac:dyDescent="0.2">
      <c r="B5991"/>
      <c r="C5991"/>
      <c r="J5991"/>
      <c r="K5991"/>
      <c r="L5991"/>
    </row>
    <row r="5992" spans="2:12" x14ac:dyDescent="0.2">
      <c r="B5992"/>
      <c r="C5992"/>
      <c r="J5992"/>
      <c r="K5992"/>
      <c r="L5992"/>
    </row>
    <row r="5993" spans="2:12" x14ac:dyDescent="0.2">
      <c r="B5993"/>
      <c r="C5993"/>
      <c r="J5993"/>
      <c r="K5993"/>
      <c r="L5993"/>
    </row>
    <row r="5994" spans="2:12" x14ac:dyDescent="0.2">
      <c r="B5994"/>
      <c r="C5994"/>
      <c r="J5994"/>
      <c r="K5994"/>
      <c r="L5994"/>
    </row>
    <row r="5995" spans="2:12" x14ac:dyDescent="0.2">
      <c r="B5995"/>
      <c r="C5995"/>
      <c r="J5995"/>
      <c r="K5995"/>
      <c r="L5995"/>
    </row>
    <row r="5996" spans="2:12" x14ac:dyDescent="0.2">
      <c r="B5996"/>
      <c r="C5996"/>
      <c r="J5996"/>
      <c r="K5996"/>
      <c r="L5996"/>
    </row>
    <row r="5997" spans="2:12" x14ac:dyDescent="0.2">
      <c r="B5997"/>
      <c r="C5997"/>
      <c r="J5997"/>
      <c r="K5997"/>
      <c r="L5997"/>
    </row>
    <row r="5998" spans="2:12" x14ac:dyDescent="0.2">
      <c r="B5998"/>
      <c r="C5998"/>
      <c r="J5998"/>
      <c r="K5998"/>
      <c r="L5998"/>
    </row>
    <row r="5999" spans="2:12" x14ac:dyDescent="0.2">
      <c r="B5999"/>
      <c r="C5999"/>
      <c r="J5999"/>
      <c r="K5999"/>
      <c r="L5999"/>
    </row>
    <row r="6000" spans="2:12" x14ac:dyDescent="0.2">
      <c r="B6000"/>
      <c r="C6000"/>
      <c r="J6000"/>
      <c r="K6000"/>
      <c r="L6000"/>
    </row>
    <row r="6001" spans="2:12" x14ac:dyDescent="0.2">
      <c r="B6001"/>
      <c r="C6001"/>
      <c r="J6001"/>
      <c r="K6001"/>
      <c r="L6001"/>
    </row>
    <row r="6002" spans="2:12" x14ac:dyDescent="0.2">
      <c r="B6002"/>
      <c r="C6002"/>
      <c r="J6002"/>
      <c r="K6002"/>
      <c r="L6002"/>
    </row>
    <row r="6003" spans="2:12" x14ac:dyDescent="0.2">
      <c r="B6003"/>
      <c r="C6003"/>
      <c r="J6003"/>
      <c r="K6003"/>
      <c r="L6003"/>
    </row>
    <row r="6004" spans="2:12" x14ac:dyDescent="0.2">
      <c r="B6004"/>
      <c r="C6004"/>
      <c r="J6004"/>
      <c r="K6004"/>
      <c r="L6004"/>
    </row>
    <row r="6005" spans="2:12" x14ac:dyDescent="0.2">
      <c r="B6005"/>
      <c r="C6005"/>
      <c r="J6005"/>
      <c r="K6005"/>
      <c r="L6005"/>
    </row>
    <row r="6006" spans="2:12" x14ac:dyDescent="0.2">
      <c r="B6006"/>
      <c r="C6006"/>
      <c r="J6006"/>
      <c r="K6006"/>
      <c r="L6006"/>
    </row>
    <row r="6007" spans="2:12" x14ac:dyDescent="0.2">
      <c r="B6007"/>
      <c r="C6007"/>
      <c r="J6007"/>
      <c r="K6007"/>
      <c r="L6007"/>
    </row>
    <row r="6008" spans="2:12" x14ac:dyDescent="0.2">
      <c r="B6008"/>
      <c r="C6008"/>
      <c r="J6008"/>
      <c r="K6008"/>
      <c r="L6008"/>
    </row>
    <row r="6009" spans="2:12" x14ac:dyDescent="0.2">
      <c r="B6009"/>
      <c r="C6009"/>
      <c r="J6009"/>
      <c r="K6009"/>
      <c r="L6009"/>
    </row>
    <row r="6010" spans="2:12" x14ac:dyDescent="0.2">
      <c r="B6010"/>
      <c r="C6010"/>
      <c r="J6010"/>
      <c r="K6010"/>
      <c r="L6010"/>
    </row>
    <row r="6011" spans="2:12" x14ac:dyDescent="0.2">
      <c r="B6011"/>
      <c r="C6011"/>
      <c r="J6011"/>
      <c r="K6011"/>
      <c r="L6011"/>
    </row>
    <row r="6012" spans="2:12" x14ac:dyDescent="0.2">
      <c r="B6012"/>
      <c r="C6012"/>
      <c r="J6012"/>
      <c r="K6012"/>
      <c r="L6012"/>
    </row>
    <row r="6013" spans="2:12" x14ac:dyDescent="0.2">
      <c r="B6013"/>
      <c r="C6013"/>
      <c r="J6013"/>
      <c r="K6013"/>
      <c r="L6013"/>
    </row>
    <row r="6014" spans="2:12" x14ac:dyDescent="0.2">
      <c r="B6014"/>
      <c r="C6014"/>
      <c r="J6014"/>
      <c r="K6014"/>
      <c r="L6014"/>
    </row>
    <row r="6015" spans="2:12" x14ac:dyDescent="0.2">
      <c r="B6015"/>
      <c r="C6015"/>
      <c r="J6015"/>
      <c r="K6015"/>
      <c r="L6015"/>
    </row>
    <row r="6016" spans="2:12" x14ac:dyDescent="0.2">
      <c r="B6016"/>
      <c r="C6016"/>
      <c r="J6016"/>
      <c r="K6016"/>
      <c r="L6016"/>
    </row>
    <row r="6017" spans="2:12" x14ac:dyDescent="0.2">
      <c r="B6017"/>
      <c r="C6017"/>
      <c r="J6017"/>
      <c r="K6017"/>
      <c r="L6017"/>
    </row>
    <row r="6018" spans="2:12" x14ac:dyDescent="0.2">
      <c r="B6018"/>
      <c r="C6018"/>
      <c r="J6018"/>
      <c r="K6018"/>
      <c r="L6018"/>
    </row>
    <row r="6019" spans="2:12" x14ac:dyDescent="0.2">
      <c r="B6019"/>
      <c r="C6019"/>
      <c r="J6019"/>
      <c r="K6019"/>
      <c r="L6019"/>
    </row>
    <row r="6020" spans="2:12" x14ac:dyDescent="0.2">
      <c r="B6020"/>
      <c r="C6020"/>
      <c r="J6020"/>
      <c r="K6020"/>
      <c r="L6020"/>
    </row>
    <row r="6021" spans="2:12" x14ac:dyDescent="0.2">
      <c r="B6021"/>
      <c r="C6021"/>
      <c r="J6021"/>
      <c r="K6021"/>
      <c r="L6021"/>
    </row>
    <row r="6022" spans="2:12" x14ac:dyDescent="0.2">
      <c r="B6022"/>
      <c r="C6022"/>
      <c r="J6022"/>
      <c r="K6022"/>
      <c r="L6022"/>
    </row>
    <row r="6023" spans="2:12" x14ac:dyDescent="0.2">
      <c r="B6023"/>
      <c r="C6023"/>
      <c r="J6023"/>
      <c r="K6023"/>
      <c r="L6023"/>
    </row>
    <row r="6024" spans="2:12" x14ac:dyDescent="0.2">
      <c r="B6024"/>
      <c r="C6024"/>
      <c r="J6024"/>
      <c r="K6024"/>
      <c r="L6024"/>
    </row>
    <row r="6025" spans="2:12" x14ac:dyDescent="0.2">
      <c r="B6025"/>
      <c r="C6025"/>
      <c r="J6025"/>
      <c r="K6025"/>
      <c r="L6025"/>
    </row>
    <row r="6026" spans="2:12" x14ac:dyDescent="0.2">
      <c r="B6026"/>
      <c r="C6026"/>
      <c r="J6026"/>
      <c r="K6026"/>
      <c r="L6026"/>
    </row>
    <row r="6027" spans="2:12" x14ac:dyDescent="0.2">
      <c r="B6027"/>
      <c r="C6027"/>
      <c r="J6027"/>
      <c r="K6027"/>
      <c r="L6027"/>
    </row>
    <row r="6028" spans="2:12" x14ac:dyDescent="0.2">
      <c r="B6028"/>
      <c r="C6028"/>
      <c r="J6028"/>
      <c r="K6028"/>
      <c r="L6028"/>
    </row>
    <row r="6029" spans="2:12" x14ac:dyDescent="0.2">
      <c r="B6029"/>
      <c r="C6029"/>
      <c r="J6029"/>
      <c r="K6029"/>
      <c r="L6029"/>
    </row>
    <row r="6030" spans="2:12" x14ac:dyDescent="0.2">
      <c r="B6030"/>
      <c r="C6030"/>
      <c r="J6030"/>
      <c r="K6030"/>
      <c r="L6030"/>
    </row>
    <row r="6031" spans="2:12" x14ac:dyDescent="0.2">
      <c r="B6031"/>
      <c r="C6031"/>
      <c r="J6031"/>
      <c r="K6031"/>
      <c r="L6031"/>
    </row>
    <row r="6032" spans="2:12" x14ac:dyDescent="0.2">
      <c r="B6032"/>
      <c r="C6032"/>
      <c r="J6032"/>
      <c r="K6032"/>
      <c r="L6032"/>
    </row>
    <row r="6033" spans="2:12" x14ac:dyDescent="0.2">
      <c r="B6033"/>
      <c r="C6033"/>
      <c r="J6033"/>
      <c r="K6033"/>
      <c r="L6033"/>
    </row>
    <row r="6034" spans="2:12" x14ac:dyDescent="0.2">
      <c r="B6034"/>
      <c r="C6034"/>
      <c r="J6034"/>
      <c r="K6034"/>
      <c r="L6034"/>
    </row>
    <row r="6035" spans="2:12" x14ac:dyDescent="0.2">
      <c r="B6035"/>
      <c r="C6035"/>
      <c r="J6035"/>
      <c r="K6035"/>
      <c r="L6035"/>
    </row>
    <row r="6036" spans="2:12" x14ac:dyDescent="0.2">
      <c r="B6036"/>
      <c r="C6036"/>
      <c r="J6036"/>
      <c r="K6036"/>
      <c r="L6036"/>
    </row>
    <row r="6037" spans="2:12" x14ac:dyDescent="0.2">
      <c r="B6037"/>
      <c r="C6037"/>
      <c r="J6037"/>
      <c r="K6037"/>
      <c r="L6037"/>
    </row>
    <row r="6038" spans="2:12" x14ac:dyDescent="0.2">
      <c r="B6038"/>
      <c r="C6038"/>
      <c r="J6038"/>
      <c r="K6038"/>
      <c r="L6038"/>
    </row>
    <row r="6039" spans="2:12" x14ac:dyDescent="0.2">
      <c r="B6039"/>
      <c r="C6039"/>
      <c r="J6039"/>
      <c r="K6039"/>
      <c r="L6039"/>
    </row>
    <row r="6040" spans="2:12" x14ac:dyDescent="0.2">
      <c r="B6040"/>
      <c r="C6040"/>
      <c r="J6040"/>
      <c r="K6040"/>
      <c r="L6040"/>
    </row>
    <row r="6041" spans="2:12" x14ac:dyDescent="0.2">
      <c r="B6041"/>
      <c r="C6041"/>
      <c r="J6041"/>
      <c r="K6041"/>
      <c r="L6041"/>
    </row>
    <row r="6042" spans="2:12" x14ac:dyDescent="0.2">
      <c r="B6042"/>
      <c r="C6042"/>
      <c r="J6042"/>
      <c r="K6042"/>
      <c r="L6042"/>
    </row>
    <row r="6043" spans="2:12" x14ac:dyDescent="0.2">
      <c r="B6043"/>
      <c r="C6043"/>
      <c r="J6043"/>
      <c r="K6043"/>
      <c r="L6043"/>
    </row>
    <row r="6044" spans="2:12" x14ac:dyDescent="0.2">
      <c r="B6044"/>
      <c r="C6044"/>
      <c r="J6044"/>
      <c r="K6044"/>
      <c r="L6044"/>
    </row>
    <row r="6045" spans="2:12" x14ac:dyDescent="0.2">
      <c r="B6045"/>
      <c r="C6045"/>
      <c r="J6045"/>
      <c r="K6045"/>
      <c r="L6045"/>
    </row>
    <row r="6046" spans="2:12" x14ac:dyDescent="0.2">
      <c r="B6046"/>
      <c r="C6046"/>
      <c r="J6046"/>
      <c r="K6046"/>
      <c r="L6046"/>
    </row>
    <row r="6047" spans="2:12" x14ac:dyDescent="0.2">
      <c r="B6047"/>
      <c r="C6047"/>
      <c r="J6047"/>
      <c r="K6047"/>
      <c r="L6047"/>
    </row>
    <row r="6048" spans="2:12" x14ac:dyDescent="0.2">
      <c r="B6048"/>
      <c r="C6048"/>
      <c r="J6048"/>
      <c r="K6048"/>
      <c r="L6048"/>
    </row>
    <row r="6049" spans="2:12" x14ac:dyDescent="0.2">
      <c r="B6049"/>
      <c r="C6049"/>
      <c r="J6049"/>
      <c r="K6049"/>
      <c r="L6049"/>
    </row>
    <row r="6050" spans="2:12" x14ac:dyDescent="0.2">
      <c r="B6050"/>
      <c r="C6050"/>
      <c r="J6050"/>
      <c r="K6050"/>
      <c r="L6050"/>
    </row>
    <row r="6051" spans="2:12" x14ac:dyDescent="0.2">
      <c r="B6051"/>
      <c r="C6051"/>
      <c r="J6051"/>
      <c r="K6051"/>
      <c r="L6051"/>
    </row>
    <row r="6052" spans="2:12" x14ac:dyDescent="0.2">
      <c r="B6052"/>
      <c r="C6052"/>
      <c r="J6052"/>
      <c r="K6052"/>
      <c r="L6052"/>
    </row>
    <row r="6053" spans="2:12" x14ac:dyDescent="0.2">
      <c r="B6053"/>
      <c r="C6053"/>
      <c r="J6053"/>
      <c r="K6053"/>
      <c r="L6053"/>
    </row>
    <row r="6054" spans="2:12" x14ac:dyDescent="0.2">
      <c r="B6054"/>
      <c r="C6054"/>
      <c r="J6054"/>
      <c r="K6054"/>
      <c r="L6054"/>
    </row>
    <row r="6055" spans="2:12" x14ac:dyDescent="0.2">
      <c r="B6055"/>
      <c r="C6055"/>
      <c r="J6055"/>
      <c r="K6055"/>
      <c r="L6055"/>
    </row>
    <row r="6056" spans="2:12" x14ac:dyDescent="0.2">
      <c r="B6056"/>
      <c r="C6056"/>
      <c r="J6056"/>
      <c r="K6056"/>
      <c r="L6056"/>
    </row>
    <row r="6057" spans="2:12" x14ac:dyDescent="0.2">
      <c r="B6057"/>
      <c r="C6057"/>
      <c r="J6057"/>
      <c r="K6057"/>
      <c r="L6057"/>
    </row>
    <row r="6058" spans="2:12" x14ac:dyDescent="0.2">
      <c r="B6058"/>
      <c r="C6058"/>
      <c r="J6058"/>
      <c r="K6058"/>
      <c r="L6058"/>
    </row>
    <row r="6059" spans="2:12" x14ac:dyDescent="0.2">
      <c r="B6059"/>
      <c r="C6059"/>
      <c r="J6059"/>
      <c r="K6059"/>
      <c r="L6059"/>
    </row>
    <row r="6060" spans="2:12" x14ac:dyDescent="0.2">
      <c r="B6060"/>
      <c r="C6060"/>
      <c r="J6060"/>
      <c r="K6060"/>
      <c r="L6060"/>
    </row>
    <row r="6061" spans="2:12" x14ac:dyDescent="0.2">
      <c r="B6061"/>
      <c r="C6061"/>
      <c r="J6061"/>
      <c r="K6061"/>
      <c r="L6061"/>
    </row>
    <row r="6062" spans="2:12" x14ac:dyDescent="0.2">
      <c r="B6062"/>
      <c r="C6062"/>
      <c r="J6062"/>
      <c r="K6062"/>
      <c r="L6062"/>
    </row>
    <row r="6063" spans="2:12" x14ac:dyDescent="0.2">
      <c r="B6063"/>
      <c r="C6063"/>
      <c r="J6063"/>
      <c r="K6063"/>
      <c r="L6063"/>
    </row>
    <row r="6064" spans="2:12" x14ac:dyDescent="0.2">
      <c r="B6064"/>
      <c r="C6064"/>
      <c r="J6064"/>
      <c r="K6064"/>
      <c r="L6064"/>
    </row>
    <row r="6065" spans="2:12" x14ac:dyDescent="0.2">
      <c r="B6065"/>
      <c r="C6065"/>
      <c r="J6065"/>
      <c r="K6065"/>
      <c r="L6065"/>
    </row>
    <row r="6066" spans="2:12" x14ac:dyDescent="0.2">
      <c r="B6066"/>
      <c r="C6066"/>
      <c r="J6066"/>
      <c r="K6066"/>
      <c r="L6066"/>
    </row>
    <row r="6067" spans="2:12" x14ac:dyDescent="0.2">
      <c r="B6067"/>
      <c r="C6067"/>
      <c r="J6067"/>
      <c r="K6067"/>
      <c r="L6067"/>
    </row>
    <row r="6068" spans="2:12" x14ac:dyDescent="0.2">
      <c r="B6068"/>
      <c r="C6068"/>
      <c r="J6068"/>
      <c r="K6068"/>
      <c r="L6068"/>
    </row>
    <row r="6069" spans="2:12" x14ac:dyDescent="0.2">
      <c r="B6069"/>
      <c r="C6069"/>
      <c r="J6069"/>
      <c r="K6069"/>
      <c r="L6069"/>
    </row>
    <row r="6070" spans="2:12" x14ac:dyDescent="0.2">
      <c r="B6070"/>
      <c r="C6070"/>
      <c r="J6070"/>
      <c r="K6070"/>
      <c r="L6070"/>
    </row>
    <row r="6071" spans="2:12" x14ac:dyDescent="0.2">
      <c r="B6071"/>
      <c r="C6071"/>
      <c r="J6071"/>
      <c r="K6071"/>
      <c r="L6071"/>
    </row>
    <row r="6072" spans="2:12" x14ac:dyDescent="0.2">
      <c r="B6072"/>
      <c r="C6072"/>
      <c r="J6072"/>
      <c r="K6072"/>
      <c r="L6072"/>
    </row>
    <row r="6073" spans="2:12" x14ac:dyDescent="0.2">
      <c r="B6073"/>
      <c r="C6073"/>
      <c r="J6073"/>
      <c r="K6073"/>
      <c r="L6073"/>
    </row>
    <row r="6074" spans="2:12" x14ac:dyDescent="0.2">
      <c r="B6074"/>
      <c r="C6074"/>
      <c r="J6074"/>
      <c r="K6074"/>
      <c r="L6074"/>
    </row>
    <row r="6075" spans="2:12" x14ac:dyDescent="0.2">
      <c r="B6075"/>
      <c r="C6075"/>
      <c r="J6075"/>
      <c r="K6075"/>
      <c r="L6075"/>
    </row>
    <row r="6076" spans="2:12" x14ac:dyDescent="0.2">
      <c r="B6076"/>
      <c r="C6076"/>
      <c r="J6076"/>
      <c r="K6076"/>
      <c r="L6076"/>
    </row>
    <row r="6077" spans="2:12" x14ac:dyDescent="0.2">
      <c r="B6077"/>
      <c r="C6077"/>
      <c r="J6077"/>
      <c r="K6077"/>
      <c r="L6077"/>
    </row>
    <row r="6078" spans="2:12" x14ac:dyDescent="0.2">
      <c r="B6078"/>
      <c r="C6078"/>
      <c r="J6078"/>
      <c r="K6078"/>
      <c r="L6078"/>
    </row>
    <row r="6079" spans="2:12" x14ac:dyDescent="0.2">
      <c r="B6079"/>
      <c r="C6079"/>
      <c r="J6079"/>
      <c r="K6079"/>
      <c r="L6079"/>
    </row>
    <row r="6080" spans="2:12" x14ac:dyDescent="0.2">
      <c r="B6080"/>
      <c r="C6080"/>
      <c r="J6080"/>
      <c r="K6080"/>
      <c r="L6080"/>
    </row>
    <row r="6081" spans="2:12" x14ac:dyDescent="0.2">
      <c r="B6081"/>
      <c r="C6081"/>
      <c r="J6081"/>
      <c r="K6081"/>
      <c r="L6081"/>
    </row>
    <row r="6082" spans="2:12" x14ac:dyDescent="0.2">
      <c r="B6082"/>
      <c r="C6082"/>
      <c r="J6082"/>
      <c r="K6082"/>
      <c r="L6082"/>
    </row>
    <row r="6083" spans="2:12" x14ac:dyDescent="0.2">
      <c r="B6083"/>
      <c r="C6083"/>
      <c r="J6083"/>
      <c r="K6083"/>
      <c r="L6083"/>
    </row>
    <row r="6084" spans="2:12" x14ac:dyDescent="0.2">
      <c r="B6084"/>
      <c r="C6084"/>
      <c r="J6084"/>
      <c r="K6084"/>
      <c r="L6084"/>
    </row>
    <row r="6085" spans="2:12" x14ac:dyDescent="0.2">
      <c r="B6085"/>
      <c r="C6085"/>
      <c r="J6085"/>
      <c r="K6085"/>
      <c r="L6085"/>
    </row>
    <row r="6086" spans="2:12" x14ac:dyDescent="0.2">
      <c r="B6086"/>
      <c r="C6086"/>
      <c r="J6086"/>
      <c r="K6086"/>
      <c r="L6086"/>
    </row>
    <row r="6087" spans="2:12" x14ac:dyDescent="0.2">
      <c r="B6087"/>
      <c r="C6087"/>
      <c r="J6087"/>
      <c r="K6087"/>
      <c r="L6087"/>
    </row>
    <row r="6088" spans="2:12" x14ac:dyDescent="0.2">
      <c r="B6088"/>
      <c r="C6088"/>
      <c r="J6088"/>
      <c r="K6088"/>
      <c r="L6088"/>
    </row>
    <row r="6089" spans="2:12" x14ac:dyDescent="0.2">
      <c r="B6089"/>
      <c r="C6089"/>
      <c r="J6089"/>
      <c r="K6089"/>
      <c r="L6089"/>
    </row>
    <row r="6090" spans="2:12" x14ac:dyDescent="0.2">
      <c r="B6090"/>
      <c r="C6090"/>
      <c r="J6090"/>
      <c r="K6090"/>
      <c r="L6090"/>
    </row>
    <row r="6091" spans="2:12" x14ac:dyDescent="0.2">
      <c r="B6091"/>
      <c r="C6091"/>
      <c r="J6091"/>
      <c r="K6091"/>
      <c r="L6091"/>
    </row>
    <row r="6092" spans="2:12" x14ac:dyDescent="0.2">
      <c r="B6092"/>
      <c r="C6092"/>
      <c r="J6092"/>
      <c r="K6092"/>
      <c r="L6092"/>
    </row>
    <row r="6093" spans="2:12" x14ac:dyDescent="0.2">
      <c r="B6093"/>
      <c r="C6093"/>
      <c r="J6093"/>
      <c r="K6093"/>
      <c r="L6093"/>
    </row>
    <row r="6094" spans="2:12" x14ac:dyDescent="0.2">
      <c r="B6094"/>
      <c r="C6094"/>
      <c r="J6094"/>
      <c r="K6094"/>
      <c r="L6094"/>
    </row>
    <row r="6095" spans="2:12" x14ac:dyDescent="0.2">
      <c r="B6095"/>
      <c r="C6095"/>
      <c r="J6095"/>
      <c r="K6095"/>
      <c r="L6095"/>
    </row>
    <row r="6096" spans="2:12" x14ac:dyDescent="0.2">
      <c r="B6096"/>
      <c r="C6096"/>
      <c r="J6096"/>
      <c r="K6096"/>
      <c r="L6096"/>
    </row>
    <row r="6097" spans="2:12" x14ac:dyDescent="0.2">
      <c r="B6097"/>
      <c r="C6097"/>
      <c r="J6097"/>
      <c r="K6097"/>
      <c r="L6097"/>
    </row>
    <row r="6098" spans="2:12" x14ac:dyDescent="0.2">
      <c r="B6098"/>
      <c r="C6098"/>
      <c r="J6098"/>
      <c r="K6098"/>
      <c r="L6098"/>
    </row>
    <row r="6099" spans="2:12" x14ac:dyDescent="0.2">
      <c r="B6099"/>
      <c r="C6099"/>
      <c r="J6099"/>
      <c r="K6099"/>
      <c r="L6099"/>
    </row>
    <row r="6100" spans="2:12" x14ac:dyDescent="0.2">
      <c r="B6100"/>
      <c r="C6100"/>
      <c r="J6100"/>
      <c r="K6100"/>
      <c r="L6100"/>
    </row>
    <row r="6101" spans="2:12" x14ac:dyDescent="0.2">
      <c r="B6101"/>
      <c r="C6101"/>
      <c r="J6101"/>
      <c r="K6101"/>
      <c r="L6101"/>
    </row>
    <row r="6102" spans="2:12" x14ac:dyDescent="0.2">
      <c r="B6102"/>
      <c r="C6102"/>
      <c r="J6102"/>
      <c r="K6102"/>
      <c r="L6102"/>
    </row>
    <row r="6103" spans="2:12" x14ac:dyDescent="0.2">
      <c r="B6103"/>
      <c r="C6103"/>
      <c r="J6103"/>
      <c r="K6103"/>
      <c r="L6103"/>
    </row>
    <row r="6104" spans="2:12" x14ac:dyDescent="0.2">
      <c r="B6104"/>
      <c r="C6104"/>
      <c r="J6104"/>
      <c r="K6104"/>
      <c r="L6104"/>
    </row>
    <row r="6105" spans="2:12" x14ac:dyDescent="0.2">
      <c r="B6105"/>
      <c r="C6105"/>
      <c r="J6105"/>
      <c r="K6105"/>
      <c r="L6105"/>
    </row>
    <row r="6106" spans="2:12" x14ac:dyDescent="0.2">
      <c r="B6106"/>
      <c r="C6106"/>
      <c r="J6106"/>
      <c r="K6106"/>
      <c r="L6106"/>
    </row>
    <row r="6107" spans="2:12" x14ac:dyDescent="0.2">
      <c r="B6107"/>
      <c r="C6107"/>
      <c r="J6107"/>
      <c r="K6107"/>
      <c r="L6107"/>
    </row>
    <row r="6108" spans="2:12" x14ac:dyDescent="0.2">
      <c r="B6108"/>
      <c r="C6108"/>
      <c r="J6108"/>
      <c r="K6108"/>
      <c r="L6108"/>
    </row>
    <row r="6109" spans="2:12" x14ac:dyDescent="0.2">
      <c r="B6109"/>
      <c r="C6109"/>
      <c r="J6109"/>
      <c r="K6109"/>
      <c r="L6109"/>
    </row>
    <row r="6110" spans="2:12" x14ac:dyDescent="0.2">
      <c r="B6110"/>
      <c r="C6110"/>
      <c r="J6110"/>
      <c r="K6110"/>
      <c r="L6110"/>
    </row>
    <row r="6111" spans="2:12" x14ac:dyDescent="0.2">
      <c r="B6111"/>
      <c r="C6111"/>
      <c r="J6111"/>
      <c r="K6111"/>
      <c r="L6111"/>
    </row>
    <row r="6112" spans="2:12" x14ac:dyDescent="0.2">
      <c r="B6112"/>
      <c r="C6112"/>
      <c r="J6112"/>
      <c r="K6112"/>
      <c r="L6112"/>
    </row>
    <row r="6113" spans="2:12" x14ac:dyDescent="0.2">
      <c r="B6113"/>
      <c r="C6113"/>
      <c r="J6113"/>
      <c r="K6113"/>
      <c r="L6113"/>
    </row>
    <row r="6114" spans="2:12" x14ac:dyDescent="0.2">
      <c r="B6114"/>
      <c r="C6114"/>
      <c r="J6114"/>
      <c r="K6114"/>
      <c r="L6114"/>
    </row>
    <row r="6115" spans="2:12" x14ac:dyDescent="0.2">
      <c r="B6115"/>
      <c r="C6115"/>
      <c r="J6115"/>
      <c r="K6115"/>
      <c r="L6115"/>
    </row>
    <row r="6116" spans="2:12" x14ac:dyDescent="0.2">
      <c r="B6116"/>
      <c r="C6116"/>
      <c r="J6116"/>
      <c r="K6116"/>
      <c r="L6116"/>
    </row>
    <row r="6117" spans="2:12" x14ac:dyDescent="0.2">
      <c r="B6117"/>
      <c r="C6117"/>
      <c r="J6117"/>
      <c r="K6117"/>
      <c r="L6117"/>
    </row>
    <row r="6118" spans="2:12" x14ac:dyDescent="0.2">
      <c r="B6118"/>
      <c r="C6118"/>
      <c r="J6118"/>
      <c r="K6118"/>
      <c r="L6118"/>
    </row>
    <row r="6119" spans="2:12" x14ac:dyDescent="0.2">
      <c r="B6119"/>
      <c r="C6119"/>
      <c r="J6119"/>
      <c r="K6119"/>
      <c r="L6119"/>
    </row>
    <row r="6120" spans="2:12" x14ac:dyDescent="0.2">
      <c r="B6120"/>
      <c r="C6120"/>
      <c r="J6120"/>
      <c r="K6120"/>
      <c r="L6120"/>
    </row>
    <row r="6121" spans="2:12" x14ac:dyDescent="0.2">
      <c r="B6121"/>
      <c r="C6121"/>
      <c r="J6121"/>
      <c r="K6121"/>
      <c r="L6121"/>
    </row>
    <row r="6122" spans="2:12" x14ac:dyDescent="0.2">
      <c r="B6122"/>
      <c r="C6122"/>
      <c r="J6122"/>
      <c r="K6122"/>
      <c r="L6122"/>
    </row>
    <row r="6123" spans="2:12" x14ac:dyDescent="0.2">
      <c r="B6123"/>
      <c r="C6123"/>
      <c r="J6123"/>
      <c r="K6123"/>
      <c r="L6123"/>
    </row>
    <row r="6124" spans="2:12" x14ac:dyDescent="0.2">
      <c r="B6124"/>
      <c r="C6124"/>
      <c r="J6124"/>
      <c r="K6124"/>
      <c r="L6124"/>
    </row>
    <row r="6125" spans="2:12" x14ac:dyDescent="0.2">
      <c r="B6125"/>
      <c r="C6125"/>
      <c r="J6125"/>
      <c r="K6125"/>
      <c r="L6125"/>
    </row>
    <row r="6126" spans="2:12" x14ac:dyDescent="0.2">
      <c r="B6126"/>
      <c r="C6126"/>
      <c r="J6126"/>
      <c r="K6126"/>
      <c r="L6126"/>
    </row>
    <row r="6127" spans="2:12" x14ac:dyDescent="0.2">
      <c r="B6127"/>
      <c r="C6127"/>
      <c r="J6127"/>
      <c r="K6127"/>
      <c r="L6127"/>
    </row>
    <row r="6128" spans="2:12" x14ac:dyDescent="0.2">
      <c r="B6128"/>
      <c r="C6128"/>
      <c r="J6128"/>
      <c r="K6128"/>
      <c r="L6128"/>
    </row>
    <row r="6129" spans="2:12" x14ac:dyDescent="0.2">
      <c r="B6129"/>
      <c r="C6129"/>
      <c r="J6129"/>
      <c r="K6129"/>
      <c r="L6129"/>
    </row>
    <row r="6130" spans="2:12" x14ac:dyDescent="0.2">
      <c r="B6130"/>
      <c r="C6130"/>
      <c r="J6130"/>
      <c r="K6130"/>
      <c r="L6130"/>
    </row>
    <row r="6131" spans="2:12" x14ac:dyDescent="0.2">
      <c r="B6131"/>
      <c r="C6131"/>
      <c r="J6131"/>
      <c r="K6131"/>
      <c r="L6131"/>
    </row>
    <row r="6132" spans="2:12" x14ac:dyDescent="0.2">
      <c r="B6132"/>
      <c r="C6132"/>
      <c r="J6132"/>
      <c r="K6132"/>
      <c r="L6132"/>
    </row>
    <row r="6133" spans="2:12" x14ac:dyDescent="0.2">
      <c r="B6133"/>
      <c r="C6133"/>
      <c r="J6133"/>
      <c r="K6133"/>
      <c r="L6133"/>
    </row>
    <row r="6134" spans="2:12" x14ac:dyDescent="0.2">
      <c r="B6134"/>
      <c r="C6134"/>
      <c r="J6134"/>
      <c r="K6134"/>
      <c r="L6134"/>
    </row>
    <row r="6135" spans="2:12" x14ac:dyDescent="0.2">
      <c r="B6135"/>
      <c r="C6135"/>
      <c r="J6135"/>
      <c r="K6135"/>
      <c r="L6135"/>
    </row>
    <row r="6136" spans="2:12" x14ac:dyDescent="0.2">
      <c r="B6136"/>
      <c r="C6136"/>
      <c r="J6136"/>
      <c r="K6136"/>
      <c r="L6136"/>
    </row>
    <row r="6137" spans="2:12" x14ac:dyDescent="0.2">
      <c r="B6137"/>
      <c r="C6137"/>
      <c r="J6137"/>
      <c r="K6137"/>
      <c r="L6137"/>
    </row>
    <row r="6138" spans="2:12" x14ac:dyDescent="0.2">
      <c r="B6138"/>
      <c r="C6138"/>
      <c r="J6138"/>
      <c r="K6138"/>
      <c r="L6138"/>
    </row>
    <row r="6139" spans="2:12" x14ac:dyDescent="0.2">
      <c r="B6139"/>
      <c r="C6139"/>
      <c r="J6139"/>
      <c r="K6139"/>
      <c r="L6139"/>
    </row>
    <row r="6140" spans="2:12" x14ac:dyDescent="0.2">
      <c r="B6140"/>
      <c r="C6140"/>
      <c r="J6140"/>
      <c r="K6140"/>
      <c r="L6140"/>
    </row>
    <row r="6141" spans="2:12" x14ac:dyDescent="0.2">
      <c r="B6141"/>
      <c r="C6141"/>
      <c r="J6141"/>
      <c r="K6141"/>
      <c r="L6141"/>
    </row>
    <row r="6142" spans="2:12" x14ac:dyDescent="0.2">
      <c r="B6142"/>
      <c r="C6142"/>
      <c r="J6142"/>
      <c r="K6142"/>
      <c r="L6142"/>
    </row>
    <row r="6143" spans="2:12" x14ac:dyDescent="0.2">
      <c r="B6143"/>
      <c r="C6143"/>
      <c r="J6143"/>
      <c r="K6143"/>
      <c r="L6143"/>
    </row>
    <row r="6144" spans="2:12" x14ac:dyDescent="0.2">
      <c r="B6144"/>
      <c r="C6144"/>
      <c r="J6144"/>
      <c r="K6144"/>
      <c r="L6144"/>
    </row>
    <row r="6145" spans="2:12" x14ac:dyDescent="0.2">
      <c r="B6145"/>
      <c r="C6145"/>
      <c r="J6145"/>
      <c r="K6145"/>
      <c r="L6145"/>
    </row>
    <row r="6146" spans="2:12" x14ac:dyDescent="0.2">
      <c r="B6146"/>
      <c r="C6146"/>
      <c r="J6146"/>
      <c r="K6146"/>
      <c r="L6146"/>
    </row>
    <row r="6147" spans="2:12" x14ac:dyDescent="0.2">
      <c r="B6147"/>
      <c r="C6147"/>
      <c r="J6147"/>
      <c r="K6147"/>
      <c r="L6147"/>
    </row>
    <row r="6148" spans="2:12" x14ac:dyDescent="0.2">
      <c r="B6148"/>
      <c r="C6148"/>
      <c r="J6148"/>
      <c r="K6148"/>
      <c r="L6148"/>
    </row>
    <row r="6149" spans="2:12" x14ac:dyDescent="0.2">
      <c r="B6149"/>
      <c r="C6149"/>
      <c r="J6149"/>
      <c r="K6149"/>
      <c r="L6149"/>
    </row>
    <row r="6150" spans="2:12" x14ac:dyDescent="0.2">
      <c r="B6150"/>
      <c r="C6150"/>
      <c r="J6150"/>
      <c r="K6150"/>
      <c r="L6150"/>
    </row>
    <row r="6151" spans="2:12" x14ac:dyDescent="0.2">
      <c r="B6151"/>
      <c r="C6151"/>
      <c r="J6151"/>
      <c r="K6151"/>
      <c r="L6151"/>
    </row>
    <row r="6152" spans="2:12" x14ac:dyDescent="0.2">
      <c r="B6152"/>
      <c r="C6152"/>
      <c r="J6152"/>
      <c r="K6152"/>
      <c r="L6152"/>
    </row>
    <row r="6153" spans="2:12" x14ac:dyDescent="0.2">
      <c r="B6153"/>
      <c r="C6153"/>
      <c r="J6153"/>
      <c r="K6153"/>
      <c r="L6153"/>
    </row>
    <row r="6154" spans="2:12" x14ac:dyDescent="0.2">
      <c r="B6154"/>
      <c r="C6154"/>
      <c r="J6154"/>
      <c r="K6154"/>
      <c r="L6154"/>
    </row>
    <row r="6155" spans="2:12" x14ac:dyDescent="0.2">
      <c r="B6155"/>
      <c r="C6155"/>
      <c r="J6155"/>
      <c r="K6155"/>
      <c r="L6155"/>
    </row>
    <row r="6156" spans="2:12" x14ac:dyDescent="0.2">
      <c r="B6156"/>
      <c r="C6156"/>
      <c r="J6156"/>
      <c r="K6156"/>
      <c r="L6156"/>
    </row>
    <row r="6157" spans="2:12" x14ac:dyDescent="0.2">
      <c r="B6157"/>
      <c r="C6157"/>
      <c r="J6157"/>
      <c r="K6157"/>
      <c r="L6157"/>
    </row>
    <row r="6158" spans="2:12" x14ac:dyDescent="0.2">
      <c r="B6158"/>
      <c r="C6158"/>
      <c r="J6158"/>
      <c r="K6158"/>
      <c r="L6158"/>
    </row>
    <row r="6159" spans="2:12" x14ac:dyDescent="0.2">
      <c r="B6159"/>
      <c r="C6159"/>
      <c r="J6159"/>
      <c r="K6159"/>
      <c r="L6159"/>
    </row>
    <row r="6160" spans="2:12" x14ac:dyDescent="0.2">
      <c r="B6160"/>
      <c r="C6160"/>
      <c r="J6160"/>
      <c r="K6160"/>
      <c r="L6160"/>
    </row>
    <row r="6161" spans="2:12" x14ac:dyDescent="0.2">
      <c r="B6161"/>
      <c r="C6161"/>
      <c r="J6161"/>
      <c r="K6161"/>
      <c r="L6161"/>
    </row>
    <row r="6162" spans="2:12" x14ac:dyDescent="0.2">
      <c r="B6162"/>
      <c r="C6162"/>
      <c r="J6162"/>
      <c r="K6162"/>
      <c r="L6162"/>
    </row>
    <row r="6163" spans="2:12" x14ac:dyDescent="0.2">
      <c r="B6163"/>
      <c r="C6163"/>
      <c r="J6163"/>
      <c r="K6163"/>
      <c r="L6163"/>
    </row>
    <row r="6164" spans="2:12" x14ac:dyDescent="0.2">
      <c r="B6164"/>
      <c r="C6164"/>
      <c r="J6164"/>
      <c r="K6164"/>
      <c r="L6164"/>
    </row>
    <row r="6165" spans="2:12" x14ac:dyDescent="0.2">
      <c r="B6165"/>
      <c r="C6165"/>
      <c r="J6165"/>
      <c r="K6165"/>
      <c r="L6165"/>
    </row>
    <row r="6166" spans="2:12" x14ac:dyDescent="0.2">
      <c r="B6166"/>
      <c r="C6166"/>
      <c r="J6166"/>
      <c r="K6166"/>
      <c r="L6166"/>
    </row>
    <row r="6167" spans="2:12" x14ac:dyDescent="0.2">
      <c r="B6167"/>
      <c r="C6167"/>
      <c r="J6167"/>
      <c r="K6167"/>
      <c r="L6167"/>
    </row>
    <row r="6168" spans="2:12" x14ac:dyDescent="0.2">
      <c r="B6168"/>
      <c r="C6168"/>
      <c r="J6168"/>
      <c r="K6168"/>
      <c r="L6168"/>
    </row>
    <row r="6169" spans="2:12" x14ac:dyDescent="0.2">
      <c r="B6169"/>
      <c r="C6169"/>
      <c r="J6169"/>
      <c r="K6169"/>
      <c r="L6169"/>
    </row>
    <row r="6170" spans="2:12" x14ac:dyDescent="0.2">
      <c r="B6170"/>
      <c r="C6170"/>
      <c r="J6170"/>
      <c r="K6170"/>
      <c r="L6170"/>
    </row>
    <row r="6171" spans="2:12" x14ac:dyDescent="0.2">
      <c r="B6171"/>
      <c r="C6171"/>
      <c r="J6171"/>
      <c r="K6171"/>
      <c r="L6171"/>
    </row>
    <row r="6172" spans="2:12" x14ac:dyDescent="0.2">
      <c r="B6172"/>
      <c r="C6172"/>
      <c r="J6172"/>
      <c r="K6172"/>
      <c r="L6172"/>
    </row>
    <row r="6173" spans="2:12" x14ac:dyDescent="0.2">
      <c r="B6173"/>
      <c r="C6173"/>
      <c r="J6173"/>
      <c r="K6173"/>
      <c r="L6173"/>
    </row>
    <row r="6174" spans="2:12" x14ac:dyDescent="0.2">
      <c r="B6174"/>
      <c r="C6174"/>
      <c r="J6174"/>
      <c r="K6174"/>
      <c r="L6174"/>
    </row>
    <row r="6175" spans="2:12" x14ac:dyDescent="0.2">
      <c r="B6175"/>
      <c r="C6175"/>
      <c r="J6175"/>
      <c r="K6175"/>
      <c r="L6175"/>
    </row>
    <row r="6176" spans="2:12" x14ac:dyDescent="0.2">
      <c r="B6176"/>
      <c r="C6176"/>
      <c r="J6176"/>
      <c r="K6176"/>
      <c r="L6176"/>
    </row>
    <row r="6177" spans="2:12" x14ac:dyDescent="0.2">
      <c r="B6177"/>
      <c r="C6177"/>
      <c r="J6177"/>
      <c r="K6177"/>
      <c r="L6177"/>
    </row>
    <row r="6178" spans="2:12" x14ac:dyDescent="0.2">
      <c r="B6178"/>
      <c r="C6178"/>
      <c r="J6178"/>
      <c r="K6178"/>
      <c r="L6178"/>
    </row>
    <row r="6179" spans="2:12" x14ac:dyDescent="0.2">
      <c r="B6179"/>
      <c r="C6179"/>
      <c r="J6179"/>
      <c r="K6179"/>
      <c r="L6179"/>
    </row>
    <row r="6180" spans="2:12" x14ac:dyDescent="0.2">
      <c r="B6180"/>
      <c r="C6180"/>
      <c r="J6180"/>
      <c r="K6180"/>
      <c r="L6180"/>
    </row>
    <row r="6181" spans="2:12" x14ac:dyDescent="0.2">
      <c r="B6181"/>
      <c r="C6181"/>
      <c r="J6181"/>
      <c r="K6181"/>
      <c r="L6181"/>
    </row>
    <row r="6182" spans="2:12" x14ac:dyDescent="0.2">
      <c r="B6182"/>
      <c r="C6182"/>
      <c r="J6182"/>
      <c r="K6182"/>
      <c r="L6182"/>
    </row>
    <row r="6183" spans="2:12" x14ac:dyDescent="0.2">
      <c r="B6183"/>
      <c r="C6183"/>
      <c r="J6183"/>
      <c r="K6183"/>
      <c r="L6183"/>
    </row>
    <row r="6184" spans="2:12" x14ac:dyDescent="0.2">
      <c r="B6184"/>
      <c r="C6184"/>
      <c r="J6184"/>
      <c r="K6184"/>
      <c r="L6184"/>
    </row>
    <row r="6185" spans="2:12" x14ac:dyDescent="0.2">
      <c r="B6185"/>
      <c r="C6185"/>
      <c r="J6185"/>
      <c r="K6185"/>
      <c r="L6185"/>
    </row>
    <row r="6186" spans="2:12" x14ac:dyDescent="0.2">
      <c r="B6186"/>
      <c r="C6186"/>
      <c r="J6186"/>
      <c r="K6186"/>
      <c r="L6186"/>
    </row>
    <row r="6187" spans="2:12" x14ac:dyDescent="0.2">
      <c r="B6187"/>
      <c r="C6187"/>
      <c r="J6187"/>
      <c r="K6187"/>
      <c r="L6187"/>
    </row>
    <row r="6188" spans="2:12" x14ac:dyDescent="0.2">
      <c r="B6188"/>
      <c r="C6188"/>
      <c r="J6188"/>
      <c r="K6188"/>
      <c r="L6188"/>
    </row>
    <row r="6189" spans="2:12" x14ac:dyDescent="0.2">
      <c r="B6189"/>
      <c r="C6189"/>
      <c r="J6189"/>
      <c r="K6189"/>
      <c r="L6189"/>
    </row>
    <row r="6190" spans="2:12" x14ac:dyDescent="0.2">
      <c r="B6190"/>
      <c r="C6190"/>
      <c r="J6190"/>
      <c r="K6190"/>
      <c r="L6190"/>
    </row>
    <row r="6191" spans="2:12" x14ac:dyDescent="0.2">
      <c r="B6191"/>
      <c r="C6191"/>
      <c r="J6191"/>
      <c r="K6191"/>
      <c r="L6191"/>
    </row>
    <row r="6192" spans="2:12" x14ac:dyDescent="0.2">
      <c r="B6192"/>
      <c r="C6192"/>
      <c r="J6192"/>
      <c r="K6192"/>
      <c r="L6192"/>
    </row>
    <row r="6193" spans="2:12" x14ac:dyDescent="0.2">
      <c r="B6193"/>
      <c r="C6193"/>
      <c r="J6193"/>
      <c r="K6193"/>
      <c r="L6193"/>
    </row>
    <row r="6194" spans="2:12" x14ac:dyDescent="0.2">
      <c r="B6194"/>
      <c r="C6194"/>
      <c r="J6194"/>
      <c r="K6194"/>
      <c r="L6194"/>
    </row>
    <row r="6195" spans="2:12" x14ac:dyDescent="0.2">
      <c r="B6195"/>
      <c r="C6195"/>
      <c r="J6195"/>
      <c r="K6195"/>
      <c r="L6195"/>
    </row>
    <row r="6196" spans="2:12" x14ac:dyDescent="0.2">
      <c r="B6196"/>
      <c r="C6196"/>
      <c r="J6196"/>
      <c r="K6196"/>
      <c r="L6196"/>
    </row>
    <row r="6197" spans="2:12" x14ac:dyDescent="0.2">
      <c r="B6197"/>
      <c r="C6197"/>
      <c r="J6197"/>
      <c r="K6197"/>
      <c r="L6197"/>
    </row>
    <row r="6198" spans="2:12" x14ac:dyDescent="0.2">
      <c r="B6198"/>
      <c r="C6198"/>
      <c r="J6198"/>
      <c r="K6198"/>
      <c r="L6198"/>
    </row>
    <row r="6199" spans="2:12" x14ac:dyDescent="0.2">
      <c r="B6199"/>
      <c r="C6199"/>
      <c r="J6199"/>
      <c r="K6199"/>
      <c r="L6199"/>
    </row>
    <row r="6200" spans="2:12" x14ac:dyDescent="0.2">
      <c r="B6200"/>
      <c r="C6200"/>
      <c r="J6200"/>
      <c r="K6200"/>
      <c r="L6200"/>
    </row>
    <row r="6201" spans="2:12" x14ac:dyDescent="0.2">
      <c r="B6201"/>
      <c r="C6201"/>
      <c r="J6201"/>
      <c r="K6201"/>
      <c r="L6201"/>
    </row>
    <row r="6202" spans="2:12" x14ac:dyDescent="0.2">
      <c r="B6202"/>
      <c r="C6202"/>
      <c r="J6202"/>
      <c r="K6202"/>
      <c r="L6202"/>
    </row>
    <row r="6203" spans="2:12" x14ac:dyDescent="0.2">
      <c r="B6203"/>
      <c r="C6203"/>
      <c r="J6203"/>
      <c r="K6203"/>
      <c r="L6203"/>
    </row>
    <row r="6204" spans="2:12" x14ac:dyDescent="0.2">
      <c r="B6204"/>
      <c r="C6204"/>
      <c r="J6204"/>
      <c r="K6204"/>
      <c r="L6204"/>
    </row>
    <row r="6205" spans="2:12" x14ac:dyDescent="0.2">
      <c r="B6205"/>
      <c r="C6205"/>
      <c r="J6205"/>
      <c r="K6205"/>
      <c r="L6205"/>
    </row>
    <row r="6206" spans="2:12" x14ac:dyDescent="0.2">
      <c r="B6206"/>
      <c r="C6206"/>
      <c r="J6206"/>
      <c r="K6206"/>
      <c r="L6206"/>
    </row>
    <row r="6207" spans="2:12" x14ac:dyDescent="0.2">
      <c r="B6207"/>
      <c r="C6207"/>
      <c r="J6207"/>
      <c r="K6207"/>
      <c r="L6207"/>
    </row>
    <row r="6208" spans="2:12" x14ac:dyDescent="0.2">
      <c r="B6208"/>
      <c r="C6208"/>
      <c r="J6208"/>
      <c r="K6208"/>
      <c r="L6208"/>
    </row>
    <row r="6209" spans="2:12" x14ac:dyDescent="0.2">
      <c r="B6209"/>
      <c r="C6209"/>
      <c r="J6209"/>
      <c r="K6209"/>
      <c r="L6209"/>
    </row>
    <row r="6210" spans="2:12" x14ac:dyDescent="0.2">
      <c r="B6210"/>
      <c r="C6210"/>
      <c r="J6210"/>
      <c r="K6210"/>
      <c r="L6210"/>
    </row>
    <row r="6211" spans="2:12" x14ac:dyDescent="0.2">
      <c r="B6211"/>
      <c r="C6211"/>
      <c r="J6211"/>
      <c r="K6211"/>
      <c r="L6211"/>
    </row>
    <row r="6212" spans="2:12" x14ac:dyDescent="0.2">
      <c r="B6212"/>
      <c r="C6212"/>
      <c r="J6212"/>
      <c r="K6212"/>
      <c r="L6212"/>
    </row>
    <row r="6213" spans="2:12" x14ac:dyDescent="0.2">
      <c r="B6213"/>
      <c r="C6213"/>
      <c r="J6213"/>
      <c r="K6213"/>
      <c r="L6213"/>
    </row>
    <row r="6214" spans="2:12" x14ac:dyDescent="0.2">
      <c r="B6214"/>
      <c r="C6214"/>
      <c r="J6214"/>
      <c r="K6214"/>
      <c r="L6214"/>
    </row>
    <row r="6215" spans="2:12" x14ac:dyDescent="0.2">
      <c r="B6215"/>
      <c r="C6215"/>
      <c r="J6215"/>
      <c r="K6215"/>
      <c r="L6215"/>
    </row>
    <row r="6216" spans="2:12" x14ac:dyDescent="0.2">
      <c r="B6216"/>
      <c r="C6216"/>
      <c r="J6216"/>
      <c r="K6216"/>
      <c r="L6216"/>
    </row>
    <row r="6217" spans="2:12" x14ac:dyDescent="0.2">
      <c r="B6217"/>
      <c r="C6217"/>
      <c r="J6217"/>
      <c r="K6217"/>
      <c r="L6217"/>
    </row>
    <row r="6218" spans="2:12" x14ac:dyDescent="0.2">
      <c r="B6218"/>
      <c r="C6218"/>
      <c r="J6218"/>
      <c r="K6218"/>
      <c r="L6218"/>
    </row>
    <row r="6219" spans="2:12" x14ac:dyDescent="0.2">
      <c r="B6219"/>
      <c r="C6219"/>
      <c r="J6219"/>
      <c r="K6219"/>
      <c r="L6219"/>
    </row>
    <row r="6220" spans="2:12" x14ac:dyDescent="0.2">
      <c r="B6220"/>
      <c r="C6220"/>
      <c r="J6220"/>
      <c r="K6220"/>
      <c r="L6220"/>
    </row>
    <row r="6221" spans="2:12" x14ac:dyDescent="0.2">
      <c r="B6221"/>
      <c r="C6221"/>
      <c r="J6221"/>
      <c r="K6221"/>
      <c r="L6221"/>
    </row>
    <row r="6222" spans="2:12" x14ac:dyDescent="0.2">
      <c r="B6222"/>
      <c r="C6222"/>
      <c r="J6222"/>
      <c r="K6222"/>
      <c r="L6222"/>
    </row>
    <row r="6223" spans="2:12" x14ac:dyDescent="0.2">
      <c r="B6223"/>
      <c r="C6223"/>
      <c r="J6223"/>
      <c r="K6223"/>
      <c r="L6223"/>
    </row>
    <row r="6224" spans="2:12" x14ac:dyDescent="0.2">
      <c r="B6224"/>
      <c r="C6224"/>
      <c r="J6224"/>
      <c r="K6224"/>
      <c r="L6224"/>
    </row>
    <row r="6225" spans="2:12" x14ac:dyDescent="0.2">
      <c r="B6225"/>
      <c r="C6225"/>
      <c r="J6225"/>
      <c r="K6225"/>
      <c r="L6225"/>
    </row>
    <row r="6226" spans="2:12" x14ac:dyDescent="0.2">
      <c r="B6226"/>
      <c r="C6226"/>
      <c r="J6226"/>
      <c r="K6226"/>
      <c r="L6226"/>
    </row>
    <row r="6227" spans="2:12" x14ac:dyDescent="0.2">
      <c r="B6227"/>
      <c r="C6227"/>
      <c r="J6227"/>
      <c r="K6227"/>
      <c r="L6227"/>
    </row>
    <row r="6228" spans="2:12" x14ac:dyDescent="0.2">
      <c r="B6228"/>
      <c r="C6228"/>
      <c r="J6228"/>
      <c r="K6228"/>
      <c r="L6228"/>
    </row>
    <row r="6229" spans="2:12" x14ac:dyDescent="0.2">
      <c r="B6229"/>
      <c r="C6229"/>
      <c r="J6229"/>
      <c r="K6229"/>
      <c r="L6229"/>
    </row>
    <row r="6230" spans="2:12" x14ac:dyDescent="0.2">
      <c r="B6230"/>
      <c r="C6230"/>
      <c r="J6230"/>
      <c r="K6230"/>
      <c r="L6230"/>
    </row>
    <row r="6231" spans="2:12" x14ac:dyDescent="0.2">
      <c r="B6231"/>
      <c r="C6231"/>
      <c r="J6231"/>
      <c r="K6231"/>
      <c r="L6231"/>
    </row>
    <row r="6232" spans="2:12" x14ac:dyDescent="0.2">
      <c r="B6232"/>
      <c r="C6232"/>
      <c r="J6232"/>
      <c r="K6232"/>
      <c r="L6232"/>
    </row>
    <row r="6233" spans="2:12" x14ac:dyDescent="0.2">
      <c r="B6233"/>
      <c r="C6233"/>
      <c r="J6233"/>
      <c r="K6233"/>
      <c r="L6233"/>
    </row>
    <row r="6234" spans="2:12" x14ac:dyDescent="0.2">
      <c r="B6234"/>
      <c r="C6234"/>
      <c r="J6234"/>
      <c r="K6234"/>
      <c r="L6234"/>
    </row>
    <row r="6235" spans="2:12" x14ac:dyDescent="0.2">
      <c r="B6235"/>
      <c r="C6235"/>
      <c r="J6235"/>
      <c r="K6235"/>
      <c r="L6235"/>
    </row>
    <row r="6236" spans="2:12" x14ac:dyDescent="0.2">
      <c r="B6236"/>
      <c r="C6236"/>
      <c r="J6236"/>
      <c r="K6236"/>
      <c r="L6236"/>
    </row>
    <row r="6237" spans="2:12" x14ac:dyDescent="0.2">
      <c r="B6237"/>
      <c r="C6237"/>
      <c r="J6237"/>
      <c r="K6237"/>
      <c r="L6237"/>
    </row>
    <row r="6238" spans="2:12" x14ac:dyDescent="0.2">
      <c r="B6238"/>
      <c r="C6238"/>
      <c r="J6238"/>
      <c r="K6238"/>
      <c r="L6238"/>
    </row>
    <row r="6239" spans="2:12" x14ac:dyDescent="0.2">
      <c r="B6239"/>
      <c r="C6239"/>
      <c r="J6239"/>
      <c r="K6239"/>
      <c r="L6239"/>
    </row>
    <row r="6240" spans="2:12" x14ac:dyDescent="0.2">
      <c r="B6240"/>
      <c r="C6240"/>
      <c r="J6240"/>
      <c r="K6240"/>
      <c r="L6240"/>
    </row>
    <row r="6241" spans="2:12" x14ac:dyDescent="0.2">
      <c r="B6241"/>
      <c r="C6241"/>
      <c r="J6241"/>
      <c r="K6241"/>
      <c r="L6241"/>
    </row>
    <row r="6242" spans="2:12" x14ac:dyDescent="0.2">
      <c r="B6242"/>
      <c r="C6242"/>
      <c r="J6242"/>
      <c r="K6242"/>
      <c r="L6242"/>
    </row>
    <row r="6243" spans="2:12" x14ac:dyDescent="0.2">
      <c r="B6243"/>
      <c r="C6243"/>
      <c r="J6243"/>
      <c r="K6243"/>
      <c r="L6243"/>
    </row>
    <row r="6244" spans="2:12" x14ac:dyDescent="0.2">
      <c r="B6244"/>
      <c r="C6244"/>
      <c r="J6244"/>
      <c r="K6244"/>
      <c r="L6244"/>
    </row>
    <row r="6245" spans="2:12" x14ac:dyDescent="0.2">
      <c r="B6245"/>
      <c r="C6245"/>
      <c r="J6245"/>
      <c r="K6245"/>
      <c r="L6245"/>
    </row>
    <row r="6246" spans="2:12" x14ac:dyDescent="0.2">
      <c r="B6246"/>
      <c r="C6246"/>
      <c r="J6246"/>
      <c r="K6246"/>
      <c r="L6246"/>
    </row>
    <row r="6247" spans="2:12" x14ac:dyDescent="0.2">
      <c r="B6247"/>
      <c r="C6247"/>
      <c r="J6247"/>
      <c r="K6247"/>
      <c r="L6247"/>
    </row>
    <row r="6248" spans="2:12" x14ac:dyDescent="0.2">
      <c r="B6248"/>
      <c r="C6248"/>
      <c r="J6248"/>
      <c r="K6248"/>
      <c r="L6248"/>
    </row>
    <row r="6249" spans="2:12" x14ac:dyDescent="0.2">
      <c r="B6249"/>
      <c r="C6249"/>
      <c r="J6249"/>
      <c r="K6249"/>
      <c r="L6249"/>
    </row>
    <row r="6250" spans="2:12" x14ac:dyDescent="0.2">
      <c r="B6250"/>
      <c r="C6250"/>
      <c r="J6250"/>
      <c r="K6250"/>
      <c r="L6250"/>
    </row>
    <row r="6251" spans="2:12" x14ac:dyDescent="0.2">
      <c r="B6251"/>
      <c r="C6251"/>
      <c r="J6251"/>
      <c r="K6251"/>
      <c r="L6251"/>
    </row>
    <row r="6252" spans="2:12" x14ac:dyDescent="0.2">
      <c r="B6252"/>
      <c r="C6252"/>
      <c r="J6252"/>
      <c r="K6252"/>
      <c r="L6252"/>
    </row>
    <row r="6253" spans="2:12" x14ac:dyDescent="0.2">
      <c r="B6253"/>
      <c r="C6253"/>
      <c r="J6253"/>
      <c r="K6253"/>
      <c r="L6253"/>
    </row>
    <row r="6254" spans="2:12" x14ac:dyDescent="0.2">
      <c r="B6254"/>
      <c r="C6254"/>
      <c r="J6254"/>
      <c r="K6254"/>
      <c r="L6254"/>
    </row>
    <row r="6255" spans="2:12" x14ac:dyDescent="0.2">
      <c r="B6255"/>
      <c r="C6255"/>
      <c r="J6255"/>
      <c r="K6255"/>
      <c r="L6255"/>
    </row>
    <row r="6256" spans="2:12" x14ac:dyDescent="0.2">
      <c r="B6256"/>
      <c r="C6256"/>
      <c r="J6256"/>
      <c r="K6256"/>
      <c r="L6256"/>
    </row>
    <row r="6257" spans="2:12" x14ac:dyDescent="0.2">
      <c r="B6257"/>
      <c r="C6257"/>
      <c r="J6257"/>
      <c r="K6257"/>
      <c r="L6257"/>
    </row>
    <row r="6258" spans="2:12" x14ac:dyDescent="0.2">
      <c r="B6258"/>
      <c r="C6258"/>
      <c r="J6258"/>
      <c r="K6258"/>
      <c r="L6258"/>
    </row>
    <row r="6259" spans="2:12" x14ac:dyDescent="0.2">
      <c r="B6259"/>
      <c r="C6259"/>
      <c r="J6259"/>
      <c r="K6259"/>
      <c r="L6259"/>
    </row>
    <row r="6260" spans="2:12" x14ac:dyDescent="0.2">
      <c r="B6260"/>
      <c r="C6260"/>
      <c r="J6260"/>
      <c r="K6260"/>
      <c r="L6260"/>
    </row>
    <row r="6261" spans="2:12" x14ac:dyDescent="0.2">
      <c r="B6261"/>
      <c r="C6261"/>
      <c r="J6261"/>
      <c r="K6261"/>
      <c r="L6261"/>
    </row>
    <row r="6262" spans="2:12" x14ac:dyDescent="0.2">
      <c r="B6262"/>
      <c r="C6262"/>
      <c r="J6262"/>
      <c r="K6262"/>
      <c r="L6262"/>
    </row>
    <row r="6263" spans="2:12" x14ac:dyDescent="0.2">
      <c r="B6263"/>
      <c r="C6263"/>
      <c r="J6263"/>
      <c r="K6263"/>
      <c r="L6263"/>
    </row>
    <row r="6264" spans="2:12" x14ac:dyDescent="0.2">
      <c r="B6264"/>
      <c r="C6264"/>
      <c r="J6264"/>
      <c r="K6264"/>
      <c r="L6264"/>
    </row>
    <row r="6265" spans="2:12" x14ac:dyDescent="0.2">
      <c r="B6265"/>
      <c r="C6265"/>
      <c r="J6265"/>
      <c r="K6265"/>
      <c r="L6265"/>
    </row>
    <row r="6266" spans="2:12" x14ac:dyDescent="0.2">
      <c r="B6266"/>
      <c r="C6266"/>
      <c r="J6266"/>
      <c r="K6266"/>
      <c r="L6266"/>
    </row>
    <row r="6267" spans="2:12" x14ac:dyDescent="0.2">
      <c r="B6267"/>
      <c r="C6267"/>
      <c r="J6267"/>
      <c r="K6267"/>
      <c r="L6267"/>
    </row>
    <row r="6268" spans="2:12" x14ac:dyDescent="0.2">
      <c r="B6268"/>
      <c r="C6268"/>
      <c r="J6268"/>
      <c r="K6268"/>
      <c r="L6268"/>
    </row>
    <row r="6269" spans="2:12" x14ac:dyDescent="0.2">
      <c r="B6269"/>
      <c r="C6269"/>
      <c r="J6269"/>
      <c r="K6269"/>
      <c r="L6269"/>
    </row>
    <row r="6270" spans="2:12" x14ac:dyDescent="0.2">
      <c r="B6270"/>
      <c r="C6270"/>
      <c r="J6270"/>
      <c r="K6270"/>
      <c r="L6270"/>
    </row>
    <row r="6271" spans="2:12" x14ac:dyDescent="0.2">
      <c r="B6271"/>
      <c r="C6271"/>
      <c r="J6271"/>
      <c r="K6271"/>
      <c r="L6271"/>
    </row>
    <row r="6272" spans="2:12" x14ac:dyDescent="0.2">
      <c r="B6272"/>
      <c r="C6272"/>
      <c r="J6272"/>
      <c r="K6272"/>
      <c r="L6272"/>
    </row>
    <row r="6273" spans="2:12" x14ac:dyDescent="0.2">
      <c r="B6273"/>
      <c r="C6273"/>
      <c r="J6273"/>
      <c r="K6273"/>
      <c r="L6273"/>
    </row>
    <row r="6274" spans="2:12" x14ac:dyDescent="0.2">
      <c r="B6274"/>
      <c r="C6274"/>
      <c r="J6274"/>
      <c r="K6274"/>
      <c r="L6274"/>
    </row>
    <row r="6275" spans="2:12" x14ac:dyDescent="0.2">
      <c r="B6275"/>
      <c r="C6275"/>
      <c r="J6275"/>
      <c r="K6275"/>
      <c r="L6275"/>
    </row>
    <row r="6276" spans="2:12" x14ac:dyDescent="0.2">
      <c r="B6276"/>
      <c r="C6276"/>
      <c r="J6276"/>
      <c r="K6276"/>
      <c r="L6276"/>
    </row>
    <row r="6277" spans="2:12" x14ac:dyDescent="0.2">
      <c r="B6277"/>
      <c r="C6277"/>
      <c r="J6277"/>
      <c r="K6277"/>
      <c r="L6277"/>
    </row>
    <row r="6278" spans="2:12" x14ac:dyDescent="0.2">
      <c r="B6278"/>
      <c r="C6278"/>
      <c r="J6278"/>
      <c r="K6278"/>
      <c r="L6278"/>
    </row>
    <row r="6279" spans="2:12" x14ac:dyDescent="0.2">
      <c r="B6279"/>
      <c r="C6279"/>
      <c r="J6279"/>
      <c r="K6279"/>
      <c r="L6279"/>
    </row>
    <row r="6280" spans="2:12" x14ac:dyDescent="0.2">
      <c r="B6280"/>
      <c r="C6280"/>
      <c r="J6280"/>
      <c r="K6280"/>
      <c r="L6280"/>
    </row>
    <row r="6281" spans="2:12" x14ac:dyDescent="0.2">
      <c r="B6281"/>
      <c r="C6281"/>
      <c r="J6281"/>
      <c r="K6281"/>
      <c r="L6281"/>
    </row>
    <row r="6282" spans="2:12" x14ac:dyDescent="0.2">
      <c r="B6282"/>
      <c r="C6282"/>
      <c r="J6282"/>
      <c r="K6282"/>
      <c r="L6282"/>
    </row>
    <row r="6283" spans="2:12" x14ac:dyDescent="0.2">
      <c r="B6283"/>
      <c r="C6283"/>
      <c r="J6283"/>
      <c r="K6283"/>
      <c r="L6283"/>
    </row>
    <row r="6284" spans="2:12" x14ac:dyDescent="0.2">
      <c r="B6284"/>
      <c r="C6284"/>
      <c r="J6284"/>
      <c r="K6284"/>
      <c r="L6284"/>
    </row>
    <row r="6285" spans="2:12" x14ac:dyDescent="0.2">
      <c r="B6285"/>
      <c r="C6285"/>
      <c r="J6285"/>
      <c r="K6285"/>
      <c r="L6285"/>
    </row>
    <row r="6286" spans="2:12" x14ac:dyDescent="0.2">
      <c r="B6286"/>
      <c r="C6286"/>
      <c r="J6286"/>
      <c r="K6286"/>
      <c r="L6286"/>
    </row>
    <row r="6287" spans="2:12" x14ac:dyDescent="0.2">
      <c r="B6287"/>
      <c r="C6287"/>
      <c r="J6287"/>
      <c r="K6287"/>
      <c r="L6287"/>
    </row>
    <row r="6288" spans="2:12" x14ac:dyDescent="0.2">
      <c r="B6288"/>
      <c r="C6288"/>
      <c r="J6288"/>
      <c r="K6288"/>
      <c r="L6288"/>
    </row>
    <row r="6289" spans="2:12" x14ac:dyDescent="0.2">
      <c r="B6289"/>
      <c r="C6289"/>
      <c r="J6289"/>
      <c r="K6289"/>
      <c r="L6289"/>
    </row>
    <row r="6290" spans="2:12" x14ac:dyDescent="0.2">
      <c r="B6290"/>
      <c r="C6290"/>
      <c r="J6290"/>
      <c r="K6290"/>
      <c r="L6290"/>
    </row>
    <row r="6291" spans="2:12" x14ac:dyDescent="0.2">
      <c r="B6291"/>
      <c r="C6291"/>
      <c r="J6291"/>
      <c r="K6291"/>
      <c r="L6291"/>
    </row>
    <row r="6292" spans="2:12" x14ac:dyDescent="0.2">
      <c r="B6292"/>
      <c r="C6292"/>
      <c r="J6292"/>
      <c r="K6292"/>
      <c r="L6292"/>
    </row>
    <row r="6293" spans="2:12" x14ac:dyDescent="0.2">
      <c r="B6293"/>
      <c r="C6293"/>
      <c r="J6293"/>
      <c r="K6293"/>
      <c r="L6293"/>
    </row>
    <row r="6294" spans="2:12" x14ac:dyDescent="0.2">
      <c r="B6294"/>
      <c r="C6294"/>
      <c r="J6294"/>
      <c r="K6294"/>
      <c r="L6294"/>
    </row>
    <row r="6295" spans="2:12" x14ac:dyDescent="0.2">
      <c r="B6295"/>
      <c r="C6295"/>
      <c r="J6295"/>
      <c r="K6295"/>
      <c r="L6295"/>
    </row>
    <row r="6296" spans="2:12" x14ac:dyDescent="0.2">
      <c r="B6296"/>
      <c r="C6296"/>
      <c r="J6296"/>
      <c r="K6296"/>
      <c r="L6296"/>
    </row>
    <row r="6297" spans="2:12" x14ac:dyDescent="0.2">
      <c r="B6297"/>
      <c r="C6297"/>
      <c r="J6297"/>
      <c r="K6297"/>
      <c r="L6297"/>
    </row>
    <row r="6298" spans="2:12" x14ac:dyDescent="0.2">
      <c r="B6298"/>
      <c r="C6298"/>
      <c r="J6298"/>
      <c r="K6298"/>
      <c r="L6298"/>
    </row>
    <row r="6299" spans="2:12" x14ac:dyDescent="0.2">
      <c r="B6299"/>
      <c r="C6299"/>
      <c r="J6299"/>
      <c r="K6299"/>
      <c r="L6299"/>
    </row>
    <row r="6300" spans="2:12" x14ac:dyDescent="0.2">
      <c r="B6300"/>
      <c r="C6300"/>
      <c r="J6300"/>
      <c r="K6300"/>
      <c r="L6300"/>
    </row>
    <row r="6301" spans="2:12" x14ac:dyDescent="0.2">
      <c r="B6301"/>
      <c r="C6301"/>
      <c r="J6301"/>
      <c r="K6301"/>
      <c r="L6301"/>
    </row>
    <row r="6302" spans="2:12" x14ac:dyDescent="0.2">
      <c r="B6302"/>
      <c r="C6302"/>
      <c r="J6302"/>
      <c r="K6302"/>
      <c r="L6302"/>
    </row>
    <row r="6303" spans="2:12" x14ac:dyDescent="0.2">
      <c r="B6303"/>
      <c r="C6303"/>
      <c r="J6303"/>
      <c r="K6303"/>
      <c r="L6303"/>
    </row>
    <row r="6304" spans="2:12" x14ac:dyDescent="0.2">
      <c r="B6304"/>
      <c r="C6304"/>
      <c r="J6304"/>
      <c r="K6304"/>
      <c r="L6304"/>
    </row>
    <row r="6305" spans="2:12" x14ac:dyDescent="0.2">
      <c r="B6305"/>
      <c r="C6305"/>
      <c r="J6305"/>
      <c r="K6305"/>
      <c r="L6305"/>
    </row>
    <row r="6306" spans="2:12" x14ac:dyDescent="0.2">
      <c r="B6306"/>
      <c r="C6306"/>
      <c r="J6306"/>
      <c r="K6306"/>
      <c r="L6306"/>
    </row>
    <row r="6307" spans="2:12" x14ac:dyDescent="0.2">
      <c r="B6307"/>
      <c r="C6307"/>
      <c r="J6307"/>
      <c r="K6307"/>
      <c r="L6307"/>
    </row>
    <row r="6308" spans="2:12" x14ac:dyDescent="0.2">
      <c r="B6308"/>
      <c r="C6308"/>
      <c r="J6308"/>
      <c r="K6308"/>
      <c r="L6308"/>
    </row>
    <row r="6309" spans="2:12" x14ac:dyDescent="0.2">
      <c r="B6309"/>
      <c r="C6309"/>
      <c r="J6309"/>
      <c r="K6309"/>
      <c r="L6309"/>
    </row>
    <row r="6310" spans="2:12" x14ac:dyDescent="0.2">
      <c r="B6310"/>
      <c r="C6310"/>
      <c r="J6310"/>
      <c r="K6310"/>
      <c r="L6310"/>
    </row>
    <row r="6311" spans="2:12" x14ac:dyDescent="0.2">
      <c r="B6311"/>
      <c r="C6311"/>
      <c r="J6311"/>
      <c r="K6311"/>
      <c r="L6311"/>
    </row>
    <row r="6312" spans="2:12" x14ac:dyDescent="0.2">
      <c r="B6312"/>
      <c r="C6312"/>
      <c r="J6312"/>
      <c r="K6312"/>
      <c r="L6312"/>
    </row>
    <row r="6313" spans="2:12" x14ac:dyDescent="0.2">
      <c r="B6313"/>
      <c r="C6313"/>
      <c r="J6313"/>
      <c r="K6313"/>
      <c r="L6313"/>
    </row>
    <row r="6314" spans="2:12" x14ac:dyDescent="0.2">
      <c r="B6314"/>
      <c r="C6314"/>
      <c r="J6314"/>
      <c r="K6314"/>
      <c r="L6314"/>
    </row>
    <row r="6315" spans="2:12" x14ac:dyDescent="0.2">
      <c r="B6315"/>
      <c r="C6315"/>
      <c r="J6315"/>
      <c r="K6315"/>
      <c r="L6315"/>
    </row>
    <row r="6316" spans="2:12" x14ac:dyDescent="0.2">
      <c r="B6316"/>
      <c r="C6316"/>
      <c r="J6316"/>
      <c r="K6316"/>
      <c r="L6316"/>
    </row>
    <row r="6317" spans="2:12" x14ac:dyDescent="0.2">
      <c r="B6317"/>
      <c r="C6317"/>
      <c r="J6317"/>
      <c r="K6317"/>
      <c r="L6317"/>
    </row>
    <row r="6318" spans="2:12" x14ac:dyDescent="0.2">
      <c r="B6318"/>
      <c r="C6318"/>
      <c r="J6318"/>
      <c r="K6318"/>
      <c r="L6318"/>
    </row>
    <row r="6319" spans="2:12" x14ac:dyDescent="0.2">
      <c r="B6319"/>
      <c r="C6319"/>
      <c r="J6319"/>
      <c r="K6319"/>
      <c r="L6319"/>
    </row>
    <row r="6320" spans="2:12" x14ac:dyDescent="0.2">
      <c r="B6320"/>
      <c r="C6320"/>
      <c r="J6320"/>
      <c r="K6320"/>
      <c r="L6320"/>
    </row>
    <row r="6321" spans="2:12" x14ac:dyDescent="0.2">
      <c r="B6321"/>
      <c r="C6321"/>
      <c r="J6321"/>
      <c r="K6321"/>
      <c r="L6321"/>
    </row>
    <row r="6322" spans="2:12" x14ac:dyDescent="0.2">
      <c r="B6322"/>
      <c r="C6322"/>
      <c r="J6322"/>
      <c r="K6322"/>
      <c r="L6322"/>
    </row>
    <row r="6323" spans="2:12" x14ac:dyDescent="0.2">
      <c r="B6323"/>
      <c r="C6323"/>
      <c r="J6323"/>
      <c r="K6323"/>
      <c r="L6323"/>
    </row>
    <row r="6324" spans="2:12" x14ac:dyDescent="0.2">
      <c r="B6324"/>
      <c r="C6324"/>
      <c r="J6324"/>
      <c r="K6324"/>
      <c r="L6324"/>
    </row>
    <row r="6325" spans="2:12" x14ac:dyDescent="0.2">
      <c r="B6325"/>
      <c r="C6325"/>
      <c r="J6325"/>
      <c r="K6325"/>
      <c r="L6325"/>
    </row>
    <row r="6326" spans="2:12" x14ac:dyDescent="0.2">
      <c r="B6326"/>
      <c r="C6326"/>
      <c r="J6326"/>
      <c r="K6326"/>
      <c r="L6326"/>
    </row>
    <row r="6327" spans="2:12" x14ac:dyDescent="0.2">
      <c r="B6327"/>
      <c r="C6327"/>
      <c r="J6327"/>
      <c r="K6327"/>
      <c r="L6327"/>
    </row>
    <row r="6328" spans="2:12" x14ac:dyDescent="0.2">
      <c r="B6328"/>
      <c r="C6328"/>
      <c r="J6328"/>
      <c r="K6328"/>
      <c r="L6328"/>
    </row>
    <row r="6329" spans="2:12" x14ac:dyDescent="0.2">
      <c r="B6329"/>
      <c r="C6329"/>
      <c r="J6329"/>
      <c r="K6329"/>
      <c r="L6329"/>
    </row>
    <row r="6330" spans="2:12" x14ac:dyDescent="0.2">
      <c r="B6330"/>
      <c r="C6330"/>
      <c r="J6330"/>
      <c r="K6330"/>
      <c r="L6330"/>
    </row>
    <row r="6331" spans="2:12" x14ac:dyDescent="0.2">
      <c r="B6331"/>
      <c r="C6331"/>
      <c r="J6331"/>
      <c r="K6331"/>
      <c r="L6331"/>
    </row>
    <row r="6332" spans="2:12" x14ac:dyDescent="0.2">
      <c r="B6332"/>
      <c r="C6332"/>
      <c r="J6332"/>
      <c r="K6332"/>
      <c r="L6332"/>
    </row>
    <row r="6333" spans="2:12" x14ac:dyDescent="0.2">
      <c r="B6333"/>
      <c r="C6333"/>
      <c r="J6333"/>
      <c r="K6333"/>
      <c r="L6333"/>
    </row>
    <row r="6334" spans="2:12" x14ac:dyDescent="0.2">
      <c r="B6334"/>
      <c r="C6334"/>
      <c r="J6334"/>
      <c r="K6334"/>
      <c r="L6334"/>
    </row>
    <row r="6335" spans="2:12" x14ac:dyDescent="0.2">
      <c r="B6335"/>
      <c r="C6335"/>
      <c r="J6335"/>
      <c r="K6335"/>
      <c r="L6335"/>
    </row>
    <row r="6336" spans="2:12" x14ac:dyDescent="0.2">
      <c r="B6336"/>
      <c r="C6336"/>
      <c r="J6336"/>
      <c r="K6336"/>
      <c r="L6336"/>
    </row>
    <row r="6337" spans="2:12" x14ac:dyDescent="0.2">
      <c r="B6337"/>
      <c r="C6337"/>
      <c r="J6337"/>
      <c r="K6337"/>
      <c r="L6337"/>
    </row>
    <row r="6338" spans="2:12" x14ac:dyDescent="0.2">
      <c r="B6338"/>
      <c r="C6338"/>
      <c r="J6338"/>
      <c r="K6338"/>
      <c r="L6338"/>
    </row>
    <row r="6339" spans="2:12" x14ac:dyDescent="0.2">
      <c r="B6339"/>
      <c r="C6339"/>
      <c r="J6339"/>
      <c r="K6339"/>
      <c r="L6339"/>
    </row>
    <row r="6340" spans="2:12" x14ac:dyDescent="0.2">
      <c r="B6340"/>
      <c r="C6340"/>
      <c r="J6340"/>
      <c r="K6340"/>
      <c r="L6340"/>
    </row>
    <row r="6341" spans="2:12" x14ac:dyDescent="0.2">
      <c r="B6341"/>
      <c r="C6341"/>
      <c r="J6341"/>
      <c r="K6341"/>
      <c r="L6341"/>
    </row>
    <row r="6342" spans="2:12" x14ac:dyDescent="0.2">
      <c r="B6342"/>
      <c r="C6342"/>
      <c r="J6342"/>
      <c r="K6342"/>
      <c r="L6342"/>
    </row>
    <row r="6343" spans="2:12" x14ac:dyDescent="0.2">
      <c r="B6343"/>
      <c r="C6343"/>
      <c r="J6343"/>
      <c r="K6343"/>
      <c r="L6343"/>
    </row>
    <row r="6344" spans="2:12" x14ac:dyDescent="0.2">
      <c r="B6344"/>
      <c r="C6344"/>
      <c r="J6344"/>
      <c r="K6344"/>
      <c r="L6344"/>
    </row>
    <row r="6345" spans="2:12" x14ac:dyDescent="0.2">
      <c r="B6345"/>
      <c r="C6345"/>
      <c r="J6345"/>
      <c r="K6345"/>
      <c r="L6345"/>
    </row>
    <row r="6346" spans="2:12" x14ac:dyDescent="0.2">
      <c r="B6346"/>
      <c r="C6346"/>
      <c r="J6346"/>
      <c r="K6346"/>
      <c r="L6346"/>
    </row>
    <row r="6347" spans="2:12" x14ac:dyDescent="0.2">
      <c r="B6347"/>
      <c r="C6347"/>
      <c r="J6347"/>
      <c r="K6347"/>
      <c r="L6347"/>
    </row>
    <row r="6348" spans="2:12" x14ac:dyDescent="0.2">
      <c r="B6348"/>
      <c r="C6348"/>
      <c r="J6348"/>
      <c r="K6348"/>
      <c r="L6348"/>
    </row>
    <row r="6349" spans="2:12" x14ac:dyDescent="0.2">
      <c r="B6349"/>
      <c r="C6349"/>
      <c r="J6349"/>
      <c r="K6349"/>
      <c r="L6349"/>
    </row>
    <row r="6350" spans="2:12" x14ac:dyDescent="0.2">
      <c r="B6350"/>
      <c r="C6350"/>
      <c r="J6350"/>
      <c r="K6350"/>
      <c r="L6350"/>
    </row>
    <row r="6351" spans="2:12" x14ac:dyDescent="0.2">
      <c r="B6351"/>
      <c r="C6351"/>
      <c r="J6351"/>
      <c r="K6351"/>
      <c r="L6351"/>
    </row>
    <row r="6352" spans="2:12" x14ac:dyDescent="0.2">
      <c r="B6352"/>
      <c r="C6352"/>
      <c r="J6352"/>
      <c r="K6352"/>
      <c r="L6352"/>
    </row>
    <row r="6353" spans="2:12" x14ac:dyDescent="0.2">
      <c r="B6353"/>
      <c r="C6353"/>
      <c r="J6353"/>
      <c r="K6353"/>
      <c r="L6353"/>
    </row>
    <row r="6354" spans="2:12" x14ac:dyDescent="0.2">
      <c r="B6354"/>
      <c r="C6354"/>
      <c r="J6354"/>
      <c r="K6354"/>
      <c r="L6354"/>
    </row>
    <row r="6355" spans="2:12" x14ac:dyDescent="0.2">
      <c r="B6355"/>
      <c r="C6355"/>
      <c r="J6355"/>
      <c r="K6355"/>
      <c r="L6355"/>
    </row>
    <row r="6356" spans="2:12" x14ac:dyDescent="0.2">
      <c r="B6356"/>
      <c r="C6356"/>
      <c r="J6356"/>
      <c r="K6356"/>
      <c r="L6356"/>
    </row>
    <row r="6357" spans="2:12" x14ac:dyDescent="0.2">
      <c r="B6357"/>
      <c r="C6357"/>
      <c r="J6357"/>
      <c r="K6357"/>
      <c r="L6357"/>
    </row>
    <row r="6358" spans="2:12" x14ac:dyDescent="0.2">
      <c r="B6358"/>
      <c r="C6358"/>
      <c r="J6358"/>
      <c r="K6358"/>
      <c r="L6358"/>
    </row>
    <row r="6359" spans="2:12" x14ac:dyDescent="0.2">
      <c r="B6359"/>
      <c r="C6359"/>
      <c r="J6359"/>
      <c r="K6359"/>
      <c r="L6359"/>
    </row>
    <row r="6360" spans="2:12" x14ac:dyDescent="0.2">
      <c r="B6360"/>
      <c r="C6360"/>
      <c r="J6360"/>
      <c r="K6360"/>
      <c r="L6360"/>
    </row>
    <row r="6361" spans="2:12" x14ac:dyDescent="0.2">
      <c r="B6361"/>
      <c r="C6361"/>
      <c r="J6361"/>
      <c r="K6361"/>
      <c r="L6361"/>
    </row>
    <row r="6362" spans="2:12" x14ac:dyDescent="0.2">
      <c r="B6362"/>
      <c r="C6362"/>
      <c r="J6362"/>
      <c r="K6362"/>
      <c r="L6362"/>
    </row>
    <row r="6363" spans="2:12" x14ac:dyDescent="0.2">
      <c r="B6363"/>
      <c r="C6363"/>
      <c r="J6363"/>
      <c r="K6363"/>
      <c r="L6363"/>
    </row>
    <row r="6364" spans="2:12" x14ac:dyDescent="0.2">
      <c r="B6364"/>
      <c r="C6364"/>
      <c r="J6364"/>
      <c r="K6364"/>
      <c r="L6364"/>
    </row>
    <row r="6365" spans="2:12" x14ac:dyDescent="0.2">
      <c r="B6365"/>
      <c r="C6365"/>
      <c r="J6365"/>
      <c r="K6365"/>
      <c r="L6365"/>
    </row>
    <row r="6366" spans="2:12" x14ac:dyDescent="0.2">
      <c r="B6366"/>
      <c r="C6366"/>
      <c r="J6366"/>
      <c r="K6366"/>
      <c r="L6366"/>
    </row>
    <row r="6367" spans="2:12" x14ac:dyDescent="0.2">
      <c r="B6367"/>
      <c r="C6367"/>
      <c r="J6367"/>
      <c r="K6367"/>
      <c r="L6367"/>
    </row>
    <row r="6368" spans="2:12" x14ac:dyDescent="0.2">
      <c r="B6368"/>
      <c r="C6368"/>
      <c r="J6368"/>
      <c r="K6368"/>
      <c r="L6368"/>
    </row>
    <row r="6369" spans="2:12" x14ac:dyDescent="0.2">
      <c r="B6369"/>
      <c r="C6369"/>
      <c r="J6369"/>
      <c r="K6369"/>
      <c r="L6369"/>
    </row>
    <row r="6370" spans="2:12" x14ac:dyDescent="0.2">
      <c r="B6370"/>
      <c r="C6370"/>
      <c r="J6370"/>
      <c r="K6370"/>
      <c r="L6370"/>
    </row>
    <row r="6371" spans="2:12" x14ac:dyDescent="0.2">
      <c r="B6371"/>
      <c r="C6371"/>
      <c r="J6371"/>
      <c r="K6371"/>
      <c r="L6371"/>
    </row>
    <row r="6372" spans="2:12" x14ac:dyDescent="0.2">
      <c r="B6372"/>
      <c r="C6372"/>
      <c r="J6372"/>
      <c r="K6372"/>
      <c r="L6372"/>
    </row>
    <row r="6373" spans="2:12" x14ac:dyDescent="0.2">
      <c r="B6373"/>
      <c r="C6373"/>
      <c r="J6373"/>
      <c r="K6373"/>
      <c r="L6373"/>
    </row>
    <row r="6374" spans="2:12" x14ac:dyDescent="0.2">
      <c r="B6374"/>
      <c r="C6374"/>
      <c r="J6374"/>
      <c r="K6374"/>
      <c r="L6374"/>
    </row>
    <row r="6375" spans="2:12" x14ac:dyDescent="0.2">
      <c r="B6375"/>
      <c r="C6375"/>
      <c r="J6375"/>
      <c r="K6375"/>
      <c r="L6375"/>
    </row>
    <row r="6376" spans="2:12" x14ac:dyDescent="0.2">
      <c r="B6376"/>
      <c r="C6376"/>
      <c r="J6376"/>
      <c r="K6376"/>
      <c r="L6376"/>
    </row>
    <row r="6377" spans="2:12" x14ac:dyDescent="0.2">
      <c r="B6377"/>
      <c r="C6377"/>
      <c r="J6377"/>
      <c r="K6377"/>
      <c r="L6377"/>
    </row>
    <row r="6378" spans="2:12" x14ac:dyDescent="0.2">
      <c r="B6378"/>
      <c r="C6378"/>
      <c r="J6378"/>
      <c r="K6378"/>
      <c r="L6378"/>
    </row>
    <row r="6379" spans="2:12" x14ac:dyDescent="0.2">
      <c r="B6379"/>
      <c r="C6379"/>
      <c r="J6379"/>
      <c r="K6379"/>
      <c r="L6379"/>
    </row>
    <row r="6380" spans="2:12" x14ac:dyDescent="0.2">
      <c r="B6380"/>
      <c r="C6380"/>
      <c r="J6380"/>
      <c r="K6380"/>
      <c r="L6380"/>
    </row>
    <row r="6381" spans="2:12" x14ac:dyDescent="0.2">
      <c r="B6381"/>
      <c r="C6381"/>
      <c r="J6381"/>
      <c r="K6381"/>
      <c r="L6381"/>
    </row>
    <row r="6382" spans="2:12" x14ac:dyDescent="0.2">
      <c r="B6382"/>
      <c r="C6382"/>
      <c r="J6382"/>
      <c r="K6382"/>
      <c r="L6382"/>
    </row>
    <row r="6383" spans="2:12" x14ac:dyDescent="0.2">
      <c r="B6383"/>
      <c r="C6383"/>
      <c r="J6383"/>
      <c r="K6383"/>
      <c r="L6383"/>
    </row>
    <row r="6384" spans="2:12" x14ac:dyDescent="0.2">
      <c r="B6384"/>
      <c r="C6384"/>
      <c r="J6384"/>
      <c r="K6384"/>
      <c r="L6384"/>
    </row>
    <row r="6385" spans="2:12" x14ac:dyDescent="0.2">
      <c r="B6385"/>
      <c r="C6385"/>
      <c r="J6385"/>
      <c r="K6385"/>
      <c r="L6385"/>
    </row>
    <row r="6386" spans="2:12" x14ac:dyDescent="0.2">
      <c r="B6386"/>
      <c r="C6386"/>
      <c r="J6386"/>
      <c r="K6386"/>
      <c r="L6386"/>
    </row>
    <row r="6387" spans="2:12" x14ac:dyDescent="0.2">
      <c r="B6387"/>
      <c r="C6387"/>
      <c r="J6387"/>
      <c r="K6387"/>
      <c r="L6387"/>
    </row>
    <row r="6388" spans="2:12" x14ac:dyDescent="0.2">
      <c r="B6388"/>
      <c r="C6388"/>
      <c r="J6388"/>
      <c r="K6388"/>
      <c r="L6388"/>
    </row>
    <row r="6389" spans="2:12" x14ac:dyDescent="0.2">
      <c r="B6389"/>
      <c r="C6389"/>
      <c r="J6389"/>
      <c r="K6389"/>
      <c r="L6389"/>
    </row>
    <row r="6390" spans="2:12" x14ac:dyDescent="0.2">
      <c r="B6390"/>
      <c r="C6390"/>
      <c r="J6390"/>
      <c r="K6390"/>
      <c r="L6390"/>
    </row>
    <row r="6391" spans="2:12" x14ac:dyDescent="0.2">
      <c r="B6391"/>
      <c r="C6391"/>
      <c r="J6391"/>
      <c r="K6391"/>
      <c r="L6391"/>
    </row>
    <row r="6392" spans="2:12" x14ac:dyDescent="0.2">
      <c r="B6392"/>
      <c r="C6392"/>
      <c r="J6392"/>
      <c r="K6392"/>
      <c r="L6392"/>
    </row>
    <row r="6393" spans="2:12" x14ac:dyDescent="0.2">
      <c r="B6393"/>
      <c r="C6393"/>
      <c r="J6393"/>
      <c r="K6393"/>
      <c r="L6393"/>
    </row>
    <row r="6394" spans="2:12" x14ac:dyDescent="0.2">
      <c r="B6394"/>
      <c r="C6394"/>
      <c r="J6394"/>
      <c r="K6394"/>
      <c r="L6394"/>
    </row>
    <row r="6395" spans="2:12" x14ac:dyDescent="0.2">
      <c r="B6395"/>
      <c r="C6395"/>
      <c r="J6395"/>
      <c r="K6395"/>
      <c r="L6395"/>
    </row>
    <row r="6396" spans="2:12" x14ac:dyDescent="0.2">
      <c r="B6396"/>
      <c r="C6396"/>
      <c r="J6396"/>
      <c r="K6396"/>
      <c r="L6396"/>
    </row>
    <row r="6397" spans="2:12" x14ac:dyDescent="0.2">
      <c r="B6397"/>
      <c r="C6397"/>
      <c r="J6397"/>
      <c r="K6397"/>
      <c r="L6397"/>
    </row>
    <row r="6398" spans="2:12" x14ac:dyDescent="0.2">
      <c r="B6398"/>
      <c r="C6398"/>
      <c r="J6398"/>
      <c r="K6398"/>
      <c r="L6398"/>
    </row>
    <row r="6399" spans="2:12" x14ac:dyDescent="0.2">
      <c r="B6399"/>
      <c r="C6399"/>
      <c r="J6399"/>
      <c r="K6399"/>
      <c r="L6399"/>
    </row>
    <row r="6400" spans="2:12" x14ac:dyDescent="0.2">
      <c r="B6400"/>
      <c r="C6400"/>
      <c r="J6400"/>
      <c r="K6400"/>
      <c r="L6400"/>
    </row>
    <row r="6401" spans="2:12" x14ac:dyDescent="0.2">
      <c r="B6401"/>
      <c r="C6401"/>
      <c r="J6401"/>
      <c r="K6401"/>
      <c r="L6401"/>
    </row>
    <row r="6402" spans="2:12" x14ac:dyDescent="0.2">
      <c r="B6402"/>
      <c r="C6402"/>
      <c r="J6402"/>
      <c r="K6402"/>
      <c r="L6402"/>
    </row>
    <row r="6403" spans="2:12" x14ac:dyDescent="0.2">
      <c r="B6403"/>
      <c r="C6403"/>
      <c r="J6403"/>
      <c r="K6403"/>
      <c r="L6403"/>
    </row>
    <row r="6404" spans="2:12" x14ac:dyDescent="0.2">
      <c r="B6404"/>
      <c r="C6404"/>
      <c r="J6404"/>
      <c r="K6404"/>
      <c r="L6404"/>
    </row>
    <row r="6405" spans="2:12" x14ac:dyDescent="0.2">
      <c r="B6405"/>
      <c r="C6405"/>
      <c r="J6405"/>
      <c r="K6405"/>
      <c r="L6405"/>
    </row>
    <row r="6406" spans="2:12" x14ac:dyDescent="0.2">
      <c r="B6406"/>
      <c r="C6406"/>
      <c r="J6406"/>
      <c r="K6406"/>
      <c r="L6406"/>
    </row>
    <row r="6407" spans="2:12" x14ac:dyDescent="0.2">
      <c r="B6407"/>
      <c r="C6407"/>
      <c r="J6407"/>
      <c r="K6407"/>
      <c r="L6407"/>
    </row>
    <row r="6408" spans="2:12" x14ac:dyDescent="0.2">
      <c r="B6408"/>
      <c r="C6408"/>
      <c r="J6408"/>
      <c r="K6408"/>
      <c r="L6408"/>
    </row>
    <row r="6409" spans="2:12" x14ac:dyDescent="0.2">
      <c r="B6409"/>
      <c r="C6409"/>
      <c r="J6409"/>
      <c r="K6409"/>
      <c r="L6409"/>
    </row>
    <row r="6410" spans="2:12" x14ac:dyDescent="0.2">
      <c r="B6410"/>
      <c r="C6410"/>
      <c r="J6410"/>
      <c r="K6410"/>
      <c r="L6410"/>
    </row>
    <row r="6411" spans="2:12" x14ac:dyDescent="0.2">
      <c r="B6411"/>
      <c r="C6411"/>
      <c r="J6411"/>
      <c r="K6411"/>
      <c r="L6411"/>
    </row>
    <row r="6412" spans="2:12" x14ac:dyDescent="0.2">
      <c r="B6412"/>
      <c r="C6412"/>
      <c r="J6412"/>
      <c r="K6412"/>
      <c r="L6412"/>
    </row>
    <row r="6413" spans="2:12" x14ac:dyDescent="0.2">
      <c r="B6413"/>
      <c r="C6413"/>
      <c r="J6413"/>
      <c r="K6413"/>
      <c r="L6413"/>
    </row>
    <row r="6414" spans="2:12" x14ac:dyDescent="0.2">
      <c r="B6414"/>
      <c r="C6414"/>
      <c r="J6414"/>
      <c r="K6414"/>
      <c r="L6414"/>
    </row>
    <row r="6415" spans="2:12" x14ac:dyDescent="0.2">
      <c r="B6415"/>
      <c r="C6415"/>
      <c r="J6415"/>
      <c r="K6415"/>
      <c r="L6415"/>
    </row>
    <row r="6416" spans="2:12" x14ac:dyDescent="0.2">
      <c r="B6416"/>
      <c r="C6416"/>
      <c r="J6416"/>
      <c r="K6416"/>
      <c r="L6416"/>
    </row>
    <row r="6417" spans="2:12" x14ac:dyDescent="0.2">
      <c r="B6417"/>
      <c r="C6417"/>
      <c r="J6417"/>
      <c r="K6417"/>
      <c r="L6417"/>
    </row>
    <row r="6418" spans="2:12" x14ac:dyDescent="0.2">
      <c r="B6418"/>
      <c r="C6418"/>
      <c r="J6418"/>
      <c r="K6418"/>
      <c r="L6418"/>
    </row>
    <row r="6419" spans="2:12" x14ac:dyDescent="0.2">
      <c r="B6419"/>
      <c r="C6419"/>
      <c r="J6419"/>
      <c r="K6419"/>
      <c r="L6419"/>
    </row>
    <row r="6420" spans="2:12" x14ac:dyDescent="0.2">
      <c r="B6420"/>
      <c r="C6420"/>
      <c r="J6420"/>
      <c r="K6420"/>
      <c r="L6420"/>
    </row>
    <row r="6421" spans="2:12" x14ac:dyDescent="0.2">
      <c r="B6421"/>
      <c r="C6421"/>
      <c r="J6421"/>
      <c r="K6421"/>
      <c r="L6421"/>
    </row>
    <row r="6422" spans="2:12" x14ac:dyDescent="0.2">
      <c r="B6422"/>
      <c r="C6422"/>
      <c r="J6422"/>
      <c r="K6422"/>
      <c r="L6422"/>
    </row>
    <row r="6423" spans="2:12" x14ac:dyDescent="0.2">
      <c r="B6423"/>
      <c r="C6423"/>
      <c r="J6423"/>
      <c r="K6423"/>
      <c r="L6423"/>
    </row>
    <row r="6424" spans="2:12" x14ac:dyDescent="0.2">
      <c r="B6424"/>
      <c r="C6424"/>
      <c r="J6424"/>
      <c r="K6424"/>
      <c r="L6424"/>
    </row>
    <row r="6425" spans="2:12" x14ac:dyDescent="0.2">
      <c r="B6425"/>
      <c r="C6425"/>
      <c r="J6425"/>
      <c r="K6425"/>
      <c r="L6425"/>
    </row>
    <row r="6426" spans="2:12" x14ac:dyDescent="0.2">
      <c r="B6426"/>
      <c r="C6426"/>
      <c r="J6426"/>
      <c r="K6426"/>
      <c r="L6426"/>
    </row>
    <row r="6427" spans="2:12" x14ac:dyDescent="0.2">
      <c r="B6427"/>
      <c r="C6427"/>
      <c r="J6427"/>
      <c r="K6427"/>
      <c r="L6427"/>
    </row>
    <row r="6428" spans="2:12" x14ac:dyDescent="0.2">
      <c r="B6428"/>
      <c r="C6428"/>
      <c r="J6428"/>
      <c r="K6428"/>
      <c r="L6428"/>
    </row>
    <row r="6429" spans="2:12" x14ac:dyDescent="0.2">
      <c r="B6429"/>
      <c r="C6429"/>
      <c r="J6429"/>
      <c r="K6429"/>
      <c r="L6429"/>
    </row>
    <row r="6430" spans="2:12" x14ac:dyDescent="0.2">
      <c r="B6430"/>
      <c r="C6430"/>
      <c r="J6430"/>
      <c r="K6430"/>
      <c r="L6430"/>
    </row>
    <row r="6431" spans="2:12" x14ac:dyDescent="0.2">
      <c r="B6431"/>
      <c r="C6431"/>
      <c r="J6431"/>
      <c r="K6431"/>
      <c r="L6431"/>
    </row>
    <row r="6432" spans="2:12" x14ac:dyDescent="0.2">
      <c r="B6432"/>
      <c r="C6432"/>
      <c r="J6432"/>
      <c r="K6432"/>
      <c r="L6432"/>
    </row>
    <row r="6433" spans="2:12" x14ac:dyDescent="0.2">
      <c r="B6433"/>
      <c r="C6433"/>
      <c r="J6433"/>
      <c r="K6433"/>
      <c r="L6433"/>
    </row>
    <row r="6434" spans="2:12" x14ac:dyDescent="0.2">
      <c r="B6434"/>
      <c r="C6434"/>
      <c r="J6434"/>
      <c r="K6434"/>
      <c r="L6434"/>
    </row>
    <row r="6435" spans="2:12" x14ac:dyDescent="0.2">
      <c r="B6435"/>
      <c r="C6435"/>
      <c r="J6435"/>
      <c r="K6435"/>
      <c r="L6435"/>
    </row>
    <row r="6436" spans="2:12" x14ac:dyDescent="0.2">
      <c r="B6436"/>
      <c r="C6436"/>
      <c r="J6436"/>
      <c r="K6436"/>
      <c r="L6436"/>
    </row>
    <row r="6437" spans="2:12" x14ac:dyDescent="0.2">
      <c r="B6437"/>
      <c r="C6437"/>
      <c r="J6437"/>
      <c r="K6437"/>
      <c r="L6437"/>
    </row>
    <row r="6438" spans="2:12" x14ac:dyDescent="0.2">
      <c r="B6438"/>
      <c r="C6438"/>
      <c r="J6438"/>
      <c r="K6438"/>
      <c r="L6438"/>
    </row>
    <row r="6439" spans="2:12" x14ac:dyDescent="0.2">
      <c r="B6439"/>
      <c r="C6439"/>
      <c r="J6439"/>
      <c r="K6439"/>
      <c r="L6439"/>
    </row>
    <row r="6440" spans="2:12" x14ac:dyDescent="0.2">
      <c r="B6440"/>
      <c r="C6440"/>
      <c r="J6440"/>
      <c r="K6440"/>
      <c r="L6440"/>
    </row>
    <row r="6441" spans="2:12" x14ac:dyDescent="0.2">
      <c r="B6441"/>
      <c r="C6441"/>
      <c r="J6441"/>
      <c r="K6441"/>
      <c r="L6441"/>
    </row>
    <row r="6442" spans="2:12" x14ac:dyDescent="0.2">
      <c r="B6442"/>
      <c r="C6442"/>
      <c r="J6442"/>
      <c r="K6442"/>
      <c r="L6442"/>
    </row>
    <row r="6443" spans="2:12" x14ac:dyDescent="0.2">
      <c r="B6443"/>
      <c r="C6443"/>
      <c r="J6443"/>
      <c r="K6443"/>
      <c r="L6443"/>
    </row>
    <row r="6444" spans="2:12" x14ac:dyDescent="0.2">
      <c r="B6444"/>
      <c r="C6444"/>
      <c r="J6444"/>
      <c r="K6444"/>
      <c r="L6444"/>
    </row>
    <row r="6445" spans="2:12" x14ac:dyDescent="0.2">
      <c r="B6445"/>
      <c r="C6445"/>
      <c r="J6445"/>
      <c r="K6445"/>
      <c r="L6445"/>
    </row>
    <row r="6446" spans="2:12" x14ac:dyDescent="0.2">
      <c r="B6446"/>
      <c r="C6446"/>
      <c r="J6446"/>
      <c r="K6446"/>
      <c r="L6446"/>
    </row>
    <row r="6447" spans="2:12" x14ac:dyDescent="0.2">
      <c r="B6447"/>
      <c r="C6447"/>
      <c r="J6447"/>
      <c r="K6447"/>
      <c r="L6447"/>
    </row>
    <row r="6448" spans="2:12" x14ac:dyDescent="0.2">
      <c r="B6448"/>
      <c r="C6448"/>
      <c r="J6448"/>
      <c r="K6448"/>
      <c r="L6448"/>
    </row>
    <row r="6449" spans="2:12" x14ac:dyDescent="0.2">
      <c r="B6449"/>
      <c r="C6449"/>
      <c r="J6449"/>
      <c r="K6449"/>
      <c r="L6449"/>
    </row>
    <row r="6450" spans="2:12" x14ac:dyDescent="0.2">
      <c r="B6450"/>
      <c r="C6450"/>
      <c r="J6450"/>
      <c r="K6450"/>
      <c r="L6450"/>
    </row>
    <row r="6451" spans="2:12" x14ac:dyDescent="0.2">
      <c r="B6451"/>
      <c r="C6451"/>
      <c r="J6451"/>
      <c r="K6451"/>
      <c r="L6451"/>
    </row>
    <row r="6452" spans="2:12" x14ac:dyDescent="0.2">
      <c r="B6452"/>
      <c r="C6452"/>
      <c r="J6452"/>
      <c r="K6452"/>
      <c r="L6452"/>
    </row>
    <row r="6453" spans="2:12" x14ac:dyDescent="0.2">
      <c r="B6453"/>
      <c r="C6453"/>
      <c r="J6453"/>
      <c r="K6453"/>
      <c r="L6453"/>
    </row>
    <row r="6454" spans="2:12" x14ac:dyDescent="0.2">
      <c r="B6454"/>
      <c r="C6454"/>
      <c r="J6454"/>
      <c r="K6454"/>
      <c r="L6454"/>
    </row>
    <row r="6455" spans="2:12" x14ac:dyDescent="0.2">
      <c r="B6455"/>
      <c r="C6455"/>
      <c r="J6455"/>
      <c r="K6455"/>
      <c r="L6455"/>
    </row>
    <row r="6456" spans="2:12" x14ac:dyDescent="0.2">
      <c r="B6456"/>
      <c r="C6456"/>
      <c r="J6456"/>
      <c r="K6456"/>
      <c r="L6456"/>
    </row>
    <row r="6457" spans="2:12" x14ac:dyDescent="0.2">
      <c r="B6457"/>
      <c r="C6457"/>
      <c r="J6457"/>
      <c r="K6457"/>
      <c r="L6457"/>
    </row>
    <row r="6458" spans="2:12" x14ac:dyDescent="0.2">
      <c r="B6458"/>
      <c r="C6458"/>
      <c r="J6458"/>
      <c r="K6458"/>
      <c r="L6458"/>
    </row>
    <row r="6459" spans="2:12" x14ac:dyDescent="0.2">
      <c r="B6459"/>
      <c r="C6459"/>
      <c r="J6459"/>
      <c r="K6459"/>
      <c r="L6459"/>
    </row>
    <row r="6460" spans="2:12" x14ac:dyDescent="0.2">
      <c r="B6460"/>
      <c r="C6460"/>
      <c r="J6460"/>
      <c r="K6460"/>
      <c r="L6460"/>
    </row>
    <row r="6461" spans="2:12" x14ac:dyDescent="0.2">
      <c r="B6461"/>
      <c r="C6461"/>
      <c r="J6461"/>
      <c r="K6461"/>
      <c r="L6461"/>
    </row>
    <row r="6462" spans="2:12" x14ac:dyDescent="0.2">
      <c r="B6462"/>
      <c r="C6462"/>
      <c r="J6462"/>
      <c r="K6462"/>
      <c r="L6462"/>
    </row>
    <row r="6463" spans="2:12" x14ac:dyDescent="0.2">
      <c r="B6463"/>
      <c r="C6463"/>
      <c r="J6463"/>
      <c r="K6463"/>
      <c r="L6463"/>
    </row>
    <row r="6464" spans="2:12" x14ac:dyDescent="0.2">
      <c r="B6464"/>
      <c r="C6464"/>
      <c r="J6464"/>
      <c r="K6464"/>
      <c r="L6464"/>
    </row>
    <row r="6465" spans="2:12" x14ac:dyDescent="0.2">
      <c r="B6465"/>
      <c r="C6465"/>
      <c r="J6465"/>
      <c r="K6465"/>
      <c r="L6465"/>
    </row>
    <row r="6466" spans="2:12" x14ac:dyDescent="0.2">
      <c r="B6466"/>
      <c r="C6466"/>
      <c r="J6466"/>
      <c r="K6466"/>
      <c r="L6466"/>
    </row>
    <row r="6467" spans="2:12" x14ac:dyDescent="0.2">
      <c r="B6467"/>
      <c r="C6467"/>
      <c r="J6467"/>
      <c r="K6467"/>
      <c r="L6467"/>
    </row>
    <row r="6468" spans="2:12" x14ac:dyDescent="0.2">
      <c r="B6468"/>
      <c r="C6468"/>
      <c r="J6468"/>
      <c r="K6468"/>
      <c r="L6468"/>
    </row>
    <row r="6469" spans="2:12" x14ac:dyDescent="0.2">
      <c r="B6469"/>
      <c r="C6469"/>
      <c r="J6469"/>
      <c r="K6469"/>
      <c r="L6469"/>
    </row>
    <row r="6470" spans="2:12" x14ac:dyDescent="0.2">
      <c r="B6470"/>
      <c r="C6470"/>
      <c r="J6470"/>
      <c r="K6470"/>
      <c r="L6470"/>
    </row>
    <row r="6471" spans="2:12" x14ac:dyDescent="0.2">
      <c r="B6471"/>
      <c r="C6471"/>
      <c r="J6471"/>
      <c r="K6471"/>
      <c r="L6471"/>
    </row>
    <row r="6472" spans="2:12" x14ac:dyDescent="0.2">
      <c r="B6472"/>
      <c r="C6472"/>
      <c r="J6472"/>
      <c r="K6472"/>
      <c r="L6472"/>
    </row>
    <row r="6473" spans="2:12" x14ac:dyDescent="0.2">
      <c r="B6473"/>
      <c r="C6473"/>
      <c r="J6473"/>
      <c r="K6473"/>
      <c r="L6473"/>
    </row>
    <row r="6474" spans="2:12" x14ac:dyDescent="0.2">
      <c r="B6474"/>
      <c r="C6474"/>
      <c r="J6474"/>
      <c r="K6474"/>
      <c r="L6474"/>
    </row>
    <row r="6475" spans="2:12" x14ac:dyDescent="0.2">
      <c r="B6475"/>
      <c r="C6475"/>
      <c r="J6475"/>
      <c r="K6475"/>
      <c r="L6475"/>
    </row>
    <row r="6476" spans="2:12" x14ac:dyDescent="0.2">
      <c r="B6476"/>
      <c r="C6476"/>
      <c r="J6476"/>
      <c r="K6476"/>
      <c r="L6476"/>
    </row>
    <row r="6477" spans="2:12" x14ac:dyDescent="0.2">
      <c r="B6477"/>
      <c r="C6477"/>
      <c r="J6477"/>
      <c r="K6477"/>
      <c r="L6477"/>
    </row>
    <row r="6478" spans="2:12" x14ac:dyDescent="0.2">
      <c r="B6478"/>
      <c r="C6478"/>
      <c r="J6478"/>
      <c r="K6478"/>
      <c r="L6478"/>
    </row>
    <row r="6479" spans="2:12" x14ac:dyDescent="0.2">
      <c r="B6479"/>
      <c r="C6479"/>
      <c r="J6479"/>
      <c r="K6479"/>
      <c r="L6479"/>
    </row>
    <row r="6480" spans="2:12" x14ac:dyDescent="0.2">
      <c r="B6480"/>
      <c r="C6480"/>
      <c r="J6480"/>
      <c r="K6480"/>
      <c r="L6480"/>
    </row>
    <row r="6481" spans="2:12" x14ac:dyDescent="0.2">
      <c r="B6481"/>
      <c r="C6481"/>
      <c r="J6481"/>
      <c r="K6481"/>
      <c r="L6481"/>
    </row>
    <row r="6482" spans="2:12" x14ac:dyDescent="0.2">
      <c r="B6482"/>
      <c r="C6482"/>
      <c r="J6482"/>
      <c r="K6482"/>
      <c r="L6482"/>
    </row>
    <row r="6483" spans="2:12" x14ac:dyDescent="0.2">
      <c r="B6483"/>
      <c r="C6483"/>
      <c r="J6483"/>
      <c r="K6483"/>
      <c r="L6483"/>
    </row>
    <row r="6484" spans="2:12" x14ac:dyDescent="0.2">
      <c r="B6484"/>
      <c r="C6484"/>
      <c r="J6484"/>
      <c r="K6484"/>
      <c r="L6484"/>
    </row>
    <row r="6485" spans="2:12" x14ac:dyDescent="0.2">
      <c r="B6485"/>
      <c r="C6485"/>
      <c r="J6485"/>
      <c r="K6485"/>
      <c r="L6485"/>
    </row>
    <row r="6486" spans="2:12" x14ac:dyDescent="0.2">
      <c r="B6486"/>
      <c r="C6486"/>
      <c r="J6486"/>
      <c r="K6486"/>
      <c r="L6486"/>
    </row>
    <row r="6487" spans="2:12" x14ac:dyDescent="0.2">
      <c r="B6487"/>
      <c r="C6487"/>
      <c r="J6487"/>
      <c r="K6487"/>
      <c r="L6487"/>
    </row>
    <row r="6488" spans="2:12" x14ac:dyDescent="0.2">
      <c r="B6488"/>
      <c r="C6488"/>
      <c r="J6488"/>
      <c r="K6488"/>
      <c r="L6488"/>
    </row>
    <row r="6489" spans="2:12" x14ac:dyDescent="0.2">
      <c r="B6489"/>
      <c r="C6489"/>
      <c r="J6489"/>
      <c r="K6489"/>
      <c r="L6489"/>
    </row>
    <row r="6490" spans="2:12" x14ac:dyDescent="0.2">
      <c r="B6490"/>
      <c r="C6490"/>
      <c r="J6490"/>
      <c r="K6490"/>
      <c r="L6490"/>
    </row>
    <row r="6491" spans="2:12" x14ac:dyDescent="0.2">
      <c r="B6491"/>
      <c r="C6491"/>
      <c r="J6491"/>
      <c r="K6491"/>
      <c r="L6491"/>
    </row>
    <row r="6492" spans="2:12" x14ac:dyDescent="0.2">
      <c r="B6492"/>
      <c r="C6492"/>
      <c r="J6492"/>
      <c r="K6492"/>
      <c r="L6492"/>
    </row>
    <row r="6493" spans="2:12" x14ac:dyDescent="0.2">
      <c r="B6493"/>
      <c r="C6493"/>
      <c r="J6493"/>
      <c r="K6493"/>
      <c r="L6493"/>
    </row>
    <row r="6494" spans="2:12" x14ac:dyDescent="0.2">
      <c r="B6494"/>
      <c r="C6494"/>
      <c r="J6494"/>
      <c r="K6494"/>
      <c r="L6494"/>
    </row>
    <row r="6495" spans="2:12" x14ac:dyDescent="0.2">
      <c r="B6495"/>
      <c r="C6495"/>
      <c r="J6495"/>
      <c r="K6495"/>
      <c r="L6495"/>
    </row>
    <row r="6496" spans="2:12" x14ac:dyDescent="0.2">
      <c r="B6496"/>
      <c r="C6496"/>
      <c r="J6496"/>
      <c r="K6496"/>
      <c r="L6496"/>
    </row>
    <row r="6497" spans="2:12" x14ac:dyDescent="0.2">
      <c r="B6497"/>
      <c r="C6497"/>
      <c r="J6497"/>
      <c r="K6497"/>
      <c r="L6497"/>
    </row>
    <row r="6498" spans="2:12" x14ac:dyDescent="0.2">
      <c r="B6498"/>
      <c r="C6498"/>
      <c r="J6498"/>
      <c r="K6498"/>
      <c r="L6498"/>
    </row>
    <row r="6499" spans="2:12" x14ac:dyDescent="0.2">
      <c r="B6499"/>
      <c r="C6499"/>
      <c r="J6499"/>
      <c r="K6499"/>
      <c r="L6499"/>
    </row>
    <row r="6500" spans="2:12" x14ac:dyDescent="0.2">
      <c r="B6500"/>
      <c r="C6500"/>
      <c r="J6500"/>
      <c r="K6500"/>
      <c r="L6500"/>
    </row>
    <row r="6501" spans="2:12" x14ac:dyDescent="0.2">
      <c r="B6501"/>
      <c r="C6501"/>
      <c r="J6501"/>
      <c r="K6501"/>
      <c r="L6501"/>
    </row>
    <row r="6502" spans="2:12" x14ac:dyDescent="0.2">
      <c r="B6502"/>
      <c r="C6502"/>
      <c r="J6502"/>
      <c r="K6502"/>
      <c r="L6502"/>
    </row>
    <row r="6503" spans="2:12" x14ac:dyDescent="0.2">
      <c r="B6503"/>
      <c r="C6503"/>
      <c r="J6503"/>
      <c r="K6503"/>
      <c r="L6503"/>
    </row>
    <row r="6504" spans="2:12" x14ac:dyDescent="0.2">
      <c r="B6504"/>
      <c r="C6504"/>
      <c r="J6504"/>
      <c r="K6504"/>
      <c r="L6504"/>
    </row>
    <row r="6505" spans="2:12" x14ac:dyDescent="0.2">
      <c r="B6505"/>
      <c r="C6505"/>
      <c r="J6505"/>
      <c r="K6505"/>
      <c r="L6505"/>
    </row>
    <row r="6506" spans="2:12" x14ac:dyDescent="0.2">
      <c r="B6506"/>
      <c r="C6506"/>
      <c r="J6506"/>
      <c r="K6506"/>
      <c r="L6506"/>
    </row>
    <row r="6507" spans="2:12" x14ac:dyDescent="0.2">
      <c r="B6507"/>
      <c r="C6507"/>
      <c r="J6507"/>
      <c r="K6507"/>
      <c r="L6507"/>
    </row>
    <row r="6508" spans="2:12" x14ac:dyDescent="0.2">
      <c r="B6508"/>
      <c r="C6508"/>
      <c r="J6508"/>
      <c r="K6508"/>
      <c r="L6508"/>
    </row>
    <row r="6509" spans="2:12" x14ac:dyDescent="0.2">
      <c r="B6509"/>
      <c r="C6509"/>
      <c r="J6509"/>
      <c r="K6509"/>
      <c r="L6509"/>
    </row>
    <row r="6510" spans="2:12" x14ac:dyDescent="0.2">
      <c r="B6510"/>
      <c r="C6510"/>
      <c r="J6510"/>
      <c r="K6510"/>
      <c r="L6510"/>
    </row>
    <row r="6511" spans="2:12" x14ac:dyDescent="0.2">
      <c r="B6511"/>
      <c r="C6511"/>
      <c r="J6511"/>
      <c r="K6511"/>
      <c r="L6511"/>
    </row>
    <row r="6512" spans="2:12" x14ac:dyDescent="0.2">
      <c r="B6512"/>
      <c r="C6512"/>
      <c r="J6512"/>
      <c r="K6512"/>
      <c r="L6512"/>
    </row>
    <row r="6513" spans="2:12" x14ac:dyDescent="0.2">
      <c r="B6513"/>
      <c r="C6513"/>
      <c r="J6513"/>
      <c r="K6513"/>
      <c r="L6513"/>
    </row>
    <row r="6514" spans="2:12" x14ac:dyDescent="0.2">
      <c r="B6514"/>
      <c r="C6514"/>
      <c r="J6514"/>
      <c r="K6514"/>
      <c r="L6514"/>
    </row>
    <row r="6515" spans="2:12" x14ac:dyDescent="0.2">
      <c r="B6515"/>
      <c r="C6515"/>
      <c r="J6515"/>
      <c r="K6515"/>
      <c r="L6515"/>
    </row>
    <row r="6516" spans="2:12" x14ac:dyDescent="0.2">
      <c r="B6516"/>
      <c r="C6516"/>
      <c r="J6516"/>
      <c r="K6516"/>
      <c r="L6516"/>
    </row>
    <row r="6517" spans="2:12" x14ac:dyDescent="0.2">
      <c r="B6517"/>
      <c r="C6517"/>
      <c r="J6517"/>
      <c r="K6517"/>
      <c r="L6517"/>
    </row>
    <row r="6518" spans="2:12" x14ac:dyDescent="0.2">
      <c r="B6518"/>
      <c r="C6518"/>
      <c r="J6518"/>
      <c r="K6518"/>
      <c r="L6518"/>
    </row>
    <row r="6519" spans="2:12" x14ac:dyDescent="0.2">
      <c r="B6519"/>
      <c r="C6519"/>
      <c r="J6519"/>
      <c r="K6519"/>
      <c r="L6519"/>
    </row>
    <row r="6520" spans="2:12" x14ac:dyDescent="0.2">
      <c r="B6520"/>
      <c r="C6520"/>
      <c r="J6520"/>
      <c r="K6520"/>
      <c r="L6520"/>
    </row>
    <row r="6521" spans="2:12" x14ac:dyDescent="0.2">
      <c r="B6521"/>
      <c r="C6521"/>
      <c r="J6521"/>
      <c r="K6521"/>
      <c r="L6521"/>
    </row>
    <row r="6522" spans="2:12" x14ac:dyDescent="0.2">
      <c r="B6522"/>
      <c r="C6522"/>
      <c r="J6522"/>
      <c r="K6522"/>
      <c r="L6522"/>
    </row>
    <row r="6523" spans="2:12" x14ac:dyDescent="0.2">
      <c r="B6523"/>
      <c r="C6523"/>
      <c r="J6523"/>
      <c r="K6523"/>
      <c r="L6523"/>
    </row>
    <row r="6524" spans="2:12" x14ac:dyDescent="0.2">
      <c r="B6524"/>
      <c r="C6524"/>
      <c r="J6524"/>
      <c r="K6524"/>
      <c r="L6524"/>
    </row>
    <row r="6525" spans="2:12" x14ac:dyDescent="0.2">
      <c r="B6525"/>
      <c r="C6525"/>
      <c r="J6525"/>
      <c r="K6525"/>
      <c r="L6525"/>
    </row>
    <row r="6526" spans="2:12" x14ac:dyDescent="0.2">
      <c r="B6526"/>
      <c r="C6526"/>
      <c r="J6526"/>
      <c r="K6526"/>
      <c r="L6526"/>
    </row>
    <row r="6527" spans="2:12" x14ac:dyDescent="0.2">
      <c r="B6527"/>
      <c r="C6527"/>
      <c r="J6527"/>
      <c r="K6527"/>
      <c r="L6527"/>
    </row>
    <row r="6528" spans="2:12" x14ac:dyDescent="0.2">
      <c r="B6528"/>
      <c r="C6528"/>
      <c r="J6528"/>
      <c r="K6528"/>
      <c r="L6528"/>
    </row>
    <row r="6529" spans="2:12" x14ac:dyDescent="0.2">
      <c r="B6529"/>
      <c r="C6529"/>
      <c r="J6529"/>
      <c r="K6529"/>
      <c r="L6529"/>
    </row>
    <row r="6530" spans="2:12" x14ac:dyDescent="0.2">
      <c r="B6530"/>
      <c r="C6530"/>
      <c r="J6530"/>
      <c r="K6530"/>
      <c r="L6530"/>
    </row>
    <row r="6531" spans="2:12" x14ac:dyDescent="0.2">
      <c r="B6531"/>
      <c r="C6531"/>
      <c r="J6531"/>
      <c r="K6531"/>
      <c r="L6531"/>
    </row>
    <row r="6532" spans="2:12" x14ac:dyDescent="0.2">
      <c r="B6532"/>
      <c r="C6532"/>
      <c r="J6532"/>
      <c r="K6532"/>
      <c r="L6532"/>
    </row>
    <row r="6533" spans="2:12" x14ac:dyDescent="0.2">
      <c r="B6533"/>
      <c r="C6533"/>
      <c r="J6533"/>
      <c r="K6533"/>
      <c r="L6533"/>
    </row>
    <row r="6534" spans="2:12" x14ac:dyDescent="0.2">
      <c r="B6534"/>
      <c r="C6534"/>
      <c r="J6534"/>
      <c r="K6534"/>
      <c r="L6534"/>
    </row>
    <row r="6535" spans="2:12" x14ac:dyDescent="0.2">
      <c r="B6535"/>
      <c r="C6535"/>
      <c r="J6535"/>
      <c r="K6535"/>
      <c r="L6535"/>
    </row>
    <row r="6536" spans="2:12" x14ac:dyDescent="0.2">
      <c r="B6536"/>
      <c r="C6536"/>
      <c r="J6536"/>
      <c r="K6536"/>
      <c r="L6536"/>
    </row>
    <row r="6537" spans="2:12" x14ac:dyDescent="0.2">
      <c r="B6537"/>
      <c r="C6537"/>
      <c r="J6537"/>
      <c r="K6537"/>
      <c r="L6537"/>
    </row>
    <row r="6538" spans="2:12" x14ac:dyDescent="0.2">
      <c r="B6538"/>
      <c r="C6538"/>
      <c r="J6538"/>
      <c r="K6538"/>
      <c r="L6538"/>
    </row>
    <row r="6539" spans="2:12" x14ac:dyDescent="0.2">
      <c r="B6539"/>
      <c r="C6539"/>
      <c r="J6539"/>
      <c r="K6539"/>
      <c r="L6539"/>
    </row>
    <row r="6540" spans="2:12" x14ac:dyDescent="0.2">
      <c r="B6540"/>
      <c r="C6540"/>
      <c r="J6540"/>
      <c r="K6540"/>
      <c r="L6540"/>
    </row>
    <row r="6541" spans="2:12" x14ac:dyDescent="0.2">
      <c r="B6541"/>
      <c r="C6541"/>
      <c r="J6541"/>
      <c r="K6541"/>
      <c r="L6541"/>
    </row>
    <row r="6542" spans="2:12" x14ac:dyDescent="0.2">
      <c r="B6542"/>
      <c r="C6542"/>
      <c r="J6542"/>
      <c r="K6542"/>
      <c r="L6542"/>
    </row>
    <row r="6543" spans="2:12" x14ac:dyDescent="0.2">
      <c r="B6543"/>
      <c r="C6543"/>
      <c r="J6543"/>
      <c r="K6543"/>
      <c r="L6543"/>
    </row>
    <row r="6544" spans="2:12" x14ac:dyDescent="0.2">
      <c r="B6544"/>
      <c r="C6544"/>
      <c r="J6544"/>
      <c r="K6544"/>
      <c r="L6544"/>
    </row>
    <row r="6545" spans="2:12" x14ac:dyDescent="0.2">
      <c r="B6545"/>
      <c r="C6545"/>
      <c r="J6545"/>
      <c r="K6545"/>
      <c r="L6545"/>
    </row>
    <row r="6546" spans="2:12" x14ac:dyDescent="0.2">
      <c r="B6546"/>
      <c r="C6546"/>
      <c r="J6546"/>
      <c r="K6546"/>
      <c r="L6546"/>
    </row>
    <row r="6547" spans="2:12" x14ac:dyDescent="0.2">
      <c r="B6547"/>
      <c r="C6547"/>
      <c r="J6547"/>
      <c r="K6547"/>
      <c r="L6547"/>
    </row>
    <row r="6548" spans="2:12" x14ac:dyDescent="0.2">
      <c r="B6548"/>
      <c r="C6548"/>
      <c r="J6548"/>
      <c r="K6548"/>
      <c r="L6548"/>
    </row>
    <row r="6549" spans="2:12" x14ac:dyDescent="0.2">
      <c r="B6549"/>
      <c r="C6549"/>
      <c r="J6549"/>
      <c r="K6549"/>
      <c r="L6549"/>
    </row>
    <row r="6550" spans="2:12" x14ac:dyDescent="0.2">
      <c r="B6550"/>
      <c r="C6550"/>
      <c r="J6550"/>
      <c r="K6550"/>
      <c r="L6550"/>
    </row>
    <row r="6551" spans="2:12" x14ac:dyDescent="0.2">
      <c r="B6551"/>
      <c r="C6551"/>
      <c r="J6551"/>
      <c r="K6551"/>
      <c r="L6551"/>
    </row>
    <row r="6552" spans="2:12" x14ac:dyDescent="0.2">
      <c r="B6552"/>
      <c r="C6552"/>
      <c r="J6552"/>
      <c r="K6552"/>
      <c r="L6552"/>
    </row>
    <row r="6553" spans="2:12" x14ac:dyDescent="0.2">
      <c r="B6553"/>
      <c r="C6553"/>
      <c r="J6553"/>
      <c r="K6553"/>
      <c r="L6553"/>
    </row>
    <row r="6554" spans="2:12" x14ac:dyDescent="0.2">
      <c r="B6554"/>
      <c r="C6554"/>
      <c r="J6554"/>
      <c r="K6554"/>
      <c r="L6554"/>
    </row>
    <row r="6555" spans="2:12" x14ac:dyDescent="0.2">
      <c r="B6555"/>
      <c r="C6555"/>
      <c r="J6555"/>
      <c r="K6555"/>
      <c r="L6555"/>
    </row>
    <row r="6556" spans="2:12" x14ac:dyDescent="0.2">
      <c r="B6556"/>
      <c r="C6556"/>
      <c r="J6556"/>
      <c r="K6556"/>
      <c r="L6556"/>
    </row>
    <row r="6557" spans="2:12" x14ac:dyDescent="0.2">
      <c r="B6557"/>
      <c r="C6557"/>
      <c r="J6557"/>
      <c r="K6557"/>
      <c r="L6557"/>
    </row>
    <row r="6558" spans="2:12" x14ac:dyDescent="0.2">
      <c r="B6558"/>
      <c r="C6558"/>
      <c r="J6558"/>
      <c r="K6558"/>
      <c r="L6558"/>
    </row>
    <row r="6559" spans="2:12" x14ac:dyDescent="0.2">
      <c r="B6559"/>
      <c r="C6559"/>
      <c r="J6559"/>
      <c r="K6559"/>
      <c r="L6559"/>
    </row>
    <row r="6560" spans="2:12" x14ac:dyDescent="0.2">
      <c r="B6560"/>
      <c r="C6560"/>
      <c r="J6560"/>
      <c r="K6560"/>
      <c r="L6560"/>
    </row>
    <row r="6561" spans="2:12" x14ac:dyDescent="0.2">
      <c r="B6561"/>
      <c r="C6561"/>
      <c r="J6561"/>
      <c r="K6561"/>
      <c r="L6561"/>
    </row>
    <row r="6562" spans="2:12" x14ac:dyDescent="0.2">
      <c r="B6562"/>
      <c r="C6562"/>
      <c r="J6562"/>
      <c r="K6562"/>
      <c r="L6562"/>
    </row>
    <row r="6563" spans="2:12" x14ac:dyDescent="0.2">
      <c r="B6563"/>
      <c r="C6563"/>
      <c r="J6563"/>
      <c r="K6563"/>
      <c r="L6563"/>
    </row>
    <row r="6564" spans="2:12" x14ac:dyDescent="0.2">
      <c r="B6564"/>
      <c r="C6564"/>
      <c r="J6564"/>
      <c r="K6564"/>
      <c r="L6564"/>
    </row>
    <row r="6565" spans="2:12" x14ac:dyDescent="0.2">
      <c r="B6565"/>
      <c r="C6565"/>
      <c r="J6565"/>
      <c r="K6565"/>
      <c r="L6565"/>
    </row>
    <row r="6566" spans="2:12" x14ac:dyDescent="0.2">
      <c r="B6566"/>
      <c r="C6566"/>
      <c r="J6566"/>
      <c r="K6566"/>
      <c r="L6566"/>
    </row>
    <row r="6567" spans="2:12" x14ac:dyDescent="0.2">
      <c r="B6567"/>
      <c r="C6567"/>
      <c r="J6567"/>
      <c r="K6567"/>
      <c r="L6567"/>
    </row>
    <row r="6568" spans="2:12" x14ac:dyDescent="0.2">
      <c r="B6568"/>
      <c r="C6568"/>
      <c r="J6568"/>
      <c r="K6568"/>
      <c r="L6568"/>
    </row>
    <row r="6569" spans="2:12" x14ac:dyDescent="0.2">
      <c r="B6569"/>
      <c r="C6569"/>
      <c r="J6569"/>
      <c r="K6569"/>
      <c r="L6569"/>
    </row>
    <row r="6570" spans="2:12" x14ac:dyDescent="0.2">
      <c r="B6570"/>
      <c r="C6570"/>
      <c r="J6570"/>
      <c r="K6570"/>
      <c r="L6570"/>
    </row>
    <row r="6571" spans="2:12" x14ac:dyDescent="0.2">
      <c r="B6571"/>
      <c r="C6571"/>
      <c r="J6571"/>
      <c r="K6571"/>
      <c r="L6571"/>
    </row>
    <row r="6572" spans="2:12" x14ac:dyDescent="0.2">
      <c r="B6572"/>
      <c r="C6572"/>
      <c r="J6572"/>
      <c r="K6572"/>
      <c r="L6572"/>
    </row>
    <row r="6573" spans="2:12" x14ac:dyDescent="0.2">
      <c r="B6573"/>
      <c r="C6573"/>
      <c r="J6573"/>
      <c r="K6573"/>
      <c r="L6573"/>
    </row>
    <row r="6574" spans="2:12" x14ac:dyDescent="0.2">
      <c r="B6574"/>
      <c r="C6574"/>
      <c r="J6574"/>
      <c r="K6574"/>
      <c r="L6574"/>
    </row>
    <row r="6575" spans="2:12" x14ac:dyDescent="0.2">
      <c r="B6575"/>
      <c r="C6575"/>
      <c r="J6575"/>
      <c r="K6575"/>
      <c r="L6575"/>
    </row>
    <row r="6576" spans="2:12" x14ac:dyDescent="0.2">
      <c r="B6576"/>
      <c r="C6576"/>
      <c r="J6576"/>
      <c r="K6576"/>
      <c r="L6576"/>
    </row>
    <row r="6577" spans="2:12" x14ac:dyDescent="0.2">
      <c r="B6577"/>
      <c r="C6577"/>
      <c r="J6577"/>
      <c r="K6577"/>
      <c r="L6577"/>
    </row>
    <row r="6578" spans="2:12" x14ac:dyDescent="0.2">
      <c r="B6578"/>
      <c r="C6578"/>
      <c r="J6578"/>
      <c r="K6578"/>
      <c r="L6578"/>
    </row>
    <row r="6579" spans="2:12" x14ac:dyDescent="0.2">
      <c r="B6579"/>
      <c r="C6579"/>
      <c r="J6579"/>
      <c r="K6579"/>
      <c r="L6579"/>
    </row>
    <row r="6580" spans="2:12" x14ac:dyDescent="0.2">
      <c r="B6580"/>
      <c r="C6580"/>
      <c r="J6580"/>
      <c r="K6580"/>
      <c r="L6580"/>
    </row>
    <row r="6581" spans="2:12" x14ac:dyDescent="0.2">
      <c r="B6581"/>
      <c r="C6581"/>
      <c r="J6581"/>
      <c r="K6581"/>
      <c r="L6581"/>
    </row>
    <row r="6582" spans="2:12" x14ac:dyDescent="0.2">
      <c r="B6582"/>
      <c r="C6582"/>
      <c r="J6582"/>
      <c r="K6582"/>
      <c r="L6582"/>
    </row>
    <row r="6583" spans="2:12" x14ac:dyDescent="0.2">
      <c r="B6583"/>
      <c r="C6583"/>
      <c r="J6583"/>
      <c r="K6583"/>
      <c r="L6583"/>
    </row>
    <row r="6584" spans="2:12" x14ac:dyDescent="0.2">
      <c r="B6584"/>
      <c r="C6584"/>
      <c r="J6584"/>
      <c r="K6584"/>
      <c r="L6584"/>
    </row>
    <row r="6585" spans="2:12" x14ac:dyDescent="0.2">
      <c r="B6585"/>
      <c r="C6585"/>
      <c r="J6585"/>
      <c r="K6585"/>
      <c r="L6585"/>
    </row>
    <row r="6586" spans="2:12" x14ac:dyDescent="0.2">
      <c r="B6586"/>
      <c r="C6586"/>
      <c r="J6586"/>
      <c r="K6586"/>
      <c r="L6586"/>
    </row>
    <row r="6587" spans="2:12" x14ac:dyDescent="0.2">
      <c r="B6587"/>
      <c r="C6587"/>
      <c r="J6587"/>
      <c r="K6587"/>
      <c r="L6587"/>
    </row>
    <row r="6588" spans="2:12" x14ac:dyDescent="0.2">
      <c r="B6588"/>
      <c r="C6588"/>
      <c r="J6588"/>
      <c r="K6588"/>
      <c r="L6588"/>
    </row>
    <row r="6589" spans="2:12" x14ac:dyDescent="0.2">
      <c r="B6589"/>
      <c r="C6589"/>
      <c r="J6589"/>
      <c r="K6589"/>
      <c r="L6589"/>
    </row>
    <row r="6590" spans="2:12" x14ac:dyDescent="0.2">
      <c r="B6590"/>
      <c r="C6590"/>
      <c r="J6590"/>
      <c r="K6590"/>
      <c r="L6590"/>
    </row>
    <row r="6591" spans="2:12" x14ac:dyDescent="0.2">
      <c r="B6591"/>
      <c r="C6591"/>
      <c r="J6591"/>
      <c r="K6591"/>
      <c r="L6591"/>
    </row>
    <row r="6592" spans="2:12" x14ac:dyDescent="0.2">
      <c r="B6592"/>
      <c r="C6592"/>
      <c r="J6592"/>
      <c r="K6592"/>
      <c r="L6592"/>
    </row>
    <row r="6593" spans="2:12" x14ac:dyDescent="0.2">
      <c r="B6593"/>
      <c r="C6593"/>
      <c r="J6593"/>
      <c r="K6593"/>
      <c r="L6593"/>
    </row>
    <row r="6594" spans="2:12" x14ac:dyDescent="0.2">
      <c r="B6594"/>
      <c r="C6594"/>
      <c r="J6594"/>
      <c r="K6594"/>
      <c r="L6594"/>
    </row>
    <row r="6595" spans="2:12" x14ac:dyDescent="0.2">
      <c r="B6595"/>
      <c r="C6595"/>
      <c r="J6595"/>
      <c r="K6595"/>
      <c r="L6595"/>
    </row>
    <row r="6596" spans="2:12" x14ac:dyDescent="0.2">
      <c r="B6596"/>
      <c r="C6596"/>
      <c r="J6596"/>
      <c r="K6596"/>
      <c r="L6596"/>
    </row>
    <row r="6597" spans="2:12" x14ac:dyDescent="0.2">
      <c r="B6597"/>
      <c r="C6597"/>
      <c r="J6597"/>
      <c r="K6597"/>
      <c r="L6597"/>
    </row>
    <row r="6598" spans="2:12" x14ac:dyDescent="0.2">
      <c r="B6598"/>
      <c r="C6598"/>
      <c r="J6598"/>
      <c r="K6598"/>
      <c r="L6598"/>
    </row>
    <row r="6599" spans="2:12" x14ac:dyDescent="0.2">
      <c r="B6599"/>
      <c r="C6599"/>
      <c r="J6599"/>
      <c r="K6599"/>
      <c r="L6599"/>
    </row>
    <row r="6600" spans="2:12" x14ac:dyDescent="0.2">
      <c r="B6600"/>
      <c r="C6600"/>
      <c r="J6600"/>
      <c r="K6600"/>
      <c r="L6600"/>
    </row>
    <row r="6601" spans="2:12" x14ac:dyDescent="0.2">
      <c r="B6601"/>
      <c r="C6601"/>
      <c r="J6601"/>
      <c r="K6601"/>
      <c r="L6601"/>
    </row>
    <row r="6602" spans="2:12" x14ac:dyDescent="0.2">
      <c r="B6602"/>
      <c r="C6602"/>
      <c r="J6602"/>
      <c r="K6602"/>
      <c r="L6602"/>
    </row>
    <row r="6603" spans="2:12" x14ac:dyDescent="0.2">
      <c r="B6603"/>
      <c r="C6603"/>
      <c r="J6603"/>
      <c r="K6603"/>
      <c r="L6603"/>
    </row>
    <row r="6604" spans="2:12" x14ac:dyDescent="0.2">
      <c r="B6604"/>
      <c r="C6604"/>
      <c r="J6604"/>
      <c r="K6604"/>
      <c r="L6604"/>
    </row>
    <row r="6605" spans="2:12" x14ac:dyDescent="0.2">
      <c r="B6605"/>
      <c r="C6605"/>
      <c r="J6605"/>
      <c r="K6605"/>
      <c r="L6605"/>
    </row>
    <row r="6606" spans="2:12" x14ac:dyDescent="0.2">
      <c r="B6606"/>
      <c r="C6606"/>
      <c r="J6606"/>
      <c r="K6606"/>
      <c r="L6606"/>
    </row>
    <row r="6607" spans="2:12" x14ac:dyDescent="0.2">
      <c r="B6607"/>
      <c r="C6607"/>
      <c r="J6607"/>
      <c r="K6607"/>
      <c r="L6607"/>
    </row>
    <row r="6608" spans="2:12" x14ac:dyDescent="0.2">
      <c r="B6608"/>
      <c r="C6608"/>
      <c r="J6608"/>
      <c r="K6608"/>
      <c r="L6608"/>
    </row>
    <row r="6609" spans="2:12" x14ac:dyDescent="0.2">
      <c r="B6609"/>
      <c r="C6609"/>
      <c r="J6609"/>
      <c r="K6609"/>
      <c r="L6609"/>
    </row>
    <row r="6610" spans="2:12" x14ac:dyDescent="0.2">
      <c r="B6610"/>
      <c r="C6610"/>
      <c r="J6610"/>
      <c r="K6610"/>
      <c r="L6610"/>
    </row>
    <row r="6611" spans="2:12" x14ac:dyDescent="0.2">
      <c r="B6611"/>
      <c r="C6611"/>
      <c r="J6611"/>
      <c r="K6611"/>
      <c r="L6611"/>
    </row>
    <row r="6612" spans="2:12" x14ac:dyDescent="0.2">
      <c r="B6612"/>
      <c r="C6612"/>
      <c r="J6612"/>
      <c r="K6612"/>
      <c r="L6612"/>
    </row>
    <row r="6613" spans="2:12" x14ac:dyDescent="0.2">
      <c r="B6613"/>
      <c r="C6613"/>
      <c r="J6613"/>
      <c r="K6613"/>
      <c r="L6613"/>
    </row>
    <row r="6614" spans="2:12" x14ac:dyDescent="0.2">
      <c r="B6614"/>
      <c r="C6614"/>
      <c r="J6614"/>
      <c r="K6614"/>
      <c r="L6614"/>
    </row>
    <row r="6615" spans="2:12" x14ac:dyDescent="0.2">
      <c r="B6615"/>
      <c r="C6615"/>
      <c r="J6615"/>
      <c r="K6615"/>
      <c r="L6615"/>
    </row>
    <row r="6616" spans="2:12" x14ac:dyDescent="0.2">
      <c r="B6616"/>
      <c r="C6616"/>
      <c r="J6616"/>
      <c r="K6616"/>
      <c r="L6616"/>
    </row>
    <row r="6617" spans="2:12" x14ac:dyDescent="0.2">
      <c r="B6617"/>
      <c r="C6617"/>
      <c r="J6617"/>
      <c r="K6617"/>
      <c r="L6617"/>
    </row>
    <row r="6618" spans="2:12" x14ac:dyDescent="0.2">
      <c r="B6618"/>
      <c r="C6618"/>
      <c r="J6618"/>
      <c r="K6618"/>
      <c r="L6618"/>
    </row>
    <row r="6619" spans="2:12" x14ac:dyDescent="0.2">
      <c r="B6619"/>
      <c r="C6619"/>
      <c r="J6619"/>
      <c r="K6619"/>
      <c r="L6619"/>
    </row>
    <row r="6620" spans="2:12" x14ac:dyDescent="0.2">
      <c r="B6620"/>
      <c r="C6620"/>
      <c r="J6620"/>
      <c r="K6620"/>
      <c r="L6620"/>
    </row>
    <row r="6621" spans="2:12" x14ac:dyDescent="0.2">
      <c r="B6621"/>
      <c r="C6621"/>
      <c r="J6621"/>
      <c r="K6621"/>
      <c r="L6621"/>
    </row>
    <row r="6622" spans="2:12" x14ac:dyDescent="0.2">
      <c r="B6622"/>
      <c r="C6622"/>
      <c r="J6622"/>
      <c r="K6622"/>
      <c r="L6622"/>
    </row>
    <row r="6623" spans="2:12" x14ac:dyDescent="0.2">
      <c r="B6623"/>
      <c r="C6623"/>
      <c r="J6623"/>
      <c r="K6623"/>
      <c r="L6623"/>
    </row>
    <row r="6624" spans="2:12" x14ac:dyDescent="0.2">
      <c r="B6624"/>
      <c r="C6624"/>
      <c r="J6624"/>
      <c r="K6624"/>
      <c r="L6624"/>
    </row>
    <row r="6625" spans="2:12" x14ac:dyDescent="0.2">
      <c r="B6625"/>
      <c r="C6625"/>
      <c r="J6625"/>
      <c r="K6625"/>
      <c r="L6625"/>
    </row>
    <row r="6626" spans="2:12" x14ac:dyDescent="0.2">
      <c r="B6626"/>
      <c r="C6626"/>
      <c r="J6626"/>
      <c r="K6626"/>
      <c r="L6626"/>
    </row>
    <row r="6627" spans="2:12" x14ac:dyDescent="0.2">
      <c r="B6627"/>
      <c r="C6627"/>
      <c r="J6627"/>
      <c r="K6627"/>
      <c r="L6627"/>
    </row>
    <row r="6628" spans="2:12" x14ac:dyDescent="0.2">
      <c r="B6628"/>
      <c r="C6628"/>
      <c r="J6628"/>
      <c r="K6628"/>
      <c r="L6628"/>
    </row>
    <row r="6629" spans="2:12" x14ac:dyDescent="0.2">
      <c r="B6629"/>
      <c r="C6629"/>
      <c r="J6629"/>
      <c r="K6629"/>
      <c r="L6629"/>
    </row>
    <row r="6630" spans="2:12" x14ac:dyDescent="0.2">
      <c r="B6630"/>
      <c r="C6630"/>
      <c r="J6630"/>
      <c r="K6630"/>
      <c r="L6630"/>
    </row>
    <row r="6631" spans="2:12" x14ac:dyDescent="0.2">
      <c r="B6631"/>
      <c r="C6631"/>
      <c r="J6631"/>
      <c r="K6631"/>
      <c r="L6631"/>
    </row>
    <row r="6632" spans="2:12" x14ac:dyDescent="0.2">
      <c r="B6632"/>
      <c r="C6632"/>
      <c r="J6632"/>
      <c r="K6632"/>
      <c r="L6632"/>
    </row>
    <row r="6633" spans="2:12" x14ac:dyDescent="0.2">
      <c r="B6633"/>
      <c r="C6633"/>
      <c r="J6633"/>
      <c r="K6633"/>
      <c r="L6633"/>
    </row>
    <row r="6634" spans="2:12" x14ac:dyDescent="0.2">
      <c r="B6634"/>
      <c r="C6634"/>
      <c r="J6634"/>
      <c r="K6634"/>
      <c r="L6634"/>
    </row>
    <row r="6635" spans="2:12" x14ac:dyDescent="0.2">
      <c r="B6635"/>
      <c r="C6635"/>
      <c r="J6635"/>
      <c r="K6635"/>
      <c r="L6635"/>
    </row>
    <row r="6636" spans="2:12" x14ac:dyDescent="0.2">
      <c r="B6636"/>
      <c r="C6636"/>
      <c r="J6636"/>
      <c r="K6636"/>
      <c r="L6636"/>
    </row>
    <row r="6637" spans="2:12" x14ac:dyDescent="0.2">
      <c r="B6637"/>
      <c r="C6637"/>
      <c r="J6637"/>
      <c r="K6637"/>
      <c r="L6637"/>
    </row>
    <row r="6638" spans="2:12" x14ac:dyDescent="0.2">
      <c r="B6638"/>
      <c r="C6638"/>
      <c r="J6638"/>
      <c r="K6638"/>
      <c r="L6638"/>
    </row>
    <row r="6639" spans="2:12" x14ac:dyDescent="0.2">
      <c r="B6639"/>
      <c r="C6639"/>
      <c r="J6639"/>
      <c r="K6639"/>
      <c r="L6639"/>
    </row>
    <row r="6640" spans="2:12" x14ac:dyDescent="0.2">
      <c r="B6640"/>
      <c r="C6640"/>
      <c r="J6640"/>
      <c r="K6640"/>
      <c r="L6640"/>
    </row>
    <row r="6641" spans="2:12" x14ac:dyDescent="0.2">
      <c r="B6641"/>
      <c r="C6641"/>
      <c r="J6641"/>
      <c r="K6641"/>
      <c r="L6641"/>
    </row>
    <row r="6642" spans="2:12" x14ac:dyDescent="0.2">
      <c r="B6642"/>
      <c r="C6642"/>
      <c r="J6642"/>
      <c r="K6642"/>
      <c r="L6642"/>
    </row>
    <row r="6643" spans="2:12" x14ac:dyDescent="0.2">
      <c r="B6643"/>
      <c r="C6643"/>
      <c r="J6643"/>
      <c r="K6643"/>
      <c r="L6643"/>
    </row>
    <row r="6644" spans="2:12" x14ac:dyDescent="0.2">
      <c r="B6644"/>
      <c r="C6644"/>
      <c r="J6644"/>
      <c r="K6644"/>
      <c r="L6644"/>
    </row>
    <row r="6645" spans="2:12" x14ac:dyDescent="0.2">
      <c r="B6645"/>
      <c r="C6645"/>
      <c r="J6645"/>
      <c r="K6645"/>
      <c r="L6645"/>
    </row>
    <row r="6646" spans="2:12" x14ac:dyDescent="0.2">
      <c r="B6646"/>
      <c r="C6646"/>
      <c r="J6646"/>
      <c r="K6646"/>
      <c r="L6646"/>
    </row>
    <row r="6647" spans="2:12" x14ac:dyDescent="0.2">
      <c r="B6647"/>
      <c r="C6647"/>
      <c r="J6647"/>
      <c r="K6647"/>
      <c r="L6647"/>
    </row>
    <row r="6648" spans="2:12" x14ac:dyDescent="0.2">
      <c r="B6648"/>
      <c r="C6648"/>
      <c r="J6648"/>
      <c r="K6648"/>
      <c r="L6648"/>
    </row>
    <row r="6649" spans="2:12" x14ac:dyDescent="0.2">
      <c r="B6649"/>
      <c r="C6649"/>
      <c r="J6649"/>
      <c r="K6649"/>
      <c r="L6649"/>
    </row>
    <row r="6650" spans="2:12" x14ac:dyDescent="0.2">
      <c r="B6650"/>
      <c r="C6650"/>
      <c r="J6650"/>
      <c r="K6650"/>
      <c r="L6650"/>
    </row>
    <row r="6651" spans="2:12" x14ac:dyDescent="0.2">
      <c r="B6651"/>
      <c r="C6651"/>
      <c r="J6651"/>
      <c r="K6651"/>
      <c r="L6651"/>
    </row>
    <row r="6652" spans="2:12" x14ac:dyDescent="0.2">
      <c r="B6652"/>
      <c r="C6652"/>
      <c r="J6652"/>
      <c r="K6652"/>
      <c r="L6652"/>
    </row>
    <row r="6653" spans="2:12" x14ac:dyDescent="0.2">
      <c r="B6653"/>
      <c r="C6653"/>
      <c r="J6653"/>
      <c r="K6653"/>
      <c r="L6653"/>
    </row>
    <row r="6654" spans="2:12" x14ac:dyDescent="0.2">
      <c r="B6654"/>
      <c r="C6654"/>
      <c r="J6654"/>
      <c r="K6654"/>
      <c r="L6654"/>
    </row>
    <row r="6655" spans="2:12" x14ac:dyDescent="0.2">
      <c r="B6655"/>
      <c r="C6655"/>
      <c r="J6655"/>
      <c r="K6655"/>
      <c r="L6655"/>
    </row>
    <row r="6656" spans="2:12" x14ac:dyDescent="0.2">
      <c r="B6656"/>
      <c r="C6656"/>
      <c r="J6656"/>
      <c r="K6656"/>
      <c r="L6656"/>
    </row>
    <row r="6657" spans="2:12" x14ac:dyDescent="0.2">
      <c r="B6657"/>
      <c r="C6657"/>
      <c r="J6657"/>
      <c r="K6657"/>
      <c r="L6657"/>
    </row>
    <row r="6658" spans="2:12" x14ac:dyDescent="0.2">
      <c r="B6658"/>
      <c r="C6658"/>
      <c r="J6658"/>
      <c r="K6658"/>
      <c r="L6658"/>
    </row>
    <row r="6659" spans="2:12" x14ac:dyDescent="0.2">
      <c r="B6659"/>
      <c r="C6659"/>
      <c r="J6659"/>
      <c r="K6659"/>
      <c r="L6659"/>
    </row>
    <row r="6660" spans="2:12" x14ac:dyDescent="0.2">
      <c r="B6660"/>
      <c r="C6660"/>
      <c r="J6660"/>
      <c r="K6660"/>
      <c r="L6660"/>
    </row>
    <row r="6661" spans="2:12" x14ac:dyDescent="0.2">
      <c r="B6661"/>
      <c r="C6661"/>
      <c r="J6661"/>
      <c r="K6661"/>
      <c r="L6661"/>
    </row>
    <row r="6662" spans="2:12" x14ac:dyDescent="0.2">
      <c r="B6662"/>
      <c r="C6662"/>
      <c r="J6662"/>
      <c r="K6662"/>
      <c r="L6662"/>
    </row>
    <row r="6663" spans="2:12" x14ac:dyDescent="0.2">
      <c r="B6663"/>
      <c r="C6663"/>
      <c r="J6663"/>
      <c r="K6663"/>
      <c r="L6663"/>
    </row>
    <row r="6664" spans="2:12" x14ac:dyDescent="0.2">
      <c r="B6664"/>
      <c r="C6664"/>
      <c r="J6664"/>
      <c r="K6664"/>
      <c r="L6664"/>
    </row>
    <row r="6665" spans="2:12" x14ac:dyDescent="0.2">
      <c r="B6665"/>
      <c r="C6665"/>
      <c r="J6665"/>
      <c r="K6665"/>
      <c r="L6665"/>
    </row>
    <row r="6666" spans="2:12" x14ac:dyDescent="0.2">
      <c r="B6666"/>
      <c r="C6666"/>
      <c r="J6666"/>
      <c r="K6666"/>
      <c r="L6666"/>
    </row>
    <row r="6667" spans="2:12" x14ac:dyDescent="0.2">
      <c r="B6667"/>
      <c r="C6667"/>
      <c r="J6667"/>
      <c r="K6667"/>
      <c r="L6667"/>
    </row>
    <row r="6668" spans="2:12" x14ac:dyDescent="0.2">
      <c r="B6668"/>
      <c r="C6668"/>
      <c r="J6668"/>
      <c r="K6668"/>
      <c r="L6668"/>
    </row>
    <row r="6669" spans="2:12" x14ac:dyDescent="0.2">
      <c r="B6669"/>
      <c r="C6669"/>
      <c r="J6669"/>
      <c r="K6669"/>
      <c r="L6669"/>
    </row>
    <row r="6670" spans="2:12" x14ac:dyDescent="0.2">
      <c r="B6670"/>
      <c r="C6670"/>
      <c r="J6670"/>
      <c r="K6670"/>
      <c r="L6670"/>
    </row>
    <row r="6671" spans="2:12" x14ac:dyDescent="0.2">
      <c r="B6671"/>
      <c r="C6671"/>
      <c r="J6671"/>
      <c r="K6671"/>
      <c r="L6671"/>
    </row>
    <row r="6672" spans="2:12" x14ac:dyDescent="0.2">
      <c r="B6672"/>
      <c r="C6672"/>
      <c r="J6672"/>
      <c r="K6672"/>
      <c r="L6672"/>
    </row>
    <row r="6673" spans="2:12" x14ac:dyDescent="0.2">
      <c r="B6673"/>
      <c r="C6673"/>
      <c r="J6673"/>
      <c r="K6673"/>
      <c r="L6673"/>
    </row>
    <row r="6674" spans="2:12" x14ac:dyDescent="0.2">
      <c r="B6674"/>
      <c r="C6674"/>
      <c r="J6674"/>
      <c r="K6674"/>
      <c r="L6674"/>
    </row>
    <row r="6675" spans="2:12" x14ac:dyDescent="0.2">
      <c r="B6675"/>
      <c r="C6675"/>
      <c r="J6675"/>
      <c r="K6675"/>
      <c r="L6675"/>
    </row>
    <row r="6676" spans="2:12" x14ac:dyDescent="0.2">
      <c r="B6676"/>
      <c r="C6676"/>
      <c r="J6676"/>
      <c r="K6676"/>
      <c r="L6676"/>
    </row>
    <row r="6677" spans="2:12" x14ac:dyDescent="0.2">
      <c r="B6677"/>
      <c r="C6677"/>
      <c r="J6677"/>
      <c r="K6677"/>
      <c r="L6677"/>
    </row>
    <row r="6678" spans="2:12" x14ac:dyDescent="0.2">
      <c r="B6678"/>
      <c r="C6678"/>
      <c r="J6678"/>
      <c r="K6678"/>
      <c r="L6678"/>
    </row>
    <row r="6679" spans="2:12" x14ac:dyDescent="0.2">
      <c r="B6679"/>
      <c r="C6679"/>
      <c r="J6679"/>
      <c r="K6679"/>
      <c r="L6679"/>
    </row>
    <row r="6680" spans="2:12" x14ac:dyDescent="0.2">
      <c r="B6680"/>
      <c r="C6680"/>
      <c r="J6680"/>
      <c r="K6680"/>
      <c r="L6680"/>
    </row>
    <row r="6681" spans="2:12" x14ac:dyDescent="0.2">
      <c r="B6681"/>
      <c r="C6681"/>
      <c r="J6681"/>
      <c r="K6681"/>
      <c r="L6681"/>
    </row>
    <row r="6682" spans="2:12" x14ac:dyDescent="0.2">
      <c r="B6682"/>
      <c r="C6682"/>
      <c r="J6682"/>
      <c r="K6682"/>
      <c r="L6682"/>
    </row>
    <row r="6683" spans="2:12" x14ac:dyDescent="0.2">
      <c r="B6683"/>
      <c r="C6683"/>
      <c r="J6683"/>
      <c r="K6683"/>
      <c r="L6683"/>
    </row>
    <row r="6684" spans="2:12" x14ac:dyDescent="0.2">
      <c r="B6684"/>
      <c r="C6684"/>
      <c r="J6684"/>
      <c r="K6684"/>
      <c r="L6684"/>
    </row>
    <row r="6685" spans="2:12" x14ac:dyDescent="0.2">
      <c r="B6685"/>
      <c r="C6685"/>
      <c r="J6685"/>
      <c r="K6685"/>
      <c r="L6685"/>
    </row>
    <row r="6686" spans="2:12" x14ac:dyDescent="0.2">
      <c r="B6686"/>
      <c r="C6686"/>
      <c r="J6686"/>
      <c r="K6686"/>
      <c r="L6686"/>
    </row>
    <row r="6687" spans="2:12" x14ac:dyDescent="0.2">
      <c r="B6687"/>
      <c r="C6687"/>
      <c r="J6687"/>
      <c r="K6687"/>
      <c r="L6687"/>
    </row>
    <row r="6688" spans="2:12" x14ac:dyDescent="0.2">
      <c r="B6688"/>
      <c r="C6688"/>
      <c r="J6688"/>
      <c r="K6688"/>
      <c r="L6688"/>
    </row>
    <row r="6689" spans="2:12" x14ac:dyDescent="0.2">
      <c r="B6689"/>
      <c r="C6689"/>
      <c r="J6689"/>
      <c r="K6689"/>
      <c r="L6689"/>
    </row>
    <row r="6690" spans="2:12" x14ac:dyDescent="0.2">
      <c r="B6690"/>
      <c r="C6690"/>
      <c r="J6690"/>
      <c r="K6690"/>
      <c r="L6690"/>
    </row>
    <row r="6691" spans="2:12" x14ac:dyDescent="0.2">
      <c r="B6691"/>
      <c r="C6691"/>
      <c r="J6691"/>
      <c r="K6691"/>
      <c r="L6691"/>
    </row>
    <row r="6692" spans="2:12" x14ac:dyDescent="0.2">
      <c r="B6692"/>
      <c r="C6692"/>
      <c r="J6692"/>
      <c r="K6692"/>
      <c r="L6692"/>
    </row>
    <row r="6693" spans="2:12" x14ac:dyDescent="0.2">
      <c r="B6693"/>
      <c r="C6693"/>
      <c r="J6693"/>
      <c r="K6693"/>
      <c r="L6693"/>
    </row>
    <row r="6694" spans="2:12" x14ac:dyDescent="0.2">
      <c r="B6694"/>
      <c r="C6694"/>
      <c r="J6694"/>
      <c r="K6694"/>
      <c r="L6694"/>
    </row>
    <row r="6695" spans="2:12" x14ac:dyDescent="0.2">
      <c r="B6695"/>
      <c r="C6695"/>
      <c r="J6695"/>
      <c r="K6695"/>
      <c r="L6695"/>
    </row>
    <row r="6696" spans="2:12" x14ac:dyDescent="0.2">
      <c r="B6696"/>
      <c r="C6696"/>
      <c r="J6696"/>
      <c r="K6696"/>
      <c r="L6696"/>
    </row>
    <row r="6697" spans="2:12" x14ac:dyDescent="0.2">
      <c r="B6697"/>
      <c r="C6697"/>
      <c r="J6697"/>
      <c r="K6697"/>
      <c r="L6697"/>
    </row>
    <row r="6698" spans="2:12" x14ac:dyDescent="0.2">
      <c r="B6698"/>
      <c r="C6698"/>
      <c r="J6698"/>
      <c r="K6698"/>
      <c r="L6698"/>
    </row>
    <row r="6699" spans="2:12" x14ac:dyDescent="0.2">
      <c r="B6699"/>
      <c r="C6699"/>
      <c r="J6699"/>
      <c r="K6699"/>
      <c r="L6699"/>
    </row>
    <row r="6700" spans="2:12" x14ac:dyDescent="0.2">
      <c r="B6700"/>
      <c r="C6700"/>
      <c r="J6700"/>
      <c r="K6700"/>
      <c r="L6700"/>
    </row>
    <row r="6701" spans="2:12" x14ac:dyDescent="0.2">
      <c r="B6701"/>
      <c r="C6701"/>
      <c r="J6701"/>
      <c r="K6701"/>
      <c r="L6701"/>
    </row>
    <row r="6702" spans="2:12" x14ac:dyDescent="0.2">
      <c r="B6702"/>
      <c r="C6702"/>
      <c r="J6702"/>
      <c r="K6702"/>
      <c r="L6702"/>
    </row>
    <row r="6703" spans="2:12" x14ac:dyDescent="0.2">
      <c r="B6703"/>
      <c r="C6703"/>
      <c r="J6703"/>
      <c r="K6703"/>
      <c r="L6703"/>
    </row>
    <row r="6704" spans="2:12" x14ac:dyDescent="0.2">
      <c r="B6704"/>
      <c r="C6704"/>
      <c r="J6704"/>
      <c r="K6704"/>
      <c r="L6704"/>
    </row>
    <row r="6705" spans="2:12" x14ac:dyDescent="0.2">
      <c r="B6705"/>
      <c r="C6705"/>
      <c r="J6705"/>
      <c r="K6705"/>
      <c r="L6705"/>
    </row>
    <row r="6706" spans="2:12" x14ac:dyDescent="0.2">
      <c r="B6706"/>
      <c r="C6706"/>
      <c r="J6706"/>
      <c r="K6706"/>
      <c r="L6706"/>
    </row>
    <row r="6707" spans="2:12" x14ac:dyDescent="0.2">
      <c r="B6707"/>
      <c r="C6707"/>
      <c r="J6707"/>
      <c r="K6707"/>
      <c r="L6707"/>
    </row>
    <row r="6708" spans="2:12" x14ac:dyDescent="0.2">
      <c r="B6708"/>
      <c r="C6708"/>
      <c r="J6708"/>
      <c r="K6708"/>
      <c r="L6708"/>
    </row>
    <row r="6709" spans="2:12" x14ac:dyDescent="0.2">
      <c r="B6709"/>
      <c r="C6709"/>
      <c r="J6709"/>
      <c r="K6709"/>
      <c r="L6709"/>
    </row>
    <row r="6710" spans="2:12" x14ac:dyDescent="0.2">
      <c r="B6710"/>
      <c r="C6710"/>
      <c r="J6710"/>
      <c r="K6710"/>
      <c r="L6710"/>
    </row>
    <row r="6711" spans="2:12" x14ac:dyDescent="0.2">
      <c r="B6711"/>
      <c r="C6711"/>
      <c r="J6711"/>
      <c r="K6711"/>
      <c r="L6711"/>
    </row>
    <row r="6712" spans="2:12" x14ac:dyDescent="0.2">
      <c r="B6712"/>
      <c r="C6712"/>
      <c r="J6712"/>
      <c r="K6712"/>
      <c r="L6712"/>
    </row>
    <row r="6713" spans="2:12" x14ac:dyDescent="0.2">
      <c r="B6713"/>
      <c r="C6713"/>
      <c r="J6713"/>
      <c r="K6713"/>
      <c r="L6713"/>
    </row>
    <row r="6714" spans="2:12" x14ac:dyDescent="0.2">
      <c r="B6714"/>
      <c r="C6714"/>
      <c r="J6714"/>
      <c r="K6714"/>
      <c r="L6714"/>
    </row>
    <row r="6715" spans="2:12" x14ac:dyDescent="0.2">
      <c r="B6715"/>
      <c r="C6715"/>
      <c r="J6715"/>
      <c r="K6715"/>
      <c r="L6715"/>
    </row>
    <row r="6716" spans="2:12" x14ac:dyDescent="0.2">
      <c r="B6716"/>
      <c r="C6716"/>
      <c r="J6716"/>
      <c r="K6716"/>
      <c r="L6716"/>
    </row>
    <row r="6717" spans="2:12" x14ac:dyDescent="0.2">
      <c r="B6717"/>
      <c r="C6717"/>
      <c r="J6717"/>
      <c r="K6717"/>
      <c r="L6717"/>
    </row>
    <row r="6718" spans="2:12" x14ac:dyDescent="0.2">
      <c r="B6718"/>
      <c r="C6718"/>
      <c r="J6718"/>
      <c r="K6718"/>
      <c r="L6718"/>
    </row>
    <row r="6719" spans="2:12" x14ac:dyDescent="0.2">
      <c r="B6719"/>
      <c r="C6719"/>
      <c r="J6719"/>
      <c r="K6719"/>
      <c r="L6719"/>
    </row>
    <row r="6720" spans="2:12" x14ac:dyDescent="0.2">
      <c r="B6720"/>
      <c r="C6720"/>
      <c r="J6720"/>
      <c r="K6720"/>
      <c r="L6720"/>
    </row>
    <row r="6721" spans="2:12" x14ac:dyDescent="0.2">
      <c r="B6721"/>
      <c r="C6721"/>
      <c r="J6721"/>
      <c r="K6721"/>
      <c r="L6721"/>
    </row>
    <row r="6722" spans="2:12" x14ac:dyDescent="0.2">
      <c r="B6722"/>
      <c r="C6722"/>
      <c r="J6722"/>
      <c r="K6722"/>
      <c r="L6722"/>
    </row>
    <row r="6723" spans="2:12" x14ac:dyDescent="0.2">
      <c r="B6723"/>
      <c r="C6723"/>
      <c r="J6723"/>
      <c r="K6723"/>
      <c r="L6723"/>
    </row>
    <row r="6724" spans="2:12" x14ac:dyDescent="0.2">
      <c r="B6724"/>
      <c r="C6724"/>
      <c r="J6724"/>
      <c r="K6724"/>
      <c r="L6724"/>
    </row>
    <row r="6725" spans="2:12" x14ac:dyDescent="0.2">
      <c r="B6725"/>
      <c r="C6725"/>
      <c r="J6725"/>
      <c r="K6725"/>
      <c r="L6725"/>
    </row>
    <row r="6726" spans="2:12" x14ac:dyDescent="0.2">
      <c r="B6726"/>
      <c r="C6726"/>
      <c r="J6726"/>
      <c r="K6726"/>
      <c r="L6726"/>
    </row>
    <row r="6727" spans="2:12" x14ac:dyDescent="0.2">
      <c r="B6727"/>
      <c r="C6727"/>
      <c r="J6727"/>
      <c r="K6727"/>
      <c r="L6727"/>
    </row>
    <row r="6728" spans="2:12" x14ac:dyDescent="0.2">
      <c r="B6728"/>
      <c r="C6728"/>
      <c r="J6728"/>
      <c r="K6728"/>
      <c r="L6728"/>
    </row>
    <row r="6729" spans="2:12" x14ac:dyDescent="0.2">
      <c r="B6729"/>
      <c r="C6729"/>
      <c r="J6729"/>
      <c r="K6729"/>
      <c r="L6729"/>
    </row>
    <row r="6730" spans="2:12" x14ac:dyDescent="0.2">
      <c r="B6730"/>
      <c r="C6730"/>
      <c r="J6730"/>
      <c r="K6730"/>
      <c r="L6730"/>
    </row>
    <row r="6731" spans="2:12" x14ac:dyDescent="0.2">
      <c r="B6731"/>
      <c r="C6731"/>
      <c r="J6731"/>
      <c r="K6731"/>
      <c r="L6731"/>
    </row>
    <row r="6732" spans="2:12" x14ac:dyDescent="0.2">
      <c r="B6732"/>
      <c r="C6732"/>
      <c r="J6732"/>
      <c r="K6732"/>
      <c r="L6732"/>
    </row>
    <row r="6733" spans="2:12" x14ac:dyDescent="0.2">
      <c r="B6733"/>
      <c r="C6733"/>
      <c r="J6733"/>
      <c r="K6733"/>
      <c r="L6733"/>
    </row>
    <row r="6734" spans="2:12" x14ac:dyDescent="0.2">
      <c r="B6734"/>
      <c r="C6734"/>
      <c r="J6734"/>
      <c r="K6734"/>
      <c r="L6734"/>
    </row>
    <row r="6735" spans="2:12" x14ac:dyDescent="0.2">
      <c r="B6735"/>
      <c r="C6735"/>
      <c r="J6735"/>
      <c r="K6735"/>
      <c r="L6735"/>
    </row>
    <row r="6736" spans="2:12" x14ac:dyDescent="0.2">
      <c r="B6736"/>
      <c r="C6736"/>
      <c r="J6736"/>
      <c r="K6736"/>
      <c r="L6736"/>
    </row>
    <row r="6737" spans="2:12" x14ac:dyDescent="0.2">
      <c r="B6737"/>
      <c r="C6737"/>
      <c r="J6737"/>
      <c r="K6737"/>
      <c r="L6737"/>
    </row>
    <row r="6738" spans="2:12" x14ac:dyDescent="0.2">
      <c r="B6738"/>
      <c r="C6738"/>
      <c r="J6738"/>
      <c r="K6738"/>
      <c r="L6738"/>
    </row>
    <row r="6739" spans="2:12" x14ac:dyDescent="0.2">
      <c r="B6739"/>
      <c r="C6739"/>
      <c r="J6739"/>
      <c r="K6739"/>
      <c r="L6739"/>
    </row>
    <row r="6740" spans="2:12" x14ac:dyDescent="0.2">
      <c r="B6740"/>
      <c r="C6740"/>
      <c r="J6740"/>
      <c r="K6740"/>
      <c r="L6740"/>
    </row>
    <row r="6741" spans="2:12" x14ac:dyDescent="0.2">
      <c r="B6741"/>
      <c r="C6741"/>
      <c r="J6741"/>
      <c r="K6741"/>
      <c r="L6741"/>
    </row>
    <row r="6742" spans="2:12" x14ac:dyDescent="0.2">
      <c r="B6742"/>
      <c r="C6742"/>
      <c r="J6742"/>
      <c r="K6742"/>
      <c r="L6742"/>
    </row>
    <row r="6743" spans="2:12" x14ac:dyDescent="0.2">
      <c r="B6743"/>
      <c r="C6743"/>
      <c r="J6743"/>
      <c r="K6743"/>
      <c r="L6743"/>
    </row>
    <row r="6744" spans="2:12" x14ac:dyDescent="0.2">
      <c r="B6744"/>
      <c r="C6744"/>
      <c r="J6744"/>
      <c r="K6744"/>
      <c r="L6744"/>
    </row>
    <row r="6745" spans="2:12" x14ac:dyDescent="0.2">
      <c r="B6745"/>
      <c r="C6745"/>
      <c r="J6745"/>
      <c r="K6745"/>
      <c r="L6745"/>
    </row>
    <row r="6746" spans="2:12" x14ac:dyDescent="0.2">
      <c r="B6746"/>
      <c r="C6746"/>
      <c r="J6746"/>
      <c r="K6746"/>
      <c r="L6746"/>
    </row>
    <row r="6747" spans="2:12" x14ac:dyDescent="0.2">
      <c r="B6747"/>
      <c r="C6747"/>
      <c r="J6747"/>
      <c r="K6747"/>
      <c r="L6747"/>
    </row>
    <row r="6748" spans="2:12" x14ac:dyDescent="0.2">
      <c r="B6748"/>
      <c r="C6748"/>
      <c r="J6748"/>
      <c r="K6748"/>
      <c r="L6748"/>
    </row>
    <row r="6749" spans="2:12" x14ac:dyDescent="0.2">
      <c r="B6749"/>
      <c r="C6749"/>
      <c r="J6749"/>
      <c r="K6749"/>
      <c r="L6749"/>
    </row>
    <row r="6750" spans="2:12" x14ac:dyDescent="0.2">
      <c r="B6750"/>
      <c r="C6750"/>
      <c r="J6750"/>
      <c r="K6750"/>
      <c r="L6750"/>
    </row>
    <row r="6751" spans="2:12" x14ac:dyDescent="0.2">
      <c r="B6751"/>
      <c r="C6751"/>
      <c r="J6751"/>
      <c r="K6751"/>
      <c r="L6751"/>
    </row>
    <row r="6752" spans="2:12" x14ac:dyDescent="0.2">
      <c r="B6752"/>
      <c r="C6752"/>
      <c r="J6752"/>
      <c r="K6752"/>
      <c r="L6752"/>
    </row>
    <row r="6753" spans="2:12" x14ac:dyDescent="0.2">
      <c r="B6753"/>
      <c r="C6753"/>
      <c r="J6753"/>
      <c r="K6753"/>
      <c r="L6753"/>
    </row>
    <row r="6754" spans="2:12" x14ac:dyDescent="0.2">
      <c r="B6754"/>
      <c r="C6754"/>
      <c r="J6754"/>
      <c r="K6754"/>
      <c r="L6754"/>
    </row>
    <row r="6755" spans="2:12" x14ac:dyDescent="0.2">
      <c r="B6755"/>
      <c r="C6755"/>
      <c r="J6755"/>
      <c r="K6755"/>
      <c r="L6755"/>
    </row>
    <row r="6756" spans="2:12" x14ac:dyDescent="0.2">
      <c r="B6756"/>
      <c r="C6756"/>
      <c r="J6756"/>
      <c r="K6756"/>
      <c r="L6756"/>
    </row>
    <row r="6757" spans="2:12" x14ac:dyDescent="0.2">
      <c r="B6757"/>
      <c r="C6757"/>
      <c r="J6757"/>
      <c r="K6757"/>
      <c r="L6757"/>
    </row>
    <row r="6758" spans="2:12" x14ac:dyDescent="0.2">
      <c r="B6758"/>
      <c r="C6758"/>
      <c r="J6758"/>
      <c r="K6758"/>
      <c r="L6758"/>
    </row>
    <row r="6759" spans="2:12" x14ac:dyDescent="0.2">
      <c r="B6759"/>
      <c r="C6759"/>
      <c r="J6759"/>
      <c r="K6759"/>
      <c r="L6759"/>
    </row>
    <row r="6760" spans="2:12" x14ac:dyDescent="0.2">
      <c r="B6760"/>
      <c r="C6760"/>
      <c r="J6760"/>
      <c r="K6760"/>
      <c r="L6760"/>
    </row>
    <row r="6761" spans="2:12" x14ac:dyDescent="0.2">
      <c r="B6761"/>
      <c r="C6761"/>
      <c r="J6761"/>
      <c r="K6761"/>
      <c r="L6761"/>
    </row>
    <row r="6762" spans="2:12" x14ac:dyDescent="0.2">
      <c r="B6762"/>
      <c r="C6762"/>
      <c r="J6762"/>
      <c r="K6762"/>
      <c r="L6762"/>
    </row>
    <row r="6763" spans="2:12" x14ac:dyDescent="0.2">
      <c r="B6763"/>
      <c r="C6763"/>
      <c r="J6763"/>
      <c r="K6763"/>
      <c r="L6763"/>
    </row>
    <row r="6764" spans="2:12" x14ac:dyDescent="0.2">
      <c r="B6764"/>
      <c r="C6764"/>
      <c r="J6764"/>
      <c r="K6764"/>
      <c r="L6764"/>
    </row>
    <row r="6765" spans="2:12" x14ac:dyDescent="0.2">
      <c r="B6765"/>
      <c r="C6765"/>
      <c r="J6765"/>
      <c r="K6765"/>
      <c r="L6765"/>
    </row>
    <row r="6766" spans="2:12" x14ac:dyDescent="0.2">
      <c r="B6766"/>
      <c r="C6766"/>
      <c r="J6766"/>
      <c r="K6766"/>
      <c r="L6766"/>
    </row>
    <row r="6767" spans="2:12" x14ac:dyDescent="0.2">
      <c r="B6767"/>
      <c r="C6767"/>
      <c r="J6767"/>
      <c r="K6767"/>
      <c r="L6767"/>
    </row>
    <row r="6768" spans="2:12" x14ac:dyDescent="0.2">
      <c r="B6768"/>
      <c r="C6768"/>
      <c r="J6768"/>
      <c r="K6768"/>
      <c r="L6768"/>
    </row>
    <row r="6769" spans="2:12" x14ac:dyDescent="0.2">
      <c r="B6769"/>
      <c r="C6769"/>
      <c r="J6769"/>
      <c r="K6769"/>
      <c r="L6769"/>
    </row>
    <row r="6770" spans="2:12" x14ac:dyDescent="0.2">
      <c r="B6770"/>
      <c r="C6770"/>
      <c r="J6770"/>
      <c r="K6770"/>
      <c r="L6770"/>
    </row>
    <row r="6771" spans="2:12" x14ac:dyDescent="0.2">
      <c r="B6771"/>
      <c r="C6771"/>
      <c r="J6771"/>
      <c r="K6771"/>
      <c r="L6771"/>
    </row>
    <row r="6772" spans="2:12" x14ac:dyDescent="0.2">
      <c r="B6772"/>
      <c r="C6772"/>
      <c r="J6772"/>
      <c r="K6772"/>
      <c r="L6772"/>
    </row>
    <row r="6773" spans="2:12" x14ac:dyDescent="0.2">
      <c r="B6773"/>
      <c r="C6773"/>
      <c r="J6773"/>
      <c r="K6773"/>
      <c r="L6773"/>
    </row>
    <row r="6774" spans="2:12" x14ac:dyDescent="0.2">
      <c r="B6774"/>
      <c r="C6774"/>
      <c r="J6774"/>
      <c r="K6774"/>
      <c r="L6774"/>
    </row>
    <row r="6775" spans="2:12" x14ac:dyDescent="0.2">
      <c r="B6775"/>
      <c r="C6775"/>
      <c r="J6775"/>
      <c r="K6775"/>
      <c r="L6775"/>
    </row>
    <row r="6776" spans="2:12" x14ac:dyDescent="0.2">
      <c r="B6776"/>
      <c r="C6776"/>
      <c r="J6776"/>
      <c r="K6776"/>
      <c r="L6776"/>
    </row>
    <row r="6777" spans="2:12" x14ac:dyDescent="0.2">
      <c r="B6777"/>
      <c r="C6777"/>
      <c r="J6777"/>
      <c r="K6777"/>
      <c r="L6777"/>
    </row>
    <row r="6778" spans="2:12" x14ac:dyDescent="0.2">
      <c r="B6778"/>
      <c r="C6778"/>
      <c r="J6778"/>
      <c r="K6778"/>
      <c r="L6778"/>
    </row>
    <row r="6779" spans="2:12" x14ac:dyDescent="0.2">
      <c r="B6779"/>
      <c r="C6779"/>
      <c r="J6779"/>
      <c r="K6779"/>
      <c r="L6779"/>
    </row>
    <row r="6780" spans="2:12" x14ac:dyDescent="0.2">
      <c r="B6780"/>
      <c r="C6780"/>
      <c r="J6780"/>
      <c r="K6780"/>
      <c r="L6780"/>
    </row>
    <row r="6781" spans="2:12" x14ac:dyDescent="0.2">
      <c r="B6781"/>
      <c r="C6781"/>
      <c r="J6781"/>
      <c r="K6781"/>
      <c r="L6781"/>
    </row>
    <row r="6782" spans="2:12" x14ac:dyDescent="0.2">
      <c r="B6782"/>
      <c r="C6782"/>
      <c r="J6782"/>
      <c r="K6782"/>
      <c r="L6782"/>
    </row>
    <row r="6783" spans="2:12" x14ac:dyDescent="0.2">
      <c r="B6783"/>
      <c r="C6783"/>
      <c r="J6783"/>
      <c r="K6783"/>
      <c r="L6783"/>
    </row>
    <row r="6784" spans="2:12" x14ac:dyDescent="0.2">
      <c r="B6784"/>
      <c r="C6784"/>
      <c r="J6784"/>
      <c r="K6784"/>
      <c r="L6784"/>
    </row>
    <row r="6785" spans="2:12" x14ac:dyDescent="0.2">
      <c r="B6785"/>
      <c r="C6785"/>
      <c r="J6785"/>
      <c r="K6785"/>
      <c r="L6785"/>
    </row>
    <row r="6786" spans="2:12" x14ac:dyDescent="0.2">
      <c r="B6786"/>
      <c r="C6786"/>
      <c r="J6786"/>
      <c r="K6786"/>
      <c r="L6786"/>
    </row>
    <row r="6787" spans="2:12" x14ac:dyDescent="0.2">
      <c r="B6787"/>
      <c r="C6787"/>
      <c r="J6787"/>
      <c r="K6787"/>
      <c r="L6787"/>
    </row>
    <row r="6788" spans="2:12" x14ac:dyDescent="0.2">
      <c r="B6788"/>
      <c r="C6788"/>
      <c r="J6788"/>
      <c r="K6788"/>
      <c r="L6788"/>
    </row>
    <row r="6789" spans="2:12" x14ac:dyDescent="0.2">
      <c r="B6789"/>
      <c r="C6789"/>
      <c r="J6789"/>
      <c r="K6789"/>
      <c r="L6789"/>
    </row>
    <row r="6790" spans="2:12" x14ac:dyDescent="0.2">
      <c r="B6790"/>
      <c r="C6790"/>
      <c r="J6790"/>
      <c r="K6790"/>
      <c r="L6790"/>
    </row>
    <row r="6791" spans="2:12" x14ac:dyDescent="0.2">
      <c r="B6791"/>
      <c r="C6791"/>
      <c r="J6791"/>
      <c r="K6791"/>
      <c r="L6791"/>
    </row>
    <row r="6792" spans="2:12" x14ac:dyDescent="0.2">
      <c r="B6792"/>
      <c r="C6792"/>
      <c r="J6792"/>
      <c r="K6792"/>
      <c r="L6792"/>
    </row>
    <row r="6793" spans="2:12" x14ac:dyDescent="0.2">
      <c r="B6793"/>
      <c r="C6793"/>
      <c r="J6793"/>
      <c r="K6793"/>
      <c r="L6793"/>
    </row>
    <row r="6794" spans="2:12" x14ac:dyDescent="0.2">
      <c r="B6794"/>
      <c r="C6794"/>
      <c r="J6794"/>
      <c r="K6794"/>
      <c r="L6794"/>
    </row>
    <row r="6795" spans="2:12" x14ac:dyDescent="0.2">
      <c r="B6795"/>
      <c r="C6795"/>
      <c r="J6795"/>
      <c r="K6795"/>
      <c r="L6795"/>
    </row>
    <row r="6796" spans="2:12" x14ac:dyDescent="0.2">
      <c r="B6796"/>
      <c r="C6796"/>
      <c r="J6796"/>
      <c r="K6796"/>
      <c r="L6796"/>
    </row>
    <row r="6797" spans="2:12" x14ac:dyDescent="0.2">
      <c r="B6797"/>
      <c r="C6797"/>
      <c r="J6797"/>
      <c r="K6797"/>
      <c r="L6797"/>
    </row>
    <row r="6798" spans="2:12" x14ac:dyDescent="0.2">
      <c r="B6798"/>
      <c r="C6798"/>
      <c r="J6798"/>
      <c r="K6798"/>
      <c r="L6798"/>
    </row>
    <row r="6799" spans="2:12" x14ac:dyDescent="0.2">
      <c r="B6799"/>
      <c r="C6799"/>
      <c r="J6799"/>
      <c r="K6799"/>
      <c r="L6799"/>
    </row>
    <row r="6800" spans="2:12" x14ac:dyDescent="0.2">
      <c r="B6800"/>
      <c r="C6800"/>
      <c r="J6800"/>
      <c r="K6800"/>
      <c r="L6800"/>
    </row>
    <row r="6801" spans="2:12" x14ac:dyDescent="0.2">
      <c r="B6801"/>
      <c r="C6801"/>
      <c r="J6801"/>
      <c r="K6801"/>
      <c r="L6801"/>
    </row>
    <row r="6802" spans="2:12" x14ac:dyDescent="0.2">
      <c r="B6802"/>
      <c r="C6802"/>
      <c r="J6802"/>
      <c r="K6802"/>
      <c r="L6802"/>
    </row>
    <row r="6803" spans="2:12" x14ac:dyDescent="0.2">
      <c r="B6803"/>
      <c r="C6803"/>
      <c r="J6803"/>
      <c r="K6803"/>
      <c r="L6803"/>
    </row>
    <row r="6804" spans="2:12" x14ac:dyDescent="0.2">
      <c r="B6804"/>
      <c r="C6804"/>
      <c r="J6804"/>
      <c r="K6804"/>
      <c r="L6804"/>
    </row>
    <row r="6805" spans="2:12" x14ac:dyDescent="0.2">
      <c r="B6805"/>
      <c r="C6805"/>
      <c r="J6805"/>
      <c r="K6805"/>
      <c r="L6805"/>
    </row>
    <row r="6806" spans="2:12" x14ac:dyDescent="0.2">
      <c r="B6806"/>
      <c r="C6806"/>
      <c r="J6806"/>
      <c r="K6806"/>
      <c r="L6806"/>
    </row>
    <row r="6807" spans="2:12" x14ac:dyDescent="0.2">
      <c r="B6807"/>
      <c r="C6807"/>
      <c r="J6807"/>
      <c r="K6807"/>
      <c r="L6807"/>
    </row>
    <row r="6808" spans="2:12" x14ac:dyDescent="0.2">
      <c r="B6808"/>
      <c r="C6808"/>
      <c r="J6808"/>
      <c r="K6808"/>
      <c r="L6808"/>
    </row>
    <row r="6809" spans="2:12" x14ac:dyDescent="0.2">
      <c r="B6809"/>
      <c r="C6809"/>
      <c r="J6809"/>
      <c r="K6809"/>
      <c r="L6809"/>
    </row>
    <row r="6810" spans="2:12" x14ac:dyDescent="0.2">
      <c r="B6810"/>
      <c r="C6810"/>
      <c r="J6810"/>
      <c r="K6810"/>
      <c r="L6810"/>
    </row>
    <row r="6811" spans="2:12" x14ac:dyDescent="0.2">
      <c r="B6811"/>
      <c r="C6811"/>
      <c r="J6811"/>
      <c r="K6811"/>
      <c r="L6811"/>
    </row>
    <row r="6812" spans="2:12" x14ac:dyDescent="0.2">
      <c r="B6812"/>
      <c r="C6812"/>
      <c r="J6812"/>
      <c r="K6812"/>
      <c r="L6812"/>
    </row>
    <row r="6813" spans="2:12" x14ac:dyDescent="0.2">
      <c r="B6813"/>
      <c r="C6813"/>
      <c r="J6813"/>
      <c r="K6813"/>
      <c r="L6813"/>
    </row>
    <row r="6814" spans="2:12" x14ac:dyDescent="0.2">
      <c r="B6814"/>
      <c r="C6814"/>
      <c r="J6814"/>
      <c r="K6814"/>
      <c r="L6814"/>
    </row>
    <row r="6815" spans="2:12" x14ac:dyDescent="0.2">
      <c r="B6815"/>
      <c r="C6815"/>
      <c r="J6815"/>
      <c r="K6815"/>
      <c r="L6815"/>
    </row>
    <row r="6816" spans="2:12" x14ac:dyDescent="0.2">
      <c r="B6816"/>
      <c r="C6816"/>
      <c r="J6816"/>
      <c r="K6816"/>
      <c r="L6816"/>
    </row>
    <row r="6817" spans="2:12" x14ac:dyDescent="0.2">
      <c r="B6817"/>
      <c r="C6817"/>
      <c r="J6817"/>
      <c r="K6817"/>
      <c r="L6817"/>
    </row>
    <row r="6818" spans="2:12" x14ac:dyDescent="0.2">
      <c r="B6818"/>
      <c r="C6818"/>
      <c r="J6818"/>
      <c r="K6818"/>
      <c r="L6818"/>
    </row>
    <row r="6819" spans="2:12" x14ac:dyDescent="0.2">
      <c r="B6819"/>
      <c r="C6819"/>
      <c r="J6819"/>
      <c r="K6819"/>
      <c r="L6819"/>
    </row>
    <row r="6820" spans="2:12" x14ac:dyDescent="0.2">
      <c r="B6820"/>
      <c r="C6820"/>
      <c r="J6820"/>
      <c r="K6820"/>
      <c r="L6820"/>
    </row>
    <row r="6821" spans="2:12" x14ac:dyDescent="0.2">
      <c r="B6821"/>
      <c r="C6821"/>
      <c r="J6821"/>
      <c r="K6821"/>
      <c r="L6821"/>
    </row>
    <row r="6822" spans="2:12" x14ac:dyDescent="0.2">
      <c r="B6822"/>
      <c r="C6822"/>
      <c r="J6822"/>
      <c r="K6822"/>
      <c r="L6822"/>
    </row>
    <row r="6823" spans="2:12" x14ac:dyDescent="0.2">
      <c r="B6823"/>
      <c r="C6823"/>
      <c r="J6823"/>
      <c r="K6823"/>
      <c r="L6823"/>
    </row>
    <row r="6824" spans="2:12" x14ac:dyDescent="0.2">
      <c r="B6824"/>
      <c r="C6824"/>
      <c r="J6824"/>
      <c r="K6824"/>
      <c r="L6824"/>
    </row>
    <row r="6825" spans="2:12" x14ac:dyDescent="0.2">
      <c r="B6825"/>
      <c r="C6825"/>
      <c r="J6825"/>
      <c r="K6825"/>
      <c r="L6825"/>
    </row>
    <row r="6826" spans="2:12" x14ac:dyDescent="0.2">
      <c r="B6826"/>
      <c r="C6826"/>
      <c r="J6826"/>
      <c r="K6826"/>
      <c r="L6826"/>
    </row>
    <row r="6827" spans="2:12" x14ac:dyDescent="0.2">
      <c r="B6827"/>
      <c r="C6827"/>
      <c r="J6827"/>
      <c r="K6827"/>
      <c r="L6827"/>
    </row>
    <row r="6828" spans="2:12" x14ac:dyDescent="0.2">
      <c r="B6828"/>
      <c r="C6828"/>
      <c r="J6828"/>
      <c r="K6828"/>
      <c r="L6828"/>
    </row>
    <row r="6829" spans="2:12" x14ac:dyDescent="0.2">
      <c r="B6829"/>
      <c r="C6829"/>
      <c r="J6829"/>
      <c r="K6829"/>
      <c r="L6829"/>
    </row>
    <row r="6830" spans="2:12" x14ac:dyDescent="0.2">
      <c r="B6830"/>
      <c r="C6830"/>
      <c r="J6830"/>
      <c r="K6830"/>
      <c r="L6830"/>
    </row>
    <row r="6831" spans="2:12" x14ac:dyDescent="0.2">
      <c r="B6831"/>
      <c r="C6831"/>
      <c r="J6831"/>
      <c r="K6831"/>
      <c r="L6831"/>
    </row>
    <row r="6832" spans="2:12" x14ac:dyDescent="0.2">
      <c r="B6832"/>
      <c r="C6832"/>
      <c r="J6832"/>
      <c r="K6832"/>
      <c r="L6832"/>
    </row>
    <row r="6833" spans="2:12" x14ac:dyDescent="0.2">
      <c r="B6833"/>
      <c r="C6833"/>
      <c r="J6833"/>
      <c r="K6833"/>
      <c r="L6833"/>
    </row>
    <row r="6834" spans="2:12" x14ac:dyDescent="0.2">
      <c r="B6834"/>
      <c r="C6834"/>
      <c r="J6834"/>
      <c r="K6834"/>
      <c r="L6834"/>
    </row>
    <row r="6835" spans="2:12" x14ac:dyDescent="0.2">
      <c r="B6835"/>
      <c r="C6835"/>
      <c r="J6835"/>
      <c r="K6835"/>
      <c r="L6835"/>
    </row>
    <row r="6836" spans="2:12" x14ac:dyDescent="0.2">
      <c r="B6836"/>
      <c r="C6836"/>
      <c r="J6836"/>
      <c r="K6836"/>
      <c r="L6836"/>
    </row>
    <row r="6837" spans="2:12" x14ac:dyDescent="0.2">
      <c r="B6837"/>
      <c r="C6837"/>
      <c r="J6837"/>
      <c r="K6837"/>
      <c r="L6837"/>
    </row>
    <row r="6838" spans="2:12" x14ac:dyDescent="0.2">
      <c r="B6838"/>
      <c r="C6838"/>
      <c r="J6838"/>
      <c r="K6838"/>
      <c r="L6838"/>
    </row>
    <row r="6839" spans="2:12" x14ac:dyDescent="0.2">
      <c r="B6839"/>
      <c r="C6839"/>
      <c r="J6839"/>
      <c r="K6839"/>
      <c r="L6839"/>
    </row>
    <row r="6840" spans="2:12" x14ac:dyDescent="0.2">
      <c r="B6840"/>
      <c r="C6840"/>
      <c r="J6840"/>
      <c r="K6840"/>
      <c r="L6840"/>
    </row>
    <row r="6841" spans="2:12" x14ac:dyDescent="0.2">
      <c r="B6841"/>
      <c r="C6841"/>
      <c r="J6841"/>
      <c r="K6841"/>
      <c r="L6841"/>
    </row>
    <row r="6842" spans="2:12" x14ac:dyDescent="0.2">
      <c r="B6842"/>
      <c r="C6842"/>
      <c r="J6842"/>
      <c r="K6842"/>
      <c r="L6842"/>
    </row>
    <row r="6843" spans="2:12" x14ac:dyDescent="0.2">
      <c r="B6843"/>
      <c r="C6843"/>
      <c r="J6843"/>
      <c r="K6843"/>
      <c r="L6843"/>
    </row>
    <row r="6844" spans="2:12" x14ac:dyDescent="0.2">
      <c r="B6844"/>
      <c r="C6844"/>
      <c r="J6844"/>
      <c r="K6844"/>
      <c r="L6844"/>
    </row>
    <row r="6845" spans="2:12" x14ac:dyDescent="0.2">
      <c r="B6845"/>
      <c r="C6845"/>
      <c r="J6845"/>
      <c r="K6845"/>
      <c r="L6845"/>
    </row>
    <row r="6846" spans="2:12" x14ac:dyDescent="0.2">
      <c r="B6846"/>
      <c r="C6846"/>
      <c r="J6846"/>
      <c r="K6846"/>
      <c r="L6846"/>
    </row>
    <row r="6847" spans="2:12" x14ac:dyDescent="0.2">
      <c r="B6847"/>
      <c r="C6847"/>
      <c r="J6847"/>
      <c r="K6847"/>
      <c r="L6847"/>
    </row>
    <row r="6848" spans="2:12" x14ac:dyDescent="0.2">
      <c r="B6848"/>
      <c r="C6848"/>
      <c r="J6848"/>
      <c r="K6848"/>
      <c r="L6848"/>
    </row>
    <row r="6849" spans="2:12" x14ac:dyDescent="0.2">
      <c r="B6849"/>
      <c r="C6849"/>
      <c r="J6849"/>
      <c r="K6849"/>
      <c r="L6849"/>
    </row>
    <row r="6850" spans="2:12" x14ac:dyDescent="0.2">
      <c r="B6850"/>
      <c r="C6850"/>
      <c r="J6850"/>
      <c r="K6850"/>
      <c r="L6850"/>
    </row>
    <row r="6851" spans="2:12" x14ac:dyDescent="0.2">
      <c r="B6851"/>
      <c r="C6851"/>
      <c r="J6851"/>
      <c r="K6851"/>
      <c r="L6851"/>
    </row>
    <row r="6852" spans="2:12" x14ac:dyDescent="0.2">
      <c r="B6852"/>
      <c r="C6852"/>
      <c r="J6852"/>
      <c r="K6852"/>
      <c r="L6852"/>
    </row>
    <row r="6853" spans="2:12" x14ac:dyDescent="0.2">
      <c r="B6853"/>
      <c r="C6853"/>
      <c r="J6853"/>
      <c r="K6853"/>
      <c r="L6853"/>
    </row>
    <row r="6854" spans="2:12" x14ac:dyDescent="0.2">
      <c r="B6854"/>
      <c r="C6854"/>
      <c r="J6854"/>
      <c r="K6854"/>
      <c r="L6854"/>
    </row>
    <row r="6855" spans="2:12" x14ac:dyDescent="0.2">
      <c r="B6855"/>
      <c r="C6855"/>
      <c r="J6855"/>
      <c r="K6855"/>
      <c r="L6855"/>
    </row>
    <row r="6856" spans="2:12" x14ac:dyDescent="0.2">
      <c r="B6856"/>
      <c r="C6856"/>
      <c r="J6856"/>
      <c r="K6856"/>
      <c r="L6856"/>
    </row>
    <row r="6857" spans="2:12" x14ac:dyDescent="0.2">
      <c r="B6857"/>
      <c r="C6857"/>
      <c r="J6857"/>
      <c r="K6857"/>
      <c r="L6857"/>
    </row>
    <row r="6858" spans="2:12" x14ac:dyDescent="0.2">
      <c r="B6858"/>
      <c r="C6858"/>
      <c r="J6858"/>
      <c r="K6858"/>
      <c r="L6858"/>
    </row>
    <row r="6859" spans="2:12" x14ac:dyDescent="0.2">
      <c r="B6859"/>
      <c r="C6859"/>
      <c r="J6859"/>
      <c r="K6859"/>
      <c r="L6859"/>
    </row>
    <row r="6860" spans="2:12" x14ac:dyDescent="0.2">
      <c r="B6860"/>
      <c r="C6860"/>
      <c r="J6860"/>
      <c r="K6860"/>
      <c r="L6860"/>
    </row>
    <row r="6861" spans="2:12" x14ac:dyDescent="0.2">
      <c r="B6861"/>
      <c r="C6861"/>
      <c r="J6861"/>
      <c r="K6861"/>
      <c r="L6861"/>
    </row>
    <row r="6862" spans="2:12" x14ac:dyDescent="0.2">
      <c r="B6862"/>
      <c r="C6862"/>
      <c r="J6862"/>
      <c r="K6862"/>
      <c r="L6862"/>
    </row>
    <row r="6863" spans="2:12" x14ac:dyDescent="0.2">
      <c r="B6863"/>
      <c r="C6863"/>
      <c r="J6863"/>
      <c r="K6863"/>
      <c r="L6863"/>
    </row>
    <row r="6864" spans="2:12" x14ac:dyDescent="0.2">
      <c r="B6864"/>
      <c r="C6864"/>
      <c r="J6864"/>
      <c r="K6864"/>
      <c r="L6864"/>
    </row>
    <row r="6865" spans="2:12" x14ac:dyDescent="0.2">
      <c r="B6865"/>
      <c r="C6865"/>
      <c r="J6865"/>
      <c r="K6865"/>
      <c r="L6865"/>
    </row>
    <row r="6866" spans="2:12" x14ac:dyDescent="0.2">
      <c r="B6866"/>
      <c r="C6866"/>
      <c r="J6866"/>
      <c r="K6866"/>
      <c r="L6866"/>
    </row>
    <row r="6867" spans="2:12" x14ac:dyDescent="0.2">
      <c r="B6867"/>
      <c r="C6867"/>
      <c r="J6867"/>
      <c r="K6867"/>
      <c r="L6867"/>
    </row>
    <row r="6868" spans="2:12" x14ac:dyDescent="0.2">
      <c r="B6868"/>
      <c r="C6868"/>
      <c r="J6868"/>
      <c r="K6868"/>
      <c r="L6868"/>
    </row>
    <row r="6869" spans="2:12" x14ac:dyDescent="0.2">
      <c r="B6869"/>
      <c r="C6869"/>
      <c r="J6869"/>
      <c r="K6869"/>
      <c r="L6869"/>
    </row>
    <row r="6870" spans="2:12" x14ac:dyDescent="0.2">
      <c r="B6870"/>
      <c r="C6870"/>
      <c r="J6870"/>
      <c r="K6870"/>
      <c r="L6870"/>
    </row>
    <row r="6871" spans="2:12" x14ac:dyDescent="0.2">
      <c r="B6871"/>
      <c r="C6871"/>
      <c r="J6871"/>
      <c r="K6871"/>
      <c r="L6871"/>
    </row>
    <row r="6872" spans="2:12" x14ac:dyDescent="0.2">
      <c r="B6872"/>
      <c r="C6872"/>
      <c r="J6872"/>
      <c r="K6872"/>
      <c r="L6872"/>
    </row>
    <row r="6873" spans="2:12" x14ac:dyDescent="0.2">
      <c r="B6873"/>
      <c r="C6873"/>
      <c r="J6873"/>
      <c r="K6873"/>
      <c r="L6873"/>
    </row>
    <row r="6874" spans="2:12" x14ac:dyDescent="0.2">
      <c r="B6874"/>
      <c r="C6874"/>
      <c r="J6874"/>
      <c r="K6874"/>
      <c r="L6874"/>
    </row>
    <row r="6875" spans="2:12" x14ac:dyDescent="0.2">
      <c r="B6875"/>
      <c r="C6875"/>
      <c r="J6875"/>
      <c r="K6875"/>
      <c r="L6875"/>
    </row>
    <row r="6876" spans="2:12" x14ac:dyDescent="0.2">
      <c r="B6876"/>
      <c r="C6876"/>
      <c r="J6876"/>
      <c r="K6876"/>
      <c r="L6876"/>
    </row>
    <row r="6877" spans="2:12" x14ac:dyDescent="0.2">
      <c r="B6877"/>
      <c r="C6877"/>
      <c r="J6877"/>
      <c r="K6877"/>
      <c r="L6877"/>
    </row>
    <row r="6878" spans="2:12" x14ac:dyDescent="0.2">
      <c r="B6878"/>
      <c r="C6878"/>
      <c r="J6878"/>
      <c r="K6878"/>
      <c r="L6878"/>
    </row>
    <row r="6879" spans="2:12" x14ac:dyDescent="0.2">
      <c r="B6879"/>
      <c r="C6879"/>
      <c r="J6879"/>
      <c r="K6879"/>
      <c r="L6879"/>
    </row>
    <row r="6880" spans="2:12" x14ac:dyDescent="0.2">
      <c r="B6880"/>
      <c r="C6880"/>
      <c r="J6880"/>
      <c r="K6880"/>
      <c r="L6880"/>
    </row>
    <row r="6881" spans="2:12" x14ac:dyDescent="0.2">
      <c r="B6881"/>
      <c r="C6881"/>
      <c r="J6881"/>
      <c r="K6881"/>
      <c r="L6881"/>
    </row>
    <row r="6882" spans="2:12" x14ac:dyDescent="0.2">
      <c r="B6882"/>
      <c r="C6882"/>
      <c r="J6882"/>
      <c r="K6882"/>
      <c r="L6882"/>
    </row>
    <row r="6883" spans="2:12" x14ac:dyDescent="0.2">
      <c r="B6883"/>
      <c r="C6883"/>
      <c r="J6883"/>
      <c r="K6883"/>
      <c r="L6883"/>
    </row>
    <row r="6884" spans="2:12" x14ac:dyDescent="0.2">
      <c r="B6884"/>
      <c r="C6884"/>
      <c r="J6884"/>
      <c r="K6884"/>
      <c r="L6884"/>
    </row>
    <row r="6885" spans="2:12" x14ac:dyDescent="0.2">
      <c r="B6885"/>
      <c r="C6885"/>
      <c r="J6885"/>
      <c r="K6885"/>
      <c r="L6885"/>
    </row>
    <row r="6886" spans="2:12" x14ac:dyDescent="0.2">
      <c r="B6886"/>
      <c r="C6886"/>
      <c r="J6886"/>
      <c r="K6886"/>
      <c r="L6886"/>
    </row>
    <row r="6887" spans="2:12" x14ac:dyDescent="0.2">
      <c r="B6887"/>
      <c r="C6887"/>
      <c r="J6887"/>
      <c r="K6887"/>
      <c r="L6887"/>
    </row>
    <row r="6888" spans="2:12" x14ac:dyDescent="0.2">
      <c r="B6888"/>
      <c r="C6888"/>
      <c r="J6888"/>
      <c r="K6888"/>
      <c r="L6888"/>
    </row>
    <row r="6889" spans="2:12" x14ac:dyDescent="0.2">
      <c r="B6889"/>
      <c r="C6889"/>
      <c r="J6889"/>
      <c r="K6889"/>
      <c r="L6889"/>
    </row>
    <row r="6890" spans="2:12" x14ac:dyDescent="0.2">
      <c r="B6890"/>
      <c r="C6890"/>
      <c r="J6890"/>
      <c r="K6890"/>
      <c r="L6890"/>
    </row>
    <row r="6891" spans="2:12" x14ac:dyDescent="0.2">
      <c r="B6891"/>
      <c r="C6891"/>
      <c r="J6891"/>
      <c r="K6891"/>
      <c r="L6891"/>
    </row>
    <row r="6892" spans="2:12" x14ac:dyDescent="0.2">
      <c r="B6892"/>
      <c r="C6892"/>
      <c r="J6892"/>
      <c r="K6892"/>
      <c r="L6892"/>
    </row>
    <row r="6893" spans="2:12" x14ac:dyDescent="0.2">
      <c r="B6893"/>
      <c r="C6893"/>
      <c r="J6893"/>
      <c r="K6893"/>
      <c r="L6893"/>
    </row>
    <row r="6894" spans="2:12" x14ac:dyDescent="0.2">
      <c r="B6894"/>
      <c r="C6894"/>
      <c r="J6894"/>
      <c r="K6894"/>
      <c r="L6894"/>
    </row>
    <row r="6895" spans="2:12" x14ac:dyDescent="0.2">
      <c r="B6895"/>
      <c r="C6895"/>
      <c r="J6895"/>
      <c r="K6895"/>
      <c r="L6895"/>
    </row>
    <row r="6896" spans="2:12" x14ac:dyDescent="0.2">
      <c r="B6896"/>
      <c r="C6896"/>
      <c r="J6896"/>
      <c r="K6896"/>
      <c r="L6896"/>
    </row>
    <row r="6897" spans="2:12" x14ac:dyDescent="0.2">
      <c r="B6897"/>
      <c r="C6897"/>
      <c r="J6897"/>
      <c r="K6897"/>
      <c r="L6897"/>
    </row>
    <row r="6898" spans="2:12" x14ac:dyDescent="0.2">
      <c r="B6898"/>
      <c r="C6898"/>
      <c r="J6898"/>
      <c r="K6898"/>
      <c r="L6898"/>
    </row>
    <row r="6899" spans="2:12" x14ac:dyDescent="0.2">
      <c r="B6899"/>
      <c r="C6899"/>
      <c r="J6899"/>
      <c r="K6899"/>
      <c r="L6899"/>
    </row>
    <row r="6900" spans="2:12" x14ac:dyDescent="0.2">
      <c r="B6900"/>
      <c r="C6900"/>
      <c r="J6900"/>
      <c r="K6900"/>
      <c r="L6900"/>
    </row>
    <row r="6901" spans="2:12" x14ac:dyDescent="0.2">
      <c r="B6901"/>
      <c r="C6901"/>
      <c r="J6901"/>
      <c r="K6901"/>
      <c r="L6901"/>
    </row>
    <row r="6902" spans="2:12" x14ac:dyDescent="0.2">
      <c r="B6902"/>
      <c r="C6902"/>
      <c r="J6902"/>
      <c r="K6902"/>
      <c r="L6902"/>
    </row>
    <row r="6903" spans="2:12" x14ac:dyDescent="0.2">
      <c r="B6903"/>
      <c r="C6903"/>
      <c r="J6903"/>
      <c r="K6903"/>
      <c r="L6903"/>
    </row>
    <row r="6904" spans="2:12" x14ac:dyDescent="0.2">
      <c r="B6904"/>
      <c r="C6904"/>
      <c r="J6904"/>
      <c r="K6904"/>
      <c r="L6904"/>
    </row>
    <row r="6905" spans="2:12" x14ac:dyDescent="0.2">
      <c r="B6905"/>
      <c r="C6905"/>
      <c r="J6905"/>
      <c r="K6905"/>
      <c r="L6905"/>
    </row>
    <row r="6906" spans="2:12" x14ac:dyDescent="0.2">
      <c r="B6906"/>
      <c r="C6906"/>
      <c r="J6906"/>
      <c r="K6906"/>
      <c r="L6906"/>
    </row>
    <row r="6907" spans="2:12" x14ac:dyDescent="0.2">
      <c r="B6907"/>
      <c r="C6907"/>
      <c r="J6907"/>
      <c r="K6907"/>
      <c r="L6907"/>
    </row>
    <row r="6908" spans="2:12" x14ac:dyDescent="0.2">
      <c r="B6908"/>
      <c r="C6908"/>
      <c r="J6908"/>
      <c r="K6908"/>
      <c r="L6908"/>
    </row>
    <row r="6909" spans="2:12" x14ac:dyDescent="0.2">
      <c r="B6909"/>
      <c r="C6909"/>
      <c r="J6909"/>
      <c r="K6909"/>
      <c r="L6909"/>
    </row>
    <row r="6910" spans="2:12" x14ac:dyDescent="0.2">
      <c r="B6910"/>
      <c r="C6910"/>
      <c r="J6910"/>
      <c r="K6910"/>
      <c r="L6910"/>
    </row>
    <row r="6911" spans="2:12" x14ac:dyDescent="0.2">
      <c r="B6911"/>
      <c r="C6911"/>
      <c r="J6911"/>
      <c r="K6911"/>
      <c r="L6911"/>
    </row>
    <row r="6912" spans="2:12" x14ac:dyDescent="0.2">
      <c r="B6912"/>
      <c r="C6912"/>
      <c r="J6912"/>
      <c r="K6912"/>
      <c r="L6912"/>
    </row>
    <row r="6913" spans="2:12" x14ac:dyDescent="0.2">
      <c r="B6913"/>
      <c r="C6913"/>
      <c r="J6913"/>
      <c r="K6913"/>
      <c r="L6913"/>
    </row>
    <row r="6914" spans="2:12" x14ac:dyDescent="0.2">
      <c r="B6914"/>
      <c r="C6914"/>
      <c r="J6914"/>
      <c r="K6914"/>
      <c r="L6914"/>
    </row>
    <row r="6915" spans="2:12" x14ac:dyDescent="0.2">
      <c r="B6915"/>
      <c r="C6915"/>
      <c r="J6915"/>
      <c r="K6915"/>
      <c r="L6915"/>
    </row>
    <row r="6916" spans="2:12" x14ac:dyDescent="0.2">
      <c r="B6916"/>
      <c r="C6916"/>
      <c r="J6916"/>
      <c r="K6916"/>
      <c r="L6916"/>
    </row>
    <row r="6917" spans="2:12" x14ac:dyDescent="0.2">
      <c r="B6917"/>
      <c r="C6917"/>
      <c r="J6917"/>
      <c r="K6917"/>
      <c r="L6917"/>
    </row>
    <row r="6918" spans="2:12" x14ac:dyDescent="0.2">
      <c r="B6918"/>
      <c r="C6918"/>
      <c r="J6918"/>
      <c r="K6918"/>
      <c r="L6918"/>
    </row>
    <row r="6919" spans="2:12" x14ac:dyDescent="0.2">
      <c r="B6919"/>
      <c r="C6919"/>
      <c r="J6919"/>
      <c r="K6919"/>
      <c r="L6919"/>
    </row>
    <row r="6920" spans="2:12" x14ac:dyDescent="0.2">
      <c r="B6920"/>
      <c r="C6920"/>
      <c r="J6920"/>
      <c r="K6920"/>
      <c r="L6920"/>
    </row>
    <row r="6921" spans="2:12" x14ac:dyDescent="0.2">
      <c r="B6921"/>
      <c r="C6921"/>
      <c r="J6921"/>
      <c r="K6921"/>
      <c r="L6921"/>
    </row>
    <row r="6922" spans="2:12" x14ac:dyDescent="0.2">
      <c r="B6922"/>
      <c r="C6922"/>
      <c r="J6922"/>
      <c r="K6922"/>
      <c r="L6922"/>
    </row>
    <row r="6923" spans="2:12" x14ac:dyDescent="0.2">
      <c r="B6923"/>
      <c r="C6923"/>
      <c r="J6923"/>
      <c r="K6923"/>
      <c r="L6923"/>
    </row>
    <row r="6924" spans="2:12" x14ac:dyDescent="0.2">
      <c r="B6924"/>
      <c r="C6924"/>
      <c r="J6924"/>
      <c r="K6924"/>
      <c r="L6924"/>
    </row>
    <row r="6925" spans="2:12" x14ac:dyDescent="0.2">
      <c r="B6925"/>
      <c r="C6925"/>
      <c r="J6925"/>
      <c r="K6925"/>
      <c r="L6925"/>
    </row>
    <row r="6926" spans="2:12" x14ac:dyDescent="0.2">
      <c r="B6926"/>
      <c r="C6926"/>
      <c r="J6926"/>
      <c r="K6926"/>
      <c r="L6926"/>
    </row>
    <row r="6927" spans="2:12" x14ac:dyDescent="0.2">
      <c r="B6927"/>
      <c r="C6927"/>
      <c r="J6927"/>
      <c r="K6927"/>
      <c r="L6927"/>
    </row>
    <row r="6928" spans="2:12" x14ac:dyDescent="0.2">
      <c r="B6928"/>
      <c r="C6928"/>
      <c r="J6928"/>
      <c r="K6928"/>
      <c r="L6928"/>
    </row>
    <row r="6929" spans="2:12" x14ac:dyDescent="0.2">
      <c r="B6929"/>
      <c r="C6929"/>
      <c r="J6929"/>
      <c r="K6929"/>
      <c r="L6929"/>
    </row>
    <row r="6930" spans="2:12" x14ac:dyDescent="0.2">
      <c r="B6930"/>
      <c r="C6930"/>
      <c r="J6930"/>
      <c r="K6930"/>
      <c r="L6930"/>
    </row>
    <row r="6931" spans="2:12" x14ac:dyDescent="0.2">
      <c r="B6931"/>
      <c r="C6931"/>
      <c r="J6931"/>
      <c r="K6931"/>
      <c r="L6931"/>
    </row>
    <row r="6932" spans="2:12" x14ac:dyDescent="0.2">
      <c r="B6932"/>
      <c r="C6932"/>
      <c r="J6932"/>
      <c r="K6932"/>
      <c r="L6932"/>
    </row>
    <row r="6933" spans="2:12" x14ac:dyDescent="0.2">
      <c r="B6933"/>
      <c r="C6933"/>
      <c r="J6933"/>
      <c r="K6933"/>
      <c r="L6933"/>
    </row>
    <row r="6934" spans="2:12" x14ac:dyDescent="0.2">
      <c r="B6934"/>
      <c r="C6934"/>
      <c r="J6934"/>
      <c r="K6934"/>
      <c r="L6934"/>
    </row>
    <row r="6935" spans="2:12" x14ac:dyDescent="0.2">
      <c r="B6935"/>
      <c r="C6935"/>
      <c r="J6935"/>
      <c r="K6935"/>
      <c r="L6935"/>
    </row>
    <row r="6936" spans="2:12" x14ac:dyDescent="0.2">
      <c r="B6936"/>
      <c r="C6936"/>
      <c r="J6936"/>
      <c r="K6936"/>
      <c r="L6936"/>
    </row>
    <row r="6937" spans="2:12" x14ac:dyDescent="0.2">
      <c r="B6937"/>
      <c r="C6937"/>
      <c r="J6937"/>
      <c r="K6937"/>
      <c r="L6937"/>
    </row>
    <row r="6938" spans="2:12" x14ac:dyDescent="0.2">
      <c r="B6938"/>
      <c r="C6938"/>
      <c r="J6938"/>
      <c r="K6938"/>
      <c r="L6938"/>
    </row>
    <row r="6939" spans="2:12" x14ac:dyDescent="0.2">
      <c r="B6939"/>
      <c r="C6939"/>
      <c r="J6939"/>
      <c r="K6939"/>
      <c r="L6939"/>
    </row>
    <row r="6940" spans="2:12" x14ac:dyDescent="0.2">
      <c r="B6940"/>
      <c r="C6940"/>
      <c r="J6940"/>
      <c r="K6940"/>
      <c r="L6940"/>
    </row>
    <row r="6941" spans="2:12" x14ac:dyDescent="0.2">
      <c r="B6941"/>
      <c r="C6941"/>
      <c r="J6941"/>
      <c r="K6941"/>
      <c r="L6941"/>
    </row>
    <row r="6942" spans="2:12" x14ac:dyDescent="0.2">
      <c r="B6942"/>
      <c r="C6942"/>
      <c r="J6942"/>
      <c r="K6942"/>
      <c r="L6942"/>
    </row>
    <row r="6943" spans="2:12" x14ac:dyDescent="0.2">
      <c r="B6943"/>
      <c r="C6943"/>
      <c r="J6943"/>
      <c r="K6943"/>
      <c r="L6943"/>
    </row>
    <row r="6944" spans="2:12" x14ac:dyDescent="0.2">
      <c r="B6944"/>
      <c r="C6944"/>
      <c r="J6944"/>
      <c r="K6944"/>
      <c r="L6944"/>
    </row>
    <row r="6945" spans="2:12" x14ac:dyDescent="0.2">
      <c r="B6945"/>
      <c r="C6945"/>
      <c r="J6945"/>
      <c r="K6945"/>
      <c r="L6945"/>
    </row>
    <row r="6946" spans="2:12" x14ac:dyDescent="0.2">
      <c r="B6946"/>
      <c r="C6946"/>
      <c r="J6946"/>
      <c r="K6946"/>
      <c r="L6946"/>
    </row>
    <row r="6947" spans="2:12" x14ac:dyDescent="0.2">
      <c r="B6947"/>
      <c r="C6947"/>
      <c r="J6947"/>
      <c r="K6947"/>
      <c r="L6947"/>
    </row>
    <row r="6948" spans="2:12" x14ac:dyDescent="0.2">
      <c r="B6948"/>
      <c r="C6948"/>
      <c r="J6948"/>
      <c r="K6948"/>
      <c r="L6948"/>
    </row>
    <row r="6949" spans="2:12" x14ac:dyDescent="0.2">
      <c r="B6949"/>
      <c r="C6949"/>
      <c r="J6949"/>
      <c r="K6949"/>
      <c r="L6949"/>
    </row>
    <row r="6950" spans="2:12" x14ac:dyDescent="0.2">
      <c r="B6950"/>
      <c r="C6950"/>
      <c r="J6950"/>
      <c r="K6950"/>
      <c r="L6950"/>
    </row>
    <row r="6951" spans="2:12" x14ac:dyDescent="0.2">
      <c r="B6951"/>
      <c r="C6951"/>
      <c r="J6951"/>
      <c r="K6951"/>
      <c r="L6951"/>
    </row>
    <row r="6952" spans="2:12" x14ac:dyDescent="0.2">
      <c r="B6952"/>
      <c r="C6952"/>
      <c r="J6952"/>
      <c r="K6952"/>
      <c r="L6952"/>
    </row>
    <row r="6953" spans="2:12" x14ac:dyDescent="0.2">
      <c r="B6953"/>
      <c r="C6953"/>
      <c r="J6953"/>
      <c r="K6953"/>
      <c r="L6953"/>
    </row>
    <row r="6954" spans="2:12" x14ac:dyDescent="0.2">
      <c r="B6954"/>
      <c r="C6954"/>
      <c r="J6954"/>
      <c r="K6954"/>
      <c r="L6954"/>
    </row>
    <row r="6955" spans="2:12" x14ac:dyDescent="0.2">
      <c r="B6955"/>
      <c r="C6955"/>
      <c r="J6955"/>
      <c r="K6955"/>
      <c r="L6955"/>
    </row>
    <row r="6956" spans="2:12" x14ac:dyDescent="0.2">
      <c r="B6956"/>
      <c r="C6956"/>
      <c r="J6956"/>
      <c r="K6956"/>
      <c r="L6956"/>
    </row>
    <row r="6957" spans="2:12" x14ac:dyDescent="0.2">
      <c r="B6957"/>
      <c r="C6957"/>
      <c r="J6957"/>
      <c r="K6957"/>
      <c r="L6957"/>
    </row>
    <row r="6958" spans="2:12" x14ac:dyDescent="0.2">
      <c r="B6958"/>
      <c r="C6958"/>
      <c r="J6958"/>
      <c r="K6958"/>
      <c r="L6958"/>
    </row>
    <row r="6959" spans="2:12" x14ac:dyDescent="0.2">
      <c r="B6959"/>
      <c r="C6959"/>
      <c r="J6959"/>
      <c r="K6959"/>
      <c r="L6959"/>
    </row>
    <row r="6960" spans="2:12" x14ac:dyDescent="0.2">
      <c r="B6960"/>
      <c r="C6960"/>
      <c r="J6960"/>
      <c r="K6960"/>
      <c r="L6960"/>
    </row>
    <row r="6961" spans="2:12" x14ac:dyDescent="0.2">
      <c r="B6961"/>
      <c r="C6961"/>
      <c r="J6961"/>
      <c r="K6961"/>
      <c r="L6961"/>
    </row>
    <row r="6962" spans="2:12" x14ac:dyDescent="0.2">
      <c r="B6962"/>
      <c r="C6962"/>
      <c r="J6962"/>
      <c r="K6962"/>
      <c r="L6962"/>
    </row>
    <row r="6963" spans="2:12" x14ac:dyDescent="0.2">
      <c r="B6963"/>
      <c r="C6963"/>
      <c r="J6963"/>
      <c r="K6963"/>
      <c r="L6963"/>
    </row>
    <row r="6964" spans="2:12" x14ac:dyDescent="0.2">
      <c r="B6964"/>
      <c r="C6964"/>
      <c r="J6964"/>
      <c r="K6964"/>
      <c r="L6964"/>
    </row>
    <row r="6965" spans="2:12" x14ac:dyDescent="0.2">
      <c r="B6965"/>
      <c r="C6965"/>
      <c r="J6965"/>
      <c r="K6965"/>
      <c r="L6965"/>
    </row>
    <row r="6966" spans="2:12" x14ac:dyDescent="0.2">
      <c r="B6966"/>
      <c r="C6966"/>
      <c r="J6966"/>
      <c r="K6966"/>
      <c r="L6966"/>
    </row>
    <row r="6967" spans="2:12" x14ac:dyDescent="0.2">
      <c r="B6967"/>
      <c r="C6967"/>
      <c r="J6967"/>
      <c r="K6967"/>
      <c r="L6967"/>
    </row>
    <row r="6968" spans="2:12" x14ac:dyDescent="0.2">
      <c r="B6968"/>
      <c r="C6968"/>
      <c r="J6968"/>
      <c r="K6968"/>
      <c r="L6968"/>
    </row>
    <row r="6969" spans="2:12" x14ac:dyDescent="0.2">
      <c r="B6969"/>
      <c r="C6969"/>
      <c r="J6969"/>
      <c r="K6969"/>
      <c r="L6969"/>
    </row>
    <row r="6970" spans="2:12" x14ac:dyDescent="0.2">
      <c r="B6970"/>
      <c r="C6970"/>
      <c r="J6970"/>
      <c r="K6970"/>
      <c r="L6970"/>
    </row>
    <row r="6971" spans="2:12" x14ac:dyDescent="0.2">
      <c r="B6971"/>
      <c r="C6971"/>
      <c r="J6971"/>
      <c r="K6971"/>
      <c r="L6971"/>
    </row>
    <row r="6972" spans="2:12" x14ac:dyDescent="0.2">
      <c r="B6972"/>
      <c r="C6972"/>
      <c r="J6972"/>
      <c r="K6972"/>
      <c r="L6972"/>
    </row>
    <row r="6973" spans="2:12" x14ac:dyDescent="0.2">
      <c r="B6973"/>
      <c r="C6973"/>
      <c r="J6973"/>
      <c r="K6973"/>
      <c r="L6973"/>
    </row>
    <row r="6974" spans="2:12" x14ac:dyDescent="0.2">
      <c r="B6974"/>
      <c r="C6974"/>
      <c r="J6974"/>
      <c r="K6974"/>
      <c r="L6974"/>
    </row>
    <row r="6975" spans="2:12" x14ac:dyDescent="0.2">
      <c r="B6975"/>
      <c r="C6975"/>
      <c r="J6975"/>
      <c r="K6975"/>
      <c r="L6975"/>
    </row>
    <row r="6976" spans="2:12" x14ac:dyDescent="0.2">
      <c r="B6976"/>
      <c r="C6976"/>
      <c r="J6976"/>
      <c r="K6976"/>
      <c r="L6976"/>
    </row>
    <row r="6977" spans="2:12" x14ac:dyDescent="0.2">
      <c r="B6977"/>
      <c r="C6977"/>
      <c r="J6977"/>
      <c r="K6977"/>
      <c r="L6977"/>
    </row>
    <row r="6978" spans="2:12" x14ac:dyDescent="0.2">
      <c r="B6978"/>
      <c r="C6978"/>
      <c r="J6978"/>
      <c r="K6978"/>
      <c r="L6978"/>
    </row>
    <row r="6979" spans="2:12" x14ac:dyDescent="0.2">
      <c r="B6979"/>
      <c r="C6979"/>
      <c r="J6979"/>
      <c r="K6979"/>
      <c r="L6979"/>
    </row>
    <row r="6980" spans="2:12" x14ac:dyDescent="0.2">
      <c r="B6980"/>
      <c r="C6980"/>
      <c r="J6980"/>
      <c r="K6980"/>
      <c r="L6980"/>
    </row>
    <row r="6981" spans="2:12" x14ac:dyDescent="0.2">
      <c r="B6981"/>
      <c r="C6981"/>
      <c r="J6981"/>
      <c r="K6981"/>
      <c r="L6981"/>
    </row>
    <row r="6982" spans="2:12" x14ac:dyDescent="0.2">
      <c r="B6982"/>
      <c r="C6982"/>
      <c r="J6982"/>
      <c r="K6982"/>
      <c r="L6982"/>
    </row>
    <row r="6983" spans="2:12" x14ac:dyDescent="0.2">
      <c r="B6983"/>
      <c r="C6983"/>
      <c r="J6983"/>
      <c r="K6983"/>
      <c r="L6983"/>
    </row>
    <row r="6984" spans="2:12" x14ac:dyDescent="0.2">
      <c r="B6984"/>
      <c r="C6984"/>
      <c r="J6984"/>
      <c r="K6984"/>
      <c r="L6984"/>
    </row>
    <row r="6985" spans="2:12" x14ac:dyDescent="0.2">
      <c r="B6985"/>
      <c r="C6985"/>
      <c r="J6985"/>
      <c r="K6985"/>
      <c r="L6985"/>
    </row>
    <row r="6986" spans="2:12" x14ac:dyDescent="0.2">
      <c r="B6986"/>
      <c r="C6986"/>
      <c r="J6986"/>
      <c r="K6986"/>
      <c r="L6986"/>
    </row>
    <row r="6987" spans="2:12" x14ac:dyDescent="0.2">
      <c r="B6987"/>
      <c r="C6987"/>
      <c r="J6987"/>
      <c r="K6987"/>
      <c r="L6987"/>
    </row>
    <row r="6988" spans="2:12" x14ac:dyDescent="0.2">
      <c r="B6988"/>
      <c r="C6988"/>
      <c r="J6988"/>
      <c r="K6988"/>
      <c r="L6988"/>
    </row>
    <row r="6989" spans="2:12" x14ac:dyDescent="0.2">
      <c r="B6989"/>
      <c r="C6989"/>
      <c r="J6989"/>
      <c r="K6989"/>
      <c r="L6989"/>
    </row>
    <row r="6990" spans="2:12" x14ac:dyDescent="0.2">
      <c r="B6990"/>
      <c r="C6990"/>
      <c r="J6990"/>
      <c r="K6990"/>
      <c r="L6990"/>
    </row>
    <row r="6991" spans="2:12" x14ac:dyDescent="0.2">
      <c r="B6991"/>
      <c r="C6991"/>
      <c r="J6991"/>
      <c r="K6991"/>
      <c r="L6991"/>
    </row>
    <row r="6992" spans="2:12" x14ac:dyDescent="0.2">
      <c r="B6992"/>
      <c r="C6992"/>
      <c r="J6992"/>
      <c r="K6992"/>
      <c r="L6992"/>
    </row>
    <row r="6993" spans="2:12" x14ac:dyDescent="0.2">
      <c r="B6993"/>
      <c r="C6993"/>
      <c r="J6993"/>
      <c r="K6993"/>
      <c r="L6993"/>
    </row>
    <row r="6994" spans="2:12" x14ac:dyDescent="0.2">
      <c r="B6994"/>
      <c r="C6994"/>
      <c r="J6994"/>
      <c r="K6994"/>
      <c r="L6994"/>
    </row>
    <row r="6995" spans="2:12" x14ac:dyDescent="0.2">
      <c r="B6995"/>
      <c r="C6995"/>
      <c r="J6995"/>
      <c r="K6995"/>
      <c r="L6995"/>
    </row>
    <row r="6996" spans="2:12" x14ac:dyDescent="0.2">
      <c r="B6996"/>
      <c r="C6996"/>
      <c r="J6996"/>
      <c r="K6996"/>
      <c r="L6996"/>
    </row>
    <row r="6997" spans="2:12" x14ac:dyDescent="0.2">
      <c r="B6997"/>
      <c r="C6997"/>
      <c r="J6997"/>
      <c r="K6997"/>
      <c r="L6997"/>
    </row>
    <row r="6998" spans="2:12" x14ac:dyDescent="0.2">
      <c r="B6998"/>
      <c r="C6998"/>
      <c r="J6998"/>
      <c r="K6998"/>
      <c r="L6998"/>
    </row>
    <row r="6999" spans="2:12" x14ac:dyDescent="0.2">
      <c r="B6999"/>
      <c r="C6999"/>
      <c r="J6999"/>
      <c r="K6999"/>
      <c r="L6999"/>
    </row>
    <row r="7000" spans="2:12" x14ac:dyDescent="0.2">
      <c r="B7000"/>
      <c r="C7000"/>
      <c r="J7000"/>
      <c r="K7000"/>
      <c r="L7000"/>
    </row>
    <row r="7001" spans="2:12" x14ac:dyDescent="0.2">
      <c r="B7001"/>
      <c r="C7001"/>
      <c r="J7001"/>
      <c r="K7001"/>
      <c r="L7001"/>
    </row>
    <row r="7002" spans="2:12" x14ac:dyDescent="0.2">
      <c r="B7002"/>
      <c r="C7002"/>
      <c r="J7002"/>
      <c r="K7002"/>
      <c r="L7002"/>
    </row>
    <row r="7003" spans="2:12" x14ac:dyDescent="0.2">
      <c r="B7003"/>
      <c r="C7003"/>
      <c r="J7003"/>
      <c r="K7003"/>
      <c r="L7003"/>
    </row>
    <row r="7004" spans="2:12" x14ac:dyDescent="0.2">
      <c r="B7004"/>
      <c r="C7004"/>
      <c r="J7004"/>
      <c r="K7004"/>
      <c r="L7004"/>
    </row>
    <row r="7005" spans="2:12" x14ac:dyDescent="0.2">
      <c r="B7005"/>
      <c r="C7005"/>
      <c r="J7005"/>
      <c r="K7005"/>
      <c r="L7005"/>
    </row>
    <row r="7006" spans="2:12" x14ac:dyDescent="0.2">
      <c r="B7006"/>
      <c r="C7006"/>
      <c r="J7006"/>
      <c r="K7006"/>
      <c r="L7006"/>
    </row>
    <row r="7007" spans="2:12" x14ac:dyDescent="0.2">
      <c r="B7007"/>
      <c r="C7007"/>
      <c r="J7007"/>
      <c r="K7007"/>
      <c r="L7007"/>
    </row>
    <row r="7008" spans="2:12" x14ac:dyDescent="0.2">
      <c r="B7008"/>
      <c r="C7008"/>
      <c r="J7008"/>
      <c r="K7008"/>
      <c r="L7008"/>
    </row>
    <row r="7009" spans="2:12" x14ac:dyDescent="0.2">
      <c r="B7009"/>
      <c r="C7009"/>
      <c r="J7009"/>
      <c r="K7009"/>
      <c r="L7009"/>
    </row>
    <row r="7010" spans="2:12" x14ac:dyDescent="0.2">
      <c r="B7010"/>
      <c r="C7010"/>
      <c r="J7010"/>
      <c r="K7010"/>
      <c r="L7010"/>
    </row>
    <row r="7011" spans="2:12" x14ac:dyDescent="0.2">
      <c r="B7011"/>
      <c r="C7011"/>
      <c r="J7011"/>
      <c r="K7011"/>
      <c r="L7011"/>
    </row>
    <row r="7012" spans="2:12" x14ac:dyDescent="0.2">
      <c r="B7012"/>
      <c r="C7012"/>
      <c r="J7012"/>
      <c r="K7012"/>
      <c r="L7012"/>
    </row>
    <row r="7013" spans="2:12" x14ac:dyDescent="0.2">
      <c r="B7013"/>
      <c r="C7013"/>
      <c r="J7013"/>
      <c r="K7013"/>
      <c r="L7013"/>
    </row>
    <row r="7014" spans="2:12" x14ac:dyDescent="0.2">
      <c r="B7014"/>
      <c r="C7014"/>
      <c r="J7014"/>
      <c r="K7014"/>
      <c r="L7014"/>
    </row>
    <row r="7015" spans="2:12" x14ac:dyDescent="0.2">
      <c r="B7015"/>
      <c r="C7015"/>
      <c r="J7015"/>
      <c r="K7015"/>
      <c r="L7015"/>
    </row>
    <row r="7016" spans="2:12" x14ac:dyDescent="0.2">
      <c r="B7016"/>
      <c r="C7016"/>
      <c r="J7016"/>
      <c r="K7016"/>
      <c r="L7016"/>
    </row>
    <row r="7017" spans="2:12" x14ac:dyDescent="0.2">
      <c r="B7017"/>
      <c r="C7017"/>
      <c r="J7017"/>
      <c r="K7017"/>
      <c r="L7017"/>
    </row>
    <row r="7018" spans="2:12" x14ac:dyDescent="0.2">
      <c r="B7018"/>
      <c r="C7018"/>
      <c r="J7018"/>
      <c r="K7018"/>
      <c r="L7018"/>
    </row>
    <row r="7019" spans="2:12" x14ac:dyDescent="0.2">
      <c r="B7019"/>
      <c r="C7019"/>
      <c r="J7019"/>
      <c r="K7019"/>
      <c r="L7019"/>
    </row>
    <row r="7020" spans="2:12" x14ac:dyDescent="0.2">
      <c r="B7020"/>
      <c r="C7020"/>
      <c r="J7020"/>
      <c r="K7020"/>
      <c r="L7020"/>
    </row>
    <row r="7021" spans="2:12" x14ac:dyDescent="0.2">
      <c r="B7021"/>
      <c r="C7021"/>
      <c r="J7021"/>
      <c r="K7021"/>
      <c r="L7021"/>
    </row>
    <row r="7022" spans="2:12" x14ac:dyDescent="0.2">
      <c r="B7022"/>
      <c r="C7022"/>
      <c r="J7022"/>
      <c r="K7022"/>
      <c r="L7022"/>
    </row>
    <row r="7023" spans="2:12" x14ac:dyDescent="0.2">
      <c r="B7023"/>
      <c r="C7023"/>
      <c r="J7023"/>
      <c r="K7023"/>
      <c r="L7023"/>
    </row>
    <row r="7024" spans="2:12" x14ac:dyDescent="0.2">
      <c r="B7024"/>
      <c r="C7024"/>
      <c r="J7024"/>
      <c r="K7024"/>
      <c r="L7024"/>
    </row>
    <row r="7025" spans="2:12" x14ac:dyDescent="0.2">
      <c r="B7025"/>
      <c r="C7025"/>
      <c r="J7025"/>
      <c r="K7025"/>
      <c r="L7025"/>
    </row>
    <row r="7026" spans="2:12" x14ac:dyDescent="0.2">
      <c r="B7026"/>
      <c r="C7026"/>
      <c r="J7026"/>
      <c r="K7026"/>
      <c r="L7026"/>
    </row>
    <row r="7027" spans="2:12" x14ac:dyDescent="0.2">
      <c r="B7027"/>
      <c r="C7027"/>
      <c r="J7027"/>
      <c r="K7027"/>
      <c r="L7027"/>
    </row>
    <row r="7028" spans="2:12" x14ac:dyDescent="0.2">
      <c r="B7028"/>
      <c r="C7028"/>
      <c r="J7028"/>
      <c r="K7028"/>
      <c r="L7028"/>
    </row>
    <row r="7029" spans="2:12" x14ac:dyDescent="0.2">
      <c r="B7029"/>
      <c r="C7029"/>
      <c r="J7029"/>
      <c r="K7029"/>
      <c r="L7029"/>
    </row>
    <row r="7030" spans="2:12" x14ac:dyDescent="0.2">
      <c r="B7030"/>
      <c r="C7030"/>
      <c r="J7030"/>
      <c r="K7030"/>
      <c r="L7030"/>
    </row>
    <row r="7031" spans="2:12" x14ac:dyDescent="0.2">
      <c r="B7031"/>
      <c r="C7031"/>
      <c r="J7031"/>
      <c r="K7031"/>
      <c r="L7031"/>
    </row>
    <row r="7032" spans="2:12" x14ac:dyDescent="0.2">
      <c r="B7032"/>
      <c r="C7032"/>
      <c r="J7032"/>
      <c r="K7032"/>
      <c r="L7032"/>
    </row>
    <row r="7033" spans="2:12" x14ac:dyDescent="0.2">
      <c r="B7033"/>
      <c r="C7033"/>
      <c r="J7033"/>
      <c r="K7033"/>
      <c r="L7033"/>
    </row>
    <row r="7034" spans="2:12" x14ac:dyDescent="0.2">
      <c r="B7034"/>
      <c r="C7034"/>
      <c r="J7034"/>
      <c r="K7034"/>
      <c r="L7034"/>
    </row>
    <row r="7035" spans="2:12" x14ac:dyDescent="0.2">
      <c r="B7035"/>
      <c r="C7035"/>
      <c r="J7035"/>
      <c r="K7035"/>
      <c r="L7035"/>
    </row>
    <row r="7036" spans="2:12" x14ac:dyDescent="0.2">
      <c r="B7036"/>
      <c r="C7036"/>
      <c r="J7036"/>
      <c r="K7036"/>
      <c r="L7036"/>
    </row>
    <row r="7037" spans="2:12" x14ac:dyDescent="0.2">
      <c r="B7037"/>
      <c r="C7037"/>
      <c r="J7037"/>
      <c r="K7037"/>
      <c r="L7037"/>
    </row>
    <row r="7038" spans="2:12" x14ac:dyDescent="0.2">
      <c r="B7038"/>
      <c r="C7038"/>
      <c r="J7038"/>
      <c r="K7038"/>
      <c r="L7038"/>
    </row>
    <row r="7039" spans="2:12" x14ac:dyDescent="0.2">
      <c r="B7039"/>
      <c r="C7039"/>
      <c r="J7039"/>
      <c r="K7039"/>
      <c r="L7039"/>
    </row>
    <row r="7040" spans="2:12" x14ac:dyDescent="0.2">
      <c r="B7040"/>
      <c r="C7040"/>
      <c r="J7040"/>
      <c r="K7040"/>
      <c r="L7040"/>
    </row>
    <row r="7041" spans="2:12" x14ac:dyDescent="0.2">
      <c r="B7041"/>
      <c r="C7041"/>
      <c r="J7041"/>
      <c r="K7041"/>
      <c r="L7041"/>
    </row>
    <row r="7042" spans="2:12" x14ac:dyDescent="0.2">
      <c r="B7042"/>
      <c r="C7042"/>
      <c r="J7042"/>
      <c r="K7042"/>
      <c r="L7042"/>
    </row>
    <row r="7043" spans="2:12" x14ac:dyDescent="0.2">
      <c r="B7043"/>
      <c r="C7043"/>
      <c r="J7043"/>
      <c r="K7043"/>
      <c r="L7043"/>
    </row>
    <row r="7044" spans="2:12" x14ac:dyDescent="0.2">
      <c r="B7044"/>
      <c r="C7044"/>
      <c r="J7044"/>
      <c r="K7044"/>
      <c r="L7044"/>
    </row>
    <row r="7045" spans="2:12" x14ac:dyDescent="0.2">
      <c r="B7045"/>
      <c r="C7045"/>
      <c r="J7045"/>
      <c r="K7045"/>
      <c r="L7045"/>
    </row>
    <row r="7046" spans="2:12" x14ac:dyDescent="0.2">
      <c r="B7046"/>
      <c r="C7046"/>
      <c r="J7046"/>
      <c r="K7046"/>
      <c r="L7046"/>
    </row>
    <row r="7047" spans="2:12" x14ac:dyDescent="0.2">
      <c r="B7047"/>
      <c r="C7047"/>
      <c r="J7047"/>
      <c r="K7047"/>
      <c r="L7047"/>
    </row>
    <row r="7048" spans="2:12" x14ac:dyDescent="0.2">
      <c r="B7048"/>
      <c r="C7048"/>
      <c r="J7048"/>
      <c r="K7048"/>
      <c r="L7048"/>
    </row>
    <row r="7049" spans="2:12" x14ac:dyDescent="0.2">
      <c r="B7049"/>
      <c r="C7049"/>
      <c r="J7049"/>
      <c r="K7049"/>
      <c r="L7049"/>
    </row>
    <row r="7050" spans="2:12" x14ac:dyDescent="0.2">
      <c r="B7050"/>
      <c r="C7050"/>
      <c r="J7050"/>
      <c r="K7050"/>
      <c r="L7050"/>
    </row>
    <row r="7051" spans="2:12" x14ac:dyDescent="0.2">
      <c r="B7051"/>
      <c r="C7051"/>
      <c r="J7051"/>
      <c r="K7051"/>
      <c r="L7051"/>
    </row>
    <row r="7052" spans="2:12" x14ac:dyDescent="0.2">
      <c r="B7052"/>
      <c r="C7052"/>
      <c r="J7052"/>
      <c r="K7052"/>
      <c r="L7052"/>
    </row>
    <row r="7053" spans="2:12" x14ac:dyDescent="0.2">
      <c r="B7053"/>
      <c r="C7053"/>
      <c r="J7053"/>
      <c r="K7053"/>
      <c r="L7053"/>
    </row>
    <row r="7054" spans="2:12" x14ac:dyDescent="0.2">
      <c r="B7054"/>
      <c r="C7054"/>
      <c r="J7054"/>
      <c r="K7054"/>
      <c r="L7054"/>
    </row>
    <row r="7055" spans="2:12" x14ac:dyDescent="0.2">
      <c r="B7055"/>
      <c r="C7055"/>
      <c r="J7055"/>
      <c r="K7055"/>
      <c r="L7055"/>
    </row>
    <row r="7056" spans="2:12" x14ac:dyDescent="0.2">
      <c r="B7056"/>
      <c r="C7056"/>
      <c r="J7056"/>
      <c r="K7056"/>
      <c r="L7056"/>
    </row>
    <row r="7057" spans="2:12" x14ac:dyDescent="0.2">
      <c r="B7057"/>
      <c r="C7057"/>
      <c r="J7057"/>
      <c r="K7057"/>
      <c r="L7057"/>
    </row>
    <row r="7058" spans="2:12" x14ac:dyDescent="0.2">
      <c r="B7058"/>
      <c r="C7058"/>
      <c r="J7058"/>
      <c r="K7058"/>
      <c r="L7058"/>
    </row>
    <row r="7059" spans="2:12" x14ac:dyDescent="0.2">
      <c r="B7059"/>
      <c r="C7059"/>
      <c r="J7059"/>
      <c r="K7059"/>
      <c r="L7059"/>
    </row>
    <row r="7060" spans="2:12" x14ac:dyDescent="0.2">
      <c r="B7060"/>
      <c r="C7060"/>
      <c r="J7060"/>
      <c r="K7060"/>
      <c r="L7060"/>
    </row>
    <row r="7061" spans="2:12" x14ac:dyDescent="0.2">
      <c r="B7061"/>
      <c r="C7061"/>
      <c r="J7061"/>
      <c r="K7061"/>
      <c r="L7061"/>
    </row>
    <row r="7062" spans="2:12" x14ac:dyDescent="0.2">
      <c r="B7062"/>
      <c r="C7062"/>
      <c r="J7062"/>
      <c r="K7062"/>
      <c r="L7062"/>
    </row>
    <row r="7063" spans="2:12" x14ac:dyDescent="0.2">
      <c r="B7063"/>
      <c r="C7063"/>
      <c r="J7063"/>
      <c r="K7063"/>
      <c r="L7063"/>
    </row>
    <row r="7064" spans="2:12" x14ac:dyDescent="0.2">
      <c r="B7064"/>
      <c r="C7064"/>
      <c r="J7064"/>
      <c r="K7064"/>
      <c r="L7064"/>
    </row>
    <row r="7065" spans="2:12" x14ac:dyDescent="0.2">
      <c r="B7065"/>
      <c r="C7065"/>
      <c r="J7065"/>
      <c r="K7065"/>
      <c r="L7065"/>
    </row>
    <row r="7066" spans="2:12" x14ac:dyDescent="0.2">
      <c r="B7066"/>
      <c r="C7066"/>
      <c r="J7066"/>
      <c r="K7066"/>
      <c r="L7066"/>
    </row>
    <row r="7067" spans="2:12" x14ac:dyDescent="0.2">
      <c r="B7067"/>
      <c r="C7067"/>
      <c r="J7067"/>
      <c r="K7067"/>
      <c r="L7067"/>
    </row>
    <row r="7068" spans="2:12" x14ac:dyDescent="0.2">
      <c r="B7068"/>
      <c r="C7068"/>
      <c r="J7068"/>
      <c r="K7068"/>
      <c r="L7068"/>
    </row>
    <row r="7069" spans="2:12" x14ac:dyDescent="0.2">
      <c r="B7069"/>
      <c r="C7069"/>
      <c r="J7069"/>
      <c r="K7069"/>
      <c r="L7069"/>
    </row>
    <row r="7070" spans="2:12" x14ac:dyDescent="0.2">
      <c r="B7070"/>
      <c r="C7070"/>
      <c r="J7070"/>
      <c r="K7070"/>
      <c r="L7070"/>
    </row>
    <row r="7071" spans="2:12" x14ac:dyDescent="0.2">
      <c r="B7071"/>
      <c r="C7071"/>
      <c r="J7071"/>
      <c r="K7071"/>
      <c r="L7071"/>
    </row>
    <row r="7072" spans="2:12" x14ac:dyDescent="0.2">
      <c r="B7072"/>
      <c r="C7072"/>
      <c r="J7072"/>
      <c r="K7072"/>
      <c r="L7072"/>
    </row>
    <row r="7073" spans="2:12" x14ac:dyDescent="0.2">
      <c r="B7073"/>
      <c r="C7073"/>
      <c r="J7073"/>
      <c r="K7073"/>
      <c r="L7073"/>
    </row>
    <row r="7074" spans="2:12" x14ac:dyDescent="0.2">
      <c r="B7074"/>
      <c r="C7074"/>
      <c r="J7074"/>
      <c r="K7074"/>
      <c r="L7074"/>
    </row>
    <row r="7075" spans="2:12" x14ac:dyDescent="0.2">
      <c r="B7075"/>
      <c r="C7075"/>
      <c r="J7075"/>
      <c r="K7075"/>
      <c r="L7075"/>
    </row>
    <row r="7076" spans="2:12" x14ac:dyDescent="0.2">
      <c r="B7076"/>
      <c r="C7076"/>
      <c r="J7076"/>
      <c r="K7076"/>
      <c r="L7076"/>
    </row>
    <row r="7077" spans="2:12" x14ac:dyDescent="0.2">
      <c r="B7077"/>
      <c r="C7077"/>
      <c r="J7077"/>
      <c r="K7077"/>
      <c r="L7077"/>
    </row>
    <row r="7078" spans="2:12" x14ac:dyDescent="0.2">
      <c r="B7078"/>
      <c r="C7078"/>
      <c r="J7078"/>
      <c r="K7078"/>
      <c r="L7078"/>
    </row>
    <row r="7079" spans="2:12" x14ac:dyDescent="0.2">
      <c r="B7079"/>
      <c r="C7079"/>
      <c r="J7079"/>
      <c r="K7079"/>
      <c r="L7079"/>
    </row>
    <row r="7080" spans="2:12" x14ac:dyDescent="0.2">
      <c r="B7080"/>
      <c r="C7080"/>
      <c r="J7080"/>
      <c r="K7080"/>
      <c r="L7080"/>
    </row>
    <row r="7081" spans="2:12" x14ac:dyDescent="0.2">
      <c r="B7081"/>
      <c r="C7081"/>
      <c r="J7081"/>
      <c r="K7081"/>
      <c r="L7081"/>
    </row>
    <row r="7082" spans="2:12" x14ac:dyDescent="0.2">
      <c r="B7082"/>
      <c r="C7082"/>
      <c r="J7082"/>
      <c r="K7082"/>
      <c r="L7082"/>
    </row>
    <row r="7083" spans="2:12" x14ac:dyDescent="0.2">
      <c r="B7083"/>
      <c r="C7083"/>
      <c r="J7083"/>
      <c r="K7083"/>
      <c r="L7083"/>
    </row>
    <row r="7084" spans="2:12" x14ac:dyDescent="0.2">
      <c r="B7084"/>
      <c r="C7084"/>
      <c r="J7084"/>
      <c r="K7084"/>
      <c r="L7084"/>
    </row>
    <row r="7085" spans="2:12" x14ac:dyDescent="0.2">
      <c r="B7085"/>
      <c r="C7085"/>
      <c r="J7085"/>
      <c r="K7085"/>
      <c r="L7085"/>
    </row>
    <row r="7086" spans="2:12" x14ac:dyDescent="0.2">
      <c r="B7086"/>
      <c r="C7086"/>
      <c r="J7086"/>
      <c r="K7086"/>
      <c r="L7086"/>
    </row>
    <row r="7087" spans="2:12" x14ac:dyDescent="0.2">
      <c r="B7087"/>
      <c r="C7087"/>
      <c r="J7087"/>
      <c r="K7087"/>
      <c r="L7087"/>
    </row>
    <row r="7088" spans="2:12" x14ac:dyDescent="0.2">
      <c r="B7088"/>
      <c r="C7088"/>
      <c r="J7088"/>
      <c r="K7088"/>
      <c r="L7088"/>
    </row>
    <row r="7089" spans="2:12" x14ac:dyDescent="0.2">
      <c r="B7089"/>
      <c r="C7089"/>
      <c r="J7089"/>
      <c r="K7089"/>
      <c r="L7089"/>
    </row>
    <row r="7090" spans="2:12" x14ac:dyDescent="0.2">
      <c r="B7090"/>
      <c r="C7090"/>
      <c r="J7090"/>
      <c r="K7090"/>
      <c r="L7090"/>
    </row>
    <row r="7091" spans="2:12" x14ac:dyDescent="0.2">
      <c r="B7091"/>
      <c r="C7091"/>
      <c r="J7091"/>
      <c r="K7091"/>
      <c r="L7091"/>
    </row>
    <row r="7092" spans="2:12" x14ac:dyDescent="0.2">
      <c r="B7092"/>
      <c r="C7092"/>
      <c r="J7092"/>
      <c r="K7092"/>
      <c r="L7092"/>
    </row>
    <row r="7093" spans="2:12" x14ac:dyDescent="0.2">
      <c r="B7093"/>
      <c r="C7093"/>
      <c r="J7093"/>
      <c r="K7093"/>
      <c r="L7093"/>
    </row>
    <row r="7094" spans="2:12" x14ac:dyDescent="0.2">
      <c r="B7094"/>
      <c r="C7094"/>
      <c r="J7094"/>
      <c r="K7094"/>
      <c r="L7094"/>
    </row>
    <row r="7095" spans="2:12" x14ac:dyDescent="0.2">
      <c r="B7095"/>
      <c r="C7095"/>
      <c r="J7095"/>
      <c r="K7095"/>
      <c r="L7095"/>
    </row>
    <row r="7096" spans="2:12" x14ac:dyDescent="0.2">
      <c r="B7096"/>
      <c r="C7096"/>
      <c r="J7096"/>
      <c r="K7096"/>
      <c r="L7096"/>
    </row>
    <row r="7097" spans="2:12" x14ac:dyDescent="0.2">
      <c r="B7097"/>
      <c r="C7097"/>
      <c r="J7097"/>
      <c r="K7097"/>
      <c r="L7097"/>
    </row>
    <row r="7098" spans="2:12" x14ac:dyDescent="0.2">
      <c r="B7098"/>
      <c r="C7098"/>
      <c r="J7098"/>
      <c r="K7098"/>
      <c r="L7098"/>
    </row>
    <row r="7099" spans="2:12" x14ac:dyDescent="0.2">
      <c r="B7099"/>
      <c r="C7099"/>
      <c r="J7099"/>
      <c r="K7099"/>
      <c r="L7099"/>
    </row>
    <row r="7100" spans="2:12" x14ac:dyDescent="0.2">
      <c r="B7100"/>
      <c r="C7100"/>
      <c r="J7100"/>
      <c r="K7100"/>
      <c r="L7100"/>
    </row>
    <row r="7101" spans="2:12" x14ac:dyDescent="0.2">
      <c r="B7101"/>
      <c r="C7101"/>
      <c r="J7101"/>
      <c r="K7101"/>
      <c r="L7101"/>
    </row>
    <row r="7102" spans="2:12" x14ac:dyDescent="0.2">
      <c r="B7102"/>
      <c r="C7102"/>
      <c r="J7102"/>
      <c r="K7102"/>
      <c r="L7102"/>
    </row>
    <row r="7103" spans="2:12" x14ac:dyDescent="0.2">
      <c r="B7103"/>
      <c r="C7103"/>
      <c r="J7103"/>
      <c r="K7103"/>
      <c r="L7103"/>
    </row>
    <row r="7104" spans="2:12" x14ac:dyDescent="0.2">
      <c r="B7104"/>
      <c r="C7104"/>
      <c r="J7104"/>
      <c r="K7104"/>
      <c r="L7104"/>
    </row>
    <row r="7105" spans="2:12" x14ac:dyDescent="0.2">
      <c r="B7105"/>
      <c r="C7105"/>
      <c r="J7105"/>
      <c r="K7105"/>
      <c r="L7105"/>
    </row>
    <row r="7106" spans="2:12" x14ac:dyDescent="0.2">
      <c r="B7106"/>
      <c r="C7106"/>
      <c r="J7106"/>
      <c r="K7106"/>
      <c r="L7106"/>
    </row>
    <row r="7107" spans="2:12" x14ac:dyDescent="0.2">
      <c r="B7107"/>
      <c r="C7107"/>
      <c r="J7107"/>
      <c r="K7107"/>
      <c r="L7107"/>
    </row>
    <row r="7108" spans="2:12" x14ac:dyDescent="0.2">
      <c r="B7108"/>
      <c r="C7108"/>
      <c r="J7108"/>
      <c r="K7108"/>
      <c r="L7108"/>
    </row>
    <row r="7109" spans="2:12" x14ac:dyDescent="0.2">
      <c r="B7109"/>
      <c r="C7109"/>
      <c r="J7109"/>
      <c r="K7109"/>
      <c r="L7109"/>
    </row>
    <row r="7110" spans="2:12" x14ac:dyDescent="0.2">
      <c r="B7110"/>
      <c r="C7110"/>
      <c r="J7110"/>
      <c r="K7110"/>
      <c r="L7110"/>
    </row>
    <row r="7111" spans="2:12" x14ac:dyDescent="0.2">
      <c r="B7111"/>
      <c r="C7111"/>
      <c r="J7111"/>
      <c r="K7111"/>
      <c r="L7111"/>
    </row>
    <row r="7112" spans="2:12" x14ac:dyDescent="0.2">
      <c r="B7112"/>
      <c r="C7112"/>
      <c r="J7112"/>
      <c r="K7112"/>
      <c r="L7112"/>
    </row>
    <row r="7113" spans="2:12" x14ac:dyDescent="0.2">
      <c r="B7113"/>
      <c r="C7113"/>
      <c r="J7113"/>
      <c r="K7113"/>
      <c r="L7113"/>
    </row>
    <row r="7114" spans="2:12" x14ac:dyDescent="0.2">
      <c r="B7114"/>
      <c r="C7114"/>
      <c r="J7114"/>
      <c r="K7114"/>
      <c r="L7114"/>
    </row>
    <row r="7115" spans="2:12" x14ac:dyDescent="0.2">
      <c r="B7115"/>
      <c r="C7115"/>
      <c r="J7115"/>
      <c r="K7115"/>
      <c r="L7115"/>
    </row>
    <row r="7116" spans="2:12" x14ac:dyDescent="0.2">
      <c r="B7116"/>
      <c r="C7116"/>
      <c r="J7116"/>
      <c r="K7116"/>
      <c r="L7116"/>
    </row>
    <row r="7117" spans="2:12" x14ac:dyDescent="0.2">
      <c r="B7117"/>
      <c r="C7117"/>
      <c r="J7117"/>
      <c r="K7117"/>
      <c r="L7117"/>
    </row>
    <row r="7118" spans="2:12" x14ac:dyDescent="0.2">
      <c r="B7118"/>
      <c r="C7118"/>
      <c r="J7118"/>
      <c r="K7118"/>
      <c r="L7118"/>
    </row>
    <row r="7119" spans="2:12" x14ac:dyDescent="0.2">
      <c r="B7119"/>
      <c r="C7119"/>
      <c r="J7119"/>
      <c r="K7119"/>
      <c r="L7119"/>
    </row>
    <row r="7120" spans="2:12" x14ac:dyDescent="0.2">
      <c r="B7120"/>
      <c r="C7120"/>
      <c r="J7120"/>
      <c r="K7120"/>
      <c r="L7120"/>
    </row>
    <row r="7121" spans="2:12" x14ac:dyDescent="0.2">
      <c r="B7121"/>
      <c r="C7121"/>
      <c r="J7121"/>
      <c r="K7121"/>
      <c r="L7121"/>
    </row>
    <row r="7122" spans="2:12" x14ac:dyDescent="0.2">
      <c r="B7122"/>
      <c r="C7122"/>
      <c r="J7122"/>
      <c r="K7122"/>
      <c r="L7122"/>
    </row>
    <row r="7123" spans="2:12" x14ac:dyDescent="0.2">
      <c r="B7123"/>
      <c r="C7123"/>
      <c r="J7123"/>
      <c r="K7123"/>
      <c r="L7123"/>
    </row>
    <row r="7124" spans="2:12" x14ac:dyDescent="0.2">
      <c r="B7124"/>
      <c r="C7124"/>
      <c r="J7124"/>
      <c r="K7124"/>
      <c r="L7124"/>
    </row>
    <row r="7125" spans="2:12" x14ac:dyDescent="0.2">
      <c r="B7125"/>
      <c r="C7125"/>
      <c r="J7125"/>
      <c r="K7125"/>
      <c r="L7125"/>
    </row>
    <row r="7126" spans="2:12" x14ac:dyDescent="0.2">
      <c r="B7126"/>
      <c r="C7126"/>
      <c r="J7126"/>
      <c r="K7126"/>
      <c r="L7126"/>
    </row>
    <row r="7127" spans="2:12" x14ac:dyDescent="0.2">
      <c r="B7127"/>
      <c r="C7127"/>
      <c r="J7127"/>
      <c r="K7127"/>
      <c r="L7127"/>
    </row>
    <row r="7128" spans="2:12" x14ac:dyDescent="0.2">
      <c r="B7128"/>
      <c r="C7128"/>
      <c r="J7128"/>
      <c r="K7128"/>
      <c r="L7128"/>
    </row>
    <row r="7129" spans="2:12" x14ac:dyDescent="0.2">
      <c r="B7129"/>
      <c r="C7129"/>
      <c r="J7129"/>
      <c r="K7129"/>
      <c r="L7129"/>
    </row>
    <row r="7130" spans="2:12" x14ac:dyDescent="0.2">
      <c r="B7130"/>
      <c r="C7130"/>
      <c r="J7130"/>
      <c r="K7130"/>
      <c r="L7130"/>
    </row>
    <row r="7131" spans="2:12" x14ac:dyDescent="0.2">
      <c r="B7131"/>
      <c r="C7131"/>
      <c r="J7131"/>
      <c r="K7131"/>
      <c r="L7131"/>
    </row>
    <row r="7132" spans="2:12" x14ac:dyDescent="0.2">
      <c r="B7132"/>
      <c r="C7132"/>
      <c r="J7132"/>
      <c r="K7132"/>
      <c r="L7132"/>
    </row>
    <row r="7133" spans="2:12" x14ac:dyDescent="0.2">
      <c r="B7133"/>
      <c r="C7133"/>
      <c r="J7133"/>
      <c r="K7133"/>
      <c r="L7133"/>
    </row>
    <row r="7134" spans="2:12" x14ac:dyDescent="0.2">
      <c r="B7134"/>
      <c r="C7134"/>
      <c r="J7134"/>
      <c r="K7134"/>
      <c r="L7134"/>
    </row>
    <row r="7135" spans="2:12" x14ac:dyDescent="0.2">
      <c r="B7135"/>
      <c r="C7135"/>
      <c r="J7135"/>
      <c r="K7135"/>
      <c r="L7135"/>
    </row>
    <row r="7136" spans="2:12" x14ac:dyDescent="0.2">
      <c r="B7136"/>
      <c r="C7136"/>
      <c r="J7136"/>
      <c r="K7136"/>
      <c r="L7136"/>
    </row>
    <row r="7137" spans="2:12" x14ac:dyDescent="0.2">
      <c r="B7137"/>
      <c r="C7137"/>
      <c r="J7137"/>
      <c r="K7137"/>
      <c r="L7137"/>
    </row>
    <row r="7138" spans="2:12" x14ac:dyDescent="0.2">
      <c r="B7138"/>
      <c r="C7138"/>
      <c r="J7138"/>
      <c r="K7138"/>
      <c r="L7138"/>
    </row>
    <row r="7139" spans="2:12" x14ac:dyDescent="0.2">
      <c r="B7139"/>
      <c r="C7139"/>
      <c r="J7139"/>
      <c r="K7139"/>
      <c r="L7139"/>
    </row>
    <row r="7140" spans="2:12" x14ac:dyDescent="0.2">
      <c r="B7140"/>
      <c r="C7140"/>
      <c r="J7140"/>
      <c r="K7140"/>
      <c r="L7140"/>
    </row>
    <row r="7141" spans="2:12" x14ac:dyDescent="0.2">
      <c r="B7141"/>
      <c r="C7141"/>
      <c r="J7141"/>
      <c r="K7141"/>
      <c r="L7141"/>
    </row>
    <row r="7142" spans="2:12" x14ac:dyDescent="0.2">
      <c r="B7142"/>
      <c r="C7142"/>
      <c r="J7142"/>
      <c r="K7142"/>
      <c r="L7142"/>
    </row>
    <row r="7143" spans="2:12" x14ac:dyDescent="0.2">
      <c r="B7143"/>
      <c r="C7143"/>
      <c r="J7143"/>
      <c r="K7143"/>
      <c r="L7143"/>
    </row>
    <row r="7144" spans="2:12" x14ac:dyDescent="0.2">
      <c r="B7144"/>
      <c r="C7144"/>
      <c r="J7144"/>
      <c r="K7144"/>
      <c r="L7144"/>
    </row>
    <row r="7145" spans="2:12" x14ac:dyDescent="0.2">
      <c r="B7145"/>
      <c r="C7145"/>
      <c r="J7145"/>
      <c r="K7145"/>
      <c r="L7145"/>
    </row>
    <row r="7146" spans="2:12" x14ac:dyDescent="0.2">
      <c r="B7146"/>
      <c r="C7146"/>
      <c r="J7146"/>
      <c r="K7146"/>
      <c r="L7146"/>
    </row>
    <row r="7147" spans="2:12" x14ac:dyDescent="0.2">
      <c r="B7147"/>
      <c r="C7147"/>
      <c r="J7147"/>
      <c r="K7147"/>
      <c r="L7147"/>
    </row>
    <row r="7148" spans="2:12" x14ac:dyDescent="0.2">
      <c r="B7148"/>
      <c r="C7148"/>
      <c r="J7148"/>
      <c r="K7148"/>
      <c r="L7148"/>
    </row>
    <row r="7149" spans="2:12" x14ac:dyDescent="0.2">
      <c r="B7149"/>
      <c r="C7149"/>
      <c r="J7149"/>
      <c r="K7149"/>
      <c r="L7149"/>
    </row>
    <row r="7150" spans="2:12" x14ac:dyDescent="0.2">
      <c r="B7150"/>
      <c r="C7150"/>
      <c r="J7150"/>
      <c r="K7150"/>
      <c r="L7150"/>
    </row>
    <row r="7151" spans="2:12" x14ac:dyDescent="0.2">
      <c r="B7151"/>
      <c r="C7151"/>
      <c r="J7151"/>
      <c r="K7151"/>
      <c r="L7151"/>
    </row>
    <row r="7152" spans="2:12" x14ac:dyDescent="0.2">
      <c r="B7152"/>
      <c r="C7152"/>
      <c r="J7152"/>
      <c r="K7152"/>
      <c r="L7152"/>
    </row>
    <row r="7153" spans="2:12" x14ac:dyDescent="0.2">
      <c r="B7153"/>
      <c r="C7153"/>
      <c r="J7153"/>
      <c r="K7153"/>
      <c r="L7153"/>
    </row>
    <row r="7154" spans="2:12" x14ac:dyDescent="0.2">
      <c r="B7154"/>
      <c r="C7154"/>
      <c r="J7154"/>
      <c r="K7154"/>
      <c r="L7154"/>
    </row>
    <row r="7155" spans="2:12" x14ac:dyDescent="0.2">
      <c r="B7155"/>
      <c r="C7155"/>
      <c r="J7155"/>
      <c r="K7155"/>
      <c r="L7155"/>
    </row>
    <row r="7156" spans="2:12" x14ac:dyDescent="0.2">
      <c r="B7156"/>
      <c r="C7156"/>
      <c r="J7156"/>
      <c r="K7156"/>
      <c r="L7156"/>
    </row>
    <row r="7157" spans="2:12" x14ac:dyDescent="0.2">
      <c r="B7157"/>
      <c r="C7157"/>
      <c r="J7157"/>
      <c r="K7157"/>
      <c r="L7157"/>
    </row>
    <row r="7158" spans="2:12" x14ac:dyDescent="0.2">
      <c r="B7158"/>
      <c r="C7158"/>
      <c r="J7158"/>
      <c r="K7158"/>
      <c r="L7158"/>
    </row>
    <row r="7159" spans="2:12" x14ac:dyDescent="0.2">
      <c r="B7159"/>
      <c r="C7159"/>
      <c r="J7159"/>
      <c r="K7159"/>
      <c r="L7159"/>
    </row>
    <row r="7160" spans="2:12" x14ac:dyDescent="0.2">
      <c r="B7160"/>
      <c r="C7160"/>
      <c r="J7160"/>
      <c r="K7160"/>
      <c r="L7160"/>
    </row>
    <row r="7161" spans="2:12" x14ac:dyDescent="0.2">
      <c r="B7161"/>
      <c r="C7161"/>
      <c r="J7161"/>
      <c r="K7161"/>
      <c r="L7161"/>
    </row>
    <row r="7162" spans="2:12" x14ac:dyDescent="0.2">
      <c r="B7162"/>
      <c r="C7162"/>
      <c r="J7162"/>
      <c r="K7162"/>
      <c r="L7162"/>
    </row>
    <row r="7163" spans="2:12" x14ac:dyDescent="0.2">
      <c r="B7163"/>
      <c r="C7163"/>
      <c r="J7163"/>
      <c r="K7163"/>
      <c r="L7163"/>
    </row>
    <row r="7164" spans="2:12" x14ac:dyDescent="0.2">
      <c r="B7164"/>
      <c r="C7164"/>
      <c r="J7164"/>
      <c r="K7164"/>
      <c r="L7164"/>
    </row>
    <row r="7165" spans="2:12" x14ac:dyDescent="0.2">
      <c r="B7165"/>
      <c r="C7165"/>
      <c r="J7165"/>
      <c r="K7165"/>
      <c r="L7165"/>
    </row>
    <row r="7166" spans="2:12" x14ac:dyDescent="0.2">
      <c r="B7166"/>
      <c r="C7166"/>
      <c r="J7166"/>
      <c r="K7166"/>
      <c r="L7166"/>
    </row>
    <row r="7167" spans="2:12" x14ac:dyDescent="0.2">
      <c r="B7167"/>
      <c r="C7167"/>
      <c r="J7167"/>
      <c r="K7167"/>
      <c r="L7167"/>
    </row>
    <row r="7168" spans="2:12" x14ac:dyDescent="0.2">
      <c r="B7168"/>
      <c r="C7168"/>
      <c r="J7168"/>
      <c r="K7168"/>
      <c r="L7168"/>
    </row>
    <row r="7169" spans="2:12" x14ac:dyDescent="0.2">
      <c r="B7169"/>
      <c r="C7169"/>
      <c r="J7169"/>
      <c r="K7169"/>
      <c r="L7169"/>
    </row>
    <row r="7170" spans="2:12" x14ac:dyDescent="0.2">
      <c r="B7170"/>
      <c r="C7170"/>
      <c r="J7170"/>
      <c r="K7170"/>
      <c r="L7170"/>
    </row>
    <row r="7171" spans="2:12" x14ac:dyDescent="0.2">
      <c r="B7171"/>
      <c r="C7171"/>
      <c r="J7171"/>
      <c r="K7171"/>
      <c r="L7171"/>
    </row>
    <row r="7172" spans="2:12" x14ac:dyDescent="0.2">
      <c r="B7172"/>
      <c r="C7172"/>
      <c r="J7172"/>
      <c r="K7172"/>
      <c r="L7172"/>
    </row>
    <row r="7173" spans="2:12" x14ac:dyDescent="0.2">
      <c r="B7173"/>
      <c r="C7173"/>
      <c r="J7173"/>
      <c r="K7173"/>
      <c r="L7173"/>
    </row>
    <row r="7174" spans="2:12" x14ac:dyDescent="0.2">
      <c r="B7174"/>
      <c r="C7174"/>
      <c r="J7174"/>
      <c r="K7174"/>
      <c r="L7174"/>
    </row>
    <row r="7175" spans="2:12" x14ac:dyDescent="0.2">
      <c r="B7175"/>
      <c r="C7175"/>
      <c r="J7175"/>
      <c r="K7175"/>
      <c r="L7175"/>
    </row>
    <row r="7176" spans="2:12" x14ac:dyDescent="0.2">
      <c r="B7176"/>
      <c r="C7176"/>
      <c r="J7176"/>
      <c r="K7176"/>
      <c r="L7176"/>
    </row>
    <row r="7177" spans="2:12" x14ac:dyDescent="0.2">
      <c r="B7177"/>
      <c r="C7177"/>
      <c r="J7177"/>
      <c r="K7177"/>
      <c r="L7177"/>
    </row>
    <row r="7178" spans="2:12" x14ac:dyDescent="0.2">
      <c r="B7178"/>
      <c r="C7178"/>
      <c r="J7178"/>
      <c r="K7178"/>
      <c r="L7178"/>
    </row>
    <row r="7179" spans="2:12" x14ac:dyDescent="0.2">
      <c r="B7179"/>
      <c r="C7179"/>
      <c r="J7179"/>
      <c r="K7179"/>
      <c r="L7179"/>
    </row>
    <row r="7180" spans="2:12" x14ac:dyDescent="0.2">
      <c r="B7180"/>
      <c r="C7180"/>
      <c r="J7180"/>
      <c r="K7180"/>
      <c r="L7180"/>
    </row>
    <row r="7181" spans="2:12" x14ac:dyDescent="0.2">
      <c r="B7181"/>
      <c r="C7181"/>
      <c r="J7181"/>
      <c r="K7181"/>
      <c r="L7181"/>
    </row>
    <row r="7182" spans="2:12" x14ac:dyDescent="0.2">
      <c r="B7182"/>
      <c r="C7182"/>
      <c r="J7182"/>
      <c r="K7182"/>
      <c r="L7182"/>
    </row>
    <row r="7183" spans="2:12" x14ac:dyDescent="0.2">
      <c r="B7183"/>
      <c r="C7183"/>
      <c r="J7183"/>
      <c r="K7183"/>
      <c r="L7183"/>
    </row>
    <row r="7184" spans="2:12" x14ac:dyDescent="0.2">
      <c r="B7184"/>
      <c r="C7184"/>
      <c r="J7184"/>
      <c r="K7184"/>
      <c r="L7184"/>
    </row>
    <row r="7185" spans="2:12" x14ac:dyDescent="0.2">
      <c r="B7185"/>
      <c r="C7185"/>
      <c r="J7185"/>
      <c r="K7185"/>
      <c r="L7185"/>
    </row>
    <row r="7186" spans="2:12" x14ac:dyDescent="0.2">
      <c r="B7186"/>
      <c r="C7186"/>
      <c r="J7186"/>
      <c r="K7186"/>
      <c r="L7186"/>
    </row>
    <row r="7187" spans="2:12" x14ac:dyDescent="0.2">
      <c r="B7187"/>
      <c r="C7187"/>
      <c r="J7187"/>
      <c r="K7187"/>
      <c r="L7187"/>
    </row>
    <row r="7188" spans="2:12" x14ac:dyDescent="0.2">
      <c r="B7188"/>
      <c r="C7188"/>
      <c r="J7188"/>
      <c r="K7188"/>
      <c r="L7188"/>
    </row>
    <row r="7189" spans="2:12" x14ac:dyDescent="0.2">
      <c r="B7189"/>
      <c r="C7189"/>
      <c r="J7189"/>
      <c r="K7189"/>
      <c r="L7189"/>
    </row>
    <row r="7190" spans="2:12" x14ac:dyDescent="0.2">
      <c r="B7190"/>
      <c r="C7190"/>
      <c r="J7190"/>
      <c r="K7190"/>
      <c r="L7190"/>
    </row>
    <row r="7191" spans="2:12" x14ac:dyDescent="0.2">
      <c r="B7191"/>
      <c r="C7191"/>
      <c r="J7191"/>
      <c r="K7191"/>
      <c r="L7191"/>
    </row>
    <row r="7192" spans="2:12" x14ac:dyDescent="0.2">
      <c r="B7192"/>
      <c r="C7192"/>
      <c r="J7192"/>
      <c r="K7192"/>
      <c r="L7192"/>
    </row>
    <row r="7193" spans="2:12" x14ac:dyDescent="0.2">
      <c r="B7193"/>
      <c r="C7193"/>
      <c r="J7193"/>
      <c r="K7193"/>
      <c r="L7193"/>
    </row>
    <row r="7194" spans="2:12" x14ac:dyDescent="0.2">
      <c r="B7194"/>
      <c r="C7194"/>
      <c r="J7194"/>
      <c r="K7194"/>
      <c r="L7194"/>
    </row>
    <row r="7195" spans="2:12" x14ac:dyDescent="0.2">
      <c r="B7195"/>
      <c r="C7195"/>
      <c r="J7195"/>
      <c r="K7195"/>
      <c r="L7195"/>
    </row>
    <row r="7196" spans="2:12" x14ac:dyDescent="0.2">
      <c r="B7196"/>
      <c r="C7196"/>
      <c r="J7196"/>
      <c r="K7196"/>
      <c r="L7196"/>
    </row>
    <row r="7197" spans="2:12" x14ac:dyDescent="0.2">
      <c r="B7197"/>
      <c r="C7197"/>
      <c r="J7197"/>
      <c r="K7197"/>
      <c r="L7197"/>
    </row>
    <row r="7198" spans="2:12" x14ac:dyDescent="0.2">
      <c r="B7198"/>
      <c r="C7198"/>
      <c r="J7198"/>
      <c r="K7198"/>
      <c r="L7198"/>
    </row>
    <row r="7199" spans="2:12" x14ac:dyDescent="0.2">
      <c r="B7199"/>
      <c r="C7199"/>
      <c r="J7199"/>
      <c r="K7199"/>
      <c r="L7199"/>
    </row>
    <row r="7200" spans="2:12" x14ac:dyDescent="0.2">
      <c r="B7200"/>
      <c r="C7200"/>
      <c r="J7200"/>
      <c r="K7200"/>
      <c r="L7200"/>
    </row>
    <row r="7201" spans="2:12" x14ac:dyDescent="0.2">
      <c r="B7201"/>
      <c r="C7201"/>
      <c r="J7201"/>
      <c r="K7201"/>
      <c r="L7201"/>
    </row>
    <row r="7202" spans="2:12" x14ac:dyDescent="0.2">
      <c r="B7202"/>
      <c r="C7202"/>
      <c r="J7202"/>
      <c r="K7202"/>
      <c r="L7202"/>
    </row>
    <row r="7203" spans="2:12" x14ac:dyDescent="0.2">
      <c r="B7203"/>
      <c r="C7203"/>
      <c r="J7203"/>
      <c r="K7203"/>
      <c r="L7203"/>
    </row>
    <row r="7204" spans="2:12" x14ac:dyDescent="0.2">
      <c r="B7204"/>
      <c r="C7204"/>
      <c r="J7204"/>
      <c r="K7204"/>
      <c r="L7204"/>
    </row>
    <row r="7205" spans="2:12" x14ac:dyDescent="0.2">
      <c r="B7205"/>
      <c r="C7205"/>
      <c r="J7205"/>
      <c r="K7205"/>
      <c r="L7205"/>
    </row>
    <row r="7206" spans="2:12" x14ac:dyDescent="0.2">
      <c r="B7206"/>
      <c r="C7206"/>
      <c r="J7206"/>
      <c r="K7206"/>
      <c r="L7206"/>
    </row>
    <row r="7207" spans="2:12" x14ac:dyDescent="0.2">
      <c r="B7207"/>
      <c r="C7207"/>
      <c r="J7207"/>
      <c r="K7207"/>
      <c r="L7207"/>
    </row>
    <row r="7208" spans="2:12" x14ac:dyDescent="0.2">
      <c r="B7208"/>
      <c r="C7208"/>
      <c r="J7208"/>
      <c r="K7208"/>
      <c r="L7208"/>
    </row>
    <row r="7209" spans="2:12" x14ac:dyDescent="0.2">
      <c r="B7209"/>
      <c r="C7209"/>
      <c r="J7209"/>
      <c r="K7209"/>
      <c r="L7209"/>
    </row>
    <row r="7210" spans="2:12" x14ac:dyDescent="0.2">
      <c r="B7210"/>
      <c r="C7210"/>
      <c r="J7210"/>
      <c r="K7210"/>
      <c r="L7210"/>
    </row>
    <row r="7211" spans="2:12" x14ac:dyDescent="0.2">
      <c r="B7211"/>
      <c r="C7211"/>
      <c r="J7211"/>
      <c r="K7211"/>
      <c r="L7211"/>
    </row>
    <row r="7212" spans="2:12" x14ac:dyDescent="0.2">
      <c r="B7212"/>
      <c r="C7212"/>
      <c r="J7212"/>
      <c r="K7212"/>
      <c r="L7212"/>
    </row>
    <row r="7213" spans="2:12" x14ac:dyDescent="0.2">
      <c r="B7213"/>
      <c r="C7213"/>
      <c r="J7213"/>
      <c r="K7213"/>
      <c r="L7213"/>
    </row>
    <row r="7214" spans="2:12" x14ac:dyDescent="0.2">
      <c r="B7214"/>
      <c r="C7214"/>
      <c r="J7214"/>
      <c r="K7214"/>
      <c r="L7214"/>
    </row>
    <row r="7215" spans="2:12" x14ac:dyDescent="0.2">
      <c r="B7215"/>
      <c r="C7215"/>
      <c r="J7215"/>
      <c r="K7215"/>
      <c r="L7215"/>
    </row>
    <row r="7216" spans="2:12" x14ac:dyDescent="0.2">
      <c r="B7216"/>
      <c r="C7216"/>
      <c r="J7216"/>
      <c r="K7216"/>
      <c r="L7216"/>
    </row>
    <row r="7217" spans="2:12" x14ac:dyDescent="0.2">
      <c r="B7217"/>
      <c r="C7217"/>
      <c r="J7217"/>
      <c r="K7217"/>
      <c r="L7217"/>
    </row>
    <row r="7218" spans="2:12" x14ac:dyDescent="0.2">
      <c r="B7218"/>
      <c r="C7218"/>
      <c r="J7218"/>
      <c r="K7218"/>
      <c r="L7218"/>
    </row>
    <row r="7219" spans="2:12" x14ac:dyDescent="0.2">
      <c r="B7219"/>
      <c r="C7219"/>
      <c r="J7219"/>
      <c r="K7219"/>
      <c r="L7219"/>
    </row>
    <row r="7220" spans="2:12" x14ac:dyDescent="0.2">
      <c r="B7220"/>
      <c r="C7220"/>
      <c r="J7220"/>
      <c r="K7220"/>
      <c r="L7220"/>
    </row>
    <row r="7221" spans="2:12" x14ac:dyDescent="0.2">
      <c r="B7221"/>
      <c r="C7221"/>
      <c r="J7221"/>
      <c r="K7221"/>
      <c r="L7221"/>
    </row>
    <row r="7222" spans="2:12" x14ac:dyDescent="0.2">
      <c r="B7222"/>
      <c r="C7222"/>
      <c r="J7222"/>
      <c r="K7222"/>
      <c r="L7222"/>
    </row>
    <row r="7223" spans="2:12" x14ac:dyDescent="0.2">
      <c r="B7223"/>
      <c r="C7223"/>
      <c r="J7223"/>
      <c r="K7223"/>
      <c r="L7223"/>
    </row>
    <row r="7224" spans="2:12" x14ac:dyDescent="0.2">
      <c r="B7224"/>
      <c r="C7224"/>
      <c r="J7224"/>
      <c r="K7224"/>
      <c r="L7224"/>
    </row>
    <row r="7225" spans="2:12" x14ac:dyDescent="0.2">
      <c r="B7225"/>
      <c r="C7225"/>
      <c r="J7225"/>
      <c r="K7225"/>
      <c r="L7225"/>
    </row>
    <row r="7226" spans="2:12" x14ac:dyDescent="0.2">
      <c r="B7226"/>
      <c r="C7226"/>
      <c r="J7226"/>
      <c r="K7226"/>
      <c r="L7226"/>
    </row>
    <row r="7227" spans="2:12" x14ac:dyDescent="0.2">
      <c r="B7227"/>
      <c r="C7227"/>
      <c r="J7227"/>
      <c r="K7227"/>
      <c r="L7227"/>
    </row>
    <row r="7228" spans="2:12" x14ac:dyDescent="0.2">
      <c r="B7228"/>
      <c r="C7228"/>
      <c r="J7228"/>
      <c r="K7228"/>
      <c r="L7228"/>
    </row>
    <row r="7229" spans="2:12" x14ac:dyDescent="0.2">
      <c r="B7229"/>
      <c r="C7229"/>
      <c r="J7229"/>
      <c r="K7229"/>
      <c r="L7229"/>
    </row>
    <row r="7230" spans="2:12" x14ac:dyDescent="0.2">
      <c r="B7230"/>
      <c r="C7230"/>
      <c r="J7230"/>
      <c r="K7230"/>
      <c r="L7230"/>
    </row>
    <row r="7231" spans="2:12" x14ac:dyDescent="0.2">
      <c r="B7231"/>
      <c r="C7231"/>
      <c r="J7231"/>
      <c r="K7231"/>
      <c r="L7231"/>
    </row>
    <row r="7232" spans="2:12" x14ac:dyDescent="0.2">
      <c r="B7232"/>
      <c r="C7232"/>
      <c r="J7232"/>
      <c r="K7232"/>
      <c r="L7232"/>
    </row>
    <row r="7233" spans="2:12" x14ac:dyDescent="0.2">
      <c r="B7233"/>
      <c r="C7233"/>
      <c r="J7233"/>
      <c r="K7233"/>
      <c r="L7233"/>
    </row>
    <row r="7234" spans="2:12" x14ac:dyDescent="0.2">
      <c r="B7234"/>
      <c r="C7234"/>
      <c r="J7234"/>
      <c r="K7234"/>
      <c r="L7234"/>
    </row>
    <row r="7235" spans="2:12" x14ac:dyDescent="0.2">
      <c r="B7235"/>
      <c r="C7235"/>
      <c r="J7235"/>
      <c r="K7235"/>
      <c r="L7235"/>
    </row>
    <row r="7236" spans="2:12" x14ac:dyDescent="0.2">
      <c r="B7236"/>
      <c r="C7236"/>
      <c r="J7236"/>
      <c r="K7236"/>
      <c r="L7236"/>
    </row>
    <row r="7237" spans="2:12" x14ac:dyDescent="0.2">
      <c r="B7237"/>
      <c r="C7237"/>
      <c r="J7237"/>
      <c r="K7237"/>
      <c r="L7237"/>
    </row>
    <row r="7238" spans="2:12" x14ac:dyDescent="0.2">
      <c r="B7238"/>
      <c r="C7238"/>
      <c r="J7238"/>
      <c r="K7238"/>
      <c r="L7238"/>
    </row>
    <row r="7239" spans="2:12" x14ac:dyDescent="0.2">
      <c r="B7239"/>
      <c r="C7239"/>
      <c r="J7239"/>
      <c r="K7239"/>
      <c r="L7239"/>
    </row>
    <row r="7240" spans="2:12" x14ac:dyDescent="0.2">
      <c r="B7240"/>
      <c r="C7240"/>
      <c r="J7240"/>
      <c r="K7240"/>
      <c r="L7240"/>
    </row>
    <row r="7241" spans="2:12" x14ac:dyDescent="0.2">
      <c r="B7241"/>
      <c r="C7241"/>
      <c r="J7241"/>
      <c r="K7241"/>
      <c r="L7241"/>
    </row>
    <row r="7242" spans="2:12" x14ac:dyDescent="0.2">
      <c r="B7242"/>
      <c r="C7242"/>
      <c r="J7242"/>
      <c r="K7242"/>
      <c r="L7242"/>
    </row>
    <row r="7243" spans="2:12" x14ac:dyDescent="0.2">
      <c r="B7243"/>
      <c r="C7243"/>
      <c r="J7243"/>
      <c r="K7243"/>
      <c r="L7243"/>
    </row>
    <row r="7244" spans="2:12" x14ac:dyDescent="0.2">
      <c r="B7244"/>
      <c r="C7244"/>
      <c r="J7244"/>
      <c r="K7244"/>
      <c r="L7244"/>
    </row>
    <row r="7245" spans="2:12" x14ac:dyDescent="0.2">
      <c r="B7245"/>
      <c r="C7245"/>
      <c r="J7245"/>
      <c r="K7245"/>
      <c r="L7245"/>
    </row>
    <row r="7246" spans="2:12" x14ac:dyDescent="0.2">
      <c r="B7246"/>
      <c r="C7246"/>
      <c r="J7246"/>
      <c r="K7246"/>
      <c r="L7246"/>
    </row>
    <row r="7247" spans="2:12" x14ac:dyDescent="0.2">
      <c r="B7247"/>
      <c r="C7247"/>
      <c r="J7247"/>
      <c r="K7247"/>
      <c r="L7247"/>
    </row>
    <row r="7248" spans="2:12" x14ac:dyDescent="0.2">
      <c r="B7248"/>
      <c r="C7248"/>
      <c r="J7248"/>
      <c r="K7248"/>
      <c r="L7248"/>
    </row>
    <row r="7249" spans="2:12" x14ac:dyDescent="0.2">
      <c r="B7249"/>
      <c r="C7249"/>
      <c r="J7249"/>
      <c r="K7249"/>
      <c r="L7249"/>
    </row>
    <row r="7250" spans="2:12" x14ac:dyDescent="0.2">
      <c r="B7250"/>
      <c r="C7250"/>
      <c r="J7250"/>
      <c r="K7250"/>
      <c r="L7250"/>
    </row>
    <row r="7251" spans="2:12" x14ac:dyDescent="0.2">
      <c r="B7251"/>
      <c r="C7251"/>
      <c r="J7251"/>
      <c r="K7251"/>
      <c r="L7251"/>
    </row>
    <row r="7252" spans="2:12" x14ac:dyDescent="0.2">
      <c r="B7252"/>
      <c r="C7252"/>
      <c r="J7252"/>
      <c r="K7252"/>
      <c r="L7252"/>
    </row>
    <row r="7253" spans="2:12" x14ac:dyDescent="0.2">
      <c r="B7253"/>
      <c r="C7253"/>
      <c r="J7253"/>
      <c r="K7253"/>
      <c r="L7253"/>
    </row>
    <row r="7254" spans="2:12" x14ac:dyDescent="0.2">
      <c r="B7254"/>
      <c r="C7254"/>
      <c r="J7254"/>
      <c r="K7254"/>
      <c r="L7254"/>
    </row>
    <row r="7255" spans="2:12" x14ac:dyDescent="0.2">
      <c r="B7255"/>
      <c r="C7255"/>
      <c r="J7255"/>
      <c r="K7255"/>
      <c r="L7255"/>
    </row>
    <row r="7256" spans="2:12" x14ac:dyDescent="0.2">
      <c r="B7256"/>
      <c r="C7256"/>
      <c r="J7256"/>
      <c r="K7256"/>
      <c r="L7256"/>
    </row>
    <row r="7257" spans="2:12" x14ac:dyDescent="0.2">
      <c r="B7257"/>
      <c r="C7257"/>
      <c r="J7257"/>
      <c r="K7257"/>
      <c r="L7257"/>
    </row>
    <row r="7258" spans="2:12" x14ac:dyDescent="0.2">
      <c r="B7258"/>
      <c r="C7258"/>
      <c r="J7258"/>
      <c r="K7258"/>
      <c r="L7258"/>
    </row>
    <row r="7259" spans="2:12" x14ac:dyDescent="0.2">
      <c r="B7259"/>
      <c r="C7259"/>
      <c r="J7259"/>
      <c r="K7259"/>
      <c r="L7259"/>
    </row>
    <row r="7260" spans="2:12" x14ac:dyDescent="0.2">
      <c r="B7260"/>
      <c r="C7260"/>
      <c r="J7260"/>
      <c r="K7260"/>
      <c r="L7260"/>
    </row>
    <row r="7261" spans="2:12" x14ac:dyDescent="0.2">
      <c r="B7261"/>
      <c r="C7261"/>
      <c r="J7261"/>
      <c r="K7261"/>
      <c r="L7261"/>
    </row>
    <row r="7262" spans="2:12" x14ac:dyDescent="0.2">
      <c r="B7262"/>
      <c r="C7262"/>
      <c r="J7262"/>
      <c r="K7262"/>
      <c r="L7262"/>
    </row>
    <row r="7263" spans="2:12" x14ac:dyDescent="0.2">
      <c r="B7263"/>
      <c r="C7263"/>
      <c r="J7263"/>
      <c r="K7263"/>
      <c r="L7263"/>
    </row>
    <row r="7264" spans="2:12" x14ac:dyDescent="0.2">
      <c r="B7264"/>
      <c r="C7264"/>
      <c r="J7264"/>
      <c r="K7264"/>
      <c r="L7264"/>
    </row>
    <row r="7265" spans="2:12" x14ac:dyDescent="0.2">
      <c r="B7265"/>
      <c r="C7265"/>
      <c r="J7265"/>
      <c r="K7265"/>
      <c r="L7265"/>
    </row>
    <row r="7266" spans="2:12" x14ac:dyDescent="0.2">
      <c r="B7266"/>
      <c r="C7266"/>
      <c r="J7266"/>
      <c r="K7266"/>
      <c r="L7266"/>
    </row>
    <row r="7267" spans="2:12" x14ac:dyDescent="0.2">
      <c r="B7267"/>
      <c r="C7267"/>
      <c r="J7267"/>
      <c r="K7267"/>
      <c r="L7267"/>
    </row>
    <row r="7268" spans="2:12" x14ac:dyDescent="0.2">
      <c r="B7268"/>
      <c r="C7268"/>
      <c r="J7268"/>
      <c r="K7268"/>
      <c r="L7268"/>
    </row>
    <row r="7269" spans="2:12" x14ac:dyDescent="0.2">
      <c r="B7269"/>
      <c r="C7269"/>
      <c r="J7269"/>
      <c r="K7269"/>
      <c r="L7269"/>
    </row>
    <row r="7270" spans="2:12" x14ac:dyDescent="0.2">
      <c r="B7270"/>
      <c r="C7270"/>
      <c r="J7270"/>
      <c r="K7270"/>
      <c r="L7270"/>
    </row>
    <row r="7271" spans="2:12" x14ac:dyDescent="0.2">
      <c r="B7271"/>
      <c r="C7271"/>
      <c r="J7271"/>
      <c r="K7271"/>
      <c r="L7271"/>
    </row>
    <row r="7272" spans="2:12" x14ac:dyDescent="0.2">
      <c r="B7272"/>
      <c r="C7272"/>
      <c r="J7272"/>
      <c r="K7272"/>
      <c r="L7272"/>
    </row>
    <row r="7273" spans="2:12" x14ac:dyDescent="0.2">
      <c r="B7273"/>
      <c r="C7273"/>
      <c r="J7273"/>
      <c r="K7273"/>
      <c r="L7273"/>
    </row>
    <row r="7274" spans="2:12" x14ac:dyDescent="0.2">
      <c r="B7274"/>
      <c r="C7274"/>
      <c r="J7274"/>
      <c r="K7274"/>
      <c r="L7274"/>
    </row>
    <row r="7275" spans="2:12" x14ac:dyDescent="0.2">
      <c r="B7275"/>
      <c r="C7275"/>
      <c r="J7275"/>
      <c r="K7275"/>
      <c r="L7275"/>
    </row>
    <row r="7276" spans="2:12" x14ac:dyDescent="0.2">
      <c r="B7276"/>
      <c r="C7276"/>
      <c r="J7276"/>
      <c r="K7276"/>
      <c r="L7276"/>
    </row>
    <row r="7277" spans="2:12" x14ac:dyDescent="0.2">
      <c r="B7277"/>
      <c r="C7277"/>
      <c r="J7277"/>
      <c r="K7277"/>
      <c r="L7277"/>
    </row>
    <row r="7278" spans="2:12" x14ac:dyDescent="0.2">
      <c r="B7278"/>
      <c r="C7278"/>
      <c r="J7278"/>
      <c r="K7278"/>
      <c r="L7278"/>
    </row>
    <row r="7279" spans="2:12" x14ac:dyDescent="0.2">
      <c r="B7279"/>
      <c r="C7279"/>
      <c r="J7279"/>
      <c r="K7279"/>
      <c r="L7279"/>
    </row>
    <row r="7280" spans="2:12" x14ac:dyDescent="0.2">
      <c r="B7280"/>
      <c r="C7280"/>
      <c r="J7280"/>
      <c r="K7280"/>
      <c r="L7280"/>
    </row>
    <row r="7281" spans="2:12" x14ac:dyDescent="0.2">
      <c r="B7281"/>
      <c r="C7281"/>
      <c r="J7281"/>
      <c r="K7281"/>
      <c r="L7281"/>
    </row>
    <row r="7282" spans="2:12" x14ac:dyDescent="0.2">
      <c r="B7282"/>
      <c r="C7282"/>
      <c r="J7282"/>
      <c r="K7282"/>
      <c r="L7282"/>
    </row>
    <row r="7283" spans="2:12" x14ac:dyDescent="0.2">
      <c r="B7283"/>
      <c r="C7283"/>
      <c r="J7283"/>
      <c r="K7283"/>
      <c r="L7283"/>
    </row>
    <row r="7284" spans="2:12" x14ac:dyDescent="0.2">
      <c r="B7284"/>
      <c r="C7284"/>
      <c r="J7284"/>
      <c r="K7284"/>
      <c r="L7284"/>
    </row>
    <row r="7285" spans="2:12" x14ac:dyDescent="0.2">
      <c r="B7285"/>
      <c r="C7285"/>
      <c r="J7285"/>
      <c r="K7285"/>
      <c r="L7285"/>
    </row>
    <row r="7286" spans="2:12" x14ac:dyDescent="0.2">
      <c r="B7286"/>
      <c r="C7286"/>
      <c r="J7286"/>
      <c r="K7286"/>
      <c r="L7286"/>
    </row>
    <row r="7287" spans="2:12" x14ac:dyDescent="0.2">
      <c r="B7287"/>
      <c r="C7287"/>
      <c r="J7287"/>
      <c r="K7287"/>
      <c r="L7287"/>
    </row>
    <row r="7288" spans="2:12" x14ac:dyDescent="0.2">
      <c r="B7288"/>
      <c r="C7288"/>
      <c r="J7288"/>
      <c r="K7288"/>
      <c r="L7288"/>
    </row>
    <row r="7289" spans="2:12" x14ac:dyDescent="0.2">
      <c r="B7289"/>
      <c r="C7289"/>
      <c r="J7289"/>
      <c r="K7289"/>
      <c r="L7289"/>
    </row>
    <row r="7290" spans="2:12" x14ac:dyDescent="0.2">
      <c r="B7290"/>
      <c r="C7290"/>
      <c r="J7290"/>
      <c r="K7290"/>
      <c r="L7290"/>
    </row>
    <row r="7291" spans="2:12" x14ac:dyDescent="0.2">
      <c r="B7291"/>
      <c r="C7291"/>
      <c r="J7291"/>
      <c r="K7291"/>
      <c r="L7291"/>
    </row>
    <row r="7292" spans="2:12" x14ac:dyDescent="0.2">
      <c r="B7292"/>
      <c r="C7292"/>
      <c r="J7292"/>
      <c r="K7292"/>
      <c r="L7292"/>
    </row>
    <row r="7293" spans="2:12" x14ac:dyDescent="0.2">
      <c r="B7293"/>
      <c r="C7293"/>
      <c r="J7293"/>
      <c r="K7293"/>
      <c r="L7293"/>
    </row>
    <row r="7294" spans="2:12" x14ac:dyDescent="0.2">
      <c r="B7294"/>
      <c r="C7294"/>
      <c r="J7294"/>
      <c r="K7294"/>
      <c r="L7294"/>
    </row>
    <row r="7295" spans="2:12" x14ac:dyDescent="0.2">
      <c r="B7295"/>
      <c r="C7295"/>
      <c r="J7295"/>
      <c r="K7295"/>
      <c r="L7295"/>
    </row>
    <row r="7296" spans="2:12" x14ac:dyDescent="0.2">
      <c r="B7296"/>
      <c r="C7296"/>
      <c r="J7296"/>
      <c r="K7296"/>
      <c r="L7296"/>
    </row>
    <row r="7297" spans="2:12" x14ac:dyDescent="0.2">
      <c r="B7297"/>
      <c r="C7297"/>
      <c r="J7297"/>
      <c r="K7297"/>
      <c r="L7297"/>
    </row>
    <row r="7298" spans="2:12" x14ac:dyDescent="0.2">
      <c r="B7298"/>
      <c r="C7298"/>
      <c r="J7298"/>
      <c r="K7298"/>
      <c r="L7298"/>
    </row>
    <row r="7299" spans="2:12" x14ac:dyDescent="0.2">
      <c r="B7299"/>
      <c r="C7299"/>
      <c r="J7299"/>
      <c r="K7299"/>
      <c r="L7299"/>
    </row>
    <row r="7300" spans="2:12" x14ac:dyDescent="0.2">
      <c r="B7300"/>
      <c r="C7300"/>
      <c r="J7300"/>
      <c r="K7300"/>
      <c r="L7300"/>
    </row>
    <row r="7301" spans="2:12" x14ac:dyDescent="0.2">
      <c r="B7301"/>
      <c r="C7301"/>
      <c r="J7301"/>
      <c r="K7301"/>
      <c r="L7301"/>
    </row>
    <row r="7302" spans="2:12" x14ac:dyDescent="0.2">
      <c r="B7302"/>
      <c r="C7302"/>
      <c r="J7302"/>
      <c r="K7302"/>
      <c r="L7302"/>
    </row>
    <row r="7303" spans="2:12" x14ac:dyDescent="0.2">
      <c r="B7303"/>
      <c r="C7303"/>
      <c r="J7303"/>
      <c r="K7303"/>
      <c r="L7303"/>
    </row>
    <row r="7304" spans="2:12" x14ac:dyDescent="0.2">
      <c r="B7304"/>
      <c r="C7304"/>
      <c r="J7304"/>
      <c r="K7304"/>
      <c r="L7304"/>
    </row>
    <row r="7305" spans="2:12" x14ac:dyDescent="0.2">
      <c r="B7305"/>
      <c r="C7305"/>
      <c r="J7305"/>
      <c r="K7305"/>
      <c r="L7305"/>
    </row>
    <row r="7306" spans="2:12" x14ac:dyDescent="0.2">
      <c r="B7306"/>
      <c r="C7306"/>
      <c r="J7306"/>
      <c r="K7306"/>
      <c r="L7306"/>
    </row>
    <row r="7307" spans="2:12" x14ac:dyDescent="0.2">
      <c r="B7307"/>
      <c r="C7307"/>
      <c r="J7307"/>
      <c r="K7307"/>
      <c r="L7307"/>
    </row>
    <row r="7308" spans="2:12" x14ac:dyDescent="0.2">
      <c r="B7308"/>
      <c r="C7308"/>
      <c r="J7308"/>
      <c r="K7308"/>
      <c r="L7308"/>
    </row>
    <row r="7309" spans="2:12" x14ac:dyDescent="0.2">
      <c r="B7309"/>
      <c r="C7309"/>
      <c r="J7309"/>
      <c r="K7309"/>
      <c r="L7309"/>
    </row>
    <row r="7310" spans="2:12" x14ac:dyDescent="0.2">
      <c r="B7310"/>
      <c r="C7310"/>
      <c r="J7310"/>
      <c r="K7310"/>
      <c r="L7310"/>
    </row>
    <row r="7311" spans="2:12" x14ac:dyDescent="0.2">
      <c r="B7311"/>
      <c r="C7311"/>
      <c r="J7311"/>
      <c r="K7311"/>
      <c r="L7311"/>
    </row>
    <row r="7312" spans="2:12" x14ac:dyDescent="0.2">
      <c r="B7312"/>
      <c r="C7312"/>
      <c r="J7312"/>
      <c r="K7312"/>
      <c r="L7312"/>
    </row>
    <row r="7313" spans="2:12" x14ac:dyDescent="0.2">
      <c r="B7313"/>
      <c r="C7313"/>
      <c r="J7313"/>
      <c r="K7313"/>
      <c r="L7313"/>
    </row>
    <row r="7314" spans="2:12" x14ac:dyDescent="0.2">
      <c r="B7314"/>
      <c r="C7314"/>
      <c r="J7314"/>
      <c r="K7314"/>
      <c r="L7314"/>
    </row>
    <row r="7315" spans="2:12" x14ac:dyDescent="0.2">
      <c r="B7315"/>
      <c r="C7315"/>
      <c r="J7315"/>
      <c r="K7315"/>
      <c r="L7315"/>
    </row>
    <row r="7316" spans="2:12" x14ac:dyDescent="0.2">
      <c r="B7316"/>
      <c r="C7316"/>
      <c r="J7316"/>
      <c r="K7316"/>
      <c r="L7316"/>
    </row>
    <row r="7317" spans="2:12" x14ac:dyDescent="0.2">
      <c r="B7317"/>
      <c r="C7317"/>
      <c r="J7317"/>
      <c r="K7317"/>
      <c r="L7317"/>
    </row>
    <row r="7318" spans="2:12" x14ac:dyDescent="0.2">
      <c r="B7318"/>
      <c r="C7318"/>
      <c r="J7318"/>
      <c r="K7318"/>
      <c r="L7318"/>
    </row>
    <row r="7319" spans="2:12" x14ac:dyDescent="0.2">
      <c r="B7319"/>
      <c r="C7319"/>
      <c r="J7319"/>
      <c r="K7319"/>
      <c r="L7319"/>
    </row>
    <row r="7320" spans="2:12" x14ac:dyDescent="0.2">
      <c r="B7320"/>
      <c r="C7320"/>
      <c r="J7320"/>
      <c r="K7320"/>
      <c r="L7320"/>
    </row>
    <row r="7321" spans="2:12" x14ac:dyDescent="0.2">
      <c r="B7321"/>
      <c r="C7321"/>
      <c r="J7321"/>
      <c r="K7321"/>
      <c r="L7321"/>
    </row>
    <row r="7322" spans="2:12" x14ac:dyDescent="0.2">
      <c r="B7322"/>
      <c r="C7322"/>
      <c r="J7322"/>
      <c r="K7322"/>
      <c r="L7322"/>
    </row>
    <row r="7323" spans="2:12" x14ac:dyDescent="0.2">
      <c r="B7323"/>
      <c r="C7323"/>
      <c r="J7323"/>
      <c r="K7323"/>
      <c r="L7323"/>
    </row>
    <row r="7324" spans="2:12" x14ac:dyDescent="0.2">
      <c r="B7324"/>
      <c r="C7324"/>
      <c r="J7324"/>
      <c r="K7324"/>
      <c r="L7324"/>
    </row>
    <row r="7325" spans="2:12" x14ac:dyDescent="0.2">
      <c r="B7325"/>
      <c r="C7325"/>
      <c r="J7325"/>
      <c r="K7325"/>
      <c r="L7325"/>
    </row>
    <row r="7326" spans="2:12" x14ac:dyDescent="0.2">
      <c r="B7326"/>
      <c r="C7326"/>
      <c r="J7326"/>
      <c r="K7326"/>
      <c r="L7326"/>
    </row>
    <row r="7327" spans="2:12" x14ac:dyDescent="0.2">
      <c r="B7327"/>
      <c r="C7327"/>
      <c r="J7327"/>
      <c r="K7327"/>
      <c r="L7327"/>
    </row>
    <row r="7328" spans="2:12" x14ac:dyDescent="0.2">
      <c r="B7328"/>
      <c r="C7328"/>
      <c r="J7328"/>
      <c r="K7328"/>
      <c r="L7328"/>
    </row>
    <row r="7329" spans="2:12" x14ac:dyDescent="0.2">
      <c r="B7329"/>
      <c r="C7329"/>
      <c r="J7329"/>
      <c r="K7329"/>
      <c r="L7329"/>
    </row>
    <row r="7330" spans="2:12" x14ac:dyDescent="0.2">
      <c r="B7330"/>
      <c r="C7330"/>
      <c r="J7330"/>
      <c r="K7330"/>
      <c r="L7330"/>
    </row>
    <row r="7331" spans="2:12" x14ac:dyDescent="0.2">
      <c r="B7331"/>
      <c r="C7331"/>
      <c r="J7331"/>
      <c r="K7331"/>
      <c r="L7331"/>
    </row>
    <row r="7332" spans="2:12" x14ac:dyDescent="0.2">
      <c r="B7332"/>
      <c r="C7332"/>
      <c r="J7332"/>
      <c r="K7332"/>
      <c r="L7332"/>
    </row>
    <row r="7333" spans="2:12" x14ac:dyDescent="0.2">
      <c r="B7333"/>
      <c r="C7333"/>
      <c r="J7333"/>
      <c r="K7333"/>
      <c r="L7333"/>
    </row>
    <row r="7334" spans="2:12" x14ac:dyDescent="0.2">
      <c r="B7334"/>
      <c r="C7334"/>
      <c r="J7334"/>
      <c r="K7334"/>
      <c r="L7334"/>
    </row>
    <row r="7335" spans="2:12" x14ac:dyDescent="0.2">
      <c r="B7335"/>
      <c r="C7335"/>
      <c r="J7335"/>
      <c r="K7335"/>
      <c r="L7335"/>
    </row>
    <row r="7336" spans="2:12" x14ac:dyDescent="0.2">
      <c r="B7336"/>
      <c r="C7336"/>
      <c r="J7336"/>
      <c r="K7336"/>
      <c r="L7336"/>
    </row>
    <row r="7337" spans="2:12" x14ac:dyDescent="0.2">
      <c r="B7337"/>
      <c r="C7337"/>
      <c r="J7337"/>
      <c r="K7337"/>
      <c r="L7337"/>
    </row>
    <row r="7338" spans="2:12" x14ac:dyDescent="0.2">
      <c r="B7338"/>
      <c r="C7338"/>
      <c r="J7338"/>
      <c r="K7338"/>
      <c r="L7338"/>
    </row>
    <row r="7339" spans="2:12" x14ac:dyDescent="0.2">
      <c r="B7339"/>
      <c r="C7339"/>
      <c r="J7339"/>
      <c r="K7339"/>
      <c r="L7339"/>
    </row>
    <row r="7340" spans="2:12" x14ac:dyDescent="0.2">
      <c r="B7340"/>
      <c r="C7340"/>
      <c r="J7340"/>
      <c r="K7340"/>
      <c r="L7340"/>
    </row>
    <row r="7341" spans="2:12" x14ac:dyDescent="0.2">
      <c r="B7341"/>
      <c r="C7341"/>
      <c r="J7341"/>
      <c r="K7341"/>
      <c r="L7341"/>
    </row>
    <row r="7342" spans="2:12" x14ac:dyDescent="0.2">
      <c r="B7342"/>
      <c r="C7342"/>
      <c r="J7342"/>
      <c r="K7342"/>
      <c r="L7342"/>
    </row>
    <row r="7343" spans="2:12" x14ac:dyDescent="0.2">
      <c r="B7343"/>
      <c r="C7343"/>
      <c r="J7343"/>
      <c r="K7343"/>
      <c r="L7343"/>
    </row>
    <row r="7344" spans="2:12" x14ac:dyDescent="0.2">
      <c r="B7344"/>
      <c r="C7344"/>
      <c r="J7344"/>
      <c r="K7344"/>
      <c r="L7344"/>
    </row>
    <row r="7345" spans="2:12" x14ac:dyDescent="0.2">
      <c r="B7345"/>
      <c r="C7345"/>
      <c r="J7345"/>
      <c r="K7345"/>
      <c r="L7345"/>
    </row>
    <row r="7346" spans="2:12" x14ac:dyDescent="0.2">
      <c r="B7346"/>
      <c r="C7346"/>
      <c r="J7346"/>
      <c r="K7346"/>
      <c r="L7346"/>
    </row>
    <row r="7347" spans="2:12" x14ac:dyDescent="0.2">
      <c r="B7347"/>
      <c r="C7347"/>
      <c r="J7347"/>
      <c r="K7347"/>
      <c r="L7347"/>
    </row>
    <row r="7348" spans="2:12" x14ac:dyDescent="0.2">
      <c r="B7348"/>
      <c r="C7348"/>
      <c r="J7348"/>
      <c r="K7348"/>
      <c r="L7348"/>
    </row>
    <row r="7349" spans="2:12" x14ac:dyDescent="0.2">
      <c r="B7349"/>
      <c r="C7349"/>
      <c r="J7349"/>
      <c r="K7349"/>
      <c r="L7349"/>
    </row>
    <row r="7350" spans="2:12" x14ac:dyDescent="0.2">
      <c r="B7350"/>
      <c r="C7350"/>
      <c r="J7350"/>
      <c r="K7350"/>
      <c r="L7350"/>
    </row>
    <row r="7351" spans="2:12" x14ac:dyDescent="0.2">
      <c r="B7351"/>
      <c r="C7351"/>
      <c r="J7351"/>
      <c r="K7351"/>
      <c r="L7351"/>
    </row>
    <row r="7352" spans="2:12" x14ac:dyDescent="0.2">
      <c r="B7352"/>
      <c r="C7352"/>
      <c r="J7352"/>
      <c r="K7352"/>
      <c r="L7352"/>
    </row>
    <row r="7353" spans="2:12" x14ac:dyDescent="0.2">
      <c r="B7353"/>
      <c r="C7353"/>
      <c r="J7353"/>
      <c r="K7353"/>
      <c r="L7353"/>
    </row>
    <row r="7354" spans="2:12" x14ac:dyDescent="0.2">
      <c r="B7354"/>
      <c r="C7354"/>
      <c r="J7354"/>
      <c r="K7354"/>
      <c r="L7354"/>
    </row>
    <row r="7355" spans="2:12" x14ac:dyDescent="0.2">
      <c r="B7355"/>
      <c r="C7355"/>
      <c r="J7355"/>
      <c r="K7355"/>
      <c r="L7355"/>
    </row>
    <row r="7356" spans="2:12" x14ac:dyDescent="0.2">
      <c r="B7356"/>
      <c r="C7356"/>
      <c r="J7356"/>
      <c r="K7356"/>
      <c r="L7356"/>
    </row>
    <row r="7357" spans="2:12" x14ac:dyDescent="0.2">
      <c r="B7357"/>
      <c r="C7357"/>
      <c r="J7357"/>
      <c r="K7357"/>
      <c r="L7357"/>
    </row>
    <row r="7358" spans="2:12" x14ac:dyDescent="0.2">
      <c r="B7358"/>
      <c r="C7358"/>
      <c r="J7358"/>
      <c r="K7358"/>
      <c r="L7358"/>
    </row>
    <row r="7359" spans="2:12" x14ac:dyDescent="0.2">
      <c r="B7359"/>
      <c r="C7359"/>
      <c r="J7359"/>
      <c r="K7359"/>
      <c r="L7359"/>
    </row>
    <row r="7360" spans="2:12" x14ac:dyDescent="0.2">
      <c r="B7360"/>
      <c r="C7360"/>
      <c r="J7360"/>
      <c r="K7360"/>
      <c r="L7360"/>
    </row>
    <row r="7361" spans="2:12" x14ac:dyDescent="0.2">
      <c r="B7361"/>
      <c r="C7361"/>
      <c r="J7361"/>
      <c r="K7361"/>
      <c r="L7361"/>
    </row>
    <row r="7362" spans="2:12" x14ac:dyDescent="0.2">
      <c r="B7362"/>
      <c r="C7362"/>
      <c r="J7362"/>
      <c r="K7362"/>
      <c r="L7362"/>
    </row>
    <row r="7363" spans="2:12" x14ac:dyDescent="0.2">
      <c r="B7363"/>
      <c r="C7363"/>
      <c r="J7363"/>
      <c r="K7363"/>
      <c r="L7363"/>
    </row>
    <row r="7364" spans="2:12" x14ac:dyDescent="0.2">
      <c r="B7364"/>
      <c r="C7364"/>
      <c r="J7364"/>
      <c r="K7364"/>
      <c r="L7364"/>
    </row>
    <row r="7365" spans="2:12" x14ac:dyDescent="0.2">
      <c r="B7365"/>
      <c r="C7365"/>
      <c r="J7365"/>
      <c r="K7365"/>
      <c r="L7365"/>
    </row>
    <row r="7366" spans="2:12" x14ac:dyDescent="0.2">
      <c r="B7366"/>
      <c r="C7366"/>
      <c r="J7366"/>
      <c r="K7366"/>
      <c r="L7366"/>
    </row>
    <row r="7367" spans="2:12" x14ac:dyDescent="0.2">
      <c r="B7367"/>
      <c r="C7367"/>
      <c r="J7367"/>
      <c r="K7367"/>
      <c r="L7367"/>
    </row>
    <row r="7368" spans="2:12" x14ac:dyDescent="0.2">
      <c r="B7368"/>
      <c r="C7368"/>
      <c r="J7368"/>
      <c r="K7368"/>
      <c r="L7368"/>
    </row>
    <row r="7369" spans="2:12" x14ac:dyDescent="0.2">
      <c r="B7369"/>
      <c r="C7369"/>
      <c r="J7369"/>
      <c r="K7369"/>
      <c r="L7369"/>
    </row>
    <row r="7370" spans="2:12" x14ac:dyDescent="0.2">
      <c r="B7370"/>
      <c r="C7370"/>
      <c r="J7370"/>
      <c r="K7370"/>
      <c r="L7370"/>
    </row>
    <row r="7371" spans="2:12" x14ac:dyDescent="0.2">
      <c r="B7371"/>
      <c r="C7371"/>
      <c r="J7371"/>
      <c r="K7371"/>
      <c r="L7371"/>
    </row>
    <row r="7372" spans="2:12" x14ac:dyDescent="0.2">
      <c r="B7372"/>
      <c r="C7372"/>
      <c r="J7372"/>
      <c r="K7372"/>
      <c r="L7372"/>
    </row>
    <row r="7373" spans="2:12" x14ac:dyDescent="0.2">
      <c r="B7373"/>
      <c r="C7373"/>
      <c r="J7373"/>
      <c r="K7373"/>
      <c r="L7373"/>
    </row>
    <row r="7374" spans="2:12" x14ac:dyDescent="0.2">
      <c r="B7374"/>
      <c r="C7374"/>
      <c r="J7374"/>
      <c r="K7374"/>
      <c r="L7374"/>
    </row>
    <row r="7375" spans="2:12" x14ac:dyDescent="0.2">
      <c r="B7375"/>
      <c r="C7375"/>
      <c r="J7375"/>
      <c r="K7375"/>
      <c r="L7375"/>
    </row>
    <row r="7376" spans="2:12" x14ac:dyDescent="0.2">
      <c r="B7376"/>
      <c r="C7376"/>
      <c r="J7376"/>
      <c r="K7376"/>
      <c r="L7376"/>
    </row>
    <row r="7377" spans="2:12" x14ac:dyDescent="0.2">
      <c r="B7377"/>
      <c r="C7377"/>
      <c r="J7377"/>
      <c r="K7377"/>
      <c r="L7377"/>
    </row>
    <row r="7378" spans="2:12" x14ac:dyDescent="0.2">
      <c r="B7378"/>
      <c r="C7378"/>
      <c r="J7378"/>
      <c r="K7378"/>
      <c r="L7378"/>
    </row>
    <row r="7379" spans="2:12" x14ac:dyDescent="0.2">
      <c r="B7379"/>
      <c r="C7379"/>
      <c r="J7379"/>
      <c r="K7379"/>
      <c r="L7379"/>
    </row>
    <row r="7380" spans="2:12" x14ac:dyDescent="0.2">
      <c r="B7380"/>
      <c r="C7380"/>
      <c r="J7380"/>
      <c r="K7380"/>
      <c r="L7380"/>
    </row>
    <row r="7381" spans="2:12" x14ac:dyDescent="0.2">
      <c r="B7381"/>
      <c r="C7381"/>
      <c r="J7381"/>
      <c r="K7381"/>
      <c r="L7381"/>
    </row>
    <row r="7382" spans="2:12" x14ac:dyDescent="0.2">
      <c r="B7382"/>
      <c r="C7382"/>
      <c r="J7382"/>
      <c r="K7382"/>
      <c r="L7382"/>
    </row>
    <row r="7383" spans="2:12" x14ac:dyDescent="0.2">
      <c r="B7383"/>
      <c r="C7383"/>
      <c r="J7383"/>
      <c r="K7383"/>
      <c r="L7383"/>
    </row>
    <row r="7384" spans="2:12" x14ac:dyDescent="0.2">
      <c r="B7384"/>
      <c r="C7384"/>
      <c r="J7384"/>
      <c r="K7384"/>
      <c r="L7384"/>
    </row>
    <row r="7385" spans="2:12" x14ac:dyDescent="0.2">
      <c r="B7385"/>
      <c r="C7385"/>
      <c r="J7385"/>
      <c r="K7385"/>
      <c r="L7385"/>
    </row>
    <row r="7386" spans="2:12" x14ac:dyDescent="0.2">
      <c r="B7386"/>
      <c r="C7386"/>
      <c r="J7386"/>
      <c r="K7386"/>
      <c r="L7386"/>
    </row>
    <row r="7387" spans="2:12" x14ac:dyDescent="0.2">
      <c r="B7387"/>
      <c r="C7387"/>
      <c r="J7387"/>
      <c r="K7387"/>
      <c r="L7387"/>
    </row>
    <row r="7388" spans="2:12" x14ac:dyDescent="0.2">
      <c r="B7388"/>
      <c r="C7388"/>
      <c r="J7388"/>
      <c r="K7388"/>
      <c r="L7388"/>
    </row>
    <row r="7389" spans="2:12" x14ac:dyDescent="0.2">
      <c r="B7389"/>
      <c r="C7389"/>
      <c r="J7389"/>
      <c r="K7389"/>
      <c r="L7389"/>
    </row>
    <row r="7390" spans="2:12" x14ac:dyDescent="0.2">
      <c r="B7390"/>
      <c r="C7390"/>
      <c r="J7390"/>
      <c r="K7390"/>
      <c r="L7390"/>
    </row>
    <row r="7391" spans="2:12" x14ac:dyDescent="0.2">
      <c r="B7391"/>
      <c r="C7391"/>
      <c r="J7391"/>
      <c r="K7391"/>
      <c r="L7391"/>
    </row>
    <row r="7392" spans="2:12" x14ac:dyDescent="0.2">
      <c r="B7392"/>
      <c r="C7392"/>
      <c r="J7392"/>
      <c r="K7392"/>
      <c r="L7392"/>
    </row>
    <row r="7393" spans="2:12" x14ac:dyDescent="0.2">
      <c r="B7393"/>
      <c r="C7393"/>
      <c r="J7393"/>
      <c r="K7393"/>
      <c r="L7393"/>
    </row>
    <row r="7394" spans="2:12" x14ac:dyDescent="0.2">
      <c r="B7394"/>
      <c r="C7394"/>
      <c r="J7394"/>
      <c r="K7394"/>
      <c r="L7394"/>
    </row>
    <row r="7395" spans="2:12" x14ac:dyDescent="0.2">
      <c r="B7395"/>
      <c r="C7395"/>
      <c r="J7395"/>
      <c r="K7395"/>
      <c r="L7395"/>
    </row>
    <row r="7396" spans="2:12" x14ac:dyDescent="0.2">
      <c r="B7396"/>
      <c r="C7396"/>
      <c r="J7396"/>
      <c r="K7396"/>
      <c r="L7396"/>
    </row>
    <row r="7397" spans="2:12" x14ac:dyDescent="0.2">
      <c r="B7397"/>
      <c r="C7397"/>
      <c r="J7397"/>
      <c r="K7397"/>
      <c r="L7397"/>
    </row>
    <row r="7398" spans="2:12" x14ac:dyDescent="0.2">
      <c r="B7398"/>
      <c r="C7398"/>
      <c r="J7398"/>
      <c r="K7398"/>
      <c r="L7398"/>
    </row>
    <row r="7399" spans="2:12" x14ac:dyDescent="0.2">
      <c r="B7399"/>
      <c r="C7399"/>
      <c r="J7399"/>
      <c r="K7399"/>
      <c r="L7399"/>
    </row>
    <row r="7400" spans="2:12" x14ac:dyDescent="0.2">
      <c r="B7400"/>
      <c r="C7400"/>
      <c r="J7400"/>
      <c r="K7400"/>
      <c r="L7400"/>
    </row>
    <row r="7401" spans="2:12" x14ac:dyDescent="0.2">
      <c r="B7401"/>
      <c r="C7401"/>
      <c r="J7401"/>
      <c r="K7401"/>
      <c r="L7401"/>
    </row>
    <row r="7402" spans="2:12" x14ac:dyDescent="0.2">
      <c r="B7402"/>
      <c r="C7402"/>
      <c r="J7402"/>
      <c r="K7402"/>
      <c r="L7402"/>
    </row>
    <row r="7403" spans="2:12" x14ac:dyDescent="0.2">
      <c r="B7403"/>
      <c r="C7403"/>
      <c r="J7403"/>
      <c r="K7403"/>
      <c r="L7403"/>
    </row>
    <row r="7404" spans="2:12" x14ac:dyDescent="0.2">
      <c r="B7404"/>
      <c r="C7404"/>
      <c r="J7404"/>
      <c r="K7404"/>
      <c r="L7404"/>
    </row>
    <row r="7405" spans="2:12" x14ac:dyDescent="0.2">
      <c r="B7405"/>
      <c r="C7405"/>
      <c r="J7405"/>
      <c r="K7405"/>
      <c r="L7405"/>
    </row>
    <row r="7406" spans="2:12" x14ac:dyDescent="0.2">
      <c r="B7406"/>
      <c r="C7406"/>
      <c r="J7406"/>
      <c r="K7406"/>
      <c r="L7406"/>
    </row>
    <row r="7407" spans="2:12" x14ac:dyDescent="0.2">
      <c r="B7407"/>
      <c r="C7407"/>
      <c r="J7407"/>
      <c r="K7407"/>
      <c r="L7407"/>
    </row>
    <row r="7408" spans="2:12" x14ac:dyDescent="0.2">
      <c r="B7408"/>
      <c r="C7408"/>
      <c r="J7408"/>
      <c r="K7408"/>
      <c r="L7408"/>
    </row>
    <row r="7409" spans="2:12" x14ac:dyDescent="0.2">
      <c r="B7409"/>
      <c r="C7409"/>
      <c r="J7409"/>
      <c r="K7409"/>
      <c r="L7409"/>
    </row>
    <row r="7410" spans="2:12" x14ac:dyDescent="0.2">
      <c r="B7410"/>
      <c r="C7410"/>
      <c r="J7410"/>
      <c r="K7410"/>
      <c r="L7410"/>
    </row>
    <row r="7411" spans="2:12" x14ac:dyDescent="0.2">
      <c r="B7411"/>
      <c r="C7411"/>
      <c r="J7411"/>
      <c r="K7411"/>
      <c r="L7411"/>
    </row>
    <row r="7412" spans="2:12" x14ac:dyDescent="0.2">
      <c r="B7412"/>
      <c r="C7412"/>
      <c r="J7412"/>
      <c r="K7412"/>
      <c r="L7412"/>
    </row>
    <row r="7413" spans="2:12" x14ac:dyDescent="0.2">
      <c r="B7413"/>
      <c r="C7413"/>
      <c r="J7413"/>
      <c r="K7413"/>
      <c r="L7413"/>
    </row>
    <row r="7414" spans="2:12" x14ac:dyDescent="0.2">
      <c r="B7414"/>
      <c r="C7414"/>
      <c r="J7414"/>
      <c r="K7414"/>
      <c r="L7414"/>
    </row>
    <row r="7415" spans="2:12" x14ac:dyDescent="0.2">
      <c r="B7415"/>
      <c r="C7415"/>
      <c r="J7415"/>
      <c r="K7415"/>
      <c r="L7415"/>
    </row>
    <row r="7416" spans="2:12" x14ac:dyDescent="0.2">
      <c r="B7416"/>
      <c r="C7416"/>
      <c r="J7416"/>
      <c r="K7416"/>
      <c r="L7416"/>
    </row>
    <row r="7417" spans="2:12" x14ac:dyDescent="0.2">
      <c r="B7417"/>
      <c r="C7417"/>
      <c r="J7417"/>
      <c r="K7417"/>
      <c r="L7417"/>
    </row>
    <row r="7418" spans="2:12" x14ac:dyDescent="0.2">
      <c r="B7418"/>
      <c r="C7418"/>
      <c r="J7418"/>
      <c r="K7418"/>
      <c r="L7418"/>
    </row>
    <row r="7419" spans="2:12" x14ac:dyDescent="0.2">
      <c r="B7419"/>
      <c r="C7419"/>
      <c r="J7419"/>
      <c r="K7419"/>
      <c r="L7419"/>
    </row>
    <row r="7420" spans="2:12" x14ac:dyDescent="0.2">
      <c r="B7420"/>
      <c r="C7420"/>
      <c r="J7420"/>
      <c r="K7420"/>
      <c r="L7420"/>
    </row>
    <row r="7421" spans="2:12" x14ac:dyDescent="0.2">
      <c r="B7421"/>
      <c r="C7421"/>
      <c r="J7421"/>
      <c r="K7421"/>
      <c r="L7421"/>
    </row>
    <row r="7422" spans="2:12" x14ac:dyDescent="0.2">
      <c r="B7422"/>
      <c r="C7422"/>
      <c r="J7422"/>
      <c r="K7422"/>
      <c r="L7422"/>
    </row>
    <row r="7423" spans="2:12" x14ac:dyDescent="0.2">
      <c r="B7423"/>
      <c r="C7423"/>
      <c r="J7423"/>
      <c r="K7423"/>
      <c r="L7423"/>
    </row>
    <row r="7424" spans="2:12" x14ac:dyDescent="0.2">
      <c r="B7424"/>
      <c r="C7424"/>
      <c r="J7424"/>
      <c r="K7424"/>
      <c r="L7424"/>
    </row>
    <row r="7425" spans="2:12" x14ac:dyDescent="0.2">
      <c r="B7425"/>
      <c r="C7425"/>
      <c r="J7425"/>
      <c r="K7425"/>
      <c r="L7425"/>
    </row>
    <row r="7426" spans="2:12" x14ac:dyDescent="0.2">
      <c r="B7426"/>
      <c r="C7426"/>
      <c r="J7426"/>
      <c r="K7426"/>
      <c r="L7426"/>
    </row>
    <row r="7427" spans="2:12" x14ac:dyDescent="0.2">
      <c r="B7427"/>
      <c r="C7427"/>
      <c r="J7427"/>
      <c r="K7427"/>
      <c r="L7427"/>
    </row>
    <row r="7428" spans="2:12" x14ac:dyDescent="0.2">
      <c r="B7428"/>
      <c r="C7428"/>
      <c r="J7428"/>
      <c r="K7428"/>
      <c r="L7428"/>
    </row>
    <row r="7429" spans="2:12" x14ac:dyDescent="0.2">
      <c r="B7429"/>
      <c r="C7429"/>
      <c r="J7429"/>
      <c r="K7429"/>
      <c r="L7429"/>
    </row>
    <row r="7430" spans="2:12" x14ac:dyDescent="0.2">
      <c r="B7430"/>
      <c r="C7430"/>
      <c r="J7430"/>
      <c r="K7430"/>
      <c r="L7430"/>
    </row>
    <row r="7431" spans="2:12" x14ac:dyDescent="0.2">
      <c r="B7431"/>
      <c r="C7431"/>
      <c r="J7431"/>
      <c r="K7431"/>
      <c r="L7431"/>
    </row>
    <row r="7432" spans="2:12" x14ac:dyDescent="0.2">
      <c r="B7432"/>
      <c r="C7432"/>
      <c r="J7432"/>
      <c r="K7432"/>
      <c r="L7432"/>
    </row>
    <row r="7433" spans="2:12" x14ac:dyDescent="0.2">
      <c r="B7433"/>
      <c r="C7433"/>
      <c r="J7433"/>
      <c r="K7433"/>
      <c r="L7433"/>
    </row>
    <row r="7434" spans="2:12" x14ac:dyDescent="0.2">
      <c r="B7434"/>
      <c r="C7434"/>
      <c r="J7434"/>
      <c r="K7434"/>
      <c r="L7434"/>
    </row>
    <row r="7435" spans="2:12" x14ac:dyDescent="0.2">
      <c r="B7435"/>
      <c r="C7435"/>
      <c r="J7435"/>
      <c r="K7435"/>
      <c r="L7435"/>
    </row>
    <row r="7436" spans="2:12" x14ac:dyDescent="0.2">
      <c r="B7436"/>
      <c r="C7436"/>
      <c r="J7436"/>
      <c r="K7436"/>
      <c r="L7436"/>
    </row>
    <row r="7437" spans="2:12" x14ac:dyDescent="0.2">
      <c r="B7437"/>
      <c r="C7437"/>
      <c r="J7437"/>
      <c r="K7437"/>
      <c r="L7437"/>
    </row>
    <row r="7438" spans="2:12" x14ac:dyDescent="0.2">
      <c r="B7438"/>
      <c r="C7438"/>
      <c r="J7438"/>
      <c r="K7438"/>
      <c r="L7438"/>
    </row>
    <row r="7439" spans="2:12" x14ac:dyDescent="0.2">
      <c r="B7439"/>
      <c r="C7439"/>
      <c r="J7439"/>
      <c r="K7439"/>
      <c r="L7439"/>
    </row>
    <row r="7440" spans="2:12" x14ac:dyDescent="0.2">
      <c r="B7440"/>
      <c r="C7440"/>
      <c r="J7440"/>
      <c r="K7440"/>
      <c r="L7440"/>
    </row>
    <row r="7441" spans="2:12" x14ac:dyDescent="0.2">
      <c r="B7441"/>
      <c r="C7441"/>
      <c r="J7441"/>
      <c r="K7441"/>
      <c r="L7441"/>
    </row>
    <row r="7442" spans="2:12" x14ac:dyDescent="0.2">
      <c r="B7442"/>
      <c r="C7442"/>
      <c r="J7442"/>
      <c r="K7442"/>
      <c r="L7442"/>
    </row>
    <row r="7443" spans="2:12" x14ac:dyDescent="0.2">
      <c r="B7443"/>
      <c r="C7443"/>
      <c r="J7443"/>
      <c r="K7443"/>
      <c r="L7443"/>
    </row>
    <row r="7444" spans="2:12" x14ac:dyDescent="0.2">
      <c r="B7444"/>
      <c r="C7444"/>
      <c r="J7444"/>
      <c r="K7444"/>
      <c r="L7444"/>
    </row>
    <row r="7445" spans="2:12" x14ac:dyDescent="0.2">
      <c r="B7445"/>
      <c r="C7445"/>
      <c r="J7445"/>
      <c r="K7445"/>
      <c r="L7445"/>
    </row>
    <row r="7446" spans="2:12" x14ac:dyDescent="0.2">
      <c r="B7446"/>
      <c r="C7446"/>
      <c r="J7446"/>
      <c r="K7446"/>
      <c r="L7446"/>
    </row>
    <row r="7447" spans="2:12" x14ac:dyDescent="0.2">
      <c r="B7447"/>
      <c r="C7447"/>
      <c r="J7447"/>
      <c r="K7447"/>
      <c r="L7447"/>
    </row>
    <row r="7448" spans="2:12" x14ac:dyDescent="0.2">
      <c r="B7448"/>
      <c r="C7448"/>
      <c r="J7448"/>
      <c r="K7448"/>
      <c r="L7448"/>
    </row>
    <row r="7449" spans="2:12" x14ac:dyDescent="0.2">
      <c r="B7449"/>
      <c r="C7449"/>
      <c r="J7449"/>
      <c r="K7449"/>
      <c r="L7449"/>
    </row>
    <row r="7450" spans="2:12" x14ac:dyDescent="0.2">
      <c r="B7450"/>
      <c r="C7450"/>
      <c r="J7450"/>
      <c r="K7450"/>
      <c r="L7450"/>
    </row>
    <row r="7451" spans="2:12" x14ac:dyDescent="0.2">
      <c r="B7451"/>
      <c r="C7451"/>
      <c r="J7451"/>
      <c r="K7451"/>
      <c r="L7451"/>
    </row>
    <row r="7452" spans="2:12" x14ac:dyDescent="0.2">
      <c r="B7452"/>
      <c r="C7452"/>
      <c r="J7452"/>
      <c r="K7452"/>
      <c r="L7452"/>
    </row>
    <row r="7453" spans="2:12" x14ac:dyDescent="0.2">
      <c r="B7453"/>
      <c r="C7453"/>
      <c r="J7453"/>
      <c r="K7453"/>
      <c r="L7453"/>
    </row>
    <row r="7454" spans="2:12" x14ac:dyDescent="0.2">
      <c r="B7454"/>
      <c r="C7454"/>
      <c r="J7454"/>
      <c r="K7454"/>
      <c r="L7454"/>
    </row>
    <row r="7455" spans="2:12" x14ac:dyDescent="0.2">
      <c r="B7455"/>
      <c r="C7455"/>
      <c r="J7455"/>
      <c r="K7455"/>
      <c r="L7455"/>
    </row>
    <row r="7456" spans="2:12" x14ac:dyDescent="0.2">
      <c r="B7456"/>
      <c r="C7456"/>
      <c r="J7456"/>
      <c r="K7456"/>
      <c r="L7456"/>
    </row>
    <row r="7457" spans="2:12" x14ac:dyDescent="0.2">
      <c r="B7457"/>
      <c r="C7457"/>
      <c r="J7457"/>
      <c r="K7457"/>
      <c r="L7457"/>
    </row>
    <row r="7458" spans="2:12" x14ac:dyDescent="0.2">
      <c r="B7458"/>
      <c r="C7458"/>
      <c r="J7458"/>
      <c r="K7458"/>
      <c r="L7458"/>
    </row>
    <row r="7459" spans="2:12" x14ac:dyDescent="0.2">
      <c r="B7459"/>
      <c r="C7459"/>
      <c r="J7459"/>
      <c r="K7459"/>
      <c r="L7459"/>
    </row>
    <row r="7460" spans="2:12" x14ac:dyDescent="0.2">
      <c r="B7460"/>
      <c r="C7460"/>
      <c r="J7460"/>
      <c r="K7460"/>
      <c r="L7460"/>
    </row>
    <row r="7461" spans="2:12" x14ac:dyDescent="0.2">
      <c r="B7461"/>
      <c r="C7461"/>
      <c r="J7461"/>
      <c r="K7461"/>
      <c r="L7461"/>
    </row>
    <row r="7462" spans="2:12" x14ac:dyDescent="0.2">
      <c r="B7462"/>
      <c r="C7462"/>
      <c r="J7462"/>
      <c r="K7462"/>
      <c r="L7462"/>
    </row>
    <row r="7463" spans="2:12" x14ac:dyDescent="0.2">
      <c r="B7463"/>
      <c r="C7463"/>
      <c r="J7463"/>
      <c r="K7463"/>
      <c r="L7463"/>
    </row>
    <row r="7464" spans="2:12" x14ac:dyDescent="0.2">
      <c r="B7464"/>
      <c r="C7464"/>
      <c r="J7464"/>
      <c r="K7464"/>
      <c r="L7464"/>
    </row>
    <row r="7465" spans="2:12" x14ac:dyDescent="0.2">
      <c r="B7465"/>
      <c r="C7465"/>
      <c r="J7465"/>
      <c r="K7465"/>
      <c r="L7465"/>
    </row>
    <row r="7466" spans="2:12" x14ac:dyDescent="0.2">
      <c r="B7466"/>
      <c r="C7466"/>
      <c r="J7466"/>
      <c r="K7466"/>
      <c r="L7466"/>
    </row>
    <row r="7467" spans="2:12" x14ac:dyDescent="0.2">
      <c r="B7467"/>
      <c r="C7467"/>
      <c r="J7467"/>
      <c r="K7467"/>
      <c r="L7467"/>
    </row>
    <row r="7468" spans="2:12" x14ac:dyDescent="0.2">
      <c r="B7468"/>
      <c r="C7468"/>
      <c r="J7468"/>
      <c r="K7468"/>
      <c r="L7468"/>
    </row>
    <row r="7469" spans="2:12" x14ac:dyDescent="0.2">
      <c r="B7469"/>
      <c r="C7469"/>
      <c r="J7469"/>
      <c r="K7469"/>
      <c r="L7469"/>
    </row>
    <row r="7470" spans="2:12" x14ac:dyDescent="0.2">
      <c r="B7470"/>
      <c r="C7470"/>
      <c r="J7470"/>
      <c r="K7470"/>
      <c r="L7470"/>
    </row>
    <row r="7471" spans="2:12" x14ac:dyDescent="0.2">
      <c r="B7471"/>
      <c r="C7471"/>
      <c r="J7471"/>
      <c r="K7471"/>
      <c r="L7471"/>
    </row>
    <row r="7472" spans="2:12" x14ac:dyDescent="0.2">
      <c r="B7472"/>
      <c r="C7472"/>
      <c r="J7472"/>
      <c r="K7472"/>
      <c r="L7472"/>
    </row>
    <row r="7473" spans="2:12" x14ac:dyDescent="0.2">
      <c r="B7473"/>
      <c r="C7473"/>
      <c r="J7473"/>
      <c r="K7473"/>
      <c r="L7473"/>
    </row>
    <row r="7474" spans="2:12" x14ac:dyDescent="0.2">
      <c r="B7474"/>
      <c r="C7474"/>
      <c r="J7474"/>
      <c r="K7474"/>
      <c r="L7474"/>
    </row>
    <row r="7475" spans="2:12" x14ac:dyDescent="0.2">
      <c r="B7475"/>
      <c r="C7475"/>
      <c r="J7475"/>
      <c r="K7475"/>
      <c r="L7475"/>
    </row>
    <row r="7476" spans="2:12" x14ac:dyDescent="0.2">
      <c r="B7476"/>
      <c r="C7476"/>
      <c r="J7476"/>
      <c r="K7476"/>
      <c r="L7476"/>
    </row>
    <row r="7477" spans="2:12" x14ac:dyDescent="0.2">
      <c r="B7477"/>
      <c r="C7477"/>
      <c r="J7477"/>
      <c r="K7477"/>
      <c r="L7477"/>
    </row>
    <row r="7478" spans="2:12" x14ac:dyDescent="0.2">
      <c r="B7478"/>
      <c r="C7478"/>
      <c r="J7478"/>
      <c r="K7478"/>
      <c r="L7478"/>
    </row>
    <row r="7479" spans="2:12" x14ac:dyDescent="0.2">
      <c r="B7479"/>
      <c r="C7479"/>
      <c r="J7479"/>
      <c r="K7479"/>
      <c r="L7479"/>
    </row>
    <row r="7480" spans="2:12" x14ac:dyDescent="0.2">
      <c r="B7480"/>
      <c r="C7480"/>
      <c r="J7480"/>
      <c r="K7480"/>
      <c r="L7480"/>
    </row>
    <row r="7481" spans="2:12" x14ac:dyDescent="0.2">
      <c r="B7481"/>
      <c r="C7481"/>
      <c r="J7481"/>
      <c r="K7481"/>
      <c r="L7481"/>
    </row>
    <row r="7482" spans="2:12" x14ac:dyDescent="0.2">
      <c r="B7482"/>
      <c r="C7482"/>
      <c r="J7482"/>
      <c r="K7482"/>
      <c r="L7482"/>
    </row>
    <row r="7483" spans="2:12" x14ac:dyDescent="0.2">
      <c r="B7483"/>
      <c r="C7483"/>
      <c r="J7483"/>
      <c r="K7483"/>
      <c r="L7483"/>
    </row>
    <row r="7484" spans="2:12" x14ac:dyDescent="0.2">
      <c r="B7484"/>
      <c r="C7484"/>
      <c r="J7484"/>
      <c r="K7484"/>
      <c r="L7484"/>
    </row>
    <row r="7485" spans="2:12" x14ac:dyDescent="0.2">
      <c r="B7485"/>
      <c r="C7485"/>
      <c r="J7485"/>
      <c r="K7485"/>
      <c r="L7485"/>
    </row>
    <row r="7486" spans="2:12" x14ac:dyDescent="0.2">
      <c r="B7486"/>
      <c r="C7486"/>
      <c r="J7486"/>
      <c r="K7486"/>
      <c r="L7486"/>
    </row>
    <row r="7487" spans="2:12" x14ac:dyDescent="0.2">
      <c r="B7487"/>
      <c r="C7487"/>
      <c r="J7487"/>
      <c r="K7487"/>
      <c r="L7487"/>
    </row>
    <row r="7488" spans="2:12" x14ac:dyDescent="0.2">
      <c r="B7488"/>
      <c r="C7488"/>
      <c r="J7488"/>
      <c r="K7488"/>
      <c r="L7488"/>
    </row>
    <row r="7489" spans="2:12" x14ac:dyDescent="0.2">
      <c r="B7489"/>
      <c r="C7489"/>
      <c r="J7489"/>
      <c r="K7489"/>
      <c r="L7489"/>
    </row>
    <row r="7490" spans="2:12" x14ac:dyDescent="0.2">
      <c r="B7490"/>
      <c r="C7490"/>
      <c r="J7490"/>
      <c r="K7490"/>
      <c r="L7490"/>
    </row>
    <row r="7491" spans="2:12" x14ac:dyDescent="0.2">
      <c r="B7491"/>
      <c r="C7491"/>
      <c r="J7491"/>
      <c r="K7491"/>
      <c r="L7491"/>
    </row>
    <row r="7492" spans="2:12" x14ac:dyDescent="0.2">
      <c r="B7492"/>
      <c r="C7492"/>
      <c r="J7492"/>
      <c r="K7492"/>
      <c r="L7492"/>
    </row>
    <row r="7493" spans="2:12" x14ac:dyDescent="0.2">
      <c r="B7493"/>
      <c r="C7493"/>
      <c r="J7493"/>
      <c r="K7493"/>
      <c r="L7493"/>
    </row>
    <row r="7494" spans="2:12" x14ac:dyDescent="0.2">
      <c r="B7494"/>
      <c r="C7494"/>
      <c r="J7494"/>
      <c r="K7494"/>
      <c r="L7494"/>
    </row>
    <row r="7495" spans="2:12" x14ac:dyDescent="0.2">
      <c r="B7495"/>
      <c r="C7495"/>
      <c r="J7495"/>
      <c r="K7495"/>
      <c r="L7495"/>
    </row>
    <row r="7496" spans="2:12" x14ac:dyDescent="0.2">
      <c r="B7496"/>
      <c r="C7496"/>
      <c r="J7496"/>
      <c r="K7496"/>
      <c r="L7496"/>
    </row>
    <row r="7497" spans="2:12" x14ac:dyDescent="0.2">
      <c r="B7497"/>
      <c r="C7497"/>
      <c r="J7497"/>
      <c r="K7497"/>
      <c r="L7497"/>
    </row>
    <row r="7498" spans="2:12" x14ac:dyDescent="0.2">
      <c r="B7498"/>
      <c r="C7498"/>
      <c r="J7498"/>
      <c r="K7498"/>
      <c r="L7498"/>
    </row>
    <row r="7499" spans="2:12" x14ac:dyDescent="0.2">
      <c r="B7499"/>
      <c r="C7499"/>
      <c r="J7499"/>
      <c r="K7499"/>
      <c r="L7499"/>
    </row>
    <row r="7500" spans="2:12" x14ac:dyDescent="0.2">
      <c r="B7500"/>
      <c r="C7500"/>
      <c r="J7500"/>
      <c r="K7500"/>
      <c r="L7500"/>
    </row>
    <row r="7501" spans="2:12" x14ac:dyDescent="0.2">
      <c r="B7501"/>
      <c r="C7501"/>
      <c r="J7501"/>
      <c r="K7501"/>
      <c r="L7501"/>
    </row>
    <row r="7502" spans="2:12" x14ac:dyDescent="0.2">
      <c r="B7502"/>
      <c r="C7502"/>
      <c r="J7502"/>
      <c r="K7502"/>
      <c r="L7502"/>
    </row>
    <row r="7503" spans="2:12" x14ac:dyDescent="0.2">
      <c r="B7503"/>
      <c r="C7503"/>
      <c r="J7503"/>
      <c r="K7503"/>
      <c r="L7503"/>
    </row>
    <row r="7504" spans="2:12" x14ac:dyDescent="0.2">
      <c r="B7504"/>
      <c r="C7504"/>
      <c r="J7504"/>
      <c r="K7504"/>
      <c r="L7504"/>
    </row>
    <row r="7505" spans="2:12" x14ac:dyDescent="0.2">
      <c r="B7505"/>
      <c r="C7505"/>
      <c r="J7505"/>
      <c r="K7505"/>
      <c r="L7505"/>
    </row>
    <row r="7506" spans="2:12" x14ac:dyDescent="0.2">
      <c r="B7506"/>
      <c r="C7506"/>
      <c r="J7506"/>
      <c r="K7506"/>
      <c r="L7506"/>
    </row>
    <row r="7507" spans="2:12" x14ac:dyDescent="0.2">
      <c r="B7507"/>
      <c r="C7507"/>
      <c r="J7507"/>
      <c r="K7507"/>
      <c r="L7507"/>
    </row>
    <row r="7508" spans="2:12" x14ac:dyDescent="0.2">
      <c r="B7508"/>
      <c r="C7508"/>
      <c r="J7508"/>
      <c r="K7508"/>
      <c r="L7508"/>
    </row>
    <row r="7509" spans="2:12" x14ac:dyDescent="0.2">
      <c r="B7509"/>
      <c r="C7509"/>
      <c r="J7509"/>
      <c r="K7509"/>
      <c r="L7509"/>
    </row>
    <row r="7510" spans="2:12" x14ac:dyDescent="0.2">
      <c r="B7510"/>
      <c r="C7510"/>
      <c r="J7510"/>
      <c r="K7510"/>
      <c r="L7510"/>
    </row>
    <row r="7511" spans="2:12" x14ac:dyDescent="0.2">
      <c r="B7511"/>
      <c r="C7511"/>
      <c r="J7511"/>
      <c r="K7511"/>
      <c r="L7511"/>
    </row>
    <row r="7512" spans="2:12" x14ac:dyDescent="0.2">
      <c r="B7512"/>
      <c r="C7512"/>
      <c r="J7512"/>
      <c r="K7512"/>
      <c r="L7512"/>
    </row>
    <row r="7513" spans="2:12" x14ac:dyDescent="0.2">
      <c r="B7513"/>
      <c r="C7513"/>
      <c r="J7513"/>
      <c r="K7513"/>
      <c r="L7513"/>
    </row>
    <row r="7514" spans="2:12" x14ac:dyDescent="0.2">
      <c r="B7514"/>
      <c r="C7514"/>
      <c r="J7514"/>
      <c r="K7514"/>
      <c r="L7514"/>
    </row>
    <row r="7515" spans="2:12" x14ac:dyDescent="0.2">
      <c r="B7515"/>
      <c r="C7515"/>
      <c r="J7515"/>
      <c r="K7515"/>
      <c r="L7515"/>
    </row>
    <row r="7516" spans="2:12" x14ac:dyDescent="0.2">
      <c r="B7516"/>
      <c r="C7516"/>
      <c r="J7516"/>
      <c r="K7516"/>
      <c r="L7516"/>
    </row>
    <row r="7517" spans="2:12" x14ac:dyDescent="0.2">
      <c r="B7517"/>
      <c r="C7517"/>
      <c r="J7517"/>
      <c r="K7517"/>
      <c r="L7517"/>
    </row>
    <row r="7518" spans="2:12" x14ac:dyDescent="0.2">
      <c r="B7518"/>
      <c r="C7518"/>
      <c r="J7518"/>
      <c r="K7518"/>
      <c r="L7518"/>
    </row>
    <row r="7519" spans="2:12" x14ac:dyDescent="0.2">
      <c r="B7519"/>
      <c r="C7519"/>
      <c r="J7519"/>
      <c r="K7519"/>
      <c r="L7519"/>
    </row>
    <row r="7520" spans="2:12" x14ac:dyDescent="0.2">
      <c r="B7520"/>
      <c r="C7520"/>
      <c r="J7520"/>
      <c r="K7520"/>
      <c r="L7520"/>
    </row>
    <row r="7521" spans="2:12" x14ac:dyDescent="0.2">
      <c r="B7521"/>
      <c r="C7521"/>
      <c r="J7521"/>
      <c r="K7521"/>
      <c r="L7521"/>
    </row>
    <row r="7522" spans="2:12" x14ac:dyDescent="0.2">
      <c r="B7522"/>
      <c r="C7522"/>
      <c r="J7522"/>
      <c r="K7522"/>
      <c r="L7522"/>
    </row>
    <row r="7523" spans="2:12" x14ac:dyDescent="0.2">
      <c r="B7523"/>
      <c r="C7523"/>
      <c r="J7523"/>
      <c r="K7523"/>
      <c r="L7523"/>
    </row>
    <row r="7524" spans="2:12" x14ac:dyDescent="0.2">
      <c r="B7524"/>
      <c r="C7524"/>
      <c r="J7524"/>
      <c r="K7524"/>
      <c r="L7524"/>
    </row>
    <row r="7525" spans="2:12" x14ac:dyDescent="0.2">
      <c r="B7525"/>
      <c r="C7525"/>
      <c r="J7525"/>
      <c r="K7525"/>
      <c r="L7525"/>
    </row>
    <row r="7526" spans="2:12" x14ac:dyDescent="0.2">
      <c r="B7526"/>
      <c r="C7526"/>
      <c r="J7526"/>
      <c r="K7526"/>
      <c r="L7526"/>
    </row>
    <row r="7527" spans="2:12" x14ac:dyDescent="0.2">
      <c r="B7527"/>
      <c r="C7527"/>
      <c r="J7527"/>
      <c r="K7527"/>
      <c r="L7527"/>
    </row>
    <row r="7528" spans="2:12" x14ac:dyDescent="0.2">
      <c r="B7528"/>
      <c r="C7528"/>
      <c r="J7528"/>
      <c r="K7528"/>
      <c r="L7528"/>
    </row>
    <row r="7529" spans="2:12" x14ac:dyDescent="0.2">
      <c r="B7529"/>
      <c r="C7529"/>
      <c r="J7529"/>
      <c r="K7529"/>
      <c r="L7529"/>
    </row>
    <row r="7530" spans="2:12" x14ac:dyDescent="0.2">
      <c r="B7530"/>
      <c r="C7530"/>
      <c r="J7530"/>
      <c r="K7530"/>
      <c r="L7530"/>
    </row>
    <row r="7531" spans="2:12" x14ac:dyDescent="0.2">
      <c r="B7531"/>
      <c r="C7531"/>
      <c r="J7531"/>
      <c r="K7531"/>
      <c r="L7531"/>
    </row>
    <row r="7532" spans="2:12" x14ac:dyDescent="0.2">
      <c r="B7532"/>
      <c r="C7532"/>
      <c r="J7532"/>
      <c r="K7532"/>
      <c r="L7532"/>
    </row>
    <row r="7533" spans="2:12" x14ac:dyDescent="0.2">
      <c r="B7533"/>
      <c r="C7533"/>
      <c r="J7533"/>
      <c r="K7533"/>
      <c r="L7533"/>
    </row>
    <row r="7534" spans="2:12" x14ac:dyDescent="0.2">
      <c r="B7534"/>
      <c r="C7534"/>
      <c r="J7534"/>
      <c r="K7534"/>
      <c r="L7534"/>
    </row>
    <row r="7535" spans="2:12" x14ac:dyDescent="0.2">
      <c r="B7535"/>
      <c r="C7535"/>
      <c r="J7535"/>
      <c r="K7535"/>
      <c r="L7535"/>
    </row>
    <row r="7536" spans="2:12" x14ac:dyDescent="0.2">
      <c r="B7536"/>
      <c r="C7536"/>
      <c r="J7536"/>
      <c r="K7536"/>
      <c r="L7536"/>
    </row>
    <row r="7537" spans="2:12" x14ac:dyDescent="0.2">
      <c r="B7537"/>
      <c r="C7537"/>
      <c r="J7537"/>
      <c r="K7537"/>
      <c r="L7537"/>
    </row>
    <row r="7538" spans="2:12" x14ac:dyDescent="0.2">
      <c r="B7538"/>
      <c r="C7538"/>
      <c r="J7538"/>
      <c r="K7538"/>
      <c r="L7538"/>
    </row>
    <row r="7539" spans="2:12" x14ac:dyDescent="0.2">
      <c r="B7539"/>
      <c r="C7539"/>
      <c r="J7539"/>
      <c r="K7539"/>
      <c r="L7539"/>
    </row>
    <row r="7540" spans="2:12" x14ac:dyDescent="0.2">
      <c r="B7540"/>
      <c r="C7540"/>
      <c r="J7540"/>
      <c r="K7540"/>
      <c r="L7540"/>
    </row>
    <row r="7541" spans="2:12" x14ac:dyDescent="0.2">
      <c r="B7541"/>
      <c r="C7541"/>
      <c r="J7541"/>
      <c r="K7541"/>
      <c r="L7541"/>
    </row>
    <row r="7542" spans="2:12" x14ac:dyDescent="0.2">
      <c r="B7542"/>
      <c r="C7542"/>
      <c r="J7542"/>
      <c r="K7542"/>
      <c r="L7542"/>
    </row>
    <row r="7543" spans="2:12" x14ac:dyDescent="0.2">
      <c r="B7543"/>
      <c r="C7543"/>
      <c r="J7543"/>
      <c r="K7543"/>
      <c r="L7543"/>
    </row>
    <row r="7544" spans="2:12" x14ac:dyDescent="0.2">
      <c r="B7544"/>
      <c r="C7544"/>
      <c r="J7544"/>
      <c r="K7544"/>
      <c r="L7544"/>
    </row>
    <row r="7545" spans="2:12" x14ac:dyDescent="0.2">
      <c r="B7545"/>
      <c r="C7545"/>
      <c r="J7545"/>
      <c r="K7545"/>
      <c r="L7545"/>
    </row>
    <row r="7546" spans="2:12" x14ac:dyDescent="0.2">
      <c r="B7546"/>
      <c r="C7546"/>
      <c r="J7546"/>
      <c r="K7546"/>
      <c r="L7546"/>
    </row>
    <row r="7547" spans="2:12" x14ac:dyDescent="0.2">
      <c r="B7547"/>
      <c r="C7547"/>
      <c r="J7547"/>
      <c r="K7547"/>
      <c r="L7547"/>
    </row>
    <row r="7548" spans="2:12" x14ac:dyDescent="0.2">
      <c r="B7548"/>
      <c r="C7548"/>
      <c r="J7548"/>
      <c r="K7548"/>
      <c r="L7548"/>
    </row>
    <row r="7549" spans="2:12" x14ac:dyDescent="0.2">
      <c r="B7549"/>
      <c r="C7549"/>
      <c r="J7549"/>
      <c r="K7549"/>
      <c r="L7549"/>
    </row>
    <row r="7550" spans="2:12" x14ac:dyDescent="0.2">
      <c r="B7550"/>
      <c r="C7550"/>
      <c r="J7550"/>
      <c r="K7550"/>
      <c r="L7550"/>
    </row>
    <row r="7551" spans="2:12" x14ac:dyDescent="0.2">
      <c r="B7551"/>
      <c r="C7551"/>
      <c r="J7551"/>
      <c r="K7551"/>
      <c r="L7551"/>
    </row>
    <row r="7552" spans="2:12" x14ac:dyDescent="0.2">
      <c r="B7552"/>
      <c r="C7552"/>
      <c r="J7552"/>
      <c r="K7552"/>
      <c r="L7552"/>
    </row>
    <row r="7553" spans="2:12" x14ac:dyDescent="0.2">
      <c r="B7553"/>
      <c r="C7553"/>
      <c r="J7553"/>
      <c r="K7553"/>
      <c r="L7553"/>
    </row>
    <row r="7554" spans="2:12" x14ac:dyDescent="0.2">
      <c r="B7554"/>
      <c r="C7554"/>
      <c r="J7554"/>
      <c r="K7554"/>
      <c r="L7554"/>
    </row>
    <row r="7555" spans="2:12" x14ac:dyDescent="0.2">
      <c r="B7555"/>
      <c r="C7555"/>
      <c r="J7555"/>
      <c r="K7555"/>
      <c r="L7555"/>
    </row>
    <row r="7556" spans="2:12" x14ac:dyDescent="0.2">
      <c r="B7556"/>
      <c r="C7556"/>
      <c r="J7556"/>
      <c r="K7556"/>
      <c r="L7556"/>
    </row>
    <row r="7557" spans="2:12" x14ac:dyDescent="0.2">
      <c r="B7557"/>
      <c r="C7557"/>
      <c r="J7557"/>
      <c r="K7557"/>
      <c r="L7557"/>
    </row>
    <row r="7558" spans="2:12" x14ac:dyDescent="0.2">
      <c r="B7558"/>
      <c r="C7558"/>
      <c r="J7558"/>
      <c r="K7558"/>
      <c r="L7558"/>
    </row>
    <row r="7559" spans="2:12" x14ac:dyDescent="0.2">
      <c r="B7559"/>
      <c r="C7559"/>
      <c r="J7559"/>
      <c r="K7559"/>
      <c r="L7559"/>
    </row>
    <row r="7560" spans="2:12" x14ac:dyDescent="0.2">
      <c r="B7560"/>
      <c r="C7560"/>
      <c r="J7560"/>
      <c r="K7560"/>
      <c r="L7560"/>
    </row>
    <row r="7561" spans="2:12" x14ac:dyDescent="0.2">
      <c r="B7561"/>
      <c r="C7561"/>
      <c r="J7561"/>
      <c r="K7561"/>
      <c r="L7561"/>
    </row>
    <row r="7562" spans="2:12" x14ac:dyDescent="0.2">
      <c r="B7562"/>
      <c r="C7562"/>
      <c r="J7562"/>
      <c r="K7562"/>
      <c r="L7562"/>
    </row>
    <row r="7563" spans="2:12" x14ac:dyDescent="0.2">
      <c r="B7563"/>
      <c r="C7563"/>
      <c r="J7563"/>
      <c r="K7563"/>
      <c r="L7563"/>
    </row>
    <row r="7564" spans="2:12" x14ac:dyDescent="0.2">
      <c r="B7564"/>
      <c r="C7564"/>
      <c r="J7564"/>
      <c r="K7564"/>
      <c r="L7564"/>
    </row>
    <row r="7565" spans="2:12" x14ac:dyDescent="0.2">
      <c r="B7565"/>
      <c r="C7565"/>
      <c r="J7565"/>
      <c r="K7565"/>
      <c r="L7565"/>
    </row>
    <row r="7566" spans="2:12" x14ac:dyDescent="0.2">
      <c r="B7566"/>
      <c r="C7566"/>
      <c r="J7566"/>
      <c r="K7566"/>
      <c r="L7566"/>
    </row>
    <row r="7567" spans="2:12" x14ac:dyDescent="0.2">
      <c r="B7567"/>
      <c r="C7567"/>
      <c r="J7567"/>
      <c r="K7567"/>
      <c r="L7567"/>
    </row>
    <row r="7568" spans="2:12" x14ac:dyDescent="0.2">
      <c r="B7568"/>
      <c r="C7568"/>
      <c r="J7568"/>
      <c r="K7568"/>
      <c r="L7568"/>
    </row>
    <row r="7569" spans="2:12" x14ac:dyDescent="0.2">
      <c r="B7569"/>
      <c r="C7569"/>
      <c r="J7569"/>
      <c r="K7569"/>
      <c r="L7569"/>
    </row>
    <row r="7570" spans="2:12" x14ac:dyDescent="0.2">
      <c r="B7570"/>
      <c r="C7570"/>
      <c r="J7570"/>
      <c r="K7570"/>
      <c r="L7570"/>
    </row>
    <row r="7571" spans="2:12" x14ac:dyDescent="0.2">
      <c r="B7571"/>
      <c r="C7571"/>
      <c r="J7571"/>
      <c r="K7571"/>
      <c r="L7571"/>
    </row>
    <row r="7572" spans="2:12" x14ac:dyDescent="0.2">
      <c r="B7572"/>
      <c r="C7572"/>
      <c r="J7572"/>
      <c r="K7572"/>
      <c r="L7572"/>
    </row>
    <row r="7573" spans="2:12" x14ac:dyDescent="0.2">
      <c r="B7573"/>
      <c r="C7573"/>
      <c r="J7573"/>
      <c r="K7573"/>
      <c r="L7573"/>
    </row>
    <row r="7574" spans="2:12" x14ac:dyDescent="0.2">
      <c r="B7574"/>
      <c r="C7574"/>
      <c r="J7574"/>
      <c r="K7574"/>
      <c r="L7574"/>
    </row>
    <row r="7575" spans="2:12" x14ac:dyDescent="0.2">
      <c r="B7575"/>
      <c r="C7575"/>
      <c r="J7575"/>
      <c r="K7575"/>
      <c r="L7575"/>
    </row>
    <row r="7576" spans="2:12" x14ac:dyDescent="0.2">
      <c r="B7576"/>
      <c r="C7576"/>
      <c r="J7576"/>
      <c r="K7576"/>
      <c r="L7576"/>
    </row>
    <row r="7577" spans="2:12" x14ac:dyDescent="0.2">
      <c r="B7577"/>
      <c r="C7577"/>
      <c r="J7577"/>
      <c r="K7577"/>
      <c r="L7577"/>
    </row>
    <row r="7578" spans="2:12" x14ac:dyDescent="0.2">
      <c r="B7578"/>
      <c r="C7578"/>
      <c r="J7578"/>
      <c r="K7578"/>
      <c r="L7578"/>
    </row>
    <row r="7579" spans="2:12" x14ac:dyDescent="0.2">
      <c r="B7579"/>
      <c r="C7579"/>
      <c r="J7579"/>
      <c r="K7579"/>
      <c r="L7579"/>
    </row>
    <row r="7580" spans="2:12" x14ac:dyDescent="0.2">
      <c r="B7580"/>
      <c r="C7580"/>
      <c r="J7580"/>
      <c r="K7580"/>
      <c r="L7580"/>
    </row>
    <row r="7581" spans="2:12" x14ac:dyDescent="0.2">
      <c r="B7581"/>
      <c r="C7581"/>
      <c r="J7581"/>
      <c r="K7581"/>
      <c r="L7581"/>
    </row>
    <row r="7582" spans="2:12" x14ac:dyDescent="0.2">
      <c r="B7582"/>
      <c r="C7582"/>
      <c r="J7582"/>
      <c r="K7582"/>
      <c r="L7582"/>
    </row>
    <row r="7583" spans="2:12" x14ac:dyDescent="0.2">
      <c r="B7583"/>
      <c r="C7583"/>
      <c r="J7583"/>
      <c r="K7583"/>
      <c r="L7583"/>
    </row>
    <row r="7584" spans="2:12" x14ac:dyDescent="0.2">
      <c r="B7584"/>
      <c r="C7584"/>
      <c r="J7584"/>
      <c r="K7584"/>
      <c r="L7584"/>
    </row>
    <row r="7585" spans="2:12" x14ac:dyDescent="0.2">
      <c r="B7585"/>
      <c r="C7585"/>
      <c r="J7585"/>
      <c r="K7585"/>
      <c r="L7585"/>
    </row>
    <row r="7586" spans="2:12" x14ac:dyDescent="0.2">
      <c r="B7586"/>
      <c r="C7586"/>
      <c r="J7586"/>
      <c r="K7586"/>
      <c r="L7586"/>
    </row>
    <row r="7587" spans="2:12" x14ac:dyDescent="0.2">
      <c r="B7587"/>
      <c r="C7587"/>
      <c r="J7587"/>
      <c r="K7587"/>
      <c r="L7587"/>
    </row>
    <row r="7588" spans="2:12" x14ac:dyDescent="0.2">
      <c r="B7588"/>
      <c r="C7588"/>
      <c r="J7588"/>
      <c r="K7588"/>
      <c r="L7588"/>
    </row>
    <row r="7589" spans="2:12" x14ac:dyDescent="0.2">
      <c r="B7589"/>
      <c r="C7589"/>
      <c r="J7589"/>
      <c r="K7589"/>
      <c r="L7589"/>
    </row>
    <row r="7590" spans="2:12" x14ac:dyDescent="0.2">
      <c r="B7590"/>
      <c r="C7590"/>
      <c r="J7590"/>
      <c r="K7590"/>
      <c r="L7590"/>
    </row>
    <row r="7591" spans="2:12" x14ac:dyDescent="0.2">
      <c r="B7591"/>
      <c r="C7591"/>
      <c r="J7591"/>
      <c r="K7591"/>
      <c r="L7591"/>
    </row>
    <row r="7592" spans="2:12" x14ac:dyDescent="0.2">
      <c r="B7592"/>
      <c r="C7592"/>
      <c r="J7592"/>
      <c r="K7592"/>
      <c r="L7592"/>
    </row>
    <row r="7593" spans="2:12" x14ac:dyDescent="0.2">
      <c r="B7593"/>
      <c r="C7593"/>
      <c r="J7593"/>
      <c r="K7593"/>
      <c r="L7593"/>
    </row>
    <row r="7594" spans="2:12" x14ac:dyDescent="0.2">
      <c r="B7594"/>
      <c r="C7594"/>
      <c r="J7594"/>
      <c r="K7594"/>
      <c r="L7594"/>
    </row>
    <row r="7595" spans="2:12" x14ac:dyDescent="0.2">
      <c r="B7595"/>
      <c r="C7595"/>
      <c r="J7595"/>
      <c r="K7595"/>
      <c r="L7595"/>
    </row>
    <row r="7596" spans="2:12" x14ac:dyDescent="0.2">
      <c r="B7596"/>
      <c r="C7596"/>
      <c r="J7596"/>
      <c r="K7596"/>
      <c r="L7596"/>
    </row>
    <row r="7597" spans="2:12" x14ac:dyDescent="0.2">
      <c r="B7597"/>
      <c r="C7597"/>
      <c r="J7597"/>
      <c r="K7597"/>
      <c r="L7597"/>
    </row>
    <row r="7598" spans="2:12" x14ac:dyDescent="0.2">
      <c r="B7598"/>
      <c r="C7598"/>
      <c r="J7598"/>
      <c r="K7598"/>
      <c r="L7598"/>
    </row>
    <row r="7599" spans="2:12" x14ac:dyDescent="0.2">
      <c r="B7599"/>
      <c r="C7599"/>
      <c r="J7599"/>
      <c r="K7599"/>
      <c r="L7599"/>
    </row>
    <row r="7600" spans="2:12" x14ac:dyDescent="0.2">
      <c r="B7600"/>
      <c r="C7600"/>
      <c r="J7600"/>
      <c r="K7600"/>
      <c r="L7600"/>
    </row>
    <row r="7601" spans="2:12" x14ac:dyDescent="0.2">
      <c r="B7601"/>
      <c r="C7601"/>
      <c r="J7601"/>
      <c r="K7601"/>
      <c r="L7601"/>
    </row>
    <row r="7602" spans="2:12" x14ac:dyDescent="0.2">
      <c r="B7602"/>
      <c r="C7602"/>
      <c r="J7602"/>
      <c r="K7602"/>
      <c r="L7602"/>
    </row>
    <row r="7603" spans="2:12" x14ac:dyDescent="0.2">
      <c r="B7603"/>
      <c r="C7603"/>
      <c r="J7603"/>
      <c r="K7603"/>
      <c r="L7603"/>
    </row>
    <row r="7604" spans="2:12" x14ac:dyDescent="0.2">
      <c r="B7604"/>
      <c r="C7604"/>
      <c r="J7604"/>
      <c r="K7604"/>
      <c r="L7604"/>
    </row>
    <row r="7605" spans="2:12" x14ac:dyDescent="0.2">
      <c r="B7605"/>
      <c r="C7605"/>
      <c r="J7605"/>
      <c r="K7605"/>
      <c r="L7605"/>
    </row>
    <row r="7606" spans="2:12" x14ac:dyDescent="0.2">
      <c r="B7606"/>
      <c r="C7606"/>
      <c r="J7606"/>
      <c r="K7606"/>
      <c r="L7606"/>
    </row>
    <row r="7607" spans="2:12" x14ac:dyDescent="0.2">
      <c r="B7607"/>
      <c r="C7607"/>
      <c r="J7607"/>
      <c r="K7607"/>
      <c r="L7607"/>
    </row>
    <row r="7608" spans="2:12" x14ac:dyDescent="0.2">
      <c r="B7608"/>
      <c r="C7608"/>
      <c r="J7608"/>
      <c r="K7608"/>
      <c r="L7608"/>
    </row>
    <row r="7609" spans="2:12" x14ac:dyDescent="0.2">
      <c r="B7609"/>
      <c r="C7609"/>
      <c r="J7609"/>
      <c r="K7609"/>
      <c r="L7609"/>
    </row>
    <row r="7610" spans="2:12" x14ac:dyDescent="0.2">
      <c r="B7610"/>
      <c r="C7610"/>
      <c r="J7610"/>
      <c r="K7610"/>
      <c r="L7610"/>
    </row>
    <row r="7611" spans="2:12" x14ac:dyDescent="0.2">
      <c r="B7611"/>
      <c r="C7611"/>
      <c r="J7611"/>
      <c r="K7611"/>
      <c r="L7611"/>
    </row>
    <row r="7612" spans="2:12" x14ac:dyDescent="0.2">
      <c r="B7612"/>
      <c r="C7612"/>
      <c r="J7612"/>
      <c r="K7612"/>
      <c r="L7612"/>
    </row>
    <row r="7613" spans="2:12" x14ac:dyDescent="0.2">
      <c r="B7613"/>
      <c r="C7613"/>
      <c r="J7613"/>
      <c r="K7613"/>
      <c r="L7613"/>
    </row>
    <row r="7614" spans="2:12" x14ac:dyDescent="0.2">
      <c r="B7614"/>
      <c r="C7614"/>
      <c r="J7614"/>
      <c r="K7614"/>
      <c r="L7614"/>
    </row>
    <row r="7615" spans="2:12" x14ac:dyDescent="0.2">
      <c r="B7615"/>
      <c r="C7615"/>
      <c r="J7615"/>
      <c r="K7615"/>
      <c r="L7615"/>
    </row>
    <row r="7616" spans="2:12" x14ac:dyDescent="0.2">
      <c r="B7616"/>
      <c r="C7616"/>
      <c r="J7616"/>
      <c r="K7616"/>
      <c r="L7616"/>
    </row>
    <row r="7617" spans="2:12" x14ac:dyDescent="0.2">
      <c r="B7617"/>
      <c r="C7617"/>
      <c r="J7617"/>
      <c r="K7617"/>
      <c r="L7617"/>
    </row>
    <row r="7618" spans="2:12" x14ac:dyDescent="0.2">
      <c r="B7618"/>
      <c r="C7618"/>
      <c r="J7618"/>
      <c r="K7618"/>
      <c r="L7618"/>
    </row>
    <row r="7619" spans="2:12" x14ac:dyDescent="0.2">
      <c r="B7619"/>
      <c r="C7619"/>
      <c r="J7619"/>
      <c r="K7619"/>
      <c r="L7619"/>
    </row>
    <row r="7620" spans="2:12" x14ac:dyDescent="0.2">
      <c r="B7620"/>
      <c r="C7620"/>
      <c r="J7620"/>
      <c r="K7620"/>
      <c r="L7620"/>
    </row>
    <row r="7621" spans="2:12" x14ac:dyDescent="0.2">
      <c r="B7621"/>
      <c r="C7621"/>
      <c r="J7621"/>
      <c r="K7621"/>
      <c r="L7621"/>
    </row>
    <row r="7622" spans="2:12" x14ac:dyDescent="0.2">
      <c r="B7622"/>
      <c r="C7622"/>
      <c r="J7622"/>
      <c r="K7622"/>
      <c r="L7622"/>
    </row>
    <row r="7623" spans="2:12" x14ac:dyDescent="0.2">
      <c r="B7623"/>
      <c r="C7623"/>
      <c r="J7623"/>
      <c r="K7623"/>
      <c r="L7623"/>
    </row>
    <row r="7624" spans="2:12" x14ac:dyDescent="0.2">
      <c r="B7624"/>
      <c r="C7624"/>
      <c r="J7624"/>
      <c r="K7624"/>
      <c r="L7624"/>
    </row>
    <row r="7625" spans="2:12" x14ac:dyDescent="0.2">
      <c r="B7625"/>
      <c r="C7625"/>
      <c r="J7625"/>
      <c r="K7625"/>
      <c r="L7625"/>
    </row>
    <row r="7626" spans="2:12" x14ac:dyDescent="0.2">
      <c r="B7626"/>
      <c r="C7626"/>
      <c r="J7626"/>
      <c r="K7626"/>
      <c r="L7626"/>
    </row>
    <row r="7627" spans="2:12" x14ac:dyDescent="0.2">
      <c r="B7627"/>
      <c r="C7627"/>
      <c r="J7627"/>
      <c r="K7627"/>
      <c r="L7627"/>
    </row>
    <row r="7628" spans="2:12" x14ac:dyDescent="0.2">
      <c r="B7628"/>
      <c r="C7628"/>
      <c r="J7628"/>
      <c r="K7628"/>
      <c r="L7628"/>
    </row>
    <row r="7629" spans="2:12" x14ac:dyDescent="0.2">
      <c r="B7629"/>
      <c r="C7629"/>
      <c r="J7629"/>
      <c r="K7629"/>
      <c r="L7629"/>
    </row>
    <row r="7630" spans="2:12" x14ac:dyDescent="0.2">
      <c r="B7630"/>
      <c r="C7630"/>
      <c r="J7630"/>
      <c r="K7630"/>
      <c r="L7630"/>
    </row>
    <row r="7631" spans="2:12" x14ac:dyDescent="0.2">
      <c r="B7631"/>
      <c r="C7631"/>
      <c r="J7631"/>
      <c r="K7631"/>
      <c r="L7631"/>
    </row>
    <row r="7632" spans="2:12" x14ac:dyDescent="0.2">
      <c r="B7632"/>
      <c r="C7632"/>
      <c r="J7632"/>
      <c r="K7632"/>
      <c r="L7632"/>
    </row>
    <row r="7633" spans="2:12" x14ac:dyDescent="0.2">
      <c r="B7633"/>
      <c r="C7633"/>
      <c r="J7633"/>
      <c r="K7633"/>
      <c r="L7633"/>
    </row>
    <row r="7634" spans="2:12" x14ac:dyDescent="0.2">
      <c r="B7634"/>
      <c r="C7634"/>
      <c r="J7634"/>
      <c r="K7634"/>
      <c r="L7634"/>
    </row>
    <row r="7635" spans="2:12" x14ac:dyDescent="0.2">
      <c r="B7635"/>
      <c r="C7635"/>
      <c r="J7635"/>
      <c r="K7635"/>
      <c r="L7635"/>
    </row>
    <row r="7636" spans="2:12" x14ac:dyDescent="0.2">
      <c r="B7636"/>
      <c r="C7636"/>
      <c r="J7636"/>
      <c r="K7636"/>
      <c r="L7636"/>
    </row>
    <row r="7637" spans="2:12" x14ac:dyDescent="0.2">
      <c r="B7637"/>
      <c r="C7637"/>
      <c r="J7637"/>
      <c r="K7637"/>
      <c r="L7637"/>
    </row>
    <row r="7638" spans="2:12" x14ac:dyDescent="0.2">
      <c r="B7638"/>
      <c r="C7638"/>
      <c r="J7638"/>
      <c r="K7638"/>
      <c r="L7638"/>
    </row>
    <row r="7639" spans="2:12" x14ac:dyDescent="0.2">
      <c r="B7639"/>
      <c r="C7639"/>
      <c r="J7639"/>
      <c r="K7639"/>
      <c r="L7639"/>
    </row>
    <row r="7640" spans="2:12" x14ac:dyDescent="0.2">
      <c r="B7640"/>
      <c r="C7640"/>
      <c r="J7640"/>
      <c r="K7640"/>
      <c r="L7640"/>
    </row>
    <row r="7641" spans="2:12" x14ac:dyDescent="0.2">
      <c r="B7641"/>
      <c r="C7641"/>
      <c r="J7641"/>
      <c r="K7641"/>
      <c r="L7641"/>
    </row>
    <row r="7642" spans="2:12" x14ac:dyDescent="0.2">
      <c r="B7642"/>
      <c r="C7642"/>
      <c r="J7642"/>
      <c r="K7642"/>
      <c r="L7642"/>
    </row>
    <row r="7643" spans="2:12" x14ac:dyDescent="0.2">
      <c r="B7643"/>
      <c r="C7643"/>
      <c r="J7643"/>
      <c r="K7643"/>
      <c r="L7643"/>
    </row>
    <row r="7644" spans="2:12" x14ac:dyDescent="0.2">
      <c r="B7644"/>
      <c r="C7644"/>
      <c r="J7644"/>
      <c r="K7644"/>
      <c r="L7644"/>
    </row>
    <row r="7645" spans="2:12" x14ac:dyDescent="0.2">
      <c r="B7645"/>
      <c r="C7645"/>
      <c r="J7645"/>
      <c r="K7645"/>
      <c r="L7645"/>
    </row>
    <row r="7646" spans="2:12" x14ac:dyDescent="0.2">
      <c r="B7646"/>
      <c r="C7646"/>
      <c r="J7646"/>
      <c r="K7646"/>
      <c r="L7646"/>
    </row>
    <row r="7647" spans="2:12" x14ac:dyDescent="0.2">
      <c r="B7647"/>
      <c r="C7647"/>
      <c r="J7647"/>
      <c r="K7647"/>
      <c r="L7647"/>
    </row>
    <row r="7648" spans="2:12" x14ac:dyDescent="0.2">
      <c r="B7648"/>
      <c r="C7648"/>
      <c r="J7648"/>
      <c r="K7648"/>
      <c r="L7648"/>
    </row>
    <row r="7649" spans="2:12" x14ac:dyDescent="0.2">
      <c r="B7649"/>
      <c r="C7649"/>
      <c r="J7649"/>
      <c r="K7649"/>
      <c r="L7649"/>
    </row>
    <row r="7650" spans="2:12" x14ac:dyDescent="0.2">
      <c r="B7650"/>
      <c r="C7650"/>
      <c r="J7650"/>
      <c r="K7650"/>
      <c r="L7650"/>
    </row>
    <row r="7651" spans="2:12" x14ac:dyDescent="0.2">
      <c r="B7651"/>
      <c r="C7651"/>
      <c r="J7651"/>
      <c r="K7651"/>
      <c r="L7651"/>
    </row>
    <row r="7652" spans="2:12" x14ac:dyDescent="0.2">
      <c r="B7652"/>
      <c r="C7652"/>
      <c r="J7652"/>
      <c r="K7652"/>
      <c r="L7652"/>
    </row>
    <row r="7653" spans="2:12" x14ac:dyDescent="0.2">
      <c r="B7653"/>
      <c r="C7653"/>
      <c r="J7653"/>
      <c r="K7653"/>
      <c r="L7653"/>
    </row>
    <row r="7654" spans="2:12" x14ac:dyDescent="0.2">
      <c r="B7654"/>
      <c r="C7654"/>
      <c r="J7654"/>
      <c r="K7654"/>
      <c r="L7654"/>
    </row>
    <row r="7655" spans="2:12" x14ac:dyDescent="0.2">
      <c r="B7655"/>
      <c r="C7655"/>
      <c r="J7655"/>
      <c r="K7655"/>
      <c r="L7655"/>
    </row>
    <row r="7656" spans="2:12" x14ac:dyDescent="0.2">
      <c r="B7656"/>
      <c r="C7656"/>
      <c r="J7656"/>
      <c r="K7656"/>
      <c r="L7656"/>
    </row>
    <row r="7657" spans="2:12" x14ac:dyDescent="0.2">
      <c r="B7657"/>
      <c r="C7657"/>
      <c r="J7657"/>
      <c r="K7657"/>
      <c r="L7657"/>
    </row>
    <row r="7658" spans="2:12" x14ac:dyDescent="0.2">
      <c r="B7658"/>
      <c r="C7658"/>
      <c r="J7658"/>
      <c r="K7658"/>
      <c r="L7658"/>
    </row>
    <row r="7659" spans="2:12" x14ac:dyDescent="0.2">
      <c r="B7659"/>
      <c r="C7659"/>
      <c r="J7659"/>
      <c r="K7659"/>
      <c r="L7659"/>
    </row>
    <row r="7660" spans="2:12" x14ac:dyDescent="0.2">
      <c r="B7660"/>
      <c r="C7660"/>
      <c r="J7660"/>
      <c r="K7660"/>
      <c r="L7660"/>
    </row>
    <row r="7661" spans="2:12" x14ac:dyDescent="0.2">
      <c r="B7661"/>
      <c r="C7661"/>
      <c r="J7661"/>
      <c r="K7661"/>
      <c r="L7661"/>
    </row>
    <row r="7662" spans="2:12" x14ac:dyDescent="0.2">
      <c r="B7662"/>
      <c r="C7662"/>
      <c r="J7662"/>
      <c r="K7662"/>
      <c r="L7662"/>
    </row>
    <row r="7663" spans="2:12" x14ac:dyDescent="0.2">
      <c r="B7663"/>
      <c r="C7663"/>
      <c r="J7663"/>
      <c r="K7663"/>
      <c r="L7663"/>
    </row>
    <row r="7664" spans="2:12" x14ac:dyDescent="0.2">
      <c r="B7664"/>
      <c r="C7664"/>
      <c r="J7664"/>
      <c r="K7664"/>
      <c r="L7664"/>
    </row>
    <row r="7665" spans="2:12" x14ac:dyDescent="0.2">
      <c r="B7665"/>
      <c r="C7665"/>
      <c r="J7665"/>
      <c r="K7665"/>
      <c r="L7665"/>
    </row>
    <row r="7666" spans="2:12" x14ac:dyDescent="0.2">
      <c r="B7666"/>
      <c r="C7666"/>
      <c r="J7666"/>
      <c r="K7666"/>
      <c r="L7666"/>
    </row>
    <row r="7667" spans="2:12" x14ac:dyDescent="0.2">
      <c r="B7667"/>
      <c r="C7667"/>
      <c r="J7667"/>
      <c r="K7667"/>
      <c r="L7667"/>
    </row>
    <row r="7668" spans="2:12" x14ac:dyDescent="0.2">
      <c r="B7668"/>
      <c r="C7668"/>
      <c r="J7668"/>
      <c r="K7668"/>
      <c r="L7668"/>
    </row>
    <row r="7669" spans="2:12" x14ac:dyDescent="0.2">
      <c r="B7669"/>
      <c r="C7669"/>
      <c r="J7669"/>
      <c r="K7669"/>
      <c r="L7669"/>
    </row>
    <row r="7670" spans="2:12" x14ac:dyDescent="0.2">
      <c r="B7670"/>
      <c r="C7670"/>
      <c r="J7670"/>
      <c r="K7670"/>
      <c r="L7670"/>
    </row>
    <row r="7671" spans="2:12" x14ac:dyDescent="0.2">
      <c r="B7671"/>
      <c r="C7671"/>
      <c r="J7671"/>
      <c r="K7671"/>
      <c r="L7671"/>
    </row>
    <row r="7672" spans="2:12" x14ac:dyDescent="0.2">
      <c r="B7672"/>
      <c r="C7672"/>
      <c r="J7672"/>
      <c r="K7672"/>
      <c r="L7672"/>
    </row>
    <row r="7673" spans="2:12" x14ac:dyDescent="0.2">
      <c r="B7673"/>
      <c r="C7673"/>
      <c r="J7673"/>
      <c r="K7673"/>
      <c r="L7673"/>
    </row>
    <row r="7674" spans="2:12" x14ac:dyDescent="0.2">
      <c r="B7674"/>
      <c r="C7674"/>
      <c r="J7674"/>
      <c r="K7674"/>
      <c r="L7674"/>
    </row>
    <row r="7675" spans="2:12" x14ac:dyDescent="0.2">
      <c r="B7675"/>
      <c r="C7675"/>
      <c r="J7675"/>
      <c r="K7675"/>
      <c r="L7675"/>
    </row>
    <row r="7676" spans="2:12" x14ac:dyDescent="0.2">
      <c r="B7676"/>
      <c r="C7676"/>
      <c r="J7676"/>
      <c r="K7676"/>
      <c r="L7676"/>
    </row>
    <row r="7677" spans="2:12" x14ac:dyDescent="0.2">
      <c r="B7677"/>
      <c r="C7677"/>
      <c r="J7677"/>
      <c r="K7677"/>
      <c r="L7677"/>
    </row>
    <row r="7678" spans="2:12" x14ac:dyDescent="0.2">
      <c r="B7678"/>
      <c r="C7678"/>
      <c r="J7678"/>
      <c r="K7678"/>
      <c r="L7678"/>
    </row>
    <row r="7679" spans="2:12" x14ac:dyDescent="0.2">
      <c r="B7679"/>
      <c r="C7679"/>
      <c r="J7679"/>
      <c r="K7679"/>
      <c r="L7679"/>
    </row>
    <row r="7680" spans="2:12" x14ac:dyDescent="0.2">
      <c r="B7680"/>
      <c r="C7680"/>
      <c r="J7680"/>
      <c r="K7680"/>
      <c r="L7680"/>
    </row>
    <row r="7681" spans="2:12" x14ac:dyDescent="0.2">
      <c r="B7681"/>
      <c r="C7681"/>
      <c r="J7681"/>
      <c r="K7681"/>
      <c r="L7681"/>
    </row>
    <row r="7682" spans="2:12" x14ac:dyDescent="0.2">
      <c r="B7682"/>
      <c r="C7682"/>
      <c r="J7682"/>
      <c r="K7682"/>
      <c r="L7682"/>
    </row>
    <row r="7683" spans="2:12" x14ac:dyDescent="0.2">
      <c r="B7683"/>
      <c r="C7683"/>
      <c r="J7683"/>
      <c r="K7683"/>
      <c r="L7683"/>
    </row>
    <row r="7684" spans="2:12" x14ac:dyDescent="0.2">
      <c r="B7684"/>
      <c r="C7684"/>
      <c r="J7684"/>
      <c r="K7684"/>
      <c r="L7684"/>
    </row>
    <row r="7685" spans="2:12" x14ac:dyDescent="0.2">
      <c r="B7685"/>
      <c r="C7685"/>
      <c r="J7685"/>
      <c r="K7685"/>
      <c r="L7685"/>
    </row>
    <row r="7686" spans="2:12" x14ac:dyDescent="0.2">
      <c r="B7686"/>
      <c r="C7686"/>
      <c r="J7686"/>
      <c r="K7686"/>
      <c r="L7686"/>
    </row>
    <row r="7687" spans="2:12" x14ac:dyDescent="0.2">
      <c r="B7687"/>
      <c r="C7687"/>
      <c r="J7687"/>
      <c r="K7687"/>
      <c r="L7687"/>
    </row>
    <row r="7688" spans="2:12" x14ac:dyDescent="0.2">
      <c r="B7688"/>
      <c r="C7688"/>
      <c r="J7688"/>
      <c r="K7688"/>
      <c r="L7688"/>
    </row>
    <row r="7689" spans="2:12" x14ac:dyDescent="0.2">
      <c r="B7689"/>
      <c r="C7689"/>
      <c r="J7689"/>
      <c r="K7689"/>
      <c r="L7689"/>
    </row>
    <row r="7690" spans="2:12" x14ac:dyDescent="0.2">
      <c r="B7690"/>
      <c r="C7690"/>
      <c r="J7690"/>
      <c r="K7690"/>
      <c r="L7690"/>
    </row>
    <row r="7691" spans="2:12" x14ac:dyDescent="0.2">
      <c r="B7691"/>
      <c r="C7691"/>
      <c r="J7691"/>
      <c r="K7691"/>
      <c r="L7691"/>
    </row>
    <row r="7692" spans="2:12" x14ac:dyDescent="0.2">
      <c r="B7692"/>
      <c r="C7692"/>
      <c r="J7692"/>
      <c r="K7692"/>
      <c r="L7692"/>
    </row>
    <row r="7693" spans="2:12" x14ac:dyDescent="0.2">
      <c r="B7693"/>
      <c r="C7693"/>
      <c r="J7693"/>
      <c r="K7693"/>
      <c r="L7693"/>
    </row>
    <row r="7694" spans="2:12" x14ac:dyDescent="0.2">
      <c r="B7694"/>
      <c r="C7694"/>
      <c r="J7694"/>
      <c r="K7694"/>
      <c r="L7694"/>
    </row>
    <row r="7695" spans="2:12" x14ac:dyDescent="0.2">
      <c r="B7695"/>
      <c r="C7695"/>
      <c r="J7695"/>
      <c r="K7695"/>
      <c r="L7695"/>
    </row>
    <row r="7696" spans="2:12" x14ac:dyDescent="0.2">
      <c r="B7696"/>
      <c r="C7696"/>
      <c r="J7696"/>
      <c r="K7696"/>
      <c r="L7696"/>
    </row>
    <row r="7697" spans="2:12" x14ac:dyDescent="0.2">
      <c r="B7697"/>
      <c r="C7697"/>
      <c r="J7697"/>
      <c r="K7697"/>
      <c r="L7697"/>
    </row>
    <row r="7698" spans="2:12" x14ac:dyDescent="0.2">
      <c r="B7698"/>
      <c r="C7698"/>
      <c r="J7698"/>
      <c r="K7698"/>
      <c r="L7698"/>
    </row>
    <row r="7699" spans="2:12" x14ac:dyDescent="0.2">
      <c r="B7699"/>
      <c r="C7699"/>
      <c r="J7699"/>
      <c r="K7699"/>
      <c r="L7699"/>
    </row>
    <row r="7700" spans="2:12" x14ac:dyDescent="0.2">
      <c r="B7700"/>
      <c r="C7700"/>
      <c r="J7700"/>
      <c r="K7700"/>
      <c r="L7700"/>
    </row>
    <row r="7701" spans="2:12" x14ac:dyDescent="0.2">
      <c r="B7701"/>
      <c r="C7701"/>
      <c r="J7701"/>
      <c r="K7701"/>
      <c r="L7701"/>
    </row>
    <row r="7702" spans="2:12" x14ac:dyDescent="0.2">
      <c r="B7702"/>
      <c r="C7702"/>
      <c r="J7702"/>
      <c r="K7702"/>
      <c r="L7702"/>
    </row>
    <row r="7703" spans="2:12" x14ac:dyDescent="0.2">
      <c r="B7703"/>
      <c r="C7703"/>
      <c r="J7703"/>
      <c r="K7703"/>
      <c r="L7703"/>
    </row>
    <row r="7704" spans="2:12" x14ac:dyDescent="0.2">
      <c r="B7704"/>
      <c r="C7704"/>
      <c r="J7704"/>
      <c r="K7704"/>
      <c r="L7704"/>
    </row>
    <row r="7705" spans="2:12" x14ac:dyDescent="0.2">
      <c r="B7705"/>
      <c r="C7705"/>
      <c r="J7705"/>
      <c r="K7705"/>
      <c r="L7705"/>
    </row>
    <row r="7706" spans="2:12" x14ac:dyDescent="0.2">
      <c r="B7706"/>
      <c r="C7706"/>
      <c r="J7706"/>
      <c r="K7706"/>
      <c r="L7706"/>
    </row>
    <row r="7707" spans="2:12" x14ac:dyDescent="0.2">
      <c r="B7707"/>
      <c r="C7707"/>
      <c r="J7707"/>
      <c r="K7707"/>
      <c r="L7707"/>
    </row>
    <row r="7708" spans="2:12" x14ac:dyDescent="0.2">
      <c r="B7708"/>
      <c r="C7708"/>
      <c r="J7708"/>
      <c r="K7708"/>
      <c r="L7708"/>
    </row>
    <row r="7709" spans="2:12" x14ac:dyDescent="0.2">
      <c r="B7709"/>
      <c r="C7709"/>
      <c r="J7709"/>
      <c r="K7709"/>
      <c r="L7709"/>
    </row>
    <row r="7710" spans="2:12" x14ac:dyDescent="0.2">
      <c r="B7710"/>
      <c r="C7710"/>
      <c r="J7710"/>
      <c r="K7710"/>
      <c r="L7710"/>
    </row>
    <row r="7711" spans="2:12" x14ac:dyDescent="0.2">
      <c r="B7711"/>
      <c r="C7711"/>
      <c r="J7711"/>
      <c r="K7711"/>
      <c r="L7711"/>
    </row>
    <row r="7712" spans="2:12" x14ac:dyDescent="0.2">
      <c r="B7712"/>
      <c r="C7712"/>
      <c r="J7712"/>
      <c r="K7712"/>
      <c r="L7712"/>
    </row>
    <row r="7713" spans="2:12" x14ac:dyDescent="0.2">
      <c r="B7713"/>
      <c r="C7713"/>
      <c r="J7713"/>
      <c r="K7713"/>
      <c r="L7713"/>
    </row>
    <row r="7714" spans="2:12" x14ac:dyDescent="0.2">
      <c r="B7714"/>
      <c r="C7714"/>
      <c r="J7714"/>
      <c r="K7714"/>
      <c r="L7714"/>
    </row>
    <row r="7715" spans="2:12" x14ac:dyDescent="0.2">
      <c r="B7715"/>
      <c r="C7715"/>
      <c r="J7715"/>
      <c r="K7715"/>
      <c r="L7715"/>
    </row>
    <row r="7716" spans="2:12" x14ac:dyDescent="0.2">
      <c r="B7716"/>
      <c r="C7716"/>
      <c r="J7716"/>
      <c r="K7716"/>
      <c r="L7716"/>
    </row>
    <row r="7717" spans="2:12" x14ac:dyDescent="0.2">
      <c r="B7717"/>
      <c r="C7717"/>
      <c r="J7717"/>
      <c r="K7717"/>
      <c r="L7717"/>
    </row>
    <row r="7718" spans="2:12" x14ac:dyDescent="0.2">
      <c r="B7718"/>
      <c r="C7718"/>
      <c r="J7718"/>
      <c r="K7718"/>
      <c r="L7718"/>
    </row>
    <row r="7719" spans="2:12" x14ac:dyDescent="0.2">
      <c r="B7719"/>
      <c r="C7719"/>
      <c r="J7719"/>
      <c r="K7719"/>
      <c r="L7719"/>
    </row>
    <row r="7720" spans="2:12" x14ac:dyDescent="0.2">
      <c r="B7720"/>
      <c r="C7720"/>
      <c r="J7720"/>
      <c r="K7720"/>
      <c r="L7720"/>
    </row>
    <row r="7721" spans="2:12" x14ac:dyDescent="0.2">
      <c r="B7721"/>
      <c r="C7721"/>
      <c r="J7721"/>
      <c r="K7721"/>
      <c r="L7721"/>
    </row>
    <row r="7722" spans="2:12" x14ac:dyDescent="0.2">
      <c r="B7722"/>
      <c r="C7722"/>
      <c r="J7722"/>
      <c r="K7722"/>
      <c r="L7722"/>
    </row>
    <row r="7723" spans="2:12" x14ac:dyDescent="0.2">
      <c r="B7723"/>
      <c r="C7723"/>
      <c r="J7723"/>
      <c r="K7723"/>
      <c r="L7723"/>
    </row>
    <row r="7724" spans="2:12" x14ac:dyDescent="0.2">
      <c r="B7724"/>
      <c r="C7724"/>
      <c r="J7724"/>
      <c r="K7724"/>
      <c r="L7724"/>
    </row>
    <row r="7725" spans="2:12" x14ac:dyDescent="0.2">
      <c r="B7725"/>
      <c r="C7725"/>
      <c r="J7725"/>
      <c r="K7725"/>
      <c r="L7725"/>
    </row>
    <row r="7726" spans="2:12" x14ac:dyDescent="0.2">
      <c r="B7726"/>
      <c r="C7726"/>
      <c r="J7726"/>
      <c r="K7726"/>
      <c r="L7726"/>
    </row>
    <row r="7727" spans="2:12" x14ac:dyDescent="0.2">
      <c r="B7727"/>
      <c r="C7727"/>
      <c r="J7727"/>
      <c r="K7727"/>
      <c r="L7727"/>
    </row>
    <row r="7728" spans="2:12" x14ac:dyDescent="0.2">
      <c r="B7728"/>
      <c r="C7728"/>
      <c r="J7728"/>
      <c r="K7728"/>
      <c r="L7728"/>
    </row>
    <row r="7729" spans="2:12" x14ac:dyDescent="0.2">
      <c r="B7729"/>
      <c r="C7729"/>
      <c r="J7729"/>
      <c r="K7729"/>
      <c r="L7729"/>
    </row>
    <row r="7730" spans="2:12" x14ac:dyDescent="0.2">
      <c r="B7730"/>
      <c r="C7730"/>
      <c r="J7730"/>
      <c r="K7730"/>
      <c r="L7730"/>
    </row>
    <row r="7731" spans="2:12" x14ac:dyDescent="0.2">
      <c r="B7731"/>
      <c r="C7731"/>
      <c r="J7731"/>
      <c r="K7731"/>
      <c r="L7731"/>
    </row>
    <row r="7732" spans="2:12" x14ac:dyDescent="0.2">
      <c r="B7732"/>
      <c r="C7732"/>
      <c r="J7732"/>
      <c r="K7732"/>
      <c r="L7732"/>
    </row>
    <row r="7733" spans="2:12" x14ac:dyDescent="0.2">
      <c r="B7733"/>
      <c r="C7733"/>
      <c r="J7733"/>
      <c r="K7733"/>
      <c r="L7733"/>
    </row>
    <row r="7734" spans="2:12" x14ac:dyDescent="0.2">
      <c r="B7734"/>
      <c r="C7734"/>
      <c r="J7734"/>
      <c r="K7734"/>
      <c r="L7734"/>
    </row>
    <row r="7735" spans="2:12" x14ac:dyDescent="0.2">
      <c r="B7735"/>
      <c r="C7735"/>
      <c r="J7735"/>
      <c r="K7735"/>
      <c r="L7735"/>
    </row>
    <row r="7736" spans="2:12" x14ac:dyDescent="0.2">
      <c r="B7736"/>
      <c r="C7736"/>
      <c r="J7736"/>
      <c r="K7736"/>
      <c r="L7736"/>
    </row>
    <row r="7737" spans="2:12" x14ac:dyDescent="0.2">
      <c r="B7737"/>
      <c r="C7737"/>
      <c r="J7737"/>
      <c r="K7737"/>
      <c r="L7737"/>
    </row>
    <row r="7738" spans="2:12" x14ac:dyDescent="0.2">
      <c r="B7738"/>
      <c r="C7738"/>
      <c r="J7738"/>
      <c r="K7738"/>
      <c r="L7738"/>
    </row>
    <row r="7739" spans="2:12" x14ac:dyDescent="0.2">
      <c r="B7739"/>
      <c r="C7739"/>
      <c r="J7739"/>
      <c r="K7739"/>
      <c r="L7739"/>
    </row>
    <row r="7740" spans="2:12" x14ac:dyDescent="0.2">
      <c r="B7740"/>
      <c r="C7740"/>
      <c r="J7740"/>
      <c r="K7740"/>
      <c r="L7740"/>
    </row>
    <row r="7741" spans="2:12" x14ac:dyDescent="0.2">
      <c r="B7741"/>
      <c r="C7741"/>
      <c r="J7741"/>
      <c r="K7741"/>
      <c r="L7741"/>
    </row>
    <row r="7742" spans="2:12" x14ac:dyDescent="0.2">
      <c r="B7742"/>
      <c r="C7742"/>
      <c r="J7742"/>
      <c r="K7742"/>
      <c r="L7742"/>
    </row>
    <row r="7743" spans="2:12" x14ac:dyDescent="0.2">
      <c r="B7743"/>
      <c r="C7743"/>
      <c r="J7743"/>
      <c r="K7743"/>
      <c r="L7743"/>
    </row>
    <row r="7744" spans="2:12" x14ac:dyDescent="0.2">
      <c r="B7744"/>
      <c r="C7744"/>
      <c r="J7744"/>
      <c r="K7744"/>
      <c r="L7744"/>
    </row>
    <row r="7745" spans="2:12" x14ac:dyDescent="0.2">
      <c r="B7745"/>
      <c r="C7745"/>
      <c r="J7745"/>
      <c r="K7745"/>
      <c r="L7745"/>
    </row>
    <row r="7746" spans="2:12" x14ac:dyDescent="0.2">
      <c r="B7746"/>
      <c r="C7746"/>
      <c r="J7746"/>
      <c r="K7746"/>
      <c r="L7746"/>
    </row>
    <row r="7747" spans="2:12" x14ac:dyDescent="0.2">
      <c r="B7747"/>
      <c r="C7747"/>
      <c r="J7747"/>
      <c r="K7747"/>
      <c r="L7747"/>
    </row>
    <row r="7748" spans="2:12" x14ac:dyDescent="0.2">
      <c r="B7748"/>
      <c r="C7748"/>
      <c r="J7748"/>
      <c r="K7748"/>
      <c r="L7748"/>
    </row>
    <row r="7749" spans="2:12" x14ac:dyDescent="0.2">
      <c r="B7749"/>
      <c r="C7749"/>
      <c r="J7749"/>
      <c r="K7749"/>
      <c r="L7749"/>
    </row>
    <row r="7750" spans="2:12" x14ac:dyDescent="0.2">
      <c r="B7750"/>
      <c r="C7750"/>
      <c r="J7750"/>
      <c r="K7750"/>
      <c r="L7750"/>
    </row>
    <row r="7751" spans="2:12" x14ac:dyDescent="0.2">
      <c r="B7751"/>
      <c r="C7751"/>
      <c r="J7751"/>
      <c r="K7751"/>
      <c r="L7751"/>
    </row>
    <row r="7752" spans="2:12" x14ac:dyDescent="0.2">
      <c r="B7752"/>
      <c r="C7752"/>
      <c r="J7752"/>
      <c r="K7752"/>
      <c r="L7752"/>
    </row>
    <row r="7753" spans="2:12" x14ac:dyDescent="0.2">
      <c r="B7753"/>
      <c r="C7753"/>
      <c r="J7753"/>
      <c r="K7753"/>
      <c r="L7753"/>
    </row>
    <row r="7754" spans="2:12" x14ac:dyDescent="0.2">
      <c r="B7754"/>
      <c r="C7754"/>
      <c r="J7754"/>
      <c r="K7754"/>
      <c r="L7754"/>
    </row>
    <row r="7755" spans="2:12" x14ac:dyDescent="0.2">
      <c r="B7755"/>
      <c r="C7755"/>
      <c r="J7755"/>
      <c r="K7755"/>
      <c r="L7755"/>
    </row>
    <row r="7756" spans="2:12" x14ac:dyDescent="0.2">
      <c r="B7756"/>
      <c r="C7756"/>
      <c r="J7756"/>
      <c r="K7756"/>
      <c r="L7756"/>
    </row>
    <row r="7757" spans="2:12" x14ac:dyDescent="0.2">
      <c r="B7757"/>
      <c r="C7757"/>
      <c r="J7757"/>
      <c r="K7757"/>
      <c r="L7757"/>
    </row>
    <row r="7758" spans="2:12" x14ac:dyDescent="0.2">
      <c r="B7758"/>
      <c r="C7758"/>
      <c r="J7758"/>
      <c r="K7758"/>
      <c r="L7758"/>
    </row>
    <row r="7759" spans="2:12" x14ac:dyDescent="0.2">
      <c r="B7759"/>
      <c r="C7759"/>
      <c r="J7759"/>
      <c r="K7759"/>
      <c r="L7759"/>
    </row>
    <row r="7760" spans="2:12" x14ac:dyDescent="0.2">
      <c r="B7760"/>
      <c r="C7760"/>
      <c r="J7760"/>
      <c r="K7760"/>
      <c r="L7760"/>
    </row>
    <row r="7761" spans="2:12" x14ac:dyDescent="0.2">
      <c r="B7761"/>
      <c r="C7761"/>
      <c r="J7761"/>
      <c r="K7761"/>
      <c r="L7761"/>
    </row>
    <row r="7762" spans="2:12" x14ac:dyDescent="0.2">
      <c r="B7762"/>
      <c r="C7762"/>
      <c r="J7762"/>
      <c r="K7762"/>
      <c r="L7762"/>
    </row>
    <row r="7763" spans="2:12" x14ac:dyDescent="0.2">
      <c r="B7763"/>
      <c r="C7763"/>
      <c r="J7763"/>
      <c r="K7763"/>
      <c r="L7763"/>
    </row>
    <row r="7764" spans="2:12" x14ac:dyDescent="0.2">
      <c r="B7764"/>
      <c r="C7764"/>
      <c r="J7764"/>
      <c r="K7764"/>
      <c r="L7764"/>
    </row>
    <row r="7765" spans="2:12" x14ac:dyDescent="0.2">
      <c r="B7765"/>
      <c r="C7765"/>
      <c r="J7765"/>
      <c r="K7765"/>
      <c r="L7765"/>
    </row>
    <row r="7766" spans="2:12" x14ac:dyDescent="0.2">
      <c r="B7766"/>
      <c r="C7766"/>
      <c r="J7766"/>
      <c r="K7766"/>
      <c r="L7766"/>
    </row>
    <row r="7767" spans="2:12" x14ac:dyDescent="0.2">
      <c r="B7767"/>
      <c r="C7767"/>
      <c r="J7767"/>
      <c r="K7767"/>
      <c r="L7767"/>
    </row>
    <row r="7768" spans="2:12" x14ac:dyDescent="0.2">
      <c r="B7768"/>
      <c r="C7768"/>
      <c r="J7768"/>
      <c r="K7768"/>
      <c r="L7768"/>
    </row>
    <row r="7769" spans="2:12" x14ac:dyDescent="0.2">
      <c r="B7769"/>
      <c r="C7769"/>
      <c r="J7769"/>
      <c r="K7769"/>
      <c r="L7769"/>
    </row>
    <row r="7770" spans="2:12" x14ac:dyDescent="0.2">
      <c r="B7770"/>
      <c r="C7770"/>
      <c r="J7770"/>
      <c r="K7770"/>
      <c r="L7770"/>
    </row>
    <row r="7771" spans="2:12" x14ac:dyDescent="0.2">
      <c r="B7771"/>
      <c r="C7771"/>
      <c r="J7771"/>
      <c r="K7771"/>
      <c r="L7771"/>
    </row>
    <row r="7772" spans="2:12" x14ac:dyDescent="0.2">
      <c r="B7772"/>
      <c r="C7772"/>
      <c r="J7772"/>
      <c r="K7772"/>
      <c r="L7772"/>
    </row>
    <row r="7773" spans="2:12" x14ac:dyDescent="0.2">
      <c r="B7773"/>
      <c r="C7773"/>
      <c r="J7773"/>
      <c r="K7773"/>
      <c r="L7773"/>
    </row>
    <row r="7774" spans="2:12" x14ac:dyDescent="0.2">
      <c r="B7774"/>
      <c r="C7774"/>
      <c r="J7774"/>
      <c r="K7774"/>
      <c r="L7774"/>
    </row>
    <row r="7775" spans="2:12" x14ac:dyDescent="0.2">
      <c r="B7775"/>
      <c r="C7775"/>
      <c r="J7775"/>
      <c r="K7775"/>
      <c r="L7775"/>
    </row>
    <row r="7776" spans="2:12" x14ac:dyDescent="0.2">
      <c r="B7776"/>
      <c r="C7776"/>
      <c r="J7776"/>
      <c r="K7776"/>
      <c r="L7776"/>
    </row>
    <row r="7777" spans="2:12" x14ac:dyDescent="0.2">
      <c r="B7777"/>
      <c r="C7777"/>
      <c r="J7777"/>
      <c r="K7777"/>
      <c r="L7777"/>
    </row>
    <row r="7778" spans="2:12" x14ac:dyDescent="0.2">
      <c r="B7778"/>
      <c r="C7778"/>
      <c r="J7778"/>
      <c r="K7778"/>
      <c r="L7778"/>
    </row>
    <row r="7779" spans="2:12" x14ac:dyDescent="0.2">
      <c r="B7779"/>
      <c r="C7779"/>
      <c r="J7779"/>
      <c r="K7779"/>
      <c r="L7779"/>
    </row>
    <row r="7780" spans="2:12" x14ac:dyDescent="0.2">
      <c r="B7780"/>
      <c r="C7780"/>
      <c r="J7780"/>
      <c r="K7780"/>
      <c r="L7780"/>
    </row>
    <row r="7781" spans="2:12" x14ac:dyDescent="0.2">
      <c r="B7781"/>
      <c r="C7781"/>
      <c r="J7781"/>
      <c r="K7781"/>
      <c r="L7781"/>
    </row>
    <row r="7782" spans="2:12" x14ac:dyDescent="0.2">
      <c r="B7782"/>
      <c r="C7782"/>
      <c r="J7782"/>
      <c r="K7782"/>
      <c r="L7782"/>
    </row>
    <row r="7783" spans="2:12" x14ac:dyDescent="0.2">
      <c r="B7783"/>
      <c r="C7783"/>
      <c r="J7783"/>
      <c r="K7783"/>
      <c r="L7783"/>
    </row>
    <row r="7784" spans="2:12" x14ac:dyDescent="0.2">
      <c r="B7784"/>
      <c r="C7784"/>
      <c r="J7784"/>
      <c r="K7784"/>
      <c r="L7784"/>
    </row>
    <row r="7785" spans="2:12" x14ac:dyDescent="0.2">
      <c r="B7785"/>
      <c r="C7785"/>
      <c r="J7785"/>
      <c r="K7785"/>
      <c r="L7785"/>
    </row>
    <row r="7786" spans="2:12" x14ac:dyDescent="0.2">
      <c r="B7786"/>
      <c r="C7786"/>
      <c r="J7786"/>
      <c r="K7786"/>
      <c r="L7786"/>
    </row>
    <row r="7787" spans="2:12" x14ac:dyDescent="0.2">
      <c r="B7787"/>
      <c r="C7787"/>
      <c r="J7787"/>
      <c r="K7787"/>
      <c r="L7787"/>
    </row>
    <row r="7788" spans="2:12" x14ac:dyDescent="0.2">
      <c r="B7788"/>
      <c r="C7788"/>
      <c r="J7788"/>
      <c r="K7788"/>
      <c r="L7788"/>
    </row>
    <row r="7789" spans="2:12" x14ac:dyDescent="0.2">
      <c r="B7789"/>
      <c r="C7789"/>
      <c r="J7789"/>
      <c r="K7789"/>
      <c r="L7789"/>
    </row>
    <row r="7790" spans="2:12" x14ac:dyDescent="0.2">
      <c r="B7790"/>
      <c r="C7790"/>
      <c r="J7790"/>
      <c r="K7790"/>
      <c r="L7790"/>
    </row>
    <row r="7791" spans="2:12" x14ac:dyDescent="0.2">
      <c r="B7791"/>
      <c r="C7791"/>
      <c r="J7791"/>
      <c r="K7791"/>
      <c r="L7791"/>
    </row>
    <row r="7792" spans="2:12" x14ac:dyDescent="0.2">
      <c r="B7792"/>
      <c r="C7792"/>
      <c r="J7792"/>
      <c r="K7792"/>
      <c r="L7792"/>
    </row>
    <row r="7793" spans="2:12" x14ac:dyDescent="0.2">
      <c r="B7793"/>
      <c r="C7793"/>
      <c r="J7793"/>
      <c r="K7793"/>
      <c r="L7793"/>
    </row>
    <row r="7794" spans="2:12" x14ac:dyDescent="0.2">
      <c r="B7794"/>
      <c r="C7794"/>
      <c r="J7794"/>
      <c r="K7794"/>
      <c r="L7794"/>
    </row>
    <row r="7795" spans="2:12" x14ac:dyDescent="0.2">
      <c r="B7795"/>
      <c r="C7795"/>
      <c r="J7795"/>
      <c r="K7795"/>
      <c r="L7795"/>
    </row>
    <row r="7796" spans="2:12" x14ac:dyDescent="0.2">
      <c r="B7796"/>
      <c r="C7796"/>
      <c r="J7796"/>
      <c r="K7796"/>
      <c r="L7796"/>
    </row>
    <row r="7797" spans="2:12" x14ac:dyDescent="0.2">
      <c r="B7797"/>
      <c r="C7797"/>
      <c r="J7797"/>
      <c r="K7797"/>
      <c r="L7797"/>
    </row>
    <row r="7798" spans="2:12" x14ac:dyDescent="0.2">
      <c r="B7798"/>
      <c r="C7798"/>
      <c r="J7798"/>
      <c r="K7798"/>
      <c r="L7798"/>
    </row>
    <row r="7799" spans="2:12" x14ac:dyDescent="0.2">
      <c r="B7799"/>
      <c r="C7799"/>
      <c r="J7799"/>
      <c r="K7799"/>
      <c r="L7799"/>
    </row>
    <row r="7800" spans="2:12" x14ac:dyDescent="0.2">
      <c r="B7800"/>
      <c r="C7800"/>
      <c r="J7800"/>
      <c r="K7800"/>
      <c r="L7800"/>
    </row>
    <row r="7801" spans="2:12" x14ac:dyDescent="0.2">
      <c r="B7801"/>
      <c r="C7801"/>
      <c r="J7801"/>
      <c r="K7801"/>
      <c r="L7801"/>
    </row>
    <row r="7802" spans="2:12" x14ac:dyDescent="0.2">
      <c r="B7802"/>
      <c r="C7802"/>
      <c r="J7802"/>
      <c r="K7802"/>
      <c r="L7802"/>
    </row>
    <row r="7803" spans="2:12" x14ac:dyDescent="0.2">
      <c r="B7803"/>
      <c r="C7803"/>
      <c r="J7803"/>
      <c r="K7803"/>
      <c r="L7803"/>
    </row>
    <row r="7804" spans="2:12" x14ac:dyDescent="0.2">
      <c r="B7804"/>
      <c r="C7804"/>
      <c r="J7804"/>
      <c r="K7804"/>
      <c r="L7804"/>
    </row>
    <row r="7805" spans="2:12" x14ac:dyDescent="0.2">
      <c r="B7805"/>
      <c r="C7805"/>
      <c r="J7805"/>
      <c r="K7805"/>
      <c r="L7805"/>
    </row>
    <row r="7806" spans="2:12" x14ac:dyDescent="0.2">
      <c r="B7806"/>
      <c r="C7806"/>
      <c r="J7806"/>
      <c r="K7806"/>
      <c r="L7806"/>
    </row>
    <row r="7807" spans="2:12" x14ac:dyDescent="0.2">
      <c r="B7807"/>
      <c r="C7807"/>
      <c r="J7807"/>
      <c r="K7807"/>
      <c r="L7807"/>
    </row>
    <row r="7808" spans="2:12" x14ac:dyDescent="0.2">
      <c r="B7808"/>
      <c r="C7808"/>
      <c r="J7808"/>
      <c r="K7808"/>
      <c r="L7808"/>
    </row>
    <row r="7809" spans="2:12" x14ac:dyDescent="0.2">
      <c r="B7809"/>
      <c r="C7809"/>
      <c r="J7809"/>
      <c r="K7809"/>
      <c r="L7809"/>
    </row>
    <row r="7810" spans="2:12" x14ac:dyDescent="0.2">
      <c r="B7810"/>
      <c r="C7810"/>
      <c r="J7810"/>
      <c r="K7810"/>
      <c r="L7810"/>
    </row>
    <row r="7811" spans="2:12" x14ac:dyDescent="0.2">
      <c r="B7811"/>
      <c r="C7811"/>
      <c r="J7811"/>
      <c r="K7811"/>
      <c r="L7811"/>
    </row>
    <row r="7812" spans="2:12" x14ac:dyDescent="0.2">
      <c r="B7812"/>
      <c r="C7812"/>
      <c r="J7812"/>
      <c r="K7812"/>
      <c r="L7812"/>
    </row>
    <row r="7813" spans="2:12" x14ac:dyDescent="0.2">
      <c r="B7813"/>
      <c r="C7813"/>
      <c r="J7813"/>
      <c r="K7813"/>
      <c r="L7813"/>
    </row>
    <row r="7814" spans="2:12" x14ac:dyDescent="0.2">
      <c r="B7814"/>
      <c r="C7814"/>
      <c r="J7814"/>
      <c r="K7814"/>
      <c r="L7814"/>
    </row>
    <row r="7815" spans="2:12" x14ac:dyDescent="0.2">
      <c r="B7815"/>
      <c r="C7815"/>
      <c r="J7815"/>
      <c r="K7815"/>
      <c r="L7815"/>
    </row>
    <row r="7816" spans="2:12" x14ac:dyDescent="0.2">
      <c r="B7816"/>
      <c r="C7816"/>
      <c r="J7816"/>
      <c r="K7816"/>
      <c r="L7816"/>
    </row>
    <row r="7817" spans="2:12" x14ac:dyDescent="0.2">
      <c r="B7817"/>
      <c r="C7817"/>
      <c r="J7817"/>
      <c r="K7817"/>
      <c r="L7817"/>
    </row>
    <row r="7818" spans="2:12" x14ac:dyDescent="0.2">
      <c r="B7818"/>
      <c r="C7818"/>
      <c r="J7818"/>
      <c r="K7818"/>
      <c r="L7818"/>
    </row>
    <row r="7819" spans="2:12" x14ac:dyDescent="0.2">
      <c r="B7819"/>
      <c r="C7819"/>
      <c r="J7819"/>
      <c r="K7819"/>
      <c r="L7819"/>
    </row>
    <row r="7820" spans="2:12" x14ac:dyDescent="0.2">
      <c r="B7820"/>
      <c r="C7820"/>
      <c r="J7820"/>
      <c r="K7820"/>
      <c r="L7820"/>
    </row>
    <row r="7821" spans="2:12" x14ac:dyDescent="0.2">
      <c r="B7821"/>
      <c r="C7821"/>
      <c r="J7821"/>
      <c r="K7821"/>
      <c r="L7821"/>
    </row>
    <row r="7822" spans="2:12" x14ac:dyDescent="0.2">
      <c r="B7822"/>
      <c r="C7822"/>
      <c r="J7822"/>
      <c r="K7822"/>
      <c r="L7822"/>
    </row>
    <row r="7823" spans="2:12" x14ac:dyDescent="0.2">
      <c r="B7823"/>
      <c r="C7823"/>
      <c r="J7823"/>
      <c r="K7823"/>
      <c r="L7823"/>
    </row>
    <row r="7824" spans="2:12" x14ac:dyDescent="0.2">
      <c r="B7824"/>
      <c r="C7824"/>
      <c r="J7824"/>
      <c r="K7824"/>
      <c r="L7824"/>
    </row>
    <row r="7825" spans="2:12" x14ac:dyDescent="0.2">
      <c r="B7825"/>
      <c r="C7825"/>
      <c r="J7825"/>
      <c r="K7825"/>
      <c r="L7825"/>
    </row>
    <row r="7826" spans="2:12" x14ac:dyDescent="0.2">
      <c r="B7826"/>
      <c r="C7826"/>
      <c r="J7826"/>
      <c r="K7826"/>
      <c r="L7826"/>
    </row>
    <row r="7827" spans="2:12" x14ac:dyDescent="0.2">
      <c r="B7827"/>
      <c r="C7827"/>
      <c r="J7827"/>
      <c r="K7827"/>
      <c r="L7827"/>
    </row>
    <row r="7828" spans="2:12" x14ac:dyDescent="0.2">
      <c r="B7828"/>
      <c r="C7828"/>
      <c r="J7828"/>
      <c r="K7828"/>
      <c r="L7828"/>
    </row>
    <row r="7829" spans="2:12" x14ac:dyDescent="0.2">
      <c r="B7829"/>
      <c r="C7829"/>
      <c r="J7829"/>
      <c r="K7829"/>
      <c r="L7829"/>
    </row>
    <row r="7830" spans="2:12" x14ac:dyDescent="0.2">
      <c r="B7830"/>
      <c r="C7830"/>
      <c r="J7830"/>
      <c r="K7830"/>
      <c r="L7830"/>
    </row>
    <row r="7831" spans="2:12" x14ac:dyDescent="0.2">
      <c r="B7831"/>
      <c r="C7831"/>
      <c r="J7831"/>
      <c r="K7831"/>
      <c r="L7831"/>
    </row>
    <row r="7832" spans="2:12" x14ac:dyDescent="0.2">
      <c r="B7832"/>
      <c r="C7832"/>
      <c r="J7832"/>
      <c r="K7832"/>
      <c r="L7832"/>
    </row>
    <row r="7833" spans="2:12" x14ac:dyDescent="0.2">
      <c r="B7833"/>
      <c r="C7833"/>
      <c r="J7833"/>
      <c r="K7833"/>
      <c r="L7833"/>
    </row>
    <row r="7834" spans="2:12" x14ac:dyDescent="0.2">
      <c r="B7834"/>
      <c r="C7834"/>
      <c r="J7834"/>
      <c r="K7834"/>
      <c r="L7834"/>
    </row>
    <row r="7835" spans="2:12" x14ac:dyDescent="0.2">
      <c r="B7835"/>
      <c r="C7835"/>
      <c r="J7835"/>
      <c r="K7835"/>
      <c r="L7835"/>
    </row>
    <row r="7836" spans="2:12" x14ac:dyDescent="0.2">
      <c r="B7836"/>
      <c r="C7836"/>
      <c r="J7836"/>
      <c r="K7836"/>
      <c r="L7836"/>
    </row>
    <row r="7837" spans="2:12" x14ac:dyDescent="0.2">
      <c r="B7837"/>
      <c r="C7837"/>
      <c r="J7837"/>
      <c r="K7837"/>
      <c r="L7837"/>
    </row>
    <row r="7838" spans="2:12" x14ac:dyDescent="0.2">
      <c r="B7838"/>
      <c r="C7838"/>
      <c r="J7838"/>
      <c r="K7838"/>
      <c r="L7838"/>
    </row>
    <row r="7839" spans="2:12" x14ac:dyDescent="0.2">
      <c r="B7839"/>
      <c r="C7839"/>
      <c r="J7839"/>
      <c r="K7839"/>
      <c r="L7839"/>
    </row>
    <row r="7840" spans="2:12" x14ac:dyDescent="0.2">
      <c r="B7840"/>
      <c r="C7840"/>
      <c r="J7840"/>
      <c r="K7840"/>
      <c r="L7840"/>
    </row>
    <row r="7841" spans="2:12" x14ac:dyDescent="0.2">
      <c r="B7841"/>
      <c r="C7841"/>
      <c r="J7841"/>
      <c r="K7841"/>
      <c r="L7841"/>
    </row>
    <row r="7842" spans="2:12" x14ac:dyDescent="0.2">
      <c r="B7842"/>
      <c r="C7842"/>
      <c r="J7842"/>
      <c r="K7842"/>
      <c r="L7842"/>
    </row>
    <row r="7843" spans="2:12" x14ac:dyDescent="0.2">
      <c r="B7843"/>
      <c r="C7843"/>
      <c r="J7843"/>
      <c r="K7843"/>
      <c r="L7843"/>
    </row>
    <row r="7844" spans="2:12" x14ac:dyDescent="0.2">
      <c r="B7844"/>
      <c r="C7844"/>
      <c r="J7844"/>
      <c r="K7844"/>
      <c r="L7844"/>
    </row>
    <row r="7845" spans="2:12" x14ac:dyDescent="0.2">
      <c r="B7845"/>
      <c r="C7845"/>
      <c r="J7845"/>
      <c r="K7845"/>
      <c r="L7845"/>
    </row>
    <row r="7846" spans="2:12" x14ac:dyDescent="0.2">
      <c r="B7846"/>
      <c r="C7846"/>
      <c r="J7846"/>
      <c r="K7846"/>
      <c r="L7846"/>
    </row>
    <row r="7847" spans="2:12" x14ac:dyDescent="0.2">
      <c r="B7847"/>
      <c r="C7847"/>
      <c r="J7847"/>
      <c r="K7847"/>
      <c r="L7847"/>
    </row>
    <row r="7848" spans="2:12" x14ac:dyDescent="0.2">
      <c r="B7848"/>
      <c r="C7848"/>
      <c r="J7848"/>
      <c r="K7848"/>
      <c r="L7848"/>
    </row>
    <row r="7849" spans="2:12" x14ac:dyDescent="0.2">
      <c r="B7849"/>
      <c r="C7849"/>
      <c r="J7849"/>
      <c r="K7849"/>
      <c r="L7849"/>
    </row>
    <row r="7850" spans="2:12" x14ac:dyDescent="0.2">
      <c r="B7850"/>
      <c r="C7850"/>
      <c r="J7850"/>
      <c r="K7850"/>
      <c r="L7850"/>
    </row>
    <row r="7851" spans="2:12" x14ac:dyDescent="0.2">
      <c r="B7851"/>
      <c r="C7851"/>
      <c r="J7851"/>
      <c r="K7851"/>
      <c r="L7851"/>
    </row>
    <row r="7852" spans="2:12" x14ac:dyDescent="0.2">
      <c r="B7852"/>
      <c r="C7852"/>
      <c r="J7852"/>
      <c r="K7852"/>
      <c r="L7852"/>
    </row>
    <row r="7853" spans="2:12" x14ac:dyDescent="0.2">
      <c r="B7853"/>
      <c r="C7853"/>
      <c r="J7853"/>
      <c r="K7853"/>
      <c r="L7853"/>
    </row>
    <row r="7854" spans="2:12" x14ac:dyDescent="0.2">
      <c r="B7854"/>
      <c r="C7854"/>
      <c r="J7854"/>
      <c r="K7854"/>
      <c r="L7854"/>
    </row>
    <row r="7855" spans="2:12" x14ac:dyDescent="0.2">
      <c r="B7855"/>
      <c r="C7855"/>
      <c r="J7855"/>
      <c r="K7855"/>
      <c r="L7855"/>
    </row>
    <row r="7856" spans="2:12" x14ac:dyDescent="0.2">
      <c r="B7856"/>
      <c r="C7856"/>
      <c r="J7856"/>
      <c r="K7856"/>
      <c r="L7856"/>
    </row>
    <row r="7857" spans="2:12" x14ac:dyDescent="0.2">
      <c r="B7857"/>
      <c r="C7857"/>
      <c r="J7857"/>
      <c r="K7857"/>
      <c r="L7857"/>
    </row>
    <row r="7858" spans="2:12" x14ac:dyDescent="0.2">
      <c r="B7858"/>
      <c r="C7858"/>
      <c r="J7858"/>
      <c r="K7858"/>
      <c r="L7858"/>
    </row>
    <row r="7859" spans="2:12" x14ac:dyDescent="0.2">
      <c r="B7859"/>
      <c r="C7859"/>
      <c r="J7859"/>
      <c r="K7859"/>
      <c r="L7859"/>
    </row>
    <row r="7860" spans="2:12" x14ac:dyDescent="0.2">
      <c r="B7860"/>
      <c r="C7860"/>
      <c r="J7860"/>
      <c r="K7860"/>
      <c r="L7860"/>
    </row>
    <row r="7861" spans="2:12" x14ac:dyDescent="0.2">
      <c r="B7861"/>
      <c r="C7861"/>
      <c r="J7861"/>
      <c r="K7861"/>
      <c r="L7861"/>
    </row>
    <row r="7862" spans="2:12" x14ac:dyDescent="0.2">
      <c r="B7862"/>
      <c r="C7862"/>
      <c r="J7862"/>
      <c r="K7862"/>
      <c r="L7862"/>
    </row>
    <row r="7863" spans="2:12" x14ac:dyDescent="0.2">
      <c r="B7863"/>
      <c r="C7863"/>
      <c r="J7863"/>
      <c r="K7863"/>
      <c r="L7863"/>
    </row>
    <row r="7864" spans="2:12" x14ac:dyDescent="0.2">
      <c r="B7864"/>
      <c r="C7864"/>
      <c r="J7864"/>
      <c r="K7864"/>
      <c r="L7864"/>
    </row>
    <row r="7865" spans="2:12" x14ac:dyDescent="0.2">
      <c r="B7865"/>
      <c r="C7865"/>
      <c r="J7865"/>
      <c r="K7865"/>
      <c r="L7865"/>
    </row>
    <row r="7866" spans="2:12" x14ac:dyDescent="0.2">
      <c r="B7866"/>
      <c r="C7866"/>
      <c r="J7866"/>
      <c r="K7866"/>
      <c r="L7866"/>
    </row>
    <row r="7867" spans="2:12" x14ac:dyDescent="0.2">
      <c r="B7867"/>
      <c r="C7867"/>
      <c r="J7867"/>
      <c r="K7867"/>
      <c r="L7867"/>
    </row>
    <row r="7868" spans="2:12" x14ac:dyDescent="0.2">
      <c r="B7868"/>
      <c r="C7868"/>
      <c r="J7868"/>
      <c r="K7868"/>
      <c r="L7868"/>
    </row>
    <row r="7869" spans="2:12" x14ac:dyDescent="0.2">
      <c r="B7869"/>
      <c r="C7869"/>
      <c r="J7869"/>
      <c r="K7869"/>
      <c r="L7869"/>
    </row>
    <row r="7870" spans="2:12" x14ac:dyDescent="0.2">
      <c r="B7870"/>
      <c r="C7870"/>
      <c r="J7870"/>
      <c r="K7870"/>
      <c r="L7870"/>
    </row>
    <row r="7871" spans="2:12" x14ac:dyDescent="0.2">
      <c r="B7871"/>
      <c r="C7871"/>
      <c r="J7871"/>
      <c r="K7871"/>
      <c r="L7871"/>
    </row>
    <row r="7872" spans="2:12" x14ac:dyDescent="0.2">
      <c r="B7872"/>
      <c r="C7872"/>
      <c r="J7872"/>
      <c r="K7872"/>
      <c r="L7872"/>
    </row>
    <row r="7873" spans="2:12" x14ac:dyDescent="0.2">
      <c r="B7873"/>
      <c r="C7873"/>
      <c r="J7873"/>
      <c r="K7873"/>
      <c r="L7873"/>
    </row>
    <row r="7874" spans="2:12" x14ac:dyDescent="0.2">
      <c r="B7874"/>
      <c r="C7874"/>
      <c r="J7874"/>
      <c r="K7874"/>
      <c r="L7874"/>
    </row>
    <row r="7875" spans="2:12" x14ac:dyDescent="0.2">
      <c r="B7875"/>
      <c r="C7875"/>
      <c r="J7875"/>
      <c r="K7875"/>
      <c r="L7875"/>
    </row>
    <row r="7876" spans="2:12" x14ac:dyDescent="0.2">
      <c r="B7876"/>
      <c r="C7876"/>
      <c r="J7876"/>
      <c r="K7876"/>
      <c r="L7876"/>
    </row>
    <row r="7877" spans="2:12" x14ac:dyDescent="0.2">
      <c r="B7877"/>
      <c r="C7877"/>
      <c r="J7877"/>
      <c r="K7877"/>
      <c r="L7877"/>
    </row>
    <row r="7878" spans="2:12" x14ac:dyDescent="0.2">
      <c r="B7878"/>
      <c r="C7878"/>
      <c r="J7878"/>
      <c r="K7878"/>
      <c r="L7878"/>
    </row>
    <row r="7879" spans="2:12" x14ac:dyDescent="0.2">
      <c r="B7879"/>
      <c r="C7879"/>
      <c r="J7879"/>
      <c r="K7879"/>
      <c r="L7879"/>
    </row>
    <row r="7880" spans="2:12" x14ac:dyDescent="0.2">
      <c r="B7880"/>
      <c r="C7880"/>
      <c r="J7880"/>
      <c r="K7880"/>
      <c r="L7880"/>
    </row>
    <row r="7881" spans="2:12" x14ac:dyDescent="0.2">
      <c r="B7881"/>
      <c r="C7881"/>
      <c r="J7881"/>
      <c r="K7881"/>
      <c r="L7881"/>
    </row>
    <row r="7882" spans="2:12" x14ac:dyDescent="0.2">
      <c r="B7882"/>
      <c r="C7882"/>
      <c r="J7882"/>
      <c r="K7882"/>
      <c r="L7882"/>
    </row>
    <row r="7883" spans="2:12" x14ac:dyDescent="0.2">
      <c r="B7883"/>
      <c r="C7883"/>
      <c r="J7883"/>
      <c r="K7883"/>
      <c r="L7883"/>
    </row>
    <row r="7884" spans="2:12" x14ac:dyDescent="0.2">
      <c r="B7884"/>
      <c r="C7884"/>
      <c r="J7884"/>
      <c r="K7884"/>
      <c r="L7884"/>
    </row>
    <row r="7885" spans="2:12" x14ac:dyDescent="0.2">
      <c r="B7885"/>
      <c r="C7885"/>
      <c r="J7885"/>
      <c r="K7885"/>
      <c r="L7885"/>
    </row>
    <row r="7886" spans="2:12" x14ac:dyDescent="0.2">
      <c r="B7886"/>
      <c r="C7886"/>
      <c r="J7886"/>
      <c r="K7886"/>
      <c r="L7886"/>
    </row>
    <row r="7887" spans="2:12" x14ac:dyDescent="0.2">
      <c r="B7887"/>
      <c r="C7887"/>
      <c r="J7887"/>
      <c r="K7887"/>
      <c r="L7887"/>
    </row>
    <row r="7888" spans="2:12" x14ac:dyDescent="0.2">
      <c r="B7888"/>
      <c r="C7888"/>
      <c r="J7888"/>
      <c r="K7888"/>
      <c r="L7888"/>
    </row>
    <row r="7889" spans="2:12" x14ac:dyDescent="0.2">
      <c r="B7889"/>
      <c r="C7889"/>
      <c r="J7889"/>
      <c r="K7889"/>
      <c r="L7889"/>
    </row>
    <row r="7890" spans="2:12" x14ac:dyDescent="0.2">
      <c r="B7890"/>
      <c r="C7890"/>
      <c r="J7890"/>
      <c r="K7890"/>
      <c r="L7890"/>
    </row>
    <row r="7891" spans="2:12" x14ac:dyDescent="0.2">
      <c r="B7891"/>
      <c r="C7891"/>
      <c r="J7891"/>
      <c r="K7891"/>
      <c r="L7891"/>
    </row>
    <row r="7892" spans="2:12" x14ac:dyDescent="0.2">
      <c r="B7892"/>
      <c r="C7892"/>
      <c r="J7892"/>
      <c r="K7892"/>
      <c r="L7892"/>
    </row>
    <row r="7893" spans="2:12" x14ac:dyDescent="0.2">
      <c r="B7893"/>
      <c r="C7893"/>
      <c r="J7893"/>
      <c r="K7893"/>
      <c r="L7893"/>
    </row>
    <row r="7894" spans="2:12" x14ac:dyDescent="0.2">
      <c r="B7894"/>
      <c r="C7894"/>
      <c r="J7894"/>
      <c r="K7894"/>
      <c r="L7894"/>
    </row>
    <row r="7895" spans="2:12" x14ac:dyDescent="0.2">
      <c r="B7895"/>
      <c r="C7895"/>
      <c r="J7895"/>
      <c r="K7895"/>
      <c r="L7895"/>
    </row>
    <row r="7896" spans="2:12" x14ac:dyDescent="0.2">
      <c r="B7896"/>
      <c r="C7896"/>
      <c r="J7896"/>
      <c r="K7896"/>
      <c r="L7896"/>
    </row>
    <row r="7897" spans="2:12" x14ac:dyDescent="0.2">
      <c r="B7897"/>
      <c r="C7897"/>
      <c r="J7897"/>
      <c r="K7897"/>
      <c r="L7897"/>
    </row>
    <row r="7898" spans="2:12" x14ac:dyDescent="0.2">
      <c r="B7898"/>
      <c r="C7898"/>
      <c r="J7898"/>
      <c r="K7898"/>
      <c r="L7898"/>
    </row>
    <row r="7899" spans="2:12" x14ac:dyDescent="0.2">
      <c r="B7899"/>
      <c r="C7899"/>
      <c r="J7899"/>
      <c r="K7899"/>
      <c r="L7899"/>
    </row>
    <row r="7900" spans="2:12" x14ac:dyDescent="0.2">
      <c r="B7900"/>
      <c r="C7900"/>
      <c r="J7900"/>
      <c r="K7900"/>
      <c r="L7900"/>
    </row>
    <row r="7901" spans="2:12" x14ac:dyDescent="0.2">
      <c r="B7901"/>
      <c r="C7901"/>
      <c r="J7901"/>
      <c r="K7901"/>
      <c r="L7901"/>
    </row>
    <row r="7902" spans="2:12" x14ac:dyDescent="0.2">
      <c r="B7902"/>
      <c r="C7902"/>
      <c r="J7902"/>
      <c r="K7902"/>
      <c r="L7902"/>
    </row>
    <row r="7903" spans="2:12" x14ac:dyDescent="0.2">
      <c r="B7903"/>
      <c r="C7903"/>
      <c r="J7903"/>
      <c r="K7903"/>
      <c r="L7903"/>
    </row>
    <row r="7904" spans="2:12" x14ac:dyDescent="0.2">
      <c r="B7904"/>
      <c r="C7904"/>
      <c r="J7904"/>
      <c r="K7904"/>
      <c r="L7904"/>
    </row>
    <row r="7905" spans="2:12" x14ac:dyDescent="0.2">
      <c r="B7905"/>
      <c r="C7905"/>
      <c r="J7905"/>
      <c r="K7905"/>
      <c r="L7905"/>
    </row>
    <row r="7906" spans="2:12" x14ac:dyDescent="0.2">
      <c r="B7906"/>
      <c r="C7906"/>
      <c r="J7906"/>
      <c r="K7906"/>
      <c r="L7906"/>
    </row>
    <row r="7907" spans="2:12" x14ac:dyDescent="0.2">
      <c r="B7907"/>
      <c r="C7907"/>
      <c r="J7907"/>
      <c r="K7907"/>
      <c r="L7907"/>
    </row>
    <row r="7908" spans="2:12" x14ac:dyDescent="0.2">
      <c r="B7908"/>
      <c r="C7908"/>
      <c r="J7908"/>
      <c r="K7908"/>
      <c r="L7908"/>
    </row>
    <row r="7909" spans="2:12" x14ac:dyDescent="0.2">
      <c r="B7909"/>
      <c r="C7909"/>
      <c r="J7909"/>
      <c r="K7909"/>
      <c r="L7909"/>
    </row>
    <row r="7910" spans="2:12" x14ac:dyDescent="0.2">
      <c r="B7910"/>
      <c r="C7910"/>
      <c r="J7910"/>
      <c r="K7910"/>
      <c r="L7910"/>
    </row>
    <row r="7911" spans="2:12" x14ac:dyDescent="0.2">
      <c r="B7911"/>
      <c r="C7911"/>
      <c r="J7911"/>
      <c r="K7911"/>
      <c r="L7911"/>
    </row>
    <row r="7912" spans="2:12" x14ac:dyDescent="0.2">
      <c r="B7912"/>
      <c r="C7912"/>
      <c r="J7912"/>
      <c r="K7912"/>
      <c r="L7912"/>
    </row>
    <row r="7913" spans="2:12" x14ac:dyDescent="0.2">
      <c r="B7913"/>
      <c r="C7913"/>
      <c r="J7913"/>
      <c r="K7913"/>
      <c r="L7913"/>
    </row>
    <row r="7914" spans="2:12" x14ac:dyDescent="0.2">
      <c r="B7914"/>
      <c r="C7914"/>
      <c r="J7914"/>
      <c r="K7914"/>
      <c r="L7914"/>
    </row>
    <row r="7915" spans="2:12" x14ac:dyDescent="0.2">
      <c r="B7915"/>
      <c r="C7915"/>
      <c r="J7915"/>
      <c r="K7915"/>
      <c r="L7915"/>
    </row>
    <row r="7916" spans="2:12" x14ac:dyDescent="0.2">
      <c r="B7916"/>
      <c r="C7916"/>
      <c r="J7916"/>
      <c r="K7916"/>
      <c r="L7916"/>
    </row>
    <row r="7917" spans="2:12" x14ac:dyDescent="0.2">
      <c r="B7917"/>
      <c r="C7917"/>
      <c r="J7917"/>
      <c r="K7917"/>
      <c r="L7917"/>
    </row>
    <row r="7918" spans="2:12" x14ac:dyDescent="0.2">
      <c r="B7918"/>
      <c r="C7918"/>
      <c r="J7918"/>
      <c r="K7918"/>
      <c r="L7918"/>
    </row>
    <row r="7919" spans="2:12" x14ac:dyDescent="0.2">
      <c r="B7919"/>
      <c r="C7919"/>
      <c r="J7919"/>
      <c r="K7919"/>
      <c r="L7919"/>
    </row>
    <row r="7920" spans="2:12" x14ac:dyDescent="0.2">
      <c r="B7920"/>
      <c r="C7920"/>
      <c r="J7920"/>
      <c r="K7920"/>
      <c r="L7920"/>
    </row>
    <row r="7921" spans="2:12" x14ac:dyDescent="0.2">
      <c r="B7921"/>
      <c r="C7921"/>
      <c r="J7921"/>
      <c r="K7921"/>
      <c r="L7921"/>
    </row>
    <row r="7922" spans="2:12" x14ac:dyDescent="0.2">
      <c r="B7922"/>
      <c r="C7922"/>
      <c r="J7922"/>
      <c r="K7922"/>
      <c r="L7922"/>
    </row>
    <row r="7923" spans="2:12" x14ac:dyDescent="0.2">
      <c r="B7923"/>
      <c r="C7923"/>
      <c r="J7923"/>
      <c r="K7923"/>
      <c r="L7923"/>
    </row>
    <row r="7924" spans="2:12" x14ac:dyDescent="0.2">
      <c r="B7924"/>
      <c r="C7924"/>
      <c r="J7924"/>
      <c r="K7924"/>
      <c r="L7924"/>
    </row>
    <row r="7925" spans="2:12" x14ac:dyDescent="0.2">
      <c r="B7925"/>
      <c r="C7925"/>
      <c r="J7925"/>
      <c r="K7925"/>
      <c r="L7925"/>
    </row>
    <row r="7926" spans="2:12" x14ac:dyDescent="0.2">
      <c r="B7926"/>
      <c r="C7926"/>
      <c r="J7926"/>
      <c r="K7926"/>
      <c r="L7926"/>
    </row>
    <row r="7927" spans="2:12" x14ac:dyDescent="0.2">
      <c r="B7927"/>
      <c r="C7927"/>
      <c r="J7927"/>
      <c r="K7927"/>
      <c r="L7927"/>
    </row>
    <row r="7928" spans="2:12" x14ac:dyDescent="0.2">
      <c r="B7928"/>
      <c r="C7928"/>
      <c r="J7928"/>
      <c r="K7928"/>
      <c r="L7928"/>
    </row>
    <row r="7929" spans="2:12" x14ac:dyDescent="0.2">
      <c r="B7929"/>
      <c r="C7929"/>
      <c r="J7929"/>
      <c r="K7929"/>
      <c r="L7929"/>
    </row>
    <row r="7930" spans="2:12" x14ac:dyDescent="0.2">
      <c r="B7930"/>
      <c r="C7930"/>
      <c r="J7930"/>
      <c r="K7930"/>
      <c r="L7930"/>
    </row>
    <row r="7931" spans="2:12" x14ac:dyDescent="0.2">
      <c r="B7931"/>
      <c r="C7931"/>
      <c r="J7931"/>
      <c r="K7931"/>
      <c r="L7931"/>
    </row>
    <row r="7932" spans="2:12" x14ac:dyDescent="0.2">
      <c r="B7932"/>
      <c r="C7932"/>
      <c r="J7932"/>
      <c r="K7932"/>
      <c r="L7932"/>
    </row>
    <row r="7933" spans="2:12" x14ac:dyDescent="0.2">
      <c r="B7933"/>
      <c r="C7933"/>
      <c r="J7933"/>
      <c r="K7933"/>
      <c r="L7933"/>
    </row>
    <row r="7934" spans="2:12" x14ac:dyDescent="0.2">
      <c r="B7934"/>
      <c r="C7934"/>
      <c r="J7934"/>
      <c r="K7934"/>
      <c r="L7934"/>
    </row>
    <row r="7935" spans="2:12" x14ac:dyDescent="0.2">
      <c r="B7935"/>
      <c r="C7935"/>
      <c r="J7935"/>
      <c r="K7935"/>
      <c r="L7935"/>
    </row>
    <row r="7936" spans="2:12" x14ac:dyDescent="0.2">
      <c r="B7936"/>
      <c r="C7936"/>
      <c r="J7936"/>
      <c r="K7936"/>
      <c r="L7936"/>
    </row>
    <row r="7937" spans="2:12" x14ac:dyDescent="0.2">
      <c r="B7937"/>
      <c r="C7937"/>
      <c r="J7937"/>
      <c r="K7937"/>
      <c r="L7937"/>
    </row>
    <row r="7938" spans="2:12" x14ac:dyDescent="0.2">
      <c r="B7938"/>
      <c r="C7938"/>
      <c r="J7938"/>
      <c r="K7938"/>
      <c r="L7938"/>
    </row>
    <row r="7939" spans="2:12" x14ac:dyDescent="0.2">
      <c r="B7939"/>
      <c r="C7939"/>
      <c r="J7939"/>
      <c r="K7939"/>
      <c r="L7939"/>
    </row>
    <row r="7940" spans="2:12" x14ac:dyDescent="0.2">
      <c r="B7940"/>
      <c r="C7940"/>
      <c r="J7940"/>
      <c r="K7940"/>
      <c r="L7940"/>
    </row>
    <row r="7941" spans="2:12" x14ac:dyDescent="0.2">
      <c r="B7941"/>
      <c r="C7941"/>
      <c r="J7941"/>
      <c r="K7941"/>
      <c r="L7941"/>
    </row>
    <row r="7942" spans="2:12" x14ac:dyDescent="0.2">
      <c r="B7942"/>
      <c r="C7942"/>
      <c r="J7942"/>
      <c r="K7942"/>
      <c r="L7942"/>
    </row>
    <row r="7943" spans="2:12" x14ac:dyDescent="0.2">
      <c r="B7943"/>
      <c r="C7943"/>
      <c r="J7943"/>
      <c r="K7943"/>
      <c r="L7943"/>
    </row>
    <row r="7944" spans="2:12" x14ac:dyDescent="0.2">
      <c r="B7944"/>
      <c r="C7944"/>
      <c r="J7944"/>
      <c r="K7944"/>
      <c r="L7944"/>
    </row>
    <row r="7945" spans="2:12" x14ac:dyDescent="0.2">
      <c r="B7945"/>
      <c r="C7945"/>
      <c r="J7945"/>
      <c r="K7945"/>
      <c r="L7945"/>
    </row>
    <row r="7946" spans="2:12" x14ac:dyDescent="0.2">
      <c r="B7946"/>
      <c r="C7946"/>
      <c r="J7946"/>
      <c r="K7946"/>
      <c r="L7946"/>
    </row>
    <row r="7947" spans="2:12" x14ac:dyDescent="0.2">
      <c r="B7947"/>
      <c r="C7947"/>
      <c r="J7947"/>
      <c r="K7947"/>
      <c r="L7947"/>
    </row>
    <row r="7948" spans="2:12" x14ac:dyDescent="0.2">
      <c r="B7948"/>
      <c r="C7948"/>
      <c r="J7948"/>
      <c r="K7948"/>
      <c r="L7948"/>
    </row>
    <row r="7949" spans="2:12" x14ac:dyDescent="0.2">
      <c r="B7949"/>
      <c r="C7949"/>
      <c r="J7949"/>
      <c r="K7949"/>
      <c r="L7949"/>
    </row>
    <row r="7950" spans="2:12" x14ac:dyDescent="0.2">
      <c r="B7950"/>
      <c r="C7950"/>
      <c r="J7950"/>
      <c r="K7950"/>
      <c r="L7950"/>
    </row>
    <row r="7951" spans="2:12" x14ac:dyDescent="0.2">
      <c r="B7951"/>
      <c r="C7951"/>
      <c r="J7951"/>
      <c r="K7951"/>
      <c r="L7951"/>
    </row>
    <row r="7952" spans="2:12" x14ac:dyDescent="0.2">
      <c r="B7952"/>
      <c r="C7952"/>
      <c r="J7952"/>
      <c r="K7952"/>
      <c r="L7952"/>
    </row>
    <row r="7953" spans="2:12" x14ac:dyDescent="0.2">
      <c r="B7953"/>
      <c r="C7953"/>
      <c r="J7953"/>
      <c r="K7953"/>
      <c r="L7953"/>
    </row>
    <row r="7954" spans="2:12" x14ac:dyDescent="0.2">
      <c r="B7954"/>
      <c r="C7954"/>
      <c r="J7954"/>
      <c r="K7954"/>
      <c r="L7954"/>
    </row>
    <row r="7955" spans="2:12" x14ac:dyDescent="0.2">
      <c r="B7955"/>
      <c r="C7955"/>
      <c r="J7955"/>
      <c r="K7955"/>
      <c r="L7955"/>
    </row>
    <row r="7956" spans="2:12" x14ac:dyDescent="0.2">
      <c r="B7956"/>
      <c r="C7956"/>
      <c r="J7956"/>
      <c r="K7956"/>
      <c r="L7956"/>
    </row>
    <row r="7957" spans="2:12" x14ac:dyDescent="0.2">
      <c r="B7957"/>
      <c r="C7957"/>
      <c r="J7957"/>
      <c r="K7957"/>
      <c r="L7957"/>
    </row>
    <row r="7958" spans="2:12" x14ac:dyDescent="0.2">
      <c r="B7958"/>
      <c r="C7958"/>
      <c r="J7958"/>
      <c r="K7958"/>
      <c r="L7958"/>
    </row>
    <row r="7959" spans="2:12" x14ac:dyDescent="0.2">
      <c r="B7959"/>
      <c r="C7959"/>
      <c r="J7959"/>
      <c r="K7959"/>
      <c r="L7959"/>
    </row>
    <row r="7960" spans="2:12" x14ac:dyDescent="0.2">
      <c r="B7960"/>
      <c r="C7960"/>
      <c r="J7960"/>
      <c r="K7960"/>
      <c r="L7960"/>
    </row>
    <row r="7961" spans="2:12" x14ac:dyDescent="0.2">
      <c r="B7961"/>
      <c r="C7961"/>
      <c r="J7961"/>
      <c r="K7961"/>
      <c r="L7961"/>
    </row>
    <row r="7962" spans="2:12" x14ac:dyDescent="0.2">
      <c r="B7962"/>
      <c r="C7962"/>
      <c r="J7962"/>
      <c r="K7962"/>
      <c r="L7962"/>
    </row>
    <row r="7963" spans="2:12" x14ac:dyDescent="0.2">
      <c r="B7963"/>
      <c r="C7963"/>
      <c r="J7963"/>
      <c r="K7963"/>
      <c r="L7963"/>
    </row>
    <row r="7964" spans="2:12" x14ac:dyDescent="0.2">
      <c r="B7964"/>
      <c r="C7964"/>
      <c r="J7964"/>
      <c r="K7964"/>
      <c r="L7964"/>
    </row>
    <row r="7965" spans="2:12" x14ac:dyDescent="0.2">
      <c r="B7965"/>
      <c r="C7965"/>
      <c r="J7965"/>
      <c r="K7965"/>
      <c r="L7965"/>
    </row>
    <row r="7966" spans="2:12" x14ac:dyDescent="0.2">
      <c r="B7966"/>
      <c r="C7966"/>
      <c r="J7966"/>
      <c r="K7966"/>
      <c r="L7966"/>
    </row>
    <row r="7967" spans="2:12" x14ac:dyDescent="0.2">
      <c r="B7967"/>
      <c r="C7967"/>
      <c r="J7967"/>
      <c r="K7967"/>
      <c r="L7967"/>
    </row>
    <row r="7968" spans="2:12" x14ac:dyDescent="0.2">
      <c r="B7968"/>
      <c r="C7968"/>
      <c r="J7968"/>
      <c r="K7968"/>
      <c r="L7968"/>
    </row>
    <row r="7969" spans="2:12" x14ac:dyDescent="0.2">
      <c r="B7969"/>
      <c r="C7969"/>
      <c r="J7969"/>
      <c r="K7969"/>
      <c r="L7969"/>
    </row>
    <row r="7970" spans="2:12" x14ac:dyDescent="0.2">
      <c r="B7970"/>
      <c r="C7970"/>
      <c r="J7970"/>
      <c r="K7970"/>
      <c r="L7970"/>
    </row>
    <row r="7971" spans="2:12" x14ac:dyDescent="0.2">
      <c r="B7971"/>
      <c r="C7971"/>
      <c r="J7971"/>
      <c r="K7971"/>
      <c r="L7971"/>
    </row>
    <row r="7972" spans="2:12" x14ac:dyDescent="0.2">
      <c r="B7972"/>
      <c r="C7972"/>
      <c r="J7972"/>
      <c r="K7972"/>
      <c r="L7972"/>
    </row>
    <row r="7973" spans="2:12" x14ac:dyDescent="0.2">
      <c r="B7973"/>
      <c r="C7973"/>
      <c r="J7973"/>
      <c r="K7973"/>
      <c r="L7973"/>
    </row>
    <row r="7974" spans="2:12" x14ac:dyDescent="0.2">
      <c r="B7974"/>
      <c r="C7974"/>
      <c r="J7974"/>
      <c r="K7974"/>
      <c r="L7974"/>
    </row>
    <row r="7975" spans="2:12" x14ac:dyDescent="0.2">
      <c r="B7975"/>
      <c r="C7975"/>
      <c r="J7975"/>
      <c r="K7975"/>
      <c r="L7975"/>
    </row>
    <row r="7976" spans="2:12" x14ac:dyDescent="0.2">
      <c r="B7976"/>
      <c r="C7976"/>
      <c r="J7976"/>
      <c r="K7976"/>
      <c r="L7976"/>
    </row>
    <row r="7977" spans="2:12" x14ac:dyDescent="0.2">
      <c r="B7977"/>
      <c r="C7977"/>
      <c r="J7977"/>
      <c r="K7977"/>
      <c r="L7977"/>
    </row>
    <row r="7978" spans="2:12" x14ac:dyDescent="0.2">
      <c r="B7978"/>
      <c r="C7978"/>
      <c r="J7978"/>
      <c r="K7978"/>
      <c r="L7978"/>
    </row>
    <row r="7979" spans="2:12" x14ac:dyDescent="0.2">
      <c r="B7979"/>
      <c r="C7979"/>
      <c r="J7979"/>
      <c r="K7979"/>
      <c r="L7979"/>
    </row>
    <row r="7980" spans="2:12" x14ac:dyDescent="0.2">
      <c r="B7980"/>
      <c r="C7980"/>
      <c r="J7980"/>
      <c r="K7980"/>
      <c r="L7980"/>
    </row>
    <row r="7981" spans="2:12" x14ac:dyDescent="0.2">
      <c r="B7981"/>
      <c r="C7981"/>
      <c r="J7981"/>
      <c r="K7981"/>
      <c r="L7981"/>
    </row>
    <row r="7982" spans="2:12" x14ac:dyDescent="0.2">
      <c r="B7982"/>
      <c r="C7982"/>
      <c r="J7982"/>
      <c r="K7982"/>
      <c r="L7982"/>
    </row>
    <row r="7983" spans="2:12" x14ac:dyDescent="0.2">
      <c r="B7983"/>
      <c r="C7983"/>
      <c r="J7983"/>
      <c r="K7983"/>
      <c r="L7983"/>
    </row>
    <row r="7984" spans="2:12" x14ac:dyDescent="0.2">
      <c r="B7984"/>
      <c r="C7984"/>
      <c r="J7984"/>
      <c r="K7984"/>
      <c r="L7984"/>
    </row>
    <row r="7985" spans="2:12" x14ac:dyDescent="0.2">
      <c r="B7985"/>
      <c r="C7985"/>
      <c r="J7985"/>
      <c r="K7985"/>
      <c r="L7985"/>
    </row>
    <row r="7986" spans="2:12" x14ac:dyDescent="0.2">
      <c r="B7986"/>
      <c r="C7986"/>
      <c r="J7986"/>
      <c r="K7986"/>
      <c r="L7986"/>
    </row>
    <row r="7987" spans="2:12" x14ac:dyDescent="0.2">
      <c r="B7987"/>
      <c r="C7987"/>
      <c r="J7987"/>
      <c r="K7987"/>
      <c r="L7987"/>
    </row>
    <row r="7988" spans="2:12" x14ac:dyDescent="0.2">
      <c r="B7988"/>
      <c r="C7988"/>
      <c r="J7988"/>
      <c r="K7988"/>
      <c r="L7988"/>
    </row>
    <row r="7989" spans="2:12" x14ac:dyDescent="0.2">
      <c r="B7989"/>
      <c r="C7989"/>
      <c r="J7989"/>
      <c r="K7989"/>
      <c r="L7989"/>
    </row>
    <row r="7990" spans="2:12" x14ac:dyDescent="0.2">
      <c r="B7990"/>
      <c r="C7990"/>
      <c r="J7990"/>
      <c r="K7990"/>
      <c r="L7990"/>
    </row>
    <row r="7991" spans="2:12" x14ac:dyDescent="0.2">
      <c r="B7991"/>
      <c r="C7991"/>
      <c r="J7991"/>
      <c r="K7991"/>
      <c r="L7991"/>
    </row>
    <row r="7992" spans="2:12" x14ac:dyDescent="0.2">
      <c r="B7992"/>
      <c r="C7992"/>
      <c r="J7992"/>
      <c r="K7992"/>
      <c r="L7992"/>
    </row>
    <row r="7993" spans="2:12" x14ac:dyDescent="0.2">
      <c r="B7993"/>
      <c r="C7993"/>
      <c r="J7993"/>
      <c r="K7993"/>
      <c r="L7993"/>
    </row>
    <row r="7994" spans="2:12" x14ac:dyDescent="0.2">
      <c r="B7994"/>
      <c r="C7994"/>
      <c r="J7994"/>
      <c r="K7994"/>
      <c r="L7994"/>
    </row>
    <row r="7995" spans="2:12" x14ac:dyDescent="0.2">
      <c r="B7995"/>
      <c r="C7995"/>
      <c r="J7995"/>
      <c r="K7995"/>
      <c r="L7995"/>
    </row>
    <row r="7996" spans="2:12" x14ac:dyDescent="0.2">
      <c r="B7996"/>
      <c r="C7996"/>
      <c r="J7996"/>
      <c r="K7996"/>
      <c r="L7996"/>
    </row>
    <row r="7997" spans="2:12" x14ac:dyDescent="0.2">
      <c r="B7997"/>
      <c r="C7997"/>
      <c r="J7997"/>
      <c r="K7997"/>
      <c r="L7997"/>
    </row>
    <row r="7998" spans="2:12" x14ac:dyDescent="0.2">
      <c r="B7998"/>
      <c r="C7998"/>
      <c r="J7998"/>
      <c r="K7998"/>
      <c r="L7998"/>
    </row>
    <row r="7999" spans="2:12" x14ac:dyDescent="0.2">
      <c r="B7999"/>
      <c r="C7999"/>
      <c r="J7999"/>
      <c r="K7999"/>
      <c r="L7999"/>
    </row>
    <row r="8000" spans="2:12" x14ac:dyDescent="0.2">
      <c r="B8000"/>
      <c r="C8000"/>
      <c r="J8000"/>
      <c r="K8000"/>
      <c r="L8000"/>
    </row>
    <row r="8001" spans="2:12" x14ac:dyDescent="0.2">
      <c r="B8001"/>
      <c r="C8001"/>
      <c r="J8001"/>
      <c r="K8001"/>
      <c r="L8001"/>
    </row>
    <row r="8002" spans="2:12" x14ac:dyDescent="0.2">
      <c r="B8002"/>
      <c r="C8002"/>
      <c r="J8002"/>
      <c r="K8002"/>
      <c r="L8002"/>
    </row>
    <row r="8003" spans="2:12" x14ac:dyDescent="0.2">
      <c r="B8003"/>
      <c r="C8003"/>
      <c r="J8003"/>
      <c r="K8003"/>
      <c r="L8003"/>
    </row>
    <row r="8004" spans="2:12" x14ac:dyDescent="0.2">
      <c r="B8004"/>
      <c r="C8004"/>
      <c r="J8004"/>
      <c r="K8004"/>
      <c r="L8004"/>
    </row>
    <row r="8005" spans="2:12" x14ac:dyDescent="0.2">
      <c r="B8005"/>
      <c r="C8005"/>
      <c r="J8005"/>
      <c r="K8005"/>
      <c r="L8005"/>
    </row>
    <row r="8006" spans="2:12" x14ac:dyDescent="0.2">
      <c r="B8006"/>
      <c r="C8006"/>
      <c r="J8006"/>
      <c r="K8006"/>
      <c r="L8006"/>
    </row>
    <row r="8007" spans="2:12" x14ac:dyDescent="0.2">
      <c r="B8007"/>
      <c r="C8007"/>
      <c r="J8007"/>
      <c r="K8007"/>
      <c r="L8007"/>
    </row>
    <row r="8008" spans="2:12" x14ac:dyDescent="0.2">
      <c r="B8008"/>
      <c r="C8008"/>
      <c r="J8008"/>
      <c r="K8008"/>
      <c r="L8008"/>
    </row>
    <row r="8009" spans="2:12" x14ac:dyDescent="0.2">
      <c r="B8009"/>
      <c r="C8009"/>
      <c r="J8009"/>
      <c r="K8009"/>
      <c r="L8009"/>
    </row>
    <row r="8010" spans="2:12" x14ac:dyDescent="0.2">
      <c r="B8010"/>
      <c r="C8010"/>
      <c r="J8010"/>
      <c r="K8010"/>
      <c r="L8010"/>
    </row>
    <row r="8011" spans="2:12" x14ac:dyDescent="0.2">
      <c r="B8011"/>
      <c r="C8011"/>
      <c r="J8011"/>
      <c r="K8011"/>
      <c r="L8011"/>
    </row>
    <row r="8012" spans="2:12" x14ac:dyDescent="0.2">
      <c r="B8012"/>
      <c r="C8012"/>
      <c r="J8012"/>
      <c r="K8012"/>
      <c r="L8012"/>
    </row>
    <row r="8013" spans="2:12" x14ac:dyDescent="0.2">
      <c r="B8013"/>
      <c r="C8013"/>
      <c r="J8013"/>
      <c r="K8013"/>
      <c r="L8013"/>
    </row>
    <row r="8014" spans="2:12" x14ac:dyDescent="0.2">
      <c r="B8014"/>
      <c r="C8014"/>
      <c r="J8014"/>
      <c r="K8014"/>
      <c r="L8014"/>
    </row>
    <row r="8015" spans="2:12" x14ac:dyDescent="0.2">
      <c r="B8015"/>
      <c r="C8015"/>
      <c r="J8015"/>
      <c r="K8015"/>
      <c r="L8015"/>
    </row>
    <row r="8016" spans="2:12" x14ac:dyDescent="0.2">
      <c r="B8016"/>
      <c r="C8016"/>
      <c r="J8016"/>
      <c r="K8016"/>
      <c r="L8016"/>
    </row>
    <row r="8017" spans="2:12" x14ac:dyDescent="0.2">
      <c r="B8017"/>
      <c r="C8017"/>
      <c r="J8017"/>
      <c r="K8017"/>
      <c r="L8017"/>
    </row>
    <row r="8018" spans="2:12" x14ac:dyDescent="0.2">
      <c r="B8018"/>
      <c r="C8018"/>
      <c r="J8018"/>
      <c r="K8018"/>
      <c r="L8018"/>
    </row>
    <row r="8019" spans="2:12" x14ac:dyDescent="0.2">
      <c r="B8019"/>
      <c r="C8019"/>
      <c r="J8019"/>
      <c r="K8019"/>
      <c r="L8019"/>
    </row>
    <row r="8020" spans="2:12" x14ac:dyDescent="0.2">
      <c r="B8020"/>
      <c r="C8020"/>
      <c r="J8020"/>
      <c r="K8020"/>
      <c r="L8020"/>
    </row>
    <row r="8021" spans="2:12" x14ac:dyDescent="0.2">
      <c r="B8021"/>
      <c r="C8021"/>
      <c r="J8021"/>
      <c r="K8021"/>
      <c r="L8021"/>
    </row>
    <row r="8022" spans="2:12" x14ac:dyDescent="0.2">
      <c r="B8022"/>
      <c r="C8022"/>
      <c r="J8022"/>
      <c r="K8022"/>
      <c r="L8022"/>
    </row>
    <row r="8023" spans="2:12" x14ac:dyDescent="0.2">
      <c r="B8023"/>
      <c r="C8023"/>
      <c r="J8023"/>
      <c r="K8023"/>
      <c r="L8023"/>
    </row>
    <row r="8024" spans="2:12" x14ac:dyDescent="0.2">
      <c r="B8024"/>
      <c r="C8024"/>
      <c r="J8024"/>
      <c r="K8024"/>
      <c r="L8024"/>
    </row>
    <row r="8025" spans="2:12" x14ac:dyDescent="0.2">
      <c r="B8025"/>
      <c r="C8025"/>
      <c r="J8025"/>
      <c r="K8025"/>
      <c r="L8025"/>
    </row>
    <row r="8026" spans="2:12" x14ac:dyDescent="0.2">
      <c r="B8026"/>
      <c r="C8026"/>
      <c r="J8026"/>
      <c r="K8026"/>
      <c r="L8026"/>
    </row>
    <row r="8027" spans="2:12" x14ac:dyDescent="0.2">
      <c r="B8027"/>
      <c r="C8027"/>
      <c r="J8027"/>
      <c r="K8027"/>
      <c r="L8027"/>
    </row>
    <row r="8028" spans="2:12" x14ac:dyDescent="0.2">
      <c r="B8028"/>
      <c r="C8028"/>
      <c r="J8028"/>
      <c r="K8028"/>
      <c r="L8028"/>
    </row>
    <row r="8029" spans="2:12" x14ac:dyDescent="0.2">
      <c r="B8029"/>
      <c r="C8029"/>
      <c r="J8029"/>
      <c r="K8029"/>
      <c r="L8029"/>
    </row>
    <row r="8030" spans="2:12" x14ac:dyDescent="0.2">
      <c r="B8030"/>
      <c r="C8030"/>
      <c r="J8030"/>
      <c r="K8030"/>
      <c r="L8030"/>
    </row>
    <row r="8031" spans="2:12" x14ac:dyDescent="0.2">
      <c r="B8031"/>
      <c r="C8031"/>
      <c r="J8031"/>
      <c r="K8031"/>
      <c r="L8031"/>
    </row>
    <row r="8032" spans="2:12" x14ac:dyDescent="0.2">
      <c r="B8032"/>
      <c r="C8032"/>
      <c r="J8032"/>
      <c r="K8032"/>
      <c r="L8032"/>
    </row>
    <row r="8033" spans="2:12" x14ac:dyDescent="0.2">
      <c r="B8033"/>
      <c r="C8033"/>
      <c r="J8033"/>
      <c r="K8033"/>
      <c r="L8033"/>
    </row>
    <row r="8034" spans="2:12" x14ac:dyDescent="0.2">
      <c r="B8034"/>
      <c r="C8034"/>
      <c r="J8034"/>
      <c r="K8034"/>
      <c r="L8034"/>
    </row>
    <row r="8035" spans="2:12" x14ac:dyDescent="0.2">
      <c r="B8035"/>
      <c r="C8035"/>
      <c r="J8035"/>
      <c r="K8035"/>
      <c r="L8035"/>
    </row>
    <row r="8036" spans="2:12" x14ac:dyDescent="0.2">
      <c r="B8036"/>
      <c r="C8036"/>
      <c r="J8036"/>
      <c r="K8036"/>
      <c r="L8036"/>
    </row>
    <row r="8037" spans="2:12" x14ac:dyDescent="0.2">
      <c r="B8037"/>
      <c r="C8037"/>
      <c r="J8037"/>
      <c r="K8037"/>
      <c r="L8037"/>
    </row>
    <row r="8038" spans="2:12" x14ac:dyDescent="0.2">
      <c r="B8038"/>
      <c r="C8038"/>
      <c r="J8038"/>
      <c r="K8038"/>
      <c r="L8038"/>
    </row>
    <row r="8039" spans="2:12" x14ac:dyDescent="0.2">
      <c r="B8039"/>
      <c r="C8039"/>
      <c r="J8039"/>
      <c r="K8039"/>
      <c r="L8039"/>
    </row>
    <row r="8040" spans="2:12" x14ac:dyDescent="0.2">
      <c r="B8040"/>
      <c r="C8040"/>
      <c r="J8040"/>
      <c r="K8040"/>
      <c r="L8040"/>
    </row>
    <row r="8041" spans="2:12" x14ac:dyDescent="0.2">
      <c r="B8041"/>
      <c r="C8041"/>
      <c r="J8041"/>
      <c r="K8041"/>
      <c r="L8041"/>
    </row>
    <row r="8042" spans="2:12" x14ac:dyDescent="0.2">
      <c r="B8042"/>
      <c r="C8042"/>
      <c r="J8042"/>
      <c r="K8042"/>
      <c r="L8042"/>
    </row>
    <row r="8043" spans="2:12" x14ac:dyDescent="0.2">
      <c r="B8043"/>
      <c r="C8043"/>
      <c r="J8043"/>
      <c r="K8043"/>
      <c r="L8043"/>
    </row>
    <row r="8044" spans="2:12" x14ac:dyDescent="0.2">
      <c r="B8044"/>
      <c r="C8044"/>
      <c r="J8044"/>
      <c r="K8044"/>
      <c r="L8044"/>
    </row>
    <row r="8045" spans="2:12" x14ac:dyDescent="0.2">
      <c r="B8045"/>
      <c r="C8045"/>
      <c r="J8045"/>
      <c r="K8045"/>
      <c r="L8045"/>
    </row>
    <row r="8046" spans="2:12" x14ac:dyDescent="0.2">
      <c r="B8046"/>
      <c r="C8046"/>
      <c r="J8046"/>
      <c r="K8046"/>
      <c r="L8046"/>
    </row>
    <row r="8047" spans="2:12" x14ac:dyDescent="0.2">
      <c r="B8047"/>
      <c r="C8047"/>
      <c r="J8047"/>
      <c r="K8047"/>
      <c r="L8047"/>
    </row>
    <row r="8048" spans="2:12" x14ac:dyDescent="0.2">
      <c r="B8048"/>
      <c r="C8048"/>
      <c r="J8048"/>
      <c r="K8048"/>
      <c r="L8048"/>
    </row>
    <row r="8049" spans="2:12" x14ac:dyDescent="0.2">
      <c r="B8049"/>
      <c r="C8049"/>
      <c r="J8049"/>
      <c r="K8049"/>
      <c r="L8049"/>
    </row>
    <row r="8050" spans="2:12" x14ac:dyDescent="0.2">
      <c r="B8050"/>
      <c r="C8050"/>
      <c r="J8050"/>
      <c r="K8050"/>
      <c r="L8050"/>
    </row>
    <row r="8051" spans="2:12" x14ac:dyDescent="0.2">
      <c r="B8051"/>
      <c r="C8051"/>
      <c r="J8051"/>
      <c r="K8051"/>
      <c r="L8051"/>
    </row>
    <row r="8052" spans="2:12" x14ac:dyDescent="0.2">
      <c r="B8052"/>
      <c r="C8052"/>
      <c r="J8052"/>
      <c r="K8052"/>
      <c r="L8052"/>
    </row>
    <row r="8053" spans="2:12" x14ac:dyDescent="0.2">
      <c r="B8053"/>
      <c r="C8053"/>
      <c r="J8053"/>
      <c r="K8053"/>
      <c r="L8053"/>
    </row>
    <row r="8054" spans="2:12" x14ac:dyDescent="0.2">
      <c r="B8054"/>
      <c r="C8054"/>
      <c r="J8054"/>
      <c r="K8054"/>
      <c r="L8054"/>
    </row>
    <row r="8055" spans="2:12" x14ac:dyDescent="0.2">
      <c r="B8055"/>
      <c r="C8055"/>
      <c r="J8055"/>
      <c r="K8055"/>
      <c r="L8055"/>
    </row>
    <row r="8056" spans="2:12" x14ac:dyDescent="0.2">
      <c r="B8056"/>
      <c r="C8056"/>
      <c r="J8056"/>
      <c r="K8056"/>
      <c r="L8056"/>
    </row>
    <row r="8057" spans="2:12" x14ac:dyDescent="0.2">
      <c r="B8057"/>
      <c r="C8057"/>
      <c r="J8057"/>
      <c r="K8057"/>
      <c r="L8057"/>
    </row>
    <row r="8058" spans="2:12" x14ac:dyDescent="0.2">
      <c r="B8058"/>
      <c r="C8058"/>
      <c r="J8058"/>
      <c r="K8058"/>
      <c r="L8058"/>
    </row>
    <row r="8059" spans="2:12" x14ac:dyDescent="0.2">
      <c r="B8059"/>
      <c r="C8059"/>
      <c r="J8059"/>
      <c r="K8059"/>
      <c r="L8059"/>
    </row>
    <row r="8060" spans="2:12" x14ac:dyDescent="0.2">
      <c r="B8060"/>
      <c r="C8060"/>
      <c r="J8060"/>
      <c r="K8060"/>
      <c r="L8060"/>
    </row>
    <row r="8061" spans="2:12" x14ac:dyDescent="0.2">
      <c r="B8061"/>
      <c r="C8061"/>
      <c r="J8061"/>
      <c r="K8061"/>
      <c r="L8061"/>
    </row>
    <row r="8062" spans="2:12" x14ac:dyDescent="0.2">
      <c r="B8062"/>
      <c r="C8062"/>
      <c r="J8062"/>
      <c r="K8062"/>
      <c r="L8062"/>
    </row>
    <row r="8063" spans="2:12" x14ac:dyDescent="0.2">
      <c r="B8063"/>
      <c r="C8063"/>
      <c r="J8063"/>
      <c r="K8063"/>
      <c r="L8063"/>
    </row>
    <row r="8064" spans="2:12" x14ac:dyDescent="0.2">
      <c r="B8064"/>
      <c r="C8064"/>
      <c r="J8064"/>
      <c r="K8064"/>
      <c r="L8064"/>
    </row>
    <row r="8065" spans="2:12" x14ac:dyDescent="0.2">
      <c r="B8065"/>
      <c r="C8065"/>
      <c r="J8065"/>
      <c r="K8065"/>
      <c r="L8065"/>
    </row>
    <row r="8066" spans="2:12" x14ac:dyDescent="0.2">
      <c r="B8066"/>
      <c r="C8066"/>
      <c r="J8066"/>
      <c r="K8066"/>
      <c r="L8066"/>
    </row>
    <row r="8067" spans="2:12" x14ac:dyDescent="0.2">
      <c r="B8067"/>
      <c r="C8067"/>
      <c r="J8067"/>
      <c r="K8067"/>
      <c r="L8067"/>
    </row>
    <row r="8068" spans="2:12" x14ac:dyDescent="0.2">
      <c r="B8068"/>
      <c r="C8068"/>
      <c r="J8068"/>
      <c r="K8068"/>
      <c r="L8068"/>
    </row>
    <row r="8069" spans="2:12" x14ac:dyDescent="0.2">
      <c r="B8069"/>
      <c r="C8069"/>
      <c r="J8069"/>
      <c r="K8069"/>
      <c r="L8069"/>
    </row>
    <row r="8070" spans="2:12" x14ac:dyDescent="0.2">
      <c r="B8070"/>
      <c r="C8070"/>
      <c r="J8070"/>
      <c r="K8070"/>
      <c r="L8070"/>
    </row>
    <row r="8071" spans="2:12" x14ac:dyDescent="0.2">
      <c r="B8071"/>
      <c r="C8071"/>
      <c r="J8071"/>
      <c r="K8071"/>
      <c r="L8071"/>
    </row>
    <row r="8072" spans="2:12" x14ac:dyDescent="0.2">
      <c r="B8072"/>
      <c r="C8072"/>
      <c r="J8072"/>
      <c r="K8072"/>
      <c r="L8072"/>
    </row>
    <row r="8073" spans="2:12" x14ac:dyDescent="0.2">
      <c r="B8073"/>
      <c r="C8073"/>
      <c r="J8073"/>
      <c r="K8073"/>
      <c r="L8073"/>
    </row>
    <row r="8074" spans="2:12" x14ac:dyDescent="0.2">
      <c r="B8074"/>
      <c r="C8074"/>
      <c r="J8074"/>
      <c r="K8074"/>
      <c r="L8074"/>
    </row>
    <row r="8075" spans="2:12" x14ac:dyDescent="0.2">
      <c r="B8075"/>
      <c r="C8075"/>
      <c r="J8075"/>
      <c r="K8075"/>
      <c r="L8075"/>
    </row>
    <row r="8076" spans="2:12" x14ac:dyDescent="0.2">
      <c r="B8076"/>
      <c r="C8076"/>
      <c r="J8076"/>
      <c r="K8076"/>
      <c r="L8076"/>
    </row>
    <row r="8077" spans="2:12" x14ac:dyDescent="0.2">
      <c r="B8077"/>
      <c r="C8077"/>
      <c r="J8077"/>
      <c r="K8077"/>
      <c r="L8077"/>
    </row>
    <row r="8078" spans="2:12" x14ac:dyDescent="0.2">
      <c r="B8078"/>
      <c r="C8078"/>
      <c r="J8078"/>
      <c r="K8078"/>
      <c r="L8078"/>
    </row>
    <row r="8079" spans="2:12" x14ac:dyDescent="0.2">
      <c r="B8079"/>
      <c r="C8079"/>
      <c r="J8079"/>
      <c r="K8079"/>
      <c r="L8079"/>
    </row>
    <row r="8080" spans="2:12" x14ac:dyDescent="0.2">
      <c r="B8080"/>
      <c r="C8080"/>
      <c r="J8080"/>
      <c r="K8080"/>
      <c r="L8080"/>
    </row>
    <row r="8081" spans="2:12" x14ac:dyDescent="0.2">
      <c r="B8081"/>
      <c r="C8081"/>
      <c r="J8081"/>
      <c r="K8081"/>
      <c r="L8081"/>
    </row>
    <row r="8082" spans="2:12" x14ac:dyDescent="0.2">
      <c r="B8082"/>
      <c r="C8082"/>
      <c r="J8082"/>
      <c r="K8082"/>
      <c r="L8082"/>
    </row>
    <row r="8083" spans="2:12" x14ac:dyDescent="0.2">
      <c r="B8083"/>
      <c r="C8083"/>
      <c r="J8083"/>
      <c r="K8083"/>
      <c r="L8083"/>
    </row>
    <row r="8084" spans="2:12" x14ac:dyDescent="0.2">
      <c r="B8084"/>
      <c r="C8084"/>
      <c r="J8084"/>
      <c r="K8084"/>
      <c r="L8084"/>
    </row>
    <row r="8085" spans="2:12" x14ac:dyDescent="0.2">
      <c r="B8085"/>
      <c r="C8085"/>
      <c r="J8085"/>
      <c r="K8085"/>
      <c r="L8085"/>
    </row>
    <row r="8086" spans="2:12" x14ac:dyDescent="0.2">
      <c r="B8086"/>
      <c r="C8086"/>
      <c r="J8086"/>
      <c r="K8086"/>
      <c r="L8086"/>
    </row>
    <row r="8087" spans="2:12" x14ac:dyDescent="0.2">
      <c r="B8087"/>
      <c r="C8087"/>
      <c r="J8087"/>
      <c r="K8087"/>
      <c r="L8087"/>
    </row>
    <row r="8088" spans="2:12" x14ac:dyDescent="0.2">
      <c r="B8088"/>
      <c r="C8088"/>
      <c r="J8088"/>
      <c r="K8088"/>
      <c r="L8088"/>
    </row>
    <row r="8089" spans="2:12" x14ac:dyDescent="0.2">
      <c r="B8089"/>
      <c r="C8089"/>
      <c r="J8089"/>
      <c r="K8089"/>
      <c r="L8089"/>
    </row>
    <row r="8090" spans="2:12" x14ac:dyDescent="0.2">
      <c r="B8090"/>
      <c r="C8090"/>
      <c r="J8090"/>
      <c r="K8090"/>
      <c r="L8090"/>
    </row>
    <row r="8091" spans="2:12" x14ac:dyDescent="0.2">
      <c r="B8091"/>
      <c r="C8091"/>
      <c r="J8091"/>
      <c r="K8091"/>
      <c r="L8091"/>
    </row>
    <row r="8092" spans="2:12" x14ac:dyDescent="0.2">
      <c r="B8092"/>
      <c r="C8092"/>
      <c r="J8092"/>
      <c r="K8092"/>
      <c r="L8092"/>
    </row>
    <row r="8093" spans="2:12" x14ac:dyDescent="0.2">
      <c r="B8093"/>
      <c r="C8093"/>
      <c r="J8093"/>
      <c r="K8093"/>
      <c r="L8093"/>
    </row>
    <row r="8094" spans="2:12" x14ac:dyDescent="0.2">
      <c r="B8094"/>
      <c r="C8094"/>
      <c r="J8094"/>
      <c r="K8094"/>
      <c r="L8094"/>
    </row>
    <row r="8095" spans="2:12" x14ac:dyDescent="0.2">
      <c r="B8095"/>
      <c r="C8095"/>
      <c r="J8095"/>
      <c r="K8095"/>
      <c r="L8095"/>
    </row>
    <row r="8096" spans="2:12" x14ac:dyDescent="0.2">
      <c r="B8096"/>
      <c r="C8096"/>
      <c r="J8096"/>
      <c r="K8096"/>
      <c r="L8096"/>
    </row>
    <row r="8097" spans="2:12" x14ac:dyDescent="0.2">
      <c r="B8097"/>
      <c r="C8097"/>
      <c r="J8097"/>
      <c r="K8097"/>
      <c r="L8097"/>
    </row>
    <row r="8098" spans="2:12" x14ac:dyDescent="0.2">
      <c r="B8098"/>
      <c r="C8098"/>
      <c r="J8098"/>
      <c r="K8098"/>
      <c r="L8098"/>
    </row>
    <row r="8099" spans="2:12" x14ac:dyDescent="0.2">
      <c r="B8099"/>
      <c r="C8099"/>
      <c r="J8099"/>
      <c r="K8099"/>
      <c r="L8099"/>
    </row>
    <row r="8100" spans="2:12" x14ac:dyDescent="0.2">
      <c r="B8100"/>
      <c r="C8100"/>
      <c r="J8100"/>
      <c r="K8100"/>
      <c r="L8100"/>
    </row>
    <row r="8101" spans="2:12" x14ac:dyDescent="0.2">
      <c r="B8101"/>
      <c r="C8101"/>
      <c r="J8101"/>
      <c r="K8101"/>
      <c r="L8101"/>
    </row>
    <row r="8102" spans="2:12" x14ac:dyDescent="0.2">
      <c r="B8102"/>
      <c r="C8102"/>
      <c r="J8102"/>
      <c r="K8102"/>
      <c r="L8102"/>
    </row>
    <row r="8103" spans="2:12" x14ac:dyDescent="0.2">
      <c r="B8103"/>
      <c r="C8103"/>
      <c r="J8103"/>
      <c r="K8103"/>
      <c r="L8103"/>
    </row>
    <row r="8104" spans="2:12" x14ac:dyDescent="0.2">
      <c r="B8104"/>
      <c r="C8104"/>
      <c r="J8104"/>
      <c r="K8104"/>
      <c r="L8104"/>
    </row>
    <row r="8105" spans="2:12" x14ac:dyDescent="0.2">
      <c r="B8105"/>
      <c r="C8105"/>
      <c r="J8105"/>
      <c r="K8105"/>
      <c r="L8105"/>
    </row>
    <row r="8106" spans="2:12" x14ac:dyDescent="0.2">
      <c r="B8106"/>
      <c r="C8106"/>
      <c r="J8106"/>
      <c r="K8106"/>
      <c r="L8106"/>
    </row>
    <row r="8107" spans="2:12" x14ac:dyDescent="0.2">
      <c r="B8107"/>
      <c r="C8107"/>
      <c r="J8107"/>
      <c r="K8107"/>
      <c r="L8107"/>
    </row>
    <row r="8108" spans="2:12" x14ac:dyDescent="0.2">
      <c r="B8108"/>
      <c r="C8108"/>
      <c r="J8108"/>
      <c r="K8108"/>
      <c r="L8108"/>
    </row>
    <row r="8109" spans="2:12" x14ac:dyDescent="0.2">
      <c r="B8109"/>
      <c r="C8109"/>
      <c r="J8109"/>
      <c r="K8109"/>
      <c r="L8109"/>
    </row>
    <row r="8110" spans="2:12" x14ac:dyDescent="0.2">
      <c r="B8110"/>
      <c r="C8110"/>
      <c r="J8110"/>
      <c r="K8110"/>
      <c r="L8110"/>
    </row>
    <row r="8111" spans="2:12" x14ac:dyDescent="0.2">
      <c r="B8111"/>
      <c r="C8111"/>
      <c r="J8111"/>
      <c r="K8111"/>
      <c r="L8111"/>
    </row>
    <row r="8112" spans="2:12" x14ac:dyDescent="0.2">
      <c r="B8112"/>
      <c r="C8112"/>
      <c r="J8112"/>
      <c r="K8112"/>
      <c r="L8112"/>
    </row>
    <row r="8113" spans="2:12" x14ac:dyDescent="0.2">
      <c r="B8113"/>
      <c r="C8113"/>
      <c r="J8113"/>
      <c r="K8113"/>
      <c r="L8113"/>
    </row>
    <row r="8114" spans="2:12" x14ac:dyDescent="0.2">
      <c r="B8114"/>
      <c r="C8114"/>
      <c r="J8114"/>
      <c r="K8114"/>
      <c r="L8114"/>
    </row>
    <row r="8115" spans="2:12" x14ac:dyDescent="0.2">
      <c r="B8115"/>
      <c r="C8115"/>
      <c r="J8115"/>
      <c r="K8115"/>
      <c r="L8115"/>
    </row>
    <row r="8116" spans="2:12" x14ac:dyDescent="0.2">
      <c r="B8116"/>
      <c r="C8116"/>
      <c r="J8116"/>
      <c r="K8116"/>
      <c r="L8116"/>
    </row>
    <row r="8117" spans="2:12" x14ac:dyDescent="0.2">
      <c r="B8117"/>
      <c r="C8117"/>
      <c r="J8117"/>
      <c r="K8117"/>
      <c r="L8117"/>
    </row>
    <row r="8118" spans="2:12" x14ac:dyDescent="0.2">
      <c r="B8118"/>
      <c r="C8118"/>
      <c r="J8118"/>
      <c r="K8118"/>
      <c r="L8118"/>
    </row>
    <row r="8119" spans="2:12" x14ac:dyDescent="0.2">
      <c r="B8119"/>
      <c r="C8119"/>
      <c r="J8119"/>
      <c r="K8119"/>
      <c r="L8119"/>
    </row>
    <row r="8120" spans="2:12" x14ac:dyDescent="0.2">
      <c r="B8120"/>
      <c r="C8120"/>
      <c r="J8120"/>
      <c r="K8120"/>
      <c r="L8120"/>
    </row>
    <row r="8121" spans="2:12" x14ac:dyDescent="0.2">
      <c r="B8121"/>
      <c r="C8121"/>
      <c r="J8121"/>
      <c r="K8121"/>
      <c r="L8121"/>
    </row>
    <row r="8122" spans="2:12" x14ac:dyDescent="0.2">
      <c r="B8122"/>
      <c r="C8122"/>
      <c r="J8122"/>
      <c r="K8122"/>
      <c r="L8122"/>
    </row>
    <row r="8123" spans="2:12" x14ac:dyDescent="0.2">
      <c r="B8123"/>
      <c r="C8123"/>
      <c r="J8123"/>
      <c r="K8123"/>
      <c r="L8123"/>
    </row>
    <row r="8124" spans="2:12" x14ac:dyDescent="0.2">
      <c r="B8124"/>
      <c r="C8124"/>
      <c r="J8124"/>
      <c r="K8124"/>
      <c r="L8124"/>
    </row>
    <row r="8125" spans="2:12" x14ac:dyDescent="0.2">
      <c r="B8125"/>
      <c r="C8125"/>
      <c r="J8125"/>
      <c r="K8125"/>
      <c r="L8125"/>
    </row>
    <row r="8126" spans="2:12" x14ac:dyDescent="0.2">
      <c r="B8126"/>
      <c r="C8126"/>
      <c r="J8126"/>
      <c r="K8126"/>
      <c r="L8126"/>
    </row>
    <row r="8127" spans="2:12" x14ac:dyDescent="0.2">
      <c r="B8127"/>
      <c r="C8127"/>
      <c r="J8127"/>
      <c r="K8127"/>
      <c r="L8127"/>
    </row>
    <row r="8128" spans="2:12" x14ac:dyDescent="0.2">
      <c r="B8128"/>
      <c r="C8128"/>
      <c r="J8128"/>
      <c r="K8128"/>
      <c r="L8128"/>
    </row>
    <row r="8129" spans="2:12" x14ac:dyDescent="0.2">
      <c r="B8129"/>
      <c r="C8129"/>
      <c r="J8129"/>
      <c r="K8129"/>
      <c r="L8129"/>
    </row>
    <row r="8130" spans="2:12" x14ac:dyDescent="0.2">
      <c r="B8130"/>
      <c r="C8130"/>
      <c r="J8130"/>
      <c r="K8130"/>
      <c r="L8130"/>
    </row>
    <row r="8131" spans="2:12" x14ac:dyDescent="0.2">
      <c r="B8131"/>
      <c r="C8131"/>
      <c r="J8131"/>
      <c r="K8131"/>
      <c r="L8131"/>
    </row>
    <row r="8132" spans="2:12" x14ac:dyDescent="0.2">
      <c r="B8132"/>
      <c r="C8132"/>
      <c r="J8132"/>
      <c r="K8132"/>
      <c r="L8132"/>
    </row>
    <row r="8133" spans="2:12" x14ac:dyDescent="0.2">
      <c r="B8133"/>
      <c r="C8133"/>
      <c r="J8133"/>
      <c r="K8133"/>
      <c r="L8133"/>
    </row>
    <row r="8134" spans="2:12" x14ac:dyDescent="0.2">
      <c r="B8134"/>
      <c r="C8134"/>
      <c r="J8134"/>
      <c r="K8134"/>
      <c r="L8134"/>
    </row>
    <row r="8135" spans="2:12" x14ac:dyDescent="0.2">
      <c r="B8135"/>
      <c r="C8135"/>
      <c r="J8135"/>
      <c r="K8135"/>
      <c r="L8135"/>
    </row>
    <row r="8136" spans="2:12" x14ac:dyDescent="0.2">
      <c r="B8136"/>
      <c r="C8136"/>
      <c r="J8136"/>
      <c r="K8136"/>
      <c r="L8136"/>
    </row>
    <row r="8137" spans="2:12" x14ac:dyDescent="0.2">
      <c r="B8137"/>
      <c r="C8137"/>
      <c r="J8137"/>
      <c r="K8137"/>
      <c r="L8137"/>
    </row>
    <row r="8138" spans="2:12" x14ac:dyDescent="0.2">
      <c r="B8138"/>
      <c r="C8138"/>
      <c r="J8138"/>
      <c r="K8138"/>
      <c r="L8138"/>
    </row>
    <row r="8139" spans="2:12" x14ac:dyDescent="0.2">
      <c r="B8139"/>
      <c r="C8139"/>
      <c r="J8139"/>
      <c r="K8139"/>
      <c r="L8139"/>
    </row>
    <row r="8140" spans="2:12" x14ac:dyDescent="0.2">
      <c r="B8140"/>
      <c r="C8140"/>
      <c r="J8140"/>
      <c r="K8140"/>
      <c r="L8140"/>
    </row>
    <row r="8141" spans="2:12" x14ac:dyDescent="0.2">
      <c r="B8141"/>
      <c r="C8141"/>
      <c r="J8141"/>
      <c r="K8141"/>
      <c r="L8141"/>
    </row>
    <row r="8142" spans="2:12" x14ac:dyDescent="0.2">
      <c r="B8142"/>
      <c r="C8142"/>
      <c r="J8142"/>
      <c r="K8142"/>
      <c r="L8142"/>
    </row>
    <row r="8143" spans="2:12" x14ac:dyDescent="0.2">
      <c r="B8143"/>
      <c r="C8143"/>
      <c r="J8143"/>
      <c r="K8143"/>
      <c r="L8143"/>
    </row>
    <row r="8144" spans="2:12" x14ac:dyDescent="0.2">
      <c r="B8144"/>
      <c r="C8144"/>
      <c r="J8144"/>
      <c r="K8144"/>
      <c r="L8144"/>
    </row>
    <row r="8145" spans="2:12" x14ac:dyDescent="0.2">
      <c r="B8145"/>
      <c r="C8145"/>
      <c r="J8145"/>
      <c r="K8145"/>
      <c r="L8145"/>
    </row>
    <row r="8146" spans="2:12" x14ac:dyDescent="0.2">
      <c r="B8146"/>
      <c r="C8146"/>
      <c r="J8146"/>
      <c r="K8146"/>
      <c r="L8146"/>
    </row>
    <row r="8147" spans="2:12" x14ac:dyDescent="0.2">
      <c r="B8147"/>
      <c r="C8147"/>
      <c r="J8147"/>
      <c r="K8147"/>
      <c r="L8147"/>
    </row>
    <row r="8148" spans="2:12" x14ac:dyDescent="0.2">
      <c r="B8148"/>
      <c r="C8148"/>
      <c r="J8148"/>
      <c r="K8148"/>
      <c r="L8148"/>
    </row>
    <row r="8149" spans="2:12" x14ac:dyDescent="0.2">
      <c r="B8149"/>
      <c r="C8149"/>
      <c r="J8149"/>
      <c r="K8149"/>
      <c r="L8149"/>
    </row>
    <row r="8150" spans="2:12" x14ac:dyDescent="0.2">
      <c r="B8150"/>
      <c r="C8150"/>
      <c r="J8150"/>
      <c r="K8150"/>
      <c r="L8150"/>
    </row>
    <row r="8151" spans="2:12" x14ac:dyDescent="0.2">
      <c r="B8151"/>
      <c r="C8151"/>
      <c r="J8151"/>
      <c r="K8151"/>
      <c r="L8151"/>
    </row>
    <row r="8152" spans="2:12" x14ac:dyDescent="0.2">
      <c r="B8152"/>
      <c r="C8152"/>
      <c r="J8152"/>
      <c r="K8152"/>
      <c r="L8152"/>
    </row>
    <row r="8153" spans="2:12" x14ac:dyDescent="0.2">
      <c r="B8153"/>
      <c r="C8153"/>
      <c r="J8153"/>
      <c r="K8153"/>
      <c r="L8153"/>
    </row>
    <row r="8154" spans="2:12" x14ac:dyDescent="0.2">
      <c r="B8154"/>
      <c r="C8154"/>
      <c r="J8154"/>
      <c r="K8154"/>
      <c r="L8154"/>
    </row>
    <row r="8155" spans="2:12" x14ac:dyDescent="0.2">
      <c r="B8155"/>
      <c r="C8155"/>
      <c r="J8155"/>
      <c r="K8155"/>
      <c r="L8155"/>
    </row>
    <row r="8156" spans="2:12" x14ac:dyDescent="0.2">
      <c r="B8156"/>
      <c r="C8156"/>
      <c r="J8156"/>
      <c r="K8156"/>
      <c r="L8156"/>
    </row>
    <row r="8157" spans="2:12" x14ac:dyDescent="0.2">
      <c r="B8157"/>
      <c r="C8157"/>
      <c r="J8157"/>
      <c r="K8157"/>
      <c r="L8157"/>
    </row>
    <row r="8158" spans="2:12" x14ac:dyDescent="0.2">
      <c r="B8158"/>
      <c r="C8158"/>
      <c r="J8158"/>
      <c r="K8158"/>
      <c r="L8158"/>
    </row>
    <row r="8159" spans="2:12" x14ac:dyDescent="0.2">
      <c r="B8159"/>
      <c r="C8159"/>
      <c r="J8159"/>
      <c r="K8159"/>
      <c r="L8159"/>
    </row>
    <row r="8160" spans="2:12" x14ac:dyDescent="0.2">
      <c r="B8160"/>
      <c r="C8160"/>
      <c r="J8160"/>
      <c r="K8160"/>
      <c r="L8160"/>
    </row>
    <row r="8161" spans="2:12" x14ac:dyDescent="0.2">
      <c r="B8161"/>
      <c r="C8161"/>
      <c r="J8161"/>
      <c r="K8161"/>
      <c r="L8161"/>
    </row>
    <row r="8162" spans="2:12" x14ac:dyDescent="0.2">
      <c r="B8162"/>
      <c r="C8162"/>
      <c r="J8162"/>
      <c r="K8162"/>
      <c r="L8162"/>
    </row>
    <row r="8163" spans="2:12" x14ac:dyDescent="0.2">
      <c r="B8163"/>
      <c r="C8163"/>
      <c r="J8163"/>
      <c r="K8163"/>
      <c r="L8163"/>
    </row>
    <row r="8164" spans="2:12" x14ac:dyDescent="0.2">
      <c r="B8164"/>
      <c r="C8164"/>
      <c r="J8164"/>
      <c r="K8164"/>
      <c r="L8164"/>
    </row>
    <row r="8165" spans="2:12" x14ac:dyDescent="0.2">
      <c r="B8165"/>
      <c r="C8165"/>
      <c r="J8165"/>
      <c r="K8165"/>
      <c r="L8165"/>
    </row>
    <row r="8166" spans="2:12" x14ac:dyDescent="0.2">
      <c r="B8166"/>
      <c r="C8166"/>
      <c r="J8166"/>
      <c r="K8166"/>
      <c r="L8166"/>
    </row>
    <row r="8167" spans="2:12" x14ac:dyDescent="0.2">
      <c r="B8167"/>
      <c r="C8167"/>
      <c r="J8167"/>
      <c r="K8167"/>
      <c r="L8167"/>
    </row>
    <row r="8168" spans="2:12" x14ac:dyDescent="0.2">
      <c r="B8168"/>
      <c r="C8168"/>
      <c r="J8168"/>
      <c r="K8168"/>
      <c r="L8168"/>
    </row>
    <row r="8169" spans="2:12" x14ac:dyDescent="0.2">
      <c r="B8169"/>
      <c r="C8169"/>
      <c r="J8169"/>
      <c r="K8169"/>
      <c r="L8169"/>
    </row>
    <row r="8170" spans="2:12" x14ac:dyDescent="0.2">
      <c r="B8170"/>
      <c r="C8170"/>
      <c r="J8170"/>
      <c r="K8170"/>
      <c r="L8170"/>
    </row>
    <row r="8171" spans="2:12" x14ac:dyDescent="0.2">
      <c r="B8171"/>
      <c r="C8171"/>
      <c r="J8171"/>
      <c r="K8171"/>
      <c r="L8171"/>
    </row>
    <row r="8172" spans="2:12" x14ac:dyDescent="0.2">
      <c r="B8172"/>
      <c r="C8172"/>
      <c r="J8172"/>
      <c r="K8172"/>
      <c r="L8172"/>
    </row>
    <row r="8173" spans="2:12" x14ac:dyDescent="0.2">
      <c r="B8173"/>
      <c r="C8173"/>
      <c r="J8173"/>
      <c r="K8173"/>
      <c r="L8173"/>
    </row>
    <row r="8174" spans="2:12" x14ac:dyDescent="0.2">
      <c r="B8174"/>
      <c r="C8174"/>
      <c r="J8174"/>
      <c r="K8174"/>
      <c r="L8174"/>
    </row>
    <row r="8175" spans="2:12" x14ac:dyDescent="0.2">
      <c r="B8175"/>
      <c r="C8175"/>
      <c r="J8175"/>
      <c r="K8175"/>
      <c r="L8175"/>
    </row>
    <row r="8176" spans="2:12" x14ac:dyDescent="0.2">
      <c r="B8176"/>
      <c r="C8176"/>
      <c r="J8176"/>
      <c r="K8176"/>
      <c r="L8176"/>
    </row>
    <row r="8177" spans="2:12" x14ac:dyDescent="0.2">
      <c r="B8177"/>
      <c r="C8177"/>
      <c r="J8177"/>
      <c r="K8177"/>
      <c r="L8177"/>
    </row>
    <row r="8178" spans="2:12" x14ac:dyDescent="0.2">
      <c r="B8178"/>
      <c r="C8178"/>
      <c r="J8178"/>
      <c r="K8178"/>
      <c r="L8178"/>
    </row>
    <row r="8179" spans="2:12" x14ac:dyDescent="0.2">
      <c r="B8179"/>
      <c r="C8179"/>
      <c r="J8179"/>
      <c r="K8179"/>
      <c r="L8179"/>
    </row>
    <row r="8180" spans="2:12" x14ac:dyDescent="0.2">
      <c r="B8180"/>
      <c r="C8180"/>
      <c r="J8180"/>
      <c r="K8180"/>
      <c r="L8180"/>
    </row>
    <row r="8181" spans="2:12" x14ac:dyDescent="0.2">
      <c r="B8181"/>
      <c r="C8181"/>
      <c r="J8181"/>
      <c r="K8181"/>
      <c r="L8181"/>
    </row>
    <row r="8182" spans="2:12" x14ac:dyDescent="0.2">
      <c r="B8182"/>
      <c r="C8182"/>
      <c r="J8182"/>
      <c r="K8182"/>
      <c r="L8182"/>
    </row>
    <row r="8183" spans="2:12" x14ac:dyDescent="0.2">
      <c r="B8183"/>
      <c r="C8183"/>
      <c r="J8183"/>
      <c r="K8183"/>
      <c r="L8183"/>
    </row>
    <row r="8184" spans="2:12" x14ac:dyDescent="0.2">
      <c r="B8184"/>
      <c r="C8184"/>
      <c r="J8184"/>
      <c r="K8184"/>
      <c r="L8184"/>
    </row>
    <row r="8185" spans="2:12" x14ac:dyDescent="0.2">
      <c r="B8185"/>
      <c r="C8185"/>
      <c r="J8185"/>
      <c r="K8185"/>
      <c r="L8185"/>
    </row>
    <row r="8186" spans="2:12" x14ac:dyDescent="0.2">
      <c r="B8186"/>
      <c r="C8186"/>
      <c r="J8186"/>
      <c r="K8186"/>
      <c r="L8186"/>
    </row>
    <row r="8187" spans="2:12" x14ac:dyDescent="0.2">
      <c r="B8187"/>
      <c r="C8187"/>
      <c r="J8187"/>
      <c r="K8187"/>
      <c r="L8187"/>
    </row>
    <row r="8188" spans="2:12" x14ac:dyDescent="0.2">
      <c r="B8188"/>
      <c r="C8188"/>
      <c r="J8188"/>
      <c r="K8188"/>
      <c r="L8188"/>
    </row>
    <row r="8189" spans="2:12" x14ac:dyDescent="0.2">
      <c r="B8189"/>
      <c r="C8189"/>
      <c r="J8189"/>
      <c r="K8189"/>
      <c r="L8189"/>
    </row>
    <row r="8190" spans="2:12" x14ac:dyDescent="0.2">
      <c r="B8190"/>
      <c r="C8190"/>
      <c r="J8190"/>
      <c r="K8190"/>
      <c r="L8190"/>
    </row>
    <row r="8191" spans="2:12" x14ac:dyDescent="0.2">
      <c r="B8191"/>
      <c r="C8191"/>
      <c r="J8191"/>
      <c r="K8191"/>
      <c r="L8191"/>
    </row>
    <row r="8192" spans="2:12" x14ac:dyDescent="0.2">
      <c r="B8192"/>
      <c r="C8192"/>
      <c r="J8192"/>
      <c r="K8192"/>
      <c r="L8192"/>
    </row>
    <row r="8193" spans="2:12" x14ac:dyDescent="0.2">
      <c r="B8193"/>
      <c r="C8193"/>
      <c r="J8193"/>
      <c r="K8193"/>
      <c r="L8193"/>
    </row>
    <row r="8194" spans="2:12" x14ac:dyDescent="0.2">
      <c r="B8194"/>
      <c r="C8194"/>
      <c r="J8194"/>
      <c r="K8194"/>
      <c r="L8194"/>
    </row>
    <row r="8195" spans="2:12" x14ac:dyDescent="0.2">
      <c r="B8195"/>
      <c r="C8195"/>
      <c r="J8195"/>
      <c r="K8195"/>
      <c r="L8195"/>
    </row>
    <row r="8196" spans="2:12" x14ac:dyDescent="0.2">
      <c r="B8196"/>
      <c r="C8196"/>
      <c r="J8196"/>
      <c r="K8196"/>
      <c r="L8196"/>
    </row>
    <row r="8197" spans="2:12" x14ac:dyDescent="0.2">
      <c r="B8197"/>
      <c r="C8197"/>
      <c r="J8197"/>
      <c r="K8197"/>
      <c r="L8197"/>
    </row>
    <row r="8198" spans="2:12" x14ac:dyDescent="0.2">
      <c r="B8198"/>
      <c r="C8198"/>
      <c r="J8198"/>
      <c r="K8198"/>
      <c r="L8198"/>
    </row>
    <row r="8199" spans="2:12" x14ac:dyDescent="0.2">
      <c r="B8199"/>
      <c r="C8199"/>
      <c r="J8199"/>
      <c r="K8199"/>
      <c r="L8199"/>
    </row>
    <row r="8200" spans="2:12" x14ac:dyDescent="0.2">
      <c r="B8200"/>
      <c r="C8200"/>
      <c r="J8200"/>
      <c r="K8200"/>
      <c r="L8200"/>
    </row>
    <row r="8201" spans="2:12" x14ac:dyDescent="0.2">
      <c r="B8201"/>
      <c r="C8201"/>
      <c r="J8201"/>
      <c r="K8201"/>
      <c r="L8201"/>
    </row>
    <row r="8202" spans="2:12" x14ac:dyDescent="0.2">
      <c r="B8202"/>
      <c r="C8202"/>
      <c r="J8202"/>
      <c r="K8202"/>
      <c r="L8202"/>
    </row>
    <row r="8203" spans="2:12" x14ac:dyDescent="0.2">
      <c r="B8203"/>
      <c r="C8203"/>
      <c r="J8203"/>
      <c r="K8203"/>
      <c r="L8203"/>
    </row>
    <row r="8204" spans="2:12" x14ac:dyDescent="0.2">
      <c r="B8204"/>
      <c r="C8204"/>
      <c r="J8204"/>
      <c r="K8204"/>
      <c r="L8204"/>
    </row>
    <row r="8205" spans="2:12" x14ac:dyDescent="0.2">
      <c r="B8205"/>
      <c r="C8205"/>
      <c r="J8205"/>
      <c r="K8205"/>
      <c r="L8205"/>
    </row>
    <row r="8206" spans="2:12" x14ac:dyDescent="0.2">
      <c r="B8206"/>
      <c r="C8206"/>
      <c r="J8206"/>
      <c r="K8206"/>
      <c r="L8206"/>
    </row>
    <row r="8207" spans="2:12" x14ac:dyDescent="0.2">
      <c r="B8207"/>
      <c r="C8207"/>
      <c r="J8207"/>
      <c r="K8207"/>
      <c r="L8207"/>
    </row>
    <row r="8208" spans="2:12" x14ac:dyDescent="0.2">
      <c r="B8208"/>
      <c r="C8208"/>
      <c r="J8208"/>
      <c r="K8208"/>
      <c r="L8208"/>
    </row>
    <row r="8209" spans="2:12" x14ac:dyDescent="0.2">
      <c r="B8209"/>
      <c r="C8209"/>
      <c r="J8209"/>
      <c r="K8209"/>
      <c r="L8209"/>
    </row>
    <row r="8210" spans="2:12" x14ac:dyDescent="0.2">
      <c r="B8210"/>
      <c r="C8210"/>
      <c r="J8210"/>
      <c r="K8210"/>
      <c r="L8210"/>
    </row>
    <row r="8211" spans="2:12" x14ac:dyDescent="0.2">
      <c r="B8211"/>
      <c r="C8211"/>
      <c r="J8211"/>
      <c r="K8211"/>
      <c r="L8211"/>
    </row>
    <row r="8212" spans="2:12" x14ac:dyDescent="0.2">
      <c r="B8212"/>
      <c r="C8212"/>
      <c r="J8212"/>
      <c r="K8212"/>
      <c r="L8212"/>
    </row>
    <row r="8213" spans="2:12" x14ac:dyDescent="0.2">
      <c r="B8213"/>
      <c r="C8213"/>
      <c r="J8213"/>
      <c r="K8213"/>
      <c r="L8213"/>
    </row>
    <row r="8214" spans="2:12" x14ac:dyDescent="0.2">
      <c r="B8214"/>
      <c r="C8214"/>
      <c r="J8214"/>
      <c r="K8214"/>
      <c r="L8214"/>
    </row>
    <row r="8215" spans="2:12" x14ac:dyDescent="0.2">
      <c r="B8215"/>
      <c r="C8215"/>
      <c r="J8215"/>
      <c r="K8215"/>
      <c r="L8215"/>
    </row>
    <row r="8216" spans="2:12" x14ac:dyDescent="0.2">
      <c r="B8216"/>
      <c r="C8216"/>
      <c r="J8216"/>
      <c r="K8216"/>
      <c r="L8216"/>
    </row>
    <row r="8217" spans="2:12" x14ac:dyDescent="0.2">
      <c r="B8217"/>
      <c r="C8217"/>
      <c r="J8217"/>
      <c r="K8217"/>
      <c r="L8217"/>
    </row>
    <row r="8218" spans="2:12" x14ac:dyDescent="0.2">
      <c r="B8218"/>
      <c r="C8218"/>
      <c r="J8218"/>
      <c r="K8218"/>
      <c r="L8218"/>
    </row>
    <row r="8219" spans="2:12" x14ac:dyDescent="0.2">
      <c r="B8219"/>
      <c r="C8219"/>
      <c r="J8219"/>
      <c r="K8219"/>
      <c r="L8219"/>
    </row>
    <row r="8220" spans="2:12" x14ac:dyDescent="0.2">
      <c r="B8220"/>
      <c r="C8220"/>
      <c r="J8220"/>
      <c r="K8220"/>
      <c r="L8220"/>
    </row>
    <row r="8221" spans="2:12" x14ac:dyDescent="0.2">
      <c r="B8221"/>
      <c r="C8221"/>
      <c r="J8221"/>
      <c r="K8221"/>
      <c r="L8221"/>
    </row>
    <row r="8222" spans="2:12" x14ac:dyDescent="0.2">
      <c r="B8222"/>
      <c r="C8222"/>
      <c r="J8222"/>
      <c r="K8222"/>
      <c r="L8222"/>
    </row>
    <row r="8223" spans="2:12" x14ac:dyDescent="0.2">
      <c r="B8223"/>
      <c r="C8223"/>
      <c r="J8223"/>
      <c r="K8223"/>
      <c r="L8223"/>
    </row>
    <row r="8224" spans="2:12" x14ac:dyDescent="0.2">
      <c r="B8224"/>
      <c r="C8224"/>
      <c r="J8224"/>
      <c r="K8224"/>
      <c r="L8224"/>
    </row>
    <row r="8225" spans="2:12" x14ac:dyDescent="0.2">
      <c r="B8225"/>
      <c r="C8225"/>
      <c r="J8225"/>
      <c r="K8225"/>
      <c r="L8225"/>
    </row>
    <row r="8226" spans="2:12" x14ac:dyDescent="0.2">
      <c r="B8226"/>
      <c r="C8226"/>
      <c r="J8226"/>
      <c r="K8226"/>
      <c r="L8226"/>
    </row>
    <row r="8227" spans="2:12" x14ac:dyDescent="0.2">
      <c r="B8227"/>
      <c r="C8227"/>
      <c r="J8227"/>
      <c r="K8227"/>
      <c r="L8227"/>
    </row>
    <row r="8228" spans="2:12" x14ac:dyDescent="0.2">
      <c r="B8228"/>
      <c r="C8228"/>
      <c r="J8228"/>
      <c r="K8228"/>
      <c r="L8228"/>
    </row>
    <row r="8229" spans="2:12" x14ac:dyDescent="0.2">
      <c r="B8229"/>
      <c r="C8229"/>
      <c r="J8229"/>
      <c r="K8229"/>
      <c r="L8229"/>
    </row>
    <row r="8230" spans="2:12" x14ac:dyDescent="0.2">
      <c r="B8230"/>
      <c r="C8230"/>
      <c r="J8230"/>
      <c r="K8230"/>
      <c r="L8230"/>
    </row>
    <row r="8231" spans="2:12" x14ac:dyDescent="0.2">
      <c r="B8231"/>
      <c r="C8231"/>
      <c r="J8231"/>
      <c r="K8231"/>
      <c r="L8231"/>
    </row>
    <row r="8232" spans="2:12" x14ac:dyDescent="0.2">
      <c r="B8232"/>
      <c r="C8232"/>
      <c r="J8232"/>
      <c r="K8232"/>
      <c r="L8232"/>
    </row>
    <row r="8233" spans="2:12" x14ac:dyDescent="0.2">
      <c r="B8233"/>
      <c r="C8233"/>
      <c r="J8233"/>
      <c r="K8233"/>
      <c r="L8233"/>
    </row>
    <row r="8234" spans="2:12" x14ac:dyDescent="0.2">
      <c r="B8234"/>
      <c r="C8234"/>
      <c r="J8234"/>
      <c r="K8234"/>
      <c r="L8234"/>
    </row>
    <row r="8235" spans="2:12" x14ac:dyDescent="0.2">
      <c r="B8235"/>
      <c r="C8235"/>
      <c r="J8235"/>
      <c r="K8235"/>
      <c r="L8235"/>
    </row>
    <row r="8236" spans="2:12" x14ac:dyDescent="0.2">
      <c r="B8236"/>
      <c r="C8236"/>
      <c r="J8236"/>
      <c r="K8236"/>
      <c r="L8236"/>
    </row>
    <row r="8237" spans="2:12" x14ac:dyDescent="0.2">
      <c r="B8237"/>
      <c r="C8237"/>
      <c r="J8237"/>
      <c r="K8237"/>
      <c r="L8237"/>
    </row>
    <row r="8238" spans="2:12" x14ac:dyDescent="0.2">
      <c r="B8238"/>
      <c r="C8238"/>
      <c r="J8238"/>
      <c r="K8238"/>
      <c r="L8238"/>
    </row>
    <row r="8239" spans="2:12" x14ac:dyDescent="0.2">
      <c r="B8239"/>
      <c r="C8239"/>
      <c r="J8239"/>
      <c r="K8239"/>
      <c r="L8239"/>
    </row>
    <row r="8240" spans="2:12" x14ac:dyDescent="0.2">
      <c r="B8240"/>
      <c r="C8240"/>
      <c r="J8240"/>
      <c r="K8240"/>
      <c r="L8240"/>
    </row>
    <row r="8241" spans="2:12" x14ac:dyDescent="0.2">
      <c r="B8241"/>
      <c r="C8241"/>
      <c r="J8241"/>
      <c r="K8241"/>
      <c r="L8241"/>
    </row>
    <row r="8242" spans="2:12" x14ac:dyDescent="0.2">
      <c r="B8242"/>
      <c r="C8242"/>
      <c r="J8242"/>
      <c r="K8242"/>
      <c r="L8242"/>
    </row>
    <row r="8243" spans="2:12" x14ac:dyDescent="0.2">
      <c r="B8243"/>
      <c r="C8243"/>
      <c r="J8243"/>
      <c r="K8243"/>
      <c r="L8243"/>
    </row>
    <row r="8244" spans="2:12" x14ac:dyDescent="0.2">
      <c r="B8244"/>
      <c r="C8244"/>
      <c r="J8244"/>
      <c r="K8244"/>
      <c r="L8244"/>
    </row>
    <row r="8245" spans="2:12" x14ac:dyDescent="0.2">
      <c r="B8245"/>
      <c r="C8245"/>
      <c r="J8245"/>
      <c r="K8245"/>
      <c r="L8245"/>
    </row>
    <row r="8246" spans="2:12" x14ac:dyDescent="0.2">
      <c r="B8246"/>
      <c r="C8246"/>
      <c r="J8246"/>
      <c r="K8246"/>
      <c r="L8246"/>
    </row>
    <row r="8247" spans="2:12" x14ac:dyDescent="0.2">
      <c r="B8247"/>
      <c r="C8247"/>
      <c r="J8247"/>
      <c r="K8247"/>
      <c r="L8247"/>
    </row>
    <row r="8248" spans="2:12" x14ac:dyDescent="0.2">
      <c r="B8248"/>
      <c r="C8248"/>
      <c r="J8248"/>
      <c r="K8248"/>
      <c r="L8248"/>
    </row>
    <row r="8249" spans="2:12" x14ac:dyDescent="0.2">
      <c r="B8249"/>
      <c r="C8249"/>
      <c r="J8249"/>
      <c r="K8249"/>
      <c r="L8249"/>
    </row>
    <row r="8250" spans="2:12" x14ac:dyDescent="0.2">
      <c r="B8250"/>
      <c r="C8250"/>
      <c r="J8250"/>
      <c r="K8250"/>
      <c r="L8250"/>
    </row>
    <row r="8251" spans="2:12" x14ac:dyDescent="0.2">
      <c r="B8251"/>
      <c r="C8251"/>
      <c r="J8251"/>
      <c r="K8251"/>
      <c r="L8251"/>
    </row>
    <row r="8252" spans="2:12" x14ac:dyDescent="0.2">
      <c r="B8252"/>
      <c r="C8252"/>
      <c r="J8252"/>
      <c r="K8252"/>
      <c r="L8252"/>
    </row>
    <row r="8253" spans="2:12" x14ac:dyDescent="0.2">
      <c r="B8253"/>
      <c r="C8253"/>
      <c r="J8253"/>
      <c r="K8253"/>
      <c r="L8253"/>
    </row>
    <row r="8254" spans="2:12" x14ac:dyDescent="0.2">
      <c r="B8254"/>
      <c r="C8254"/>
      <c r="J8254"/>
      <c r="K8254"/>
      <c r="L8254"/>
    </row>
    <row r="8255" spans="2:12" x14ac:dyDescent="0.2">
      <c r="B8255"/>
      <c r="C8255"/>
      <c r="J8255"/>
      <c r="K8255"/>
      <c r="L8255"/>
    </row>
    <row r="8256" spans="2:12" x14ac:dyDescent="0.2">
      <c r="B8256"/>
      <c r="C8256"/>
      <c r="J8256"/>
      <c r="K8256"/>
      <c r="L8256"/>
    </row>
    <row r="8257" spans="2:12" x14ac:dyDescent="0.2">
      <c r="B8257"/>
      <c r="C8257"/>
      <c r="J8257"/>
      <c r="K8257"/>
      <c r="L8257"/>
    </row>
    <row r="8258" spans="2:12" x14ac:dyDescent="0.2">
      <c r="B8258"/>
      <c r="C8258"/>
      <c r="J8258"/>
      <c r="K8258"/>
      <c r="L8258"/>
    </row>
    <row r="8259" spans="2:12" x14ac:dyDescent="0.2">
      <c r="B8259"/>
      <c r="C8259"/>
      <c r="J8259"/>
      <c r="K8259"/>
      <c r="L8259"/>
    </row>
    <row r="8260" spans="2:12" x14ac:dyDescent="0.2">
      <c r="B8260"/>
      <c r="C8260"/>
      <c r="J8260"/>
      <c r="K8260"/>
      <c r="L8260"/>
    </row>
    <row r="8261" spans="2:12" x14ac:dyDescent="0.2">
      <c r="B8261"/>
      <c r="C8261"/>
      <c r="J8261"/>
      <c r="K8261"/>
      <c r="L8261"/>
    </row>
    <row r="8262" spans="2:12" x14ac:dyDescent="0.2">
      <c r="B8262"/>
      <c r="C8262"/>
      <c r="J8262"/>
      <c r="K8262"/>
      <c r="L8262"/>
    </row>
    <row r="8263" spans="2:12" x14ac:dyDescent="0.2">
      <c r="B8263"/>
      <c r="C8263"/>
      <c r="J8263"/>
      <c r="K8263"/>
      <c r="L8263"/>
    </row>
    <row r="8264" spans="2:12" x14ac:dyDescent="0.2">
      <c r="B8264"/>
      <c r="C8264"/>
      <c r="J8264"/>
      <c r="K8264"/>
      <c r="L8264"/>
    </row>
    <row r="8265" spans="2:12" x14ac:dyDescent="0.2">
      <c r="B8265"/>
      <c r="C8265"/>
      <c r="J8265"/>
      <c r="K8265"/>
      <c r="L8265"/>
    </row>
    <row r="8266" spans="2:12" x14ac:dyDescent="0.2">
      <c r="B8266"/>
      <c r="C8266"/>
      <c r="J8266"/>
      <c r="K8266"/>
      <c r="L8266"/>
    </row>
    <row r="8267" spans="2:12" x14ac:dyDescent="0.2">
      <c r="B8267"/>
      <c r="C8267"/>
      <c r="J8267"/>
      <c r="K8267"/>
      <c r="L8267"/>
    </row>
    <row r="8268" spans="2:12" x14ac:dyDescent="0.2">
      <c r="B8268"/>
      <c r="C8268"/>
      <c r="J8268"/>
      <c r="K8268"/>
      <c r="L8268"/>
    </row>
    <row r="8269" spans="2:12" x14ac:dyDescent="0.2">
      <c r="B8269"/>
      <c r="C8269"/>
      <c r="J8269"/>
      <c r="K8269"/>
      <c r="L8269"/>
    </row>
    <row r="8270" spans="2:12" x14ac:dyDescent="0.2">
      <c r="B8270"/>
      <c r="C8270"/>
      <c r="J8270"/>
      <c r="K8270"/>
      <c r="L8270"/>
    </row>
    <row r="8271" spans="2:12" x14ac:dyDescent="0.2">
      <c r="B8271"/>
      <c r="C8271"/>
      <c r="J8271"/>
      <c r="K8271"/>
      <c r="L8271"/>
    </row>
    <row r="8272" spans="2:12" x14ac:dyDescent="0.2">
      <c r="B8272"/>
      <c r="C8272"/>
      <c r="J8272"/>
      <c r="K8272"/>
      <c r="L8272"/>
    </row>
    <row r="8273" spans="2:12" x14ac:dyDescent="0.2">
      <c r="B8273"/>
      <c r="C8273"/>
      <c r="J8273"/>
      <c r="K8273"/>
      <c r="L8273"/>
    </row>
    <row r="8274" spans="2:12" x14ac:dyDescent="0.2">
      <c r="B8274"/>
      <c r="C8274"/>
      <c r="J8274"/>
      <c r="K8274"/>
      <c r="L8274"/>
    </row>
    <row r="8275" spans="2:12" x14ac:dyDescent="0.2">
      <c r="B8275"/>
      <c r="C8275"/>
      <c r="J8275"/>
      <c r="K8275"/>
      <c r="L8275"/>
    </row>
    <row r="8276" spans="2:12" x14ac:dyDescent="0.2">
      <c r="B8276"/>
      <c r="C8276"/>
      <c r="J8276"/>
      <c r="K8276"/>
      <c r="L8276"/>
    </row>
    <row r="8277" spans="2:12" x14ac:dyDescent="0.2">
      <c r="B8277"/>
      <c r="C8277"/>
      <c r="J8277"/>
      <c r="K8277"/>
      <c r="L8277"/>
    </row>
    <row r="8278" spans="2:12" x14ac:dyDescent="0.2">
      <c r="B8278"/>
      <c r="C8278"/>
      <c r="J8278"/>
      <c r="K8278"/>
      <c r="L8278"/>
    </row>
    <row r="8279" spans="2:12" x14ac:dyDescent="0.2">
      <c r="B8279"/>
      <c r="C8279"/>
      <c r="J8279"/>
      <c r="K8279"/>
      <c r="L8279"/>
    </row>
    <row r="8280" spans="2:12" x14ac:dyDescent="0.2">
      <c r="B8280"/>
      <c r="C8280"/>
      <c r="J8280"/>
      <c r="K8280"/>
      <c r="L8280"/>
    </row>
    <row r="8281" spans="2:12" x14ac:dyDescent="0.2">
      <c r="B8281"/>
      <c r="C8281"/>
      <c r="J8281"/>
      <c r="K8281"/>
      <c r="L8281"/>
    </row>
    <row r="8282" spans="2:12" x14ac:dyDescent="0.2">
      <c r="B8282"/>
      <c r="C8282"/>
      <c r="J8282"/>
      <c r="K8282"/>
      <c r="L8282"/>
    </row>
    <row r="8283" spans="2:12" x14ac:dyDescent="0.2">
      <c r="B8283"/>
      <c r="C8283"/>
      <c r="J8283"/>
      <c r="K8283"/>
      <c r="L8283"/>
    </row>
    <row r="8284" spans="2:12" x14ac:dyDescent="0.2">
      <c r="B8284"/>
      <c r="C8284"/>
      <c r="J8284"/>
      <c r="K8284"/>
      <c r="L8284"/>
    </row>
    <row r="8285" spans="2:12" x14ac:dyDescent="0.2">
      <c r="B8285"/>
      <c r="C8285"/>
      <c r="J8285"/>
      <c r="K8285"/>
      <c r="L8285"/>
    </row>
    <row r="8286" spans="2:12" x14ac:dyDescent="0.2">
      <c r="B8286"/>
      <c r="C8286"/>
      <c r="J8286"/>
      <c r="K8286"/>
      <c r="L8286"/>
    </row>
    <row r="8287" spans="2:12" x14ac:dyDescent="0.2">
      <c r="B8287"/>
      <c r="C8287"/>
      <c r="J8287"/>
      <c r="K8287"/>
      <c r="L8287"/>
    </row>
    <row r="8288" spans="2:12" x14ac:dyDescent="0.2">
      <c r="B8288"/>
      <c r="C8288"/>
      <c r="J8288"/>
      <c r="K8288"/>
      <c r="L8288"/>
    </row>
    <row r="8289" spans="2:12" x14ac:dyDescent="0.2">
      <c r="B8289"/>
      <c r="C8289"/>
      <c r="J8289"/>
      <c r="K8289"/>
      <c r="L8289"/>
    </row>
    <row r="8290" spans="2:12" x14ac:dyDescent="0.2">
      <c r="B8290"/>
      <c r="C8290"/>
      <c r="J8290"/>
      <c r="K8290"/>
      <c r="L8290"/>
    </row>
    <row r="8291" spans="2:12" x14ac:dyDescent="0.2">
      <c r="B8291"/>
      <c r="C8291"/>
      <c r="J8291"/>
      <c r="K8291"/>
      <c r="L8291"/>
    </row>
    <row r="8292" spans="2:12" x14ac:dyDescent="0.2">
      <c r="B8292"/>
      <c r="C8292"/>
      <c r="J8292"/>
      <c r="K8292"/>
      <c r="L8292"/>
    </row>
    <row r="8293" spans="2:12" x14ac:dyDescent="0.2">
      <c r="B8293"/>
      <c r="C8293"/>
      <c r="J8293"/>
      <c r="K8293"/>
      <c r="L8293"/>
    </row>
    <row r="8294" spans="2:12" x14ac:dyDescent="0.2">
      <c r="B8294"/>
      <c r="C8294"/>
      <c r="J8294"/>
      <c r="K8294"/>
      <c r="L8294"/>
    </row>
    <row r="8295" spans="2:12" x14ac:dyDescent="0.2">
      <c r="B8295"/>
      <c r="C8295"/>
      <c r="J8295"/>
      <c r="K8295"/>
      <c r="L8295"/>
    </row>
    <row r="8296" spans="2:12" x14ac:dyDescent="0.2">
      <c r="B8296"/>
      <c r="C8296"/>
      <c r="J8296"/>
      <c r="K8296"/>
      <c r="L8296"/>
    </row>
    <row r="8297" spans="2:12" x14ac:dyDescent="0.2">
      <c r="B8297"/>
      <c r="C8297"/>
      <c r="J8297"/>
      <c r="K8297"/>
      <c r="L8297"/>
    </row>
    <row r="8298" spans="2:12" x14ac:dyDescent="0.2">
      <c r="B8298"/>
      <c r="C8298"/>
      <c r="J8298"/>
      <c r="K8298"/>
      <c r="L8298"/>
    </row>
    <row r="8299" spans="2:12" x14ac:dyDescent="0.2">
      <c r="B8299"/>
      <c r="C8299"/>
      <c r="J8299"/>
      <c r="K8299"/>
      <c r="L8299"/>
    </row>
    <row r="8300" spans="2:12" x14ac:dyDescent="0.2">
      <c r="B8300"/>
      <c r="C8300"/>
      <c r="J8300"/>
      <c r="K8300"/>
      <c r="L8300"/>
    </row>
    <row r="8301" spans="2:12" x14ac:dyDescent="0.2">
      <c r="B8301"/>
      <c r="C8301"/>
      <c r="J8301"/>
      <c r="K8301"/>
      <c r="L8301"/>
    </row>
    <row r="8302" spans="2:12" x14ac:dyDescent="0.2">
      <c r="B8302"/>
      <c r="C8302"/>
      <c r="J8302"/>
      <c r="K8302"/>
      <c r="L8302"/>
    </row>
    <row r="8303" spans="2:12" x14ac:dyDescent="0.2">
      <c r="B8303"/>
      <c r="C8303"/>
      <c r="J8303"/>
      <c r="K8303"/>
      <c r="L8303"/>
    </row>
    <row r="8304" spans="2:12" x14ac:dyDescent="0.2">
      <c r="B8304"/>
      <c r="C8304"/>
      <c r="J8304"/>
      <c r="K8304"/>
      <c r="L8304"/>
    </row>
    <row r="8305" spans="2:12" x14ac:dyDescent="0.2">
      <c r="B8305"/>
      <c r="C8305"/>
      <c r="J8305"/>
      <c r="K8305"/>
      <c r="L8305"/>
    </row>
    <row r="8306" spans="2:12" x14ac:dyDescent="0.2">
      <c r="B8306"/>
      <c r="C8306"/>
      <c r="J8306"/>
      <c r="K8306"/>
      <c r="L8306"/>
    </row>
    <row r="8307" spans="2:12" x14ac:dyDescent="0.2">
      <c r="B8307"/>
      <c r="C8307"/>
      <c r="J8307"/>
      <c r="K8307"/>
      <c r="L8307"/>
    </row>
    <row r="8308" spans="2:12" x14ac:dyDescent="0.2">
      <c r="B8308"/>
      <c r="C8308"/>
      <c r="J8308"/>
      <c r="K8308"/>
      <c r="L8308"/>
    </row>
    <row r="8309" spans="2:12" x14ac:dyDescent="0.2">
      <c r="B8309"/>
      <c r="C8309"/>
      <c r="J8309"/>
      <c r="K8309"/>
      <c r="L8309"/>
    </row>
    <row r="8310" spans="2:12" x14ac:dyDescent="0.2">
      <c r="B8310"/>
      <c r="C8310"/>
      <c r="J8310"/>
      <c r="K8310"/>
      <c r="L8310"/>
    </row>
    <row r="8311" spans="2:12" x14ac:dyDescent="0.2">
      <c r="B8311"/>
      <c r="C8311"/>
      <c r="J8311"/>
      <c r="K8311"/>
      <c r="L8311"/>
    </row>
    <row r="8312" spans="2:12" x14ac:dyDescent="0.2">
      <c r="B8312"/>
      <c r="C8312"/>
      <c r="J8312"/>
      <c r="K8312"/>
      <c r="L8312"/>
    </row>
    <row r="8313" spans="2:12" x14ac:dyDescent="0.2">
      <c r="B8313"/>
      <c r="C8313"/>
      <c r="J8313"/>
      <c r="K8313"/>
      <c r="L8313"/>
    </row>
    <row r="8314" spans="2:12" x14ac:dyDescent="0.2">
      <c r="B8314"/>
      <c r="C8314"/>
      <c r="J8314"/>
      <c r="K8314"/>
      <c r="L8314"/>
    </row>
    <row r="8315" spans="2:12" x14ac:dyDescent="0.2">
      <c r="B8315"/>
      <c r="C8315"/>
      <c r="J8315"/>
      <c r="K8315"/>
      <c r="L8315"/>
    </row>
    <row r="8316" spans="2:12" x14ac:dyDescent="0.2">
      <c r="B8316"/>
      <c r="C8316"/>
      <c r="J8316"/>
      <c r="K8316"/>
      <c r="L8316"/>
    </row>
    <row r="8317" spans="2:12" x14ac:dyDescent="0.2">
      <c r="B8317"/>
      <c r="C8317"/>
      <c r="J8317"/>
      <c r="K8317"/>
      <c r="L8317"/>
    </row>
    <row r="8318" spans="2:12" x14ac:dyDescent="0.2">
      <c r="B8318"/>
      <c r="C8318"/>
      <c r="J8318"/>
      <c r="K8318"/>
      <c r="L8318"/>
    </row>
    <row r="8319" spans="2:12" x14ac:dyDescent="0.2">
      <c r="B8319"/>
      <c r="C8319"/>
      <c r="J8319"/>
      <c r="K8319"/>
      <c r="L8319"/>
    </row>
    <row r="8320" spans="2:12" x14ac:dyDescent="0.2">
      <c r="B8320"/>
      <c r="C8320"/>
      <c r="J8320"/>
      <c r="K8320"/>
      <c r="L8320"/>
    </row>
    <row r="8321" spans="2:12" x14ac:dyDescent="0.2">
      <c r="B8321"/>
      <c r="C8321"/>
      <c r="J8321"/>
      <c r="K8321"/>
      <c r="L8321"/>
    </row>
    <row r="8322" spans="2:12" x14ac:dyDescent="0.2">
      <c r="B8322"/>
      <c r="C8322"/>
      <c r="J8322"/>
      <c r="K8322"/>
      <c r="L8322"/>
    </row>
    <row r="8323" spans="2:12" x14ac:dyDescent="0.2">
      <c r="B8323"/>
      <c r="C8323"/>
      <c r="J8323"/>
      <c r="K8323"/>
      <c r="L8323"/>
    </row>
    <row r="8324" spans="2:12" x14ac:dyDescent="0.2">
      <c r="B8324"/>
      <c r="C8324"/>
      <c r="J8324"/>
      <c r="K8324"/>
      <c r="L8324"/>
    </row>
    <row r="8325" spans="2:12" x14ac:dyDescent="0.2">
      <c r="B8325"/>
      <c r="C8325"/>
      <c r="J8325"/>
      <c r="K8325"/>
      <c r="L8325"/>
    </row>
    <row r="8326" spans="2:12" x14ac:dyDescent="0.2">
      <c r="B8326"/>
      <c r="C8326"/>
      <c r="J8326"/>
      <c r="K8326"/>
      <c r="L8326"/>
    </row>
    <row r="8327" spans="2:12" x14ac:dyDescent="0.2">
      <c r="B8327"/>
      <c r="C8327"/>
      <c r="J8327"/>
      <c r="K8327"/>
      <c r="L8327"/>
    </row>
    <row r="8328" spans="2:12" x14ac:dyDescent="0.2">
      <c r="B8328"/>
      <c r="C8328"/>
      <c r="J8328"/>
      <c r="K8328"/>
      <c r="L8328"/>
    </row>
    <row r="8329" spans="2:12" x14ac:dyDescent="0.2">
      <c r="B8329"/>
      <c r="C8329"/>
      <c r="J8329"/>
      <c r="K8329"/>
      <c r="L8329"/>
    </row>
    <row r="8330" spans="2:12" x14ac:dyDescent="0.2">
      <c r="B8330"/>
      <c r="C8330"/>
      <c r="J8330"/>
      <c r="K8330"/>
      <c r="L8330"/>
    </row>
    <row r="8331" spans="2:12" x14ac:dyDescent="0.2">
      <c r="B8331"/>
      <c r="C8331"/>
      <c r="J8331"/>
      <c r="K8331"/>
      <c r="L8331"/>
    </row>
    <row r="8332" spans="2:12" x14ac:dyDescent="0.2">
      <c r="B8332"/>
      <c r="C8332"/>
      <c r="J8332"/>
      <c r="K8332"/>
      <c r="L8332"/>
    </row>
    <row r="8333" spans="2:12" x14ac:dyDescent="0.2">
      <c r="B8333"/>
      <c r="C8333"/>
      <c r="J8333"/>
      <c r="K8333"/>
      <c r="L8333"/>
    </row>
    <row r="8334" spans="2:12" x14ac:dyDescent="0.2">
      <c r="B8334"/>
      <c r="C8334"/>
      <c r="J8334"/>
      <c r="K8334"/>
      <c r="L8334"/>
    </row>
    <row r="8335" spans="2:12" x14ac:dyDescent="0.2">
      <c r="B8335"/>
      <c r="C8335"/>
      <c r="J8335"/>
      <c r="K8335"/>
      <c r="L8335"/>
    </row>
    <row r="8336" spans="2:12" x14ac:dyDescent="0.2">
      <c r="B8336"/>
      <c r="C8336"/>
      <c r="J8336"/>
      <c r="K8336"/>
      <c r="L8336"/>
    </row>
    <row r="8337" spans="2:12" x14ac:dyDescent="0.2">
      <c r="B8337"/>
      <c r="C8337"/>
      <c r="J8337"/>
      <c r="K8337"/>
      <c r="L8337"/>
    </row>
    <row r="8338" spans="2:12" x14ac:dyDescent="0.2">
      <c r="B8338"/>
      <c r="C8338"/>
      <c r="J8338"/>
      <c r="K8338"/>
      <c r="L8338"/>
    </row>
    <row r="8339" spans="2:12" x14ac:dyDescent="0.2">
      <c r="B8339"/>
      <c r="C8339"/>
      <c r="J8339"/>
      <c r="K8339"/>
      <c r="L8339"/>
    </row>
    <row r="8340" spans="2:12" x14ac:dyDescent="0.2">
      <c r="B8340"/>
      <c r="C8340"/>
      <c r="J8340"/>
      <c r="K8340"/>
      <c r="L8340"/>
    </row>
    <row r="8341" spans="2:12" x14ac:dyDescent="0.2">
      <c r="B8341"/>
      <c r="C8341"/>
      <c r="J8341"/>
      <c r="K8341"/>
      <c r="L8341"/>
    </row>
    <row r="8342" spans="2:12" x14ac:dyDescent="0.2">
      <c r="B8342"/>
      <c r="C8342"/>
      <c r="J8342"/>
      <c r="K8342"/>
      <c r="L8342"/>
    </row>
    <row r="8343" spans="2:12" x14ac:dyDescent="0.2">
      <c r="B8343"/>
      <c r="C8343"/>
      <c r="J8343"/>
      <c r="K8343"/>
      <c r="L8343"/>
    </row>
    <row r="8344" spans="2:12" x14ac:dyDescent="0.2">
      <c r="B8344"/>
      <c r="C8344"/>
      <c r="J8344"/>
      <c r="K8344"/>
      <c r="L8344"/>
    </row>
    <row r="8345" spans="2:12" x14ac:dyDescent="0.2">
      <c r="B8345"/>
      <c r="C8345"/>
      <c r="J8345"/>
      <c r="K8345"/>
      <c r="L8345"/>
    </row>
    <row r="8346" spans="2:12" x14ac:dyDescent="0.2">
      <c r="B8346"/>
      <c r="C8346"/>
      <c r="J8346"/>
      <c r="K8346"/>
      <c r="L8346"/>
    </row>
    <row r="8347" spans="2:12" x14ac:dyDescent="0.2">
      <c r="B8347"/>
      <c r="C8347"/>
      <c r="J8347"/>
      <c r="K8347"/>
      <c r="L8347"/>
    </row>
    <row r="8348" spans="2:12" x14ac:dyDescent="0.2">
      <c r="B8348"/>
      <c r="C8348"/>
      <c r="J8348"/>
      <c r="K8348"/>
      <c r="L8348"/>
    </row>
    <row r="8349" spans="2:12" x14ac:dyDescent="0.2">
      <c r="B8349"/>
      <c r="C8349"/>
      <c r="J8349"/>
      <c r="K8349"/>
      <c r="L8349"/>
    </row>
    <row r="8350" spans="2:12" x14ac:dyDescent="0.2">
      <c r="B8350"/>
      <c r="C8350"/>
      <c r="J8350"/>
      <c r="K8350"/>
      <c r="L8350"/>
    </row>
    <row r="8351" spans="2:12" x14ac:dyDescent="0.2">
      <c r="B8351"/>
      <c r="C8351"/>
      <c r="J8351"/>
      <c r="K8351"/>
      <c r="L8351"/>
    </row>
    <row r="8352" spans="2:12" x14ac:dyDescent="0.2">
      <c r="B8352"/>
      <c r="C8352"/>
      <c r="J8352"/>
      <c r="K8352"/>
      <c r="L8352"/>
    </row>
    <row r="8353" spans="2:12" x14ac:dyDescent="0.2">
      <c r="B8353"/>
      <c r="C8353"/>
      <c r="J8353"/>
      <c r="K8353"/>
      <c r="L8353"/>
    </row>
    <row r="8354" spans="2:12" x14ac:dyDescent="0.2">
      <c r="B8354"/>
      <c r="C8354"/>
      <c r="J8354"/>
      <c r="K8354"/>
      <c r="L8354"/>
    </row>
    <row r="8355" spans="2:12" x14ac:dyDescent="0.2">
      <c r="B8355"/>
      <c r="C8355"/>
      <c r="J8355"/>
      <c r="K8355"/>
      <c r="L8355"/>
    </row>
    <row r="8356" spans="2:12" x14ac:dyDescent="0.2">
      <c r="B8356"/>
      <c r="C8356"/>
      <c r="J8356"/>
      <c r="K8356"/>
      <c r="L8356"/>
    </row>
    <row r="8357" spans="2:12" x14ac:dyDescent="0.2">
      <c r="B8357"/>
      <c r="C8357"/>
      <c r="J8357"/>
      <c r="K8357"/>
      <c r="L8357"/>
    </row>
    <row r="8358" spans="2:12" x14ac:dyDescent="0.2">
      <c r="B8358"/>
      <c r="C8358"/>
      <c r="J8358"/>
      <c r="K8358"/>
      <c r="L8358"/>
    </row>
    <row r="8359" spans="2:12" x14ac:dyDescent="0.2">
      <c r="B8359"/>
      <c r="C8359"/>
      <c r="J8359"/>
      <c r="K8359"/>
      <c r="L8359"/>
    </row>
    <row r="8360" spans="2:12" x14ac:dyDescent="0.2">
      <c r="B8360"/>
      <c r="C8360"/>
      <c r="J8360"/>
      <c r="K8360"/>
      <c r="L8360"/>
    </row>
    <row r="8361" spans="2:12" x14ac:dyDescent="0.2">
      <c r="B8361"/>
      <c r="C8361"/>
      <c r="J8361"/>
      <c r="K8361"/>
      <c r="L8361"/>
    </row>
    <row r="8362" spans="2:12" x14ac:dyDescent="0.2">
      <c r="B8362"/>
      <c r="C8362"/>
      <c r="J8362"/>
      <c r="K8362"/>
      <c r="L8362"/>
    </row>
    <row r="8363" spans="2:12" x14ac:dyDescent="0.2">
      <c r="B8363"/>
      <c r="C8363"/>
      <c r="J8363"/>
      <c r="K8363"/>
      <c r="L8363"/>
    </row>
    <row r="8364" spans="2:12" x14ac:dyDescent="0.2">
      <c r="B8364"/>
      <c r="C8364"/>
      <c r="J8364"/>
      <c r="K8364"/>
      <c r="L8364"/>
    </row>
    <row r="8365" spans="2:12" x14ac:dyDescent="0.2">
      <c r="B8365"/>
      <c r="C8365"/>
      <c r="J8365"/>
      <c r="K8365"/>
      <c r="L8365"/>
    </row>
    <row r="8366" spans="2:12" x14ac:dyDescent="0.2">
      <c r="B8366"/>
      <c r="C8366"/>
      <c r="J8366"/>
      <c r="K8366"/>
      <c r="L8366"/>
    </row>
    <row r="8367" spans="2:12" x14ac:dyDescent="0.2">
      <c r="B8367"/>
      <c r="C8367"/>
      <c r="J8367"/>
      <c r="K8367"/>
      <c r="L8367"/>
    </row>
    <row r="8368" spans="2:12" x14ac:dyDescent="0.2">
      <c r="B8368"/>
      <c r="C8368"/>
      <c r="J8368"/>
      <c r="K8368"/>
      <c r="L8368"/>
    </row>
    <row r="8369" spans="2:12" x14ac:dyDescent="0.2">
      <c r="B8369"/>
      <c r="C8369"/>
      <c r="J8369"/>
      <c r="K8369"/>
      <c r="L8369"/>
    </row>
    <row r="8370" spans="2:12" x14ac:dyDescent="0.2">
      <c r="B8370"/>
      <c r="C8370"/>
      <c r="J8370"/>
      <c r="K8370"/>
      <c r="L8370"/>
    </row>
    <row r="8371" spans="2:12" x14ac:dyDescent="0.2">
      <c r="B8371"/>
      <c r="C8371"/>
      <c r="J8371"/>
      <c r="K8371"/>
      <c r="L8371"/>
    </row>
    <row r="8372" spans="2:12" x14ac:dyDescent="0.2">
      <c r="B8372"/>
      <c r="C8372"/>
      <c r="J8372"/>
      <c r="K8372"/>
      <c r="L8372"/>
    </row>
    <row r="8373" spans="2:12" x14ac:dyDescent="0.2">
      <c r="B8373"/>
      <c r="C8373"/>
      <c r="J8373"/>
      <c r="K8373"/>
      <c r="L8373"/>
    </row>
    <row r="8374" spans="2:12" x14ac:dyDescent="0.2">
      <c r="B8374"/>
      <c r="C8374"/>
      <c r="J8374"/>
      <c r="K8374"/>
      <c r="L8374"/>
    </row>
    <row r="8375" spans="2:12" x14ac:dyDescent="0.2">
      <c r="B8375"/>
      <c r="C8375"/>
      <c r="J8375"/>
      <c r="K8375"/>
      <c r="L8375"/>
    </row>
    <row r="8376" spans="2:12" x14ac:dyDescent="0.2">
      <c r="B8376"/>
      <c r="C8376"/>
      <c r="J8376"/>
      <c r="K8376"/>
      <c r="L8376"/>
    </row>
    <row r="8377" spans="2:12" x14ac:dyDescent="0.2">
      <c r="B8377"/>
      <c r="C8377"/>
      <c r="J8377"/>
      <c r="K8377"/>
      <c r="L8377"/>
    </row>
    <row r="8378" spans="2:12" x14ac:dyDescent="0.2">
      <c r="B8378"/>
      <c r="C8378"/>
      <c r="J8378"/>
      <c r="K8378"/>
      <c r="L8378"/>
    </row>
    <row r="8379" spans="2:12" x14ac:dyDescent="0.2">
      <c r="B8379"/>
      <c r="C8379"/>
      <c r="J8379"/>
      <c r="K8379"/>
      <c r="L8379"/>
    </row>
    <row r="8380" spans="2:12" x14ac:dyDescent="0.2">
      <c r="B8380"/>
      <c r="C8380"/>
      <c r="J8380"/>
      <c r="K8380"/>
      <c r="L8380"/>
    </row>
    <row r="8381" spans="2:12" x14ac:dyDescent="0.2">
      <c r="B8381"/>
      <c r="C8381"/>
      <c r="J8381"/>
      <c r="K8381"/>
      <c r="L8381"/>
    </row>
    <row r="8382" spans="2:12" x14ac:dyDescent="0.2">
      <c r="B8382"/>
      <c r="C8382"/>
      <c r="J8382"/>
      <c r="K8382"/>
      <c r="L8382"/>
    </row>
    <row r="8383" spans="2:12" x14ac:dyDescent="0.2">
      <c r="B8383"/>
      <c r="C8383"/>
      <c r="J8383"/>
      <c r="K8383"/>
      <c r="L8383"/>
    </row>
    <row r="8384" spans="2:12" x14ac:dyDescent="0.2">
      <c r="B8384"/>
      <c r="C8384"/>
      <c r="J8384"/>
      <c r="K8384"/>
      <c r="L8384"/>
    </row>
    <row r="8385" spans="2:12" x14ac:dyDescent="0.2">
      <c r="B8385"/>
      <c r="C8385"/>
      <c r="J8385"/>
      <c r="K8385"/>
      <c r="L8385"/>
    </row>
    <row r="8386" spans="2:12" x14ac:dyDescent="0.2">
      <c r="B8386"/>
      <c r="C8386"/>
      <c r="J8386"/>
      <c r="K8386"/>
      <c r="L8386"/>
    </row>
    <row r="8387" spans="2:12" x14ac:dyDescent="0.2">
      <c r="B8387"/>
      <c r="C8387"/>
      <c r="J8387"/>
      <c r="K8387"/>
      <c r="L8387"/>
    </row>
    <row r="8388" spans="2:12" x14ac:dyDescent="0.2">
      <c r="B8388"/>
      <c r="C8388"/>
      <c r="J8388"/>
      <c r="K8388"/>
      <c r="L8388"/>
    </row>
    <row r="8389" spans="2:12" x14ac:dyDescent="0.2">
      <c r="B8389"/>
      <c r="C8389"/>
      <c r="J8389"/>
      <c r="K8389"/>
      <c r="L8389"/>
    </row>
    <row r="8390" spans="2:12" x14ac:dyDescent="0.2">
      <c r="B8390"/>
      <c r="C8390"/>
      <c r="J8390"/>
      <c r="K8390"/>
      <c r="L8390"/>
    </row>
    <row r="8391" spans="2:12" x14ac:dyDescent="0.2">
      <c r="B8391"/>
      <c r="C8391"/>
      <c r="J8391"/>
      <c r="K8391"/>
      <c r="L8391"/>
    </row>
    <row r="8392" spans="2:12" x14ac:dyDescent="0.2">
      <c r="B8392"/>
      <c r="C8392"/>
      <c r="J8392"/>
      <c r="K8392"/>
      <c r="L8392"/>
    </row>
    <row r="8393" spans="2:12" x14ac:dyDescent="0.2">
      <c r="B8393"/>
      <c r="C8393"/>
      <c r="J8393"/>
      <c r="K8393"/>
      <c r="L8393"/>
    </row>
    <row r="8394" spans="2:12" x14ac:dyDescent="0.2">
      <c r="B8394"/>
      <c r="C8394"/>
      <c r="J8394"/>
      <c r="K8394"/>
      <c r="L8394"/>
    </row>
    <row r="8395" spans="2:12" x14ac:dyDescent="0.2">
      <c r="B8395"/>
      <c r="C8395"/>
      <c r="J8395"/>
      <c r="K8395"/>
      <c r="L8395"/>
    </row>
    <row r="8396" spans="2:12" x14ac:dyDescent="0.2">
      <c r="B8396"/>
      <c r="C8396"/>
      <c r="J8396"/>
      <c r="K8396"/>
      <c r="L8396"/>
    </row>
    <row r="8397" spans="2:12" x14ac:dyDescent="0.2">
      <c r="B8397"/>
      <c r="C8397"/>
      <c r="J8397"/>
      <c r="K8397"/>
      <c r="L8397"/>
    </row>
    <row r="8398" spans="2:12" x14ac:dyDescent="0.2">
      <c r="B8398"/>
      <c r="C8398"/>
      <c r="J8398"/>
      <c r="K8398"/>
      <c r="L8398"/>
    </row>
    <row r="8399" spans="2:12" x14ac:dyDescent="0.2">
      <c r="B8399"/>
      <c r="C8399"/>
      <c r="J8399"/>
      <c r="K8399"/>
      <c r="L8399"/>
    </row>
    <row r="8400" spans="2:12" x14ac:dyDescent="0.2">
      <c r="B8400"/>
      <c r="C8400"/>
      <c r="J8400"/>
      <c r="K8400"/>
      <c r="L8400"/>
    </row>
    <row r="8401" spans="2:12" x14ac:dyDescent="0.2">
      <c r="B8401"/>
      <c r="C8401"/>
      <c r="J8401"/>
      <c r="K8401"/>
      <c r="L8401"/>
    </row>
    <row r="8402" spans="2:12" x14ac:dyDescent="0.2">
      <c r="B8402"/>
      <c r="C8402"/>
      <c r="J8402"/>
      <c r="K8402"/>
      <c r="L8402"/>
    </row>
    <row r="8403" spans="2:12" x14ac:dyDescent="0.2">
      <c r="B8403"/>
      <c r="C8403"/>
      <c r="J8403"/>
      <c r="K8403"/>
      <c r="L8403"/>
    </row>
    <row r="8404" spans="2:12" x14ac:dyDescent="0.2">
      <c r="B8404"/>
      <c r="C8404"/>
      <c r="J8404"/>
      <c r="K8404"/>
      <c r="L8404"/>
    </row>
    <row r="8405" spans="2:12" x14ac:dyDescent="0.2">
      <c r="B8405"/>
      <c r="C8405"/>
      <c r="J8405"/>
      <c r="K8405"/>
      <c r="L8405"/>
    </row>
    <row r="8406" spans="2:12" x14ac:dyDescent="0.2">
      <c r="B8406"/>
      <c r="C8406"/>
      <c r="J8406"/>
      <c r="K8406"/>
      <c r="L8406"/>
    </row>
    <row r="8407" spans="2:12" x14ac:dyDescent="0.2">
      <c r="B8407"/>
      <c r="C8407"/>
      <c r="J8407"/>
      <c r="K8407"/>
      <c r="L8407"/>
    </row>
    <row r="8408" spans="2:12" x14ac:dyDescent="0.2">
      <c r="B8408"/>
      <c r="C8408"/>
      <c r="J8408"/>
      <c r="K8408"/>
      <c r="L8408"/>
    </row>
    <row r="8409" spans="2:12" x14ac:dyDescent="0.2">
      <c r="B8409"/>
      <c r="C8409"/>
      <c r="J8409"/>
      <c r="K8409"/>
      <c r="L8409"/>
    </row>
    <row r="8410" spans="2:12" x14ac:dyDescent="0.2">
      <c r="B8410"/>
      <c r="C8410"/>
      <c r="J8410"/>
      <c r="K8410"/>
      <c r="L8410"/>
    </row>
    <row r="8411" spans="2:12" x14ac:dyDescent="0.2">
      <c r="B8411"/>
      <c r="C8411"/>
      <c r="J8411"/>
      <c r="K8411"/>
      <c r="L8411"/>
    </row>
    <row r="8412" spans="2:12" x14ac:dyDescent="0.2">
      <c r="B8412"/>
      <c r="C8412"/>
      <c r="J8412"/>
      <c r="K8412"/>
      <c r="L8412"/>
    </row>
    <row r="8413" spans="2:12" x14ac:dyDescent="0.2">
      <c r="B8413"/>
      <c r="C8413"/>
      <c r="J8413"/>
      <c r="K8413"/>
      <c r="L8413"/>
    </row>
    <row r="8414" spans="2:12" x14ac:dyDescent="0.2">
      <c r="B8414"/>
      <c r="C8414"/>
      <c r="J8414"/>
      <c r="K8414"/>
      <c r="L8414"/>
    </row>
    <row r="8415" spans="2:12" x14ac:dyDescent="0.2">
      <c r="B8415"/>
      <c r="C8415"/>
      <c r="J8415"/>
      <c r="K8415"/>
      <c r="L8415"/>
    </row>
    <row r="8416" spans="2:12" x14ac:dyDescent="0.2">
      <c r="B8416"/>
      <c r="C8416"/>
      <c r="J8416"/>
      <c r="K8416"/>
      <c r="L8416"/>
    </row>
    <row r="8417" spans="2:12" x14ac:dyDescent="0.2">
      <c r="B8417"/>
      <c r="C8417"/>
      <c r="J8417"/>
      <c r="K8417"/>
      <c r="L8417"/>
    </row>
    <row r="8418" spans="2:12" x14ac:dyDescent="0.2">
      <c r="B8418"/>
      <c r="C8418"/>
      <c r="J8418"/>
      <c r="K8418"/>
      <c r="L8418"/>
    </row>
    <row r="8419" spans="2:12" x14ac:dyDescent="0.2">
      <c r="B8419"/>
      <c r="C8419"/>
      <c r="J8419"/>
      <c r="K8419"/>
      <c r="L8419"/>
    </row>
    <row r="8420" spans="2:12" x14ac:dyDescent="0.2">
      <c r="B8420"/>
      <c r="C8420"/>
      <c r="J8420"/>
      <c r="K8420"/>
      <c r="L8420"/>
    </row>
    <row r="8421" spans="2:12" x14ac:dyDescent="0.2">
      <c r="B8421"/>
      <c r="C8421"/>
      <c r="J8421"/>
      <c r="K8421"/>
      <c r="L8421"/>
    </row>
    <row r="8422" spans="2:12" x14ac:dyDescent="0.2">
      <c r="B8422"/>
      <c r="C8422"/>
      <c r="J8422"/>
      <c r="K8422"/>
      <c r="L8422"/>
    </row>
    <row r="8423" spans="2:12" x14ac:dyDescent="0.2">
      <c r="B8423"/>
      <c r="C8423"/>
      <c r="J8423"/>
      <c r="K8423"/>
      <c r="L8423"/>
    </row>
    <row r="8424" spans="2:12" x14ac:dyDescent="0.2">
      <c r="B8424"/>
      <c r="C8424"/>
      <c r="J8424"/>
      <c r="K8424"/>
      <c r="L8424"/>
    </row>
    <row r="8425" spans="2:12" x14ac:dyDescent="0.2">
      <c r="B8425"/>
      <c r="C8425"/>
      <c r="J8425"/>
      <c r="K8425"/>
      <c r="L8425"/>
    </row>
    <row r="8426" spans="2:12" x14ac:dyDescent="0.2">
      <c r="B8426"/>
      <c r="C8426"/>
      <c r="J8426"/>
      <c r="K8426"/>
      <c r="L8426"/>
    </row>
    <row r="8427" spans="2:12" x14ac:dyDescent="0.2">
      <c r="B8427"/>
      <c r="C8427"/>
      <c r="J8427"/>
      <c r="K8427"/>
      <c r="L8427"/>
    </row>
    <row r="8428" spans="2:12" x14ac:dyDescent="0.2">
      <c r="B8428"/>
      <c r="C8428"/>
      <c r="J8428"/>
      <c r="K8428"/>
      <c r="L8428"/>
    </row>
    <row r="8429" spans="2:12" x14ac:dyDescent="0.2">
      <c r="B8429"/>
      <c r="C8429"/>
      <c r="J8429"/>
      <c r="K8429"/>
      <c r="L8429"/>
    </row>
    <row r="8430" spans="2:12" x14ac:dyDescent="0.2">
      <c r="B8430"/>
      <c r="C8430"/>
      <c r="J8430"/>
      <c r="K8430"/>
      <c r="L8430"/>
    </row>
    <row r="8431" spans="2:12" x14ac:dyDescent="0.2">
      <c r="B8431"/>
      <c r="C8431"/>
      <c r="J8431"/>
      <c r="K8431"/>
      <c r="L8431"/>
    </row>
    <row r="8432" spans="2:12" x14ac:dyDescent="0.2">
      <c r="B8432"/>
      <c r="C8432"/>
      <c r="J8432"/>
      <c r="K8432"/>
      <c r="L8432"/>
    </row>
    <row r="8433" spans="2:12" x14ac:dyDescent="0.2">
      <c r="B8433"/>
      <c r="C8433"/>
      <c r="J8433"/>
      <c r="K8433"/>
      <c r="L8433"/>
    </row>
    <row r="8434" spans="2:12" x14ac:dyDescent="0.2">
      <c r="B8434"/>
      <c r="C8434"/>
      <c r="J8434"/>
      <c r="K8434"/>
      <c r="L8434"/>
    </row>
    <row r="8435" spans="2:12" x14ac:dyDescent="0.2">
      <c r="B8435"/>
      <c r="C8435"/>
      <c r="J8435"/>
      <c r="K8435"/>
      <c r="L8435"/>
    </row>
    <row r="8436" spans="2:12" x14ac:dyDescent="0.2">
      <c r="B8436"/>
      <c r="C8436"/>
      <c r="J8436"/>
      <c r="K8436"/>
      <c r="L8436"/>
    </row>
    <row r="8437" spans="2:12" x14ac:dyDescent="0.2">
      <c r="B8437"/>
      <c r="C8437"/>
      <c r="J8437"/>
      <c r="K8437"/>
      <c r="L8437"/>
    </row>
    <row r="8438" spans="2:12" x14ac:dyDescent="0.2">
      <c r="B8438"/>
      <c r="C8438"/>
      <c r="J8438"/>
      <c r="K8438"/>
      <c r="L8438"/>
    </row>
    <row r="8439" spans="2:12" x14ac:dyDescent="0.2">
      <c r="B8439"/>
      <c r="C8439"/>
      <c r="J8439"/>
      <c r="K8439"/>
      <c r="L8439"/>
    </row>
    <row r="8440" spans="2:12" x14ac:dyDescent="0.2">
      <c r="B8440"/>
      <c r="C8440"/>
      <c r="J8440"/>
      <c r="K8440"/>
      <c r="L8440"/>
    </row>
    <row r="8441" spans="2:12" x14ac:dyDescent="0.2">
      <c r="B8441"/>
      <c r="C8441"/>
      <c r="J8441"/>
      <c r="K8441"/>
      <c r="L8441"/>
    </row>
    <row r="8442" spans="2:12" x14ac:dyDescent="0.2">
      <c r="B8442"/>
      <c r="C8442"/>
      <c r="J8442"/>
      <c r="K8442"/>
      <c r="L8442"/>
    </row>
    <row r="8443" spans="2:12" x14ac:dyDescent="0.2">
      <c r="B8443"/>
      <c r="C8443"/>
      <c r="J8443"/>
      <c r="K8443"/>
      <c r="L8443"/>
    </row>
    <row r="8444" spans="2:12" x14ac:dyDescent="0.2">
      <c r="B8444"/>
      <c r="C8444"/>
      <c r="J8444"/>
      <c r="K8444"/>
      <c r="L8444"/>
    </row>
    <row r="8445" spans="2:12" x14ac:dyDescent="0.2">
      <c r="B8445"/>
      <c r="C8445"/>
      <c r="J8445"/>
      <c r="K8445"/>
      <c r="L8445"/>
    </row>
    <row r="8446" spans="2:12" x14ac:dyDescent="0.2">
      <c r="B8446"/>
      <c r="C8446"/>
      <c r="J8446"/>
      <c r="K8446"/>
      <c r="L8446"/>
    </row>
    <row r="8447" spans="2:12" x14ac:dyDescent="0.2">
      <c r="B8447"/>
      <c r="C8447"/>
      <c r="J8447"/>
      <c r="K8447"/>
      <c r="L8447"/>
    </row>
    <row r="8448" spans="2:12" x14ac:dyDescent="0.2">
      <c r="B8448"/>
      <c r="C8448"/>
      <c r="J8448"/>
      <c r="K8448"/>
      <c r="L8448"/>
    </row>
    <row r="8449" spans="2:12" x14ac:dyDescent="0.2">
      <c r="B8449"/>
      <c r="C8449"/>
      <c r="J8449"/>
      <c r="K8449"/>
      <c r="L8449"/>
    </row>
    <row r="8450" spans="2:12" x14ac:dyDescent="0.2">
      <c r="B8450"/>
      <c r="C8450"/>
      <c r="J8450"/>
      <c r="K8450"/>
      <c r="L8450"/>
    </row>
    <row r="8451" spans="2:12" x14ac:dyDescent="0.2">
      <c r="B8451"/>
      <c r="C8451"/>
      <c r="J8451"/>
      <c r="K8451"/>
      <c r="L8451"/>
    </row>
    <row r="8452" spans="2:12" x14ac:dyDescent="0.2">
      <c r="B8452"/>
      <c r="C8452"/>
      <c r="J8452"/>
      <c r="K8452"/>
      <c r="L8452"/>
    </row>
    <row r="8453" spans="2:12" x14ac:dyDescent="0.2">
      <c r="B8453"/>
      <c r="C8453"/>
      <c r="J8453"/>
      <c r="K8453"/>
      <c r="L8453"/>
    </row>
    <row r="8454" spans="2:12" x14ac:dyDescent="0.2">
      <c r="B8454"/>
      <c r="C8454"/>
      <c r="J8454"/>
      <c r="K8454"/>
      <c r="L8454"/>
    </row>
    <row r="8455" spans="2:12" x14ac:dyDescent="0.2">
      <c r="B8455"/>
      <c r="C8455"/>
      <c r="J8455"/>
      <c r="K8455"/>
      <c r="L8455"/>
    </row>
    <row r="8456" spans="2:12" x14ac:dyDescent="0.2">
      <c r="B8456"/>
      <c r="C8456"/>
      <c r="J8456"/>
      <c r="K8456"/>
      <c r="L8456"/>
    </row>
    <row r="8457" spans="2:12" x14ac:dyDescent="0.2">
      <c r="B8457"/>
      <c r="C8457"/>
      <c r="J8457"/>
      <c r="K8457"/>
      <c r="L8457"/>
    </row>
    <row r="8458" spans="2:12" x14ac:dyDescent="0.2">
      <c r="B8458"/>
      <c r="C8458"/>
      <c r="J8458"/>
      <c r="K8458"/>
      <c r="L8458"/>
    </row>
    <row r="8459" spans="2:12" x14ac:dyDescent="0.2">
      <c r="B8459"/>
      <c r="C8459"/>
      <c r="J8459"/>
      <c r="K8459"/>
      <c r="L8459"/>
    </row>
    <row r="8460" spans="2:12" x14ac:dyDescent="0.2">
      <c r="B8460"/>
      <c r="C8460"/>
      <c r="J8460"/>
      <c r="K8460"/>
      <c r="L8460"/>
    </row>
    <row r="8461" spans="2:12" x14ac:dyDescent="0.2">
      <c r="B8461"/>
      <c r="C8461"/>
      <c r="J8461"/>
      <c r="K8461"/>
      <c r="L8461"/>
    </row>
    <row r="8462" spans="2:12" x14ac:dyDescent="0.2">
      <c r="B8462"/>
      <c r="C8462"/>
      <c r="J8462"/>
      <c r="K8462"/>
      <c r="L8462"/>
    </row>
    <row r="8463" spans="2:12" x14ac:dyDescent="0.2">
      <c r="B8463"/>
      <c r="C8463"/>
      <c r="J8463"/>
      <c r="K8463"/>
      <c r="L8463"/>
    </row>
    <row r="8464" spans="2:12" x14ac:dyDescent="0.2">
      <c r="B8464"/>
      <c r="C8464"/>
      <c r="J8464"/>
      <c r="K8464"/>
      <c r="L8464"/>
    </row>
    <row r="8465" spans="2:12" x14ac:dyDescent="0.2">
      <c r="B8465"/>
      <c r="C8465"/>
      <c r="J8465"/>
      <c r="K8465"/>
      <c r="L8465"/>
    </row>
    <row r="8466" spans="2:12" x14ac:dyDescent="0.2">
      <c r="B8466"/>
      <c r="C8466"/>
      <c r="J8466"/>
      <c r="K8466"/>
      <c r="L8466"/>
    </row>
    <row r="8467" spans="2:12" x14ac:dyDescent="0.2">
      <c r="B8467"/>
      <c r="C8467"/>
      <c r="J8467"/>
      <c r="K8467"/>
      <c r="L8467"/>
    </row>
    <row r="8468" spans="2:12" x14ac:dyDescent="0.2">
      <c r="B8468"/>
      <c r="C8468"/>
      <c r="J8468"/>
      <c r="K8468"/>
      <c r="L8468"/>
    </row>
    <row r="8469" spans="2:12" x14ac:dyDescent="0.2">
      <c r="B8469"/>
      <c r="C8469"/>
      <c r="J8469"/>
      <c r="K8469"/>
      <c r="L8469"/>
    </row>
    <row r="8470" spans="2:12" x14ac:dyDescent="0.2">
      <c r="B8470"/>
      <c r="C8470"/>
      <c r="J8470"/>
      <c r="K8470"/>
      <c r="L8470"/>
    </row>
    <row r="8471" spans="2:12" x14ac:dyDescent="0.2">
      <c r="B8471"/>
      <c r="C8471"/>
      <c r="J8471"/>
      <c r="K8471"/>
      <c r="L8471"/>
    </row>
    <row r="8472" spans="2:12" x14ac:dyDescent="0.2">
      <c r="B8472"/>
      <c r="C8472"/>
      <c r="J8472"/>
      <c r="K8472"/>
      <c r="L8472"/>
    </row>
    <row r="8473" spans="2:12" x14ac:dyDescent="0.2">
      <c r="B8473"/>
      <c r="C8473"/>
      <c r="J8473"/>
      <c r="K8473"/>
      <c r="L8473"/>
    </row>
    <row r="8474" spans="2:12" x14ac:dyDescent="0.2">
      <c r="B8474"/>
      <c r="C8474"/>
      <c r="J8474"/>
      <c r="K8474"/>
      <c r="L8474"/>
    </row>
    <row r="8475" spans="2:12" x14ac:dyDescent="0.2">
      <c r="B8475"/>
      <c r="C8475"/>
      <c r="J8475"/>
      <c r="K8475"/>
      <c r="L8475"/>
    </row>
    <row r="8476" spans="2:12" x14ac:dyDescent="0.2">
      <c r="B8476"/>
      <c r="C8476"/>
      <c r="J8476"/>
      <c r="K8476"/>
      <c r="L8476"/>
    </row>
    <row r="8477" spans="2:12" x14ac:dyDescent="0.2">
      <c r="B8477"/>
      <c r="C8477"/>
      <c r="J8477"/>
      <c r="K8477"/>
      <c r="L8477"/>
    </row>
    <row r="8478" spans="2:12" x14ac:dyDescent="0.2">
      <c r="B8478"/>
      <c r="C8478"/>
      <c r="J8478"/>
      <c r="K8478"/>
      <c r="L8478"/>
    </row>
    <row r="8479" spans="2:12" x14ac:dyDescent="0.2">
      <c r="B8479"/>
      <c r="C8479"/>
      <c r="J8479"/>
      <c r="K8479"/>
      <c r="L8479"/>
    </row>
    <row r="8480" spans="2:12" x14ac:dyDescent="0.2">
      <c r="B8480"/>
      <c r="C8480"/>
      <c r="J8480"/>
      <c r="K8480"/>
      <c r="L8480"/>
    </row>
    <row r="8481" spans="2:12" x14ac:dyDescent="0.2">
      <c r="B8481"/>
      <c r="C8481"/>
      <c r="J8481"/>
      <c r="K8481"/>
      <c r="L8481"/>
    </row>
    <row r="8482" spans="2:12" x14ac:dyDescent="0.2">
      <c r="B8482"/>
      <c r="C8482"/>
      <c r="J8482"/>
      <c r="K8482"/>
      <c r="L8482"/>
    </row>
    <row r="8483" spans="2:12" x14ac:dyDescent="0.2">
      <c r="B8483"/>
      <c r="C8483"/>
      <c r="J8483"/>
      <c r="K8483"/>
      <c r="L8483"/>
    </row>
    <row r="8484" spans="2:12" x14ac:dyDescent="0.2">
      <c r="B8484"/>
      <c r="C8484"/>
      <c r="J8484"/>
      <c r="K8484"/>
      <c r="L8484"/>
    </row>
    <row r="8485" spans="2:12" x14ac:dyDescent="0.2">
      <c r="B8485"/>
      <c r="C8485"/>
      <c r="J8485"/>
      <c r="K8485"/>
      <c r="L8485"/>
    </row>
    <row r="8486" spans="2:12" x14ac:dyDescent="0.2">
      <c r="B8486"/>
      <c r="C8486"/>
      <c r="J8486"/>
      <c r="K8486"/>
      <c r="L8486"/>
    </row>
    <row r="8487" spans="2:12" x14ac:dyDescent="0.2">
      <c r="B8487"/>
      <c r="C8487"/>
      <c r="J8487"/>
      <c r="K8487"/>
      <c r="L8487"/>
    </row>
    <row r="8488" spans="2:12" x14ac:dyDescent="0.2">
      <c r="B8488"/>
      <c r="C8488"/>
      <c r="J8488"/>
      <c r="K8488"/>
      <c r="L8488"/>
    </row>
    <row r="8489" spans="2:12" x14ac:dyDescent="0.2">
      <c r="B8489"/>
      <c r="C8489"/>
      <c r="J8489"/>
      <c r="K8489"/>
      <c r="L8489"/>
    </row>
    <row r="8490" spans="2:12" x14ac:dyDescent="0.2">
      <c r="B8490"/>
      <c r="C8490"/>
      <c r="J8490"/>
      <c r="K8490"/>
      <c r="L8490"/>
    </row>
    <row r="8491" spans="2:12" x14ac:dyDescent="0.2">
      <c r="B8491"/>
      <c r="C8491"/>
      <c r="J8491"/>
      <c r="K8491"/>
      <c r="L8491"/>
    </row>
    <row r="8492" spans="2:12" x14ac:dyDescent="0.2">
      <c r="B8492"/>
      <c r="C8492"/>
      <c r="J8492"/>
      <c r="K8492"/>
      <c r="L8492"/>
    </row>
    <row r="8493" spans="2:12" x14ac:dyDescent="0.2">
      <c r="B8493"/>
      <c r="C8493"/>
      <c r="J8493"/>
      <c r="K8493"/>
      <c r="L8493"/>
    </row>
    <row r="8494" spans="2:12" x14ac:dyDescent="0.2">
      <c r="B8494"/>
      <c r="C8494"/>
      <c r="J8494"/>
      <c r="K8494"/>
      <c r="L8494"/>
    </row>
    <row r="8495" spans="2:12" x14ac:dyDescent="0.2">
      <c r="B8495"/>
      <c r="C8495"/>
      <c r="J8495"/>
      <c r="K8495"/>
      <c r="L8495"/>
    </row>
    <row r="8496" spans="2:12" x14ac:dyDescent="0.2">
      <c r="B8496"/>
      <c r="C8496"/>
      <c r="J8496"/>
      <c r="K8496"/>
      <c r="L8496"/>
    </row>
    <row r="8497" spans="2:12" x14ac:dyDescent="0.2">
      <c r="B8497"/>
      <c r="C8497"/>
      <c r="J8497"/>
      <c r="K8497"/>
      <c r="L8497"/>
    </row>
    <row r="8498" spans="2:12" x14ac:dyDescent="0.2">
      <c r="B8498"/>
      <c r="C8498"/>
      <c r="J8498"/>
      <c r="K8498"/>
      <c r="L8498"/>
    </row>
    <row r="8499" spans="2:12" x14ac:dyDescent="0.2">
      <c r="B8499"/>
      <c r="C8499"/>
      <c r="J8499"/>
      <c r="K8499"/>
      <c r="L8499"/>
    </row>
    <row r="8500" spans="2:12" x14ac:dyDescent="0.2">
      <c r="B8500"/>
      <c r="C8500"/>
      <c r="J8500"/>
      <c r="K8500"/>
      <c r="L8500"/>
    </row>
    <row r="8501" spans="2:12" x14ac:dyDescent="0.2">
      <c r="B8501"/>
      <c r="C8501"/>
      <c r="J8501"/>
      <c r="K8501"/>
      <c r="L8501"/>
    </row>
    <row r="8502" spans="2:12" x14ac:dyDescent="0.2">
      <c r="B8502"/>
      <c r="C8502"/>
      <c r="J8502"/>
      <c r="K8502"/>
      <c r="L8502"/>
    </row>
    <row r="8503" spans="2:12" x14ac:dyDescent="0.2">
      <c r="B8503"/>
      <c r="C8503"/>
      <c r="J8503"/>
      <c r="K8503"/>
      <c r="L8503"/>
    </row>
    <row r="8504" spans="2:12" x14ac:dyDescent="0.2">
      <c r="B8504"/>
      <c r="C8504"/>
      <c r="J8504"/>
      <c r="K8504"/>
      <c r="L8504"/>
    </row>
    <row r="8505" spans="2:12" x14ac:dyDescent="0.2">
      <c r="B8505"/>
      <c r="C8505"/>
      <c r="J8505"/>
      <c r="K8505"/>
      <c r="L8505"/>
    </row>
    <row r="8506" spans="2:12" x14ac:dyDescent="0.2">
      <c r="B8506"/>
      <c r="C8506"/>
      <c r="J8506"/>
      <c r="K8506"/>
      <c r="L8506"/>
    </row>
    <row r="8507" spans="2:12" x14ac:dyDescent="0.2">
      <c r="B8507"/>
      <c r="C8507"/>
      <c r="J8507"/>
      <c r="K8507"/>
      <c r="L8507"/>
    </row>
    <row r="8508" spans="2:12" x14ac:dyDescent="0.2">
      <c r="B8508"/>
      <c r="C8508"/>
      <c r="J8508"/>
      <c r="K8508"/>
      <c r="L8508"/>
    </row>
    <row r="8509" spans="2:12" x14ac:dyDescent="0.2">
      <c r="B8509"/>
      <c r="C8509"/>
      <c r="J8509"/>
      <c r="K8509"/>
      <c r="L8509"/>
    </row>
    <row r="8510" spans="2:12" x14ac:dyDescent="0.2">
      <c r="B8510"/>
      <c r="C8510"/>
      <c r="J8510"/>
      <c r="K8510"/>
      <c r="L8510"/>
    </row>
    <row r="8511" spans="2:12" x14ac:dyDescent="0.2">
      <c r="B8511"/>
      <c r="C8511"/>
      <c r="J8511"/>
      <c r="K8511"/>
      <c r="L8511"/>
    </row>
    <row r="8512" spans="2:12" x14ac:dyDescent="0.2">
      <c r="B8512"/>
      <c r="C8512"/>
      <c r="J8512"/>
      <c r="K8512"/>
      <c r="L8512"/>
    </row>
    <row r="8513" spans="2:12" x14ac:dyDescent="0.2">
      <c r="B8513"/>
      <c r="C8513"/>
      <c r="J8513"/>
      <c r="K8513"/>
      <c r="L8513"/>
    </row>
    <row r="8514" spans="2:12" x14ac:dyDescent="0.2">
      <c r="B8514"/>
      <c r="C8514"/>
      <c r="J8514"/>
      <c r="K8514"/>
      <c r="L8514"/>
    </row>
    <row r="8515" spans="2:12" x14ac:dyDescent="0.2">
      <c r="B8515"/>
      <c r="C8515"/>
      <c r="J8515"/>
      <c r="K8515"/>
      <c r="L8515"/>
    </row>
    <row r="8516" spans="2:12" x14ac:dyDescent="0.2">
      <c r="B8516"/>
      <c r="C8516"/>
      <c r="J8516"/>
      <c r="K8516"/>
      <c r="L8516"/>
    </row>
    <row r="8517" spans="2:12" x14ac:dyDescent="0.2">
      <c r="B8517"/>
      <c r="C8517"/>
      <c r="J8517"/>
      <c r="K8517"/>
      <c r="L8517"/>
    </row>
    <row r="8518" spans="2:12" x14ac:dyDescent="0.2">
      <c r="B8518"/>
      <c r="C8518"/>
      <c r="J8518"/>
      <c r="K8518"/>
      <c r="L8518"/>
    </row>
    <row r="8519" spans="2:12" x14ac:dyDescent="0.2">
      <c r="B8519"/>
      <c r="C8519"/>
      <c r="J8519"/>
      <c r="K8519"/>
      <c r="L8519"/>
    </row>
    <row r="8520" spans="2:12" x14ac:dyDescent="0.2">
      <c r="B8520"/>
      <c r="C8520"/>
      <c r="J8520"/>
      <c r="K8520"/>
      <c r="L8520"/>
    </row>
    <row r="8521" spans="2:12" x14ac:dyDescent="0.2">
      <c r="B8521"/>
      <c r="C8521"/>
      <c r="J8521"/>
      <c r="K8521"/>
      <c r="L8521"/>
    </row>
    <row r="8522" spans="2:12" x14ac:dyDescent="0.2">
      <c r="B8522"/>
      <c r="C8522"/>
      <c r="J8522"/>
      <c r="K8522"/>
      <c r="L8522"/>
    </row>
    <row r="8523" spans="2:12" x14ac:dyDescent="0.2">
      <c r="B8523"/>
      <c r="C8523"/>
      <c r="J8523"/>
      <c r="K8523"/>
      <c r="L8523"/>
    </row>
    <row r="8524" spans="2:12" x14ac:dyDescent="0.2">
      <c r="B8524"/>
      <c r="C8524"/>
      <c r="J8524"/>
      <c r="K8524"/>
      <c r="L8524"/>
    </row>
    <row r="8525" spans="2:12" x14ac:dyDescent="0.2">
      <c r="B8525"/>
      <c r="C8525"/>
      <c r="J8525"/>
      <c r="K8525"/>
      <c r="L8525"/>
    </row>
    <row r="8526" spans="2:12" x14ac:dyDescent="0.2">
      <c r="B8526"/>
      <c r="C8526"/>
      <c r="J8526"/>
      <c r="K8526"/>
      <c r="L8526"/>
    </row>
    <row r="8527" spans="2:12" x14ac:dyDescent="0.2">
      <c r="B8527"/>
      <c r="C8527"/>
      <c r="J8527"/>
      <c r="K8527"/>
      <c r="L8527"/>
    </row>
    <row r="8528" spans="2:12" x14ac:dyDescent="0.2">
      <c r="B8528"/>
      <c r="C8528"/>
      <c r="J8528"/>
      <c r="K8528"/>
      <c r="L8528"/>
    </row>
    <row r="8529" spans="2:12" x14ac:dyDescent="0.2">
      <c r="B8529"/>
      <c r="C8529"/>
      <c r="J8529"/>
      <c r="K8529"/>
      <c r="L8529"/>
    </row>
    <row r="8530" spans="2:12" x14ac:dyDescent="0.2">
      <c r="B8530"/>
      <c r="C8530"/>
      <c r="J8530"/>
      <c r="K8530"/>
      <c r="L8530"/>
    </row>
    <row r="8531" spans="2:12" x14ac:dyDescent="0.2">
      <c r="B8531"/>
      <c r="C8531"/>
      <c r="J8531"/>
      <c r="K8531"/>
      <c r="L8531"/>
    </row>
    <row r="8532" spans="2:12" x14ac:dyDescent="0.2">
      <c r="B8532"/>
      <c r="C8532"/>
      <c r="J8532"/>
      <c r="K8532"/>
      <c r="L8532"/>
    </row>
    <row r="8533" spans="2:12" x14ac:dyDescent="0.2">
      <c r="B8533"/>
      <c r="C8533"/>
      <c r="J8533"/>
      <c r="K8533"/>
      <c r="L8533"/>
    </row>
    <row r="8534" spans="2:12" x14ac:dyDescent="0.2">
      <c r="B8534"/>
      <c r="C8534"/>
      <c r="J8534"/>
      <c r="K8534"/>
      <c r="L8534"/>
    </row>
    <row r="8535" spans="2:12" x14ac:dyDescent="0.2">
      <c r="B8535"/>
      <c r="C8535"/>
      <c r="J8535"/>
      <c r="K8535"/>
      <c r="L8535"/>
    </row>
    <row r="8536" spans="2:12" x14ac:dyDescent="0.2">
      <c r="B8536"/>
      <c r="C8536"/>
      <c r="J8536"/>
      <c r="K8536"/>
      <c r="L8536"/>
    </row>
    <row r="8537" spans="2:12" x14ac:dyDescent="0.2">
      <c r="B8537"/>
      <c r="C8537"/>
      <c r="J8537"/>
      <c r="K8537"/>
      <c r="L8537"/>
    </row>
    <row r="8538" spans="2:12" x14ac:dyDescent="0.2">
      <c r="B8538"/>
      <c r="C8538"/>
      <c r="J8538"/>
      <c r="K8538"/>
      <c r="L8538"/>
    </row>
    <row r="8539" spans="2:12" x14ac:dyDescent="0.2">
      <c r="B8539"/>
      <c r="C8539"/>
      <c r="J8539"/>
      <c r="K8539"/>
      <c r="L8539"/>
    </row>
    <row r="8540" spans="2:12" x14ac:dyDescent="0.2">
      <c r="B8540"/>
      <c r="C8540"/>
      <c r="J8540"/>
      <c r="K8540"/>
      <c r="L8540"/>
    </row>
    <row r="8541" spans="2:12" x14ac:dyDescent="0.2">
      <c r="B8541"/>
      <c r="C8541"/>
      <c r="J8541"/>
      <c r="K8541"/>
      <c r="L8541"/>
    </row>
    <row r="8542" spans="2:12" x14ac:dyDescent="0.2">
      <c r="B8542"/>
      <c r="C8542"/>
      <c r="J8542"/>
      <c r="K8542"/>
      <c r="L8542"/>
    </row>
    <row r="8543" spans="2:12" x14ac:dyDescent="0.2">
      <c r="B8543"/>
      <c r="C8543"/>
      <c r="J8543"/>
      <c r="K8543"/>
      <c r="L8543"/>
    </row>
    <row r="8544" spans="2:12" x14ac:dyDescent="0.2">
      <c r="B8544"/>
      <c r="C8544"/>
      <c r="J8544"/>
      <c r="K8544"/>
      <c r="L8544"/>
    </row>
    <row r="8545" spans="2:12" x14ac:dyDescent="0.2">
      <c r="B8545"/>
      <c r="C8545"/>
      <c r="J8545"/>
      <c r="K8545"/>
      <c r="L8545"/>
    </row>
    <row r="8546" spans="2:12" x14ac:dyDescent="0.2">
      <c r="B8546"/>
      <c r="C8546"/>
      <c r="J8546"/>
      <c r="K8546"/>
      <c r="L8546"/>
    </row>
    <row r="8547" spans="2:12" x14ac:dyDescent="0.2">
      <c r="B8547"/>
      <c r="C8547"/>
      <c r="J8547"/>
      <c r="K8547"/>
      <c r="L8547"/>
    </row>
    <row r="8548" spans="2:12" x14ac:dyDescent="0.2">
      <c r="B8548"/>
      <c r="C8548"/>
      <c r="J8548"/>
      <c r="K8548"/>
      <c r="L8548"/>
    </row>
    <row r="8549" spans="2:12" x14ac:dyDescent="0.2">
      <c r="B8549"/>
      <c r="C8549"/>
      <c r="J8549"/>
      <c r="K8549"/>
      <c r="L8549"/>
    </row>
    <row r="8550" spans="2:12" x14ac:dyDescent="0.2">
      <c r="B8550"/>
      <c r="C8550"/>
      <c r="J8550"/>
      <c r="K8550"/>
      <c r="L8550"/>
    </row>
    <row r="8551" spans="2:12" x14ac:dyDescent="0.2">
      <c r="B8551"/>
      <c r="C8551"/>
      <c r="J8551"/>
      <c r="K8551"/>
      <c r="L8551"/>
    </row>
    <row r="8552" spans="2:12" x14ac:dyDescent="0.2">
      <c r="B8552"/>
      <c r="C8552"/>
      <c r="J8552"/>
      <c r="K8552"/>
      <c r="L8552"/>
    </row>
    <row r="8553" spans="2:12" x14ac:dyDescent="0.2">
      <c r="B8553"/>
      <c r="C8553"/>
      <c r="J8553"/>
      <c r="K8553"/>
      <c r="L8553"/>
    </row>
    <row r="8554" spans="2:12" x14ac:dyDescent="0.2">
      <c r="B8554"/>
      <c r="C8554"/>
      <c r="J8554"/>
      <c r="K8554"/>
      <c r="L8554"/>
    </row>
    <row r="8555" spans="2:12" x14ac:dyDescent="0.2">
      <c r="B8555"/>
      <c r="C8555"/>
      <c r="J8555"/>
      <c r="K8555"/>
      <c r="L8555"/>
    </row>
    <row r="8556" spans="2:12" x14ac:dyDescent="0.2">
      <c r="B8556"/>
      <c r="C8556"/>
      <c r="J8556"/>
      <c r="K8556"/>
      <c r="L8556"/>
    </row>
    <row r="8557" spans="2:12" x14ac:dyDescent="0.2">
      <c r="B8557"/>
      <c r="C8557"/>
      <c r="J8557"/>
      <c r="K8557"/>
      <c r="L8557"/>
    </row>
    <row r="8558" spans="2:12" x14ac:dyDescent="0.2">
      <c r="B8558"/>
      <c r="C8558"/>
      <c r="J8558"/>
      <c r="K8558"/>
      <c r="L8558"/>
    </row>
    <row r="8559" spans="2:12" x14ac:dyDescent="0.2">
      <c r="B8559"/>
      <c r="C8559"/>
      <c r="J8559"/>
      <c r="K8559"/>
      <c r="L8559"/>
    </row>
    <row r="8560" spans="2:12" x14ac:dyDescent="0.2">
      <c r="B8560"/>
      <c r="C8560"/>
      <c r="J8560"/>
      <c r="K8560"/>
      <c r="L8560"/>
    </row>
    <row r="8561" spans="2:12" x14ac:dyDescent="0.2">
      <c r="B8561"/>
      <c r="C8561"/>
      <c r="J8561"/>
      <c r="K8561"/>
      <c r="L8561"/>
    </row>
    <row r="8562" spans="2:12" x14ac:dyDescent="0.2">
      <c r="B8562"/>
      <c r="C8562"/>
      <c r="J8562"/>
      <c r="K8562"/>
      <c r="L8562"/>
    </row>
    <row r="8563" spans="2:12" x14ac:dyDescent="0.2">
      <c r="B8563"/>
      <c r="C8563"/>
      <c r="J8563"/>
      <c r="K8563"/>
      <c r="L8563"/>
    </row>
    <row r="8564" spans="2:12" x14ac:dyDescent="0.2">
      <c r="B8564"/>
      <c r="C8564"/>
      <c r="J8564"/>
      <c r="K8564"/>
      <c r="L8564"/>
    </row>
    <row r="8565" spans="2:12" x14ac:dyDescent="0.2">
      <c r="B8565"/>
      <c r="C8565"/>
      <c r="J8565"/>
      <c r="K8565"/>
      <c r="L8565"/>
    </row>
    <row r="8566" spans="2:12" x14ac:dyDescent="0.2">
      <c r="B8566"/>
      <c r="C8566"/>
      <c r="J8566"/>
      <c r="K8566"/>
      <c r="L8566"/>
    </row>
    <row r="8567" spans="2:12" x14ac:dyDescent="0.2">
      <c r="B8567"/>
      <c r="C8567"/>
      <c r="J8567"/>
      <c r="K8567"/>
      <c r="L8567"/>
    </row>
    <row r="8568" spans="2:12" x14ac:dyDescent="0.2">
      <c r="B8568"/>
      <c r="C8568"/>
      <c r="J8568"/>
      <c r="K8568"/>
      <c r="L8568"/>
    </row>
    <row r="8569" spans="2:12" x14ac:dyDescent="0.2">
      <c r="B8569"/>
      <c r="C8569"/>
      <c r="J8569"/>
      <c r="K8569"/>
      <c r="L8569"/>
    </row>
    <row r="8570" spans="2:12" x14ac:dyDescent="0.2">
      <c r="B8570"/>
      <c r="C8570"/>
      <c r="J8570"/>
      <c r="K8570"/>
      <c r="L8570"/>
    </row>
    <row r="8571" spans="2:12" x14ac:dyDescent="0.2">
      <c r="B8571"/>
      <c r="C8571"/>
      <c r="J8571"/>
      <c r="K8571"/>
      <c r="L8571"/>
    </row>
    <row r="8572" spans="2:12" x14ac:dyDescent="0.2">
      <c r="B8572"/>
      <c r="C8572"/>
      <c r="J8572"/>
      <c r="K8572"/>
      <c r="L8572"/>
    </row>
    <row r="8573" spans="2:12" x14ac:dyDescent="0.2">
      <c r="B8573"/>
      <c r="C8573"/>
      <c r="J8573"/>
      <c r="K8573"/>
      <c r="L8573"/>
    </row>
    <row r="8574" spans="2:12" x14ac:dyDescent="0.2">
      <c r="B8574"/>
      <c r="C8574"/>
      <c r="J8574"/>
      <c r="K8574"/>
      <c r="L8574"/>
    </row>
    <row r="8575" spans="2:12" x14ac:dyDescent="0.2">
      <c r="B8575"/>
      <c r="C8575"/>
      <c r="J8575"/>
      <c r="K8575"/>
      <c r="L8575"/>
    </row>
    <row r="8576" spans="2:12" x14ac:dyDescent="0.2">
      <c r="B8576"/>
      <c r="C8576"/>
      <c r="J8576"/>
      <c r="K8576"/>
      <c r="L8576"/>
    </row>
    <row r="8577" spans="2:12" x14ac:dyDescent="0.2">
      <c r="B8577"/>
      <c r="C8577"/>
      <c r="J8577"/>
      <c r="K8577"/>
      <c r="L8577"/>
    </row>
    <row r="8578" spans="2:12" x14ac:dyDescent="0.2">
      <c r="B8578"/>
      <c r="C8578"/>
      <c r="J8578"/>
      <c r="K8578"/>
      <c r="L8578"/>
    </row>
    <row r="8579" spans="2:12" x14ac:dyDescent="0.2">
      <c r="B8579"/>
      <c r="C8579"/>
      <c r="J8579"/>
      <c r="K8579"/>
      <c r="L8579"/>
    </row>
    <row r="8580" spans="2:12" x14ac:dyDescent="0.2">
      <c r="B8580"/>
      <c r="C8580"/>
      <c r="J8580"/>
      <c r="K8580"/>
      <c r="L8580"/>
    </row>
    <row r="8581" spans="2:12" x14ac:dyDescent="0.2">
      <c r="B8581"/>
      <c r="C8581"/>
      <c r="J8581"/>
      <c r="K8581"/>
      <c r="L8581"/>
    </row>
    <row r="8582" spans="2:12" x14ac:dyDescent="0.2">
      <c r="B8582"/>
      <c r="C8582"/>
      <c r="J8582"/>
      <c r="K8582"/>
      <c r="L8582"/>
    </row>
    <row r="8583" spans="2:12" x14ac:dyDescent="0.2">
      <c r="B8583"/>
      <c r="C8583"/>
      <c r="J8583"/>
      <c r="K8583"/>
      <c r="L8583"/>
    </row>
    <row r="8584" spans="2:12" x14ac:dyDescent="0.2">
      <c r="B8584"/>
      <c r="C8584"/>
      <c r="J8584"/>
      <c r="K8584"/>
      <c r="L8584"/>
    </row>
    <row r="8585" spans="2:12" x14ac:dyDescent="0.2">
      <c r="B8585"/>
      <c r="C8585"/>
      <c r="J8585"/>
      <c r="K8585"/>
      <c r="L8585"/>
    </row>
    <row r="8586" spans="2:12" x14ac:dyDescent="0.2">
      <c r="B8586"/>
      <c r="C8586"/>
      <c r="J8586"/>
      <c r="K8586"/>
      <c r="L8586"/>
    </row>
    <row r="8587" spans="2:12" x14ac:dyDescent="0.2">
      <c r="B8587"/>
      <c r="C8587"/>
      <c r="J8587"/>
      <c r="K8587"/>
      <c r="L8587"/>
    </row>
    <row r="8588" spans="2:12" x14ac:dyDescent="0.2">
      <c r="B8588"/>
      <c r="C8588"/>
      <c r="J8588"/>
      <c r="K8588"/>
      <c r="L8588"/>
    </row>
    <row r="8589" spans="2:12" x14ac:dyDescent="0.2">
      <c r="B8589"/>
      <c r="C8589"/>
      <c r="J8589"/>
      <c r="K8589"/>
      <c r="L8589"/>
    </row>
    <row r="8590" spans="2:12" x14ac:dyDescent="0.2">
      <c r="B8590"/>
      <c r="C8590"/>
      <c r="J8590"/>
      <c r="K8590"/>
      <c r="L8590"/>
    </row>
    <row r="8591" spans="2:12" x14ac:dyDescent="0.2">
      <c r="B8591"/>
      <c r="C8591"/>
      <c r="J8591"/>
      <c r="K8591"/>
      <c r="L8591"/>
    </row>
    <row r="8592" spans="2:12" x14ac:dyDescent="0.2">
      <c r="B8592"/>
      <c r="C8592"/>
      <c r="J8592"/>
      <c r="K8592"/>
      <c r="L8592"/>
    </row>
    <row r="8593" spans="2:12" x14ac:dyDescent="0.2">
      <c r="B8593"/>
      <c r="C8593"/>
      <c r="J8593"/>
      <c r="K8593"/>
      <c r="L8593"/>
    </row>
    <row r="8594" spans="2:12" x14ac:dyDescent="0.2">
      <c r="B8594"/>
      <c r="C8594"/>
      <c r="J8594"/>
      <c r="K8594"/>
      <c r="L8594"/>
    </row>
    <row r="8595" spans="2:12" x14ac:dyDescent="0.2">
      <c r="B8595"/>
      <c r="C8595"/>
      <c r="J8595"/>
      <c r="K8595"/>
      <c r="L8595"/>
    </row>
    <row r="8596" spans="2:12" x14ac:dyDescent="0.2">
      <c r="B8596"/>
      <c r="C8596"/>
      <c r="J8596"/>
      <c r="K8596"/>
      <c r="L8596"/>
    </row>
    <row r="8597" spans="2:12" x14ac:dyDescent="0.2">
      <c r="B8597"/>
      <c r="C8597"/>
      <c r="J8597"/>
      <c r="K8597"/>
      <c r="L8597"/>
    </row>
    <row r="8598" spans="2:12" x14ac:dyDescent="0.2">
      <c r="B8598"/>
      <c r="C8598"/>
      <c r="J8598"/>
      <c r="K8598"/>
      <c r="L8598"/>
    </row>
    <row r="8599" spans="2:12" x14ac:dyDescent="0.2">
      <c r="B8599"/>
      <c r="C8599"/>
      <c r="J8599"/>
      <c r="K8599"/>
      <c r="L8599"/>
    </row>
    <row r="8600" spans="2:12" x14ac:dyDescent="0.2">
      <c r="B8600"/>
      <c r="C8600"/>
      <c r="J8600"/>
      <c r="K8600"/>
      <c r="L8600"/>
    </row>
    <row r="8601" spans="2:12" x14ac:dyDescent="0.2">
      <c r="B8601"/>
      <c r="C8601"/>
      <c r="J8601"/>
      <c r="K8601"/>
      <c r="L8601"/>
    </row>
    <row r="8602" spans="2:12" x14ac:dyDescent="0.2">
      <c r="B8602"/>
      <c r="C8602"/>
      <c r="J8602"/>
      <c r="K8602"/>
      <c r="L8602"/>
    </row>
    <row r="8603" spans="2:12" x14ac:dyDescent="0.2">
      <c r="B8603"/>
      <c r="C8603"/>
      <c r="J8603"/>
      <c r="K8603"/>
      <c r="L8603"/>
    </row>
    <row r="8604" spans="2:12" x14ac:dyDescent="0.2">
      <c r="B8604"/>
      <c r="C8604"/>
      <c r="J8604"/>
      <c r="K8604"/>
      <c r="L8604"/>
    </row>
    <row r="8605" spans="2:12" x14ac:dyDescent="0.2">
      <c r="B8605"/>
      <c r="C8605"/>
      <c r="J8605"/>
      <c r="K8605"/>
      <c r="L8605"/>
    </row>
    <row r="8606" spans="2:12" x14ac:dyDescent="0.2">
      <c r="B8606"/>
      <c r="C8606"/>
      <c r="J8606"/>
      <c r="K8606"/>
      <c r="L8606"/>
    </row>
    <row r="8607" spans="2:12" x14ac:dyDescent="0.2">
      <c r="B8607"/>
      <c r="C8607"/>
      <c r="J8607"/>
      <c r="K8607"/>
      <c r="L8607"/>
    </row>
    <row r="8608" spans="2:12" x14ac:dyDescent="0.2">
      <c r="B8608"/>
      <c r="C8608"/>
      <c r="J8608"/>
      <c r="K8608"/>
      <c r="L8608"/>
    </row>
    <row r="8609" spans="2:12" x14ac:dyDescent="0.2">
      <c r="B8609"/>
      <c r="C8609"/>
      <c r="J8609"/>
      <c r="K8609"/>
      <c r="L8609"/>
    </row>
    <row r="8610" spans="2:12" x14ac:dyDescent="0.2">
      <c r="B8610"/>
      <c r="C8610"/>
      <c r="J8610"/>
      <c r="K8610"/>
      <c r="L8610"/>
    </row>
    <row r="8611" spans="2:12" x14ac:dyDescent="0.2">
      <c r="B8611"/>
      <c r="C8611"/>
      <c r="J8611"/>
      <c r="K8611"/>
      <c r="L8611"/>
    </row>
    <row r="8612" spans="2:12" x14ac:dyDescent="0.2">
      <c r="B8612"/>
      <c r="C8612"/>
      <c r="J8612"/>
      <c r="K8612"/>
      <c r="L8612"/>
    </row>
    <row r="8613" spans="2:12" x14ac:dyDescent="0.2">
      <c r="B8613"/>
      <c r="C8613"/>
      <c r="J8613"/>
      <c r="K8613"/>
      <c r="L8613"/>
    </row>
    <row r="8614" spans="2:12" x14ac:dyDescent="0.2">
      <c r="B8614"/>
      <c r="C8614"/>
      <c r="J8614"/>
      <c r="K8614"/>
      <c r="L8614"/>
    </row>
    <row r="8615" spans="2:12" x14ac:dyDescent="0.2">
      <c r="B8615"/>
      <c r="C8615"/>
      <c r="J8615"/>
      <c r="K8615"/>
      <c r="L8615"/>
    </row>
    <row r="8616" spans="2:12" x14ac:dyDescent="0.2">
      <c r="B8616"/>
      <c r="C8616"/>
      <c r="J8616"/>
      <c r="K8616"/>
      <c r="L8616"/>
    </row>
    <row r="8617" spans="2:12" x14ac:dyDescent="0.2">
      <c r="B8617"/>
      <c r="C8617"/>
      <c r="J8617"/>
      <c r="K8617"/>
      <c r="L8617"/>
    </row>
    <row r="8618" spans="2:12" x14ac:dyDescent="0.2">
      <c r="B8618"/>
      <c r="C8618"/>
      <c r="J8618"/>
      <c r="K8618"/>
      <c r="L8618"/>
    </row>
    <row r="8619" spans="2:12" x14ac:dyDescent="0.2">
      <c r="B8619"/>
      <c r="C8619"/>
      <c r="J8619"/>
      <c r="K8619"/>
      <c r="L8619"/>
    </row>
    <row r="8620" spans="2:12" x14ac:dyDescent="0.2">
      <c r="B8620"/>
      <c r="C8620"/>
      <c r="J8620"/>
      <c r="K8620"/>
      <c r="L8620"/>
    </row>
    <row r="8621" spans="2:12" x14ac:dyDescent="0.2">
      <c r="B8621"/>
      <c r="C8621"/>
      <c r="J8621"/>
      <c r="K8621"/>
      <c r="L8621"/>
    </row>
    <row r="8622" spans="2:12" x14ac:dyDescent="0.2">
      <c r="B8622"/>
      <c r="C8622"/>
      <c r="J8622"/>
      <c r="K8622"/>
      <c r="L8622"/>
    </row>
    <row r="8623" spans="2:12" x14ac:dyDescent="0.2">
      <c r="B8623"/>
      <c r="C8623"/>
      <c r="J8623"/>
      <c r="K8623"/>
      <c r="L8623"/>
    </row>
    <row r="8624" spans="2:12" x14ac:dyDescent="0.2">
      <c r="B8624"/>
      <c r="C8624"/>
      <c r="J8624"/>
      <c r="K8624"/>
      <c r="L8624"/>
    </row>
    <row r="8625" spans="2:12" x14ac:dyDescent="0.2">
      <c r="B8625"/>
      <c r="C8625"/>
      <c r="J8625"/>
      <c r="K8625"/>
      <c r="L8625"/>
    </row>
    <row r="8626" spans="2:12" x14ac:dyDescent="0.2">
      <c r="B8626"/>
      <c r="C8626"/>
      <c r="J8626"/>
      <c r="K8626"/>
      <c r="L8626"/>
    </row>
    <row r="8627" spans="2:12" x14ac:dyDescent="0.2">
      <c r="B8627"/>
      <c r="C8627"/>
      <c r="J8627"/>
      <c r="K8627"/>
      <c r="L8627"/>
    </row>
    <row r="8628" spans="2:12" x14ac:dyDescent="0.2">
      <c r="B8628"/>
      <c r="C8628"/>
      <c r="J8628"/>
      <c r="K8628"/>
      <c r="L8628"/>
    </row>
    <row r="8629" spans="2:12" x14ac:dyDescent="0.2">
      <c r="B8629"/>
      <c r="C8629"/>
      <c r="J8629"/>
      <c r="K8629"/>
      <c r="L8629"/>
    </row>
    <row r="8630" spans="2:12" x14ac:dyDescent="0.2">
      <c r="B8630"/>
      <c r="C8630"/>
      <c r="J8630"/>
      <c r="K8630"/>
      <c r="L8630"/>
    </row>
    <row r="8631" spans="2:12" x14ac:dyDescent="0.2">
      <c r="B8631"/>
      <c r="C8631"/>
      <c r="J8631"/>
      <c r="K8631"/>
      <c r="L8631"/>
    </row>
    <row r="8632" spans="2:12" x14ac:dyDescent="0.2">
      <c r="B8632"/>
      <c r="C8632"/>
      <c r="J8632"/>
      <c r="K8632"/>
      <c r="L8632"/>
    </row>
    <row r="8633" spans="2:12" x14ac:dyDescent="0.2">
      <c r="B8633"/>
      <c r="C8633"/>
      <c r="J8633"/>
      <c r="K8633"/>
      <c r="L8633"/>
    </row>
    <row r="8634" spans="2:12" x14ac:dyDescent="0.2">
      <c r="B8634"/>
      <c r="C8634"/>
      <c r="J8634"/>
      <c r="K8634"/>
      <c r="L8634"/>
    </row>
    <row r="8635" spans="2:12" x14ac:dyDescent="0.2">
      <c r="B8635"/>
      <c r="C8635"/>
      <c r="J8635"/>
      <c r="K8635"/>
      <c r="L8635"/>
    </row>
    <row r="8636" spans="2:12" x14ac:dyDescent="0.2">
      <c r="B8636"/>
      <c r="C8636"/>
      <c r="J8636"/>
      <c r="K8636"/>
      <c r="L8636"/>
    </row>
    <row r="8637" spans="2:12" x14ac:dyDescent="0.2">
      <c r="B8637"/>
      <c r="C8637"/>
      <c r="J8637"/>
      <c r="K8637"/>
      <c r="L8637"/>
    </row>
    <row r="8638" spans="2:12" x14ac:dyDescent="0.2">
      <c r="B8638"/>
      <c r="C8638"/>
      <c r="J8638"/>
      <c r="K8638"/>
      <c r="L8638"/>
    </row>
    <row r="8639" spans="2:12" x14ac:dyDescent="0.2">
      <c r="B8639"/>
      <c r="C8639"/>
      <c r="J8639"/>
      <c r="K8639"/>
      <c r="L8639"/>
    </row>
    <row r="8640" spans="2:12" x14ac:dyDescent="0.2">
      <c r="B8640"/>
      <c r="C8640"/>
      <c r="J8640"/>
      <c r="K8640"/>
      <c r="L8640"/>
    </row>
    <row r="8641" spans="2:12" x14ac:dyDescent="0.2">
      <c r="B8641"/>
      <c r="C8641"/>
      <c r="J8641"/>
      <c r="K8641"/>
      <c r="L8641"/>
    </row>
    <row r="8642" spans="2:12" x14ac:dyDescent="0.2">
      <c r="B8642"/>
      <c r="C8642"/>
      <c r="J8642"/>
      <c r="K8642"/>
      <c r="L8642"/>
    </row>
    <row r="8643" spans="2:12" x14ac:dyDescent="0.2">
      <c r="B8643"/>
      <c r="C8643"/>
      <c r="J8643"/>
      <c r="K8643"/>
      <c r="L8643"/>
    </row>
    <row r="8644" spans="2:12" x14ac:dyDescent="0.2">
      <c r="B8644"/>
      <c r="C8644"/>
      <c r="J8644"/>
      <c r="K8644"/>
      <c r="L8644"/>
    </row>
    <row r="8645" spans="2:12" x14ac:dyDescent="0.2">
      <c r="B8645"/>
      <c r="C8645"/>
      <c r="J8645"/>
      <c r="K8645"/>
      <c r="L8645"/>
    </row>
    <row r="8646" spans="2:12" x14ac:dyDescent="0.2">
      <c r="B8646"/>
      <c r="C8646"/>
      <c r="J8646"/>
      <c r="K8646"/>
      <c r="L8646"/>
    </row>
    <row r="8647" spans="2:12" x14ac:dyDescent="0.2">
      <c r="B8647"/>
      <c r="C8647"/>
      <c r="J8647"/>
      <c r="K8647"/>
      <c r="L8647"/>
    </row>
    <row r="8648" spans="2:12" x14ac:dyDescent="0.2">
      <c r="B8648"/>
      <c r="C8648"/>
      <c r="J8648"/>
      <c r="K8648"/>
      <c r="L8648"/>
    </row>
    <row r="8649" spans="2:12" x14ac:dyDescent="0.2">
      <c r="B8649"/>
      <c r="C8649"/>
      <c r="J8649"/>
      <c r="K8649"/>
      <c r="L8649"/>
    </row>
    <row r="8650" spans="2:12" x14ac:dyDescent="0.2">
      <c r="B8650"/>
      <c r="C8650"/>
      <c r="J8650"/>
      <c r="K8650"/>
      <c r="L8650"/>
    </row>
    <row r="8651" spans="2:12" x14ac:dyDescent="0.2">
      <c r="B8651"/>
      <c r="C8651"/>
      <c r="J8651"/>
      <c r="K8651"/>
      <c r="L8651"/>
    </row>
    <row r="8652" spans="2:12" x14ac:dyDescent="0.2">
      <c r="B8652"/>
      <c r="C8652"/>
      <c r="J8652"/>
      <c r="K8652"/>
      <c r="L8652"/>
    </row>
    <row r="8653" spans="2:12" x14ac:dyDescent="0.2">
      <c r="B8653"/>
      <c r="C8653"/>
      <c r="J8653"/>
      <c r="K8653"/>
      <c r="L8653"/>
    </row>
    <row r="8654" spans="2:12" x14ac:dyDescent="0.2">
      <c r="B8654"/>
      <c r="C8654"/>
      <c r="J8654"/>
      <c r="K8654"/>
      <c r="L8654"/>
    </row>
    <row r="8655" spans="2:12" x14ac:dyDescent="0.2">
      <c r="B8655"/>
      <c r="C8655"/>
      <c r="J8655"/>
      <c r="K8655"/>
      <c r="L8655"/>
    </row>
    <row r="8656" spans="2:12" x14ac:dyDescent="0.2">
      <c r="B8656"/>
      <c r="C8656"/>
      <c r="J8656"/>
      <c r="K8656"/>
      <c r="L8656"/>
    </row>
    <row r="8657" spans="2:12" x14ac:dyDescent="0.2">
      <c r="B8657"/>
      <c r="C8657"/>
      <c r="J8657"/>
      <c r="K8657"/>
      <c r="L8657"/>
    </row>
    <row r="8658" spans="2:12" x14ac:dyDescent="0.2">
      <c r="B8658"/>
      <c r="C8658"/>
      <c r="J8658"/>
      <c r="K8658"/>
      <c r="L8658"/>
    </row>
    <row r="8659" spans="2:12" x14ac:dyDescent="0.2">
      <c r="B8659"/>
      <c r="C8659"/>
      <c r="J8659"/>
      <c r="K8659"/>
      <c r="L8659"/>
    </row>
    <row r="8660" spans="2:12" x14ac:dyDescent="0.2">
      <c r="B8660"/>
      <c r="C8660"/>
      <c r="J8660"/>
      <c r="K8660"/>
      <c r="L8660"/>
    </row>
    <row r="8661" spans="2:12" x14ac:dyDescent="0.2">
      <c r="B8661"/>
      <c r="C8661"/>
      <c r="J8661"/>
      <c r="K8661"/>
      <c r="L8661"/>
    </row>
    <row r="8662" spans="2:12" x14ac:dyDescent="0.2">
      <c r="B8662"/>
      <c r="C8662"/>
      <c r="J8662"/>
      <c r="K8662"/>
      <c r="L8662"/>
    </row>
    <row r="8663" spans="2:12" x14ac:dyDescent="0.2">
      <c r="B8663"/>
      <c r="C8663"/>
      <c r="J8663"/>
      <c r="K8663"/>
      <c r="L8663"/>
    </row>
    <row r="8664" spans="2:12" x14ac:dyDescent="0.2">
      <c r="B8664"/>
      <c r="C8664"/>
      <c r="J8664"/>
      <c r="K8664"/>
      <c r="L8664"/>
    </row>
    <row r="8665" spans="2:12" x14ac:dyDescent="0.2">
      <c r="B8665"/>
      <c r="C8665"/>
      <c r="J8665"/>
      <c r="K8665"/>
      <c r="L8665"/>
    </row>
    <row r="8666" spans="2:12" x14ac:dyDescent="0.2">
      <c r="B8666"/>
      <c r="C8666"/>
      <c r="J8666"/>
      <c r="K8666"/>
      <c r="L8666"/>
    </row>
    <row r="8667" spans="2:12" x14ac:dyDescent="0.2">
      <c r="B8667"/>
      <c r="C8667"/>
      <c r="J8667"/>
      <c r="K8667"/>
      <c r="L8667"/>
    </row>
    <row r="8668" spans="2:12" x14ac:dyDescent="0.2">
      <c r="B8668"/>
      <c r="C8668"/>
      <c r="J8668"/>
      <c r="K8668"/>
      <c r="L8668"/>
    </row>
    <row r="8669" spans="2:12" x14ac:dyDescent="0.2">
      <c r="B8669"/>
      <c r="C8669"/>
      <c r="J8669"/>
      <c r="K8669"/>
      <c r="L8669"/>
    </row>
    <row r="8670" spans="2:12" x14ac:dyDescent="0.2">
      <c r="B8670"/>
      <c r="C8670"/>
      <c r="J8670"/>
      <c r="K8670"/>
      <c r="L8670"/>
    </row>
    <row r="8671" spans="2:12" x14ac:dyDescent="0.2">
      <c r="B8671"/>
      <c r="C8671"/>
      <c r="J8671"/>
      <c r="K8671"/>
      <c r="L8671"/>
    </row>
    <row r="8672" spans="2:12" x14ac:dyDescent="0.2">
      <c r="B8672"/>
      <c r="C8672"/>
      <c r="J8672"/>
      <c r="K8672"/>
      <c r="L8672"/>
    </row>
    <row r="8673" spans="2:12" x14ac:dyDescent="0.2">
      <c r="B8673"/>
      <c r="C8673"/>
      <c r="J8673"/>
      <c r="K8673"/>
      <c r="L8673"/>
    </row>
    <row r="8674" spans="2:12" x14ac:dyDescent="0.2">
      <c r="B8674"/>
      <c r="C8674"/>
      <c r="J8674"/>
      <c r="K8674"/>
      <c r="L8674"/>
    </row>
    <row r="8675" spans="2:12" x14ac:dyDescent="0.2">
      <c r="B8675"/>
      <c r="C8675"/>
      <c r="J8675"/>
      <c r="K8675"/>
      <c r="L8675"/>
    </row>
    <row r="8676" spans="2:12" x14ac:dyDescent="0.2">
      <c r="B8676"/>
      <c r="C8676"/>
      <c r="J8676"/>
      <c r="K8676"/>
      <c r="L8676"/>
    </row>
    <row r="8677" spans="2:12" x14ac:dyDescent="0.2">
      <c r="B8677"/>
      <c r="C8677"/>
      <c r="J8677"/>
      <c r="K8677"/>
      <c r="L8677"/>
    </row>
    <row r="8678" spans="2:12" x14ac:dyDescent="0.2">
      <c r="B8678"/>
      <c r="C8678"/>
      <c r="J8678"/>
      <c r="K8678"/>
      <c r="L8678"/>
    </row>
    <row r="8679" spans="2:12" x14ac:dyDescent="0.2">
      <c r="B8679"/>
      <c r="C8679"/>
      <c r="J8679"/>
      <c r="K8679"/>
      <c r="L8679"/>
    </row>
    <row r="8680" spans="2:12" x14ac:dyDescent="0.2">
      <c r="B8680"/>
      <c r="C8680"/>
      <c r="J8680"/>
      <c r="K8680"/>
      <c r="L8680"/>
    </row>
    <row r="8681" spans="2:12" x14ac:dyDescent="0.2">
      <c r="B8681"/>
      <c r="C8681"/>
      <c r="J8681"/>
      <c r="K8681"/>
      <c r="L8681"/>
    </row>
    <row r="8682" spans="2:12" x14ac:dyDescent="0.2">
      <c r="B8682"/>
      <c r="C8682"/>
      <c r="J8682"/>
      <c r="K8682"/>
      <c r="L8682"/>
    </row>
    <row r="8683" spans="2:12" x14ac:dyDescent="0.2">
      <c r="B8683"/>
      <c r="C8683"/>
      <c r="J8683"/>
      <c r="K8683"/>
      <c r="L8683"/>
    </row>
    <row r="8684" spans="2:12" x14ac:dyDescent="0.2">
      <c r="B8684"/>
      <c r="C8684"/>
      <c r="J8684"/>
      <c r="K8684"/>
      <c r="L8684"/>
    </row>
    <row r="8685" spans="2:12" x14ac:dyDescent="0.2">
      <c r="B8685"/>
      <c r="C8685"/>
      <c r="J8685"/>
      <c r="K8685"/>
      <c r="L8685"/>
    </row>
    <row r="8686" spans="2:12" x14ac:dyDescent="0.2">
      <c r="B8686"/>
      <c r="C8686"/>
      <c r="J8686"/>
      <c r="K8686"/>
      <c r="L8686"/>
    </row>
    <row r="8687" spans="2:12" x14ac:dyDescent="0.2">
      <c r="B8687"/>
      <c r="C8687"/>
      <c r="J8687"/>
      <c r="K8687"/>
      <c r="L8687"/>
    </row>
    <row r="8688" spans="2:12" x14ac:dyDescent="0.2">
      <c r="B8688"/>
      <c r="C8688"/>
      <c r="J8688"/>
      <c r="K8688"/>
      <c r="L8688"/>
    </row>
    <row r="8689" spans="2:12" x14ac:dyDescent="0.2">
      <c r="B8689"/>
      <c r="C8689"/>
      <c r="J8689"/>
      <c r="K8689"/>
      <c r="L8689"/>
    </row>
    <row r="8690" spans="2:12" x14ac:dyDescent="0.2">
      <c r="B8690"/>
      <c r="C8690"/>
      <c r="J8690"/>
      <c r="K8690"/>
      <c r="L8690"/>
    </row>
    <row r="8691" spans="2:12" x14ac:dyDescent="0.2">
      <c r="B8691"/>
      <c r="C8691"/>
      <c r="J8691"/>
      <c r="K8691"/>
      <c r="L8691"/>
    </row>
    <row r="8692" spans="2:12" x14ac:dyDescent="0.2">
      <c r="B8692"/>
      <c r="C8692"/>
      <c r="J8692"/>
      <c r="K8692"/>
      <c r="L8692"/>
    </row>
    <row r="8693" spans="2:12" x14ac:dyDescent="0.2">
      <c r="B8693"/>
      <c r="C8693"/>
      <c r="J8693"/>
      <c r="K8693"/>
      <c r="L8693"/>
    </row>
    <row r="8694" spans="2:12" x14ac:dyDescent="0.2">
      <c r="B8694"/>
      <c r="C8694"/>
      <c r="J8694"/>
      <c r="K8694"/>
      <c r="L8694"/>
    </row>
    <row r="8695" spans="2:12" x14ac:dyDescent="0.2">
      <c r="B8695"/>
      <c r="C8695"/>
      <c r="J8695"/>
      <c r="K8695"/>
      <c r="L8695"/>
    </row>
    <row r="8696" spans="2:12" x14ac:dyDescent="0.2">
      <c r="B8696"/>
      <c r="C8696"/>
      <c r="J8696"/>
      <c r="K8696"/>
      <c r="L8696"/>
    </row>
    <row r="8697" spans="2:12" x14ac:dyDescent="0.2">
      <c r="B8697"/>
      <c r="C8697"/>
      <c r="J8697"/>
      <c r="K8697"/>
      <c r="L8697"/>
    </row>
    <row r="8698" spans="2:12" x14ac:dyDescent="0.2">
      <c r="B8698"/>
      <c r="C8698"/>
      <c r="J8698"/>
      <c r="K8698"/>
      <c r="L8698"/>
    </row>
    <row r="8699" spans="2:12" x14ac:dyDescent="0.2">
      <c r="B8699"/>
      <c r="C8699"/>
      <c r="J8699"/>
      <c r="K8699"/>
      <c r="L8699"/>
    </row>
    <row r="8700" spans="2:12" x14ac:dyDescent="0.2">
      <c r="B8700"/>
      <c r="C8700"/>
      <c r="J8700"/>
      <c r="K8700"/>
      <c r="L8700"/>
    </row>
    <row r="8701" spans="2:12" x14ac:dyDescent="0.2">
      <c r="B8701"/>
      <c r="C8701"/>
      <c r="J8701"/>
      <c r="K8701"/>
      <c r="L8701"/>
    </row>
    <row r="8702" spans="2:12" x14ac:dyDescent="0.2">
      <c r="B8702"/>
      <c r="C8702"/>
      <c r="J8702"/>
      <c r="K8702"/>
      <c r="L8702"/>
    </row>
    <row r="8703" spans="2:12" x14ac:dyDescent="0.2">
      <c r="B8703"/>
      <c r="C8703"/>
      <c r="J8703"/>
      <c r="K8703"/>
      <c r="L8703"/>
    </row>
    <row r="8704" spans="2:12" x14ac:dyDescent="0.2">
      <c r="B8704"/>
      <c r="C8704"/>
      <c r="J8704"/>
      <c r="K8704"/>
      <c r="L8704"/>
    </row>
    <row r="8705" spans="2:12" x14ac:dyDescent="0.2">
      <c r="B8705"/>
      <c r="C8705"/>
      <c r="J8705"/>
      <c r="K8705"/>
      <c r="L8705"/>
    </row>
    <row r="8706" spans="2:12" x14ac:dyDescent="0.2">
      <c r="B8706"/>
      <c r="C8706"/>
      <c r="J8706"/>
      <c r="K8706"/>
      <c r="L8706"/>
    </row>
    <row r="8707" spans="2:12" x14ac:dyDescent="0.2">
      <c r="B8707"/>
      <c r="C8707"/>
      <c r="J8707"/>
      <c r="K8707"/>
      <c r="L8707"/>
    </row>
    <row r="8708" spans="2:12" x14ac:dyDescent="0.2">
      <c r="B8708"/>
      <c r="C8708"/>
      <c r="J8708"/>
      <c r="K8708"/>
      <c r="L8708"/>
    </row>
    <row r="8709" spans="2:12" x14ac:dyDescent="0.2">
      <c r="B8709"/>
      <c r="C8709"/>
      <c r="J8709"/>
      <c r="K8709"/>
      <c r="L8709"/>
    </row>
    <row r="8710" spans="2:12" x14ac:dyDescent="0.2">
      <c r="B8710"/>
      <c r="C8710"/>
      <c r="J8710"/>
      <c r="K8710"/>
      <c r="L8710"/>
    </row>
    <row r="8711" spans="2:12" x14ac:dyDescent="0.2">
      <c r="B8711"/>
      <c r="C8711"/>
      <c r="J8711"/>
      <c r="K8711"/>
      <c r="L8711"/>
    </row>
    <row r="8712" spans="2:12" x14ac:dyDescent="0.2">
      <c r="B8712"/>
      <c r="C8712"/>
      <c r="J8712"/>
      <c r="K8712"/>
      <c r="L8712"/>
    </row>
    <row r="8713" spans="2:12" x14ac:dyDescent="0.2">
      <c r="B8713"/>
      <c r="C8713"/>
      <c r="J8713"/>
      <c r="K8713"/>
      <c r="L8713"/>
    </row>
    <row r="8714" spans="2:12" x14ac:dyDescent="0.2">
      <c r="B8714"/>
      <c r="C8714"/>
      <c r="J8714"/>
      <c r="K8714"/>
      <c r="L8714"/>
    </row>
    <row r="8715" spans="2:12" x14ac:dyDescent="0.2">
      <c r="B8715"/>
      <c r="C8715"/>
      <c r="J8715"/>
      <c r="K8715"/>
      <c r="L8715"/>
    </row>
    <row r="8716" spans="2:12" x14ac:dyDescent="0.2">
      <c r="B8716"/>
      <c r="C8716"/>
      <c r="J8716"/>
      <c r="K8716"/>
      <c r="L8716"/>
    </row>
    <row r="8717" spans="2:12" x14ac:dyDescent="0.2">
      <c r="B8717"/>
      <c r="C8717"/>
      <c r="J8717"/>
      <c r="K8717"/>
      <c r="L8717"/>
    </row>
    <row r="8718" spans="2:12" x14ac:dyDescent="0.2">
      <c r="B8718"/>
      <c r="C8718"/>
      <c r="J8718"/>
      <c r="K8718"/>
      <c r="L8718"/>
    </row>
    <row r="8719" spans="2:12" x14ac:dyDescent="0.2">
      <c r="B8719"/>
      <c r="C8719"/>
      <c r="J8719"/>
      <c r="K8719"/>
      <c r="L8719"/>
    </row>
    <row r="8720" spans="2:12" x14ac:dyDescent="0.2">
      <c r="B8720"/>
      <c r="C8720"/>
      <c r="J8720"/>
      <c r="K8720"/>
      <c r="L8720"/>
    </row>
    <row r="8721" spans="2:12" x14ac:dyDescent="0.2">
      <c r="B8721"/>
      <c r="C8721"/>
      <c r="J8721"/>
      <c r="K8721"/>
      <c r="L8721"/>
    </row>
    <row r="8722" spans="2:12" x14ac:dyDescent="0.2">
      <c r="B8722"/>
      <c r="C8722"/>
      <c r="J8722"/>
      <c r="K8722"/>
      <c r="L8722"/>
    </row>
    <row r="8723" spans="2:12" x14ac:dyDescent="0.2">
      <c r="B8723"/>
      <c r="C8723"/>
      <c r="J8723"/>
      <c r="K8723"/>
      <c r="L8723"/>
    </row>
    <row r="8724" spans="2:12" x14ac:dyDescent="0.2">
      <c r="B8724"/>
      <c r="C8724"/>
      <c r="J8724"/>
      <c r="K8724"/>
      <c r="L8724"/>
    </row>
    <row r="8725" spans="2:12" x14ac:dyDescent="0.2">
      <c r="B8725"/>
      <c r="C8725"/>
      <c r="J8725"/>
      <c r="K8725"/>
      <c r="L8725"/>
    </row>
    <row r="8726" spans="2:12" x14ac:dyDescent="0.2">
      <c r="B8726"/>
      <c r="C8726"/>
      <c r="J8726"/>
      <c r="K8726"/>
      <c r="L8726"/>
    </row>
    <row r="8727" spans="2:12" x14ac:dyDescent="0.2">
      <c r="B8727"/>
      <c r="C8727"/>
      <c r="J8727"/>
      <c r="K8727"/>
      <c r="L8727"/>
    </row>
    <row r="8728" spans="2:12" x14ac:dyDescent="0.2">
      <c r="B8728"/>
      <c r="C8728"/>
      <c r="J8728"/>
      <c r="K8728"/>
      <c r="L8728"/>
    </row>
    <row r="8729" spans="2:12" x14ac:dyDescent="0.2">
      <c r="B8729"/>
      <c r="C8729"/>
      <c r="J8729"/>
      <c r="K8729"/>
      <c r="L8729"/>
    </row>
    <row r="8730" spans="2:12" x14ac:dyDescent="0.2">
      <c r="B8730"/>
      <c r="C8730"/>
      <c r="J8730"/>
      <c r="K8730"/>
      <c r="L8730"/>
    </row>
    <row r="8731" spans="2:12" x14ac:dyDescent="0.2">
      <c r="B8731"/>
      <c r="C8731"/>
      <c r="J8731"/>
      <c r="K8731"/>
      <c r="L8731"/>
    </row>
    <row r="8732" spans="2:12" x14ac:dyDescent="0.2">
      <c r="B8732"/>
      <c r="C8732"/>
      <c r="J8732"/>
      <c r="K8732"/>
      <c r="L8732"/>
    </row>
    <row r="8733" spans="2:12" x14ac:dyDescent="0.2">
      <c r="B8733"/>
      <c r="C8733"/>
      <c r="J8733"/>
      <c r="K8733"/>
      <c r="L8733"/>
    </row>
    <row r="8734" spans="2:12" x14ac:dyDescent="0.2">
      <c r="B8734"/>
      <c r="C8734"/>
      <c r="J8734"/>
      <c r="K8734"/>
      <c r="L8734"/>
    </row>
    <row r="8735" spans="2:12" x14ac:dyDescent="0.2">
      <c r="B8735"/>
      <c r="C8735"/>
      <c r="J8735"/>
      <c r="K8735"/>
      <c r="L8735"/>
    </row>
    <row r="8736" spans="2:12" x14ac:dyDescent="0.2">
      <c r="B8736"/>
      <c r="C8736"/>
      <c r="J8736"/>
      <c r="K8736"/>
      <c r="L8736"/>
    </row>
    <row r="8737" spans="2:12" x14ac:dyDescent="0.2">
      <c r="B8737"/>
      <c r="C8737"/>
      <c r="J8737"/>
      <c r="K8737"/>
      <c r="L8737"/>
    </row>
    <row r="8738" spans="2:12" x14ac:dyDescent="0.2">
      <c r="B8738"/>
      <c r="C8738"/>
      <c r="J8738"/>
      <c r="K8738"/>
      <c r="L8738"/>
    </row>
    <row r="8739" spans="2:12" x14ac:dyDescent="0.2">
      <c r="B8739"/>
      <c r="C8739"/>
      <c r="J8739"/>
      <c r="K8739"/>
      <c r="L8739"/>
    </row>
    <row r="8740" spans="2:12" x14ac:dyDescent="0.2">
      <c r="B8740"/>
      <c r="C8740"/>
      <c r="J8740"/>
      <c r="K8740"/>
      <c r="L8740"/>
    </row>
    <row r="8741" spans="2:12" x14ac:dyDescent="0.2">
      <c r="B8741"/>
      <c r="C8741"/>
      <c r="J8741"/>
      <c r="K8741"/>
      <c r="L8741"/>
    </row>
    <row r="8742" spans="2:12" x14ac:dyDescent="0.2">
      <c r="B8742"/>
      <c r="C8742"/>
      <c r="J8742"/>
      <c r="K8742"/>
      <c r="L8742"/>
    </row>
    <row r="8743" spans="2:12" x14ac:dyDescent="0.2">
      <c r="B8743"/>
      <c r="C8743"/>
      <c r="J8743"/>
      <c r="K8743"/>
      <c r="L8743"/>
    </row>
    <row r="8744" spans="2:12" x14ac:dyDescent="0.2">
      <c r="B8744"/>
      <c r="C8744"/>
      <c r="J8744"/>
      <c r="K8744"/>
      <c r="L8744"/>
    </row>
    <row r="8745" spans="2:12" x14ac:dyDescent="0.2">
      <c r="B8745"/>
      <c r="C8745"/>
      <c r="J8745"/>
      <c r="K8745"/>
      <c r="L8745"/>
    </row>
    <row r="8746" spans="2:12" x14ac:dyDescent="0.2">
      <c r="B8746"/>
      <c r="C8746"/>
      <c r="J8746"/>
      <c r="K8746"/>
      <c r="L8746"/>
    </row>
    <row r="8747" spans="2:12" x14ac:dyDescent="0.2">
      <c r="B8747"/>
      <c r="C8747"/>
      <c r="J8747"/>
      <c r="K8747"/>
      <c r="L8747"/>
    </row>
    <row r="8748" spans="2:12" x14ac:dyDescent="0.2">
      <c r="B8748"/>
      <c r="C8748"/>
      <c r="J8748"/>
      <c r="K8748"/>
      <c r="L8748"/>
    </row>
    <row r="8749" spans="2:12" x14ac:dyDescent="0.2">
      <c r="B8749"/>
      <c r="C8749"/>
      <c r="J8749"/>
      <c r="K8749"/>
      <c r="L8749"/>
    </row>
    <row r="8750" spans="2:12" x14ac:dyDescent="0.2">
      <c r="B8750"/>
      <c r="C8750"/>
      <c r="J8750"/>
      <c r="K8750"/>
      <c r="L8750"/>
    </row>
    <row r="8751" spans="2:12" x14ac:dyDescent="0.2">
      <c r="B8751"/>
      <c r="C8751"/>
      <c r="J8751"/>
      <c r="K8751"/>
      <c r="L8751"/>
    </row>
    <row r="8752" spans="2:12" x14ac:dyDescent="0.2">
      <c r="B8752"/>
      <c r="C8752"/>
      <c r="J8752"/>
      <c r="K8752"/>
      <c r="L8752"/>
    </row>
    <row r="8753" spans="2:12" x14ac:dyDescent="0.2">
      <c r="B8753"/>
      <c r="C8753"/>
      <c r="J8753"/>
      <c r="K8753"/>
      <c r="L8753"/>
    </row>
    <row r="8754" spans="2:12" x14ac:dyDescent="0.2">
      <c r="B8754"/>
      <c r="C8754"/>
      <c r="J8754"/>
      <c r="K8754"/>
      <c r="L8754"/>
    </row>
    <row r="8755" spans="2:12" x14ac:dyDescent="0.2">
      <c r="B8755"/>
      <c r="C8755"/>
      <c r="J8755"/>
      <c r="K8755"/>
      <c r="L8755"/>
    </row>
    <row r="8756" spans="2:12" x14ac:dyDescent="0.2">
      <c r="B8756"/>
      <c r="C8756"/>
      <c r="J8756"/>
      <c r="K8756"/>
      <c r="L8756"/>
    </row>
    <row r="8757" spans="2:12" x14ac:dyDescent="0.2">
      <c r="B8757"/>
      <c r="C8757"/>
      <c r="J8757"/>
      <c r="K8757"/>
      <c r="L8757"/>
    </row>
    <row r="8758" spans="2:12" x14ac:dyDescent="0.2">
      <c r="B8758"/>
      <c r="C8758"/>
      <c r="J8758"/>
      <c r="K8758"/>
      <c r="L8758"/>
    </row>
    <row r="8759" spans="2:12" x14ac:dyDescent="0.2">
      <c r="B8759"/>
      <c r="C8759"/>
      <c r="J8759"/>
      <c r="K8759"/>
      <c r="L8759"/>
    </row>
    <row r="8760" spans="2:12" x14ac:dyDescent="0.2">
      <c r="B8760"/>
      <c r="C8760"/>
      <c r="J8760"/>
      <c r="K8760"/>
      <c r="L8760"/>
    </row>
    <row r="8761" spans="2:12" x14ac:dyDescent="0.2">
      <c r="B8761"/>
      <c r="C8761"/>
      <c r="J8761"/>
      <c r="K8761"/>
      <c r="L8761"/>
    </row>
    <row r="8762" spans="2:12" x14ac:dyDescent="0.2">
      <c r="B8762"/>
      <c r="C8762"/>
      <c r="J8762"/>
      <c r="K8762"/>
      <c r="L8762"/>
    </row>
    <row r="8763" spans="2:12" x14ac:dyDescent="0.2">
      <c r="B8763"/>
      <c r="C8763"/>
      <c r="J8763"/>
      <c r="K8763"/>
      <c r="L8763"/>
    </row>
    <row r="8764" spans="2:12" x14ac:dyDescent="0.2">
      <c r="B8764"/>
      <c r="C8764"/>
      <c r="J8764"/>
      <c r="K8764"/>
      <c r="L8764"/>
    </row>
    <row r="8765" spans="2:12" x14ac:dyDescent="0.2">
      <c r="B8765"/>
      <c r="C8765"/>
      <c r="J8765"/>
      <c r="K8765"/>
      <c r="L8765"/>
    </row>
    <row r="8766" spans="2:12" x14ac:dyDescent="0.2">
      <c r="B8766"/>
      <c r="C8766"/>
      <c r="J8766"/>
      <c r="K8766"/>
      <c r="L8766"/>
    </row>
    <row r="8767" spans="2:12" x14ac:dyDescent="0.2">
      <c r="B8767"/>
      <c r="C8767"/>
      <c r="J8767"/>
      <c r="K8767"/>
      <c r="L8767"/>
    </row>
    <row r="8768" spans="2:12" x14ac:dyDescent="0.2">
      <c r="B8768"/>
      <c r="C8768"/>
      <c r="J8768"/>
      <c r="K8768"/>
      <c r="L8768"/>
    </row>
    <row r="8769" spans="2:12" x14ac:dyDescent="0.2">
      <c r="B8769"/>
      <c r="C8769"/>
      <c r="J8769"/>
      <c r="K8769"/>
      <c r="L8769"/>
    </row>
    <row r="8770" spans="2:12" x14ac:dyDescent="0.2">
      <c r="B8770"/>
      <c r="C8770"/>
      <c r="J8770"/>
      <c r="K8770"/>
      <c r="L8770"/>
    </row>
    <row r="8771" spans="2:12" x14ac:dyDescent="0.2">
      <c r="B8771"/>
      <c r="C8771"/>
      <c r="J8771"/>
      <c r="K8771"/>
      <c r="L8771"/>
    </row>
    <row r="8772" spans="2:12" x14ac:dyDescent="0.2">
      <c r="B8772"/>
      <c r="C8772"/>
      <c r="J8772"/>
      <c r="K8772"/>
      <c r="L8772"/>
    </row>
    <row r="8773" spans="2:12" x14ac:dyDescent="0.2">
      <c r="B8773"/>
      <c r="C8773"/>
      <c r="J8773"/>
      <c r="K8773"/>
      <c r="L8773"/>
    </row>
    <row r="8774" spans="2:12" x14ac:dyDescent="0.2">
      <c r="B8774"/>
      <c r="C8774"/>
      <c r="J8774"/>
      <c r="K8774"/>
      <c r="L8774"/>
    </row>
    <row r="8775" spans="2:12" x14ac:dyDescent="0.2">
      <c r="B8775"/>
      <c r="C8775"/>
      <c r="J8775"/>
      <c r="K8775"/>
      <c r="L8775"/>
    </row>
    <row r="8776" spans="2:12" x14ac:dyDescent="0.2">
      <c r="B8776"/>
      <c r="C8776"/>
      <c r="J8776"/>
      <c r="K8776"/>
      <c r="L8776"/>
    </row>
    <row r="8777" spans="2:12" x14ac:dyDescent="0.2">
      <c r="B8777"/>
      <c r="C8777"/>
      <c r="J8777"/>
      <c r="K8777"/>
      <c r="L8777"/>
    </row>
    <row r="8778" spans="2:12" x14ac:dyDescent="0.2">
      <c r="B8778"/>
      <c r="C8778"/>
      <c r="J8778"/>
      <c r="K8778"/>
      <c r="L8778"/>
    </row>
    <row r="8779" spans="2:12" x14ac:dyDescent="0.2">
      <c r="B8779"/>
      <c r="C8779"/>
      <c r="J8779"/>
      <c r="K8779"/>
      <c r="L8779"/>
    </row>
    <row r="8780" spans="2:12" x14ac:dyDescent="0.2">
      <c r="B8780"/>
      <c r="C8780"/>
      <c r="J8780"/>
      <c r="K8780"/>
      <c r="L8780"/>
    </row>
    <row r="8781" spans="2:12" x14ac:dyDescent="0.2">
      <c r="B8781"/>
      <c r="C8781"/>
      <c r="J8781"/>
      <c r="K8781"/>
      <c r="L8781"/>
    </row>
    <row r="8782" spans="2:12" x14ac:dyDescent="0.2">
      <c r="B8782"/>
      <c r="C8782"/>
      <c r="J8782"/>
      <c r="K8782"/>
      <c r="L8782"/>
    </row>
    <row r="8783" spans="2:12" x14ac:dyDescent="0.2">
      <c r="B8783"/>
      <c r="C8783"/>
      <c r="J8783"/>
      <c r="K8783"/>
      <c r="L8783"/>
    </row>
    <row r="8784" spans="2:12" x14ac:dyDescent="0.2">
      <c r="B8784"/>
      <c r="C8784"/>
      <c r="J8784"/>
      <c r="K8784"/>
      <c r="L8784"/>
    </row>
    <row r="8785" spans="2:12" x14ac:dyDescent="0.2">
      <c r="B8785"/>
      <c r="C8785"/>
      <c r="J8785"/>
      <c r="K8785"/>
      <c r="L8785"/>
    </row>
    <row r="8786" spans="2:12" x14ac:dyDescent="0.2">
      <c r="B8786"/>
      <c r="C8786"/>
      <c r="J8786"/>
      <c r="K8786"/>
      <c r="L8786"/>
    </row>
    <row r="8787" spans="2:12" x14ac:dyDescent="0.2">
      <c r="B8787"/>
      <c r="C8787"/>
      <c r="J8787"/>
      <c r="K8787"/>
      <c r="L8787"/>
    </row>
    <row r="8788" spans="2:12" x14ac:dyDescent="0.2">
      <c r="B8788"/>
      <c r="C8788"/>
      <c r="J8788"/>
      <c r="K8788"/>
      <c r="L8788"/>
    </row>
    <row r="8789" spans="2:12" x14ac:dyDescent="0.2">
      <c r="B8789"/>
      <c r="C8789"/>
      <c r="J8789"/>
      <c r="K8789"/>
      <c r="L8789"/>
    </row>
    <row r="8790" spans="2:12" x14ac:dyDescent="0.2">
      <c r="B8790"/>
      <c r="C8790"/>
      <c r="J8790"/>
      <c r="K8790"/>
      <c r="L8790"/>
    </row>
    <row r="8791" spans="2:12" x14ac:dyDescent="0.2">
      <c r="B8791"/>
      <c r="C8791"/>
      <c r="J8791"/>
      <c r="K8791"/>
      <c r="L8791"/>
    </row>
    <row r="8792" spans="2:12" x14ac:dyDescent="0.2">
      <c r="B8792"/>
      <c r="C8792"/>
      <c r="J8792"/>
      <c r="K8792"/>
      <c r="L8792"/>
    </row>
    <row r="8793" spans="2:12" x14ac:dyDescent="0.2">
      <c r="B8793"/>
      <c r="C8793"/>
      <c r="J8793"/>
      <c r="K8793"/>
      <c r="L8793"/>
    </row>
    <row r="8794" spans="2:12" x14ac:dyDescent="0.2">
      <c r="B8794"/>
      <c r="C8794"/>
      <c r="J8794"/>
      <c r="K8794"/>
      <c r="L8794"/>
    </row>
    <row r="8795" spans="2:12" x14ac:dyDescent="0.2">
      <c r="B8795"/>
      <c r="C8795"/>
      <c r="J8795"/>
      <c r="K8795"/>
      <c r="L8795"/>
    </row>
    <row r="8796" spans="2:12" x14ac:dyDescent="0.2">
      <c r="B8796"/>
      <c r="C8796"/>
      <c r="J8796"/>
      <c r="K8796"/>
      <c r="L8796"/>
    </row>
    <row r="8797" spans="2:12" x14ac:dyDescent="0.2">
      <c r="B8797"/>
      <c r="C8797"/>
      <c r="J8797"/>
      <c r="K8797"/>
      <c r="L8797"/>
    </row>
    <row r="8798" spans="2:12" x14ac:dyDescent="0.2">
      <c r="B8798"/>
      <c r="C8798"/>
      <c r="J8798"/>
      <c r="K8798"/>
      <c r="L8798"/>
    </row>
    <row r="8799" spans="2:12" x14ac:dyDescent="0.2">
      <c r="B8799"/>
      <c r="C8799"/>
      <c r="J8799"/>
      <c r="K8799"/>
      <c r="L8799"/>
    </row>
    <row r="8800" spans="2:12" x14ac:dyDescent="0.2">
      <c r="B8800"/>
      <c r="C8800"/>
      <c r="J8800"/>
      <c r="K8800"/>
      <c r="L8800"/>
    </row>
    <row r="8801" spans="2:12" x14ac:dyDescent="0.2">
      <c r="B8801"/>
      <c r="C8801"/>
      <c r="J8801"/>
      <c r="K8801"/>
      <c r="L8801"/>
    </row>
    <row r="8802" spans="2:12" x14ac:dyDescent="0.2">
      <c r="B8802"/>
      <c r="C8802"/>
      <c r="J8802"/>
      <c r="K8802"/>
      <c r="L8802"/>
    </row>
    <row r="8803" spans="2:12" x14ac:dyDescent="0.2">
      <c r="B8803"/>
      <c r="C8803"/>
      <c r="J8803"/>
      <c r="K8803"/>
      <c r="L8803"/>
    </row>
    <row r="8804" spans="2:12" x14ac:dyDescent="0.2">
      <c r="B8804"/>
      <c r="C8804"/>
      <c r="J8804"/>
      <c r="K8804"/>
      <c r="L8804"/>
    </row>
    <row r="8805" spans="2:12" x14ac:dyDescent="0.2">
      <c r="B8805"/>
      <c r="C8805"/>
      <c r="J8805"/>
      <c r="K8805"/>
      <c r="L8805"/>
    </row>
    <row r="8806" spans="2:12" x14ac:dyDescent="0.2">
      <c r="B8806"/>
      <c r="C8806"/>
      <c r="J8806"/>
      <c r="K8806"/>
      <c r="L8806"/>
    </row>
    <row r="8807" spans="2:12" x14ac:dyDescent="0.2">
      <c r="B8807"/>
      <c r="C8807"/>
      <c r="J8807"/>
      <c r="K8807"/>
      <c r="L8807"/>
    </row>
    <row r="8808" spans="2:12" x14ac:dyDescent="0.2">
      <c r="B8808"/>
      <c r="C8808"/>
      <c r="J8808"/>
      <c r="K8808"/>
      <c r="L8808"/>
    </row>
    <row r="8809" spans="2:12" x14ac:dyDescent="0.2">
      <c r="B8809"/>
      <c r="C8809"/>
      <c r="J8809"/>
      <c r="K8809"/>
      <c r="L8809"/>
    </row>
    <row r="8810" spans="2:12" x14ac:dyDescent="0.2">
      <c r="B8810"/>
      <c r="C8810"/>
      <c r="J8810"/>
      <c r="K8810"/>
      <c r="L8810"/>
    </row>
    <row r="8811" spans="2:12" x14ac:dyDescent="0.2">
      <c r="B8811"/>
      <c r="C8811"/>
      <c r="J8811"/>
      <c r="K8811"/>
      <c r="L8811"/>
    </row>
    <row r="8812" spans="2:12" x14ac:dyDescent="0.2">
      <c r="B8812"/>
      <c r="C8812"/>
      <c r="J8812"/>
      <c r="K8812"/>
      <c r="L8812"/>
    </row>
    <row r="8813" spans="2:12" x14ac:dyDescent="0.2">
      <c r="B8813"/>
      <c r="C8813"/>
      <c r="J8813"/>
      <c r="K8813"/>
      <c r="L8813"/>
    </row>
    <row r="8814" spans="2:12" x14ac:dyDescent="0.2">
      <c r="B8814"/>
      <c r="C8814"/>
      <c r="J8814"/>
      <c r="K8814"/>
      <c r="L8814"/>
    </row>
    <row r="8815" spans="2:12" x14ac:dyDescent="0.2">
      <c r="B8815"/>
      <c r="C8815"/>
      <c r="J8815"/>
      <c r="K8815"/>
      <c r="L8815"/>
    </row>
    <row r="8816" spans="2:12" x14ac:dyDescent="0.2">
      <c r="B8816"/>
      <c r="C8816"/>
      <c r="J8816"/>
      <c r="K8816"/>
      <c r="L8816"/>
    </row>
    <row r="8817" spans="2:12" x14ac:dyDescent="0.2">
      <c r="B8817"/>
      <c r="C8817"/>
      <c r="J8817"/>
      <c r="K8817"/>
      <c r="L8817"/>
    </row>
    <row r="8818" spans="2:12" x14ac:dyDescent="0.2">
      <c r="B8818"/>
      <c r="C8818"/>
      <c r="J8818"/>
      <c r="K8818"/>
      <c r="L8818"/>
    </row>
    <row r="8819" spans="2:12" x14ac:dyDescent="0.2">
      <c r="B8819"/>
      <c r="C8819"/>
      <c r="J8819"/>
      <c r="K8819"/>
      <c r="L8819"/>
    </row>
    <row r="8820" spans="2:12" x14ac:dyDescent="0.2">
      <c r="B8820"/>
      <c r="C8820"/>
      <c r="J8820"/>
      <c r="K8820"/>
      <c r="L8820"/>
    </row>
    <row r="8821" spans="2:12" x14ac:dyDescent="0.2">
      <c r="B8821"/>
      <c r="C8821"/>
      <c r="J8821"/>
      <c r="K8821"/>
      <c r="L8821"/>
    </row>
    <row r="8822" spans="2:12" x14ac:dyDescent="0.2">
      <c r="B8822"/>
      <c r="C8822"/>
      <c r="J8822"/>
      <c r="K8822"/>
      <c r="L8822"/>
    </row>
    <row r="8823" spans="2:12" x14ac:dyDescent="0.2">
      <c r="B8823"/>
      <c r="C8823"/>
      <c r="J8823"/>
      <c r="K8823"/>
      <c r="L8823"/>
    </row>
    <row r="8824" spans="2:12" x14ac:dyDescent="0.2">
      <c r="B8824"/>
      <c r="C8824"/>
      <c r="J8824"/>
      <c r="K8824"/>
      <c r="L8824"/>
    </row>
    <row r="8825" spans="2:12" x14ac:dyDescent="0.2">
      <c r="B8825"/>
      <c r="C8825"/>
      <c r="J8825"/>
      <c r="K8825"/>
      <c r="L8825"/>
    </row>
    <row r="8826" spans="2:12" x14ac:dyDescent="0.2">
      <c r="B8826"/>
      <c r="C8826"/>
      <c r="J8826"/>
      <c r="K8826"/>
      <c r="L8826"/>
    </row>
    <row r="8827" spans="2:12" x14ac:dyDescent="0.2">
      <c r="B8827"/>
      <c r="C8827"/>
      <c r="J8827"/>
      <c r="K8827"/>
      <c r="L8827"/>
    </row>
    <row r="8828" spans="2:12" x14ac:dyDescent="0.2">
      <c r="B8828"/>
      <c r="C8828"/>
      <c r="J8828"/>
      <c r="K8828"/>
      <c r="L8828"/>
    </row>
    <row r="8829" spans="2:12" x14ac:dyDescent="0.2">
      <c r="B8829"/>
      <c r="C8829"/>
      <c r="J8829"/>
      <c r="K8829"/>
      <c r="L8829"/>
    </row>
    <row r="8830" spans="2:12" x14ac:dyDescent="0.2">
      <c r="B8830"/>
      <c r="C8830"/>
      <c r="J8830"/>
      <c r="K8830"/>
      <c r="L8830"/>
    </row>
    <row r="8831" spans="2:12" x14ac:dyDescent="0.2">
      <c r="B8831"/>
      <c r="C8831"/>
      <c r="J8831"/>
      <c r="K8831"/>
      <c r="L8831"/>
    </row>
    <row r="8832" spans="2:12" x14ac:dyDescent="0.2">
      <c r="B8832"/>
      <c r="C8832"/>
      <c r="J8832"/>
      <c r="K8832"/>
      <c r="L8832"/>
    </row>
    <row r="8833" spans="2:12" x14ac:dyDescent="0.2">
      <c r="B8833"/>
      <c r="C8833"/>
      <c r="J8833"/>
      <c r="K8833"/>
      <c r="L8833"/>
    </row>
    <row r="8834" spans="2:12" x14ac:dyDescent="0.2">
      <c r="B8834"/>
      <c r="C8834"/>
      <c r="J8834"/>
      <c r="K8834"/>
      <c r="L8834"/>
    </row>
    <row r="8835" spans="2:12" x14ac:dyDescent="0.2">
      <c r="B8835"/>
      <c r="C8835"/>
      <c r="J8835"/>
      <c r="K8835"/>
      <c r="L8835"/>
    </row>
    <row r="8836" spans="2:12" x14ac:dyDescent="0.2">
      <c r="B8836"/>
      <c r="C8836"/>
      <c r="J8836"/>
      <c r="K8836"/>
      <c r="L8836"/>
    </row>
    <row r="8837" spans="2:12" x14ac:dyDescent="0.2">
      <c r="B8837"/>
      <c r="C8837"/>
      <c r="J8837"/>
      <c r="K8837"/>
      <c r="L8837"/>
    </row>
    <row r="8838" spans="2:12" x14ac:dyDescent="0.2">
      <c r="B8838"/>
      <c r="C8838"/>
      <c r="J8838"/>
      <c r="K8838"/>
      <c r="L8838"/>
    </row>
    <row r="8839" spans="2:12" x14ac:dyDescent="0.2">
      <c r="B8839"/>
      <c r="C8839"/>
      <c r="J8839"/>
      <c r="K8839"/>
      <c r="L8839"/>
    </row>
    <row r="8840" spans="2:12" x14ac:dyDescent="0.2">
      <c r="B8840"/>
      <c r="C8840"/>
      <c r="J8840"/>
      <c r="K8840"/>
      <c r="L8840"/>
    </row>
    <row r="8841" spans="2:12" x14ac:dyDescent="0.2">
      <c r="B8841"/>
      <c r="C8841"/>
      <c r="J8841"/>
      <c r="K8841"/>
      <c r="L8841"/>
    </row>
    <row r="8842" spans="2:12" x14ac:dyDescent="0.2">
      <c r="B8842"/>
      <c r="C8842"/>
      <c r="J8842"/>
      <c r="K8842"/>
      <c r="L8842"/>
    </row>
    <row r="8843" spans="2:12" x14ac:dyDescent="0.2">
      <c r="B8843"/>
      <c r="C8843"/>
      <c r="J8843"/>
      <c r="K8843"/>
      <c r="L8843"/>
    </row>
    <row r="8844" spans="2:12" x14ac:dyDescent="0.2">
      <c r="B8844"/>
      <c r="C8844"/>
      <c r="J8844"/>
      <c r="K8844"/>
      <c r="L8844"/>
    </row>
    <row r="8845" spans="2:12" x14ac:dyDescent="0.2">
      <c r="B8845"/>
      <c r="C8845"/>
      <c r="J8845"/>
      <c r="K8845"/>
      <c r="L8845"/>
    </row>
    <row r="8846" spans="2:12" x14ac:dyDescent="0.2">
      <c r="B8846"/>
      <c r="C8846"/>
      <c r="J8846"/>
      <c r="K8846"/>
      <c r="L8846"/>
    </row>
    <row r="8847" spans="2:12" x14ac:dyDescent="0.2">
      <c r="B8847"/>
      <c r="C8847"/>
      <c r="J8847"/>
      <c r="K8847"/>
      <c r="L8847"/>
    </row>
    <row r="8848" spans="2:12" x14ac:dyDescent="0.2">
      <c r="B8848"/>
      <c r="C8848"/>
      <c r="J8848"/>
      <c r="K8848"/>
      <c r="L8848"/>
    </row>
    <row r="8849" spans="2:12" x14ac:dyDescent="0.2">
      <c r="B8849"/>
      <c r="C8849"/>
      <c r="J8849"/>
      <c r="K8849"/>
      <c r="L8849"/>
    </row>
    <row r="8850" spans="2:12" x14ac:dyDescent="0.2">
      <c r="B8850"/>
      <c r="C8850"/>
      <c r="J8850"/>
      <c r="K8850"/>
      <c r="L8850"/>
    </row>
    <row r="8851" spans="2:12" x14ac:dyDescent="0.2">
      <c r="B8851"/>
      <c r="C8851"/>
      <c r="J8851"/>
      <c r="K8851"/>
      <c r="L8851"/>
    </row>
    <row r="8852" spans="2:12" x14ac:dyDescent="0.2">
      <c r="B8852"/>
      <c r="C8852"/>
      <c r="J8852"/>
      <c r="K8852"/>
      <c r="L8852"/>
    </row>
    <row r="8853" spans="2:12" x14ac:dyDescent="0.2">
      <c r="B8853"/>
      <c r="C8853"/>
      <c r="J8853"/>
      <c r="K8853"/>
      <c r="L8853"/>
    </row>
    <row r="8854" spans="2:12" x14ac:dyDescent="0.2">
      <c r="B8854"/>
      <c r="C8854"/>
      <c r="J8854"/>
      <c r="K8854"/>
      <c r="L8854"/>
    </row>
    <row r="8855" spans="2:12" x14ac:dyDescent="0.2">
      <c r="B8855"/>
      <c r="C8855"/>
      <c r="J8855"/>
      <c r="K8855"/>
      <c r="L8855"/>
    </row>
    <row r="8856" spans="2:12" x14ac:dyDescent="0.2">
      <c r="B8856"/>
      <c r="C8856"/>
      <c r="J8856"/>
      <c r="K8856"/>
      <c r="L8856"/>
    </row>
    <row r="8857" spans="2:12" x14ac:dyDescent="0.2">
      <c r="B8857"/>
      <c r="C8857"/>
      <c r="J8857"/>
      <c r="K8857"/>
      <c r="L8857"/>
    </row>
    <row r="8858" spans="2:12" x14ac:dyDescent="0.2">
      <c r="B8858"/>
      <c r="C8858"/>
      <c r="J8858"/>
      <c r="K8858"/>
      <c r="L8858"/>
    </row>
    <row r="8859" spans="2:12" x14ac:dyDescent="0.2">
      <c r="B8859"/>
      <c r="C8859"/>
      <c r="J8859"/>
      <c r="K8859"/>
      <c r="L8859"/>
    </row>
    <row r="8860" spans="2:12" x14ac:dyDescent="0.2">
      <c r="B8860"/>
      <c r="C8860"/>
      <c r="J8860"/>
      <c r="K8860"/>
      <c r="L8860"/>
    </row>
    <row r="8861" spans="2:12" x14ac:dyDescent="0.2">
      <c r="B8861"/>
      <c r="C8861"/>
      <c r="J8861"/>
      <c r="K8861"/>
      <c r="L8861"/>
    </row>
    <row r="8862" spans="2:12" x14ac:dyDescent="0.2">
      <c r="B8862"/>
      <c r="C8862"/>
      <c r="J8862"/>
      <c r="K8862"/>
      <c r="L8862"/>
    </row>
    <row r="8863" spans="2:12" x14ac:dyDescent="0.2">
      <c r="B8863"/>
      <c r="C8863"/>
      <c r="J8863"/>
      <c r="K8863"/>
      <c r="L8863"/>
    </row>
    <row r="8864" spans="2:12" x14ac:dyDescent="0.2">
      <c r="B8864"/>
      <c r="C8864"/>
      <c r="J8864"/>
      <c r="K8864"/>
      <c r="L8864"/>
    </row>
    <row r="8865" spans="2:12" x14ac:dyDescent="0.2">
      <c r="B8865"/>
      <c r="C8865"/>
      <c r="J8865"/>
      <c r="K8865"/>
      <c r="L8865"/>
    </row>
    <row r="8866" spans="2:12" x14ac:dyDescent="0.2">
      <c r="B8866"/>
      <c r="C8866"/>
      <c r="J8866"/>
      <c r="K8866"/>
      <c r="L8866"/>
    </row>
    <row r="8867" spans="2:12" x14ac:dyDescent="0.2">
      <c r="B8867"/>
      <c r="C8867"/>
      <c r="J8867"/>
      <c r="K8867"/>
      <c r="L8867"/>
    </row>
    <row r="8868" spans="2:12" x14ac:dyDescent="0.2">
      <c r="B8868"/>
      <c r="C8868"/>
      <c r="J8868"/>
      <c r="K8868"/>
      <c r="L8868"/>
    </row>
    <row r="8869" spans="2:12" x14ac:dyDescent="0.2">
      <c r="B8869"/>
      <c r="C8869"/>
      <c r="J8869"/>
      <c r="K8869"/>
      <c r="L8869"/>
    </row>
    <row r="8870" spans="2:12" x14ac:dyDescent="0.2">
      <c r="B8870"/>
      <c r="C8870"/>
      <c r="J8870"/>
      <c r="K8870"/>
      <c r="L8870"/>
    </row>
    <row r="8871" spans="2:12" x14ac:dyDescent="0.2">
      <c r="B8871"/>
      <c r="C8871"/>
      <c r="J8871"/>
      <c r="K8871"/>
      <c r="L8871"/>
    </row>
    <row r="8872" spans="2:12" x14ac:dyDescent="0.2">
      <c r="B8872"/>
      <c r="C8872"/>
      <c r="J8872"/>
      <c r="K8872"/>
      <c r="L8872"/>
    </row>
    <row r="8873" spans="2:12" x14ac:dyDescent="0.2">
      <c r="B8873"/>
      <c r="C8873"/>
      <c r="J8873"/>
      <c r="K8873"/>
      <c r="L8873"/>
    </row>
    <row r="8874" spans="2:12" x14ac:dyDescent="0.2">
      <c r="B8874"/>
      <c r="C8874"/>
      <c r="J8874"/>
      <c r="K8874"/>
      <c r="L8874"/>
    </row>
    <row r="8875" spans="2:12" x14ac:dyDescent="0.2">
      <c r="B8875"/>
      <c r="C8875"/>
      <c r="J8875"/>
      <c r="K8875"/>
      <c r="L8875"/>
    </row>
    <row r="8876" spans="2:12" x14ac:dyDescent="0.2">
      <c r="B8876"/>
      <c r="C8876"/>
      <c r="J8876"/>
      <c r="K8876"/>
      <c r="L8876"/>
    </row>
    <row r="8877" spans="2:12" x14ac:dyDescent="0.2">
      <c r="B8877"/>
      <c r="C8877"/>
      <c r="J8877"/>
      <c r="K8877"/>
      <c r="L8877"/>
    </row>
    <row r="8878" spans="2:12" x14ac:dyDescent="0.2">
      <c r="B8878"/>
      <c r="C8878"/>
      <c r="J8878"/>
      <c r="K8878"/>
      <c r="L8878"/>
    </row>
    <row r="8879" spans="2:12" x14ac:dyDescent="0.2">
      <c r="B8879"/>
      <c r="C8879"/>
      <c r="J8879"/>
      <c r="K8879"/>
      <c r="L8879"/>
    </row>
    <row r="8880" spans="2:12" x14ac:dyDescent="0.2">
      <c r="B8880"/>
      <c r="C8880"/>
      <c r="J8880"/>
      <c r="K8880"/>
      <c r="L8880"/>
    </row>
    <row r="8881" spans="2:12" x14ac:dyDescent="0.2">
      <c r="B8881"/>
      <c r="C8881"/>
      <c r="J8881"/>
      <c r="K8881"/>
      <c r="L8881"/>
    </row>
    <row r="8882" spans="2:12" x14ac:dyDescent="0.2">
      <c r="B8882"/>
      <c r="C8882"/>
      <c r="J8882"/>
      <c r="K8882"/>
      <c r="L8882"/>
    </row>
    <row r="8883" spans="2:12" x14ac:dyDescent="0.2">
      <c r="B8883"/>
      <c r="C8883"/>
      <c r="J8883"/>
      <c r="K8883"/>
      <c r="L8883"/>
    </row>
    <row r="8884" spans="2:12" x14ac:dyDescent="0.2">
      <c r="B8884"/>
      <c r="C8884"/>
      <c r="J8884"/>
      <c r="K8884"/>
      <c r="L8884"/>
    </row>
    <row r="8885" spans="2:12" x14ac:dyDescent="0.2">
      <c r="B8885"/>
      <c r="C8885"/>
      <c r="J8885"/>
      <c r="K8885"/>
      <c r="L8885"/>
    </row>
    <row r="8886" spans="2:12" x14ac:dyDescent="0.2">
      <c r="B8886"/>
      <c r="C8886"/>
      <c r="J8886"/>
      <c r="K8886"/>
      <c r="L8886"/>
    </row>
    <row r="8887" spans="2:12" x14ac:dyDescent="0.2">
      <c r="B8887"/>
      <c r="C8887"/>
      <c r="J8887"/>
      <c r="K8887"/>
      <c r="L8887"/>
    </row>
    <row r="8888" spans="2:12" x14ac:dyDescent="0.2">
      <c r="B8888"/>
      <c r="C8888"/>
      <c r="J8888"/>
      <c r="K8888"/>
      <c r="L8888"/>
    </row>
    <row r="8889" spans="2:12" x14ac:dyDescent="0.2">
      <c r="B8889"/>
      <c r="C8889"/>
      <c r="J8889"/>
      <c r="K8889"/>
      <c r="L8889"/>
    </row>
    <row r="8890" spans="2:12" x14ac:dyDescent="0.2">
      <c r="B8890"/>
      <c r="C8890"/>
      <c r="J8890"/>
      <c r="K8890"/>
      <c r="L8890"/>
    </row>
    <row r="8891" spans="2:12" x14ac:dyDescent="0.2">
      <c r="B8891"/>
      <c r="C8891"/>
      <c r="J8891"/>
      <c r="K8891"/>
      <c r="L8891"/>
    </row>
    <row r="8892" spans="2:12" x14ac:dyDescent="0.2">
      <c r="B8892"/>
      <c r="C8892"/>
      <c r="J8892"/>
      <c r="K8892"/>
      <c r="L8892"/>
    </row>
    <row r="8893" spans="2:12" x14ac:dyDescent="0.2">
      <c r="B8893"/>
      <c r="C8893"/>
      <c r="J8893"/>
      <c r="K8893"/>
      <c r="L8893"/>
    </row>
    <row r="8894" spans="2:12" x14ac:dyDescent="0.2">
      <c r="B8894"/>
      <c r="C8894"/>
      <c r="J8894"/>
      <c r="K8894"/>
      <c r="L8894"/>
    </row>
    <row r="8895" spans="2:12" x14ac:dyDescent="0.2">
      <c r="B8895"/>
      <c r="C8895"/>
      <c r="J8895"/>
      <c r="K8895"/>
      <c r="L8895"/>
    </row>
    <row r="8896" spans="2:12" x14ac:dyDescent="0.2">
      <c r="B8896"/>
      <c r="C8896"/>
      <c r="J8896"/>
      <c r="K8896"/>
      <c r="L8896"/>
    </row>
    <row r="8897" spans="2:12" x14ac:dyDescent="0.2">
      <c r="B8897"/>
      <c r="C8897"/>
      <c r="J8897"/>
      <c r="K8897"/>
      <c r="L8897"/>
    </row>
    <row r="8898" spans="2:12" x14ac:dyDescent="0.2">
      <c r="B8898"/>
      <c r="C8898"/>
      <c r="J8898"/>
      <c r="K8898"/>
      <c r="L8898"/>
    </row>
    <row r="8899" spans="2:12" x14ac:dyDescent="0.2">
      <c r="B8899"/>
      <c r="C8899"/>
      <c r="J8899"/>
      <c r="K8899"/>
      <c r="L8899"/>
    </row>
    <row r="8900" spans="2:12" x14ac:dyDescent="0.2">
      <c r="B8900"/>
      <c r="C8900"/>
      <c r="J8900"/>
      <c r="K8900"/>
      <c r="L8900"/>
    </row>
    <row r="8901" spans="2:12" x14ac:dyDescent="0.2">
      <c r="B8901"/>
      <c r="C8901"/>
      <c r="J8901"/>
      <c r="K8901"/>
      <c r="L8901"/>
    </row>
    <row r="8902" spans="2:12" x14ac:dyDescent="0.2">
      <c r="B8902"/>
      <c r="C8902"/>
      <c r="J8902"/>
      <c r="K8902"/>
      <c r="L8902"/>
    </row>
    <row r="8903" spans="2:12" x14ac:dyDescent="0.2">
      <c r="B8903"/>
      <c r="C8903"/>
      <c r="J8903"/>
      <c r="K8903"/>
      <c r="L8903"/>
    </row>
    <row r="8904" spans="2:12" x14ac:dyDescent="0.2">
      <c r="B8904"/>
      <c r="C8904"/>
      <c r="J8904"/>
      <c r="K8904"/>
      <c r="L8904"/>
    </row>
    <row r="8905" spans="2:12" x14ac:dyDescent="0.2">
      <c r="B8905"/>
      <c r="C8905"/>
      <c r="J8905"/>
      <c r="K8905"/>
      <c r="L8905"/>
    </row>
    <row r="8906" spans="2:12" x14ac:dyDescent="0.2">
      <c r="B8906"/>
      <c r="C8906"/>
      <c r="J8906"/>
      <c r="K8906"/>
      <c r="L8906"/>
    </row>
    <row r="8907" spans="2:12" x14ac:dyDescent="0.2">
      <c r="B8907"/>
      <c r="C8907"/>
      <c r="J8907"/>
      <c r="K8907"/>
      <c r="L8907"/>
    </row>
    <row r="8908" spans="2:12" x14ac:dyDescent="0.2">
      <c r="B8908"/>
      <c r="C8908"/>
      <c r="J8908"/>
      <c r="K8908"/>
      <c r="L8908"/>
    </row>
    <row r="8909" spans="2:12" x14ac:dyDescent="0.2">
      <c r="B8909"/>
      <c r="C8909"/>
      <c r="J8909"/>
      <c r="K8909"/>
      <c r="L8909"/>
    </row>
    <row r="8910" spans="2:12" x14ac:dyDescent="0.2">
      <c r="B8910"/>
      <c r="C8910"/>
      <c r="J8910"/>
      <c r="K8910"/>
      <c r="L8910"/>
    </row>
    <row r="8911" spans="2:12" x14ac:dyDescent="0.2">
      <c r="B8911"/>
      <c r="C8911"/>
      <c r="J8911"/>
      <c r="K8911"/>
      <c r="L8911"/>
    </row>
    <row r="8912" spans="2:12" x14ac:dyDescent="0.2">
      <c r="B8912"/>
      <c r="C8912"/>
      <c r="J8912"/>
      <c r="K8912"/>
      <c r="L8912"/>
    </row>
    <row r="8913" spans="2:12" x14ac:dyDescent="0.2">
      <c r="B8913"/>
      <c r="C8913"/>
      <c r="J8913"/>
      <c r="K8913"/>
      <c r="L8913"/>
    </row>
    <row r="8914" spans="2:12" x14ac:dyDescent="0.2">
      <c r="B8914"/>
      <c r="C8914"/>
      <c r="J8914"/>
      <c r="K8914"/>
      <c r="L8914"/>
    </row>
    <row r="8915" spans="2:12" x14ac:dyDescent="0.2">
      <c r="B8915"/>
      <c r="C8915"/>
      <c r="J8915"/>
      <c r="K8915"/>
      <c r="L8915"/>
    </row>
    <row r="8916" spans="2:12" x14ac:dyDescent="0.2">
      <c r="B8916"/>
      <c r="C8916"/>
      <c r="J8916"/>
      <c r="K8916"/>
      <c r="L8916"/>
    </row>
    <row r="8917" spans="2:12" x14ac:dyDescent="0.2">
      <c r="B8917"/>
      <c r="C8917"/>
      <c r="J8917"/>
      <c r="K8917"/>
      <c r="L8917"/>
    </row>
    <row r="8918" spans="2:12" x14ac:dyDescent="0.2">
      <c r="B8918"/>
      <c r="C8918"/>
      <c r="J8918"/>
      <c r="K8918"/>
      <c r="L8918"/>
    </row>
    <row r="8919" spans="2:12" x14ac:dyDescent="0.2">
      <c r="B8919"/>
      <c r="C8919"/>
      <c r="J8919"/>
      <c r="K8919"/>
      <c r="L8919"/>
    </row>
    <row r="8920" spans="2:12" x14ac:dyDescent="0.2">
      <c r="B8920"/>
      <c r="C8920"/>
      <c r="J8920"/>
      <c r="K8920"/>
      <c r="L8920"/>
    </row>
    <row r="8921" spans="2:12" x14ac:dyDescent="0.2">
      <c r="B8921"/>
      <c r="C8921"/>
      <c r="J8921"/>
      <c r="K8921"/>
      <c r="L8921"/>
    </row>
    <row r="8922" spans="2:12" x14ac:dyDescent="0.2">
      <c r="B8922"/>
      <c r="C8922"/>
      <c r="J8922"/>
      <c r="K8922"/>
      <c r="L8922"/>
    </row>
    <row r="8923" spans="2:12" x14ac:dyDescent="0.2">
      <c r="B8923"/>
      <c r="C8923"/>
      <c r="J8923"/>
      <c r="K8923"/>
      <c r="L8923"/>
    </row>
    <row r="8924" spans="2:12" x14ac:dyDescent="0.2">
      <c r="B8924"/>
      <c r="C8924"/>
      <c r="J8924"/>
      <c r="K8924"/>
      <c r="L8924"/>
    </row>
    <row r="8925" spans="2:12" x14ac:dyDescent="0.2">
      <c r="B8925"/>
      <c r="C8925"/>
      <c r="J8925"/>
      <c r="K8925"/>
      <c r="L8925"/>
    </row>
    <row r="8926" spans="2:12" x14ac:dyDescent="0.2">
      <c r="B8926"/>
      <c r="C8926"/>
      <c r="J8926"/>
      <c r="K8926"/>
      <c r="L8926"/>
    </row>
    <row r="8927" spans="2:12" x14ac:dyDescent="0.2">
      <c r="B8927"/>
      <c r="C8927"/>
      <c r="J8927"/>
      <c r="K8927"/>
      <c r="L8927"/>
    </row>
    <row r="8928" spans="2:12" x14ac:dyDescent="0.2">
      <c r="B8928"/>
      <c r="C8928"/>
      <c r="J8928"/>
      <c r="K8928"/>
      <c r="L8928"/>
    </row>
    <row r="8929" spans="2:12" x14ac:dyDescent="0.2">
      <c r="B8929"/>
      <c r="C8929"/>
      <c r="J8929"/>
      <c r="K8929"/>
      <c r="L8929"/>
    </row>
    <row r="8930" spans="2:12" x14ac:dyDescent="0.2">
      <c r="B8930"/>
      <c r="C8930"/>
      <c r="J8930"/>
      <c r="K8930"/>
      <c r="L8930"/>
    </row>
    <row r="8931" spans="2:12" x14ac:dyDescent="0.2">
      <c r="B8931"/>
      <c r="C8931"/>
      <c r="J8931"/>
      <c r="K8931"/>
      <c r="L8931"/>
    </row>
    <row r="8932" spans="2:12" x14ac:dyDescent="0.2">
      <c r="B8932"/>
      <c r="C8932"/>
      <c r="J8932"/>
      <c r="K8932"/>
      <c r="L8932"/>
    </row>
    <row r="8933" spans="2:12" x14ac:dyDescent="0.2">
      <c r="B8933"/>
      <c r="C8933"/>
      <c r="J8933"/>
      <c r="K8933"/>
      <c r="L8933"/>
    </row>
    <row r="8934" spans="2:12" x14ac:dyDescent="0.2">
      <c r="B8934"/>
      <c r="C8934"/>
      <c r="J8934"/>
      <c r="K8934"/>
      <c r="L8934"/>
    </row>
    <row r="8935" spans="2:12" x14ac:dyDescent="0.2">
      <c r="B8935"/>
      <c r="C8935"/>
      <c r="J8935"/>
      <c r="K8935"/>
      <c r="L8935"/>
    </row>
    <row r="8936" spans="2:12" x14ac:dyDescent="0.2">
      <c r="B8936"/>
      <c r="C8936"/>
      <c r="J8936"/>
      <c r="K8936"/>
      <c r="L8936"/>
    </row>
    <row r="8937" spans="2:12" x14ac:dyDescent="0.2">
      <c r="B8937"/>
      <c r="C8937"/>
      <c r="J8937"/>
      <c r="K8937"/>
      <c r="L8937"/>
    </row>
    <row r="8938" spans="2:12" x14ac:dyDescent="0.2">
      <c r="B8938"/>
      <c r="C8938"/>
      <c r="J8938"/>
      <c r="K8938"/>
      <c r="L8938"/>
    </row>
    <row r="8939" spans="2:12" x14ac:dyDescent="0.2">
      <c r="B8939"/>
      <c r="C8939"/>
      <c r="J8939"/>
      <c r="K8939"/>
      <c r="L8939"/>
    </row>
    <row r="8940" spans="2:12" x14ac:dyDescent="0.2">
      <c r="B8940"/>
      <c r="C8940"/>
      <c r="J8940"/>
      <c r="K8940"/>
      <c r="L8940"/>
    </row>
    <row r="8941" spans="2:12" x14ac:dyDescent="0.2">
      <c r="B8941"/>
      <c r="C8941"/>
      <c r="J8941"/>
      <c r="K8941"/>
      <c r="L8941"/>
    </row>
    <row r="8942" spans="2:12" x14ac:dyDescent="0.2">
      <c r="B8942"/>
      <c r="C8942"/>
      <c r="J8942"/>
      <c r="K8942"/>
      <c r="L8942"/>
    </row>
    <row r="8943" spans="2:12" x14ac:dyDescent="0.2">
      <c r="B8943"/>
      <c r="C8943"/>
      <c r="J8943"/>
      <c r="K8943"/>
      <c r="L8943"/>
    </row>
    <row r="8944" spans="2:12" x14ac:dyDescent="0.2">
      <c r="B8944"/>
      <c r="C8944"/>
      <c r="J8944"/>
      <c r="K8944"/>
      <c r="L8944"/>
    </row>
    <row r="8945" spans="2:12" x14ac:dyDescent="0.2">
      <c r="B8945"/>
      <c r="C8945"/>
      <c r="J8945"/>
      <c r="K8945"/>
      <c r="L8945"/>
    </row>
    <row r="8946" spans="2:12" x14ac:dyDescent="0.2">
      <c r="B8946"/>
      <c r="C8946"/>
      <c r="J8946"/>
      <c r="K8946"/>
      <c r="L8946"/>
    </row>
    <row r="8947" spans="2:12" x14ac:dyDescent="0.2">
      <c r="B8947"/>
      <c r="C8947"/>
      <c r="J8947"/>
      <c r="K8947"/>
      <c r="L8947"/>
    </row>
    <row r="8948" spans="2:12" x14ac:dyDescent="0.2">
      <c r="B8948"/>
      <c r="C8948"/>
      <c r="J8948"/>
      <c r="K8948"/>
      <c r="L8948"/>
    </row>
    <row r="8949" spans="2:12" x14ac:dyDescent="0.2">
      <c r="B8949"/>
      <c r="C8949"/>
      <c r="J8949"/>
      <c r="K8949"/>
      <c r="L8949"/>
    </row>
    <row r="8950" spans="2:12" x14ac:dyDescent="0.2">
      <c r="B8950"/>
      <c r="C8950"/>
      <c r="J8950"/>
      <c r="K8950"/>
      <c r="L8950"/>
    </row>
    <row r="8951" spans="2:12" x14ac:dyDescent="0.2">
      <c r="B8951"/>
      <c r="C8951"/>
      <c r="J8951"/>
      <c r="K8951"/>
      <c r="L8951"/>
    </row>
    <row r="8952" spans="2:12" x14ac:dyDescent="0.2">
      <c r="B8952"/>
      <c r="C8952"/>
      <c r="J8952"/>
      <c r="K8952"/>
      <c r="L8952"/>
    </row>
    <row r="8953" spans="2:12" x14ac:dyDescent="0.2">
      <c r="B8953"/>
      <c r="C8953"/>
      <c r="J8953"/>
      <c r="K8953"/>
      <c r="L8953"/>
    </row>
    <row r="8954" spans="2:12" x14ac:dyDescent="0.2">
      <c r="B8954"/>
      <c r="C8954"/>
      <c r="J8954"/>
      <c r="K8954"/>
      <c r="L8954"/>
    </row>
    <row r="8955" spans="2:12" x14ac:dyDescent="0.2">
      <c r="B8955"/>
      <c r="C8955"/>
      <c r="J8955"/>
      <c r="K8955"/>
      <c r="L8955"/>
    </row>
    <row r="8956" spans="2:12" x14ac:dyDescent="0.2">
      <c r="B8956"/>
      <c r="C8956"/>
      <c r="J8956"/>
      <c r="K8956"/>
      <c r="L8956"/>
    </row>
    <row r="8957" spans="2:12" x14ac:dyDescent="0.2">
      <c r="B8957"/>
      <c r="C8957"/>
      <c r="J8957"/>
      <c r="K8957"/>
      <c r="L8957"/>
    </row>
    <row r="8958" spans="2:12" x14ac:dyDescent="0.2">
      <c r="B8958"/>
      <c r="C8958"/>
      <c r="J8958"/>
      <c r="K8958"/>
      <c r="L8958"/>
    </row>
    <row r="8959" spans="2:12" x14ac:dyDescent="0.2">
      <c r="B8959"/>
      <c r="C8959"/>
      <c r="J8959"/>
      <c r="K8959"/>
      <c r="L8959"/>
    </row>
    <row r="8960" spans="2:12" x14ac:dyDescent="0.2">
      <c r="B8960"/>
      <c r="C8960"/>
      <c r="J8960"/>
      <c r="K8960"/>
      <c r="L8960"/>
    </row>
    <row r="8961" spans="2:12" x14ac:dyDescent="0.2">
      <c r="B8961"/>
      <c r="C8961"/>
      <c r="J8961"/>
      <c r="K8961"/>
      <c r="L8961"/>
    </row>
    <row r="8962" spans="2:12" x14ac:dyDescent="0.2">
      <c r="B8962"/>
      <c r="C8962"/>
      <c r="J8962"/>
      <c r="K8962"/>
      <c r="L8962"/>
    </row>
    <row r="8963" spans="2:12" x14ac:dyDescent="0.2">
      <c r="B8963"/>
      <c r="C8963"/>
      <c r="J8963"/>
      <c r="K8963"/>
      <c r="L8963"/>
    </row>
    <row r="8964" spans="2:12" x14ac:dyDescent="0.2">
      <c r="B8964"/>
      <c r="C8964"/>
      <c r="J8964"/>
      <c r="K8964"/>
      <c r="L8964"/>
    </row>
    <row r="8965" spans="2:12" x14ac:dyDescent="0.2">
      <c r="B8965"/>
      <c r="C8965"/>
      <c r="J8965"/>
      <c r="K8965"/>
      <c r="L8965"/>
    </row>
    <row r="8966" spans="2:12" x14ac:dyDescent="0.2">
      <c r="B8966"/>
      <c r="C8966"/>
      <c r="J8966"/>
      <c r="K8966"/>
      <c r="L8966"/>
    </row>
    <row r="8967" spans="2:12" x14ac:dyDescent="0.2">
      <c r="B8967"/>
      <c r="C8967"/>
      <c r="J8967"/>
      <c r="K8967"/>
      <c r="L8967"/>
    </row>
    <row r="8968" spans="2:12" x14ac:dyDescent="0.2">
      <c r="B8968"/>
      <c r="C8968"/>
      <c r="J8968"/>
      <c r="K8968"/>
      <c r="L8968"/>
    </row>
    <row r="8969" spans="2:12" x14ac:dyDescent="0.2">
      <c r="B8969"/>
      <c r="C8969"/>
      <c r="J8969"/>
      <c r="K8969"/>
      <c r="L8969"/>
    </row>
    <row r="8970" spans="2:12" x14ac:dyDescent="0.2">
      <c r="B8970"/>
      <c r="C8970"/>
      <c r="J8970"/>
      <c r="K8970"/>
      <c r="L8970"/>
    </row>
    <row r="8971" spans="2:12" x14ac:dyDescent="0.2">
      <c r="B8971"/>
      <c r="C8971"/>
      <c r="J8971"/>
      <c r="K8971"/>
      <c r="L8971"/>
    </row>
    <row r="8972" spans="2:12" x14ac:dyDescent="0.2">
      <c r="B8972"/>
      <c r="C8972"/>
      <c r="J8972"/>
      <c r="K8972"/>
      <c r="L8972"/>
    </row>
    <row r="8973" spans="2:12" x14ac:dyDescent="0.2">
      <c r="B8973"/>
      <c r="C8973"/>
      <c r="J8973"/>
      <c r="K8973"/>
      <c r="L8973"/>
    </row>
    <row r="8974" spans="2:12" x14ac:dyDescent="0.2">
      <c r="B8974"/>
      <c r="C8974"/>
      <c r="J8974"/>
      <c r="K8974"/>
      <c r="L8974"/>
    </row>
    <row r="8975" spans="2:12" x14ac:dyDescent="0.2">
      <c r="B8975"/>
      <c r="C8975"/>
      <c r="J8975"/>
      <c r="K8975"/>
      <c r="L8975"/>
    </row>
    <row r="8976" spans="2:12" x14ac:dyDescent="0.2">
      <c r="B8976"/>
      <c r="C8976"/>
      <c r="J8976"/>
      <c r="K8976"/>
      <c r="L8976"/>
    </row>
    <row r="8977" spans="2:12" x14ac:dyDescent="0.2">
      <c r="B8977"/>
      <c r="C8977"/>
      <c r="J8977"/>
      <c r="K8977"/>
      <c r="L8977"/>
    </row>
    <row r="8978" spans="2:12" x14ac:dyDescent="0.2">
      <c r="B8978"/>
      <c r="C8978"/>
      <c r="J8978"/>
      <c r="K8978"/>
      <c r="L8978"/>
    </row>
    <row r="8979" spans="2:12" x14ac:dyDescent="0.2">
      <c r="B8979"/>
      <c r="C8979"/>
      <c r="J8979"/>
      <c r="K8979"/>
      <c r="L8979"/>
    </row>
    <row r="8980" spans="2:12" x14ac:dyDescent="0.2">
      <c r="B8980"/>
      <c r="C8980"/>
      <c r="J8980"/>
      <c r="K8980"/>
      <c r="L8980"/>
    </row>
    <row r="8981" spans="2:12" x14ac:dyDescent="0.2">
      <c r="B8981"/>
      <c r="C8981"/>
      <c r="J8981"/>
      <c r="K8981"/>
      <c r="L8981"/>
    </row>
    <row r="8982" spans="2:12" x14ac:dyDescent="0.2">
      <c r="B8982"/>
      <c r="C8982"/>
      <c r="J8982"/>
      <c r="K8982"/>
      <c r="L8982"/>
    </row>
    <row r="8983" spans="2:12" x14ac:dyDescent="0.2">
      <c r="B8983"/>
      <c r="C8983"/>
      <c r="J8983"/>
      <c r="K8983"/>
      <c r="L8983"/>
    </row>
    <row r="8984" spans="2:12" x14ac:dyDescent="0.2">
      <c r="B8984"/>
      <c r="C8984"/>
      <c r="J8984"/>
      <c r="K8984"/>
      <c r="L8984"/>
    </row>
    <row r="8985" spans="2:12" x14ac:dyDescent="0.2">
      <c r="B8985"/>
      <c r="C8985"/>
      <c r="J8985"/>
      <c r="K8985"/>
      <c r="L8985"/>
    </row>
    <row r="8986" spans="2:12" x14ac:dyDescent="0.2">
      <c r="B8986"/>
      <c r="C8986"/>
      <c r="J8986"/>
      <c r="K8986"/>
      <c r="L8986"/>
    </row>
    <row r="8987" spans="2:12" x14ac:dyDescent="0.2">
      <c r="B8987"/>
      <c r="C8987"/>
      <c r="J8987"/>
      <c r="K8987"/>
      <c r="L8987"/>
    </row>
    <row r="8988" spans="2:12" x14ac:dyDescent="0.2">
      <c r="B8988"/>
      <c r="C8988"/>
      <c r="J8988"/>
      <c r="K8988"/>
      <c r="L8988"/>
    </row>
    <row r="8989" spans="2:12" x14ac:dyDescent="0.2">
      <c r="B8989"/>
      <c r="C8989"/>
      <c r="J8989"/>
      <c r="K8989"/>
      <c r="L8989"/>
    </row>
    <row r="8990" spans="2:12" x14ac:dyDescent="0.2">
      <c r="B8990"/>
      <c r="C8990"/>
      <c r="J8990"/>
      <c r="K8990"/>
      <c r="L8990"/>
    </row>
    <row r="8991" spans="2:12" x14ac:dyDescent="0.2">
      <c r="B8991"/>
      <c r="C8991"/>
      <c r="J8991"/>
      <c r="K8991"/>
      <c r="L8991"/>
    </row>
    <row r="8992" spans="2:12" x14ac:dyDescent="0.2">
      <c r="B8992"/>
      <c r="C8992"/>
      <c r="J8992"/>
      <c r="K8992"/>
      <c r="L8992"/>
    </row>
    <row r="8993" spans="2:12" x14ac:dyDescent="0.2">
      <c r="B8993"/>
      <c r="C8993"/>
      <c r="J8993"/>
      <c r="K8993"/>
      <c r="L8993"/>
    </row>
    <row r="8994" spans="2:12" x14ac:dyDescent="0.2">
      <c r="B8994"/>
      <c r="C8994"/>
      <c r="J8994"/>
      <c r="K8994"/>
      <c r="L8994"/>
    </row>
    <row r="8995" spans="2:12" x14ac:dyDescent="0.2">
      <c r="B8995"/>
      <c r="C8995"/>
      <c r="J8995"/>
      <c r="K8995"/>
      <c r="L8995"/>
    </row>
    <row r="8996" spans="2:12" x14ac:dyDescent="0.2">
      <c r="B8996"/>
      <c r="C8996"/>
      <c r="J8996"/>
      <c r="K8996"/>
      <c r="L8996"/>
    </row>
    <row r="8997" spans="2:12" x14ac:dyDescent="0.2">
      <c r="B8997"/>
      <c r="C8997"/>
      <c r="J8997"/>
      <c r="K8997"/>
      <c r="L8997"/>
    </row>
    <row r="8998" spans="2:12" x14ac:dyDescent="0.2">
      <c r="B8998"/>
      <c r="C8998"/>
      <c r="J8998"/>
      <c r="K8998"/>
      <c r="L8998"/>
    </row>
    <row r="8999" spans="2:12" x14ac:dyDescent="0.2">
      <c r="B8999"/>
      <c r="C8999"/>
      <c r="J8999"/>
      <c r="K8999"/>
      <c r="L8999"/>
    </row>
    <row r="9000" spans="2:12" x14ac:dyDescent="0.2">
      <c r="B9000"/>
      <c r="C9000"/>
      <c r="J9000"/>
      <c r="K9000"/>
      <c r="L9000"/>
    </row>
    <row r="9001" spans="2:12" x14ac:dyDescent="0.2">
      <c r="B9001"/>
      <c r="C9001"/>
      <c r="J9001"/>
      <c r="K9001"/>
      <c r="L9001"/>
    </row>
    <row r="9002" spans="2:12" x14ac:dyDescent="0.2">
      <c r="B9002"/>
      <c r="C9002"/>
      <c r="J9002"/>
      <c r="K9002"/>
      <c r="L9002"/>
    </row>
    <row r="9003" spans="2:12" x14ac:dyDescent="0.2">
      <c r="B9003"/>
      <c r="C9003"/>
      <c r="J9003"/>
      <c r="K9003"/>
      <c r="L9003"/>
    </row>
    <row r="9004" spans="2:12" x14ac:dyDescent="0.2">
      <c r="B9004"/>
      <c r="C9004"/>
      <c r="J9004"/>
      <c r="K9004"/>
      <c r="L9004"/>
    </row>
    <row r="9005" spans="2:12" x14ac:dyDescent="0.2">
      <c r="B9005"/>
      <c r="C9005"/>
      <c r="J9005"/>
      <c r="K9005"/>
      <c r="L9005"/>
    </row>
    <row r="9006" spans="2:12" x14ac:dyDescent="0.2">
      <c r="B9006"/>
      <c r="C9006"/>
      <c r="J9006"/>
      <c r="K9006"/>
      <c r="L9006"/>
    </row>
    <row r="9007" spans="2:12" x14ac:dyDescent="0.2">
      <c r="B9007"/>
      <c r="C9007"/>
      <c r="J9007"/>
      <c r="K9007"/>
      <c r="L9007"/>
    </row>
    <row r="9008" spans="2:12" x14ac:dyDescent="0.2">
      <c r="B9008"/>
      <c r="C9008"/>
      <c r="J9008"/>
      <c r="K9008"/>
      <c r="L9008"/>
    </row>
    <row r="9009" spans="2:12" x14ac:dyDescent="0.2">
      <c r="B9009"/>
      <c r="C9009"/>
      <c r="J9009"/>
      <c r="K9009"/>
      <c r="L9009"/>
    </row>
    <row r="9010" spans="2:12" x14ac:dyDescent="0.2">
      <c r="B9010"/>
      <c r="C9010"/>
      <c r="J9010"/>
      <c r="K9010"/>
      <c r="L9010"/>
    </row>
    <row r="9011" spans="2:12" x14ac:dyDescent="0.2">
      <c r="B9011"/>
      <c r="C9011"/>
      <c r="J9011"/>
      <c r="K9011"/>
      <c r="L9011"/>
    </row>
    <row r="9012" spans="2:12" x14ac:dyDescent="0.2">
      <c r="B9012"/>
      <c r="C9012"/>
      <c r="J9012"/>
      <c r="K9012"/>
      <c r="L9012"/>
    </row>
    <row r="9013" spans="2:12" x14ac:dyDescent="0.2">
      <c r="B9013"/>
      <c r="C9013"/>
      <c r="J9013"/>
      <c r="K9013"/>
      <c r="L9013"/>
    </row>
    <row r="9014" spans="2:12" x14ac:dyDescent="0.2">
      <c r="B9014"/>
      <c r="C9014"/>
      <c r="J9014"/>
      <c r="K9014"/>
      <c r="L9014"/>
    </row>
    <row r="9015" spans="2:12" x14ac:dyDescent="0.2">
      <c r="B9015"/>
      <c r="C9015"/>
      <c r="J9015"/>
      <c r="K9015"/>
      <c r="L9015"/>
    </row>
    <row r="9016" spans="2:12" x14ac:dyDescent="0.2">
      <c r="B9016"/>
      <c r="C9016"/>
      <c r="J9016"/>
      <c r="K9016"/>
      <c r="L9016"/>
    </row>
    <row r="9017" spans="2:12" x14ac:dyDescent="0.2">
      <c r="B9017"/>
      <c r="C9017"/>
      <c r="J9017"/>
      <c r="K9017"/>
      <c r="L9017"/>
    </row>
    <row r="9018" spans="2:12" x14ac:dyDescent="0.2">
      <c r="B9018"/>
      <c r="C9018"/>
      <c r="J9018"/>
      <c r="K9018"/>
      <c r="L9018"/>
    </row>
    <row r="9019" spans="2:12" x14ac:dyDescent="0.2">
      <c r="B9019"/>
      <c r="C9019"/>
      <c r="J9019"/>
      <c r="K9019"/>
      <c r="L9019"/>
    </row>
    <row r="9020" spans="2:12" x14ac:dyDescent="0.2">
      <c r="B9020"/>
      <c r="C9020"/>
      <c r="J9020"/>
      <c r="K9020"/>
      <c r="L9020"/>
    </row>
    <row r="9021" spans="2:12" x14ac:dyDescent="0.2">
      <c r="B9021"/>
      <c r="C9021"/>
      <c r="J9021"/>
      <c r="K9021"/>
      <c r="L9021"/>
    </row>
    <row r="9022" spans="2:12" x14ac:dyDescent="0.2">
      <c r="B9022"/>
      <c r="C9022"/>
      <c r="J9022"/>
      <c r="K9022"/>
      <c r="L9022"/>
    </row>
    <row r="9023" spans="2:12" x14ac:dyDescent="0.2">
      <c r="B9023"/>
      <c r="C9023"/>
      <c r="J9023"/>
      <c r="K9023"/>
      <c r="L9023"/>
    </row>
    <row r="9024" spans="2:12" x14ac:dyDescent="0.2">
      <c r="B9024"/>
      <c r="C9024"/>
      <c r="J9024"/>
      <c r="K9024"/>
      <c r="L9024"/>
    </row>
    <row r="9025" spans="2:12" x14ac:dyDescent="0.2">
      <c r="B9025"/>
      <c r="C9025"/>
      <c r="J9025"/>
      <c r="K9025"/>
      <c r="L9025"/>
    </row>
    <row r="9026" spans="2:12" x14ac:dyDescent="0.2">
      <c r="B9026"/>
      <c r="C9026"/>
      <c r="J9026"/>
      <c r="K9026"/>
      <c r="L9026"/>
    </row>
    <row r="9027" spans="2:12" x14ac:dyDescent="0.2">
      <c r="B9027"/>
      <c r="C9027"/>
      <c r="J9027"/>
      <c r="K9027"/>
      <c r="L9027"/>
    </row>
    <row r="9028" spans="2:12" x14ac:dyDescent="0.2">
      <c r="B9028"/>
      <c r="C9028"/>
      <c r="J9028"/>
      <c r="K9028"/>
      <c r="L9028"/>
    </row>
    <row r="9029" spans="2:12" x14ac:dyDescent="0.2">
      <c r="B9029"/>
      <c r="C9029"/>
      <c r="J9029"/>
      <c r="K9029"/>
      <c r="L9029"/>
    </row>
    <row r="9030" spans="2:12" x14ac:dyDescent="0.2">
      <c r="B9030"/>
      <c r="C9030"/>
      <c r="J9030"/>
      <c r="K9030"/>
      <c r="L9030"/>
    </row>
    <row r="9031" spans="2:12" x14ac:dyDescent="0.2">
      <c r="B9031"/>
      <c r="C9031"/>
      <c r="J9031"/>
      <c r="K9031"/>
      <c r="L9031"/>
    </row>
    <row r="9032" spans="2:12" x14ac:dyDescent="0.2">
      <c r="B9032"/>
      <c r="C9032"/>
      <c r="J9032"/>
      <c r="K9032"/>
      <c r="L9032"/>
    </row>
    <row r="9033" spans="2:12" x14ac:dyDescent="0.2">
      <c r="B9033"/>
      <c r="C9033"/>
      <c r="J9033"/>
      <c r="K9033"/>
      <c r="L9033"/>
    </row>
    <row r="9034" spans="2:12" x14ac:dyDescent="0.2">
      <c r="B9034"/>
      <c r="C9034"/>
      <c r="J9034"/>
      <c r="K9034"/>
      <c r="L9034"/>
    </row>
    <row r="9035" spans="2:12" x14ac:dyDescent="0.2">
      <c r="B9035"/>
      <c r="C9035"/>
      <c r="J9035"/>
      <c r="K9035"/>
      <c r="L9035"/>
    </row>
    <row r="9036" spans="2:12" x14ac:dyDescent="0.2">
      <c r="B9036"/>
      <c r="C9036"/>
      <c r="J9036"/>
      <c r="K9036"/>
      <c r="L9036"/>
    </row>
    <row r="9037" spans="2:12" x14ac:dyDescent="0.2">
      <c r="B9037"/>
      <c r="C9037"/>
      <c r="J9037"/>
      <c r="K9037"/>
      <c r="L9037"/>
    </row>
    <row r="9038" spans="2:12" x14ac:dyDescent="0.2">
      <c r="B9038"/>
      <c r="C9038"/>
      <c r="J9038"/>
      <c r="K9038"/>
      <c r="L9038"/>
    </row>
    <row r="9039" spans="2:12" x14ac:dyDescent="0.2">
      <c r="B9039"/>
      <c r="C9039"/>
      <c r="J9039"/>
      <c r="K9039"/>
      <c r="L9039"/>
    </row>
    <row r="9040" spans="2:12" x14ac:dyDescent="0.2">
      <c r="B9040"/>
      <c r="C9040"/>
      <c r="J9040"/>
      <c r="K9040"/>
      <c r="L9040"/>
    </row>
    <row r="9041" spans="2:12" x14ac:dyDescent="0.2">
      <c r="B9041"/>
      <c r="C9041"/>
      <c r="J9041"/>
      <c r="K9041"/>
      <c r="L9041"/>
    </row>
    <row r="9042" spans="2:12" x14ac:dyDescent="0.2">
      <c r="B9042"/>
      <c r="C9042"/>
      <c r="J9042"/>
      <c r="K9042"/>
      <c r="L9042"/>
    </row>
    <row r="9043" spans="2:12" x14ac:dyDescent="0.2">
      <c r="B9043"/>
      <c r="C9043"/>
      <c r="J9043"/>
      <c r="K9043"/>
      <c r="L9043"/>
    </row>
    <row r="9044" spans="2:12" x14ac:dyDescent="0.2">
      <c r="B9044"/>
      <c r="C9044"/>
      <c r="J9044"/>
      <c r="K9044"/>
      <c r="L9044"/>
    </row>
    <row r="9045" spans="2:12" x14ac:dyDescent="0.2">
      <c r="B9045"/>
      <c r="C9045"/>
      <c r="J9045"/>
      <c r="K9045"/>
      <c r="L9045"/>
    </row>
    <row r="9046" spans="2:12" x14ac:dyDescent="0.2">
      <c r="B9046"/>
      <c r="C9046"/>
      <c r="J9046"/>
      <c r="K9046"/>
      <c r="L9046"/>
    </row>
    <row r="9047" spans="2:12" x14ac:dyDescent="0.2">
      <c r="B9047"/>
      <c r="C9047"/>
      <c r="J9047"/>
      <c r="K9047"/>
      <c r="L9047"/>
    </row>
    <row r="9048" spans="2:12" x14ac:dyDescent="0.2">
      <c r="B9048"/>
      <c r="C9048"/>
      <c r="J9048"/>
      <c r="K9048"/>
      <c r="L9048"/>
    </row>
    <row r="9049" spans="2:12" x14ac:dyDescent="0.2">
      <c r="B9049"/>
      <c r="C9049"/>
      <c r="J9049"/>
      <c r="K9049"/>
      <c r="L9049"/>
    </row>
    <row r="9050" spans="2:12" x14ac:dyDescent="0.2">
      <c r="B9050"/>
      <c r="C9050"/>
      <c r="J9050"/>
      <c r="K9050"/>
      <c r="L9050"/>
    </row>
    <row r="9051" spans="2:12" x14ac:dyDescent="0.2">
      <c r="B9051"/>
      <c r="C9051"/>
      <c r="J9051"/>
      <c r="K9051"/>
      <c r="L9051"/>
    </row>
    <row r="9052" spans="2:12" x14ac:dyDescent="0.2">
      <c r="B9052"/>
      <c r="C9052"/>
      <c r="J9052"/>
      <c r="K9052"/>
      <c r="L9052"/>
    </row>
    <row r="9053" spans="2:12" x14ac:dyDescent="0.2">
      <c r="B9053"/>
      <c r="C9053"/>
      <c r="J9053"/>
      <c r="K9053"/>
      <c r="L9053"/>
    </row>
    <row r="9054" spans="2:12" x14ac:dyDescent="0.2">
      <c r="B9054"/>
      <c r="C9054"/>
      <c r="J9054"/>
      <c r="K9054"/>
      <c r="L9054"/>
    </row>
    <row r="9055" spans="2:12" x14ac:dyDescent="0.2">
      <c r="B9055"/>
      <c r="C9055"/>
      <c r="J9055"/>
      <c r="K9055"/>
      <c r="L9055"/>
    </row>
    <row r="9056" spans="2:12" x14ac:dyDescent="0.2">
      <c r="B9056"/>
      <c r="C9056"/>
      <c r="J9056"/>
      <c r="K9056"/>
      <c r="L9056"/>
    </row>
    <row r="9057" spans="2:12" x14ac:dyDescent="0.2">
      <c r="B9057"/>
      <c r="C9057"/>
      <c r="J9057"/>
      <c r="K9057"/>
      <c r="L9057"/>
    </row>
    <row r="9058" spans="2:12" x14ac:dyDescent="0.2">
      <c r="B9058"/>
      <c r="C9058"/>
      <c r="J9058"/>
      <c r="K9058"/>
      <c r="L9058"/>
    </row>
    <row r="9059" spans="2:12" x14ac:dyDescent="0.2">
      <c r="B9059"/>
      <c r="C9059"/>
      <c r="J9059"/>
      <c r="K9059"/>
      <c r="L9059"/>
    </row>
    <row r="9060" spans="2:12" x14ac:dyDescent="0.2">
      <c r="B9060"/>
      <c r="C9060"/>
      <c r="J9060"/>
      <c r="K9060"/>
      <c r="L9060"/>
    </row>
    <row r="9061" spans="2:12" x14ac:dyDescent="0.2">
      <c r="B9061"/>
      <c r="C9061"/>
      <c r="J9061"/>
      <c r="K9061"/>
      <c r="L9061"/>
    </row>
    <row r="9062" spans="2:12" x14ac:dyDescent="0.2">
      <c r="B9062"/>
      <c r="C9062"/>
      <c r="J9062"/>
      <c r="K9062"/>
      <c r="L9062"/>
    </row>
    <row r="9063" spans="2:12" x14ac:dyDescent="0.2">
      <c r="B9063"/>
      <c r="C9063"/>
      <c r="J9063"/>
      <c r="K9063"/>
      <c r="L9063"/>
    </row>
    <row r="9064" spans="2:12" x14ac:dyDescent="0.2">
      <c r="B9064"/>
      <c r="C9064"/>
      <c r="J9064"/>
      <c r="K9064"/>
      <c r="L9064"/>
    </row>
    <row r="9065" spans="2:12" x14ac:dyDescent="0.2">
      <c r="B9065"/>
      <c r="C9065"/>
      <c r="J9065"/>
      <c r="K9065"/>
      <c r="L9065"/>
    </row>
    <row r="9066" spans="2:12" x14ac:dyDescent="0.2">
      <c r="B9066"/>
      <c r="C9066"/>
      <c r="J9066"/>
      <c r="K9066"/>
      <c r="L9066"/>
    </row>
    <row r="9067" spans="2:12" x14ac:dyDescent="0.2">
      <c r="B9067"/>
      <c r="C9067"/>
      <c r="J9067"/>
      <c r="K9067"/>
      <c r="L9067"/>
    </row>
    <row r="9068" spans="2:12" x14ac:dyDescent="0.2">
      <c r="B9068"/>
      <c r="C9068"/>
      <c r="J9068"/>
      <c r="K9068"/>
      <c r="L9068"/>
    </row>
    <row r="9069" spans="2:12" x14ac:dyDescent="0.2">
      <c r="B9069"/>
      <c r="C9069"/>
      <c r="J9069"/>
      <c r="K9069"/>
      <c r="L9069"/>
    </row>
    <row r="9070" spans="2:12" x14ac:dyDescent="0.2">
      <c r="B9070"/>
      <c r="C9070"/>
      <c r="J9070"/>
      <c r="K9070"/>
      <c r="L9070"/>
    </row>
    <row r="9071" spans="2:12" x14ac:dyDescent="0.2">
      <c r="B9071"/>
      <c r="C9071"/>
      <c r="J9071"/>
      <c r="K9071"/>
      <c r="L9071"/>
    </row>
    <row r="9072" spans="2:12" x14ac:dyDescent="0.2">
      <c r="B9072"/>
      <c r="C9072"/>
      <c r="J9072"/>
      <c r="K9072"/>
      <c r="L9072"/>
    </row>
    <row r="9073" spans="2:12" x14ac:dyDescent="0.2">
      <c r="B9073"/>
      <c r="C9073"/>
      <c r="J9073"/>
      <c r="K9073"/>
      <c r="L9073"/>
    </row>
    <row r="9074" spans="2:12" x14ac:dyDescent="0.2">
      <c r="B9074"/>
      <c r="C9074"/>
      <c r="J9074"/>
      <c r="K9074"/>
      <c r="L9074"/>
    </row>
    <row r="9075" spans="2:12" x14ac:dyDescent="0.2">
      <c r="B9075"/>
      <c r="C9075"/>
      <c r="J9075"/>
      <c r="K9075"/>
      <c r="L9075"/>
    </row>
    <row r="9076" spans="2:12" x14ac:dyDescent="0.2">
      <c r="B9076"/>
      <c r="C9076"/>
      <c r="J9076"/>
      <c r="K9076"/>
      <c r="L9076"/>
    </row>
    <row r="9077" spans="2:12" x14ac:dyDescent="0.2">
      <c r="B9077"/>
      <c r="C9077"/>
      <c r="J9077"/>
      <c r="K9077"/>
      <c r="L9077"/>
    </row>
    <row r="9078" spans="2:12" x14ac:dyDescent="0.2">
      <c r="B9078"/>
      <c r="C9078"/>
      <c r="J9078"/>
      <c r="K9078"/>
      <c r="L9078"/>
    </row>
    <row r="9079" spans="2:12" x14ac:dyDescent="0.2">
      <c r="B9079"/>
      <c r="C9079"/>
      <c r="J9079"/>
      <c r="K9079"/>
      <c r="L9079"/>
    </row>
    <row r="9080" spans="2:12" x14ac:dyDescent="0.2">
      <c r="B9080"/>
      <c r="C9080"/>
      <c r="J9080"/>
      <c r="K9080"/>
      <c r="L9080"/>
    </row>
    <row r="9081" spans="2:12" x14ac:dyDescent="0.2">
      <c r="B9081"/>
      <c r="C9081"/>
      <c r="J9081"/>
      <c r="K9081"/>
      <c r="L9081"/>
    </row>
    <row r="9082" spans="2:12" x14ac:dyDescent="0.2">
      <c r="B9082"/>
      <c r="C9082"/>
      <c r="J9082"/>
      <c r="K9082"/>
      <c r="L9082"/>
    </row>
    <row r="9083" spans="2:12" x14ac:dyDescent="0.2">
      <c r="B9083"/>
      <c r="C9083"/>
      <c r="J9083"/>
      <c r="K9083"/>
      <c r="L9083"/>
    </row>
    <row r="9084" spans="2:12" x14ac:dyDescent="0.2">
      <c r="B9084"/>
      <c r="C9084"/>
      <c r="J9084"/>
      <c r="K9084"/>
      <c r="L9084"/>
    </row>
    <row r="9085" spans="2:12" x14ac:dyDescent="0.2">
      <c r="B9085"/>
      <c r="C9085"/>
      <c r="J9085"/>
      <c r="K9085"/>
      <c r="L9085"/>
    </row>
    <row r="9086" spans="2:12" x14ac:dyDescent="0.2">
      <c r="B9086"/>
      <c r="C9086"/>
      <c r="J9086"/>
      <c r="K9086"/>
      <c r="L9086"/>
    </row>
    <row r="9087" spans="2:12" x14ac:dyDescent="0.2">
      <c r="B9087"/>
      <c r="C9087"/>
      <c r="J9087"/>
      <c r="K9087"/>
      <c r="L9087"/>
    </row>
    <row r="9088" spans="2:12" x14ac:dyDescent="0.2">
      <c r="B9088"/>
      <c r="C9088"/>
      <c r="J9088"/>
      <c r="K9088"/>
      <c r="L9088"/>
    </row>
    <row r="9089" spans="2:12" x14ac:dyDescent="0.2">
      <c r="B9089"/>
      <c r="C9089"/>
      <c r="J9089"/>
      <c r="K9089"/>
      <c r="L9089"/>
    </row>
    <row r="9090" spans="2:12" x14ac:dyDescent="0.2">
      <c r="B9090"/>
      <c r="C9090"/>
      <c r="J9090"/>
      <c r="K9090"/>
      <c r="L9090"/>
    </row>
    <row r="9091" spans="2:12" x14ac:dyDescent="0.2">
      <c r="B9091"/>
      <c r="C9091"/>
      <c r="J9091"/>
      <c r="K9091"/>
      <c r="L9091"/>
    </row>
    <row r="9092" spans="2:12" x14ac:dyDescent="0.2">
      <c r="B9092"/>
      <c r="C9092"/>
      <c r="J9092"/>
      <c r="K9092"/>
      <c r="L9092"/>
    </row>
    <row r="9093" spans="2:12" x14ac:dyDescent="0.2">
      <c r="B9093"/>
      <c r="C9093"/>
      <c r="J9093"/>
      <c r="K9093"/>
      <c r="L9093"/>
    </row>
    <row r="9094" spans="2:12" x14ac:dyDescent="0.2">
      <c r="B9094"/>
      <c r="C9094"/>
      <c r="J9094"/>
      <c r="K9094"/>
      <c r="L9094"/>
    </row>
    <row r="9095" spans="2:12" x14ac:dyDescent="0.2">
      <c r="B9095"/>
      <c r="C9095"/>
      <c r="J9095"/>
      <c r="K9095"/>
      <c r="L9095"/>
    </row>
    <row r="9096" spans="2:12" x14ac:dyDescent="0.2">
      <c r="B9096"/>
      <c r="C9096"/>
      <c r="J9096"/>
      <c r="K9096"/>
      <c r="L9096"/>
    </row>
    <row r="9097" spans="2:12" x14ac:dyDescent="0.2">
      <c r="B9097"/>
      <c r="C9097"/>
      <c r="J9097"/>
      <c r="K9097"/>
      <c r="L9097"/>
    </row>
    <row r="9098" spans="2:12" x14ac:dyDescent="0.2">
      <c r="B9098"/>
      <c r="C9098"/>
      <c r="J9098"/>
      <c r="K9098"/>
      <c r="L9098"/>
    </row>
    <row r="9099" spans="2:12" x14ac:dyDescent="0.2">
      <c r="B9099"/>
      <c r="C9099"/>
      <c r="J9099"/>
      <c r="K9099"/>
      <c r="L9099"/>
    </row>
    <row r="9100" spans="2:12" x14ac:dyDescent="0.2">
      <c r="B9100"/>
      <c r="C9100"/>
      <c r="J9100"/>
      <c r="K9100"/>
      <c r="L9100"/>
    </row>
    <row r="9101" spans="2:12" x14ac:dyDescent="0.2">
      <c r="B9101"/>
      <c r="C9101"/>
      <c r="J9101"/>
      <c r="K9101"/>
      <c r="L9101"/>
    </row>
    <row r="9102" spans="2:12" x14ac:dyDescent="0.2">
      <c r="B9102"/>
      <c r="C9102"/>
      <c r="J9102"/>
      <c r="K9102"/>
      <c r="L9102"/>
    </row>
    <row r="9103" spans="2:12" x14ac:dyDescent="0.2">
      <c r="B9103"/>
      <c r="C9103"/>
      <c r="J9103"/>
      <c r="K9103"/>
      <c r="L9103"/>
    </row>
    <row r="9104" spans="2:12" x14ac:dyDescent="0.2">
      <c r="B9104"/>
      <c r="C9104"/>
      <c r="J9104"/>
      <c r="K9104"/>
      <c r="L9104"/>
    </row>
    <row r="9105" spans="2:12" x14ac:dyDescent="0.2">
      <c r="B9105"/>
      <c r="C9105"/>
      <c r="J9105"/>
      <c r="K9105"/>
      <c r="L9105"/>
    </row>
    <row r="9106" spans="2:12" x14ac:dyDescent="0.2">
      <c r="B9106"/>
      <c r="C9106"/>
      <c r="J9106"/>
      <c r="K9106"/>
      <c r="L9106"/>
    </row>
    <row r="9107" spans="2:12" x14ac:dyDescent="0.2">
      <c r="B9107"/>
      <c r="C9107"/>
      <c r="J9107"/>
      <c r="K9107"/>
      <c r="L9107"/>
    </row>
    <row r="9108" spans="2:12" x14ac:dyDescent="0.2">
      <c r="B9108"/>
      <c r="C9108"/>
      <c r="J9108"/>
      <c r="K9108"/>
      <c r="L9108"/>
    </row>
    <row r="9109" spans="2:12" x14ac:dyDescent="0.2">
      <c r="B9109"/>
      <c r="C9109"/>
      <c r="J9109"/>
      <c r="K9109"/>
      <c r="L9109"/>
    </row>
    <row r="9110" spans="2:12" x14ac:dyDescent="0.2">
      <c r="B9110"/>
      <c r="C9110"/>
      <c r="J9110"/>
      <c r="K9110"/>
      <c r="L9110"/>
    </row>
    <row r="9111" spans="2:12" x14ac:dyDescent="0.2">
      <c r="B9111"/>
      <c r="C9111"/>
      <c r="J9111"/>
      <c r="K9111"/>
      <c r="L9111"/>
    </row>
    <row r="9112" spans="2:12" x14ac:dyDescent="0.2">
      <c r="B9112"/>
      <c r="C9112"/>
      <c r="J9112"/>
      <c r="K9112"/>
      <c r="L9112"/>
    </row>
    <row r="9113" spans="2:12" x14ac:dyDescent="0.2">
      <c r="B9113"/>
      <c r="C9113"/>
      <c r="J9113"/>
      <c r="K9113"/>
      <c r="L9113"/>
    </row>
    <row r="9114" spans="2:12" x14ac:dyDescent="0.2">
      <c r="B9114"/>
      <c r="C9114"/>
      <c r="J9114"/>
      <c r="K9114"/>
      <c r="L9114"/>
    </row>
    <row r="9115" spans="2:12" x14ac:dyDescent="0.2">
      <c r="B9115"/>
      <c r="C9115"/>
      <c r="J9115"/>
      <c r="K9115"/>
      <c r="L9115"/>
    </row>
    <row r="9116" spans="2:12" x14ac:dyDescent="0.2">
      <c r="B9116"/>
      <c r="C9116"/>
      <c r="J9116"/>
      <c r="K9116"/>
      <c r="L9116"/>
    </row>
    <row r="9117" spans="2:12" x14ac:dyDescent="0.2">
      <c r="B9117"/>
      <c r="C9117"/>
      <c r="J9117"/>
      <c r="K9117"/>
      <c r="L9117"/>
    </row>
    <row r="9118" spans="2:12" x14ac:dyDescent="0.2">
      <c r="B9118"/>
      <c r="C9118"/>
      <c r="J9118"/>
      <c r="K9118"/>
      <c r="L9118"/>
    </row>
    <row r="9119" spans="2:12" x14ac:dyDescent="0.2">
      <c r="B9119"/>
      <c r="C9119"/>
      <c r="J9119"/>
      <c r="K9119"/>
      <c r="L9119"/>
    </row>
    <row r="9120" spans="2:12" x14ac:dyDescent="0.2">
      <c r="B9120"/>
      <c r="C9120"/>
      <c r="J9120"/>
      <c r="K9120"/>
      <c r="L9120"/>
    </row>
    <row r="9121" spans="2:12" x14ac:dyDescent="0.2">
      <c r="B9121"/>
      <c r="C9121"/>
      <c r="J9121"/>
      <c r="K9121"/>
      <c r="L9121"/>
    </row>
    <row r="9122" spans="2:12" x14ac:dyDescent="0.2">
      <c r="B9122"/>
      <c r="C9122"/>
      <c r="J9122"/>
      <c r="K9122"/>
      <c r="L9122"/>
    </row>
    <row r="9123" spans="2:12" x14ac:dyDescent="0.2">
      <c r="B9123"/>
      <c r="C9123"/>
      <c r="J9123"/>
      <c r="K9123"/>
      <c r="L9123"/>
    </row>
    <row r="9124" spans="2:12" x14ac:dyDescent="0.2">
      <c r="B9124"/>
      <c r="C9124"/>
      <c r="J9124"/>
      <c r="K9124"/>
      <c r="L9124"/>
    </row>
    <row r="9125" spans="2:12" x14ac:dyDescent="0.2">
      <c r="B9125"/>
      <c r="C9125"/>
      <c r="J9125"/>
      <c r="K9125"/>
      <c r="L9125"/>
    </row>
    <row r="9126" spans="2:12" x14ac:dyDescent="0.2">
      <c r="B9126"/>
      <c r="C9126"/>
      <c r="J9126"/>
      <c r="K9126"/>
      <c r="L9126"/>
    </row>
    <row r="9127" spans="2:12" x14ac:dyDescent="0.2">
      <c r="B9127"/>
      <c r="C9127"/>
      <c r="J9127"/>
      <c r="K9127"/>
      <c r="L9127"/>
    </row>
    <row r="9128" spans="2:12" x14ac:dyDescent="0.2">
      <c r="B9128"/>
      <c r="C9128"/>
      <c r="J9128"/>
      <c r="K9128"/>
      <c r="L9128"/>
    </row>
    <row r="9129" spans="2:12" x14ac:dyDescent="0.2">
      <c r="B9129"/>
      <c r="C9129"/>
      <c r="J9129"/>
      <c r="K9129"/>
      <c r="L9129"/>
    </row>
    <row r="9130" spans="2:12" x14ac:dyDescent="0.2">
      <c r="B9130"/>
      <c r="C9130"/>
      <c r="J9130"/>
      <c r="K9130"/>
      <c r="L9130"/>
    </row>
    <row r="9131" spans="2:12" x14ac:dyDescent="0.2">
      <c r="B9131"/>
      <c r="C9131"/>
      <c r="J9131"/>
      <c r="K9131"/>
      <c r="L9131"/>
    </row>
    <row r="9132" spans="2:12" x14ac:dyDescent="0.2">
      <c r="B9132"/>
      <c r="C9132"/>
      <c r="J9132"/>
      <c r="K9132"/>
      <c r="L9132"/>
    </row>
    <row r="9133" spans="2:12" x14ac:dyDescent="0.2">
      <c r="B9133"/>
      <c r="C9133"/>
      <c r="J9133"/>
      <c r="K9133"/>
      <c r="L9133"/>
    </row>
    <row r="9134" spans="2:12" x14ac:dyDescent="0.2">
      <c r="B9134"/>
      <c r="C9134"/>
      <c r="J9134"/>
      <c r="K9134"/>
      <c r="L9134"/>
    </row>
    <row r="9135" spans="2:12" x14ac:dyDescent="0.2">
      <c r="B9135"/>
      <c r="C9135"/>
      <c r="J9135"/>
      <c r="K9135"/>
      <c r="L9135"/>
    </row>
    <row r="9136" spans="2:12" x14ac:dyDescent="0.2">
      <c r="B9136"/>
      <c r="C9136"/>
      <c r="J9136"/>
      <c r="K9136"/>
      <c r="L9136"/>
    </row>
    <row r="9137" spans="2:12" x14ac:dyDescent="0.2">
      <c r="B9137"/>
      <c r="C9137"/>
      <c r="J9137"/>
      <c r="K9137"/>
      <c r="L9137"/>
    </row>
    <row r="9138" spans="2:12" x14ac:dyDescent="0.2">
      <c r="B9138"/>
      <c r="C9138"/>
      <c r="J9138"/>
      <c r="K9138"/>
      <c r="L9138"/>
    </row>
    <row r="9139" spans="2:12" x14ac:dyDescent="0.2">
      <c r="B9139"/>
      <c r="C9139"/>
      <c r="J9139"/>
      <c r="K9139"/>
      <c r="L9139"/>
    </row>
    <row r="9140" spans="2:12" x14ac:dyDescent="0.2">
      <c r="B9140"/>
      <c r="C9140"/>
      <c r="J9140"/>
      <c r="K9140"/>
      <c r="L9140"/>
    </row>
    <row r="9141" spans="2:12" x14ac:dyDescent="0.2">
      <c r="B9141"/>
      <c r="C9141"/>
      <c r="J9141"/>
      <c r="K9141"/>
      <c r="L9141"/>
    </row>
    <row r="9142" spans="2:12" x14ac:dyDescent="0.2">
      <c r="B9142"/>
      <c r="C9142"/>
      <c r="J9142"/>
      <c r="K9142"/>
      <c r="L9142"/>
    </row>
    <row r="9143" spans="2:12" x14ac:dyDescent="0.2">
      <c r="B9143"/>
      <c r="C9143"/>
      <c r="J9143"/>
      <c r="K9143"/>
      <c r="L9143"/>
    </row>
    <row r="9144" spans="2:12" x14ac:dyDescent="0.2">
      <c r="B9144"/>
      <c r="C9144"/>
      <c r="J9144"/>
      <c r="K9144"/>
      <c r="L9144"/>
    </row>
    <row r="9145" spans="2:12" x14ac:dyDescent="0.2">
      <c r="B9145"/>
      <c r="C9145"/>
      <c r="J9145"/>
      <c r="K9145"/>
      <c r="L9145"/>
    </row>
    <row r="9146" spans="2:12" x14ac:dyDescent="0.2">
      <c r="B9146"/>
      <c r="C9146"/>
      <c r="J9146"/>
      <c r="K9146"/>
      <c r="L9146"/>
    </row>
    <row r="9147" spans="2:12" x14ac:dyDescent="0.2">
      <c r="B9147"/>
      <c r="C9147"/>
      <c r="J9147"/>
      <c r="K9147"/>
      <c r="L9147"/>
    </row>
    <row r="9148" spans="2:12" x14ac:dyDescent="0.2">
      <c r="B9148"/>
      <c r="C9148"/>
      <c r="J9148"/>
      <c r="K9148"/>
      <c r="L9148"/>
    </row>
    <row r="9149" spans="2:12" x14ac:dyDescent="0.2">
      <c r="B9149"/>
      <c r="C9149"/>
      <c r="J9149"/>
      <c r="K9149"/>
      <c r="L9149"/>
    </row>
    <row r="9150" spans="2:12" x14ac:dyDescent="0.2">
      <c r="B9150"/>
      <c r="C9150"/>
      <c r="J9150"/>
      <c r="K9150"/>
      <c r="L9150"/>
    </row>
    <row r="9151" spans="2:12" x14ac:dyDescent="0.2">
      <c r="B9151"/>
      <c r="C9151"/>
      <c r="J9151"/>
      <c r="K9151"/>
      <c r="L9151"/>
    </row>
    <row r="9152" spans="2:12" x14ac:dyDescent="0.2">
      <c r="B9152"/>
      <c r="C9152"/>
      <c r="J9152"/>
      <c r="K9152"/>
      <c r="L9152"/>
    </row>
    <row r="9153" spans="2:12" x14ac:dyDescent="0.2">
      <c r="B9153"/>
      <c r="C9153"/>
      <c r="J9153"/>
      <c r="K9153"/>
      <c r="L9153"/>
    </row>
    <row r="9154" spans="2:12" x14ac:dyDescent="0.2">
      <c r="B9154"/>
      <c r="C9154"/>
      <c r="J9154"/>
      <c r="K9154"/>
      <c r="L9154"/>
    </row>
    <row r="9155" spans="2:12" x14ac:dyDescent="0.2">
      <c r="B9155"/>
      <c r="C9155"/>
      <c r="J9155"/>
      <c r="K9155"/>
      <c r="L9155"/>
    </row>
    <row r="9156" spans="2:12" x14ac:dyDescent="0.2">
      <c r="B9156"/>
      <c r="C9156"/>
      <c r="J9156"/>
      <c r="K9156"/>
      <c r="L9156"/>
    </row>
    <row r="9157" spans="2:12" x14ac:dyDescent="0.2">
      <c r="B9157"/>
      <c r="C9157"/>
      <c r="J9157"/>
      <c r="K9157"/>
      <c r="L9157"/>
    </row>
    <row r="9158" spans="2:12" x14ac:dyDescent="0.2">
      <c r="B9158"/>
      <c r="C9158"/>
      <c r="J9158"/>
      <c r="K9158"/>
      <c r="L9158"/>
    </row>
    <row r="9159" spans="2:12" x14ac:dyDescent="0.2">
      <c r="B9159"/>
      <c r="C9159"/>
      <c r="J9159"/>
      <c r="K9159"/>
      <c r="L9159"/>
    </row>
    <row r="9160" spans="2:12" x14ac:dyDescent="0.2">
      <c r="B9160"/>
      <c r="C9160"/>
      <c r="J9160"/>
      <c r="K9160"/>
      <c r="L9160"/>
    </row>
    <row r="9161" spans="2:12" x14ac:dyDescent="0.2">
      <c r="B9161"/>
      <c r="C9161"/>
      <c r="J9161"/>
      <c r="K9161"/>
      <c r="L9161"/>
    </row>
    <row r="9162" spans="2:12" x14ac:dyDescent="0.2">
      <c r="B9162"/>
      <c r="C9162"/>
      <c r="J9162"/>
      <c r="K9162"/>
      <c r="L9162"/>
    </row>
    <row r="9163" spans="2:12" x14ac:dyDescent="0.2">
      <c r="B9163"/>
      <c r="C9163"/>
      <c r="J9163"/>
      <c r="K9163"/>
      <c r="L9163"/>
    </row>
    <row r="9164" spans="2:12" x14ac:dyDescent="0.2">
      <c r="B9164"/>
      <c r="C9164"/>
      <c r="J9164"/>
      <c r="K9164"/>
      <c r="L9164"/>
    </row>
    <row r="9165" spans="2:12" x14ac:dyDescent="0.2">
      <c r="B9165"/>
      <c r="C9165"/>
      <c r="J9165"/>
      <c r="K9165"/>
      <c r="L9165"/>
    </row>
    <row r="9166" spans="2:12" x14ac:dyDescent="0.2">
      <c r="B9166"/>
      <c r="C9166"/>
      <c r="J9166"/>
      <c r="K9166"/>
      <c r="L9166"/>
    </row>
    <row r="9167" spans="2:12" x14ac:dyDescent="0.2">
      <c r="B9167"/>
      <c r="C9167"/>
      <c r="J9167"/>
      <c r="K9167"/>
      <c r="L9167"/>
    </row>
    <row r="9168" spans="2:12" x14ac:dyDescent="0.2">
      <c r="B9168"/>
      <c r="C9168"/>
      <c r="J9168"/>
      <c r="K9168"/>
      <c r="L9168"/>
    </row>
    <row r="9169" spans="2:12" x14ac:dyDescent="0.2">
      <c r="B9169"/>
      <c r="C9169"/>
      <c r="J9169"/>
      <c r="K9169"/>
      <c r="L9169"/>
    </row>
    <row r="9170" spans="2:12" x14ac:dyDescent="0.2">
      <c r="B9170"/>
      <c r="C9170"/>
      <c r="J9170"/>
      <c r="K9170"/>
      <c r="L9170"/>
    </row>
    <row r="9171" spans="2:12" x14ac:dyDescent="0.2">
      <c r="B9171"/>
      <c r="C9171"/>
      <c r="J9171"/>
      <c r="K9171"/>
      <c r="L9171"/>
    </row>
    <row r="9172" spans="2:12" x14ac:dyDescent="0.2">
      <c r="B9172"/>
      <c r="C9172"/>
      <c r="J9172"/>
      <c r="K9172"/>
      <c r="L9172"/>
    </row>
    <row r="9173" spans="2:12" x14ac:dyDescent="0.2">
      <c r="B9173"/>
      <c r="C9173"/>
      <c r="J9173"/>
      <c r="K9173"/>
      <c r="L9173"/>
    </row>
    <row r="9174" spans="2:12" x14ac:dyDescent="0.2">
      <c r="B9174"/>
      <c r="C9174"/>
      <c r="J9174"/>
      <c r="K9174"/>
      <c r="L9174"/>
    </row>
    <row r="9175" spans="2:12" x14ac:dyDescent="0.2">
      <c r="B9175"/>
      <c r="C9175"/>
      <c r="J9175"/>
      <c r="K9175"/>
      <c r="L9175"/>
    </row>
    <row r="9176" spans="2:12" x14ac:dyDescent="0.2">
      <c r="B9176"/>
      <c r="C9176"/>
      <c r="J9176"/>
      <c r="K9176"/>
      <c r="L9176"/>
    </row>
    <row r="9177" spans="2:12" x14ac:dyDescent="0.2">
      <c r="B9177"/>
      <c r="C9177"/>
      <c r="J9177"/>
      <c r="K9177"/>
      <c r="L9177"/>
    </row>
    <row r="9178" spans="2:12" x14ac:dyDescent="0.2">
      <c r="B9178"/>
      <c r="C9178"/>
      <c r="J9178"/>
      <c r="K9178"/>
      <c r="L9178"/>
    </row>
    <row r="9179" spans="2:12" x14ac:dyDescent="0.2">
      <c r="B9179"/>
      <c r="C9179"/>
      <c r="J9179"/>
      <c r="K9179"/>
      <c r="L9179"/>
    </row>
    <row r="9180" spans="2:12" x14ac:dyDescent="0.2">
      <c r="B9180"/>
      <c r="C9180"/>
      <c r="J9180"/>
      <c r="K9180"/>
      <c r="L9180"/>
    </row>
    <row r="9181" spans="2:12" x14ac:dyDescent="0.2">
      <c r="B9181"/>
      <c r="C9181"/>
      <c r="J9181"/>
      <c r="K9181"/>
      <c r="L9181"/>
    </row>
    <row r="9182" spans="2:12" x14ac:dyDescent="0.2">
      <c r="B9182"/>
      <c r="C9182"/>
      <c r="J9182"/>
      <c r="K9182"/>
      <c r="L9182"/>
    </row>
    <row r="9183" spans="2:12" x14ac:dyDescent="0.2">
      <c r="B9183"/>
      <c r="C9183"/>
      <c r="J9183"/>
      <c r="K9183"/>
      <c r="L9183"/>
    </row>
    <row r="9184" spans="2:12" x14ac:dyDescent="0.2">
      <c r="B9184"/>
      <c r="C9184"/>
      <c r="J9184"/>
      <c r="K9184"/>
      <c r="L9184"/>
    </row>
    <row r="9185" spans="2:12" x14ac:dyDescent="0.2">
      <c r="B9185"/>
      <c r="C9185"/>
      <c r="J9185"/>
      <c r="K9185"/>
      <c r="L9185"/>
    </row>
    <row r="9186" spans="2:12" x14ac:dyDescent="0.2">
      <c r="B9186"/>
      <c r="C9186"/>
      <c r="J9186"/>
      <c r="K9186"/>
      <c r="L9186"/>
    </row>
    <row r="9187" spans="2:12" x14ac:dyDescent="0.2">
      <c r="B9187"/>
      <c r="C9187"/>
      <c r="J9187"/>
      <c r="K9187"/>
      <c r="L9187"/>
    </row>
    <row r="9188" spans="2:12" x14ac:dyDescent="0.2">
      <c r="B9188"/>
      <c r="C9188"/>
      <c r="J9188"/>
      <c r="K9188"/>
      <c r="L9188"/>
    </row>
    <row r="9189" spans="2:12" x14ac:dyDescent="0.2">
      <c r="B9189"/>
      <c r="C9189"/>
      <c r="J9189"/>
      <c r="K9189"/>
      <c r="L9189"/>
    </row>
    <row r="9190" spans="2:12" x14ac:dyDescent="0.2">
      <c r="B9190"/>
      <c r="C9190"/>
      <c r="J9190"/>
      <c r="K9190"/>
      <c r="L9190"/>
    </row>
    <row r="9191" spans="2:12" x14ac:dyDescent="0.2">
      <c r="B9191"/>
      <c r="C9191"/>
      <c r="J9191"/>
      <c r="K9191"/>
      <c r="L9191"/>
    </row>
    <row r="9192" spans="2:12" x14ac:dyDescent="0.2">
      <c r="B9192"/>
      <c r="C9192"/>
      <c r="J9192"/>
      <c r="K9192"/>
      <c r="L9192"/>
    </row>
    <row r="9193" spans="2:12" x14ac:dyDescent="0.2">
      <c r="B9193"/>
      <c r="C9193"/>
      <c r="J9193"/>
      <c r="K9193"/>
      <c r="L9193"/>
    </row>
    <row r="9194" spans="2:12" x14ac:dyDescent="0.2">
      <c r="B9194"/>
      <c r="C9194"/>
      <c r="J9194"/>
      <c r="K9194"/>
      <c r="L9194"/>
    </row>
    <row r="9195" spans="2:12" x14ac:dyDescent="0.2">
      <c r="B9195"/>
      <c r="C9195"/>
      <c r="J9195"/>
      <c r="K9195"/>
      <c r="L9195"/>
    </row>
    <row r="9196" spans="2:12" x14ac:dyDescent="0.2">
      <c r="B9196"/>
      <c r="C9196"/>
      <c r="J9196"/>
      <c r="K9196"/>
      <c r="L9196"/>
    </row>
    <row r="9197" spans="2:12" x14ac:dyDescent="0.2">
      <c r="B9197"/>
      <c r="C9197"/>
      <c r="J9197"/>
      <c r="K9197"/>
      <c r="L9197"/>
    </row>
    <row r="9198" spans="2:12" x14ac:dyDescent="0.2">
      <c r="B9198"/>
      <c r="C9198"/>
      <c r="J9198"/>
      <c r="K9198"/>
      <c r="L9198"/>
    </row>
    <row r="9199" spans="2:12" x14ac:dyDescent="0.2">
      <c r="B9199"/>
      <c r="C9199"/>
      <c r="J9199"/>
      <c r="K9199"/>
      <c r="L9199"/>
    </row>
    <row r="9200" spans="2:12" x14ac:dyDescent="0.2">
      <c r="B9200"/>
      <c r="C9200"/>
      <c r="J9200"/>
      <c r="K9200"/>
      <c r="L9200"/>
    </row>
    <row r="9201" spans="2:12" x14ac:dyDescent="0.2">
      <c r="B9201"/>
      <c r="C9201"/>
      <c r="J9201"/>
      <c r="K9201"/>
      <c r="L9201"/>
    </row>
    <row r="9202" spans="2:12" x14ac:dyDescent="0.2">
      <c r="B9202"/>
      <c r="C9202"/>
      <c r="J9202"/>
      <c r="K9202"/>
      <c r="L9202"/>
    </row>
    <row r="9203" spans="2:12" x14ac:dyDescent="0.2">
      <c r="B9203"/>
      <c r="C9203"/>
      <c r="J9203"/>
      <c r="K9203"/>
      <c r="L9203"/>
    </row>
    <row r="9204" spans="2:12" x14ac:dyDescent="0.2">
      <c r="B9204"/>
      <c r="C9204"/>
      <c r="J9204"/>
      <c r="K9204"/>
      <c r="L9204"/>
    </row>
    <row r="9205" spans="2:12" x14ac:dyDescent="0.2">
      <c r="B9205"/>
      <c r="C9205"/>
      <c r="J9205"/>
      <c r="K9205"/>
      <c r="L9205"/>
    </row>
    <row r="9206" spans="2:12" x14ac:dyDescent="0.2">
      <c r="B9206"/>
      <c r="C9206"/>
      <c r="J9206"/>
      <c r="K9206"/>
      <c r="L9206"/>
    </row>
    <row r="9207" spans="2:12" x14ac:dyDescent="0.2">
      <c r="B9207"/>
      <c r="C9207"/>
      <c r="J9207"/>
      <c r="K9207"/>
      <c r="L9207"/>
    </row>
    <row r="9208" spans="2:12" x14ac:dyDescent="0.2">
      <c r="B9208"/>
      <c r="C9208"/>
      <c r="J9208"/>
      <c r="K9208"/>
      <c r="L9208"/>
    </row>
    <row r="9209" spans="2:12" x14ac:dyDescent="0.2">
      <c r="B9209"/>
      <c r="C9209"/>
      <c r="J9209"/>
      <c r="K9209"/>
      <c r="L9209"/>
    </row>
    <row r="9210" spans="2:12" x14ac:dyDescent="0.2">
      <c r="B9210"/>
      <c r="C9210"/>
      <c r="J9210"/>
      <c r="K9210"/>
      <c r="L9210"/>
    </row>
    <row r="9211" spans="2:12" x14ac:dyDescent="0.2">
      <c r="B9211"/>
      <c r="C9211"/>
      <c r="J9211"/>
      <c r="K9211"/>
      <c r="L9211"/>
    </row>
    <row r="9212" spans="2:12" x14ac:dyDescent="0.2">
      <c r="B9212"/>
      <c r="C9212"/>
      <c r="J9212"/>
      <c r="K9212"/>
      <c r="L9212"/>
    </row>
    <row r="9213" spans="2:12" x14ac:dyDescent="0.2">
      <c r="B9213"/>
      <c r="C9213"/>
      <c r="J9213"/>
      <c r="K9213"/>
      <c r="L9213"/>
    </row>
    <row r="9214" spans="2:12" x14ac:dyDescent="0.2">
      <c r="B9214"/>
      <c r="C9214"/>
      <c r="J9214"/>
      <c r="K9214"/>
      <c r="L9214"/>
    </row>
    <row r="9215" spans="2:12" x14ac:dyDescent="0.2">
      <c r="B9215"/>
      <c r="C9215"/>
      <c r="J9215"/>
      <c r="K9215"/>
      <c r="L9215"/>
    </row>
    <row r="9216" spans="2:12" x14ac:dyDescent="0.2">
      <c r="B9216"/>
      <c r="C9216"/>
      <c r="J9216"/>
      <c r="K9216"/>
      <c r="L9216"/>
    </row>
    <row r="9217" spans="2:12" x14ac:dyDescent="0.2">
      <c r="B9217"/>
      <c r="C9217"/>
      <c r="J9217"/>
      <c r="K9217"/>
      <c r="L9217"/>
    </row>
    <row r="9218" spans="2:12" x14ac:dyDescent="0.2">
      <c r="B9218"/>
      <c r="C9218"/>
      <c r="J9218"/>
      <c r="K9218"/>
      <c r="L9218"/>
    </row>
    <row r="9219" spans="2:12" x14ac:dyDescent="0.2">
      <c r="B9219"/>
      <c r="C9219"/>
      <c r="J9219"/>
      <c r="K9219"/>
      <c r="L9219"/>
    </row>
    <row r="9220" spans="2:12" x14ac:dyDescent="0.2">
      <c r="B9220"/>
      <c r="C9220"/>
      <c r="J9220"/>
      <c r="K9220"/>
      <c r="L9220"/>
    </row>
    <row r="9221" spans="2:12" x14ac:dyDescent="0.2">
      <c r="B9221"/>
      <c r="C9221"/>
      <c r="J9221"/>
      <c r="K9221"/>
      <c r="L9221"/>
    </row>
    <row r="9222" spans="2:12" x14ac:dyDescent="0.2">
      <c r="B9222"/>
      <c r="C9222"/>
      <c r="J9222"/>
      <c r="K9222"/>
      <c r="L9222"/>
    </row>
    <row r="9223" spans="2:12" x14ac:dyDescent="0.2">
      <c r="B9223"/>
      <c r="C9223"/>
      <c r="J9223"/>
      <c r="K9223"/>
      <c r="L9223"/>
    </row>
    <row r="9224" spans="2:12" x14ac:dyDescent="0.2">
      <c r="B9224"/>
      <c r="C9224"/>
      <c r="J9224"/>
      <c r="K9224"/>
      <c r="L9224"/>
    </row>
    <row r="9225" spans="2:12" x14ac:dyDescent="0.2">
      <c r="B9225"/>
      <c r="C9225"/>
      <c r="J9225"/>
      <c r="K9225"/>
      <c r="L9225"/>
    </row>
    <row r="9226" spans="2:12" x14ac:dyDescent="0.2">
      <c r="B9226"/>
      <c r="C9226"/>
      <c r="J9226"/>
      <c r="K9226"/>
      <c r="L9226"/>
    </row>
    <row r="9227" spans="2:12" x14ac:dyDescent="0.2">
      <c r="B9227"/>
      <c r="C9227"/>
      <c r="J9227"/>
      <c r="K9227"/>
      <c r="L9227"/>
    </row>
    <row r="9228" spans="2:12" x14ac:dyDescent="0.2">
      <c r="B9228"/>
      <c r="C9228"/>
      <c r="J9228"/>
      <c r="K9228"/>
      <c r="L9228"/>
    </row>
    <row r="9229" spans="2:12" x14ac:dyDescent="0.2">
      <c r="B9229"/>
      <c r="C9229"/>
      <c r="J9229"/>
      <c r="K9229"/>
      <c r="L9229"/>
    </row>
    <row r="9230" spans="2:12" x14ac:dyDescent="0.2">
      <c r="B9230"/>
      <c r="C9230"/>
      <c r="J9230"/>
      <c r="K9230"/>
      <c r="L9230"/>
    </row>
    <row r="9231" spans="2:12" x14ac:dyDescent="0.2">
      <c r="B9231"/>
      <c r="C9231"/>
      <c r="J9231"/>
      <c r="K9231"/>
      <c r="L9231"/>
    </row>
    <row r="9232" spans="2:12" x14ac:dyDescent="0.2">
      <c r="B9232"/>
      <c r="C9232"/>
      <c r="J9232"/>
      <c r="K9232"/>
      <c r="L9232"/>
    </row>
    <row r="9233" spans="2:12" x14ac:dyDescent="0.2">
      <c r="B9233"/>
      <c r="C9233"/>
      <c r="J9233"/>
      <c r="K9233"/>
      <c r="L9233"/>
    </row>
    <row r="9234" spans="2:12" x14ac:dyDescent="0.2">
      <c r="B9234"/>
      <c r="C9234"/>
      <c r="J9234"/>
      <c r="K9234"/>
      <c r="L9234"/>
    </row>
    <row r="9235" spans="2:12" x14ac:dyDescent="0.2">
      <c r="B9235"/>
      <c r="C9235"/>
      <c r="J9235"/>
      <c r="K9235"/>
      <c r="L9235"/>
    </row>
    <row r="9236" spans="2:12" x14ac:dyDescent="0.2">
      <c r="B9236"/>
      <c r="C9236"/>
      <c r="J9236"/>
      <c r="K9236"/>
      <c r="L9236"/>
    </row>
    <row r="9237" spans="2:12" x14ac:dyDescent="0.2">
      <c r="B9237"/>
      <c r="C9237"/>
      <c r="J9237"/>
      <c r="K9237"/>
      <c r="L9237"/>
    </row>
    <row r="9238" spans="2:12" x14ac:dyDescent="0.2">
      <c r="B9238"/>
      <c r="C9238"/>
      <c r="J9238"/>
      <c r="K9238"/>
      <c r="L9238"/>
    </row>
    <row r="9239" spans="2:12" x14ac:dyDescent="0.2">
      <c r="B9239"/>
      <c r="C9239"/>
      <c r="J9239"/>
      <c r="K9239"/>
      <c r="L9239"/>
    </row>
    <row r="9240" spans="2:12" x14ac:dyDescent="0.2">
      <c r="B9240"/>
      <c r="C9240"/>
      <c r="J9240"/>
      <c r="K9240"/>
      <c r="L9240"/>
    </row>
    <row r="9241" spans="2:12" x14ac:dyDescent="0.2">
      <c r="B9241"/>
      <c r="C9241"/>
      <c r="J9241"/>
      <c r="K9241"/>
      <c r="L9241"/>
    </row>
    <row r="9242" spans="2:12" x14ac:dyDescent="0.2">
      <c r="B9242"/>
      <c r="C9242"/>
      <c r="J9242"/>
      <c r="K9242"/>
      <c r="L9242"/>
    </row>
    <row r="9243" spans="2:12" x14ac:dyDescent="0.2">
      <c r="B9243"/>
      <c r="C9243"/>
      <c r="J9243"/>
      <c r="K9243"/>
      <c r="L9243"/>
    </row>
    <row r="9244" spans="2:12" x14ac:dyDescent="0.2">
      <c r="B9244"/>
      <c r="C9244"/>
      <c r="J9244"/>
      <c r="K9244"/>
      <c r="L9244"/>
    </row>
    <row r="9245" spans="2:12" x14ac:dyDescent="0.2">
      <c r="B9245"/>
      <c r="C9245"/>
      <c r="J9245"/>
      <c r="K9245"/>
      <c r="L9245"/>
    </row>
    <row r="9246" spans="2:12" x14ac:dyDescent="0.2">
      <c r="B9246"/>
      <c r="C9246"/>
      <c r="J9246"/>
      <c r="K9246"/>
      <c r="L9246"/>
    </row>
    <row r="9247" spans="2:12" x14ac:dyDescent="0.2">
      <c r="B9247"/>
      <c r="C9247"/>
      <c r="J9247"/>
      <c r="K9247"/>
      <c r="L9247"/>
    </row>
    <row r="9248" spans="2:12" x14ac:dyDescent="0.2">
      <c r="B9248"/>
      <c r="C9248"/>
      <c r="J9248"/>
      <c r="K9248"/>
      <c r="L9248"/>
    </row>
    <row r="9249" spans="2:12" x14ac:dyDescent="0.2">
      <c r="B9249"/>
      <c r="C9249"/>
      <c r="J9249"/>
      <c r="K9249"/>
      <c r="L9249"/>
    </row>
    <row r="9250" spans="2:12" x14ac:dyDescent="0.2">
      <c r="B9250"/>
      <c r="C9250"/>
      <c r="J9250"/>
      <c r="K9250"/>
      <c r="L9250"/>
    </row>
    <row r="9251" spans="2:12" x14ac:dyDescent="0.2">
      <c r="B9251"/>
      <c r="C9251"/>
      <c r="J9251"/>
      <c r="K9251"/>
      <c r="L9251"/>
    </row>
    <row r="9252" spans="2:12" x14ac:dyDescent="0.2">
      <c r="B9252"/>
      <c r="C9252"/>
      <c r="J9252"/>
      <c r="K9252"/>
      <c r="L9252"/>
    </row>
    <row r="9253" spans="2:12" x14ac:dyDescent="0.2">
      <c r="B9253"/>
      <c r="C9253"/>
      <c r="J9253"/>
      <c r="K9253"/>
      <c r="L9253"/>
    </row>
    <row r="9254" spans="2:12" x14ac:dyDescent="0.2">
      <c r="B9254"/>
      <c r="C9254"/>
      <c r="J9254"/>
      <c r="K9254"/>
      <c r="L9254"/>
    </row>
    <row r="9255" spans="2:12" x14ac:dyDescent="0.2">
      <c r="B9255"/>
      <c r="C9255"/>
      <c r="J9255"/>
      <c r="K9255"/>
      <c r="L9255"/>
    </row>
    <row r="9256" spans="2:12" x14ac:dyDescent="0.2">
      <c r="B9256"/>
      <c r="C9256"/>
      <c r="J9256"/>
      <c r="K9256"/>
      <c r="L9256"/>
    </row>
    <row r="9257" spans="2:12" x14ac:dyDescent="0.2">
      <c r="B9257"/>
      <c r="C9257"/>
      <c r="J9257"/>
      <c r="K9257"/>
      <c r="L9257"/>
    </row>
    <row r="9258" spans="2:12" x14ac:dyDescent="0.2">
      <c r="B9258"/>
      <c r="C9258"/>
      <c r="J9258"/>
      <c r="K9258"/>
      <c r="L9258"/>
    </row>
    <row r="9259" spans="2:12" x14ac:dyDescent="0.2">
      <c r="B9259"/>
      <c r="C9259"/>
      <c r="J9259"/>
      <c r="K9259"/>
      <c r="L9259"/>
    </row>
    <row r="9260" spans="2:12" x14ac:dyDescent="0.2">
      <c r="B9260"/>
      <c r="C9260"/>
      <c r="J9260"/>
      <c r="K9260"/>
      <c r="L9260"/>
    </row>
    <row r="9261" spans="2:12" x14ac:dyDescent="0.2">
      <c r="B9261"/>
      <c r="C9261"/>
      <c r="J9261"/>
      <c r="K9261"/>
      <c r="L9261"/>
    </row>
    <row r="9262" spans="2:12" x14ac:dyDescent="0.2">
      <c r="B9262"/>
      <c r="C9262"/>
      <c r="J9262"/>
      <c r="K9262"/>
      <c r="L9262"/>
    </row>
    <row r="9263" spans="2:12" x14ac:dyDescent="0.2">
      <c r="B9263"/>
      <c r="C9263"/>
      <c r="J9263"/>
      <c r="K9263"/>
      <c r="L9263"/>
    </row>
    <row r="9264" spans="2:12" x14ac:dyDescent="0.2">
      <c r="B9264"/>
      <c r="C9264"/>
      <c r="J9264"/>
      <c r="K9264"/>
      <c r="L9264"/>
    </row>
    <row r="9265" spans="2:12" x14ac:dyDescent="0.2">
      <c r="B9265"/>
      <c r="C9265"/>
      <c r="J9265"/>
      <c r="K9265"/>
      <c r="L9265"/>
    </row>
    <row r="9266" spans="2:12" x14ac:dyDescent="0.2">
      <c r="B9266"/>
      <c r="C9266"/>
      <c r="J9266"/>
      <c r="K9266"/>
      <c r="L9266"/>
    </row>
    <row r="9267" spans="2:12" x14ac:dyDescent="0.2">
      <c r="B9267"/>
      <c r="C9267"/>
      <c r="J9267"/>
      <c r="K9267"/>
      <c r="L9267"/>
    </row>
    <row r="9268" spans="2:12" x14ac:dyDescent="0.2">
      <c r="B9268"/>
      <c r="C9268"/>
      <c r="J9268"/>
      <c r="K9268"/>
      <c r="L9268"/>
    </row>
    <row r="9269" spans="2:12" x14ac:dyDescent="0.2">
      <c r="B9269"/>
      <c r="C9269"/>
      <c r="J9269"/>
      <c r="K9269"/>
      <c r="L9269"/>
    </row>
    <row r="9270" spans="2:12" x14ac:dyDescent="0.2">
      <c r="B9270"/>
      <c r="C9270"/>
      <c r="J9270"/>
      <c r="K9270"/>
      <c r="L9270"/>
    </row>
    <row r="9271" spans="2:12" x14ac:dyDescent="0.2">
      <c r="B9271"/>
      <c r="C9271"/>
      <c r="J9271"/>
      <c r="K9271"/>
      <c r="L9271"/>
    </row>
    <row r="9272" spans="2:12" x14ac:dyDescent="0.2">
      <c r="B9272"/>
      <c r="C9272"/>
      <c r="J9272"/>
      <c r="K9272"/>
      <c r="L9272"/>
    </row>
    <row r="9273" spans="2:12" x14ac:dyDescent="0.2">
      <c r="B9273"/>
      <c r="C9273"/>
      <c r="J9273"/>
      <c r="K9273"/>
      <c r="L9273"/>
    </row>
    <row r="9274" spans="2:12" x14ac:dyDescent="0.2">
      <c r="B9274"/>
      <c r="C9274"/>
      <c r="J9274"/>
      <c r="K9274"/>
      <c r="L9274"/>
    </row>
    <row r="9275" spans="2:12" x14ac:dyDescent="0.2">
      <c r="B9275"/>
      <c r="C9275"/>
      <c r="J9275"/>
      <c r="K9275"/>
      <c r="L9275"/>
    </row>
    <row r="9276" spans="2:12" x14ac:dyDescent="0.2">
      <c r="B9276"/>
      <c r="C9276"/>
      <c r="J9276"/>
      <c r="K9276"/>
      <c r="L9276"/>
    </row>
    <row r="9277" spans="2:12" x14ac:dyDescent="0.2">
      <c r="B9277"/>
      <c r="C9277"/>
      <c r="J9277"/>
      <c r="K9277"/>
      <c r="L9277"/>
    </row>
    <row r="9278" spans="2:12" x14ac:dyDescent="0.2">
      <c r="B9278"/>
      <c r="C9278"/>
      <c r="J9278"/>
      <c r="K9278"/>
      <c r="L9278"/>
    </row>
    <row r="9279" spans="2:12" x14ac:dyDescent="0.2">
      <c r="B9279"/>
      <c r="C9279"/>
      <c r="J9279"/>
      <c r="K9279"/>
      <c r="L9279"/>
    </row>
    <row r="9280" spans="2:12" x14ac:dyDescent="0.2">
      <c r="B9280"/>
      <c r="C9280"/>
      <c r="J9280"/>
      <c r="K9280"/>
      <c r="L9280"/>
    </row>
    <row r="9281" spans="2:12" x14ac:dyDescent="0.2">
      <c r="B9281"/>
      <c r="C9281"/>
      <c r="J9281"/>
      <c r="K9281"/>
      <c r="L9281"/>
    </row>
    <row r="9282" spans="2:12" x14ac:dyDescent="0.2">
      <c r="B9282"/>
      <c r="C9282"/>
      <c r="J9282"/>
      <c r="K9282"/>
      <c r="L9282"/>
    </row>
    <row r="9283" spans="2:12" x14ac:dyDescent="0.2">
      <c r="B9283"/>
      <c r="C9283"/>
      <c r="J9283"/>
      <c r="K9283"/>
      <c r="L9283"/>
    </row>
    <row r="9284" spans="2:12" x14ac:dyDescent="0.2">
      <c r="B9284"/>
      <c r="C9284"/>
      <c r="J9284"/>
      <c r="K9284"/>
      <c r="L9284"/>
    </row>
    <row r="9285" spans="2:12" x14ac:dyDescent="0.2">
      <c r="B9285"/>
      <c r="C9285"/>
      <c r="J9285"/>
      <c r="K9285"/>
      <c r="L9285"/>
    </row>
    <row r="9286" spans="2:12" x14ac:dyDescent="0.2">
      <c r="B9286"/>
      <c r="C9286"/>
      <c r="J9286"/>
      <c r="K9286"/>
      <c r="L9286"/>
    </row>
    <row r="9287" spans="2:12" x14ac:dyDescent="0.2">
      <c r="B9287"/>
      <c r="C9287"/>
      <c r="J9287"/>
      <c r="K9287"/>
      <c r="L9287"/>
    </row>
    <row r="9288" spans="2:12" x14ac:dyDescent="0.2">
      <c r="B9288"/>
      <c r="C9288"/>
      <c r="J9288"/>
      <c r="K9288"/>
      <c r="L9288"/>
    </row>
    <row r="9289" spans="2:12" x14ac:dyDescent="0.2">
      <c r="B9289"/>
      <c r="C9289"/>
      <c r="J9289"/>
      <c r="K9289"/>
      <c r="L9289"/>
    </row>
    <row r="9290" spans="2:12" x14ac:dyDescent="0.2">
      <c r="B9290"/>
      <c r="C9290"/>
      <c r="J9290"/>
      <c r="K9290"/>
      <c r="L9290"/>
    </row>
    <row r="9291" spans="2:12" x14ac:dyDescent="0.2">
      <c r="B9291"/>
      <c r="C9291"/>
      <c r="J9291"/>
      <c r="K9291"/>
      <c r="L9291"/>
    </row>
    <row r="9292" spans="2:12" x14ac:dyDescent="0.2">
      <c r="B9292"/>
      <c r="C9292"/>
      <c r="J9292"/>
      <c r="K9292"/>
      <c r="L9292"/>
    </row>
    <row r="9293" spans="2:12" x14ac:dyDescent="0.2">
      <c r="B9293"/>
      <c r="C9293"/>
      <c r="J9293"/>
      <c r="K9293"/>
      <c r="L9293"/>
    </row>
    <row r="9294" spans="2:12" x14ac:dyDescent="0.2">
      <c r="B9294"/>
      <c r="C9294"/>
      <c r="J9294"/>
      <c r="K9294"/>
      <c r="L9294"/>
    </row>
    <row r="9295" spans="2:12" x14ac:dyDescent="0.2">
      <c r="B9295"/>
      <c r="C9295"/>
      <c r="J9295"/>
      <c r="K9295"/>
      <c r="L9295"/>
    </row>
    <row r="9296" spans="2:12" x14ac:dyDescent="0.2">
      <c r="B9296"/>
      <c r="C9296"/>
      <c r="J9296"/>
      <c r="K9296"/>
      <c r="L9296"/>
    </row>
    <row r="9297" spans="2:12" x14ac:dyDescent="0.2">
      <c r="B9297"/>
      <c r="C9297"/>
      <c r="J9297"/>
      <c r="K9297"/>
      <c r="L9297"/>
    </row>
    <row r="9298" spans="2:12" x14ac:dyDescent="0.2">
      <c r="B9298"/>
      <c r="C9298"/>
      <c r="J9298"/>
      <c r="K9298"/>
      <c r="L9298"/>
    </row>
    <row r="9299" spans="2:12" x14ac:dyDescent="0.2">
      <c r="B9299"/>
      <c r="C9299"/>
      <c r="J9299"/>
      <c r="K9299"/>
      <c r="L9299"/>
    </row>
    <row r="9300" spans="2:12" x14ac:dyDescent="0.2">
      <c r="B9300"/>
      <c r="C9300"/>
      <c r="J9300"/>
      <c r="K9300"/>
      <c r="L9300"/>
    </row>
    <row r="9301" spans="2:12" x14ac:dyDescent="0.2">
      <c r="B9301"/>
      <c r="C9301"/>
      <c r="J9301"/>
      <c r="K9301"/>
      <c r="L9301"/>
    </row>
    <row r="9302" spans="2:12" x14ac:dyDescent="0.2">
      <c r="B9302"/>
      <c r="C9302"/>
      <c r="J9302"/>
      <c r="K9302"/>
      <c r="L9302"/>
    </row>
    <row r="9303" spans="2:12" x14ac:dyDescent="0.2">
      <c r="B9303"/>
      <c r="C9303"/>
      <c r="J9303"/>
      <c r="K9303"/>
      <c r="L9303"/>
    </row>
    <row r="9304" spans="2:12" x14ac:dyDescent="0.2">
      <c r="B9304"/>
      <c r="C9304"/>
      <c r="J9304"/>
      <c r="K9304"/>
      <c r="L9304"/>
    </row>
    <row r="9305" spans="2:12" x14ac:dyDescent="0.2">
      <c r="B9305"/>
      <c r="C9305"/>
      <c r="J9305"/>
      <c r="K9305"/>
      <c r="L9305"/>
    </row>
    <row r="9306" spans="2:12" x14ac:dyDescent="0.2">
      <c r="B9306"/>
      <c r="C9306"/>
      <c r="J9306"/>
      <c r="K9306"/>
      <c r="L9306"/>
    </row>
    <row r="9307" spans="2:12" x14ac:dyDescent="0.2">
      <c r="B9307"/>
      <c r="C9307"/>
      <c r="J9307"/>
      <c r="K9307"/>
      <c r="L9307"/>
    </row>
    <row r="9308" spans="2:12" x14ac:dyDescent="0.2">
      <c r="B9308"/>
      <c r="C9308"/>
      <c r="J9308"/>
      <c r="K9308"/>
      <c r="L9308"/>
    </row>
    <row r="9309" spans="2:12" x14ac:dyDescent="0.2">
      <c r="B9309"/>
      <c r="C9309"/>
      <c r="J9309"/>
      <c r="K9309"/>
      <c r="L9309"/>
    </row>
    <row r="9310" spans="2:12" x14ac:dyDescent="0.2">
      <c r="B9310"/>
      <c r="C9310"/>
      <c r="J9310"/>
      <c r="K9310"/>
      <c r="L9310"/>
    </row>
    <row r="9311" spans="2:12" x14ac:dyDescent="0.2">
      <c r="B9311"/>
      <c r="C9311"/>
      <c r="J9311"/>
      <c r="K9311"/>
      <c r="L9311"/>
    </row>
    <row r="9312" spans="2:12" x14ac:dyDescent="0.2">
      <c r="B9312"/>
      <c r="C9312"/>
      <c r="J9312"/>
      <c r="K9312"/>
      <c r="L9312"/>
    </row>
    <row r="9313" spans="2:12" x14ac:dyDescent="0.2">
      <c r="B9313"/>
      <c r="C9313"/>
      <c r="J9313"/>
      <c r="K9313"/>
      <c r="L9313"/>
    </row>
    <row r="9314" spans="2:12" x14ac:dyDescent="0.2">
      <c r="B9314"/>
      <c r="C9314"/>
      <c r="J9314"/>
      <c r="K9314"/>
      <c r="L9314"/>
    </row>
    <row r="9315" spans="2:12" x14ac:dyDescent="0.2">
      <c r="B9315"/>
      <c r="C9315"/>
      <c r="J9315"/>
      <c r="K9315"/>
      <c r="L9315"/>
    </row>
    <row r="9316" spans="2:12" x14ac:dyDescent="0.2">
      <c r="B9316"/>
      <c r="C9316"/>
      <c r="J9316"/>
      <c r="K9316"/>
      <c r="L9316"/>
    </row>
    <row r="9317" spans="2:12" x14ac:dyDescent="0.2">
      <c r="B9317"/>
      <c r="C9317"/>
      <c r="J9317"/>
      <c r="K9317"/>
      <c r="L9317"/>
    </row>
    <row r="9318" spans="2:12" x14ac:dyDescent="0.2">
      <c r="B9318"/>
      <c r="C9318"/>
      <c r="J9318"/>
      <c r="K9318"/>
      <c r="L9318"/>
    </row>
    <row r="9319" spans="2:12" x14ac:dyDescent="0.2">
      <c r="B9319"/>
      <c r="C9319"/>
      <c r="J9319"/>
      <c r="K9319"/>
      <c r="L9319"/>
    </row>
    <row r="9320" spans="2:12" x14ac:dyDescent="0.2">
      <c r="B9320"/>
      <c r="C9320"/>
      <c r="J9320"/>
      <c r="K9320"/>
      <c r="L9320"/>
    </row>
    <row r="9321" spans="2:12" x14ac:dyDescent="0.2">
      <c r="B9321"/>
      <c r="C9321"/>
      <c r="J9321"/>
      <c r="K9321"/>
      <c r="L9321"/>
    </row>
    <row r="9322" spans="2:12" x14ac:dyDescent="0.2">
      <c r="B9322"/>
      <c r="C9322"/>
      <c r="J9322"/>
      <c r="K9322"/>
      <c r="L9322"/>
    </row>
    <row r="9323" spans="2:12" x14ac:dyDescent="0.2">
      <c r="B9323"/>
      <c r="C9323"/>
      <c r="J9323"/>
      <c r="K9323"/>
      <c r="L9323"/>
    </row>
    <row r="9324" spans="2:12" x14ac:dyDescent="0.2">
      <c r="B9324"/>
      <c r="C9324"/>
      <c r="J9324"/>
      <c r="K9324"/>
      <c r="L9324"/>
    </row>
    <row r="9325" spans="2:12" x14ac:dyDescent="0.2">
      <c r="B9325"/>
      <c r="C9325"/>
      <c r="J9325"/>
      <c r="K9325"/>
      <c r="L9325"/>
    </row>
    <row r="9326" spans="2:12" x14ac:dyDescent="0.2">
      <c r="B9326"/>
      <c r="C9326"/>
      <c r="J9326"/>
      <c r="K9326"/>
      <c r="L9326"/>
    </row>
    <row r="9327" spans="2:12" x14ac:dyDescent="0.2">
      <c r="B9327"/>
      <c r="C9327"/>
      <c r="J9327"/>
      <c r="K9327"/>
      <c r="L9327"/>
    </row>
    <row r="9328" spans="2:12" x14ac:dyDescent="0.2">
      <c r="B9328"/>
      <c r="C9328"/>
      <c r="J9328"/>
      <c r="K9328"/>
      <c r="L9328"/>
    </row>
    <row r="9329" spans="2:12" x14ac:dyDescent="0.2">
      <c r="B9329"/>
      <c r="C9329"/>
      <c r="J9329"/>
      <c r="K9329"/>
      <c r="L9329"/>
    </row>
    <row r="9330" spans="2:12" x14ac:dyDescent="0.2">
      <c r="B9330"/>
      <c r="C9330"/>
      <c r="J9330"/>
      <c r="K9330"/>
      <c r="L9330"/>
    </row>
    <row r="9331" spans="2:12" x14ac:dyDescent="0.2">
      <c r="B9331"/>
      <c r="C9331"/>
      <c r="J9331"/>
      <c r="K9331"/>
      <c r="L9331"/>
    </row>
    <row r="9332" spans="2:12" x14ac:dyDescent="0.2">
      <c r="B9332"/>
      <c r="C9332"/>
      <c r="J9332"/>
      <c r="K9332"/>
      <c r="L9332"/>
    </row>
    <row r="9333" spans="2:12" x14ac:dyDescent="0.2">
      <c r="B9333"/>
      <c r="C9333"/>
      <c r="J9333"/>
      <c r="K9333"/>
      <c r="L9333"/>
    </row>
    <row r="9334" spans="2:12" x14ac:dyDescent="0.2">
      <c r="B9334"/>
      <c r="C9334"/>
      <c r="J9334"/>
      <c r="K9334"/>
      <c r="L9334"/>
    </row>
    <row r="9335" spans="2:12" x14ac:dyDescent="0.2">
      <c r="B9335"/>
      <c r="C9335"/>
      <c r="J9335"/>
      <c r="K9335"/>
      <c r="L9335"/>
    </row>
    <row r="9336" spans="2:12" x14ac:dyDescent="0.2">
      <c r="B9336"/>
      <c r="C9336"/>
      <c r="J9336"/>
      <c r="K9336"/>
      <c r="L9336"/>
    </row>
    <row r="9337" spans="2:12" x14ac:dyDescent="0.2">
      <c r="B9337"/>
      <c r="C9337"/>
      <c r="J9337"/>
      <c r="K9337"/>
      <c r="L9337"/>
    </row>
    <row r="9338" spans="2:12" x14ac:dyDescent="0.2">
      <c r="B9338"/>
      <c r="C9338"/>
      <c r="J9338"/>
      <c r="K9338"/>
      <c r="L9338"/>
    </row>
    <row r="9339" spans="2:12" x14ac:dyDescent="0.2">
      <c r="B9339"/>
      <c r="C9339"/>
      <c r="J9339"/>
      <c r="K9339"/>
      <c r="L9339"/>
    </row>
    <row r="9340" spans="2:12" x14ac:dyDescent="0.2">
      <c r="B9340"/>
      <c r="C9340"/>
      <c r="J9340"/>
      <c r="K9340"/>
      <c r="L9340"/>
    </row>
    <row r="9341" spans="2:12" x14ac:dyDescent="0.2">
      <c r="B9341"/>
      <c r="C9341"/>
      <c r="J9341"/>
      <c r="K9341"/>
      <c r="L9341"/>
    </row>
    <row r="9342" spans="2:12" x14ac:dyDescent="0.2">
      <c r="B9342"/>
      <c r="C9342"/>
      <c r="J9342"/>
      <c r="K9342"/>
      <c r="L9342"/>
    </row>
    <row r="9343" spans="2:12" x14ac:dyDescent="0.2">
      <c r="B9343"/>
      <c r="C9343"/>
      <c r="J9343"/>
      <c r="K9343"/>
      <c r="L9343"/>
    </row>
    <row r="9344" spans="2:12" x14ac:dyDescent="0.2">
      <c r="B9344"/>
      <c r="C9344"/>
      <c r="J9344"/>
      <c r="K9344"/>
      <c r="L9344"/>
    </row>
    <row r="9345" spans="2:12" x14ac:dyDescent="0.2">
      <c r="B9345"/>
      <c r="C9345"/>
      <c r="J9345"/>
      <c r="K9345"/>
      <c r="L9345"/>
    </row>
    <row r="9346" spans="2:12" x14ac:dyDescent="0.2">
      <c r="B9346"/>
      <c r="C9346"/>
      <c r="J9346"/>
      <c r="K9346"/>
      <c r="L9346"/>
    </row>
    <row r="9347" spans="2:12" x14ac:dyDescent="0.2">
      <c r="B9347"/>
      <c r="C9347"/>
      <c r="J9347"/>
      <c r="K9347"/>
      <c r="L9347"/>
    </row>
    <row r="9348" spans="2:12" x14ac:dyDescent="0.2">
      <c r="B9348"/>
      <c r="C9348"/>
      <c r="J9348"/>
      <c r="K9348"/>
      <c r="L9348"/>
    </row>
    <row r="9349" spans="2:12" x14ac:dyDescent="0.2">
      <c r="B9349"/>
      <c r="C9349"/>
      <c r="J9349"/>
      <c r="K9349"/>
      <c r="L9349"/>
    </row>
    <row r="9350" spans="2:12" x14ac:dyDescent="0.2">
      <c r="B9350"/>
      <c r="C9350"/>
      <c r="J9350"/>
      <c r="K9350"/>
      <c r="L9350"/>
    </row>
    <row r="9351" spans="2:12" x14ac:dyDescent="0.2">
      <c r="B9351"/>
      <c r="C9351"/>
      <c r="J9351"/>
      <c r="K9351"/>
      <c r="L9351"/>
    </row>
    <row r="9352" spans="2:12" x14ac:dyDescent="0.2">
      <c r="B9352"/>
      <c r="C9352"/>
      <c r="J9352"/>
      <c r="K9352"/>
      <c r="L9352"/>
    </row>
    <row r="9353" spans="2:12" x14ac:dyDescent="0.2">
      <c r="B9353"/>
      <c r="C9353"/>
      <c r="J9353"/>
      <c r="K9353"/>
      <c r="L9353"/>
    </row>
    <row r="9354" spans="2:12" x14ac:dyDescent="0.2">
      <c r="B9354"/>
      <c r="C9354"/>
      <c r="J9354"/>
      <c r="K9354"/>
      <c r="L9354"/>
    </row>
    <row r="9355" spans="2:12" x14ac:dyDescent="0.2">
      <c r="B9355"/>
      <c r="C9355"/>
      <c r="J9355"/>
      <c r="K9355"/>
      <c r="L9355"/>
    </row>
    <row r="9356" spans="2:12" x14ac:dyDescent="0.2">
      <c r="B9356"/>
      <c r="C9356"/>
      <c r="J9356"/>
      <c r="K9356"/>
      <c r="L9356"/>
    </row>
    <row r="9357" spans="2:12" x14ac:dyDescent="0.2">
      <c r="B9357"/>
      <c r="C9357"/>
      <c r="J9357"/>
      <c r="K9357"/>
      <c r="L9357"/>
    </row>
    <row r="9358" spans="2:12" x14ac:dyDescent="0.2">
      <c r="B9358"/>
      <c r="C9358"/>
      <c r="J9358"/>
      <c r="K9358"/>
      <c r="L9358"/>
    </row>
    <row r="9359" spans="2:12" x14ac:dyDescent="0.2">
      <c r="B9359"/>
      <c r="C9359"/>
      <c r="J9359"/>
      <c r="K9359"/>
      <c r="L9359"/>
    </row>
    <row r="9360" spans="2:12" x14ac:dyDescent="0.2">
      <c r="B9360"/>
      <c r="C9360"/>
      <c r="J9360"/>
      <c r="K9360"/>
      <c r="L9360"/>
    </row>
    <row r="9361" spans="2:12" x14ac:dyDescent="0.2">
      <c r="B9361"/>
      <c r="C9361"/>
      <c r="J9361"/>
      <c r="K9361"/>
      <c r="L9361"/>
    </row>
    <row r="9362" spans="2:12" x14ac:dyDescent="0.2">
      <c r="B9362"/>
      <c r="C9362"/>
      <c r="J9362"/>
      <c r="K9362"/>
      <c r="L9362"/>
    </row>
    <row r="9363" spans="2:12" x14ac:dyDescent="0.2">
      <c r="B9363"/>
      <c r="C9363"/>
      <c r="J9363"/>
      <c r="K9363"/>
      <c r="L9363"/>
    </row>
    <row r="9364" spans="2:12" x14ac:dyDescent="0.2">
      <c r="B9364"/>
      <c r="C9364"/>
      <c r="J9364"/>
      <c r="K9364"/>
      <c r="L9364"/>
    </row>
    <row r="9365" spans="2:12" x14ac:dyDescent="0.2">
      <c r="B9365"/>
      <c r="C9365"/>
      <c r="J9365"/>
      <c r="K9365"/>
      <c r="L9365"/>
    </row>
    <row r="9366" spans="2:12" x14ac:dyDescent="0.2">
      <c r="B9366"/>
      <c r="C9366"/>
      <c r="J9366"/>
      <c r="K9366"/>
      <c r="L9366"/>
    </row>
    <row r="9367" spans="2:12" x14ac:dyDescent="0.2">
      <c r="B9367"/>
      <c r="C9367"/>
      <c r="J9367"/>
      <c r="K9367"/>
      <c r="L9367"/>
    </row>
    <row r="9368" spans="2:12" x14ac:dyDescent="0.2">
      <c r="B9368"/>
      <c r="C9368"/>
      <c r="J9368"/>
      <c r="K9368"/>
      <c r="L9368"/>
    </row>
    <row r="9369" spans="2:12" x14ac:dyDescent="0.2">
      <c r="B9369"/>
      <c r="C9369"/>
      <c r="J9369"/>
      <c r="K9369"/>
      <c r="L9369"/>
    </row>
    <row r="9370" spans="2:12" x14ac:dyDescent="0.2">
      <c r="B9370"/>
      <c r="C9370"/>
      <c r="J9370"/>
      <c r="K9370"/>
      <c r="L9370"/>
    </row>
    <row r="9371" spans="2:12" x14ac:dyDescent="0.2">
      <c r="B9371"/>
      <c r="C9371"/>
      <c r="J9371"/>
      <c r="K9371"/>
      <c r="L9371"/>
    </row>
    <row r="9372" spans="2:12" x14ac:dyDescent="0.2">
      <c r="B9372"/>
      <c r="C9372"/>
      <c r="J9372"/>
      <c r="K9372"/>
      <c r="L9372"/>
    </row>
    <row r="9373" spans="2:12" x14ac:dyDescent="0.2">
      <c r="B9373"/>
      <c r="C9373"/>
      <c r="J9373"/>
      <c r="K9373"/>
      <c r="L9373"/>
    </row>
    <row r="9374" spans="2:12" x14ac:dyDescent="0.2">
      <c r="B9374"/>
      <c r="C9374"/>
      <c r="J9374"/>
      <c r="K9374"/>
      <c r="L9374"/>
    </row>
    <row r="9375" spans="2:12" x14ac:dyDescent="0.2">
      <c r="B9375"/>
      <c r="C9375"/>
      <c r="J9375"/>
      <c r="K9375"/>
      <c r="L9375"/>
    </row>
    <row r="9376" spans="2:12" x14ac:dyDescent="0.2">
      <c r="B9376"/>
      <c r="C9376"/>
      <c r="J9376"/>
      <c r="K9376"/>
      <c r="L9376"/>
    </row>
    <row r="9377" spans="2:12" x14ac:dyDescent="0.2">
      <c r="B9377"/>
      <c r="C9377"/>
      <c r="J9377"/>
      <c r="K9377"/>
      <c r="L9377"/>
    </row>
    <row r="9378" spans="2:12" x14ac:dyDescent="0.2">
      <c r="B9378"/>
      <c r="C9378"/>
      <c r="J9378"/>
      <c r="K9378"/>
      <c r="L9378"/>
    </row>
    <row r="9379" spans="2:12" x14ac:dyDescent="0.2">
      <c r="B9379"/>
      <c r="C9379"/>
      <c r="J9379"/>
      <c r="K9379"/>
      <c r="L9379"/>
    </row>
    <row r="9380" spans="2:12" x14ac:dyDescent="0.2">
      <c r="B9380"/>
      <c r="C9380"/>
      <c r="J9380"/>
      <c r="K9380"/>
      <c r="L9380"/>
    </row>
    <row r="9381" spans="2:12" x14ac:dyDescent="0.2">
      <c r="B9381"/>
      <c r="C9381"/>
      <c r="J9381"/>
      <c r="K9381"/>
      <c r="L9381"/>
    </row>
    <row r="9382" spans="2:12" x14ac:dyDescent="0.2">
      <c r="B9382"/>
      <c r="C9382"/>
      <c r="J9382"/>
      <c r="K9382"/>
      <c r="L9382"/>
    </row>
    <row r="9383" spans="2:12" x14ac:dyDescent="0.2">
      <c r="B9383"/>
      <c r="C9383"/>
      <c r="J9383"/>
      <c r="K9383"/>
      <c r="L9383"/>
    </row>
    <row r="9384" spans="2:12" x14ac:dyDescent="0.2">
      <c r="B9384"/>
      <c r="C9384"/>
      <c r="J9384"/>
      <c r="K9384"/>
      <c r="L9384"/>
    </row>
    <row r="9385" spans="2:12" x14ac:dyDescent="0.2">
      <c r="B9385"/>
      <c r="C9385"/>
      <c r="J9385"/>
      <c r="K9385"/>
      <c r="L9385"/>
    </row>
    <row r="9386" spans="2:12" x14ac:dyDescent="0.2">
      <c r="B9386"/>
      <c r="C9386"/>
      <c r="J9386"/>
      <c r="K9386"/>
      <c r="L9386"/>
    </row>
    <row r="9387" spans="2:12" x14ac:dyDescent="0.2">
      <c r="B9387"/>
      <c r="C9387"/>
      <c r="J9387"/>
      <c r="K9387"/>
      <c r="L9387"/>
    </row>
    <row r="9388" spans="2:12" x14ac:dyDescent="0.2">
      <c r="B9388"/>
      <c r="C9388"/>
      <c r="J9388"/>
      <c r="K9388"/>
      <c r="L9388"/>
    </row>
    <row r="9389" spans="2:12" x14ac:dyDescent="0.2">
      <c r="B9389"/>
      <c r="C9389"/>
      <c r="J9389"/>
      <c r="K9389"/>
      <c r="L9389"/>
    </row>
    <row r="9390" spans="2:12" x14ac:dyDescent="0.2">
      <c r="B9390"/>
      <c r="C9390"/>
      <c r="J9390"/>
      <c r="K9390"/>
      <c r="L9390"/>
    </row>
    <row r="9391" spans="2:12" x14ac:dyDescent="0.2">
      <c r="B9391"/>
      <c r="C9391"/>
      <c r="J9391"/>
      <c r="K9391"/>
      <c r="L9391"/>
    </row>
    <row r="9392" spans="2:12" x14ac:dyDescent="0.2">
      <c r="B9392"/>
      <c r="C9392"/>
      <c r="J9392"/>
      <c r="K9392"/>
      <c r="L9392"/>
    </row>
    <row r="9393" spans="2:12" x14ac:dyDescent="0.2">
      <c r="B9393"/>
      <c r="C9393"/>
      <c r="J9393"/>
      <c r="K9393"/>
      <c r="L9393"/>
    </row>
    <row r="9394" spans="2:12" x14ac:dyDescent="0.2">
      <c r="B9394"/>
      <c r="C9394"/>
      <c r="J9394"/>
      <c r="K9394"/>
      <c r="L9394"/>
    </row>
    <row r="9395" spans="2:12" x14ac:dyDescent="0.2">
      <c r="B9395"/>
      <c r="C9395"/>
      <c r="J9395"/>
      <c r="K9395"/>
      <c r="L9395"/>
    </row>
    <row r="9396" spans="2:12" x14ac:dyDescent="0.2">
      <c r="B9396"/>
      <c r="C9396"/>
      <c r="J9396"/>
      <c r="K9396"/>
      <c r="L9396"/>
    </row>
    <row r="9397" spans="2:12" x14ac:dyDescent="0.2">
      <c r="B9397"/>
      <c r="C9397"/>
      <c r="J9397"/>
      <c r="K9397"/>
      <c r="L9397"/>
    </row>
    <row r="9398" spans="2:12" x14ac:dyDescent="0.2">
      <c r="B9398"/>
      <c r="C9398"/>
      <c r="J9398"/>
      <c r="K9398"/>
      <c r="L9398"/>
    </row>
    <row r="9399" spans="2:12" x14ac:dyDescent="0.2">
      <c r="B9399"/>
      <c r="C9399"/>
      <c r="J9399"/>
      <c r="K9399"/>
      <c r="L9399"/>
    </row>
    <row r="9400" spans="2:12" x14ac:dyDescent="0.2">
      <c r="B9400"/>
      <c r="C9400"/>
      <c r="J9400"/>
      <c r="K9400"/>
      <c r="L9400"/>
    </row>
    <row r="9401" spans="2:12" x14ac:dyDescent="0.2">
      <c r="B9401"/>
      <c r="C9401"/>
      <c r="J9401"/>
      <c r="K9401"/>
      <c r="L9401"/>
    </row>
    <row r="9402" spans="2:12" x14ac:dyDescent="0.2">
      <c r="B9402"/>
      <c r="C9402"/>
      <c r="J9402"/>
      <c r="K9402"/>
      <c r="L9402"/>
    </row>
    <row r="9403" spans="2:12" x14ac:dyDescent="0.2">
      <c r="B9403"/>
      <c r="C9403"/>
      <c r="J9403"/>
      <c r="K9403"/>
      <c r="L9403"/>
    </row>
    <row r="9404" spans="2:12" x14ac:dyDescent="0.2">
      <c r="B9404"/>
      <c r="C9404"/>
      <c r="J9404"/>
      <c r="K9404"/>
      <c r="L9404"/>
    </row>
    <row r="9405" spans="2:12" x14ac:dyDescent="0.2">
      <c r="B9405"/>
      <c r="C9405"/>
      <c r="J9405"/>
      <c r="K9405"/>
      <c r="L9405"/>
    </row>
    <row r="9406" spans="2:12" x14ac:dyDescent="0.2">
      <c r="B9406"/>
      <c r="C9406"/>
      <c r="J9406"/>
      <c r="K9406"/>
      <c r="L9406"/>
    </row>
    <row r="9407" spans="2:12" x14ac:dyDescent="0.2">
      <c r="B9407"/>
      <c r="C9407"/>
      <c r="J9407"/>
      <c r="K9407"/>
      <c r="L9407"/>
    </row>
    <row r="9408" spans="2:12" x14ac:dyDescent="0.2">
      <c r="B9408"/>
      <c r="C9408"/>
      <c r="J9408"/>
      <c r="K9408"/>
      <c r="L9408"/>
    </row>
    <row r="9409" spans="2:12" x14ac:dyDescent="0.2">
      <c r="B9409"/>
      <c r="C9409"/>
      <c r="J9409"/>
      <c r="K9409"/>
      <c r="L9409"/>
    </row>
    <row r="9410" spans="2:12" x14ac:dyDescent="0.2">
      <c r="B9410"/>
      <c r="C9410"/>
      <c r="J9410"/>
      <c r="K9410"/>
      <c r="L9410"/>
    </row>
    <row r="9411" spans="2:12" x14ac:dyDescent="0.2">
      <c r="B9411"/>
      <c r="C9411"/>
      <c r="J9411"/>
      <c r="K9411"/>
      <c r="L9411"/>
    </row>
    <row r="9412" spans="2:12" x14ac:dyDescent="0.2">
      <c r="B9412"/>
      <c r="C9412"/>
      <c r="J9412"/>
      <c r="K9412"/>
      <c r="L9412"/>
    </row>
    <row r="9413" spans="2:12" x14ac:dyDescent="0.2">
      <c r="B9413"/>
      <c r="C9413"/>
      <c r="J9413"/>
      <c r="K9413"/>
      <c r="L9413"/>
    </row>
    <row r="9414" spans="2:12" x14ac:dyDescent="0.2">
      <c r="B9414"/>
      <c r="C9414"/>
      <c r="J9414"/>
      <c r="K9414"/>
      <c r="L9414"/>
    </row>
    <row r="9415" spans="2:12" x14ac:dyDescent="0.2">
      <c r="B9415"/>
      <c r="C9415"/>
      <c r="J9415"/>
      <c r="K9415"/>
      <c r="L9415"/>
    </row>
    <row r="9416" spans="2:12" x14ac:dyDescent="0.2">
      <c r="B9416"/>
      <c r="C9416"/>
      <c r="J9416"/>
      <c r="K9416"/>
      <c r="L9416"/>
    </row>
    <row r="9417" spans="2:12" x14ac:dyDescent="0.2">
      <c r="B9417"/>
      <c r="C9417"/>
      <c r="J9417"/>
      <c r="K9417"/>
      <c r="L9417"/>
    </row>
    <row r="9418" spans="2:12" x14ac:dyDescent="0.2">
      <c r="B9418"/>
      <c r="C9418"/>
      <c r="J9418"/>
      <c r="K9418"/>
      <c r="L9418"/>
    </row>
    <row r="9419" spans="2:12" x14ac:dyDescent="0.2">
      <c r="B9419"/>
      <c r="C9419"/>
      <c r="J9419"/>
      <c r="K9419"/>
      <c r="L9419"/>
    </row>
    <row r="9420" spans="2:12" x14ac:dyDescent="0.2">
      <c r="B9420"/>
      <c r="C9420"/>
      <c r="J9420"/>
      <c r="K9420"/>
      <c r="L9420"/>
    </row>
    <row r="9421" spans="2:12" x14ac:dyDescent="0.2">
      <c r="B9421"/>
      <c r="C9421"/>
      <c r="J9421"/>
      <c r="K9421"/>
      <c r="L9421"/>
    </row>
    <row r="9422" spans="2:12" x14ac:dyDescent="0.2">
      <c r="B9422"/>
      <c r="C9422"/>
      <c r="J9422"/>
      <c r="K9422"/>
      <c r="L9422"/>
    </row>
    <row r="9423" spans="2:12" x14ac:dyDescent="0.2">
      <c r="B9423"/>
      <c r="C9423"/>
      <c r="J9423"/>
      <c r="K9423"/>
      <c r="L9423"/>
    </row>
    <row r="9424" spans="2:12" x14ac:dyDescent="0.2">
      <c r="B9424"/>
      <c r="C9424"/>
      <c r="J9424"/>
      <c r="K9424"/>
      <c r="L9424"/>
    </row>
    <row r="9425" spans="2:12" x14ac:dyDescent="0.2">
      <c r="B9425"/>
      <c r="C9425"/>
      <c r="J9425"/>
      <c r="K9425"/>
      <c r="L9425"/>
    </row>
    <row r="9426" spans="2:12" x14ac:dyDescent="0.2">
      <c r="B9426"/>
      <c r="C9426"/>
      <c r="J9426"/>
      <c r="K9426"/>
      <c r="L9426"/>
    </row>
    <row r="9427" spans="2:12" x14ac:dyDescent="0.2">
      <c r="B9427"/>
      <c r="C9427"/>
      <c r="J9427"/>
      <c r="K9427"/>
      <c r="L9427"/>
    </row>
    <row r="9428" spans="2:12" x14ac:dyDescent="0.2">
      <c r="B9428"/>
      <c r="C9428"/>
      <c r="J9428"/>
      <c r="K9428"/>
      <c r="L9428"/>
    </row>
    <row r="9429" spans="2:12" x14ac:dyDescent="0.2">
      <c r="B9429"/>
      <c r="C9429"/>
      <c r="J9429"/>
      <c r="K9429"/>
      <c r="L9429"/>
    </row>
    <row r="9430" spans="2:12" x14ac:dyDescent="0.2">
      <c r="B9430"/>
      <c r="C9430"/>
      <c r="J9430"/>
      <c r="K9430"/>
      <c r="L9430"/>
    </row>
    <row r="9431" spans="2:12" x14ac:dyDescent="0.2">
      <c r="B9431"/>
      <c r="C9431"/>
      <c r="J9431"/>
      <c r="K9431"/>
      <c r="L9431"/>
    </row>
    <row r="9432" spans="2:12" x14ac:dyDescent="0.2">
      <c r="B9432"/>
      <c r="C9432"/>
      <c r="J9432"/>
      <c r="K9432"/>
      <c r="L9432"/>
    </row>
    <row r="9433" spans="2:12" x14ac:dyDescent="0.2">
      <c r="B9433"/>
      <c r="C9433"/>
      <c r="J9433"/>
      <c r="K9433"/>
      <c r="L9433"/>
    </row>
    <row r="9434" spans="2:12" x14ac:dyDescent="0.2">
      <c r="B9434"/>
      <c r="C9434"/>
      <c r="J9434"/>
      <c r="K9434"/>
      <c r="L9434"/>
    </row>
    <row r="9435" spans="2:12" x14ac:dyDescent="0.2">
      <c r="B9435"/>
      <c r="C9435"/>
      <c r="J9435"/>
      <c r="K9435"/>
      <c r="L9435"/>
    </row>
    <row r="9436" spans="2:12" x14ac:dyDescent="0.2">
      <c r="B9436"/>
      <c r="C9436"/>
      <c r="J9436"/>
      <c r="K9436"/>
      <c r="L9436"/>
    </row>
    <row r="9437" spans="2:12" x14ac:dyDescent="0.2">
      <c r="B9437"/>
      <c r="C9437"/>
      <c r="J9437"/>
      <c r="K9437"/>
      <c r="L9437"/>
    </row>
    <row r="9438" spans="2:12" x14ac:dyDescent="0.2">
      <c r="B9438"/>
      <c r="C9438"/>
      <c r="J9438"/>
      <c r="K9438"/>
      <c r="L9438"/>
    </row>
    <row r="9439" spans="2:12" x14ac:dyDescent="0.2">
      <c r="B9439"/>
      <c r="C9439"/>
      <c r="J9439"/>
      <c r="K9439"/>
      <c r="L9439"/>
    </row>
    <row r="9440" spans="2:12" x14ac:dyDescent="0.2">
      <c r="B9440"/>
      <c r="C9440"/>
      <c r="J9440"/>
      <c r="K9440"/>
      <c r="L9440"/>
    </row>
    <row r="9441" spans="2:12" x14ac:dyDescent="0.2">
      <c r="B9441"/>
      <c r="C9441"/>
      <c r="J9441"/>
      <c r="K9441"/>
      <c r="L9441"/>
    </row>
    <row r="9442" spans="2:12" x14ac:dyDescent="0.2">
      <c r="B9442"/>
      <c r="C9442"/>
      <c r="J9442"/>
      <c r="K9442"/>
      <c r="L9442"/>
    </row>
    <row r="9443" spans="2:12" x14ac:dyDescent="0.2">
      <c r="B9443"/>
      <c r="C9443"/>
      <c r="J9443"/>
      <c r="K9443"/>
      <c r="L9443"/>
    </row>
    <row r="9444" spans="2:12" x14ac:dyDescent="0.2">
      <c r="B9444"/>
      <c r="C9444"/>
      <c r="J9444"/>
      <c r="K9444"/>
      <c r="L9444"/>
    </row>
    <row r="9445" spans="2:12" x14ac:dyDescent="0.2">
      <c r="B9445"/>
      <c r="C9445"/>
      <c r="J9445"/>
      <c r="K9445"/>
      <c r="L9445"/>
    </row>
    <row r="9446" spans="2:12" x14ac:dyDescent="0.2">
      <c r="B9446"/>
      <c r="C9446"/>
      <c r="J9446"/>
      <c r="K9446"/>
      <c r="L9446"/>
    </row>
    <row r="9447" spans="2:12" x14ac:dyDescent="0.2">
      <c r="B9447"/>
      <c r="C9447"/>
      <c r="J9447"/>
      <c r="K9447"/>
      <c r="L9447"/>
    </row>
    <row r="9448" spans="2:12" x14ac:dyDescent="0.2">
      <c r="B9448"/>
      <c r="C9448"/>
      <c r="J9448"/>
      <c r="K9448"/>
      <c r="L9448"/>
    </row>
    <row r="9449" spans="2:12" x14ac:dyDescent="0.2">
      <c r="B9449"/>
      <c r="C9449"/>
      <c r="J9449"/>
      <c r="K9449"/>
      <c r="L9449"/>
    </row>
    <row r="9450" spans="2:12" x14ac:dyDescent="0.2">
      <c r="B9450"/>
      <c r="C9450"/>
      <c r="J9450"/>
      <c r="K9450"/>
      <c r="L9450"/>
    </row>
    <row r="9451" spans="2:12" x14ac:dyDescent="0.2">
      <c r="B9451"/>
      <c r="C9451"/>
      <c r="J9451"/>
      <c r="K9451"/>
      <c r="L9451"/>
    </row>
    <row r="9452" spans="2:12" x14ac:dyDescent="0.2">
      <c r="B9452"/>
      <c r="C9452"/>
      <c r="J9452"/>
      <c r="K9452"/>
      <c r="L9452"/>
    </row>
    <row r="9453" spans="2:12" x14ac:dyDescent="0.2">
      <c r="B9453"/>
      <c r="C9453"/>
      <c r="J9453"/>
      <c r="K9453"/>
      <c r="L9453"/>
    </row>
    <row r="9454" spans="2:12" x14ac:dyDescent="0.2">
      <c r="B9454"/>
      <c r="C9454"/>
      <c r="J9454"/>
      <c r="K9454"/>
      <c r="L9454"/>
    </row>
    <row r="9455" spans="2:12" x14ac:dyDescent="0.2">
      <c r="B9455"/>
      <c r="C9455"/>
      <c r="J9455"/>
      <c r="K9455"/>
      <c r="L9455"/>
    </row>
    <row r="9456" spans="2:12" x14ac:dyDescent="0.2">
      <c r="B9456"/>
      <c r="C9456"/>
      <c r="J9456"/>
      <c r="K9456"/>
      <c r="L9456"/>
    </row>
    <row r="9457" spans="2:12" x14ac:dyDescent="0.2">
      <c r="B9457"/>
      <c r="C9457"/>
      <c r="J9457"/>
      <c r="K9457"/>
      <c r="L9457"/>
    </row>
    <row r="9458" spans="2:12" x14ac:dyDescent="0.2">
      <c r="B9458"/>
      <c r="C9458"/>
      <c r="J9458"/>
      <c r="K9458"/>
      <c r="L9458"/>
    </row>
    <row r="9459" spans="2:12" x14ac:dyDescent="0.2">
      <c r="B9459"/>
      <c r="C9459"/>
      <c r="J9459"/>
      <c r="K9459"/>
      <c r="L9459"/>
    </row>
    <row r="9460" spans="2:12" x14ac:dyDescent="0.2">
      <c r="B9460"/>
      <c r="C9460"/>
      <c r="J9460"/>
      <c r="K9460"/>
      <c r="L9460"/>
    </row>
    <row r="9461" spans="2:12" x14ac:dyDescent="0.2">
      <c r="B9461"/>
      <c r="C9461"/>
      <c r="J9461"/>
      <c r="K9461"/>
      <c r="L9461"/>
    </row>
    <row r="9462" spans="2:12" x14ac:dyDescent="0.2">
      <c r="B9462"/>
      <c r="C9462"/>
      <c r="J9462"/>
      <c r="K9462"/>
      <c r="L9462"/>
    </row>
    <row r="9463" spans="2:12" x14ac:dyDescent="0.2">
      <c r="B9463"/>
      <c r="C9463"/>
      <c r="J9463"/>
      <c r="K9463"/>
      <c r="L9463"/>
    </row>
    <row r="9464" spans="2:12" x14ac:dyDescent="0.2">
      <c r="B9464"/>
      <c r="C9464"/>
      <c r="J9464"/>
      <c r="K9464"/>
      <c r="L9464"/>
    </row>
    <row r="9465" spans="2:12" x14ac:dyDescent="0.2">
      <c r="B9465"/>
      <c r="C9465"/>
      <c r="J9465"/>
      <c r="K9465"/>
      <c r="L9465"/>
    </row>
    <row r="9466" spans="2:12" x14ac:dyDescent="0.2">
      <c r="B9466"/>
      <c r="C9466"/>
      <c r="J9466"/>
      <c r="K9466"/>
      <c r="L9466"/>
    </row>
    <row r="9467" spans="2:12" x14ac:dyDescent="0.2">
      <c r="B9467"/>
      <c r="C9467"/>
      <c r="J9467"/>
      <c r="K9467"/>
      <c r="L9467"/>
    </row>
    <row r="9468" spans="2:12" x14ac:dyDescent="0.2">
      <c r="B9468"/>
      <c r="C9468"/>
      <c r="J9468"/>
      <c r="K9468"/>
      <c r="L9468"/>
    </row>
    <row r="9469" spans="2:12" x14ac:dyDescent="0.2">
      <c r="B9469"/>
      <c r="C9469"/>
      <c r="J9469"/>
      <c r="K9469"/>
      <c r="L9469"/>
    </row>
    <row r="9470" spans="2:12" x14ac:dyDescent="0.2">
      <c r="B9470"/>
      <c r="C9470"/>
      <c r="J9470"/>
      <c r="K9470"/>
      <c r="L9470"/>
    </row>
    <row r="9471" spans="2:12" x14ac:dyDescent="0.2">
      <c r="B9471"/>
      <c r="C9471"/>
      <c r="J9471"/>
      <c r="K9471"/>
      <c r="L9471"/>
    </row>
    <row r="9472" spans="2:12" x14ac:dyDescent="0.2">
      <c r="B9472"/>
      <c r="C9472"/>
      <c r="J9472"/>
      <c r="K9472"/>
      <c r="L9472"/>
    </row>
    <row r="9473" spans="2:12" x14ac:dyDescent="0.2">
      <c r="B9473"/>
      <c r="C9473"/>
      <c r="J9473"/>
      <c r="K9473"/>
      <c r="L9473"/>
    </row>
    <row r="9474" spans="2:12" x14ac:dyDescent="0.2">
      <c r="B9474"/>
      <c r="C9474"/>
      <c r="J9474"/>
      <c r="K9474"/>
      <c r="L9474"/>
    </row>
    <row r="9475" spans="2:12" x14ac:dyDescent="0.2">
      <c r="B9475"/>
      <c r="C9475"/>
      <c r="J9475"/>
      <c r="K9475"/>
      <c r="L9475"/>
    </row>
    <row r="9476" spans="2:12" x14ac:dyDescent="0.2">
      <c r="B9476"/>
      <c r="C9476"/>
      <c r="J9476"/>
      <c r="K9476"/>
      <c r="L9476"/>
    </row>
    <row r="9477" spans="2:12" x14ac:dyDescent="0.2">
      <c r="B9477"/>
      <c r="C9477"/>
      <c r="J9477"/>
      <c r="K9477"/>
      <c r="L9477"/>
    </row>
    <row r="9478" spans="2:12" x14ac:dyDescent="0.2">
      <c r="B9478"/>
      <c r="C9478"/>
      <c r="J9478"/>
      <c r="K9478"/>
      <c r="L9478"/>
    </row>
    <row r="9479" spans="2:12" x14ac:dyDescent="0.2">
      <c r="B9479"/>
      <c r="C9479"/>
      <c r="J9479"/>
      <c r="K9479"/>
      <c r="L9479"/>
    </row>
    <row r="9480" spans="2:12" x14ac:dyDescent="0.2">
      <c r="B9480"/>
      <c r="C9480"/>
      <c r="J9480"/>
      <c r="K9480"/>
      <c r="L9480"/>
    </row>
    <row r="9481" spans="2:12" x14ac:dyDescent="0.2">
      <c r="B9481"/>
      <c r="C9481"/>
      <c r="J9481"/>
      <c r="K9481"/>
      <c r="L9481"/>
    </row>
    <row r="9482" spans="2:12" x14ac:dyDescent="0.2">
      <c r="B9482"/>
      <c r="C9482"/>
      <c r="J9482"/>
      <c r="K9482"/>
      <c r="L9482"/>
    </row>
    <row r="9483" spans="2:12" x14ac:dyDescent="0.2">
      <c r="B9483"/>
      <c r="C9483"/>
      <c r="J9483"/>
      <c r="K9483"/>
      <c r="L9483"/>
    </row>
    <row r="9484" spans="2:12" x14ac:dyDescent="0.2">
      <c r="B9484"/>
      <c r="C9484"/>
      <c r="J9484"/>
      <c r="K9484"/>
      <c r="L9484"/>
    </row>
    <row r="9485" spans="2:12" x14ac:dyDescent="0.2">
      <c r="B9485"/>
      <c r="C9485"/>
      <c r="J9485"/>
      <c r="K9485"/>
      <c r="L9485"/>
    </row>
    <row r="9486" spans="2:12" x14ac:dyDescent="0.2">
      <c r="B9486"/>
      <c r="C9486"/>
      <c r="J9486"/>
      <c r="K9486"/>
      <c r="L9486"/>
    </row>
    <row r="9487" spans="2:12" x14ac:dyDescent="0.2">
      <c r="B9487"/>
      <c r="C9487"/>
      <c r="J9487"/>
      <c r="K9487"/>
      <c r="L9487"/>
    </row>
    <row r="9488" spans="2:12" x14ac:dyDescent="0.2">
      <c r="B9488"/>
      <c r="C9488"/>
      <c r="J9488"/>
      <c r="K9488"/>
      <c r="L9488"/>
    </row>
    <row r="9489" spans="2:12" x14ac:dyDescent="0.2">
      <c r="B9489"/>
      <c r="C9489"/>
      <c r="J9489"/>
      <c r="K9489"/>
      <c r="L9489"/>
    </row>
    <row r="9490" spans="2:12" x14ac:dyDescent="0.2">
      <c r="B9490"/>
      <c r="C9490"/>
      <c r="J9490"/>
      <c r="K9490"/>
      <c r="L9490"/>
    </row>
    <row r="9491" spans="2:12" x14ac:dyDescent="0.2">
      <c r="B9491"/>
      <c r="C9491"/>
      <c r="J9491"/>
      <c r="K9491"/>
      <c r="L9491"/>
    </row>
    <row r="9492" spans="2:12" x14ac:dyDescent="0.2">
      <c r="B9492"/>
      <c r="C9492"/>
      <c r="J9492"/>
      <c r="K9492"/>
      <c r="L9492"/>
    </row>
    <row r="9493" spans="2:12" x14ac:dyDescent="0.2">
      <c r="B9493"/>
      <c r="C9493"/>
      <c r="J9493"/>
      <c r="K9493"/>
      <c r="L9493"/>
    </row>
    <row r="9494" spans="2:12" x14ac:dyDescent="0.2">
      <c r="B9494"/>
      <c r="C9494"/>
      <c r="J9494"/>
      <c r="K9494"/>
      <c r="L9494"/>
    </row>
    <row r="9495" spans="2:12" x14ac:dyDescent="0.2">
      <c r="B9495"/>
      <c r="C9495"/>
      <c r="J9495"/>
      <c r="K9495"/>
      <c r="L9495"/>
    </row>
    <row r="9496" spans="2:12" x14ac:dyDescent="0.2">
      <c r="B9496"/>
      <c r="C9496"/>
      <c r="J9496"/>
      <c r="K9496"/>
      <c r="L9496"/>
    </row>
    <row r="9497" spans="2:12" x14ac:dyDescent="0.2">
      <c r="B9497"/>
      <c r="C9497"/>
      <c r="J9497"/>
      <c r="K9497"/>
      <c r="L9497"/>
    </row>
    <row r="9498" spans="2:12" x14ac:dyDescent="0.2">
      <c r="B9498"/>
      <c r="C9498"/>
      <c r="J9498"/>
      <c r="K9498"/>
      <c r="L9498"/>
    </row>
    <row r="9499" spans="2:12" x14ac:dyDescent="0.2">
      <c r="B9499"/>
      <c r="C9499"/>
      <c r="J9499"/>
      <c r="K9499"/>
      <c r="L9499"/>
    </row>
    <row r="9500" spans="2:12" x14ac:dyDescent="0.2">
      <c r="B9500"/>
      <c r="C9500"/>
      <c r="J9500"/>
      <c r="K9500"/>
      <c r="L9500"/>
    </row>
    <row r="9501" spans="2:12" x14ac:dyDescent="0.2">
      <c r="B9501"/>
      <c r="C9501"/>
      <c r="J9501"/>
      <c r="K9501"/>
      <c r="L9501"/>
    </row>
    <row r="9502" spans="2:12" x14ac:dyDescent="0.2">
      <c r="B9502"/>
      <c r="C9502"/>
      <c r="J9502"/>
      <c r="K9502"/>
      <c r="L9502"/>
    </row>
    <row r="9503" spans="2:12" x14ac:dyDescent="0.2">
      <c r="B9503"/>
      <c r="C9503"/>
      <c r="J9503"/>
      <c r="K9503"/>
      <c r="L9503"/>
    </row>
    <row r="9504" spans="2:12" x14ac:dyDescent="0.2">
      <c r="B9504"/>
      <c r="C9504"/>
      <c r="J9504"/>
      <c r="K9504"/>
      <c r="L9504"/>
    </row>
    <row r="9505" spans="2:12" x14ac:dyDescent="0.2">
      <c r="B9505"/>
      <c r="C9505"/>
      <c r="J9505"/>
      <c r="K9505"/>
      <c r="L9505"/>
    </row>
    <row r="9506" spans="2:12" x14ac:dyDescent="0.2">
      <c r="B9506"/>
      <c r="C9506"/>
      <c r="J9506"/>
      <c r="K9506"/>
      <c r="L9506"/>
    </row>
    <row r="9507" spans="2:12" x14ac:dyDescent="0.2">
      <c r="B9507"/>
      <c r="C9507"/>
      <c r="J9507"/>
      <c r="K9507"/>
      <c r="L9507"/>
    </row>
    <row r="9508" spans="2:12" x14ac:dyDescent="0.2">
      <c r="B9508"/>
      <c r="C9508"/>
      <c r="J9508"/>
      <c r="K9508"/>
      <c r="L9508"/>
    </row>
    <row r="9509" spans="2:12" x14ac:dyDescent="0.2">
      <c r="B9509"/>
      <c r="C9509"/>
      <c r="J9509"/>
      <c r="K9509"/>
      <c r="L9509"/>
    </row>
    <row r="9510" spans="2:12" x14ac:dyDescent="0.2">
      <c r="B9510"/>
      <c r="C9510"/>
      <c r="J9510"/>
      <c r="K9510"/>
      <c r="L9510"/>
    </row>
    <row r="9511" spans="2:12" x14ac:dyDescent="0.2">
      <c r="B9511"/>
      <c r="C9511"/>
      <c r="J9511"/>
      <c r="K9511"/>
      <c r="L9511"/>
    </row>
    <row r="9512" spans="2:12" x14ac:dyDescent="0.2">
      <c r="B9512"/>
      <c r="C9512"/>
      <c r="J9512"/>
      <c r="K9512"/>
      <c r="L9512"/>
    </row>
    <row r="9513" spans="2:12" x14ac:dyDescent="0.2">
      <c r="B9513"/>
      <c r="C9513"/>
      <c r="J9513"/>
      <c r="K9513"/>
      <c r="L9513"/>
    </row>
    <row r="9514" spans="2:12" x14ac:dyDescent="0.2">
      <c r="B9514"/>
      <c r="C9514"/>
      <c r="J9514"/>
      <c r="K9514"/>
      <c r="L9514"/>
    </row>
    <row r="9515" spans="2:12" x14ac:dyDescent="0.2">
      <c r="B9515"/>
      <c r="C9515"/>
      <c r="J9515"/>
      <c r="K9515"/>
      <c r="L9515"/>
    </row>
    <row r="9516" spans="2:12" x14ac:dyDescent="0.2">
      <c r="B9516"/>
      <c r="C9516"/>
      <c r="J9516"/>
      <c r="K9516"/>
      <c r="L9516"/>
    </row>
    <row r="9517" spans="2:12" x14ac:dyDescent="0.2">
      <c r="B9517"/>
      <c r="C9517"/>
      <c r="J9517"/>
      <c r="K9517"/>
      <c r="L9517"/>
    </row>
    <row r="9518" spans="2:12" x14ac:dyDescent="0.2">
      <c r="B9518"/>
      <c r="C9518"/>
      <c r="J9518"/>
      <c r="K9518"/>
      <c r="L9518"/>
    </row>
    <row r="9519" spans="2:12" x14ac:dyDescent="0.2">
      <c r="B9519"/>
      <c r="C9519"/>
      <c r="J9519"/>
      <c r="K9519"/>
      <c r="L9519"/>
    </row>
    <row r="9520" spans="2:12" x14ac:dyDescent="0.2">
      <c r="B9520"/>
      <c r="C9520"/>
      <c r="J9520"/>
      <c r="K9520"/>
      <c r="L9520"/>
    </row>
    <row r="9521" spans="2:12" x14ac:dyDescent="0.2">
      <c r="B9521"/>
      <c r="C9521"/>
      <c r="J9521"/>
      <c r="K9521"/>
      <c r="L9521"/>
    </row>
    <row r="9522" spans="2:12" x14ac:dyDescent="0.2">
      <c r="B9522"/>
      <c r="C9522"/>
      <c r="J9522"/>
      <c r="K9522"/>
      <c r="L9522"/>
    </row>
    <row r="9523" spans="2:12" x14ac:dyDescent="0.2">
      <c r="B9523"/>
      <c r="C9523"/>
      <c r="J9523"/>
      <c r="K9523"/>
      <c r="L9523"/>
    </row>
    <row r="9524" spans="2:12" x14ac:dyDescent="0.2">
      <c r="B9524"/>
      <c r="C9524"/>
      <c r="J9524"/>
      <c r="K9524"/>
      <c r="L9524"/>
    </row>
    <row r="9525" spans="2:12" x14ac:dyDescent="0.2">
      <c r="B9525"/>
      <c r="C9525"/>
      <c r="J9525"/>
      <c r="K9525"/>
      <c r="L9525"/>
    </row>
    <row r="9526" spans="2:12" x14ac:dyDescent="0.2">
      <c r="B9526"/>
      <c r="C9526"/>
      <c r="J9526"/>
      <c r="K9526"/>
      <c r="L9526"/>
    </row>
    <row r="9527" spans="2:12" x14ac:dyDescent="0.2">
      <c r="B9527"/>
      <c r="C9527"/>
      <c r="J9527"/>
      <c r="K9527"/>
      <c r="L9527"/>
    </row>
    <row r="9528" spans="2:12" x14ac:dyDescent="0.2">
      <c r="B9528"/>
      <c r="C9528"/>
      <c r="J9528"/>
      <c r="K9528"/>
      <c r="L9528"/>
    </row>
    <row r="9529" spans="2:12" x14ac:dyDescent="0.2">
      <c r="B9529"/>
      <c r="C9529"/>
      <c r="J9529"/>
      <c r="K9529"/>
      <c r="L9529"/>
    </row>
    <row r="9530" spans="2:12" x14ac:dyDescent="0.2">
      <c r="B9530"/>
      <c r="C9530"/>
      <c r="J9530"/>
      <c r="K9530"/>
      <c r="L9530"/>
    </row>
    <row r="9531" spans="2:12" x14ac:dyDescent="0.2">
      <c r="B9531"/>
      <c r="C9531"/>
      <c r="J9531"/>
      <c r="K9531"/>
      <c r="L9531"/>
    </row>
    <row r="9532" spans="2:12" x14ac:dyDescent="0.2">
      <c r="B9532"/>
      <c r="C9532"/>
      <c r="J9532"/>
      <c r="K9532"/>
      <c r="L9532"/>
    </row>
    <row r="9533" spans="2:12" x14ac:dyDescent="0.2">
      <c r="B9533"/>
      <c r="C9533"/>
      <c r="J9533"/>
      <c r="K9533"/>
      <c r="L9533"/>
    </row>
    <row r="9534" spans="2:12" x14ac:dyDescent="0.2">
      <c r="B9534"/>
      <c r="C9534"/>
      <c r="J9534"/>
      <c r="K9534"/>
      <c r="L9534"/>
    </row>
    <row r="9535" spans="2:12" x14ac:dyDescent="0.2">
      <c r="B9535"/>
      <c r="C9535"/>
      <c r="J9535"/>
      <c r="K9535"/>
      <c r="L9535"/>
    </row>
    <row r="9536" spans="2:12" x14ac:dyDescent="0.2">
      <c r="B9536"/>
      <c r="C9536"/>
      <c r="J9536"/>
      <c r="K9536"/>
      <c r="L9536"/>
    </row>
    <row r="9537" spans="2:12" x14ac:dyDescent="0.2">
      <c r="B9537"/>
      <c r="C9537"/>
      <c r="J9537"/>
      <c r="K9537"/>
      <c r="L9537"/>
    </row>
    <row r="9538" spans="2:12" x14ac:dyDescent="0.2">
      <c r="B9538"/>
      <c r="C9538"/>
      <c r="J9538"/>
      <c r="K9538"/>
      <c r="L9538"/>
    </row>
    <row r="9539" spans="2:12" x14ac:dyDescent="0.2">
      <c r="B9539"/>
      <c r="C9539"/>
      <c r="J9539"/>
      <c r="K9539"/>
      <c r="L9539"/>
    </row>
    <row r="9540" spans="2:12" x14ac:dyDescent="0.2">
      <c r="B9540"/>
      <c r="C9540"/>
      <c r="J9540"/>
      <c r="K9540"/>
      <c r="L9540"/>
    </row>
    <row r="9541" spans="2:12" x14ac:dyDescent="0.2">
      <c r="B9541"/>
      <c r="C9541"/>
      <c r="J9541"/>
      <c r="K9541"/>
      <c r="L9541"/>
    </row>
    <row r="9542" spans="2:12" x14ac:dyDescent="0.2">
      <c r="B9542"/>
      <c r="C9542"/>
      <c r="J9542"/>
      <c r="K9542"/>
      <c r="L9542"/>
    </row>
    <row r="9543" spans="2:12" x14ac:dyDescent="0.2">
      <c r="B9543"/>
      <c r="C9543"/>
      <c r="J9543"/>
      <c r="K9543"/>
      <c r="L9543"/>
    </row>
    <row r="9544" spans="2:12" x14ac:dyDescent="0.2">
      <c r="B9544"/>
      <c r="C9544"/>
      <c r="J9544"/>
      <c r="K9544"/>
      <c r="L9544"/>
    </row>
    <row r="9545" spans="2:12" x14ac:dyDescent="0.2">
      <c r="B9545"/>
      <c r="C9545"/>
      <c r="J9545"/>
      <c r="K9545"/>
      <c r="L9545"/>
    </row>
    <row r="9546" spans="2:12" x14ac:dyDescent="0.2">
      <c r="B9546"/>
      <c r="C9546"/>
      <c r="J9546"/>
      <c r="K9546"/>
      <c r="L9546"/>
    </row>
    <row r="9547" spans="2:12" x14ac:dyDescent="0.2">
      <c r="B9547"/>
      <c r="C9547"/>
      <c r="J9547"/>
      <c r="K9547"/>
      <c r="L9547"/>
    </row>
    <row r="9548" spans="2:12" x14ac:dyDescent="0.2">
      <c r="B9548"/>
      <c r="C9548"/>
      <c r="J9548"/>
      <c r="K9548"/>
      <c r="L9548"/>
    </row>
    <row r="9549" spans="2:12" x14ac:dyDescent="0.2">
      <c r="B9549"/>
      <c r="C9549"/>
      <c r="J9549"/>
      <c r="K9549"/>
      <c r="L9549"/>
    </row>
    <row r="9550" spans="2:12" x14ac:dyDescent="0.2">
      <c r="B9550"/>
      <c r="C9550"/>
      <c r="J9550"/>
      <c r="K9550"/>
      <c r="L9550"/>
    </row>
    <row r="9551" spans="2:12" x14ac:dyDescent="0.2">
      <c r="B9551"/>
      <c r="C9551"/>
      <c r="J9551"/>
      <c r="K9551"/>
      <c r="L9551"/>
    </row>
    <row r="9552" spans="2:12" x14ac:dyDescent="0.2">
      <c r="B9552"/>
      <c r="C9552"/>
      <c r="J9552"/>
      <c r="K9552"/>
      <c r="L9552"/>
    </row>
    <row r="9553" spans="2:12" x14ac:dyDescent="0.2">
      <c r="B9553"/>
      <c r="C9553"/>
      <c r="J9553"/>
      <c r="K9553"/>
      <c r="L9553"/>
    </row>
    <row r="9554" spans="2:12" x14ac:dyDescent="0.2">
      <c r="B9554"/>
      <c r="C9554"/>
      <c r="J9554"/>
      <c r="K9554"/>
      <c r="L9554"/>
    </row>
    <row r="9555" spans="2:12" x14ac:dyDescent="0.2">
      <c r="B9555"/>
      <c r="C9555"/>
      <c r="J9555"/>
      <c r="K9555"/>
      <c r="L9555"/>
    </row>
    <row r="9556" spans="2:12" x14ac:dyDescent="0.2">
      <c r="B9556"/>
      <c r="C9556"/>
      <c r="J9556"/>
      <c r="K9556"/>
      <c r="L9556"/>
    </row>
    <row r="9557" spans="2:12" x14ac:dyDescent="0.2">
      <c r="B9557"/>
      <c r="C9557"/>
      <c r="J9557"/>
      <c r="K9557"/>
      <c r="L9557"/>
    </row>
    <row r="9558" spans="2:12" x14ac:dyDescent="0.2">
      <c r="B9558"/>
      <c r="C9558"/>
      <c r="J9558"/>
      <c r="K9558"/>
      <c r="L9558"/>
    </row>
    <row r="9559" spans="2:12" x14ac:dyDescent="0.2">
      <c r="B9559"/>
      <c r="C9559"/>
      <c r="J9559"/>
      <c r="K9559"/>
      <c r="L9559"/>
    </row>
    <row r="9560" spans="2:12" x14ac:dyDescent="0.2">
      <c r="B9560"/>
      <c r="C9560"/>
      <c r="J9560"/>
      <c r="K9560"/>
      <c r="L9560"/>
    </row>
    <row r="9561" spans="2:12" x14ac:dyDescent="0.2">
      <c r="B9561"/>
      <c r="C9561"/>
      <c r="J9561"/>
      <c r="K9561"/>
      <c r="L9561"/>
    </row>
    <row r="9562" spans="2:12" x14ac:dyDescent="0.2">
      <c r="B9562"/>
      <c r="C9562"/>
      <c r="J9562"/>
      <c r="K9562"/>
      <c r="L9562"/>
    </row>
    <row r="9563" spans="2:12" x14ac:dyDescent="0.2">
      <c r="B9563"/>
      <c r="C9563"/>
      <c r="J9563"/>
      <c r="K9563"/>
      <c r="L9563"/>
    </row>
    <row r="9564" spans="2:12" x14ac:dyDescent="0.2">
      <c r="B9564"/>
      <c r="C9564"/>
      <c r="J9564"/>
      <c r="K9564"/>
      <c r="L9564"/>
    </row>
    <row r="9565" spans="2:12" x14ac:dyDescent="0.2">
      <c r="B9565"/>
      <c r="C9565"/>
      <c r="J9565"/>
      <c r="K9565"/>
      <c r="L9565"/>
    </row>
    <row r="9566" spans="2:12" x14ac:dyDescent="0.2">
      <c r="B9566"/>
      <c r="C9566"/>
      <c r="J9566"/>
      <c r="K9566"/>
      <c r="L9566"/>
    </row>
    <row r="9567" spans="2:12" x14ac:dyDescent="0.2">
      <c r="B9567"/>
      <c r="C9567"/>
      <c r="J9567"/>
      <c r="K9567"/>
      <c r="L9567"/>
    </row>
    <row r="9568" spans="2:12" x14ac:dyDescent="0.2">
      <c r="B9568"/>
      <c r="C9568"/>
      <c r="J9568"/>
      <c r="K9568"/>
      <c r="L9568"/>
    </row>
    <row r="9569" spans="2:12" x14ac:dyDescent="0.2">
      <c r="B9569"/>
      <c r="C9569"/>
      <c r="J9569"/>
      <c r="K9569"/>
      <c r="L9569"/>
    </row>
    <row r="9570" spans="2:12" x14ac:dyDescent="0.2">
      <c r="B9570"/>
      <c r="C9570"/>
      <c r="J9570"/>
      <c r="K9570"/>
      <c r="L9570"/>
    </row>
    <row r="9571" spans="2:12" x14ac:dyDescent="0.2">
      <c r="B9571"/>
      <c r="C9571"/>
      <c r="J9571"/>
      <c r="K9571"/>
      <c r="L9571"/>
    </row>
    <row r="9572" spans="2:12" x14ac:dyDescent="0.2">
      <c r="B9572"/>
      <c r="C9572"/>
      <c r="J9572"/>
      <c r="K9572"/>
      <c r="L9572"/>
    </row>
    <row r="9573" spans="2:12" x14ac:dyDescent="0.2">
      <c r="B9573"/>
      <c r="C9573"/>
      <c r="J9573"/>
      <c r="K9573"/>
      <c r="L9573"/>
    </row>
    <row r="9574" spans="2:12" x14ac:dyDescent="0.2">
      <c r="B9574"/>
      <c r="C9574"/>
      <c r="J9574"/>
      <c r="K9574"/>
      <c r="L9574"/>
    </row>
    <row r="9575" spans="2:12" x14ac:dyDescent="0.2">
      <c r="B9575"/>
      <c r="C9575"/>
      <c r="J9575"/>
      <c r="K9575"/>
      <c r="L9575"/>
    </row>
    <row r="9576" spans="2:12" x14ac:dyDescent="0.2">
      <c r="B9576"/>
      <c r="C9576"/>
      <c r="J9576"/>
      <c r="K9576"/>
      <c r="L9576"/>
    </row>
    <row r="9577" spans="2:12" x14ac:dyDescent="0.2">
      <c r="B9577"/>
      <c r="C9577"/>
      <c r="J9577"/>
      <c r="K9577"/>
      <c r="L9577"/>
    </row>
    <row r="9578" spans="2:12" x14ac:dyDescent="0.2">
      <c r="B9578"/>
      <c r="C9578"/>
      <c r="J9578"/>
      <c r="K9578"/>
      <c r="L9578"/>
    </row>
    <row r="9579" spans="2:12" x14ac:dyDescent="0.2">
      <c r="B9579"/>
      <c r="C9579"/>
      <c r="J9579"/>
      <c r="K9579"/>
      <c r="L9579"/>
    </row>
    <row r="9580" spans="2:12" x14ac:dyDescent="0.2">
      <c r="B9580"/>
      <c r="C9580"/>
      <c r="J9580"/>
      <c r="K9580"/>
      <c r="L9580"/>
    </row>
    <row r="9581" spans="2:12" x14ac:dyDescent="0.2">
      <c r="B9581"/>
      <c r="C9581"/>
      <c r="J9581"/>
      <c r="K9581"/>
      <c r="L9581"/>
    </row>
    <row r="9582" spans="2:12" x14ac:dyDescent="0.2">
      <c r="B9582"/>
      <c r="C9582"/>
      <c r="J9582"/>
      <c r="K9582"/>
      <c r="L9582"/>
    </row>
    <row r="9583" spans="2:12" x14ac:dyDescent="0.2">
      <c r="B9583"/>
      <c r="C9583"/>
      <c r="J9583"/>
      <c r="K9583"/>
      <c r="L9583"/>
    </row>
    <row r="9584" spans="2:12" x14ac:dyDescent="0.2">
      <c r="B9584"/>
      <c r="C9584"/>
      <c r="J9584"/>
      <c r="K9584"/>
      <c r="L9584"/>
    </row>
    <row r="9585" spans="2:12" x14ac:dyDescent="0.2">
      <c r="B9585"/>
      <c r="C9585"/>
      <c r="J9585"/>
      <c r="K9585"/>
      <c r="L9585"/>
    </row>
    <row r="9586" spans="2:12" x14ac:dyDescent="0.2">
      <c r="B9586"/>
      <c r="C9586"/>
      <c r="J9586"/>
      <c r="K9586"/>
      <c r="L9586"/>
    </row>
    <row r="9587" spans="2:12" x14ac:dyDescent="0.2">
      <c r="B9587"/>
      <c r="C9587"/>
      <c r="J9587"/>
      <c r="K9587"/>
      <c r="L9587"/>
    </row>
    <row r="9588" spans="2:12" x14ac:dyDescent="0.2">
      <c r="B9588"/>
      <c r="C9588"/>
      <c r="J9588"/>
      <c r="K9588"/>
      <c r="L9588"/>
    </row>
    <row r="9589" spans="2:12" x14ac:dyDescent="0.2">
      <c r="B9589"/>
      <c r="C9589"/>
      <c r="J9589"/>
      <c r="K9589"/>
      <c r="L9589"/>
    </row>
    <row r="9590" spans="2:12" x14ac:dyDescent="0.2">
      <c r="B9590"/>
      <c r="C9590"/>
      <c r="J9590"/>
      <c r="K9590"/>
      <c r="L9590"/>
    </row>
    <row r="9591" spans="2:12" x14ac:dyDescent="0.2">
      <c r="B9591"/>
      <c r="C9591"/>
      <c r="J9591"/>
      <c r="K9591"/>
      <c r="L9591"/>
    </row>
    <row r="9592" spans="2:12" x14ac:dyDescent="0.2">
      <c r="B9592"/>
      <c r="C9592"/>
      <c r="J9592"/>
      <c r="K9592"/>
      <c r="L9592"/>
    </row>
    <row r="9593" spans="2:12" x14ac:dyDescent="0.2">
      <c r="B9593"/>
      <c r="C9593"/>
      <c r="J9593"/>
      <c r="K9593"/>
      <c r="L9593"/>
    </row>
    <row r="9594" spans="2:12" x14ac:dyDescent="0.2">
      <c r="B9594"/>
      <c r="C9594"/>
      <c r="J9594"/>
      <c r="K9594"/>
      <c r="L9594"/>
    </row>
    <row r="9595" spans="2:12" x14ac:dyDescent="0.2">
      <c r="B9595"/>
      <c r="C9595"/>
      <c r="J9595"/>
      <c r="K9595"/>
      <c r="L9595"/>
    </row>
    <row r="9596" spans="2:12" x14ac:dyDescent="0.2">
      <c r="B9596"/>
      <c r="C9596"/>
      <c r="J9596"/>
      <c r="K9596"/>
      <c r="L9596"/>
    </row>
    <row r="9597" spans="2:12" x14ac:dyDescent="0.2">
      <c r="B9597"/>
      <c r="C9597"/>
      <c r="J9597"/>
      <c r="K9597"/>
      <c r="L9597"/>
    </row>
    <row r="9598" spans="2:12" x14ac:dyDescent="0.2">
      <c r="B9598"/>
      <c r="C9598"/>
      <c r="J9598"/>
      <c r="K9598"/>
      <c r="L9598"/>
    </row>
    <row r="9599" spans="2:12" x14ac:dyDescent="0.2">
      <c r="B9599"/>
      <c r="C9599"/>
      <c r="J9599"/>
      <c r="K9599"/>
      <c r="L9599"/>
    </row>
    <row r="9600" spans="2:12" x14ac:dyDescent="0.2">
      <c r="B9600"/>
      <c r="C9600"/>
      <c r="J9600"/>
      <c r="K9600"/>
      <c r="L9600"/>
    </row>
    <row r="9601" spans="2:12" x14ac:dyDescent="0.2">
      <c r="B9601"/>
      <c r="C9601"/>
      <c r="J9601"/>
      <c r="K9601"/>
      <c r="L9601"/>
    </row>
    <row r="9602" spans="2:12" x14ac:dyDescent="0.2">
      <c r="B9602"/>
      <c r="C9602"/>
      <c r="J9602"/>
      <c r="K9602"/>
      <c r="L9602"/>
    </row>
    <row r="9603" spans="2:12" x14ac:dyDescent="0.2">
      <c r="B9603"/>
      <c r="C9603"/>
      <c r="J9603"/>
      <c r="K9603"/>
      <c r="L9603"/>
    </row>
    <row r="9604" spans="2:12" x14ac:dyDescent="0.2">
      <c r="B9604"/>
      <c r="C9604"/>
      <c r="J9604"/>
      <c r="K9604"/>
      <c r="L9604"/>
    </row>
    <row r="9605" spans="2:12" x14ac:dyDescent="0.2">
      <c r="B9605"/>
      <c r="C9605"/>
      <c r="J9605"/>
      <c r="K9605"/>
      <c r="L9605"/>
    </row>
    <row r="9606" spans="2:12" x14ac:dyDescent="0.2">
      <c r="B9606"/>
      <c r="C9606"/>
      <c r="J9606"/>
      <c r="K9606"/>
      <c r="L9606"/>
    </row>
    <row r="9607" spans="2:12" x14ac:dyDescent="0.2">
      <c r="B9607"/>
      <c r="C9607"/>
      <c r="J9607"/>
      <c r="K9607"/>
      <c r="L9607"/>
    </row>
    <row r="9608" spans="2:12" x14ac:dyDescent="0.2">
      <c r="B9608"/>
      <c r="C9608"/>
      <c r="J9608"/>
      <c r="K9608"/>
      <c r="L9608"/>
    </row>
    <row r="9609" spans="2:12" x14ac:dyDescent="0.2">
      <c r="B9609"/>
      <c r="C9609"/>
      <c r="J9609"/>
      <c r="K9609"/>
      <c r="L9609"/>
    </row>
    <row r="9610" spans="2:12" x14ac:dyDescent="0.2">
      <c r="B9610"/>
      <c r="C9610"/>
      <c r="J9610"/>
      <c r="K9610"/>
      <c r="L9610"/>
    </row>
    <row r="9611" spans="2:12" x14ac:dyDescent="0.2">
      <c r="B9611"/>
      <c r="C9611"/>
      <c r="J9611"/>
      <c r="K9611"/>
      <c r="L9611"/>
    </row>
    <row r="9612" spans="2:12" x14ac:dyDescent="0.2">
      <c r="B9612"/>
      <c r="C9612"/>
      <c r="J9612"/>
      <c r="K9612"/>
      <c r="L9612"/>
    </row>
    <row r="9613" spans="2:12" x14ac:dyDescent="0.2">
      <c r="B9613"/>
      <c r="C9613"/>
      <c r="J9613"/>
      <c r="K9613"/>
      <c r="L9613"/>
    </row>
    <row r="9614" spans="2:12" x14ac:dyDescent="0.2">
      <c r="B9614"/>
      <c r="C9614"/>
      <c r="J9614"/>
      <c r="K9614"/>
      <c r="L9614"/>
    </row>
    <row r="9615" spans="2:12" x14ac:dyDescent="0.2">
      <c r="B9615"/>
      <c r="C9615"/>
      <c r="J9615"/>
      <c r="K9615"/>
      <c r="L9615"/>
    </row>
    <row r="9616" spans="2:12" x14ac:dyDescent="0.2">
      <c r="B9616"/>
      <c r="C9616"/>
      <c r="J9616"/>
      <c r="K9616"/>
      <c r="L9616"/>
    </row>
    <row r="9617" spans="2:12" x14ac:dyDescent="0.2">
      <c r="B9617"/>
      <c r="C9617"/>
      <c r="J9617"/>
      <c r="K9617"/>
      <c r="L9617"/>
    </row>
    <row r="9618" spans="2:12" x14ac:dyDescent="0.2">
      <c r="B9618"/>
      <c r="C9618"/>
      <c r="J9618"/>
      <c r="K9618"/>
      <c r="L9618"/>
    </row>
    <row r="9619" spans="2:12" x14ac:dyDescent="0.2">
      <c r="B9619"/>
      <c r="C9619"/>
      <c r="J9619"/>
      <c r="K9619"/>
      <c r="L9619"/>
    </row>
    <row r="9620" spans="2:12" x14ac:dyDescent="0.2">
      <c r="B9620"/>
      <c r="C9620"/>
      <c r="J9620"/>
      <c r="K9620"/>
      <c r="L9620"/>
    </row>
    <row r="9621" spans="2:12" x14ac:dyDescent="0.2">
      <c r="B9621"/>
      <c r="C9621"/>
      <c r="J9621"/>
      <c r="K9621"/>
      <c r="L9621"/>
    </row>
    <row r="9622" spans="2:12" x14ac:dyDescent="0.2">
      <c r="B9622"/>
      <c r="C9622"/>
      <c r="J9622"/>
      <c r="K9622"/>
      <c r="L9622"/>
    </row>
    <row r="9623" spans="2:12" x14ac:dyDescent="0.2">
      <c r="B9623"/>
      <c r="C9623"/>
      <c r="J9623"/>
      <c r="K9623"/>
      <c r="L9623"/>
    </row>
    <row r="9624" spans="2:12" x14ac:dyDescent="0.2">
      <c r="B9624"/>
      <c r="C9624"/>
      <c r="J9624"/>
      <c r="K9624"/>
      <c r="L9624"/>
    </row>
    <row r="9625" spans="2:12" x14ac:dyDescent="0.2">
      <c r="B9625"/>
      <c r="C9625"/>
      <c r="J9625"/>
      <c r="K9625"/>
      <c r="L9625"/>
    </row>
    <row r="9626" spans="2:12" x14ac:dyDescent="0.2">
      <c r="B9626"/>
      <c r="C9626"/>
      <c r="J9626"/>
      <c r="K9626"/>
      <c r="L9626"/>
    </row>
    <row r="9627" spans="2:12" x14ac:dyDescent="0.2">
      <c r="B9627"/>
      <c r="C9627"/>
      <c r="J9627"/>
      <c r="K9627"/>
      <c r="L9627"/>
    </row>
    <row r="9628" spans="2:12" x14ac:dyDescent="0.2">
      <c r="B9628"/>
      <c r="C9628"/>
      <c r="J9628"/>
      <c r="K9628"/>
      <c r="L9628"/>
    </row>
    <row r="9629" spans="2:12" x14ac:dyDescent="0.2">
      <c r="B9629"/>
      <c r="C9629"/>
      <c r="J9629"/>
      <c r="K9629"/>
      <c r="L9629"/>
    </row>
    <row r="9630" spans="2:12" x14ac:dyDescent="0.2">
      <c r="B9630"/>
      <c r="C9630"/>
      <c r="J9630"/>
      <c r="K9630"/>
      <c r="L9630"/>
    </row>
    <row r="9631" spans="2:12" x14ac:dyDescent="0.2">
      <c r="B9631"/>
      <c r="C9631"/>
      <c r="J9631"/>
      <c r="K9631"/>
      <c r="L9631"/>
    </row>
    <row r="9632" spans="2:12" x14ac:dyDescent="0.2">
      <c r="B9632"/>
      <c r="C9632"/>
      <c r="J9632"/>
      <c r="K9632"/>
      <c r="L9632"/>
    </row>
    <row r="9633" spans="2:12" x14ac:dyDescent="0.2">
      <c r="B9633"/>
      <c r="C9633"/>
      <c r="J9633"/>
      <c r="K9633"/>
      <c r="L9633"/>
    </row>
    <row r="9634" spans="2:12" x14ac:dyDescent="0.2">
      <c r="B9634"/>
      <c r="C9634"/>
      <c r="J9634"/>
      <c r="K9634"/>
      <c r="L9634"/>
    </row>
    <row r="9635" spans="2:12" x14ac:dyDescent="0.2">
      <c r="B9635"/>
      <c r="C9635"/>
      <c r="J9635"/>
      <c r="K9635"/>
      <c r="L9635"/>
    </row>
    <row r="9636" spans="2:12" x14ac:dyDescent="0.2">
      <c r="B9636"/>
      <c r="C9636"/>
      <c r="J9636"/>
      <c r="K9636"/>
      <c r="L9636"/>
    </row>
    <row r="9637" spans="2:12" x14ac:dyDescent="0.2">
      <c r="B9637"/>
      <c r="C9637"/>
      <c r="J9637"/>
      <c r="K9637"/>
      <c r="L9637"/>
    </row>
    <row r="9638" spans="2:12" x14ac:dyDescent="0.2">
      <c r="B9638"/>
      <c r="C9638"/>
      <c r="J9638"/>
      <c r="K9638"/>
      <c r="L9638"/>
    </row>
    <row r="9639" spans="2:12" x14ac:dyDescent="0.2">
      <c r="B9639"/>
      <c r="C9639"/>
      <c r="J9639"/>
      <c r="K9639"/>
      <c r="L9639"/>
    </row>
    <row r="9640" spans="2:12" x14ac:dyDescent="0.2">
      <c r="B9640"/>
      <c r="C9640"/>
      <c r="J9640"/>
      <c r="K9640"/>
      <c r="L9640"/>
    </row>
    <row r="9641" spans="2:12" x14ac:dyDescent="0.2">
      <c r="B9641"/>
      <c r="C9641"/>
      <c r="J9641"/>
      <c r="K9641"/>
      <c r="L9641"/>
    </row>
    <row r="9642" spans="2:12" x14ac:dyDescent="0.2">
      <c r="B9642"/>
      <c r="C9642"/>
      <c r="J9642"/>
      <c r="K9642"/>
      <c r="L9642"/>
    </row>
    <row r="9643" spans="2:12" x14ac:dyDescent="0.2">
      <c r="B9643"/>
      <c r="C9643"/>
      <c r="J9643"/>
      <c r="K9643"/>
      <c r="L9643"/>
    </row>
    <row r="9644" spans="2:12" x14ac:dyDescent="0.2">
      <c r="B9644"/>
      <c r="C9644"/>
      <c r="J9644"/>
      <c r="K9644"/>
      <c r="L9644"/>
    </row>
    <row r="9645" spans="2:12" x14ac:dyDescent="0.2">
      <c r="B9645"/>
      <c r="C9645"/>
      <c r="J9645"/>
      <c r="K9645"/>
      <c r="L9645"/>
    </row>
    <row r="9646" spans="2:12" x14ac:dyDescent="0.2">
      <c r="B9646"/>
      <c r="C9646"/>
      <c r="J9646"/>
      <c r="K9646"/>
      <c r="L9646"/>
    </row>
    <row r="9647" spans="2:12" x14ac:dyDescent="0.2">
      <c r="B9647"/>
      <c r="C9647"/>
      <c r="J9647"/>
      <c r="K9647"/>
      <c r="L9647"/>
    </row>
    <row r="9648" spans="2:12" x14ac:dyDescent="0.2">
      <c r="B9648"/>
      <c r="C9648"/>
      <c r="J9648"/>
      <c r="K9648"/>
      <c r="L9648"/>
    </row>
    <row r="9649" spans="2:12" x14ac:dyDescent="0.2">
      <c r="B9649"/>
      <c r="C9649"/>
      <c r="J9649"/>
      <c r="K9649"/>
      <c r="L9649"/>
    </row>
    <row r="9650" spans="2:12" x14ac:dyDescent="0.2">
      <c r="B9650"/>
      <c r="C9650"/>
      <c r="J9650"/>
      <c r="K9650"/>
      <c r="L9650"/>
    </row>
    <row r="9651" spans="2:12" x14ac:dyDescent="0.2">
      <c r="B9651"/>
      <c r="C9651"/>
      <c r="J9651"/>
      <c r="K9651"/>
      <c r="L9651"/>
    </row>
    <row r="9652" spans="2:12" x14ac:dyDescent="0.2">
      <c r="B9652"/>
      <c r="C9652"/>
      <c r="J9652"/>
      <c r="K9652"/>
      <c r="L9652"/>
    </row>
    <row r="9653" spans="2:12" x14ac:dyDescent="0.2">
      <c r="B9653"/>
      <c r="C9653"/>
      <c r="J9653"/>
      <c r="K9653"/>
      <c r="L9653"/>
    </row>
    <row r="9654" spans="2:12" x14ac:dyDescent="0.2">
      <c r="B9654"/>
      <c r="C9654"/>
      <c r="J9654"/>
      <c r="K9654"/>
      <c r="L9654"/>
    </row>
    <row r="9655" spans="2:12" x14ac:dyDescent="0.2">
      <c r="B9655"/>
      <c r="C9655"/>
      <c r="J9655"/>
      <c r="K9655"/>
      <c r="L9655"/>
    </row>
    <row r="9656" spans="2:12" x14ac:dyDescent="0.2">
      <c r="B9656"/>
      <c r="C9656"/>
      <c r="J9656"/>
      <c r="K9656"/>
      <c r="L9656"/>
    </row>
    <row r="9657" spans="2:12" x14ac:dyDescent="0.2">
      <c r="B9657"/>
      <c r="C9657"/>
      <c r="J9657"/>
      <c r="K9657"/>
      <c r="L9657"/>
    </row>
    <row r="9658" spans="2:12" x14ac:dyDescent="0.2">
      <c r="B9658"/>
      <c r="C9658"/>
      <c r="J9658"/>
      <c r="K9658"/>
      <c r="L9658"/>
    </row>
    <row r="9659" spans="2:12" x14ac:dyDescent="0.2">
      <c r="B9659"/>
      <c r="C9659"/>
      <c r="J9659"/>
      <c r="K9659"/>
      <c r="L9659"/>
    </row>
    <row r="9660" spans="2:12" x14ac:dyDescent="0.2">
      <c r="B9660"/>
      <c r="C9660"/>
      <c r="J9660"/>
      <c r="K9660"/>
      <c r="L9660"/>
    </row>
    <row r="9661" spans="2:12" x14ac:dyDescent="0.2">
      <c r="B9661"/>
      <c r="C9661"/>
      <c r="J9661"/>
      <c r="K9661"/>
      <c r="L9661"/>
    </row>
    <row r="9662" spans="2:12" x14ac:dyDescent="0.2">
      <c r="B9662"/>
      <c r="C9662"/>
      <c r="J9662"/>
      <c r="K9662"/>
      <c r="L9662"/>
    </row>
    <row r="9663" spans="2:12" x14ac:dyDescent="0.2">
      <c r="B9663"/>
      <c r="C9663"/>
      <c r="J9663"/>
      <c r="K9663"/>
      <c r="L9663"/>
    </row>
    <row r="9664" spans="2:12" x14ac:dyDescent="0.2">
      <c r="B9664"/>
      <c r="C9664"/>
      <c r="J9664"/>
      <c r="K9664"/>
      <c r="L9664"/>
    </row>
    <row r="9665" spans="2:12" x14ac:dyDescent="0.2">
      <c r="B9665"/>
      <c r="C9665"/>
      <c r="J9665"/>
      <c r="K9665"/>
      <c r="L9665"/>
    </row>
    <row r="9666" spans="2:12" x14ac:dyDescent="0.2">
      <c r="B9666"/>
      <c r="C9666"/>
      <c r="J9666"/>
      <c r="K9666"/>
      <c r="L9666"/>
    </row>
    <row r="9667" spans="2:12" x14ac:dyDescent="0.2">
      <c r="B9667"/>
      <c r="C9667"/>
      <c r="J9667"/>
      <c r="K9667"/>
      <c r="L9667"/>
    </row>
    <row r="9668" spans="2:12" x14ac:dyDescent="0.2">
      <c r="B9668"/>
      <c r="C9668"/>
      <c r="J9668"/>
      <c r="K9668"/>
      <c r="L9668"/>
    </row>
    <row r="9669" spans="2:12" x14ac:dyDescent="0.2">
      <c r="B9669"/>
      <c r="C9669"/>
      <c r="J9669"/>
      <c r="K9669"/>
      <c r="L9669"/>
    </row>
    <row r="9670" spans="2:12" x14ac:dyDescent="0.2">
      <c r="B9670"/>
      <c r="C9670"/>
      <c r="J9670"/>
      <c r="K9670"/>
      <c r="L9670"/>
    </row>
    <row r="9671" spans="2:12" x14ac:dyDescent="0.2">
      <c r="B9671"/>
      <c r="C9671"/>
      <c r="J9671"/>
      <c r="K9671"/>
      <c r="L9671"/>
    </row>
    <row r="9672" spans="2:12" x14ac:dyDescent="0.2">
      <c r="B9672"/>
      <c r="C9672"/>
      <c r="J9672"/>
      <c r="K9672"/>
      <c r="L9672"/>
    </row>
    <row r="9673" spans="2:12" x14ac:dyDescent="0.2">
      <c r="B9673"/>
      <c r="C9673"/>
      <c r="J9673"/>
      <c r="K9673"/>
      <c r="L9673"/>
    </row>
    <row r="9674" spans="2:12" x14ac:dyDescent="0.2">
      <c r="B9674"/>
      <c r="C9674"/>
      <c r="J9674"/>
      <c r="K9674"/>
      <c r="L9674"/>
    </row>
    <row r="9675" spans="2:12" x14ac:dyDescent="0.2">
      <c r="B9675"/>
      <c r="C9675"/>
      <c r="J9675"/>
      <c r="K9675"/>
      <c r="L9675"/>
    </row>
    <row r="9676" spans="2:12" x14ac:dyDescent="0.2">
      <c r="B9676"/>
      <c r="C9676"/>
      <c r="J9676"/>
      <c r="K9676"/>
      <c r="L9676"/>
    </row>
    <row r="9677" spans="2:12" x14ac:dyDescent="0.2">
      <c r="B9677"/>
      <c r="C9677"/>
      <c r="J9677"/>
      <c r="K9677"/>
      <c r="L9677"/>
    </row>
    <row r="9678" spans="2:12" x14ac:dyDescent="0.2">
      <c r="B9678"/>
      <c r="C9678"/>
      <c r="J9678"/>
      <c r="K9678"/>
      <c r="L9678"/>
    </row>
    <row r="9679" spans="2:12" x14ac:dyDescent="0.2">
      <c r="B9679"/>
      <c r="C9679"/>
      <c r="J9679"/>
      <c r="K9679"/>
      <c r="L9679"/>
    </row>
    <row r="9680" spans="2:12" x14ac:dyDescent="0.2">
      <c r="B9680"/>
      <c r="C9680"/>
      <c r="J9680"/>
      <c r="K9680"/>
      <c r="L9680"/>
    </row>
    <row r="9681" spans="2:12" x14ac:dyDescent="0.2">
      <c r="B9681"/>
      <c r="C9681"/>
      <c r="J9681"/>
      <c r="K9681"/>
      <c r="L9681"/>
    </row>
    <row r="9682" spans="2:12" x14ac:dyDescent="0.2">
      <c r="B9682"/>
      <c r="C9682"/>
      <c r="J9682"/>
      <c r="K9682"/>
      <c r="L9682"/>
    </row>
    <row r="9683" spans="2:12" x14ac:dyDescent="0.2">
      <c r="B9683"/>
      <c r="C9683"/>
      <c r="J9683"/>
      <c r="K9683"/>
      <c r="L9683"/>
    </row>
    <row r="9684" spans="2:12" x14ac:dyDescent="0.2">
      <c r="B9684"/>
      <c r="C9684"/>
      <c r="J9684"/>
      <c r="K9684"/>
      <c r="L9684"/>
    </row>
    <row r="9685" spans="2:12" x14ac:dyDescent="0.2">
      <c r="B9685"/>
      <c r="C9685"/>
      <c r="J9685"/>
      <c r="K9685"/>
      <c r="L9685"/>
    </row>
    <row r="9686" spans="2:12" x14ac:dyDescent="0.2">
      <c r="B9686"/>
      <c r="C9686"/>
      <c r="J9686"/>
      <c r="K9686"/>
      <c r="L9686"/>
    </row>
    <row r="9687" spans="2:12" x14ac:dyDescent="0.2">
      <c r="B9687"/>
      <c r="C9687"/>
      <c r="J9687"/>
      <c r="K9687"/>
      <c r="L9687"/>
    </row>
    <row r="9688" spans="2:12" x14ac:dyDescent="0.2">
      <c r="B9688"/>
      <c r="C9688"/>
      <c r="J9688"/>
      <c r="K9688"/>
      <c r="L9688"/>
    </row>
    <row r="9689" spans="2:12" x14ac:dyDescent="0.2">
      <c r="B9689"/>
      <c r="C9689"/>
      <c r="J9689"/>
      <c r="K9689"/>
      <c r="L9689"/>
    </row>
    <row r="9690" spans="2:12" x14ac:dyDescent="0.2">
      <c r="B9690"/>
      <c r="C9690"/>
      <c r="J9690"/>
      <c r="K9690"/>
      <c r="L9690"/>
    </row>
    <row r="9691" spans="2:12" x14ac:dyDescent="0.2">
      <c r="B9691"/>
      <c r="C9691"/>
      <c r="J9691"/>
      <c r="K9691"/>
      <c r="L9691"/>
    </row>
    <row r="9692" spans="2:12" x14ac:dyDescent="0.2">
      <c r="B9692"/>
      <c r="C9692"/>
      <c r="J9692"/>
      <c r="K9692"/>
      <c r="L9692"/>
    </row>
    <row r="9693" spans="2:12" x14ac:dyDescent="0.2">
      <c r="B9693"/>
      <c r="C9693"/>
      <c r="J9693"/>
      <c r="K9693"/>
      <c r="L9693"/>
    </row>
    <row r="9694" spans="2:12" x14ac:dyDescent="0.2">
      <c r="B9694"/>
      <c r="C9694"/>
      <c r="J9694"/>
      <c r="K9694"/>
      <c r="L9694"/>
    </row>
    <row r="9695" spans="2:12" x14ac:dyDescent="0.2">
      <c r="B9695"/>
      <c r="C9695"/>
      <c r="J9695"/>
      <c r="K9695"/>
      <c r="L9695"/>
    </row>
    <row r="9696" spans="2:12" x14ac:dyDescent="0.2">
      <c r="B9696"/>
      <c r="C9696"/>
      <c r="J9696"/>
      <c r="K9696"/>
      <c r="L9696"/>
    </row>
    <row r="9697" spans="2:12" x14ac:dyDescent="0.2">
      <c r="B9697"/>
      <c r="C9697"/>
      <c r="J9697"/>
      <c r="K9697"/>
      <c r="L9697"/>
    </row>
    <row r="9698" spans="2:12" x14ac:dyDescent="0.2">
      <c r="B9698"/>
      <c r="C9698"/>
      <c r="J9698"/>
      <c r="K9698"/>
      <c r="L9698"/>
    </row>
    <row r="9699" spans="2:12" x14ac:dyDescent="0.2">
      <c r="B9699"/>
      <c r="C9699"/>
      <c r="J9699"/>
      <c r="K9699"/>
      <c r="L9699"/>
    </row>
    <row r="9700" spans="2:12" x14ac:dyDescent="0.2">
      <c r="B9700"/>
      <c r="C9700"/>
      <c r="J9700"/>
      <c r="K9700"/>
      <c r="L9700"/>
    </row>
    <row r="9701" spans="2:12" x14ac:dyDescent="0.2">
      <c r="B9701"/>
      <c r="C9701"/>
      <c r="J9701"/>
      <c r="K9701"/>
      <c r="L9701"/>
    </row>
    <row r="9702" spans="2:12" x14ac:dyDescent="0.2">
      <c r="B9702"/>
      <c r="C9702"/>
      <c r="J9702"/>
      <c r="K9702"/>
      <c r="L9702"/>
    </row>
    <row r="9703" spans="2:12" x14ac:dyDescent="0.2">
      <c r="B9703"/>
      <c r="C9703"/>
      <c r="J9703"/>
      <c r="K9703"/>
      <c r="L9703"/>
    </row>
    <row r="9704" spans="2:12" x14ac:dyDescent="0.2">
      <c r="B9704"/>
      <c r="C9704"/>
      <c r="J9704"/>
      <c r="K9704"/>
      <c r="L9704"/>
    </row>
    <row r="9705" spans="2:12" x14ac:dyDescent="0.2">
      <c r="B9705"/>
      <c r="C9705"/>
      <c r="J9705"/>
      <c r="K9705"/>
      <c r="L9705"/>
    </row>
    <row r="9706" spans="2:12" x14ac:dyDescent="0.2">
      <c r="B9706"/>
      <c r="C9706"/>
      <c r="J9706"/>
      <c r="K9706"/>
      <c r="L9706"/>
    </row>
    <row r="9707" spans="2:12" x14ac:dyDescent="0.2">
      <c r="B9707"/>
      <c r="C9707"/>
      <c r="J9707"/>
      <c r="K9707"/>
      <c r="L9707"/>
    </row>
    <row r="9708" spans="2:12" x14ac:dyDescent="0.2">
      <c r="B9708"/>
      <c r="C9708"/>
      <c r="J9708"/>
      <c r="K9708"/>
      <c r="L9708"/>
    </row>
    <row r="9709" spans="2:12" x14ac:dyDescent="0.2">
      <c r="B9709"/>
      <c r="C9709"/>
      <c r="J9709"/>
      <c r="K9709"/>
      <c r="L9709"/>
    </row>
    <row r="9710" spans="2:12" x14ac:dyDescent="0.2">
      <c r="B9710"/>
      <c r="C9710"/>
      <c r="J9710"/>
      <c r="K9710"/>
      <c r="L9710"/>
    </row>
    <row r="9711" spans="2:12" x14ac:dyDescent="0.2">
      <c r="B9711"/>
      <c r="C9711"/>
      <c r="J9711"/>
      <c r="K9711"/>
      <c r="L9711"/>
    </row>
    <row r="9712" spans="2:12" x14ac:dyDescent="0.2">
      <c r="B9712"/>
      <c r="C9712"/>
      <c r="J9712"/>
      <c r="K9712"/>
      <c r="L9712"/>
    </row>
    <row r="9713" spans="2:12" x14ac:dyDescent="0.2">
      <c r="B9713"/>
      <c r="C9713"/>
      <c r="J9713"/>
      <c r="K9713"/>
      <c r="L9713"/>
    </row>
    <row r="9714" spans="2:12" x14ac:dyDescent="0.2">
      <c r="B9714"/>
      <c r="C9714"/>
      <c r="J9714"/>
      <c r="K9714"/>
      <c r="L9714"/>
    </row>
    <row r="9715" spans="2:12" x14ac:dyDescent="0.2">
      <c r="B9715"/>
      <c r="C9715"/>
      <c r="J9715"/>
      <c r="K9715"/>
      <c r="L9715"/>
    </row>
    <row r="9716" spans="2:12" x14ac:dyDescent="0.2">
      <c r="B9716"/>
      <c r="C9716"/>
      <c r="J9716"/>
      <c r="K9716"/>
      <c r="L9716"/>
    </row>
    <row r="9717" spans="2:12" x14ac:dyDescent="0.2">
      <c r="B9717"/>
      <c r="C9717"/>
      <c r="J9717"/>
      <c r="K9717"/>
      <c r="L9717"/>
    </row>
    <row r="9718" spans="2:12" x14ac:dyDescent="0.2">
      <c r="B9718"/>
      <c r="C9718"/>
      <c r="J9718"/>
      <c r="K9718"/>
      <c r="L9718"/>
    </row>
    <row r="9719" spans="2:12" x14ac:dyDescent="0.2">
      <c r="B9719"/>
      <c r="C9719"/>
      <c r="J9719"/>
      <c r="K9719"/>
      <c r="L9719"/>
    </row>
    <row r="9720" spans="2:12" x14ac:dyDescent="0.2">
      <c r="B9720"/>
      <c r="C9720"/>
      <c r="J9720"/>
      <c r="K9720"/>
      <c r="L9720"/>
    </row>
    <row r="9721" spans="2:12" x14ac:dyDescent="0.2">
      <c r="B9721"/>
      <c r="C9721"/>
      <c r="J9721"/>
      <c r="K9721"/>
      <c r="L9721"/>
    </row>
    <row r="9722" spans="2:12" x14ac:dyDescent="0.2">
      <c r="B9722"/>
      <c r="C9722"/>
      <c r="J9722"/>
      <c r="K9722"/>
      <c r="L9722"/>
    </row>
    <row r="9723" spans="2:12" x14ac:dyDescent="0.2">
      <c r="B9723"/>
      <c r="C9723"/>
      <c r="J9723"/>
      <c r="K9723"/>
      <c r="L9723"/>
    </row>
    <row r="9724" spans="2:12" x14ac:dyDescent="0.2">
      <c r="B9724"/>
      <c r="C9724"/>
      <c r="J9724"/>
      <c r="K9724"/>
      <c r="L9724"/>
    </row>
    <row r="9725" spans="2:12" x14ac:dyDescent="0.2">
      <c r="B9725"/>
      <c r="C9725"/>
      <c r="J9725"/>
      <c r="K9725"/>
      <c r="L9725"/>
    </row>
    <row r="9726" spans="2:12" x14ac:dyDescent="0.2">
      <c r="B9726"/>
      <c r="C9726"/>
      <c r="J9726"/>
      <c r="K9726"/>
      <c r="L9726"/>
    </row>
    <row r="9727" spans="2:12" x14ac:dyDescent="0.2">
      <c r="B9727"/>
      <c r="C9727"/>
      <c r="J9727"/>
      <c r="K9727"/>
      <c r="L9727"/>
    </row>
    <row r="9728" spans="2:12" x14ac:dyDescent="0.2">
      <c r="B9728"/>
      <c r="C9728"/>
      <c r="J9728"/>
      <c r="K9728"/>
      <c r="L9728"/>
    </row>
    <row r="9729" spans="2:12" x14ac:dyDescent="0.2">
      <c r="B9729"/>
      <c r="C9729"/>
      <c r="J9729"/>
      <c r="K9729"/>
      <c r="L9729"/>
    </row>
    <row r="9730" spans="2:12" x14ac:dyDescent="0.2">
      <c r="B9730"/>
      <c r="C9730"/>
      <c r="J9730"/>
      <c r="K9730"/>
      <c r="L9730"/>
    </row>
    <row r="9731" spans="2:12" x14ac:dyDescent="0.2">
      <c r="B9731"/>
      <c r="C9731"/>
      <c r="J9731"/>
      <c r="K9731"/>
      <c r="L9731"/>
    </row>
    <row r="9732" spans="2:12" x14ac:dyDescent="0.2">
      <c r="B9732"/>
      <c r="C9732"/>
      <c r="J9732"/>
      <c r="K9732"/>
      <c r="L9732"/>
    </row>
    <row r="9733" spans="2:12" x14ac:dyDescent="0.2">
      <c r="B9733"/>
      <c r="C9733"/>
      <c r="J9733"/>
      <c r="K9733"/>
      <c r="L9733"/>
    </row>
    <row r="9734" spans="2:12" x14ac:dyDescent="0.2">
      <c r="B9734"/>
      <c r="C9734"/>
      <c r="J9734"/>
      <c r="K9734"/>
      <c r="L9734"/>
    </row>
    <row r="9735" spans="2:12" x14ac:dyDescent="0.2">
      <c r="B9735"/>
      <c r="C9735"/>
      <c r="J9735"/>
      <c r="K9735"/>
      <c r="L9735"/>
    </row>
    <row r="9736" spans="2:12" x14ac:dyDescent="0.2">
      <c r="B9736"/>
      <c r="C9736"/>
      <c r="J9736"/>
      <c r="K9736"/>
      <c r="L9736"/>
    </row>
    <row r="9737" spans="2:12" x14ac:dyDescent="0.2">
      <c r="B9737"/>
      <c r="C9737"/>
      <c r="J9737"/>
      <c r="K9737"/>
      <c r="L9737"/>
    </row>
    <row r="9738" spans="2:12" x14ac:dyDescent="0.2">
      <c r="B9738"/>
      <c r="C9738"/>
      <c r="J9738"/>
      <c r="K9738"/>
      <c r="L9738"/>
    </row>
    <row r="9739" spans="2:12" x14ac:dyDescent="0.2">
      <c r="B9739"/>
      <c r="C9739"/>
      <c r="J9739"/>
      <c r="K9739"/>
      <c r="L9739"/>
    </row>
    <row r="9740" spans="2:12" x14ac:dyDescent="0.2">
      <c r="B9740"/>
      <c r="C9740"/>
      <c r="J9740"/>
      <c r="K9740"/>
      <c r="L9740"/>
    </row>
    <row r="9741" spans="2:12" x14ac:dyDescent="0.2">
      <c r="B9741"/>
      <c r="C9741"/>
      <c r="J9741"/>
      <c r="K9741"/>
      <c r="L9741"/>
    </row>
    <row r="9742" spans="2:12" x14ac:dyDescent="0.2">
      <c r="B9742"/>
      <c r="C9742"/>
      <c r="J9742"/>
      <c r="K9742"/>
      <c r="L9742"/>
    </row>
    <row r="9743" spans="2:12" x14ac:dyDescent="0.2">
      <c r="B9743"/>
      <c r="C9743"/>
      <c r="J9743"/>
      <c r="K9743"/>
      <c r="L9743"/>
    </row>
    <row r="9744" spans="2:12" x14ac:dyDescent="0.2">
      <c r="B9744"/>
      <c r="C9744"/>
      <c r="J9744"/>
      <c r="K9744"/>
      <c r="L9744"/>
    </row>
    <row r="9745" spans="2:12" x14ac:dyDescent="0.2">
      <c r="B9745"/>
      <c r="C9745"/>
      <c r="J9745"/>
      <c r="K9745"/>
      <c r="L9745"/>
    </row>
    <row r="9746" spans="2:12" x14ac:dyDescent="0.2">
      <c r="B9746"/>
      <c r="C9746"/>
      <c r="J9746"/>
      <c r="K9746"/>
      <c r="L9746"/>
    </row>
    <row r="9747" spans="2:12" x14ac:dyDescent="0.2">
      <c r="B9747"/>
      <c r="C9747"/>
      <c r="J9747"/>
      <c r="K9747"/>
      <c r="L9747"/>
    </row>
    <row r="9748" spans="2:12" x14ac:dyDescent="0.2">
      <c r="B9748"/>
      <c r="C9748"/>
      <c r="J9748"/>
      <c r="K9748"/>
      <c r="L9748"/>
    </row>
    <row r="9749" spans="2:12" x14ac:dyDescent="0.2">
      <c r="B9749"/>
      <c r="C9749"/>
      <c r="J9749"/>
      <c r="K9749"/>
      <c r="L9749"/>
    </row>
    <row r="9750" spans="2:12" x14ac:dyDescent="0.2">
      <c r="B9750"/>
      <c r="C9750"/>
      <c r="J9750"/>
      <c r="K9750"/>
      <c r="L9750"/>
    </row>
    <row r="9751" spans="2:12" x14ac:dyDescent="0.2">
      <c r="B9751"/>
      <c r="C9751"/>
      <c r="J9751"/>
      <c r="K9751"/>
      <c r="L9751"/>
    </row>
    <row r="9752" spans="2:12" x14ac:dyDescent="0.2">
      <c r="B9752"/>
      <c r="C9752"/>
      <c r="J9752"/>
      <c r="K9752"/>
      <c r="L9752"/>
    </row>
    <row r="9753" spans="2:12" x14ac:dyDescent="0.2">
      <c r="B9753"/>
      <c r="C9753"/>
      <c r="J9753"/>
      <c r="K9753"/>
      <c r="L9753"/>
    </row>
    <row r="9754" spans="2:12" x14ac:dyDescent="0.2">
      <c r="B9754"/>
      <c r="C9754"/>
      <c r="J9754"/>
      <c r="K9754"/>
      <c r="L9754"/>
    </row>
    <row r="9755" spans="2:12" x14ac:dyDescent="0.2">
      <c r="B9755"/>
      <c r="C9755"/>
      <c r="J9755"/>
      <c r="K9755"/>
      <c r="L9755"/>
    </row>
    <row r="9756" spans="2:12" x14ac:dyDescent="0.2">
      <c r="B9756"/>
      <c r="C9756"/>
      <c r="J9756"/>
      <c r="K9756"/>
      <c r="L9756"/>
    </row>
    <row r="9757" spans="2:12" x14ac:dyDescent="0.2">
      <c r="B9757"/>
      <c r="C9757"/>
      <c r="J9757"/>
      <c r="K9757"/>
      <c r="L9757"/>
    </row>
    <row r="9758" spans="2:12" x14ac:dyDescent="0.2">
      <c r="B9758"/>
      <c r="C9758"/>
      <c r="J9758"/>
      <c r="K9758"/>
      <c r="L9758"/>
    </row>
    <row r="9759" spans="2:12" x14ac:dyDescent="0.2">
      <c r="B9759"/>
      <c r="C9759"/>
      <c r="J9759"/>
      <c r="K9759"/>
      <c r="L9759"/>
    </row>
    <row r="9760" spans="2:12" x14ac:dyDescent="0.2">
      <c r="B9760"/>
      <c r="C9760"/>
      <c r="J9760"/>
      <c r="K9760"/>
      <c r="L9760"/>
    </row>
    <row r="9761" spans="2:12" x14ac:dyDescent="0.2">
      <c r="B9761"/>
      <c r="C9761"/>
      <c r="J9761"/>
      <c r="K9761"/>
      <c r="L9761"/>
    </row>
    <row r="9762" spans="2:12" x14ac:dyDescent="0.2">
      <c r="B9762"/>
      <c r="C9762"/>
      <c r="J9762"/>
      <c r="K9762"/>
      <c r="L9762"/>
    </row>
    <row r="9763" spans="2:12" x14ac:dyDescent="0.2">
      <c r="B9763"/>
      <c r="C9763"/>
      <c r="J9763"/>
      <c r="K9763"/>
      <c r="L9763"/>
    </row>
    <row r="9764" spans="2:12" x14ac:dyDescent="0.2">
      <c r="B9764"/>
      <c r="C9764"/>
      <c r="J9764"/>
      <c r="K9764"/>
      <c r="L9764"/>
    </row>
    <row r="9765" spans="2:12" x14ac:dyDescent="0.2">
      <c r="B9765"/>
      <c r="C9765"/>
      <c r="J9765"/>
      <c r="K9765"/>
      <c r="L9765"/>
    </row>
    <row r="9766" spans="2:12" x14ac:dyDescent="0.2">
      <c r="B9766"/>
      <c r="C9766"/>
      <c r="J9766"/>
      <c r="K9766"/>
      <c r="L9766"/>
    </row>
    <row r="9767" spans="2:12" x14ac:dyDescent="0.2">
      <c r="B9767"/>
      <c r="C9767"/>
      <c r="J9767"/>
      <c r="K9767"/>
      <c r="L9767"/>
    </row>
    <row r="9768" spans="2:12" x14ac:dyDescent="0.2">
      <c r="B9768"/>
      <c r="C9768"/>
      <c r="J9768"/>
      <c r="K9768"/>
      <c r="L9768"/>
    </row>
    <row r="9769" spans="2:12" x14ac:dyDescent="0.2">
      <c r="B9769"/>
      <c r="C9769"/>
      <c r="J9769"/>
      <c r="K9769"/>
      <c r="L9769"/>
    </row>
    <row r="9770" spans="2:12" x14ac:dyDescent="0.2">
      <c r="B9770"/>
      <c r="C9770"/>
      <c r="J9770"/>
      <c r="K9770"/>
      <c r="L9770"/>
    </row>
    <row r="9771" spans="2:12" x14ac:dyDescent="0.2">
      <c r="B9771"/>
      <c r="C9771"/>
      <c r="J9771"/>
      <c r="K9771"/>
      <c r="L9771"/>
    </row>
    <row r="9772" spans="2:12" x14ac:dyDescent="0.2">
      <c r="B9772"/>
      <c r="C9772"/>
      <c r="J9772"/>
      <c r="K9772"/>
      <c r="L9772"/>
    </row>
    <row r="9773" spans="2:12" x14ac:dyDescent="0.2">
      <c r="B9773"/>
      <c r="C9773"/>
      <c r="J9773"/>
      <c r="K9773"/>
      <c r="L9773"/>
    </row>
    <row r="9774" spans="2:12" x14ac:dyDescent="0.2">
      <c r="B9774"/>
      <c r="C9774"/>
      <c r="J9774"/>
      <c r="K9774"/>
      <c r="L9774"/>
    </row>
    <row r="9775" spans="2:12" x14ac:dyDescent="0.2">
      <c r="B9775"/>
      <c r="C9775"/>
      <c r="J9775"/>
      <c r="K9775"/>
      <c r="L9775"/>
    </row>
    <row r="9776" spans="2:12" x14ac:dyDescent="0.2">
      <c r="B9776"/>
      <c r="C9776"/>
      <c r="J9776"/>
      <c r="K9776"/>
      <c r="L9776"/>
    </row>
    <row r="9777" spans="2:12" x14ac:dyDescent="0.2">
      <c r="B9777"/>
      <c r="C9777"/>
      <c r="J9777"/>
      <c r="K9777"/>
      <c r="L9777"/>
    </row>
    <row r="9778" spans="2:12" x14ac:dyDescent="0.2">
      <c r="B9778"/>
      <c r="C9778"/>
      <c r="J9778"/>
      <c r="K9778"/>
      <c r="L9778"/>
    </row>
    <row r="9779" spans="2:12" x14ac:dyDescent="0.2">
      <c r="B9779"/>
      <c r="C9779"/>
      <c r="J9779"/>
      <c r="K9779"/>
      <c r="L9779"/>
    </row>
    <row r="9780" spans="2:12" x14ac:dyDescent="0.2">
      <c r="B9780"/>
      <c r="C9780"/>
      <c r="J9780"/>
      <c r="K9780"/>
      <c r="L9780"/>
    </row>
    <row r="9781" spans="2:12" x14ac:dyDescent="0.2">
      <c r="B9781"/>
      <c r="C9781"/>
      <c r="J9781"/>
      <c r="K9781"/>
      <c r="L9781"/>
    </row>
    <row r="9782" spans="2:12" x14ac:dyDescent="0.2">
      <c r="B9782"/>
      <c r="C9782"/>
      <c r="J9782"/>
      <c r="K9782"/>
      <c r="L9782"/>
    </row>
    <row r="9783" spans="2:12" x14ac:dyDescent="0.2">
      <c r="B9783"/>
      <c r="C9783"/>
      <c r="J9783"/>
      <c r="K9783"/>
      <c r="L9783"/>
    </row>
    <row r="9784" spans="2:12" x14ac:dyDescent="0.2">
      <c r="B9784"/>
      <c r="C9784"/>
      <c r="J9784"/>
      <c r="K9784"/>
      <c r="L9784"/>
    </row>
    <row r="9785" spans="2:12" x14ac:dyDescent="0.2">
      <c r="B9785"/>
      <c r="C9785"/>
      <c r="J9785"/>
      <c r="K9785"/>
      <c r="L9785"/>
    </row>
    <row r="9786" spans="2:12" x14ac:dyDescent="0.2">
      <c r="B9786"/>
      <c r="C9786"/>
      <c r="J9786"/>
      <c r="K9786"/>
      <c r="L9786"/>
    </row>
    <row r="9787" spans="2:12" x14ac:dyDescent="0.2">
      <c r="B9787"/>
      <c r="C9787"/>
      <c r="J9787"/>
      <c r="K9787"/>
      <c r="L9787"/>
    </row>
    <row r="9788" spans="2:12" x14ac:dyDescent="0.2">
      <c r="B9788"/>
      <c r="C9788"/>
      <c r="J9788"/>
      <c r="K9788"/>
      <c r="L9788"/>
    </row>
    <row r="9789" spans="2:12" x14ac:dyDescent="0.2">
      <c r="B9789"/>
      <c r="C9789"/>
      <c r="J9789"/>
      <c r="K9789"/>
      <c r="L9789"/>
    </row>
    <row r="9790" spans="2:12" x14ac:dyDescent="0.2">
      <c r="B9790"/>
      <c r="C9790"/>
      <c r="J9790"/>
      <c r="K9790"/>
      <c r="L9790"/>
    </row>
    <row r="9791" spans="2:12" x14ac:dyDescent="0.2">
      <c r="B9791"/>
      <c r="C9791"/>
      <c r="J9791"/>
      <c r="K9791"/>
      <c r="L9791"/>
    </row>
    <row r="9792" spans="2:12" x14ac:dyDescent="0.2">
      <c r="B9792"/>
      <c r="C9792"/>
      <c r="J9792"/>
      <c r="K9792"/>
      <c r="L9792"/>
    </row>
    <row r="9793" spans="2:12" x14ac:dyDescent="0.2">
      <c r="B9793"/>
      <c r="C9793"/>
      <c r="J9793"/>
      <c r="K9793"/>
      <c r="L9793"/>
    </row>
    <row r="9794" spans="2:12" x14ac:dyDescent="0.2">
      <c r="B9794"/>
      <c r="C9794"/>
      <c r="J9794"/>
      <c r="K9794"/>
      <c r="L9794"/>
    </row>
    <row r="9795" spans="2:12" x14ac:dyDescent="0.2">
      <c r="B9795"/>
      <c r="C9795"/>
      <c r="J9795"/>
      <c r="K9795"/>
      <c r="L9795"/>
    </row>
    <row r="9796" spans="2:12" x14ac:dyDescent="0.2">
      <c r="B9796"/>
      <c r="C9796"/>
      <c r="J9796"/>
      <c r="K9796"/>
      <c r="L9796"/>
    </row>
    <row r="9797" spans="2:12" x14ac:dyDescent="0.2">
      <c r="B9797"/>
      <c r="C9797"/>
      <c r="J9797"/>
      <c r="K9797"/>
      <c r="L9797"/>
    </row>
    <row r="9798" spans="2:12" x14ac:dyDescent="0.2">
      <c r="B9798"/>
      <c r="C9798"/>
      <c r="J9798"/>
      <c r="K9798"/>
      <c r="L9798"/>
    </row>
    <row r="9799" spans="2:12" x14ac:dyDescent="0.2">
      <c r="B9799"/>
      <c r="C9799"/>
      <c r="J9799"/>
      <c r="K9799"/>
      <c r="L9799"/>
    </row>
    <row r="9800" spans="2:12" x14ac:dyDescent="0.2">
      <c r="B9800"/>
      <c r="C9800"/>
      <c r="J9800"/>
      <c r="K9800"/>
      <c r="L9800"/>
    </row>
    <row r="9801" spans="2:12" x14ac:dyDescent="0.2">
      <c r="B9801"/>
      <c r="C9801"/>
      <c r="J9801"/>
      <c r="K9801"/>
      <c r="L9801"/>
    </row>
    <row r="9802" spans="2:12" x14ac:dyDescent="0.2">
      <c r="B9802"/>
      <c r="C9802"/>
      <c r="J9802"/>
      <c r="K9802"/>
      <c r="L9802"/>
    </row>
    <row r="9803" spans="2:12" x14ac:dyDescent="0.2">
      <c r="B9803"/>
      <c r="C9803"/>
      <c r="J9803"/>
      <c r="K9803"/>
      <c r="L9803"/>
    </row>
    <row r="9804" spans="2:12" x14ac:dyDescent="0.2">
      <c r="B9804"/>
      <c r="C9804"/>
      <c r="J9804"/>
      <c r="K9804"/>
      <c r="L9804"/>
    </row>
    <row r="9805" spans="2:12" x14ac:dyDescent="0.2">
      <c r="B9805"/>
      <c r="C9805"/>
      <c r="J9805"/>
      <c r="K9805"/>
      <c r="L9805"/>
    </row>
    <row r="9806" spans="2:12" x14ac:dyDescent="0.2">
      <c r="B9806"/>
      <c r="C9806"/>
      <c r="J9806"/>
      <c r="K9806"/>
      <c r="L9806"/>
    </row>
    <row r="9807" spans="2:12" x14ac:dyDescent="0.2">
      <c r="B9807"/>
      <c r="C9807"/>
      <c r="J9807"/>
      <c r="K9807"/>
      <c r="L9807"/>
    </row>
    <row r="9808" spans="2:12" x14ac:dyDescent="0.2">
      <c r="B9808"/>
      <c r="C9808"/>
      <c r="J9808"/>
      <c r="K9808"/>
      <c r="L9808"/>
    </row>
    <row r="9809" spans="2:12" x14ac:dyDescent="0.2">
      <c r="B9809"/>
      <c r="C9809"/>
      <c r="J9809"/>
      <c r="K9809"/>
      <c r="L9809"/>
    </row>
    <row r="9810" spans="2:12" x14ac:dyDescent="0.2">
      <c r="B9810"/>
      <c r="C9810"/>
      <c r="J9810"/>
      <c r="K9810"/>
      <c r="L9810"/>
    </row>
    <row r="9811" spans="2:12" x14ac:dyDescent="0.2">
      <c r="B9811"/>
      <c r="C9811"/>
      <c r="J9811"/>
      <c r="K9811"/>
      <c r="L9811"/>
    </row>
    <row r="9812" spans="2:12" x14ac:dyDescent="0.2">
      <c r="B9812"/>
      <c r="C9812"/>
      <c r="J9812"/>
      <c r="K9812"/>
      <c r="L9812"/>
    </row>
    <row r="9813" spans="2:12" x14ac:dyDescent="0.2">
      <c r="B9813"/>
      <c r="C9813"/>
      <c r="J9813"/>
      <c r="K9813"/>
      <c r="L9813"/>
    </row>
    <row r="9814" spans="2:12" x14ac:dyDescent="0.2">
      <c r="B9814"/>
      <c r="C9814"/>
      <c r="J9814"/>
      <c r="K9814"/>
      <c r="L9814"/>
    </row>
    <row r="9815" spans="2:12" x14ac:dyDescent="0.2">
      <c r="B9815"/>
      <c r="C9815"/>
      <c r="J9815"/>
      <c r="K9815"/>
      <c r="L9815"/>
    </row>
    <row r="9816" spans="2:12" x14ac:dyDescent="0.2">
      <c r="B9816"/>
      <c r="C9816"/>
      <c r="J9816"/>
      <c r="K9816"/>
      <c r="L9816"/>
    </row>
    <row r="9817" spans="2:12" x14ac:dyDescent="0.2">
      <c r="B9817"/>
      <c r="C9817"/>
      <c r="J9817"/>
      <c r="K9817"/>
      <c r="L9817"/>
    </row>
    <row r="9818" spans="2:12" x14ac:dyDescent="0.2">
      <c r="B9818"/>
      <c r="C9818"/>
      <c r="J9818"/>
      <c r="K9818"/>
      <c r="L9818"/>
    </row>
    <row r="9819" spans="2:12" x14ac:dyDescent="0.2">
      <c r="B9819"/>
      <c r="C9819"/>
      <c r="J9819"/>
      <c r="K9819"/>
      <c r="L9819"/>
    </row>
    <row r="9820" spans="2:12" x14ac:dyDescent="0.2">
      <c r="B9820"/>
      <c r="C9820"/>
      <c r="J9820"/>
      <c r="K9820"/>
      <c r="L9820"/>
    </row>
    <row r="9821" spans="2:12" x14ac:dyDescent="0.2">
      <c r="B9821"/>
      <c r="C9821"/>
      <c r="J9821"/>
      <c r="K9821"/>
      <c r="L9821"/>
    </row>
    <row r="9822" spans="2:12" x14ac:dyDescent="0.2">
      <c r="B9822"/>
      <c r="C9822"/>
      <c r="J9822"/>
      <c r="K9822"/>
      <c r="L9822"/>
    </row>
    <row r="9823" spans="2:12" x14ac:dyDescent="0.2">
      <c r="B9823"/>
      <c r="C9823"/>
      <c r="J9823"/>
      <c r="K9823"/>
      <c r="L9823"/>
    </row>
    <row r="9824" spans="2:12" x14ac:dyDescent="0.2">
      <c r="B9824"/>
      <c r="C9824"/>
      <c r="J9824"/>
      <c r="K9824"/>
      <c r="L9824"/>
    </row>
    <row r="9825" spans="2:12" x14ac:dyDescent="0.2">
      <c r="B9825"/>
      <c r="C9825"/>
      <c r="J9825"/>
      <c r="K9825"/>
      <c r="L9825"/>
    </row>
    <row r="9826" spans="2:12" x14ac:dyDescent="0.2">
      <c r="B9826"/>
      <c r="C9826"/>
      <c r="J9826"/>
      <c r="K9826"/>
      <c r="L9826"/>
    </row>
    <row r="9827" spans="2:12" x14ac:dyDescent="0.2">
      <c r="B9827"/>
      <c r="C9827"/>
      <c r="J9827"/>
      <c r="K9827"/>
      <c r="L9827"/>
    </row>
    <row r="9828" spans="2:12" x14ac:dyDescent="0.2">
      <c r="B9828"/>
      <c r="C9828"/>
      <c r="J9828"/>
      <c r="K9828"/>
      <c r="L9828"/>
    </row>
    <row r="9829" spans="2:12" x14ac:dyDescent="0.2">
      <c r="B9829"/>
      <c r="C9829"/>
      <c r="J9829"/>
      <c r="K9829"/>
      <c r="L9829"/>
    </row>
    <row r="9830" spans="2:12" x14ac:dyDescent="0.2">
      <c r="B9830"/>
      <c r="C9830"/>
      <c r="J9830"/>
      <c r="K9830"/>
      <c r="L9830"/>
    </row>
    <row r="9831" spans="2:12" x14ac:dyDescent="0.2">
      <c r="B9831"/>
      <c r="C9831"/>
      <c r="J9831"/>
      <c r="K9831"/>
      <c r="L9831"/>
    </row>
    <row r="9832" spans="2:12" x14ac:dyDescent="0.2">
      <c r="B9832"/>
      <c r="C9832"/>
      <c r="J9832"/>
      <c r="K9832"/>
      <c r="L9832"/>
    </row>
    <row r="9833" spans="2:12" x14ac:dyDescent="0.2">
      <c r="B9833"/>
      <c r="C9833"/>
      <c r="J9833"/>
      <c r="K9833"/>
      <c r="L9833"/>
    </row>
    <row r="9834" spans="2:12" x14ac:dyDescent="0.2">
      <c r="B9834"/>
      <c r="C9834"/>
      <c r="J9834"/>
      <c r="K9834"/>
      <c r="L9834"/>
    </row>
    <row r="9835" spans="2:12" x14ac:dyDescent="0.2">
      <c r="B9835"/>
      <c r="C9835"/>
      <c r="J9835"/>
      <c r="K9835"/>
      <c r="L9835"/>
    </row>
    <row r="9836" spans="2:12" x14ac:dyDescent="0.2">
      <c r="B9836"/>
      <c r="C9836"/>
      <c r="J9836"/>
      <c r="K9836"/>
      <c r="L9836"/>
    </row>
    <row r="9837" spans="2:12" x14ac:dyDescent="0.2">
      <c r="B9837"/>
      <c r="C9837"/>
      <c r="J9837"/>
      <c r="K9837"/>
      <c r="L9837"/>
    </row>
    <row r="9838" spans="2:12" x14ac:dyDescent="0.2">
      <c r="B9838"/>
      <c r="C9838"/>
      <c r="J9838"/>
      <c r="K9838"/>
      <c r="L9838"/>
    </row>
    <row r="9839" spans="2:12" x14ac:dyDescent="0.2">
      <c r="B9839"/>
      <c r="C9839"/>
      <c r="J9839"/>
      <c r="K9839"/>
      <c r="L9839"/>
    </row>
    <row r="9840" spans="2:12" x14ac:dyDescent="0.2">
      <c r="B9840"/>
      <c r="C9840"/>
      <c r="J9840"/>
      <c r="K9840"/>
      <c r="L9840"/>
    </row>
    <row r="9841" spans="2:12" x14ac:dyDescent="0.2">
      <c r="B9841"/>
      <c r="C9841"/>
      <c r="J9841"/>
      <c r="K9841"/>
      <c r="L9841"/>
    </row>
    <row r="9842" spans="2:12" x14ac:dyDescent="0.2">
      <c r="B9842"/>
      <c r="C9842"/>
      <c r="J9842"/>
      <c r="K9842"/>
      <c r="L9842"/>
    </row>
    <row r="9843" spans="2:12" x14ac:dyDescent="0.2">
      <c r="B9843"/>
      <c r="C9843"/>
      <c r="J9843"/>
      <c r="K9843"/>
      <c r="L9843"/>
    </row>
    <row r="9844" spans="2:12" x14ac:dyDescent="0.2">
      <c r="B9844"/>
      <c r="C9844"/>
      <c r="J9844"/>
      <c r="K9844"/>
      <c r="L9844"/>
    </row>
    <row r="9845" spans="2:12" x14ac:dyDescent="0.2">
      <c r="B9845"/>
      <c r="C9845"/>
      <c r="J9845"/>
      <c r="K9845"/>
      <c r="L9845"/>
    </row>
    <row r="9846" spans="2:12" x14ac:dyDescent="0.2">
      <c r="B9846"/>
      <c r="C9846"/>
      <c r="J9846"/>
      <c r="K9846"/>
      <c r="L9846"/>
    </row>
    <row r="9847" spans="2:12" x14ac:dyDescent="0.2">
      <c r="B9847"/>
      <c r="C9847"/>
      <c r="J9847"/>
      <c r="K9847"/>
      <c r="L9847"/>
    </row>
    <row r="9848" spans="2:12" x14ac:dyDescent="0.2">
      <c r="B9848"/>
      <c r="C9848"/>
      <c r="J9848"/>
      <c r="K9848"/>
      <c r="L9848"/>
    </row>
    <row r="9849" spans="2:12" x14ac:dyDescent="0.2">
      <c r="B9849"/>
      <c r="C9849"/>
      <c r="J9849"/>
      <c r="K9849"/>
      <c r="L9849"/>
    </row>
    <row r="9850" spans="2:12" x14ac:dyDescent="0.2">
      <c r="B9850"/>
      <c r="C9850"/>
      <c r="J9850"/>
      <c r="K9850"/>
      <c r="L9850"/>
    </row>
    <row r="9851" spans="2:12" x14ac:dyDescent="0.2">
      <c r="B9851"/>
      <c r="C9851"/>
      <c r="J9851"/>
      <c r="K9851"/>
      <c r="L9851"/>
    </row>
    <row r="9852" spans="2:12" x14ac:dyDescent="0.2">
      <c r="B9852"/>
      <c r="C9852"/>
      <c r="J9852"/>
      <c r="K9852"/>
      <c r="L9852"/>
    </row>
    <row r="9853" spans="2:12" x14ac:dyDescent="0.2">
      <c r="B9853"/>
      <c r="C9853"/>
      <c r="J9853"/>
      <c r="K9853"/>
      <c r="L9853"/>
    </row>
    <row r="9854" spans="2:12" x14ac:dyDescent="0.2">
      <c r="B9854"/>
      <c r="C9854"/>
      <c r="J9854"/>
      <c r="K9854"/>
      <c r="L9854"/>
    </row>
    <row r="9855" spans="2:12" x14ac:dyDescent="0.2">
      <c r="B9855"/>
      <c r="C9855"/>
      <c r="J9855"/>
      <c r="K9855"/>
      <c r="L9855"/>
    </row>
    <row r="9856" spans="2:12" x14ac:dyDescent="0.2">
      <c r="B9856"/>
      <c r="C9856"/>
      <c r="J9856"/>
      <c r="K9856"/>
      <c r="L9856"/>
    </row>
    <row r="9857" spans="2:12" x14ac:dyDescent="0.2">
      <c r="B9857"/>
      <c r="C9857"/>
      <c r="J9857"/>
      <c r="K9857"/>
      <c r="L9857"/>
    </row>
    <row r="9858" spans="2:12" x14ac:dyDescent="0.2">
      <c r="B9858"/>
      <c r="C9858"/>
      <c r="J9858"/>
      <c r="K9858"/>
      <c r="L9858"/>
    </row>
    <row r="9859" spans="2:12" x14ac:dyDescent="0.2">
      <c r="B9859"/>
      <c r="C9859"/>
      <c r="J9859"/>
      <c r="K9859"/>
      <c r="L9859"/>
    </row>
    <row r="9860" spans="2:12" x14ac:dyDescent="0.2">
      <c r="B9860"/>
      <c r="C9860"/>
      <c r="J9860"/>
      <c r="K9860"/>
      <c r="L9860"/>
    </row>
    <row r="9861" spans="2:12" x14ac:dyDescent="0.2">
      <c r="B9861"/>
      <c r="C9861"/>
      <c r="J9861"/>
      <c r="K9861"/>
      <c r="L9861"/>
    </row>
    <row r="9862" spans="2:12" x14ac:dyDescent="0.2">
      <c r="B9862"/>
      <c r="C9862"/>
      <c r="J9862"/>
      <c r="K9862"/>
      <c r="L9862"/>
    </row>
    <row r="9863" spans="2:12" x14ac:dyDescent="0.2">
      <c r="B9863"/>
      <c r="C9863"/>
      <c r="J9863"/>
      <c r="K9863"/>
      <c r="L9863"/>
    </row>
    <row r="9864" spans="2:12" x14ac:dyDescent="0.2">
      <c r="B9864"/>
      <c r="C9864"/>
      <c r="J9864"/>
      <c r="K9864"/>
      <c r="L9864"/>
    </row>
    <row r="9865" spans="2:12" x14ac:dyDescent="0.2">
      <c r="B9865"/>
      <c r="C9865"/>
      <c r="J9865"/>
      <c r="K9865"/>
      <c r="L9865"/>
    </row>
    <row r="9866" spans="2:12" x14ac:dyDescent="0.2">
      <c r="B9866"/>
      <c r="C9866"/>
      <c r="J9866"/>
      <c r="K9866"/>
      <c r="L9866"/>
    </row>
    <row r="9867" spans="2:12" x14ac:dyDescent="0.2">
      <c r="B9867"/>
      <c r="C9867"/>
      <c r="J9867"/>
      <c r="K9867"/>
      <c r="L9867"/>
    </row>
    <row r="9868" spans="2:12" x14ac:dyDescent="0.2">
      <c r="B9868"/>
      <c r="C9868"/>
      <c r="J9868"/>
      <c r="K9868"/>
      <c r="L9868"/>
    </row>
    <row r="9869" spans="2:12" x14ac:dyDescent="0.2">
      <c r="B9869"/>
      <c r="C9869"/>
      <c r="J9869"/>
      <c r="K9869"/>
      <c r="L9869"/>
    </row>
    <row r="9870" spans="2:12" x14ac:dyDescent="0.2">
      <c r="B9870"/>
      <c r="C9870"/>
      <c r="J9870"/>
      <c r="K9870"/>
      <c r="L9870"/>
    </row>
    <row r="9871" spans="2:12" x14ac:dyDescent="0.2">
      <c r="B9871"/>
      <c r="C9871"/>
      <c r="J9871"/>
      <c r="K9871"/>
      <c r="L9871"/>
    </row>
    <row r="9872" spans="2:12" x14ac:dyDescent="0.2">
      <c r="B9872"/>
      <c r="C9872"/>
      <c r="J9872"/>
      <c r="K9872"/>
      <c r="L9872"/>
    </row>
    <row r="9873" spans="2:12" x14ac:dyDescent="0.2">
      <c r="B9873"/>
      <c r="C9873"/>
      <c r="J9873"/>
      <c r="K9873"/>
      <c r="L9873"/>
    </row>
    <row r="9874" spans="2:12" x14ac:dyDescent="0.2">
      <c r="B9874"/>
      <c r="C9874"/>
      <c r="J9874"/>
      <c r="K9874"/>
      <c r="L9874"/>
    </row>
    <row r="9875" spans="2:12" x14ac:dyDescent="0.2">
      <c r="B9875"/>
      <c r="C9875"/>
      <c r="J9875"/>
      <c r="K9875"/>
      <c r="L9875"/>
    </row>
    <row r="9876" spans="2:12" x14ac:dyDescent="0.2">
      <c r="B9876"/>
      <c r="C9876"/>
      <c r="J9876"/>
      <c r="K9876"/>
      <c r="L9876"/>
    </row>
    <row r="9877" spans="2:12" x14ac:dyDescent="0.2">
      <c r="B9877"/>
      <c r="C9877"/>
      <c r="J9877"/>
      <c r="K9877"/>
      <c r="L9877"/>
    </row>
    <row r="9878" spans="2:12" x14ac:dyDescent="0.2">
      <c r="B9878"/>
      <c r="C9878"/>
      <c r="J9878"/>
      <c r="K9878"/>
      <c r="L9878"/>
    </row>
    <row r="9879" spans="2:12" x14ac:dyDescent="0.2">
      <c r="B9879"/>
      <c r="C9879"/>
      <c r="J9879"/>
      <c r="K9879"/>
      <c r="L9879"/>
    </row>
    <row r="9880" spans="2:12" x14ac:dyDescent="0.2">
      <c r="B9880"/>
      <c r="C9880"/>
      <c r="J9880"/>
      <c r="K9880"/>
      <c r="L9880"/>
    </row>
    <row r="9881" spans="2:12" x14ac:dyDescent="0.2">
      <c r="B9881"/>
      <c r="C9881"/>
      <c r="J9881"/>
      <c r="K9881"/>
      <c r="L9881"/>
    </row>
    <row r="9882" spans="2:12" x14ac:dyDescent="0.2">
      <c r="B9882"/>
      <c r="C9882"/>
      <c r="J9882"/>
      <c r="K9882"/>
      <c r="L9882"/>
    </row>
    <row r="9883" spans="2:12" x14ac:dyDescent="0.2">
      <c r="B9883"/>
      <c r="C9883"/>
      <c r="J9883"/>
      <c r="K9883"/>
      <c r="L9883"/>
    </row>
    <row r="9884" spans="2:12" x14ac:dyDescent="0.2">
      <c r="B9884"/>
      <c r="C9884"/>
      <c r="J9884"/>
      <c r="K9884"/>
      <c r="L9884"/>
    </row>
    <row r="9885" spans="2:12" x14ac:dyDescent="0.2">
      <c r="B9885"/>
      <c r="C9885"/>
      <c r="J9885"/>
      <c r="K9885"/>
      <c r="L9885"/>
    </row>
    <row r="9886" spans="2:12" x14ac:dyDescent="0.2">
      <c r="B9886"/>
      <c r="C9886"/>
      <c r="J9886"/>
      <c r="K9886"/>
      <c r="L9886"/>
    </row>
    <row r="9887" spans="2:12" x14ac:dyDescent="0.2">
      <c r="B9887"/>
      <c r="C9887"/>
      <c r="J9887"/>
      <c r="K9887"/>
      <c r="L9887"/>
    </row>
    <row r="9888" spans="2:12" x14ac:dyDescent="0.2">
      <c r="B9888"/>
      <c r="C9888"/>
      <c r="J9888"/>
      <c r="K9888"/>
      <c r="L9888"/>
    </row>
    <row r="9889" spans="2:12" x14ac:dyDescent="0.2">
      <c r="B9889"/>
      <c r="C9889"/>
      <c r="J9889"/>
      <c r="K9889"/>
      <c r="L9889"/>
    </row>
    <row r="9890" spans="2:12" x14ac:dyDescent="0.2">
      <c r="B9890"/>
      <c r="C9890"/>
      <c r="J9890"/>
      <c r="K9890"/>
      <c r="L9890"/>
    </row>
    <row r="9891" spans="2:12" x14ac:dyDescent="0.2">
      <c r="B9891"/>
      <c r="C9891"/>
      <c r="J9891"/>
      <c r="K9891"/>
      <c r="L9891"/>
    </row>
    <row r="9892" spans="2:12" x14ac:dyDescent="0.2">
      <c r="B9892"/>
      <c r="C9892"/>
      <c r="J9892"/>
      <c r="K9892"/>
      <c r="L9892"/>
    </row>
    <row r="9893" spans="2:12" x14ac:dyDescent="0.2">
      <c r="B9893"/>
      <c r="C9893"/>
      <c r="J9893"/>
      <c r="K9893"/>
      <c r="L9893"/>
    </row>
    <row r="9894" spans="2:12" x14ac:dyDescent="0.2">
      <c r="B9894"/>
      <c r="C9894"/>
      <c r="J9894"/>
      <c r="K9894"/>
      <c r="L9894"/>
    </row>
    <row r="9895" spans="2:12" x14ac:dyDescent="0.2">
      <c r="B9895"/>
      <c r="C9895"/>
      <c r="J9895"/>
      <c r="K9895"/>
      <c r="L9895"/>
    </row>
    <row r="9896" spans="2:12" x14ac:dyDescent="0.2">
      <c r="B9896"/>
      <c r="C9896"/>
      <c r="J9896"/>
      <c r="K9896"/>
      <c r="L9896"/>
    </row>
    <row r="9897" spans="2:12" x14ac:dyDescent="0.2">
      <c r="B9897"/>
      <c r="C9897"/>
      <c r="J9897"/>
      <c r="K9897"/>
      <c r="L9897"/>
    </row>
    <row r="9898" spans="2:12" x14ac:dyDescent="0.2">
      <c r="B9898"/>
      <c r="C9898"/>
      <c r="J9898"/>
      <c r="K9898"/>
      <c r="L9898"/>
    </row>
    <row r="9899" spans="2:12" x14ac:dyDescent="0.2">
      <c r="B9899"/>
      <c r="C9899"/>
      <c r="J9899"/>
      <c r="K9899"/>
      <c r="L9899"/>
    </row>
    <row r="9900" spans="2:12" x14ac:dyDescent="0.2">
      <c r="B9900"/>
      <c r="C9900"/>
      <c r="J9900"/>
      <c r="K9900"/>
      <c r="L9900"/>
    </row>
    <row r="9901" spans="2:12" x14ac:dyDescent="0.2">
      <c r="B9901"/>
      <c r="C9901"/>
      <c r="J9901"/>
      <c r="K9901"/>
      <c r="L9901"/>
    </row>
    <row r="9902" spans="2:12" x14ac:dyDescent="0.2">
      <c r="B9902"/>
      <c r="C9902"/>
      <c r="J9902"/>
      <c r="K9902"/>
      <c r="L9902"/>
    </row>
    <row r="9903" spans="2:12" x14ac:dyDescent="0.2">
      <c r="B9903"/>
      <c r="C9903"/>
      <c r="J9903"/>
      <c r="K9903"/>
      <c r="L9903"/>
    </row>
    <row r="9904" spans="2:12" x14ac:dyDescent="0.2">
      <c r="B9904"/>
      <c r="C9904"/>
      <c r="J9904"/>
      <c r="K9904"/>
      <c r="L9904"/>
    </row>
    <row r="9905" spans="2:12" x14ac:dyDescent="0.2">
      <c r="B9905"/>
      <c r="C9905"/>
      <c r="J9905"/>
      <c r="K9905"/>
      <c r="L9905"/>
    </row>
    <row r="9906" spans="2:12" x14ac:dyDescent="0.2">
      <c r="B9906"/>
      <c r="C9906"/>
      <c r="J9906"/>
      <c r="K9906"/>
      <c r="L9906"/>
    </row>
    <row r="9907" spans="2:12" x14ac:dyDescent="0.2">
      <c r="B9907"/>
      <c r="C9907"/>
      <c r="J9907"/>
      <c r="K9907"/>
      <c r="L9907"/>
    </row>
    <row r="9908" spans="2:12" x14ac:dyDescent="0.2">
      <c r="B9908"/>
      <c r="C9908"/>
      <c r="J9908"/>
      <c r="K9908"/>
      <c r="L9908"/>
    </row>
    <row r="9909" spans="2:12" x14ac:dyDescent="0.2">
      <c r="B9909"/>
      <c r="C9909"/>
      <c r="J9909"/>
      <c r="K9909"/>
      <c r="L9909"/>
    </row>
    <row r="9910" spans="2:12" x14ac:dyDescent="0.2">
      <c r="B9910"/>
      <c r="C9910"/>
      <c r="J9910"/>
      <c r="K9910"/>
      <c r="L9910"/>
    </row>
    <row r="9911" spans="2:12" x14ac:dyDescent="0.2">
      <c r="B9911"/>
      <c r="C9911"/>
      <c r="J9911"/>
      <c r="K9911"/>
      <c r="L9911"/>
    </row>
    <row r="9912" spans="2:12" x14ac:dyDescent="0.2">
      <c r="B9912"/>
      <c r="C9912"/>
      <c r="J9912"/>
      <c r="K9912"/>
      <c r="L9912"/>
    </row>
    <row r="9913" spans="2:12" x14ac:dyDescent="0.2">
      <c r="B9913"/>
      <c r="C9913"/>
      <c r="J9913"/>
      <c r="K9913"/>
      <c r="L9913"/>
    </row>
    <row r="9914" spans="2:12" x14ac:dyDescent="0.2">
      <c r="B9914"/>
      <c r="C9914"/>
      <c r="J9914"/>
      <c r="K9914"/>
      <c r="L9914"/>
    </row>
    <row r="9915" spans="2:12" x14ac:dyDescent="0.2">
      <c r="B9915"/>
      <c r="C9915"/>
      <c r="J9915"/>
      <c r="K9915"/>
      <c r="L9915"/>
    </row>
    <row r="9916" spans="2:12" x14ac:dyDescent="0.2">
      <c r="B9916"/>
      <c r="C9916"/>
      <c r="J9916"/>
      <c r="K9916"/>
      <c r="L9916"/>
    </row>
    <row r="9917" spans="2:12" x14ac:dyDescent="0.2">
      <c r="B9917"/>
      <c r="C9917"/>
      <c r="J9917"/>
      <c r="K9917"/>
      <c r="L9917"/>
    </row>
    <row r="9918" spans="2:12" x14ac:dyDescent="0.2">
      <c r="B9918"/>
      <c r="C9918"/>
      <c r="J9918"/>
      <c r="K9918"/>
      <c r="L9918"/>
    </row>
    <row r="9919" spans="2:12" x14ac:dyDescent="0.2">
      <c r="B9919"/>
      <c r="C9919"/>
      <c r="J9919"/>
      <c r="K9919"/>
      <c r="L9919"/>
    </row>
    <row r="9920" spans="2:12" x14ac:dyDescent="0.2">
      <c r="B9920"/>
      <c r="C9920"/>
      <c r="J9920"/>
      <c r="K9920"/>
      <c r="L9920"/>
    </row>
    <row r="9921" spans="2:12" x14ac:dyDescent="0.2">
      <c r="B9921"/>
      <c r="C9921"/>
      <c r="J9921"/>
      <c r="K9921"/>
      <c r="L9921"/>
    </row>
    <row r="9922" spans="2:12" x14ac:dyDescent="0.2">
      <c r="B9922"/>
      <c r="C9922"/>
      <c r="J9922"/>
      <c r="K9922"/>
      <c r="L9922"/>
    </row>
    <row r="9923" spans="2:12" x14ac:dyDescent="0.2">
      <c r="B9923"/>
      <c r="C9923"/>
      <c r="J9923"/>
      <c r="K9923"/>
      <c r="L9923"/>
    </row>
    <row r="9924" spans="2:12" x14ac:dyDescent="0.2">
      <c r="B9924"/>
      <c r="C9924"/>
      <c r="J9924"/>
      <c r="K9924"/>
      <c r="L9924"/>
    </row>
    <row r="9925" spans="2:12" x14ac:dyDescent="0.2">
      <c r="B9925"/>
      <c r="C9925"/>
      <c r="J9925"/>
      <c r="K9925"/>
      <c r="L9925"/>
    </row>
    <row r="9926" spans="2:12" x14ac:dyDescent="0.2">
      <c r="B9926"/>
      <c r="C9926"/>
      <c r="J9926"/>
      <c r="K9926"/>
      <c r="L9926"/>
    </row>
    <row r="9927" spans="2:12" x14ac:dyDescent="0.2">
      <c r="B9927"/>
      <c r="C9927"/>
      <c r="J9927"/>
      <c r="K9927"/>
      <c r="L9927"/>
    </row>
    <row r="9928" spans="2:12" x14ac:dyDescent="0.2">
      <c r="B9928"/>
      <c r="C9928"/>
      <c r="J9928"/>
      <c r="K9928"/>
      <c r="L9928"/>
    </row>
    <row r="9929" spans="2:12" x14ac:dyDescent="0.2">
      <c r="B9929"/>
      <c r="C9929"/>
      <c r="J9929"/>
      <c r="K9929"/>
      <c r="L9929"/>
    </row>
    <row r="9930" spans="2:12" x14ac:dyDescent="0.2">
      <c r="B9930"/>
      <c r="C9930"/>
      <c r="J9930"/>
      <c r="K9930"/>
      <c r="L9930"/>
    </row>
    <row r="9931" spans="2:12" x14ac:dyDescent="0.2">
      <c r="B9931"/>
      <c r="C9931"/>
      <c r="J9931"/>
      <c r="K9931"/>
      <c r="L9931"/>
    </row>
    <row r="9932" spans="2:12" x14ac:dyDescent="0.2">
      <c r="B9932"/>
      <c r="C9932"/>
      <c r="J9932"/>
      <c r="K9932"/>
      <c r="L9932"/>
    </row>
    <row r="9933" spans="2:12" x14ac:dyDescent="0.2">
      <c r="B9933"/>
      <c r="C9933"/>
      <c r="J9933"/>
      <c r="K9933"/>
      <c r="L9933"/>
    </row>
    <row r="9934" spans="2:12" x14ac:dyDescent="0.2">
      <c r="B9934"/>
      <c r="C9934"/>
      <c r="J9934"/>
      <c r="K9934"/>
      <c r="L9934"/>
    </row>
    <row r="9935" spans="2:12" x14ac:dyDescent="0.2">
      <c r="B9935"/>
      <c r="C9935"/>
      <c r="J9935"/>
      <c r="K9935"/>
      <c r="L9935"/>
    </row>
    <row r="9936" spans="2:12" x14ac:dyDescent="0.2">
      <c r="B9936"/>
      <c r="C9936"/>
      <c r="J9936"/>
      <c r="K9936"/>
      <c r="L9936"/>
    </row>
    <row r="9937" spans="2:12" x14ac:dyDescent="0.2">
      <c r="B9937"/>
      <c r="C9937"/>
      <c r="J9937"/>
      <c r="K9937"/>
      <c r="L9937"/>
    </row>
    <row r="9938" spans="2:12" x14ac:dyDescent="0.2">
      <c r="B9938"/>
      <c r="C9938"/>
      <c r="J9938"/>
      <c r="K9938"/>
      <c r="L9938"/>
    </row>
    <row r="9939" spans="2:12" x14ac:dyDescent="0.2">
      <c r="B9939"/>
      <c r="C9939"/>
      <c r="J9939"/>
      <c r="K9939"/>
      <c r="L9939"/>
    </row>
    <row r="9940" spans="2:12" x14ac:dyDescent="0.2">
      <c r="B9940"/>
      <c r="C9940"/>
      <c r="J9940"/>
      <c r="K9940"/>
      <c r="L9940"/>
    </row>
    <row r="9941" spans="2:12" x14ac:dyDescent="0.2">
      <c r="B9941"/>
      <c r="C9941"/>
      <c r="J9941"/>
      <c r="K9941"/>
      <c r="L9941"/>
    </row>
    <row r="9942" spans="2:12" x14ac:dyDescent="0.2">
      <c r="B9942"/>
      <c r="C9942"/>
      <c r="J9942"/>
      <c r="K9942"/>
      <c r="L9942"/>
    </row>
    <row r="9943" spans="2:12" x14ac:dyDescent="0.2">
      <c r="B9943"/>
      <c r="C9943"/>
      <c r="J9943"/>
      <c r="K9943"/>
      <c r="L9943"/>
    </row>
    <row r="9944" spans="2:12" x14ac:dyDescent="0.2">
      <c r="B9944"/>
      <c r="C9944"/>
      <c r="J9944"/>
      <c r="K9944"/>
      <c r="L9944"/>
    </row>
    <row r="9945" spans="2:12" x14ac:dyDescent="0.2">
      <c r="B9945"/>
      <c r="C9945"/>
      <c r="J9945"/>
      <c r="K9945"/>
      <c r="L9945"/>
    </row>
    <row r="9946" spans="2:12" x14ac:dyDescent="0.2">
      <c r="B9946"/>
      <c r="C9946"/>
      <c r="J9946"/>
      <c r="K9946"/>
      <c r="L9946"/>
    </row>
    <row r="9947" spans="2:12" x14ac:dyDescent="0.2">
      <c r="B9947"/>
      <c r="C9947"/>
      <c r="J9947"/>
      <c r="K9947"/>
      <c r="L9947"/>
    </row>
    <row r="9948" spans="2:12" x14ac:dyDescent="0.2">
      <c r="B9948"/>
      <c r="C9948"/>
      <c r="J9948"/>
      <c r="K9948"/>
      <c r="L9948"/>
    </row>
    <row r="9949" spans="2:12" x14ac:dyDescent="0.2">
      <c r="B9949"/>
      <c r="C9949"/>
      <c r="J9949"/>
      <c r="K9949"/>
      <c r="L9949"/>
    </row>
    <row r="9950" spans="2:12" x14ac:dyDescent="0.2">
      <c r="B9950"/>
      <c r="C9950"/>
      <c r="J9950"/>
      <c r="K9950"/>
      <c r="L9950"/>
    </row>
    <row r="9951" spans="2:12" x14ac:dyDescent="0.2">
      <c r="B9951"/>
      <c r="C9951"/>
      <c r="J9951"/>
      <c r="K9951"/>
      <c r="L9951"/>
    </row>
    <row r="9952" spans="2:12" x14ac:dyDescent="0.2">
      <c r="B9952"/>
      <c r="C9952"/>
      <c r="J9952"/>
      <c r="K9952"/>
      <c r="L9952"/>
    </row>
    <row r="9953" spans="2:12" x14ac:dyDescent="0.2">
      <c r="B9953"/>
      <c r="C9953"/>
      <c r="J9953"/>
      <c r="K9953"/>
      <c r="L9953"/>
    </row>
    <row r="9954" spans="2:12" x14ac:dyDescent="0.2">
      <c r="B9954"/>
      <c r="C9954"/>
      <c r="J9954"/>
      <c r="K9954"/>
      <c r="L9954"/>
    </row>
    <row r="9955" spans="2:12" x14ac:dyDescent="0.2">
      <c r="B9955"/>
      <c r="C9955"/>
      <c r="J9955"/>
      <c r="K9955"/>
      <c r="L9955"/>
    </row>
    <row r="9956" spans="2:12" x14ac:dyDescent="0.2">
      <c r="B9956"/>
      <c r="C9956"/>
      <c r="J9956"/>
      <c r="K9956"/>
      <c r="L9956"/>
    </row>
    <row r="9957" spans="2:12" x14ac:dyDescent="0.2">
      <c r="B9957"/>
      <c r="C9957"/>
      <c r="J9957"/>
      <c r="K9957"/>
      <c r="L9957"/>
    </row>
    <row r="9958" spans="2:12" x14ac:dyDescent="0.2">
      <c r="B9958"/>
      <c r="C9958"/>
      <c r="J9958"/>
      <c r="K9958"/>
      <c r="L9958"/>
    </row>
    <row r="9959" spans="2:12" x14ac:dyDescent="0.2">
      <c r="B9959"/>
      <c r="C9959"/>
      <c r="J9959"/>
      <c r="K9959"/>
      <c r="L9959"/>
    </row>
    <row r="9960" spans="2:12" x14ac:dyDescent="0.2">
      <c r="B9960"/>
      <c r="C9960"/>
      <c r="J9960"/>
      <c r="K9960"/>
      <c r="L9960"/>
    </row>
    <row r="9961" spans="2:12" x14ac:dyDescent="0.2">
      <c r="B9961"/>
      <c r="C9961"/>
      <c r="J9961"/>
      <c r="K9961"/>
      <c r="L9961"/>
    </row>
    <row r="9962" spans="2:12" x14ac:dyDescent="0.2">
      <c r="B9962"/>
      <c r="C9962"/>
      <c r="J9962"/>
      <c r="K9962"/>
      <c r="L9962"/>
    </row>
    <row r="9963" spans="2:12" x14ac:dyDescent="0.2">
      <c r="B9963"/>
      <c r="C9963"/>
      <c r="J9963"/>
      <c r="K9963"/>
      <c r="L9963"/>
    </row>
    <row r="9964" spans="2:12" x14ac:dyDescent="0.2">
      <c r="B9964"/>
      <c r="C9964"/>
      <c r="J9964"/>
      <c r="K9964"/>
      <c r="L9964"/>
    </row>
    <row r="9965" spans="2:12" x14ac:dyDescent="0.2">
      <c r="B9965"/>
      <c r="C9965"/>
      <c r="J9965"/>
      <c r="K9965"/>
      <c r="L9965"/>
    </row>
    <row r="9966" spans="2:12" x14ac:dyDescent="0.2">
      <c r="B9966"/>
      <c r="C9966"/>
      <c r="J9966"/>
      <c r="K9966"/>
      <c r="L9966"/>
    </row>
    <row r="9967" spans="2:12" x14ac:dyDescent="0.2">
      <c r="B9967"/>
      <c r="C9967"/>
      <c r="J9967"/>
      <c r="K9967"/>
      <c r="L9967"/>
    </row>
    <row r="9968" spans="2:12" x14ac:dyDescent="0.2">
      <c r="B9968"/>
      <c r="C9968"/>
      <c r="J9968"/>
      <c r="K9968"/>
      <c r="L9968"/>
    </row>
    <row r="9969" spans="2:12" x14ac:dyDescent="0.2">
      <c r="B9969"/>
      <c r="C9969"/>
      <c r="J9969"/>
      <c r="K9969"/>
      <c r="L9969"/>
    </row>
    <row r="9970" spans="2:12" x14ac:dyDescent="0.2">
      <c r="B9970"/>
      <c r="C9970"/>
      <c r="J9970"/>
      <c r="K9970"/>
      <c r="L9970"/>
    </row>
    <row r="9971" spans="2:12" x14ac:dyDescent="0.2">
      <c r="B9971"/>
      <c r="C9971"/>
      <c r="J9971"/>
      <c r="K9971"/>
      <c r="L9971"/>
    </row>
    <row r="9972" spans="2:12" x14ac:dyDescent="0.2">
      <c r="B9972"/>
      <c r="C9972"/>
      <c r="J9972"/>
      <c r="K9972"/>
      <c r="L9972"/>
    </row>
    <row r="9973" spans="2:12" x14ac:dyDescent="0.2">
      <c r="B9973"/>
      <c r="C9973"/>
      <c r="J9973"/>
      <c r="K9973"/>
      <c r="L9973"/>
    </row>
    <row r="9974" spans="2:12" x14ac:dyDescent="0.2">
      <c r="B9974"/>
      <c r="C9974"/>
      <c r="J9974"/>
      <c r="K9974"/>
      <c r="L9974"/>
    </row>
    <row r="9975" spans="2:12" x14ac:dyDescent="0.2">
      <c r="B9975"/>
      <c r="C9975"/>
      <c r="J9975"/>
      <c r="K9975"/>
      <c r="L9975"/>
    </row>
    <row r="9976" spans="2:12" x14ac:dyDescent="0.2">
      <c r="B9976"/>
      <c r="C9976"/>
      <c r="J9976"/>
      <c r="K9976"/>
      <c r="L9976"/>
    </row>
    <row r="9977" spans="2:12" x14ac:dyDescent="0.2">
      <c r="B9977"/>
      <c r="C9977"/>
      <c r="J9977"/>
      <c r="K9977"/>
      <c r="L9977"/>
    </row>
    <row r="9978" spans="2:12" x14ac:dyDescent="0.2">
      <c r="B9978"/>
      <c r="C9978"/>
      <c r="J9978"/>
      <c r="K9978"/>
      <c r="L9978"/>
    </row>
    <row r="9979" spans="2:12" x14ac:dyDescent="0.2">
      <c r="B9979"/>
      <c r="C9979"/>
      <c r="J9979"/>
      <c r="K9979"/>
      <c r="L9979"/>
    </row>
    <row r="9980" spans="2:12" x14ac:dyDescent="0.2">
      <c r="B9980"/>
      <c r="C9980"/>
      <c r="J9980"/>
      <c r="K9980"/>
      <c r="L9980"/>
    </row>
    <row r="9981" spans="2:12" x14ac:dyDescent="0.2">
      <c r="B9981"/>
      <c r="C9981"/>
      <c r="J9981"/>
      <c r="K9981"/>
      <c r="L9981"/>
    </row>
    <row r="9982" spans="2:12" x14ac:dyDescent="0.2">
      <c r="B9982"/>
      <c r="C9982"/>
      <c r="J9982"/>
      <c r="K9982"/>
      <c r="L9982"/>
    </row>
    <row r="9983" spans="2:12" x14ac:dyDescent="0.2">
      <c r="B9983"/>
      <c r="C9983"/>
      <c r="J9983"/>
      <c r="K9983"/>
      <c r="L9983"/>
    </row>
    <row r="9984" spans="2:12" x14ac:dyDescent="0.2">
      <c r="B9984"/>
      <c r="C9984"/>
      <c r="J9984"/>
      <c r="K9984"/>
      <c r="L9984"/>
    </row>
    <row r="9985" spans="2:12" x14ac:dyDescent="0.2">
      <c r="B9985"/>
      <c r="C9985"/>
      <c r="J9985"/>
      <c r="K9985"/>
      <c r="L9985"/>
    </row>
    <row r="9986" spans="2:12" x14ac:dyDescent="0.2">
      <c r="B9986"/>
      <c r="C9986"/>
      <c r="J9986"/>
      <c r="K9986"/>
      <c r="L9986"/>
    </row>
    <row r="9987" spans="2:12" x14ac:dyDescent="0.2">
      <c r="B9987"/>
      <c r="C9987"/>
      <c r="J9987"/>
      <c r="K9987"/>
      <c r="L9987"/>
    </row>
    <row r="9988" spans="2:12" x14ac:dyDescent="0.2">
      <c r="B9988"/>
      <c r="C9988"/>
      <c r="J9988"/>
      <c r="K9988"/>
      <c r="L9988"/>
    </row>
    <row r="9989" spans="2:12" x14ac:dyDescent="0.2">
      <c r="B9989"/>
      <c r="C9989"/>
      <c r="J9989"/>
      <c r="K9989"/>
      <c r="L9989"/>
    </row>
    <row r="9990" spans="2:12" x14ac:dyDescent="0.2">
      <c r="B9990"/>
      <c r="C9990"/>
      <c r="J9990"/>
      <c r="K9990"/>
      <c r="L9990"/>
    </row>
    <row r="9991" spans="2:12" x14ac:dyDescent="0.2">
      <c r="B9991"/>
      <c r="C9991"/>
      <c r="J9991"/>
      <c r="K9991"/>
      <c r="L9991"/>
    </row>
    <row r="9992" spans="2:12" x14ac:dyDescent="0.2">
      <c r="B9992"/>
      <c r="C9992"/>
      <c r="J9992"/>
      <c r="K9992"/>
      <c r="L9992"/>
    </row>
    <row r="9993" spans="2:12" x14ac:dyDescent="0.2">
      <c r="B9993"/>
      <c r="C9993"/>
      <c r="J9993"/>
      <c r="K9993"/>
      <c r="L9993"/>
    </row>
    <row r="9994" spans="2:12" x14ac:dyDescent="0.2">
      <c r="B9994"/>
      <c r="C9994"/>
      <c r="J9994"/>
      <c r="K9994"/>
      <c r="L9994"/>
    </row>
    <row r="9995" spans="2:12" x14ac:dyDescent="0.2">
      <c r="B9995"/>
      <c r="C9995"/>
      <c r="J9995"/>
      <c r="K9995"/>
      <c r="L9995"/>
    </row>
    <row r="9996" spans="2:12" x14ac:dyDescent="0.2">
      <c r="B9996"/>
      <c r="C9996"/>
      <c r="J9996"/>
      <c r="K9996"/>
      <c r="L9996"/>
    </row>
    <row r="9997" spans="2:12" x14ac:dyDescent="0.2">
      <c r="B9997"/>
      <c r="C9997"/>
      <c r="J9997"/>
      <c r="K9997"/>
      <c r="L9997"/>
    </row>
    <row r="9998" spans="2:12" x14ac:dyDescent="0.2">
      <c r="B9998"/>
      <c r="C9998"/>
      <c r="J9998"/>
      <c r="K9998"/>
      <c r="L9998"/>
    </row>
    <row r="9999" spans="2:12" x14ac:dyDescent="0.2">
      <c r="B9999"/>
      <c r="C9999"/>
      <c r="J9999"/>
      <c r="K9999"/>
      <c r="L9999"/>
    </row>
    <row r="10000" spans="2:12" x14ac:dyDescent="0.2">
      <c r="B10000"/>
      <c r="C10000"/>
      <c r="J10000"/>
      <c r="K10000"/>
      <c r="L10000"/>
    </row>
    <row r="10001" spans="2:12" x14ac:dyDescent="0.2">
      <c r="B10001"/>
      <c r="C10001"/>
      <c r="J10001"/>
      <c r="K10001"/>
      <c r="L10001"/>
    </row>
    <row r="10002" spans="2:12" x14ac:dyDescent="0.2">
      <c r="B10002"/>
      <c r="C10002"/>
      <c r="J10002"/>
      <c r="K10002"/>
      <c r="L10002"/>
    </row>
    <row r="10003" spans="2:12" x14ac:dyDescent="0.2">
      <c r="B10003"/>
      <c r="C10003"/>
      <c r="J10003"/>
      <c r="K10003"/>
      <c r="L10003"/>
    </row>
    <row r="10004" spans="2:12" x14ac:dyDescent="0.2">
      <c r="B10004"/>
      <c r="C10004"/>
      <c r="J10004"/>
      <c r="K10004"/>
      <c r="L10004"/>
    </row>
    <row r="10005" spans="2:12" x14ac:dyDescent="0.2">
      <c r="B10005"/>
      <c r="C10005"/>
      <c r="J10005"/>
      <c r="K10005"/>
      <c r="L10005"/>
    </row>
    <row r="10006" spans="2:12" x14ac:dyDescent="0.2">
      <c r="B10006"/>
      <c r="C10006"/>
      <c r="J10006"/>
      <c r="K10006"/>
      <c r="L10006"/>
    </row>
    <row r="10007" spans="2:12" x14ac:dyDescent="0.2">
      <c r="B10007"/>
      <c r="C10007"/>
      <c r="J10007"/>
      <c r="K10007"/>
      <c r="L10007"/>
    </row>
    <row r="10008" spans="2:12" x14ac:dyDescent="0.2">
      <c r="B10008"/>
      <c r="C10008"/>
      <c r="J10008"/>
      <c r="K10008"/>
      <c r="L10008"/>
    </row>
    <row r="10009" spans="2:12" x14ac:dyDescent="0.2">
      <c r="B10009"/>
      <c r="C10009"/>
      <c r="J10009"/>
      <c r="K10009"/>
      <c r="L10009"/>
    </row>
    <row r="10010" spans="2:12" x14ac:dyDescent="0.2">
      <c r="B10010"/>
      <c r="C10010"/>
      <c r="J10010"/>
      <c r="K10010"/>
      <c r="L10010"/>
    </row>
    <row r="10011" spans="2:12" x14ac:dyDescent="0.2">
      <c r="B10011"/>
      <c r="C10011"/>
      <c r="J10011"/>
      <c r="K10011"/>
      <c r="L10011"/>
    </row>
    <row r="10012" spans="2:12" x14ac:dyDescent="0.2">
      <c r="B10012"/>
      <c r="C10012"/>
      <c r="J10012"/>
      <c r="K10012"/>
      <c r="L10012"/>
    </row>
    <row r="10013" spans="2:12" x14ac:dyDescent="0.2">
      <c r="B10013"/>
      <c r="C10013"/>
      <c r="J10013"/>
      <c r="K10013"/>
      <c r="L10013"/>
    </row>
    <row r="10014" spans="2:12" x14ac:dyDescent="0.2">
      <c r="B10014"/>
      <c r="C10014"/>
      <c r="J10014"/>
      <c r="K10014"/>
      <c r="L10014"/>
    </row>
    <row r="10015" spans="2:12" x14ac:dyDescent="0.2">
      <c r="B10015"/>
      <c r="C10015"/>
      <c r="J10015"/>
      <c r="K10015"/>
      <c r="L10015"/>
    </row>
    <row r="10016" spans="2:12" x14ac:dyDescent="0.2">
      <c r="B10016"/>
      <c r="C10016"/>
      <c r="J10016"/>
      <c r="K10016"/>
      <c r="L10016"/>
    </row>
    <row r="10017" spans="2:12" x14ac:dyDescent="0.2">
      <c r="B10017"/>
      <c r="C10017"/>
      <c r="J10017"/>
      <c r="K10017"/>
      <c r="L10017"/>
    </row>
    <row r="10018" spans="2:12" x14ac:dyDescent="0.2">
      <c r="B10018"/>
      <c r="C10018"/>
      <c r="J10018"/>
      <c r="K10018"/>
      <c r="L10018"/>
    </row>
    <row r="10019" spans="2:12" x14ac:dyDescent="0.2">
      <c r="B10019"/>
      <c r="C10019"/>
      <c r="J10019"/>
      <c r="K10019"/>
      <c r="L10019"/>
    </row>
    <row r="10020" spans="2:12" x14ac:dyDescent="0.2">
      <c r="B10020"/>
      <c r="C10020"/>
      <c r="J10020"/>
      <c r="K10020"/>
      <c r="L10020"/>
    </row>
    <row r="10021" spans="2:12" x14ac:dyDescent="0.2">
      <c r="B10021"/>
      <c r="C10021"/>
      <c r="J10021"/>
      <c r="K10021"/>
      <c r="L10021"/>
    </row>
    <row r="10022" spans="2:12" x14ac:dyDescent="0.2">
      <c r="B10022"/>
      <c r="C10022"/>
      <c r="J10022"/>
      <c r="K10022"/>
      <c r="L10022"/>
    </row>
    <row r="10023" spans="2:12" x14ac:dyDescent="0.2">
      <c r="B10023"/>
      <c r="C10023"/>
      <c r="J10023"/>
      <c r="K10023"/>
      <c r="L10023"/>
    </row>
    <row r="10024" spans="2:12" x14ac:dyDescent="0.2">
      <c r="B10024"/>
      <c r="C10024"/>
      <c r="J10024"/>
      <c r="K10024"/>
      <c r="L10024"/>
    </row>
    <row r="10025" spans="2:12" x14ac:dyDescent="0.2">
      <c r="B10025"/>
      <c r="C10025"/>
      <c r="J10025"/>
      <c r="K10025"/>
      <c r="L10025"/>
    </row>
    <row r="10026" spans="2:12" x14ac:dyDescent="0.2">
      <c r="B10026"/>
      <c r="C10026"/>
      <c r="J10026"/>
      <c r="K10026"/>
      <c r="L10026"/>
    </row>
    <row r="10027" spans="2:12" x14ac:dyDescent="0.2">
      <c r="B10027"/>
      <c r="C10027"/>
      <c r="J10027"/>
      <c r="K10027"/>
      <c r="L10027"/>
    </row>
    <row r="10028" spans="2:12" x14ac:dyDescent="0.2">
      <c r="B10028"/>
      <c r="C10028"/>
      <c r="J10028"/>
      <c r="K10028"/>
      <c r="L10028"/>
    </row>
    <row r="10029" spans="2:12" x14ac:dyDescent="0.2">
      <c r="B10029"/>
      <c r="C10029"/>
      <c r="J10029"/>
      <c r="K10029"/>
      <c r="L10029"/>
    </row>
    <row r="10030" spans="2:12" x14ac:dyDescent="0.2">
      <c r="B10030"/>
      <c r="C10030"/>
      <c r="J10030"/>
      <c r="K10030"/>
      <c r="L10030"/>
    </row>
    <row r="10031" spans="2:12" x14ac:dyDescent="0.2">
      <c r="B10031"/>
      <c r="C10031"/>
      <c r="J10031"/>
      <c r="K10031"/>
      <c r="L10031"/>
    </row>
    <row r="10032" spans="2:12" x14ac:dyDescent="0.2">
      <c r="B10032"/>
      <c r="C10032"/>
      <c r="J10032"/>
      <c r="K10032"/>
      <c r="L10032"/>
    </row>
    <row r="10033" spans="2:12" x14ac:dyDescent="0.2">
      <c r="B10033"/>
      <c r="C10033"/>
      <c r="J10033"/>
      <c r="K10033"/>
      <c r="L10033"/>
    </row>
    <row r="10034" spans="2:12" x14ac:dyDescent="0.2">
      <c r="B10034"/>
      <c r="C10034"/>
      <c r="J10034"/>
      <c r="K10034"/>
      <c r="L10034"/>
    </row>
    <row r="10035" spans="2:12" x14ac:dyDescent="0.2">
      <c r="B10035"/>
      <c r="C10035"/>
      <c r="J10035"/>
      <c r="K10035"/>
      <c r="L10035"/>
    </row>
    <row r="10036" spans="2:12" x14ac:dyDescent="0.2">
      <c r="B10036"/>
      <c r="C10036"/>
      <c r="J10036"/>
      <c r="K10036"/>
      <c r="L10036"/>
    </row>
    <row r="10037" spans="2:12" x14ac:dyDescent="0.2">
      <c r="B10037"/>
      <c r="C10037"/>
      <c r="J10037"/>
      <c r="K10037"/>
      <c r="L10037"/>
    </row>
    <row r="10038" spans="2:12" x14ac:dyDescent="0.2">
      <c r="B10038"/>
      <c r="C10038"/>
      <c r="J10038"/>
      <c r="K10038"/>
      <c r="L10038"/>
    </row>
    <row r="10039" spans="2:12" x14ac:dyDescent="0.2">
      <c r="B10039"/>
      <c r="C10039"/>
      <c r="J10039"/>
      <c r="K10039"/>
      <c r="L10039"/>
    </row>
    <row r="10040" spans="2:12" x14ac:dyDescent="0.2">
      <c r="B10040"/>
      <c r="C10040"/>
      <c r="J10040"/>
      <c r="K10040"/>
      <c r="L10040"/>
    </row>
    <row r="10041" spans="2:12" x14ac:dyDescent="0.2">
      <c r="B10041"/>
      <c r="C10041"/>
      <c r="J10041"/>
      <c r="K10041"/>
      <c r="L10041"/>
    </row>
    <row r="10042" spans="2:12" x14ac:dyDescent="0.2">
      <c r="B10042"/>
      <c r="C10042"/>
      <c r="J10042"/>
      <c r="K10042"/>
      <c r="L10042"/>
    </row>
    <row r="10043" spans="2:12" x14ac:dyDescent="0.2">
      <c r="B10043"/>
      <c r="C10043"/>
      <c r="J10043"/>
      <c r="K10043"/>
      <c r="L10043"/>
    </row>
    <row r="10044" spans="2:12" x14ac:dyDescent="0.2">
      <c r="B10044"/>
      <c r="C10044"/>
      <c r="J10044"/>
      <c r="K10044"/>
      <c r="L10044"/>
    </row>
    <row r="10045" spans="2:12" x14ac:dyDescent="0.2">
      <c r="B10045"/>
      <c r="C10045"/>
      <c r="J10045"/>
      <c r="K10045"/>
      <c r="L10045"/>
    </row>
    <row r="10046" spans="2:12" x14ac:dyDescent="0.2">
      <c r="B10046"/>
      <c r="C10046"/>
      <c r="J10046"/>
      <c r="K10046"/>
      <c r="L10046"/>
    </row>
    <row r="10047" spans="2:12" x14ac:dyDescent="0.2">
      <c r="B10047"/>
      <c r="C10047"/>
      <c r="J10047"/>
      <c r="K10047"/>
      <c r="L10047"/>
    </row>
    <row r="10048" spans="2:12" x14ac:dyDescent="0.2">
      <c r="B10048"/>
      <c r="C10048"/>
      <c r="J10048"/>
      <c r="K10048"/>
      <c r="L10048"/>
    </row>
    <row r="10049" spans="2:12" x14ac:dyDescent="0.2">
      <c r="B10049"/>
      <c r="C10049"/>
      <c r="J10049"/>
      <c r="K10049"/>
      <c r="L10049"/>
    </row>
    <row r="10050" spans="2:12" x14ac:dyDescent="0.2">
      <c r="B10050"/>
      <c r="C10050"/>
      <c r="J10050"/>
      <c r="K10050"/>
      <c r="L10050"/>
    </row>
    <row r="10051" spans="2:12" x14ac:dyDescent="0.2">
      <c r="B10051"/>
      <c r="C10051"/>
      <c r="J10051"/>
      <c r="K10051"/>
      <c r="L10051"/>
    </row>
    <row r="10052" spans="2:12" x14ac:dyDescent="0.2">
      <c r="B10052"/>
      <c r="C10052"/>
      <c r="J10052"/>
      <c r="K10052"/>
      <c r="L10052"/>
    </row>
    <row r="10053" spans="2:12" x14ac:dyDescent="0.2">
      <c r="B10053"/>
      <c r="C10053"/>
      <c r="J10053"/>
      <c r="K10053"/>
      <c r="L10053"/>
    </row>
    <row r="10054" spans="2:12" x14ac:dyDescent="0.2">
      <c r="B10054"/>
      <c r="C10054"/>
      <c r="J10054"/>
      <c r="K10054"/>
      <c r="L10054"/>
    </row>
    <row r="10055" spans="2:12" x14ac:dyDescent="0.2">
      <c r="B10055"/>
      <c r="C10055"/>
      <c r="J10055"/>
      <c r="K10055"/>
      <c r="L10055"/>
    </row>
    <row r="10056" spans="2:12" x14ac:dyDescent="0.2">
      <c r="B10056"/>
      <c r="C10056"/>
      <c r="J10056"/>
      <c r="K10056"/>
      <c r="L10056"/>
    </row>
    <row r="10057" spans="2:12" x14ac:dyDescent="0.2">
      <c r="B10057"/>
      <c r="C10057"/>
      <c r="J10057"/>
      <c r="K10057"/>
      <c r="L10057"/>
    </row>
    <row r="10058" spans="2:12" x14ac:dyDescent="0.2">
      <c r="B10058"/>
      <c r="C10058"/>
      <c r="J10058"/>
      <c r="K10058"/>
      <c r="L10058"/>
    </row>
    <row r="10059" spans="2:12" x14ac:dyDescent="0.2">
      <c r="B10059"/>
      <c r="C10059"/>
      <c r="J10059"/>
      <c r="K10059"/>
      <c r="L10059"/>
    </row>
    <row r="10060" spans="2:12" x14ac:dyDescent="0.2">
      <c r="B10060"/>
      <c r="C10060"/>
      <c r="J10060"/>
      <c r="K10060"/>
      <c r="L10060"/>
    </row>
    <row r="10061" spans="2:12" x14ac:dyDescent="0.2">
      <c r="B10061"/>
      <c r="C10061"/>
      <c r="J10061"/>
      <c r="K10061"/>
      <c r="L10061"/>
    </row>
    <row r="10062" spans="2:12" x14ac:dyDescent="0.2">
      <c r="B10062"/>
      <c r="C10062"/>
      <c r="J10062"/>
      <c r="K10062"/>
      <c r="L10062"/>
    </row>
    <row r="10063" spans="2:12" x14ac:dyDescent="0.2">
      <c r="B10063"/>
      <c r="C10063"/>
      <c r="J10063"/>
      <c r="K10063"/>
      <c r="L10063"/>
    </row>
    <row r="10064" spans="2:12" x14ac:dyDescent="0.2">
      <c r="B10064"/>
      <c r="C10064"/>
      <c r="J10064"/>
      <c r="K10064"/>
      <c r="L10064"/>
    </row>
    <row r="10065" spans="2:12" x14ac:dyDescent="0.2">
      <c r="B10065"/>
      <c r="C10065"/>
      <c r="J10065"/>
      <c r="K10065"/>
      <c r="L10065"/>
    </row>
    <row r="10066" spans="2:12" x14ac:dyDescent="0.2">
      <c r="B10066"/>
      <c r="C10066"/>
      <c r="J10066"/>
      <c r="K10066"/>
      <c r="L10066"/>
    </row>
    <row r="10067" spans="2:12" x14ac:dyDescent="0.2">
      <c r="B10067"/>
      <c r="C10067"/>
      <c r="J10067"/>
      <c r="K10067"/>
      <c r="L10067"/>
    </row>
    <row r="10068" spans="2:12" x14ac:dyDescent="0.2">
      <c r="B10068"/>
      <c r="C10068"/>
      <c r="J10068"/>
      <c r="K10068"/>
      <c r="L10068"/>
    </row>
    <row r="10069" spans="2:12" x14ac:dyDescent="0.2">
      <c r="B10069"/>
      <c r="C10069"/>
      <c r="J10069"/>
      <c r="K10069"/>
      <c r="L10069"/>
    </row>
    <row r="10070" spans="2:12" x14ac:dyDescent="0.2">
      <c r="B10070"/>
      <c r="C10070"/>
      <c r="J10070"/>
      <c r="K10070"/>
      <c r="L10070"/>
    </row>
    <row r="10071" spans="2:12" x14ac:dyDescent="0.2">
      <c r="B10071"/>
      <c r="C10071"/>
      <c r="J10071"/>
      <c r="K10071"/>
      <c r="L10071"/>
    </row>
    <row r="10072" spans="2:12" x14ac:dyDescent="0.2">
      <c r="B10072"/>
      <c r="C10072"/>
      <c r="J10072"/>
      <c r="K10072"/>
      <c r="L10072"/>
    </row>
    <row r="10073" spans="2:12" x14ac:dyDescent="0.2">
      <c r="B10073"/>
      <c r="C10073"/>
      <c r="J10073"/>
      <c r="K10073"/>
      <c r="L10073"/>
    </row>
    <row r="10074" spans="2:12" x14ac:dyDescent="0.2">
      <c r="B10074"/>
      <c r="C10074"/>
      <c r="J10074"/>
      <c r="K10074"/>
      <c r="L10074"/>
    </row>
    <row r="10075" spans="2:12" x14ac:dyDescent="0.2">
      <c r="B10075"/>
      <c r="C10075"/>
      <c r="J10075"/>
      <c r="K10075"/>
      <c r="L10075"/>
    </row>
    <row r="10076" spans="2:12" x14ac:dyDescent="0.2">
      <c r="B10076"/>
      <c r="C10076"/>
      <c r="J10076"/>
      <c r="K10076"/>
      <c r="L10076"/>
    </row>
    <row r="10077" spans="2:12" x14ac:dyDescent="0.2">
      <c r="B10077"/>
      <c r="C10077"/>
      <c r="J10077"/>
      <c r="K10077"/>
      <c r="L10077"/>
    </row>
    <row r="10078" spans="2:12" x14ac:dyDescent="0.2">
      <c r="B10078"/>
      <c r="C10078"/>
      <c r="J10078"/>
      <c r="K10078"/>
      <c r="L10078"/>
    </row>
    <row r="10079" spans="2:12" x14ac:dyDescent="0.2">
      <c r="B10079"/>
      <c r="C10079"/>
      <c r="J10079"/>
      <c r="K10079"/>
      <c r="L10079"/>
    </row>
    <row r="10080" spans="2:12" x14ac:dyDescent="0.2">
      <c r="B10080"/>
      <c r="C10080"/>
      <c r="J10080"/>
      <c r="K10080"/>
      <c r="L10080"/>
    </row>
    <row r="10081" spans="2:12" x14ac:dyDescent="0.2">
      <c r="B10081"/>
      <c r="C10081"/>
      <c r="J10081"/>
      <c r="K10081"/>
      <c r="L10081"/>
    </row>
    <row r="10082" spans="2:12" x14ac:dyDescent="0.2">
      <c r="B10082"/>
      <c r="C10082"/>
      <c r="J10082"/>
      <c r="K10082"/>
      <c r="L10082"/>
    </row>
    <row r="10083" spans="2:12" x14ac:dyDescent="0.2">
      <c r="B10083"/>
      <c r="C10083"/>
      <c r="J10083"/>
      <c r="K10083"/>
      <c r="L10083"/>
    </row>
    <row r="10084" spans="2:12" x14ac:dyDescent="0.2">
      <c r="B10084"/>
      <c r="C10084"/>
      <c r="J10084"/>
      <c r="K10084"/>
      <c r="L10084"/>
    </row>
    <row r="10085" spans="2:12" x14ac:dyDescent="0.2">
      <c r="B10085"/>
      <c r="C10085"/>
      <c r="J10085"/>
      <c r="K10085"/>
      <c r="L10085"/>
    </row>
    <row r="10086" spans="2:12" x14ac:dyDescent="0.2">
      <c r="B10086"/>
      <c r="C10086"/>
      <c r="J10086"/>
      <c r="K10086"/>
      <c r="L10086"/>
    </row>
    <row r="10087" spans="2:12" x14ac:dyDescent="0.2">
      <c r="B10087"/>
      <c r="C10087"/>
      <c r="J10087"/>
      <c r="K10087"/>
      <c r="L10087"/>
    </row>
    <row r="10088" spans="2:12" x14ac:dyDescent="0.2">
      <c r="B10088"/>
      <c r="C10088"/>
      <c r="J10088"/>
      <c r="K10088"/>
      <c r="L10088"/>
    </row>
    <row r="10089" spans="2:12" x14ac:dyDescent="0.2">
      <c r="B10089"/>
      <c r="C10089"/>
      <c r="J10089"/>
      <c r="K10089"/>
      <c r="L10089"/>
    </row>
    <row r="10090" spans="2:12" x14ac:dyDescent="0.2">
      <c r="B10090"/>
      <c r="C10090"/>
      <c r="J10090"/>
      <c r="K10090"/>
      <c r="L10090"/>
    </row>
    <row r="10091" spans="2:12" x14ac:dyDescent="0.2">
      <c r="B10091"/>
      <c r="C10091"/>
      <c r="J10091"/>
      <c r="K10091"/>
      <c r="L10091"/>
    </row>
    <row r="10092" spans="2:12" x14ac:dyDescent="0.2">
      <c r="B10092"/>
      <c r="C10092"/>
      <c r="J10092"/>
      <c r="K10092"/>
      <c r="L10092"/>
    </row>
    <row r="10093" spans="2:12" x14ac:dyDescent="0.2">
      <c r="B10093"/>
      <c r="C10093"/>
      <c r="J10093"/>
      <c r="K10093"/>
      <c r="L10093"/>
    </row>
    <row r="10094" spans="2:12" x14ac:dyDescent="0.2">
      <c r="B10094"/>
      <c r="C10094"/>
      <c r="J10094"/>
      <c r="K10094"/>
      <c r="L10094"/>
    </row>
    <row r="10095" spans="2:12" x14ac:dyDescent="0.2">
      <c r="B10095"/>
      <c r="C10095"/>
      <c r="J10095"/>
      <c r="K10095"/>
      <c r="L10095"/>
    </row>
    <row r="10096" spans="2:12" x14ac:dyDescent="0.2">
      <c r="B10096"/>
      <c r="C10096"/>
      <c r="J10096"/>
      <c r="K10096"/>
      <c r="L10096"/>
    </row>
    <row r="10097" spans="2:12" x14ac:dyDescent="0.2">
      <c r="B10097"/>
      <c r="C10097"/>
      <c r="J10097"/>
      <c r="K10097"/>
      <c r="L10097"/>
    </row>
    <row r="10098" spans="2:12" x14ac:dyDescent="0.2">
      <c r="B10098"/>
      <c r="C10098"/>
      <c r="J10098"/>
      <c r="K10098"/>
      <c r="L10098"/>
    </row>
    <row r="10099" spans="2:12" x14ac:dyDescent="0.2">
      <c r="B10099"/>
      <c r="C10099"/>
      <c r="J10099"/>
      <c r="K10099"/>
      <c r="L10099"/>
    </row>
    <row r="10100" spans="2:12" x14ac:dyDescent="0.2">
      <c r="B10100"/>
      <c r="C10100"/>
      <c r="J10100"/>
      <c r="K10100"/>
      <c r="L10100"/>
    </row>
    <row r="10101" spans="2:12" x14ac:dyDescent="0.2">
      <c r="B10101"/>
      <c r="C10101"/>
      <c r="J10101"/>
      <c r="K10101"/>
      <c r="L10101"/>
    </row>
    <row r="10102" spans="2:12" x14ac:dyDescent="0.2">
      <c r="B10102"/>
      <c r="C10102"/>
      <c r="J10102"/>
      <c r="K10102"/>
      <c r="L10102"/>
    </row>
    <row r="10103" spans="2:12" x14ac:dyDescent="0.2">
      <c r="B10103"/>
      <c r="C10103"/>
      <c r="J10103"/>
      <c r="K10103"/>
      <c r="L10103"/>
    </row>
    <row r="10104" spans="2:12" x14ac:dyDescent="0.2">
      <c r="B10104"/>
      <c r="C10104"/>
      <c r="J10104"/>
      <c r="K10104"/>
      <c r="L10104"/>
    </row>
    <row r="10105" spans="2:12" x14ac:dyDescent="0.2">
      <c r="B10105"/>
      <c r="C10105"/>
      <c r="J10105"/>
      <c r="K10105"/>
      <c r="L10105"/>
    </row>
    <row r="10106" spans="2:12" x14ac:dyDescent="0.2">
      <c r="B10106"/>
      <c r="C10106"/>
      <c r="J10106"/>
      <c r="K10106"/>
      <c r="L10106"/>
    </row>
    <row r="10107" spans="2:12" x14ac:dyDescent="0.2">
      <c r="B10107"/>
      <c r="C10107"/>
      <c r="J10107"/>
      <c r="K10107"/>
      <c r="L10107"/>
    </row>
    <row r="10108" spans="2:12" x14ac:dyDescent="0.2">
      <c r="B10108"/>
      <c r="C10108"/>
      <c r="J10108"/>
      <c r="K10108"/>
      <c r="L10108"/>
    </row>
    <row r="10109" spans="2:12" x14ac:dyDescent="0.2">
      <c r="B10109"/>
      <c r="C10109"/>
      <c r="J10109"/>
      <c r="K10109"/>
      <c r="L10109"/>
    </row>
    <row r="10110" spans="2:12" x14ac:dyDescent="0.2">
      <c r="B10110"/>
      <c r="C10110"/>
      <c r="J10110"/>
      <c r="K10110"/>
      <c r="L10110"/>
    </row>
    <row r="10111" spans="2:12" x14ac:dyDescent="0.2">
      <c r="B10111"/>
      <c r="C10111"/>
      <c r="J10111"/>
      <c r="K10111"/>
      <c r="L10111"/>
    </row>
    <row r="10112" spans="2:12" x14ac:dyDescent="0.2">
      <c r="B10112"/>
      <c r="C10112"/>
      <c r="J10112"/>
      <c r="K10112"/>
      <c r="L10112"/>
    </row>
    <row r="10113" spans="2:12" x14ac:dyDescent="0.2">
      <c r="B10113"/>
      <c r="C10113"/>
      <c r="J10113"/>
      <c r="K10113"/>
      <c r="L10113"/>
    </row>
    <row r="10114" spans="2:12" x14ac:dyDescent="0.2">
      <c r="B10114"/>
      <c r="C10114"/>
      <c r="J10114"/>
      <c r="K10114"/>
      <c r="L10114"/>
    </row>
    <row r="10115" spans="2:12" x14ac:dyDescent="0.2">
      <c r="B10115"/>
      <c r="C10115"/>
      <c r="J10115"/>
      <c r="K10115"/>
      <c r="L10115"/>
    </row>
    <row r="10116" spans="2:12" x14ac:dyDescent="0.2">
      <c r="B10116"/>
      <c r="C10116"/>
      <c r="J10116"/>
      <c r="K10116"/>
      <c r="L10116"/>
    </row>
    <row r="10117" spans="2:12" x14ac:dyDescent="0.2">
      <c r="B10117"/>
      <c r="C10117"/>
      <c r="J10117"/>
      <c r="K10117"/>
      <c r="L10117"/>
    </row>
    <row r="10118" spans="2:12" x14ac:dyDescent="0.2">
      <c r="B10118"/>
      <c r="C10118"/>
      <c r="J10118"/>
      <c r="K10118"/>
      <c r="L10118"/>
    </row>
    <row r="10119" spans="2:12" x14ac:dyDescent="0.2">
      <c r="B10119"/>
      <c r="C10119"/>
      <c r="J10119"/>
      <c r="K10119"/>
      <c r="L10119"/>
    </row>
    <row r="10120" spans="2:12" x14ac:dyDescent="0.2">
      <c r="B10120"/>
      <c r="C10120"/>
      <c r="J10120"/>
      <c r="K10120"/>
      <c r="L10120"/>
    </row>
    <row r="10121" spans="2:12" x14ac:dyDescent="0.2">
      <c r="B10121"/>
      <c r="C10121"/>
      <c r="J10121"/>
      <c r="K10121"/>
      <c r="L10121"/>
    </row>
    <row r="10122" spans="2:12" x14ac:dyDescent="0.2">
      <c r="B10122"/>
      <c r="C10122"/>
      <c r="J10122"/>
      <c r="K10122"/>
      <c r="L10122"/>
    </row>
    <row r="10123" spans="2:12" x14ac:dyDescent="0.2">
      <c r="B10123"/>
      <c r="C10123"/>
      <c r="J10123"/>
      <c r="K10123"/>
      <c r="L10123"/>
    </row>
    <row r="10124" spans="2:12" x14ac:dyDescent="0.2">
      <c r="B10124"/>
      <c r="C10124"/>
      <c r="J10124"/>
      <c r="K10124"/>
      <c r="L10124"/>
    </row>
    <row r="10125" spans="2:12" x14ac:dyDescent="0.2">
      <c r="B10125"/>
      <c r="C10125"/>
      <c r="J10125"/>
      <c r="K10125"/>
      <c r="L10125"/>
    </row>
    <row r="10126" spans="2:12" x14ac:dyDescent="0.2">
      <c r="B10126"/>
      <c r="C10126"/>
      <c r="J10126"/>
      <c r="K10126"/>
      <c r="L10126"/>
    </row>
    <row r="10127" spans="2:12" x14ac:dyDescent="0.2">
      <c r="B10127"/>
      <c r="C10127"/>
      <c r="J10127"/>
      <c r="K10127"/>
      <c r="L10127"/>
    </row>
    <row r="10128" spans="2:12" x14ac:dyDescent="0.2">
      <c r="B10128"/>
      <c r="C10128"/>
      <c r="J10128"/>
      <c r="K10128"/>
      <c r="L10128"/>
    </row>
    <row r="10129" spans="2:12" x14ac:dyDescent="0.2">
      <c r="B10129"/>
      <c r="C10129"/>
      <c r="J10129"/>
      <c r="K10129"/>
      <c r="L10129"/>
    </row>
    <row r="10130" spans="2:12" x14ac:dyDescent="0.2">
      <c r="B10130"/>
      <c r="C10130"/>
      <c r="J10130"/>
      <c r="K10130"/>
      <c r="L10130"/>
    </row>
    <row r="10131" spans="2:12" x14ac:dyDescent="0.2">
      <c r="B10131"/>
      <c r="C10131"/>
      <c r="J10131"/>
      <c r="K10131"/>
      <c r="L10131"/>
    </row>
    <row r="10132" spans="2:12" x14ac:dyDescent="0.2">
      <c r="B10132"/>
      <c r="C10132"/>
      <c r="J10132"/>
      <c r="K10132"/>
      <c r="L10132"/>
    </row>
    <row r="10133" spans="2:12" x14ac:dyDescent="0.2">
      <c r="B10133"/>
      <c r="C10133"/>
      <c r="J10133"/>
      <c r="K10133"/>
      <c r="L10133"/>
    </row>
    <row r="10134" spans="2:12" x14ac:dyDescent="0.2">
      <c r="B10134"/>
      <c r="C10134"/>
      <c r="J10134"/>
      <c r="K10134"/>
      <c r="L10134"/>
    </row>
    <row r="10135" spans="2:12" x14ac:dyDescent="0.2">
      <c r="B10135"/>
      <c r="C10135"/>
      <c r="J10135"/>
      <c r="K10135"/>
      <c r="L10135"/>
    </row>
    <row r="10136" spans="2:12" x14ac:dyDescent="0.2">
      <c r="B10136"/>
      <c r="C10136"/>
      <c r="J10136"/>
      <c r="K10136"/>
      <c r="L10136"/>
    </row>
    <row r="10137" spans="2:12" x14ac:dyDescent="0.2">
      <c r="B10137"/>
      <c r="C10137"/>
      <c r="J10137"/>
      <c r="K10137"/>
      <c r="L10137"/>
    </row>
    <row r="10138" spans="2:12" x14ac:dyDescent="0.2">
      <c r="B10138"/>
      <c r="C10138"/>
      <c r="J10138"/>
      <c r="K10138"/>
      <c r="L10138"/>
    </row>
    <row r="10139" spans="2:12" x14ac:dyDescent="0.2">
      <c r="B10139"/>
      <c r="C10139"/>
      <c r="J10139"/>
      <c r="K10139"/>
      <c r="L10139"/>
    </row>
    <row r="10140" spans="2:12" x14ac:dyDescent="0.2">
      <c r="B10140"/>
      <c r="C10140"/>
      <c r="J10140"/>
      <c r="K10140"/>
      <c r="L10140"/>
    </row>
    <row r="10141" spans="2:12" x14ac:dyDescent="0.2">
      <c r="B10141"/>
      <c r="C10141"/>
      <c r="J10141"/>
      <c r="K10141"/>
      <c r="L10141"/>
    </row>
    <row r="10142" spans="2:12" x14ac:dyDescent="0.2">
      <c r="B10142"/>
      <c r="C10142"/>
      <c r="J10142"/>
      <c r="K10142"/>
      <c r="L10142"/>
    </row>
    <row r="10143" spans="2:12" x14ac:dyDescent="0.2">
      <c r="B10143"/>
      <c r="C10143"/>
      <c r="J10143"/>
      <c r="K10143"/>
      <c r="L10143"/>
    </row>
    <row r="10144" spans="2:12" x14ac:dyDescent="0.2">
      <c r="B10144"/>
      <c r="C10144"/>
      <c r="J10144"/>
      <c r="K10144"/>
      <c r="L10144"/>
    </row>
    <row r="10145" spans="2:12" x14ac:dyDescent="0.2">
      <c r="B10145"/>
      <c r="C10145"/>
      <c r="J10145"/>
      <c r="K10145"/>
      <c r="L10145"/>
    </row>
    <row r="10146" spans="2:12" x14ac:dyDescent="0.2">
      <c r="B10146"/>
      <c r="C10146"/>
      <c r="J10146"/>
      <c r="K10146"/>
      <c r="L10146"/>
    </row>
    <row r="10147" spans="2:12" x14ac:dyDescent="0.2">
      <c r="B10147"/>
      <c r="C10147"/>
      <c r="J10147"/>
      <c r="K10147"/>
      <c r="L10147"/>
    </row>
    <row r="10148" spans="2:12" x14ac:dyDescent="0.2">
      <c r="B10148"/>
      <c r="C10148"/>
      <c r="J10148"/>
      <c r="K10148"/>
      <c r="L10148"/>
    </row>
    <row r="10149" spans="2:12" x14ac:dyDescent="0.2">
      <c r="B10149"/>
      <c r="C10149"/>
      <c r="J10149"/>
      <c r="K10149"/>
      <c r="L10149"/>
    </row>
    <row r="10150" spans="2:12" x14ac:dyDescent="0.2">
      <c r="B10150"/>
      <c r="C10150"/>
      <c r="J10150"/>
      <c r="K10150"/>
      <c r="L10150"/>
    </row>
    <row r="10151" spans="2:12" x14ac:dyDescent="0.2">
      <c r="B10151"/>
      <c r="C10151"/>
      <c r="J10151"/>
      <c r="K10151"/>
      <c r="L10151"/>
    </row>
    <row r="10152" spans="2:12" x14ac:dyDescent="0.2">
      <c r="B10152"/>
      <c r="C10152"/>
      <c r="J10152"/>
      <c r="K10152"/>
      <c r="L10152"/>
    </row>
    <row r="10153" spans="2:12" x14ac:dyDescent="0.2">
      <c r="B10153"/>
      <c r="C10153"/>
      <c r="J10153"/>
      <c r="K10153"/>
      <c r="L10153"/>
    </row>
    <row r="10154" spans="2:12" x14ac:dyDescent="0.2">
      <c r="B10154"/>
      <c r="C10154"/>
      <c r="J10154"/>
      <c r="K10154"/>
      <c r="L10154"/>
    </row>
    <row r="10155" spans="2:12" x14ac:dyDescent="0.2">
      <c r="B10155"/>
      <c r="C10155"/>
      <c r="J10155"/>
      <c r="K10155"/>
      <c r="L10155"/>
    </row>
    <row r="10156" spans="2:12" x14ac:dyDescent="0.2">
      <c r="B10156"/>
      <c r="C10156"/>
      <c r="J10156"/>
      <c r="K10156"/>
      <c r="L10156"/>
    </row>
    <row r="10157" spans="2:12" x14ac:dyDescent="0.2">
      <c r="B10157"/>
      <c r="C10157"/>
      <c r="J10157"/>
      <c r="K10157"/>
      <c r="L10157"/>
    </row>
    <row r="10158" spans="2:12" x14ac:dyDescent="0.2">
      <c r="B10158"/>
      <c r="C10158"/>
      <c r="J10158"/>
      <c r="K10158"/>
      <c r="L10158"/>
    </row>
    <row r="10159" spans="2:12" x14ac:dyDescent="0.2">
      <c r="B10159"/>
      <c r="C10159"/>
      <c r="J10159"/>
      <c r="K10159"/>
      <c r="L10159"/>
    </row>
    <row r="10160" spans="2:12" x14ac:dyDescent="0.2">
      <c r="B10160"/>
      <c r="C10160"/>
      <c r="J10160"/>
      <c r="K10160"/>
      <c r="L10160"/>
    </row>
    <row r="10161" spans="2:12" x14ac:dyDescent="0.2">
      <c r="B10161"/>
      <c r="C10161"/>
      <c r="J10161"/>
      <c r="K10161"/>
      <c r="L10161"/>
    </row>
    <row r="10162" spans="2:12" x14ac:dyDescent="0.2">
      <c r="B10162"/>
      <c r="C10162"/>
      <c r="J10162"/>
      <c r="K10162"/>
      <c r="L10162"/>
    </row>
    <row r="10163" spans="2:12" x14ac:dyDescent="0.2">
      <c r="B10163"/>
      <c r="C10163"/>
      <c r="J10163"/>
      <c r="K10163"/>
      <c r="L10163"/>
    </row>
    <row r="10164" spans="2:12" x14ac:dyDescent="0.2">
      <c r="B10164"/>
      <c r="C10164"/>
      <c r="J10164"/>
      <c r="K10164"/>
      <c r="L10164"/>
    </row>
    <row r="10165" spans="2:12" x14ac:dyDescent="0.2">
      <c r="B10165"/>
      <c r="C10165"/>
      <c r="J10165"/>
      <c r="K10165"/>
      <c r="L10165"/>
    </row>
    <row r="10166" spans="2:12" x14ac:dyDescent="0.2">
      <c r="B10166"/>
      <c r="C10166"/>
      <c r="J10166"/>
      <c r="K10166"/>
      <c r="L10166"/>
    </row>
    <row r="10167" spans="2:12" x14ac:dyDescent="0.2">
      <c r="B10167"/>
      <c r="C10167"/>
      <c r="J10167"/>
      <c r="K10167"/>
      <c r="L10167"/>
    </row>
    <row r="10168" spans="2:12" x14ac:dyDescent="0.2">
      <c r="B10168"/>
      <c r="C10168"/>
      <c r="J10168"/>
      <c r="K10168"/>
      <c r="L10168"/>
    </row>
    <row r="10169" spans="2:12" x14ac:dyDescent="0.2">
      <c r="B10169"/>
      <c r="C10169"/>
      <c r="J10169"/>
      <c r="K10169"/>
      <c r="L10169"/>
    </row>
    <row r="10170" spans="2:12" x14ac:dyDescent="0.2">
      <c r="B10170"/>
      <c r="C10170"/>
      <c r="J10170"/>
      <c r="K10170"/>
      <c r="L10170"/>
    </row>
    <row r="10171" spans="2:12" x14ac:dyDescent="0.2">
      <c r="B10171"/>
      <c r="C10171"/>
      <c r="J10171"/>
      <c r="K10171"/>
      <c r="L10171"/>
    </row>
    <row r="10172" spans="2:12" x14ac:dyDescent="0.2">
      <c r="B10172"/>
      <c r="C10172"/>
      <c r="J10172"/>
      <c r="K10172"/>
      <c r="L10172"/>
    </row>
    <row r="10173" spans="2:12" x14ac:dyDescent="0.2">
      <c r="B10173"/>
      <c r="C10173"/>
      <c r="J10173"/>
      <c r="K10173"/>
      <c r="L10173"/>
    </row>
    <row r="10174" spans="2:12" x14ac:dyDescent="0.2">
      <c r="B10174"/>
      <c r="C10174"/>
      <c r="J10174"/>
      <c r="K10174"/>
      <c r="L10174"/>
    </row>
    <row r="10175" spans="2:12" x14ac:dyDescent="0.2">
      <c r="B10175"/>
      <c r="C10175"/>
      <c r="J10175"/>
      <c r="K10175"/>
      <c r="L10175"/>
    </row>
    <row r="10176" spans="2:12" x14ac:dyDescent="0.2">
      <c r="B10176"/>
      <c r="C10176"/>
      <c r="J10176"/>
      <c r="K10176"/>
      <c r="L10176"/>
    </row>
    <row r="10177" spans="2:12" x14ac:dyDescent="0.2">
      <c r="B10177"/>
      <c r="C10177"/>
      <c r="J10177"/>
      <c r="K10177"/>
      <c r="L10177"/>
    </row>
    <row r="10178" spans="2:12" x14ac:dyDescent="0.2">
      <c r="B10178"/>
      <c r="C10178"/>
      <c r="J10178"/>
      <c r="K10178"/>
      <c r="L10178"/>
    </row>
    <row r="10179" spans="2:12" x14ac:dyDescent="0.2">
      <c r="B10179"/>
      <c r="C10179"/>
      <c r="J10179"/>
      <c r="K10179"/>
      <c r="L10179"/>
    </row>
    <row r="10180" spans="2:12" x14ac:dyDescent="0.2">
      <c r="B10180"/>
      <c r="C10180"/>
      <c r="J10180"/>
      <c r="K10180"/>
      <c r="L10180"/>
    </row>
    <row r="10181" spans="2:12" x14ac:dyDescent="0.2">
      <c r="B10181"/>
      <c r="C10181"/>
      <c r="J10181"/>
      <c r="K10181"/>
      <c r="L10181"/>
    </row>
    <row r="10182" spans="2:12" x14ac:dyDescent="0.2">
      <c r="B10182"/>
      <c r="C10182"/>
      <c r="J10182"/>
      <c r="K10182"/>
      <c r="L10182"/>
    </row>
    <row r="10183" spans="2:12" x14ac:dyDescent="0.2">
      <c r="B10183"/>
      <c r="C10183"/>
      <c r="J10183"/>
      <c r="K10183"/>
      <c r="L10183"/>
    </row>
    <row r="10184" spans="2:12" x14ac:dyDescent="0.2">
      <c r="B10184"/>
      <c r="C10184"/>
      <c r="J10184"/>
      <c r="K10184"/>
      <c r="L10184"/>
    </row>
    <row r="10185" spans="2:12" x14ac:dyDescent="0.2">
      <c r="B10185"/>
      <c r="C10185"/>
      <c r="J10185"/>
      <c r="K10185"/>
      <c r="L10185"/>
    </row>
    <row r="10186" spans="2:12" x14ac:dyDescent="0.2">
      <c r="B10186"/>
      <c r="C10186"/>
      <c r="J10186"/>
      <c r="K10186"/>
      <c r="L10186"/>
    </row>
    <row r="10187" spans="2:12" x14ac:dyDescent="0.2">
      <c r="B10187"/>
      <c r="C10187"/>
      <c r="J10187"/>
      <c r="K10187"/>
      <c r="L10187"/>
    </row>
    <row r="10188" spans="2:12" x14ac:dyDescent="0.2">
      <c r="B10188"/>
      <c r="C10188"/>
      <c r="J10188"/>
      <c r="K10188"/>
      <c r="L10188"/>
    </row>
    <row r="10189" spans="2:12" x14ac:dyDescent="0.2">
      <c r="B10189"/>
      <c r="C10189"/>
      <c r="J10189"/>
      <c r="K10189"/>
      <c r="L10189"/>
    </row>
    <row r="10190" spans="2:12" x14ac:dyDescent="0.2">
      <c r="B10190"/>
      <c r="C10190"/>
      <c r="J10190"/>
      <c r="K10190"/>
      <c r="L10190"/>
    </row>
    <row r="10191" spans="2:12" x14ac:dyDescent="0.2">
      <c r="B10191"/>
      <c r="C10191"/>
      <c r="J10191"/>
      <c r="K10191"/>
      <c r="L10191"/>
    </row>
    <row r="10192" spans="2:12" x14ac:dyDescent="0.2">
      <c r="B10192"/>
      <c r="C10192"/>
      <c r="J10192"/>
      <c r="K10192"/>
      <c r="L10192"/>
    </row>
    <row r="10193" spans="2:12" x14ac:dyDescent="0.2">
      <c r="B10193"/>
      <c r="C10193"/>
      <c r="J10193"/>
      <c r="K10193"/>
      <c r="L10193"/>
    </row>
    <row r="10194" spans="2:12" x14ac:dyDescent="0.2">
      <c r="B10194"/>
      <c r="C10194"/>
      <c r="J10194"/>
      <c r="K10194"/>
      <c r="L10194"/>
    </row>
    <row r="10195" spans="2:12" x14ac:dyDescent="0.2">
      <c r="B10195"/>
      <c r="C10195"/>
      <c r="J10195"/>
      <c r="K10195"/>
      <c r="L10195"/>
    </row>
    <row r="10196" spans="2:12" x14ac:dyDescent="0.2">
      <c r="B10196"/>
      <c r="C10196"/>
      <c r="J10196"/>
      <c r="K10196"/>
      <c r="L10196"/>
    </row>
    <row r="10197" spans="2:12" x14ac:dyDescent="0.2">
      <c r="B10197"/>
      <c r="C10197"/>
      <c r="J10197"/>
      <c r="K10197"/>
      <c r="L10197"/>
    </row>
    <row r="10198" spans="2:12" x14ac:dyDescent="0.2">
      <c r="B10198"/>
      <c r="C10198"/>
      <c r="J10198"/>
      <c r="K10198"/>
      <c r="L10198"/>
    </row>
    <row r="10199" spans="2:12" x14ac:dyDescent="0.2">
      <c r="B10199"/>
      <c r="C10199"/>
      <c r="J10199"/>
      <c r="K10199"/>
      <c r="L10199"/>
    </row>
    <row r="10200" spans="2:12" x14ac:dyDescent="0.2">
      <c r="B10200"/>
      <c r="C10200"/>
      <c r="J10200"/>
      <c r="K10200"/>
      <c r="L10200"/>
    </row>
    <row r="10201" spans="2:12" x14ac:dyDescent="0.2">
      <c r="B10201"/>
      <c r="C10201"/>
      <c r="J10201"/>
      <c r="K10201"/>
      <c r="L10201"/>
    </row>
    <row r="10202" spans="2:12" x14ac:dyDescent="0.2">
      <c r="B10202"/>
      <c r="C10202"/>
      <c r="J10202"/>
      <c r="K10202"/>
      <c r="L10202"/>
    </row>
    <row r="10203" spans="2:12" x14ac:dyDescent="0.2">
      <c r="B10203"/>
      <c r="C10203"/>
      <c r="J10203"/>
      <c r="K10203"/>
      <c r="L10203"/>
    </row>
    <row r="10204" spans="2:12" x14ac:dyDescent="0.2">
      <c r="B10204"/>
      <c r="C10204"/>
      <c r="J10204"/>
      <c r="K10204"/>
      <c r="L10204"/>
    </row>
    <row r="10205" spans="2:12" x14ac:dyDescent="0.2">
      <c r="B10205"/>
      <c r="C10205"/>
      <c r="J10205"/>
      <c r="K10205"/>
      <c r="L10205"/>
    </row>
    <row r="10206" spans="2:12" x14ac:dyDescent="0.2">
      <c r="B10206"/>
      <c r="C10206"/>
      <c r="J10206"/>
      <c r="K10206"/>
      <c r="L10206"/>
    </row>
    <row r="10207" spans="2:12" x14ac:dyDescent="0.2">
      <c r="B10207"/>
      <c r="C10207"/>
      <c r="J10207"/>
      <c r="K10207"/>
      <c r="L10207"/>
    </row>
    <row r="10208" spans="2:12" x14ac:dyDescent="0.2">
      <c r="B10208"/>
      <c r="C10208"/>
      <c r="J10208"/>
      <c r="K10208"/>
      <c r="L10208"/>
    </row>
    <row r="10209" spans="2:12" x14ac:dyDescent="0.2">
      <c r="B10209"/>
      <c r="C10209"/>
      <c r="J10209"/>
      <c r="K10209"/>
      <c r="L10209"/>
    </row>
    <row r="10210" spans="2:12" x14ac:dyDescent="0.2">
      <c r="B10210"/>
      <c r="C10210"/>
      <c r="J10210"/>
      <c r="K10210"/>
      <c r="L10210"/>
    </row>
    <row r="10211" spans="2:12" x14ac:dyDescent="0.2">
      <c r="B10211"/>
      <c r="C10211"/>
      <c r="J10211"/>
      <c r="K10211"/>
      <c r="L10211"/>
    </row>
    <row r="10212" spans="2:12" x14ac:dyDescent="0.2">
      <c r="B10212"/>
      <c r="C10212"/>
      <c r="J10212"/>
      <c r="K10212"/>
      <c r="L10212"/>
    </row>
    <row r="10213" spans="2:12" x14ac:dyDescent="0.2">
      <c r="B10213"/>
      <c r="C10213"/>
      <c r="J10213"/>
      <c r="K10213"/>
      <c r="L10213"/>
    </row>
    <row r="10214" spans="2:12" x14ac:dyDescent="0.2">
      <c r="B10214"/>
      <c r="C10214"/>
      <c r="J10214"/>
      <c r="K10214"/>
      <c r="L10214"/>
    </row>
    <row r="10215" spans="2:12" x14ac:dyDescent="0.2">
      <c r="B10215"/>
      <c r="C10215"/>
      <c r="J10215"/>
      <c r="K10215"/>
      <c r="L10215"/>
    </row>
    <row r="10216" spans="2:12" x14ac:dyDescent="0.2">
      <c r="B10216"/>
      <c r="C10216"/>
      <c r="J10216"/>
      <c r="K10216"/>
      <c r="L10216"/>
    </row>
    <row r="10217" spans="2:12" x14ac:dyDescent="0.2">
      <c r="B10217"/>
      <c r="C10217"/>
      <c r="J10217"/>
      <c r="K10217"/>
      <c r="L10217"/>
    </row>
    <row r="10218" spans="2:12" x14ac:dyDescent="0.2">
      <c r="B10218"/>
      <c r="C10218"/>
      <c r="J10218"/>
      <c r="K10218"/>
      <c r="L10218"/>
    </row>
    <row r="10219" spans="2:12" x14ac:dyDescent="0.2">
      <c r="B10219"/>
      <c r="C10219"/>
      <c r="J10219"/>
      <c r="K10219"/>
      <c r="L10219"/>
    </row>
    <row r="10220" spans="2:12" x14ac:dyDescent="0.2">
      <c r="B10220"/>
      <c r="C10220"/>
      <c r="J10220"/>
      <c r="K10220"/>
      <c r="L10220"/>
    </row>
    <row r="10221" spans="2:12" x14ac:dyDescent="0.2">
      <c r="B10221"/>
      <c r="C10221"/>
      <c r="J10221"/>
      <c r="K10221"/>
      <c r="L10221"/>
    </row>
    <row r="10222" spans="2:12" x14ac:dyDescent="0.2">
      <c r="B10222"/>
      <c r="C10222"/>
      <c r="J10222"/>
      <c r="K10222"/>
      <c r="L10222"/>
    </row>
    <row r="10223" spans="2:12" x14ac:dyDescent="0.2">
      <c r="B10223"/>
      <c r="C10223"/>
      <c r="J10223"/>
      <c r="K10223"/>
      <c r="L10223"/>
    </row>
    <row r="10224" spans="2:12" x14ac:dyDescent="0.2">
      <c r="B10224"/>
      <c r="C10224"/>
      <c r="J10224"/>
      <c r="K10224"/>
      <c r="L10224"/>
    </row>
    <row r="10225" spans="2:12" x14ac:dyDescent="0.2">
      <c r="B10225"/>
      <c r="C10225"/>
      <c r="J10225"/>
      <c r="K10225"/>
      <c r="L10225"/>
    </row>
    <row r="10226" spans="2:12" x14ac:dyDescent="0.2">
      <c r="B10226"/>
      <c r="C10226"/>
      <c r="J10226"/>
      <c r="K10226"/>
      <c r="L10226"/>
    </row>
    <row r="10227" spans="2:12" x14ac:dyDescent="0.2">
      <c r="B10227"/>
      <c r="C10227"/>
      <c r="J10227"/>
      <c r="K10227"/>
      <c r="L10227"/>
    </row>
    <row r="10228" spans="2:12" x14ac:dyDescent="0.2">
      <c r="B10228"/>
      <c r="C10228"/>
      <c r="J10228"/>
      <c r="K10228"/>
      <c r="L10228"/>
    </row>
    <row r="10229" spans="2:12" x14ac:dyDescent="0.2">
      <c r="B10229"/>
      <c r="C10229"/>
      <c r="J10229"/>
      <c r="K10229"/>
      <c r="L10229"/>
    </row>
    <row r="10230" spans="2:12" x14ac:dyDescent="0.2">
      <c r="B10230"/>
      <c r="C10230"/>
      <c r="J10230"/>
      <c r="K10230"/>
      <c r="L10230"/>
    </row>
    <row r="10231" spans="2:12" x14ac:dyDescent="0.2">
      <c r="B10231"/>
      <c r="C10231"/>
      <c r="J10231"/>
      <c r="K10231"/>
      <c r="L10231"/>
    </row>
    <row r="10232" spans="2:12" x14ac:dyDescent="0.2">
      <c r="B10232"/>
      <c r="C10232"/>
      <c r="J10232"/>
      <c r="K10232"/>
      <c r="L10232"/>
    </row>
    <row r="10233" spans="2:12" x14ac:dyDescent="0.2">
      <c r="B10233"/>
      <c r="C10233"/>
      <c r="J10233"/>
      <c r="K10233"/>
      <c r="L10233"/>
    </row>
    <row r="10234" spans="2:12" x14ac:dyDescent="0.2">
      <c r="B10234"/>
      <c r="C10234"/>
      <c r="J10234"/>
      <c r="K10234"/>
      <c r="L10234"/>
    </row>
    <row r="10235" spans="2:12" x14ac:dyDescent="0.2">
      <c r="B10235"/>
      <c r="C10235"/>
      <c r="J10235"/>
      <c r="K10235"/>
      <c r="L10235"/>
    </row>
    <row r="10236" spans="2:12" x14ac:dyDescent="0.2">
      <c r="B10236"/>
      <c r="C10236"/>
      <c r="J10236"/>
      <c r="K10236"/>
      <c r="L10236"/>
    </row>
    <row r="10237" spans="2:12" x14ac:dyDescent="0.2">
      <c r="B10237"/>
      <c r="C10237"/>
      <c r="J10237"/>
      <c r="K10237"/>
      <c r="L10237"/>
    </row>
    <row r="10238" spans="2:12" x14ac:dyDescent="0.2">
      <c r="B10238"/>
      <c r="C10238"/>
      <c r="J10238"/>
      <c r="K10238"/>
      <c r="L10238"/>
    </row>
    <row r="10239" spans="2:12" x14ac:dyDescent="0.2">
      <c r="B10239"/>
      <c r="C10239"/>
      <c r="J10239"/>
      <c r="K10239"/>
      <c r="L10239"/>
    </row>
    <row r="10240" spans="2:12" x14ac:dyDescent="0.2">
      <c r="B10240"/>
      <c r="C10240"/>
      <c r="J10240"/>
      <c r="K10240"/>
      <c r="L10240"/>
    </row>
    <row r="10241" spans="2:12" x14ac:dyDescent="0.2">
      <c r="B10241"/>
      <c r="C10241"/>
      <c r="J10241"/>
      <c r="K10241"/>
      <c r="L10241"/>
    </row>
    <row r="10242" spans="2:12" x14ac:dyDescent="0.2">
      <c r="B10242"/>
      <c r="C10242"/>
      <c r="J10242"/>
      <c r="K10242"/>
      <c r="L10242"/>
    </row>
    <row r="10243" spans="2:12" x14ac:dyDescent="0.2">
      <c r="B10243"/>
      <c r="C10243"/>
      <c r="J10243"/>
      <c r="K10243"/>
      <c r="L10243"/>
    </row>
    <row r="10244" spans="2:12" x14ac:dyDescent="0.2">
      <c r="B10244"/>
      <c r="C10244"/>
      <c r="J10244"/>
      <c r="K10244"/>
      <c r="L10244"/>
    </row>
    <row r="10245" spans="2:12" x14ac:dyDescent="0.2">
      <c r="B10245"/>
      <c r="C10245"/>
      <c r="J10245"/>
      <c r="K10245"/>
      <c r="L10245"/>
    </row>
    <row r="10246" spans="2:12" x14ac:dyDescent="0.2">
      <c r="B10246"/>
      <c r="C10246"/>
      <c r="J10246"/>
      <c r="K10246"/>
      <c r="L10246"/>
    </row>
    <row r="10247" spans="2:12" x14ac:dyDescent="0.2">
      <c r="B10247"/>
      <c r="C10247"/>
      <c r="J10247"/>
      <c r="K10247"/>
      <c r="L10247"/>
    </row>
    <row r="10248" spans="2:12" x14ac:dyDescent="0.2">
      <c r="B10248"/>
      <c r="C10248"/>
      <c r="J10248"/>
      <c r="K10248"/>
      <c r="L10248"/>
    </row>
    <row r="10249" spans="2:12" x14ac:dyDescent="0.2">
      <c r="B10249"/>
      <c r="C10249"/>
      <c r="J10249"/>
      <c r="K10249"/>
      <c r="L10249"/>
    </row>
    <row r="10250" spans="2:12" x14ac:dyDescent="0.2">
      <c r="B10250"/>
      <c r="C10250"/>
      <c r="J10250"/>
      <c r="K10250"/>
      <c r="L10250"/>
    </row>
    <row r="10251" spans="2:12" x14ac:dyDescent="0.2">
      <c r="B10251"/>
      <c r="C10251"/>
      <c r="J10251"/>
      <c r="K10251"/>
      <c r="L10251"/>
    </row>
    <row r="10252" spans="2:12" x14ac:dyDescent="0.2">
      <c r="B10252"/>
      <c r="C10252"/>
      <c r="J10252"/>
      <c r="K10252"/>
      <c r="L10252"/>
    </row>
    <row r="10253" spans="2:12" x14ac:dyDescent="0.2">
      <c r="B10253"/>
      <c r="C10253"/>
      <c r="J10253"/>
      <c r="K10253"/>
      <c r="L10253"/>
    </row>
    <row r="10254" spans="2:12" x14ac:dyDescent="0.2">
      <c r="B10254"/>
      <c r="C10254"/>
      <c r="J10254"/>
      <c r="K10254"/>
      <c r="L10254"/>
    </row>
    <row r="10255" spans="2:12" x14ac:dyDescent="0.2">
      <c r="B10255"/>
      <c r="C10255"/>
      <c r="J10255"/>
      <c r="K10255"/>
      <c r="L10255"/>
    </row>
    <row r="10256" spans="2:12" x14ac:dyDescent="0.2">
      <c r="B10256"/>
      <c r="C10256"/>
      <c r="J10256"/>
      <c r="K10256"/>
      <c r="L10256"/>
    </row>
    <row r="10257" spans="2:12" x14ac:dyDescent="0.2">
      <c r="B10257"/>
      <c r="C10257"/>
      <c r="J10257"/>
      <c r="K10257"/>
      <c r="L10257"/>
    </row>
    <row r="10258" spans="2:12" x14ac:dyDescent="0.2">
      <c r="B10258"/>
      <c r="C10258"/>
      <c r="J10258"/>
      <c r="K10258"/>
      <c r="L10258"/>
    </row>
    <row r="10259" spans="2:12" x14ac:dyDescent="0.2">
      <c r="B10259"/>
      <c r="C10259"/>
      <c r="J10259"/>
      <c r="K10259"/>
      <c r="L10259"/>
    </row>
    <row r="10260" spans="2:12" x14ac:dyDescent="0.2">
      <c r="B10260"/>
      <c r="C10260"/>
      <c r="J10260"/>
      <c r="K10260"/>
      <c r="L10260"/>
    </row>
    <row r="10261" spans="2:12" x14ac:dyDescent="0.2">
      <c r="B10261"/>
      <c r="C10261"/>
      <c r="J10261"/>
      <c r="K10261"/>
      <c r="L10261"/>
    </row>
    <row r="10262" spans="2:12" x14ac:dyDescent="0.2">
      <c r="B10262"/>
      <c r="C10262"/>
      <c r="J10262"/>
      <c r="K10262"/>
      <c r="L10262"/>
    </row>
    <row r="10263" spans="2:12" x14ac:dyDescent="0.2">
      <c r="B10263"/>
      <c r="C10263"/>
      <c r="J10263"/>
      <c r="K10263"/>
      <c r="L10263"/>
    </row>
    <row r="10264" spans="2:12" x14ac:dyDescent="0.2">
      <c r="B10264"/>
      <c r="C10264"/>
      <c r="J10264"/>
      <c r="K10264"/>
      <c r="L10264"/>
    </row>
    <row r="10265" spans="2:12" x14ac:dyDescent="0.2">
      <c r="B10265"/>
      <c r="C10265"/>
      <c r="J10265"/>
      <c r="K10265"/>
      <c r="L10265"/>
    </row>
    <row r="10266" spans="2:12" x14ac:dyDescent="0.2">
      <c r="B10266"/>
      <c r="C10266"/>
      <c r="J10266"/>
      <c r="K10266"/>
      <c r="L10266"/>
    </row>
    <row r="10267" spans="2:12" x14ac:dyDescent="0.2">
      <c r="B10267"/>
      <c r="C10267"/>
      <c r="J10267"/>
      <c r="K10267"/>
      <c r="L10267"/>
    </row>
    <row r="10268" spans="2:12" x14ac:dyDescent="0.2">
      <c r="B10268"/>
      <c r="C10268"/>
      <c r="J10268"/>
      <c r="K10268"/>
      <c r="L10268"/>
    </row>
    <row r="10269" spans="2:12" x14ac:dyDescent="0.2">
      <c r="B10269"/>
      <c r="C10269"/>
      <c r="J10269"/>
      <c r="K10269"/>
      <c r="L10269"/>
    </row>
    <row r="10270" spans="2:12" x14ac:dyDescent="0.2">
      <c r="B10270"/>
      <c r="C10270"/>
      <c r="J10270"/>
      <c r="K10270"/>
      <c r="L10270"/>
    </row>
    <row r="10271" spans="2:12" x14ac:dyDescent="0.2">
      <c r="B10271"/>
      <c r="C10271"/>
      <c r="J10271"/>
      <c r="K10271"/>
      <c r="L10271"/>
    </row>
    <row r="10272" spans="2:12" x14ac:dyDescent="0.2">
      <c r="B10272"/>
      <c r="C10272"/>
      <c r="J10272"/>
      <c r="K10272"/>
      <c r="L10272"/>
    </row>
    <row r="10273" spans="2:12" x14ac:dyDescent="0.2">
      <c r="B10273"/>
      <c r="C10273"/>
      <c r="J10273"/>
      <c r="K10273"/>
      <c r="L10273"/>
    </row>
    <row r="10274" spans="2:12" x14ac:dyDescent="0.2">
      <c r="B10274"/>
      <c r="C10274"/>
      <c r="J10274"/>
      <c r="K10274"/>
      <c r="L10274"/>
    </row>
    <row r="10275" spans="2:12" x14ac:dyDescent="0.2">
      <c r="B10275"/>
      <c r="C10275"/>
      <c r="J10275"/>
      <c r="K10275"/>
      <c r="L10275"/>
    </row>
    <row r="10276" spans="2:12" x14ac:dyDescent="0.2">
      <c r="B10276"/>
      <c r="C10276"/>
      <c r="J10276"/>
      <c r="K10276"/>
      <c r="L10276"/>
    </row>
    <row r="10277" spans="2:12" x14ac:dyDescent="0.2">
      <c r="B10277"/>
      <c r="C10277"/>
      <c r="J10277"/>
      <c r="K10277"/>
      <c r="L10277"/>
    </row>
    <row r="10278" spans="2:12" x14ac:dyDescent="0.2">
      <c r="B10278"/>
      <c r="C10278"/>
      <c r="J10278"/>
      <c r="K10278"/>
      <c r="L10278"/>
    </row>
    <row r="10279" spans="2:12" x14ac:dyDescent="0.2">
      <c r="B10279"/>
      <c r="C10279"/>
      <c r="J10279"/>
      <c r="K10279"/>
      <c r="L10279"/>
    </row>
    <row r="10280" spans="2:12" x14ac:dyDescent="0.2">
      <c r="B10280"/>
      <c r="C10280"/>
      <c r="J10280"/>
      <c r="K10280"/>
      <c r="L10280"/>
    </row>
    <row r="10281" spans="2:12" x14ac:dyDescent="0.2">
      <c r="B10281"/>
      <c r="C10281"/>
      <c r="J10281"/>
      <c r="K10281"/>
      <c r="L10281"/>
    </row>
    <row r="10282" spans="2:12" x14ac:dyDescent="0.2">
      <c r="B10282"/>
      <c r="C10282"/>
      <c r="J10282"/>
      <c r="K10282"/>
      <c r="L10282"/>
    </row>
    <row r="10283" spans="2:12" x14ac:dyDescent="0.2">
      <c r="B10283"/>
      <c r="C10283"/>
      <c r="J10283"/>
      <c r="K10283"/>
      <c r="L10283"/>
    </row>
    <row r="10284" spans="2:12" x14ac:dyDescent="0.2">
      <c r="B10284"/>
      <c r="C10284"/>
      <c r="J10284"/>
      <c r="K10284"/>
      <c r="L10284"/>
    </row>
    <row r="10285" spans="2:12" x14ac:dyDescent="0.2">
      <c r="B10285"/>
      <c r="C10285"/>
      <c r="J10285"/>
      <c r="K10285"/>
      <c r="L10285"/>
    </row>
    <row r="10286" spans="2:12" x14ac:dyDescent="0.2">
      <c r="B10286"/>
      <c r="C10286"/>
      <c r="J10286"/>
      <c r="K10286"/>
      <c r="L10286"/>
    </row>
    <row r="10287" spans="2:12" x14ac:dyDescent="0.2">
      <c r="B10287"/>
      <c r="C10287"/>
      <c r="J10287"/>
      <c r="K10287"/>
      <c r="L10287"/>
    </row>
    <row r="10288" spans="2:12" x14ac:dyDescent="0.2">
      <c r="B10288"/>
      <c r="C10288"/>
      <c r="J10288"/>
      <c r="K10288"/>
      <c r="L10288"/>
    </row>
    <row r="10289" spans="2:12" x14ac:dyDescent="0.2">
      <c r="B10289"/>
      <c r="C10289"/>
      <c r="J10289"/>
      <c r="K10289"/>
      <c r="L10289"/>
    </row>
    <row r="10290" spans="2:12" x14ac:dyDescent="0.2">
      <c r="B10290"/>
      <c r="C10290"/>
      <c r="J10290"/>
      <c r="K10290"/>
      <c r="L10290"/>
    </row>
    <row r="10291" spans="2:12" x14ac:dyDescent="0.2">
      <c r="B10291"/>
      <c r="C10291"/>
      <c r="J10291"/>
      <c r="K10291"/>
      <c r="L10291"/>
    </row>
    <row r="10292" spans="2:12" x14ac:dyDescent="0.2">
      <c r="B10292"/>
      <c r="C10292"/>
      <c r="J10292"/>
      <c r="K10292"/>
      <c r="L10292"/>
    </row>
    <row r="10293" spans="2:12" x14ac:dyDescent="0.2">
      <c r="B10293"/>
      <c r="C10293"/>
      <c r="J10293"/>
      <c r="K10293"/>
      <c r="L10293"/>
    </row>
    <row r="10294" spans="2:12" x14ac:dyDescent="0.2">
      <c r="B10294"/>
      <c r="C10294"/>
      <c r="J10294"/>
      <c r="K10294"/>
      <c r="L10294"/>
    </row>
    <row r="10295" spans="2:12" x14ac:dyDescent="0.2">
      <c r="B10295"/>
      <c r="C10295"/>
      <c r="J10295"/>
      <c r="K10295"/>
      <c r="L10295"/>
    </row>
    <row r="10296" spans="2:12" x14ac:dyDescent="0.2">
      <c r="B10296"/>
      <c r="C10296"/>
      <c r="J10296"/>
      <c r="K10296"/>
      <c r="L10296"/>
    </row>
    <row r="10297" spans="2:12" x14ac:dyDescent="0.2">
      <c r="B10297"/>
      <c r="C10297"/>
      <c r="J10297"/>
      <c r="K10297"/>
      <c r="L10297"/>
    </row>
    <row r="10298" spans="2:12" x14ac:dyDescent="0.2">
      <c r="B10298"/>
      <c r="C10298"/>
      <c r="J10298"/>
      <c r="K10298"/>
      <c r="L10298"/>
    </row>
    <row r="10299" spans="2:12" x14ac:dyDescent="0.2">
      <c r="B10299"/>
      <c r="C10299"/>
      <c r="J10299"/>
      <c r="K10299"/>
      <c r="L10299"/>
    </row>
    <row r="10300" spans="2:12" x14ac:dyDescent="0.2">
      <c r="B10300"/>
      <c r="C10300"/>
      <c r="J10300"/>
      <c r="K10300"/>
      <c r="L10300"/>
    </row>
    <row r="10301" spans="2:12" x14ac:dyDescent="0.2">
      <c r="B10301"/>
      <c r="C10301"/>
      <c r="J10301"/>
      <c r="K10301"/>
      <c r="L10301"/>
    </row>
    <row r="10302" spans="2:12" x14ac:dyDescent="0.2">
      <c r="B10302"/>
      <c r="C10302"/>
      <c r="J10302"/>
      <c r="K10302"/>
      <c r="L10302"/>
    </row>
    <row r="10303" spans="2:12" x14ac:dyDescent="0.2">
      <c r="B10303"/>
      <c r="C10303"/>
      <c r="J10303"/>
      <c r="K10303"/>
      <c r="L10303"/>
    </row>
    <row r="10304" spans="2:12" x14ac:dyDescent="0.2">
      <c r="B10304"/>
      <c r="C10304"/>
      <c r="J10304"/>
      <c r="K10304"/>
      <c r="L10304"/>
    </row>
    <row r="10305" spans="2:12" x14ac:dyDescent="0.2">
      <c r="B10305"/>
      <c r="C10305"/>
      <c r="J10305"/>
      <c r="K10305"/>
      <c r="L10305"/>
    </row>
    <row r="10306" spans="2:12" x14ac:dyDescent="0.2">
      <c r="B10306"/>
      <c r="C10306"/>
      <c r="J10306"/>
      <c r="K10306"/>
      <c r="L10306"/>
    </row>
    <row r="10307" spans="2:12" x14ac:dyDescent="0.2">
      <c r="B10307"/>
      <c r="C10307"/>
      <c r="J10307"/>
      <c r="K10307"/>
      <c r="L10307"/>
    </row>
    <row r="10308" spans="2:12" x14ac:dyDescent="0.2">
      <c r="B10308"/>
      <c r="C10308"/>
      <c r="J10308"/>
      <c r="K10308"/>
      <c r="L10308"/>
    </row>
    <row r="10309" spans="2:12" x14ac:dyDescent="0.2">
      <c r="B10309"/>
      <c r="C10309"/>
      <c r="J10309"/>
      <c r="K10309"/>
      <c r="L10309"/>
    </row>
    <row r="10310" spans="2:12" x14ac:dyDescent="0.2">
      <c r="B10310"/>
      <c r="C10310"/>
      <c r="J10310"/>
      <c r="K10310"/>
      <c r="L10310"/>
    </row>
    <row r="10311" spans="2:12" x14ac:dyDescent="0.2">
      <c r="B10311"/>
      <c r="C10311"/>
      <c r="J10311"/>
      <c r="K10311"/>
      <c r="L10311"/>
    </row>
    <row r="10312" spans="2:12" x14ac:dyDescent="0.2">
      <c r="B10312"/>
      <c r="C10312"/>
      <c r="J10312"/>
      <c r="K10312"/>
      <c r="L10312"/>
    </row>
    <row r="10313" spans="2:12" x14ac:dyDescent="0.2">
      <c r="B10313"/>
      <c r="C10313"/>
      <c r="J10313"/>
      <c r="K10313"/>
      <c r="L10313"/>
    </row>
    <row r="10314" spans="2:12" x14ac:dyDescent="0.2">
      <c r="B10314"/>
      <c r="C10314"/>
      <c r="J10314"/>
      <c r="K10314"/>
      <c r="L10314"/>
    </row>
    <row r="10315" spans="2:12" x14ac:dyDescent="0.2">
      <c r="B10315"/>
      <c r="C10315"/>
      <c r="J10315"/>
      <c r="K10315"/>
      <c r="L10315"/>
    </row>
    <row r="10316" spans="2:12" x14ac:dyDescent="0.2">
      <c r="B10316"/>
      <c r="C10316"/>
      <c r="J10316"/>
      <c r="K10316"/>
      <c r="L10316"/>
    </row>
    <row r="10317" spans="2:12" x14ac:dyDescent="0.2">
      <c r="B10317"/>
      <c r="C10317"/>
      <c r="J10317"/>
      <c r="K10317"/>
      <c r="L10317"/>
    </row>
    <row r="10318" spans="2:12" x14ac:dyDescent="0.2">
      <c r="B10318"/>
      <c r="C10318"/>
      <c r="J10318"/>
      <c r="K10318"/>
      <c r="L10318"/>
    </row>
    <row r="10319" spans="2:12" x14ac:dyDescent="0.2">
      <c r="B10319"/>
      <c r="C10319"/>
      <c r="J10319"/>
      <c r="K10319"/>
      <c r="L10319"/>
    </row>
    <row r="10320" spans="2:12" x14ac:dyDescent="0.2">
      <c r="B10320"/>
      <c r="C10320"/>
      <c r="J10320"/>
      <c r="K10320"/>
      <c r="L10320"/>
    </row>
    <row r="10321" spans="2:12" x14ac:dyDescent="0.2">
      <c r="B10321"/>
      <c r="C10321"/>
      <c r="J10321"/>
      <c r="K10321"/>
      <c r="L10321"/>
    </row>
    <row r="10322" spans="2:12" x14ac:dyDescent="0.2">
      <c r="B10322"/>
      <c r="C10322"/>
      <c r="J10322"/>
      <c r="K10322"/>
      <c r="L10322"/>
    </row>
    <row r="10323" spans="2:12" x14ac:dyDescent="0.2">
      <c r="B10323"/>
      <c r="C10323"/>
      <c r="J10323"/>
      <c r="K10323"/>
      <c r="L10323"/>
    </row>
    <row r="10324" spans="2:12" x14ac:dyDescent="0.2">
      <c r="B10324"/>
      <c r="C10324"/>
      <c r="J10324"/>
      <c r="K10324"/>
      <c r="L10324"/>
    </row>
    <row r="10325" spans="2:12" x14ac:dyDescent="0.2">
      <c r="B10325"/>
      <c r="C10325"/>
      <c r="J10325"/>
      <c r="K10325"/>
      <c r="L10325"/>
    </row>
    <row r="10326" spans="2:12" x14ac:dyDescent="0.2">
      <c r="B10326"/>
      <c r="C10326"/>
      <c r="J10326"/>
      <c r="K10326"/>
      <c r="L10326"/>
    </row>
    <row r="10327" spans="2:12" x14ac:dyDescent="0.2">
      <c r="B10327"/>
      <c r="C10327"/>
      <c r="J10327"/>
      <c r="K10327"/>
      <c r="L10327"/>
    </row>
    <row r="10328" spans="2:12" x14ac:dyDescent="0.2">
      <c r="B10328"/>
      <c r="C10328"/>
      <c r="J10328"/>
      <c r="K10328"/>
      <c r="L10328"/>
    </row>
    <row r="10329" spans="2:12" x14ac:dyDescent="0.2">
      <c r="B10329"/>
      <c r="C10329"/>
      <c r="J10329"/>
      <c r="K10329"/>
      <c r="L10329"/>
    </row>
    <row r="10330" spans="2:12" x14ac:dyDescent="0.2">
      <c r="B10330"/>
      <c r="C10330"/>
      <c r="J10330"/>
      <c r="K10330"/>
      <c r="L10330"/>
    </row>
    <row r="10331" spans="2:12" x14ac:dyDescent="0.2">
      <c r="B10331"/>
      <c r="C10331"/>
      <c r="J10331"/>
      <c r="K10331"/>
      <c r="L10331"/>
    </row>
    <row r="10332" spans="2:12" x14ac:dyDescent="0.2">
      <c r="B10332"/>
      <c r="C10332"/>
      <c r="J10332"/>
      <c r="K10332"/>
      <c r="L10332"/>
    </row>
    <row r="10333" spans="2:12" x14ac:dyDescent="0.2">
      <c r="B10333"/>
      <c r="C10333"/>
      <c r="J10333"/>
      <c r="K10333"/>
      <c r="L10333"/>
    </row>
    <row r="10334" spans="2:12" x14ac:dyDescent="0.2">
      <c r="B10334"/>
      <c r="C10334"/>
      <c r="J10334"/>
      <c r="K10334"/>
      <c r="L10334"/>
    </row>
    <row r="10335" spans="2:12" x14ac:dyDescent="0.2">
      <c r="B10335"/>
      <c r="C10335"/>
      <c r="J10335"/>
      <c r="K10335"/>
      <c r="L10335"/>
    </row>
    <row r="10336" spans="2:12" x14ac:dyDescent="0.2">
      <c r="B10336"/>
      <c r="C10336"/>
      <c r="J10336"/>
      <c r="K10336"/>
      <c r="L10336"/>
    </row>
    <row r="10337" spans="2:12" x14ac:dyDescent="0.2">
      <c r="B10337"/>
      <c r="C10337"/>
      <c r="J10337"/>
      <c r="K10337"/>
      <c r="L10337"/>
    </row>
    <row r="10338" spans="2:12" x14ac:dyDescent="0.2">
      <c r="B10338"/>
      <c r="C10338"/>
      <c r="J10338"/>
      <c r="K10338"/>
      <c r="L10338"/>
    </row>
    <row r="10339" spans="2:12" x14ac:dyDescent="0.2">
      <c r="B10339"/>
      <c r="C10339"/>
      <c r="J10339"/>
      <c r="K10339"/>
      <c r="L10339"/>
    </row>
    <row r="10340" spans="2:12" x14ac:dyDescent="0.2">
      <c r="B10340"/>
      <c r="C10340"/>
      <c r="J10340"/>
      <c r="K10340"/>
      <c r="L10340"/>
    </row>
    <row r="10341" spans="2:12" x14ac:dyDescent="0.2">
      <c r="B10341"/>
      <c r="C10341"/>
      <c r="J10341"/>
      <c r="K10341"/>
      <c r="L10341"/>
    </row>
    <row r="10342" spans="2:12" x14ac:dyDescent="0.2">
      <c r="B10342"/>
      <c r="C10342"/>
      <c r="J10342"/>
      <c r="K10342"/>
      <c r="L10342"/>
    </row>
    <row r="10343" spans="2:12" x14ac:dyDescent="0.2">
      <c r="B10343"/>
      <c r="C10343"/>
      <c r="J10343"/>
      <c r="K10343"/>
      <c r="L10343"/>
    </row>
    <row r="10344" spans="2:12" x14ac:dyDescent="0.2">
      <c r="B10344"/>
      <c r="C10344"/>
      <c r="J10344"/>
      <c r="K10344"/>
      <c r="L10344"/>
    </row>
    <row r="10345" spans="2:12" x14ac:dyDescent="0.2">
      <c r="B10345"/>
      <c r="C10345"/>
      <c r="J10345"/>
      <c r="K10345"/>
      <c r="L10345"/>
    </row>
    <row r="10346" spans="2:12" x14ac:dyDescent="0.2">
      <c r="B10346"/>
      <c r="C10346"/>
      <c r="J10346"/>
      <c r="K10346"/>
      <c r="L10346"/>
    </row>
    <row r="10347" spans="2:12" x14ac:dyDescent="0.2">
      <c r="B10347"/>
      <c r="C10347"/>
      <c r="J10347"/>
      <c r="K10347"/>
      <c r="L10347"/>
    </row>
    <row r="10348" spans="2:12" x14ac:dyDescent="0.2">
      <c r="B10348"/>
      <c r="C10348"/>
      <c r="J10348"/>
      <c r="K10348"/>
      <c r="L10348"/>
    </row>
    <row r="10349" spans="2:12" x14ac:dyDescent="0.2">
      <c r="B10349"/>
      <c r="C10349"/>
      <c r="J10349"/>
      <c r="K10349"/>
      <c r="L10349"/>
    </row>
    <row r="10350" spans="2:12" x14ac:dyDescent="0.2">
      <c r="B10350"/>
      <c r="C10350"/>
      <c r="J10350"/>
      <c r="K10350"/>
      <c r="L10350"/>
    </row>
    <row r="10351" spans="2:12" x14ac:dyDescent="0.2">
      <c r="B10351"/>
      <c r="C10351"/>
      <c r="J10351"/>
      <c r="K10351"/>
      <c r="L10351"/>
    </row>
    <row r="10352" spans="2:12" x14ac:dyDescent="0.2">
      <c r="B10352"/>
      <c r="C10352"/>
      <c r="J10352"/>
      <c r="K10352"/>
      <c r="L10352"/>
    </row>
    <row r="10353" spans="2:12" x14ac:dyDescent="0.2">
      <c r="B10353"/>
      <c r="C10353"/>
      <c r="J10353"/>
      <c r="K10353"/>
      <c r="L10353"/>
    </row>
    <row r="10354" spans="2:12" x14ac:dyDescent="0.2">
      <c r="B10354"/>
      <c r="C10354"/>
      <c r="J10354"/>
      <c r="K10354"/>
      <c r="L10354"/>
    </row>
    <row r="10355" spans="2:12" x14ac:dyDescent="0.2">
      <c r="B10355"/>
      <c r="C10355"/>
      <c r="J10355"/>
      <c r="K10355"/>
      <c r="L10355"/>
    </row>
    <row r="10356" spans="2:12" x14ac:dyDescent="0.2">
      <c r="B10356"/>
      <c r="C10356"/>
      <c r="J10356"/>
      <c r="K10356"/>
      <c r="L10356"/>
    </row>
    <row r="10357" spans="2:12" x14ac:dyDescent="0.2">
      <c r="B10357"/>
      <c r="C10357"/>
      <c r="J10357"/>
      <c r="K10357"/>
      <c r="L10357"/>
    </row>
    <row r="10358" spans="2:12" x14ac:dyDescent="0.2">
      <c r="B10358"/>
      <c r="C10358"/>
      <c r="J10358"/>
      <c r="K10358"/>
      <c r="L10358"/>
    </row>
    <row r="10359" spans="2:12" x14ac:dyDescent="0.2">
      <c r="B10359"/>
      <c r="C10359"/>
      <c r="J10359"/>
      <c r="K10359"/>
      <c r="L10359"/>
    </row>
    <row r="10360" spans="2:12" x14ac:dyDescent="0.2">
      <c r="B10360"/>
      <c r="C10360"/>
      <c r="J10360"/>
      <c r="K10360"/>
      <c r="L10360"/>
    </row>
    <row r="10361" spans="2:12" x14ac:dyDescent="0.2">
      <c r="B10361"/>
      <c r="C10361"/>
      <c r="J10361"/>
      <c r="K10361"/>
      <c r="L10361"/>
    </row>
    <row r="10362" spans="2:12" x14ac:dyDescent="0.2">
      <c r="B10362"/>
      <c r="C10362"/>
      <c r="J10362"/>
      <c r="K10362"/>
      <c r="L10362"/>
    </row>
    <row r="10363" spans="2:12" x14ac:dyDescent="0.2">
      <c r="B10363"/>
      <c r="C10363"/>
      <c r="J10363"/>
      <c r="K10363"/>
      <c r="L10363"/>
    </row>
    <row r="10364" spans="2:12" x14ac:dyDescent="0.2">
      <c r="B10364"/>
      <c r="C10364"/>
      <c r="J10364"/>
      <c r="K10364"/>
      <c r="L10364"/>
    </row>
    <row r="10365" spans="2:12" x14ac:dyDescent="0.2">
      <c r="B10365"/>
      <c r="C10365"/>
      <c r="J10365"/>
      <c r="K10365"/>
      <c r="L10365"/>
    </row>
    <row r="10366" spans="2:12" x14ac:dyDescent="0.2">
      <c r="B10366"/>
      <c r="C10366"/>
      <c r="J10366"/>
      <c r="K10366"/>
      <c r="L10366"/>
    </row>
    <row r="10367" spans="2:12" x14ac:dyDescent="0.2">
      <c r="B10367"/>
      <c r="C10367"/>
      <c r="J10367"/>
      <c r="K10367"/>
      <c r="L10367"/>
    </row>
    <row r="10368" spans="2:12" x14ac:dyDescent="0.2">
      <c r="B10368"/>
      <c r="C10368"/>
      <c r="J10368"/>
      <c r="K10368"/>
      <c r="L10368"/>
    </row>
    <row r="10369" spans="2:12" x14ac:dyDescent="0.2">
      <c r="B10369"/>
      <c r="C10369"/>
      <c r="J10369"/>
      <c r="K10369"/>
      <c r="L10369"/>
    </row>
    <row r="10370" spans="2:12" x14ac:dyDescent="0.2">
      <c r="B10370"/>
      <c r="C10370"/>
      <c r="J10370"/>
      <c r="K10370"/>
      <c r="L10370"/>
    </row>
    <row r="10371" spans="2:12" x14ac:dyDescent="0.2">
      <c r="B10371"/>
      <c r="C10371"/>
      <c r="J10371"/>
      <c r="K10371"/>
      <c r="L10371"/>
    </row>
    <row r="10372" spans="2:12" x14ac:dyDescent="0.2">
      <c r="B10372"/>
      <c r="C10372"/>
      <c r="J10372"/>
      <c r="K10372"/>
      <c r="L10372"/>
    </row>
    <row r="10373" spans="2:12" x14ac:dyDescent="0.2">
      <c r="B10373"/>
      <c r="C10373"/>
      <c r="J10373"/>
      <c r="K10373"/>
      <c r="L10373"/>
    </row>
    <row r="10374" spans="2:12" x14ac:dyDescent="0.2">
      <c r="B10374"/>
      <c r="C10374"/>
      <c r="J10374"/>
      <c r="K10374"/>
      <c r="L10374"/>
    </row>
    <row r="10375" spans="2:12" x14ac:dyDescent="0.2">
      <c r="B10375"/>
      <c r="C10375"/>
      <c r="J10375"/>
      <c r="K10375"/>
      <c r="L10375"/>
    </row>
    <row r="10376" spans="2:12" x14ac:dyDescent="0.2">
      <c r="B10376"/>
      <c r="C10376"/>
      <c r="J10376"/>
      <c r="K10376"/>
      <c r="L10376"/>
    </row>
    <row r="10377" spans="2:12" x14ac:dyDescent="0.2">
      <c r="B10377"/>
      <c r="C10377"/>
      <c r="J10377"/>
      <c r="K10377"/>
      <c r="L10377"/>
    </row>
    <row r="10378" spans="2:12" x14ac:dyDescent="0.2">
      <c r="B10378"/>
      <c r="C10378"/>
      <c r="J10378"/>
      <c r="K10378"/>
      <c r="L10378"/>
    </row>
    <row r="10379" spans="2:12" x14ac:dyDescent="0.2">
      <c r="B10379"/>
      <c r="C10379"/>
      <c r="J10379"/>
      <c r="K10379"/>
      <c r="L10379"/>
    </row>
    <row r="10380" spans="2:12" x14ac:dyDescent="0.2">
      <c r="B10380"/>
      <c r="C10380"/>
      <c r="J10380"/>
      <c r="K10380"/>
      <c r="L10380"/>
    </row>
    <row r="10381" spans="2:12" x14ac:dyDescent="0.2">
      <c r="B10381"/>
      <c r="C10381"/>
      <c r="J10381"/>
      <c r="K10381"/>
      <c r="L10381"/>
    </row>
    <row r="10382" spans="2:12" x14ac:dyDescent="0.2">
      <c r="B10382"/>
      <c r="C10382"/>
      <c r="J10382"/>
      <c r="K10382"/>
      <c r="L10382"/>
    </row>
    <row r="10383" spans="2:12" x14ac:dyDescent="0.2">
      <c r="B10383"/>
      <c r="C10383"/>
      <c r="J10383"/>
      <c r="K10383"/>
      <c r="L10383"/>
    </row>
    <row r="10384" spans="2:12" x14ac:dyDescent="0.2">
      <c r="B10384"/>
      <c r="C10384"/>
      <c r="J10384"/>
      <c r="K10384"/>
      <c r="L10384"/>
    </row>
    <row r="10385" spans="2:12" x14ac:dyDescent="0.2">
      <c r="B10385"/>
      <c r="C10385"/>
      <c r="J10385"/>
      <c r="K10385"/>
      <c r="L10385"/>
    </row>
    <row r="10386" spans="2:12" x14ac:dyDescent="0.2">
      <c r="B10386"/>
      <c r="C10386"/>
      <c r="J10386"/>
      <c r="K10386"/>
      <c r="L10386"/>
    </row>
    <row r="10387" spans="2:12" x14ac:dyDescent="0.2">
      <c r="B10387"/>
      <c r="C10387"/>
      <c r="J10387"/>
      <c r="K10387"/>
      <c r="L10387"/>
    </row>
    <row r="10388" spans="2:12" x14ac:dyDescent="0.2">
      <c r="B10388"/>
      <c r="C10388"/>
      <c r="J10388"/>
      <c r="K10388"/>
      <c r="L10388"/>
    </row>
    <row r="10389" spans="2:12" x14ac:dyDescent="0.2">
      <c r="B10389"/>
      <c r="C10389"/>
      <c r="J10389"/>
      <c r="K10389"/>
      <c r="L10389"/>
    </row>
    <row r="10390" spans="2:12" x14ac:dyDescent="0.2">
      <c r="B10390"/>
      <c r="C10390"/>
      <c r="J10390"/>
      <c r="K10390"/>
      <c r="L10390"/>
    </row>
    <row r="10391" spans="2:12" x14ac:dyDescent="0.2">
      <c r="B10391"/>
      <c r="C10391"/>
      <c r="J10391"/>
      <c r="K10391"/>
      <c r="L10391"/>
    </row>
    <row r="10392" spans="2:12" x14ac:dyDescent="0.2">
      <c r="B10392"/>
      <c r="C10392"/>
      <c r="J10392"/>
      <c r="K10392"/>
      <c r="L10392"/>
    </row>
    <row r="10393" spans="2:12" x14ac:dyDescent="0.2">
      <c r="B10393"/>
      <c r="C10393"/>
      <c r="J10393"/>
      <c r="K10393"/>
      <c r="L10393"/>
    </row>
    <row r="10394" spans="2:12" x14ac:dyDescent="0.2">
      <c r="B10394"/>
      <c r="C10394"/>
      <c r="J10394"/>
      <c r="K10394"/>
      <c r="L10394"/>
    </row>
    <row r="10395" spans="2:12" x14ac:dyDescent="0.2">
      <c r="B10395"/>
      <c r="C10395"/>
      <c r="J10395"/>
      <c r="K10395"/>
      <c r="L10395"/>
    </row>
    <row r="10396" spans="2:12" x14ac:dyDescent="0.2">
      <c r="B10396"/>
      <c r="C10396"/>
      <c r="J10396"/>
      <c r="K10396"/>
      <c r="L10396"/>
    </row>
    <row r="10397" spans="2:12" x14ac:dyDescent="0.2">
      <c r="B10397"/>
      <c r="C10397"/>
      <c r="J10397"/>
      <c r="K10397"/>
      <c r="L10397"/>
    </row>
    <row r="10398" spans="2:12" x14ac:dyDescent="0.2">
      <c r="B10398"/>
      <c r="C10398"/>
      <c r="J10398"/>
      <c r="K10398"/>
      <c r="L10398"/>
    </row>
    <row r="10399" spans="2:12" x14ac:dyDescent="0.2">
      <c r="B10399"/>
      <c r="C10399"/>
      <c r="J10399"/>
      <c r="K10399"/>
      <c r="L10399"/>
    </row>
    <row r="10400" spans="2:12" x14ac:dyDescent="0.2">
      <c r="B10400"/>
      <c r="C10400"/>
      <c r="J10400"/>
      <c r="K10400"/>
      <c r="L10400"/>
    </row>
    <row r="10401" spans="2:12" x14ac:dyDescent="0.2">
      <c r="B10401"/>
      <c r="C10401"/>
      <c r="J10401"/>
      <c r="K10401"/>
      <c r="L10401"/>
    </row>
    <row r="10402" spans="2:12" x14ac:dyDescent="0.2">
      <c r="B10402"/>
      <c r="C10402"/>
      <c r="J10402"/>
      <c r="K10402"/>
      <c r="L10402"/>
    </row>
    <row r="10403" spans="2:12" x14ac:dyDescent="0.2">
      <c r="B10403"/>
      <c r="C10403"/>
      <c r="J10403"/>
      <c r="K10403"/>
      <c r="L10403"/>
    </row>
    <row r="10404" spans="2:12" x14ac:dyDescent="0.2">
      <c r="B10404"/>
      <c r="C10404"/>
      <c r="J10404"/>
      <c r="K10404"/>
      <c r="L10404"/>
    </row>
    <row r="10405" spans="2:12" x14ac:dyDescent="0.2">
      <c r="B10405"/>
      <c r="C10405"/>
      <c r="J10405"/>
      <c r="K10405"/>
      <c r="L10405"/>
    </row>
    <row r="10406" spans="2:12" x14ac:dyDescent="0.2">
      <c r="B10406"/>
      <c r="C10406"/>
      <c r="J10406"/>
      <c r="K10406"/>
      <c r="L10406"/>
    </row>
    <row r="10407" spans="2:12" x14ac:dyDescent="0.2">
      <c r="B10407"/>
      <c r="C10407"/>
      <c r="J10407"/>
      <c r="K10407"/>
      <c r="L10407"/>
    </row>
    <row r="10408" spans="2:12" x14ac:dyDescent="0.2">
      <c r="B10408"/>
      <c r="C10408"/>
      <c r="J10408"/>
      <c r="K10408"/>
      <c r="L10408"/>
    </row>
    <row r="10409" spans="2:12" x14ac:dyDescent="0.2">
      <c r="B10409"/>
      <c r="C10409"/>
      <c r="J10409"/>
      <c r="K10409"/>
      <c r="L10409"/>
    </row>
    <row r="10410" spans="2:12" x14ac:dyDescent="0.2">
      <c r="B10410"/>
      <c r="C10410"/>
      <c r="J10410"/>
      <c r="K10410"/>
      <c r="L10410"/>
    </row>
    <row r="10411" spans="2:12" x14ac:dyDescent="0.2">
      <c r="B10411"/>
      <c r="C10411"/>
      <c r="J10411"/>
      <c r="K10411"/>
      <c r="L10411"/>
    </row>
    <row r="10412" spans="2:12" x14ac:dyDescent="0.2">
      <c r="B10412"/>
      <c r="C10412"/>
      <c r="J10412"/>
      <c r="K10412"/>
      <c r="L10412"/>
    </row>
    <row r="10413" spans="2:12" x14ac:dyDescent="0.2">
      <c r="B10413"/>
      <c r="C10413"/>
      <c r="J10413"/>
      <c r="K10413"/>
      <c r="L10413"/>
    </row>
    <row r="10414" spans="2:12" x14ac:dyDescent="0.2">
      <c r="B10414"/>
      <c r="C10414"/>
      <c r="J10414"/>
      <c r="K10414"/>
      <c r="L10414"/>
    </row>
    <row r="10415" spans="2:12" x14ac:dyDescent="0.2">
      <c r="B10415"/>
      <c r="C10415"/>
      <c r="J10415"/>
      <c r="K10415"/>
      <c r="L10415"/>
    </row>
    <row r="10416" spans="2:12" x14ac:dyDescent="0.2">
      <c r="B10416"/>
      <c r="C10416"/>
      <c r="J10416"/>
      <c r="K10416"/>
      <c r="L10416"/>
    </row>
    <row r="10417" spans="2:12" x14ac:dyDescent="0.2">
      <c r="B10417"/>
      <c r="C10417"/>
      <c r="J10417"/>
      <c r="K10417"/>
      <c r="L10417"/>
    </row>
    <row r="10418" spans="2:12" x14ac:dyDescent="0.2">
      <c r="B10418"/>
      <c r="C10418"/>
      <c r="J10418"/>
      <c r="K10418"/>
      <c r="L10418"/>
    </row>
    <row r="10419" spans="2:12" x14ac:dyDescent="0.2">
      <c r="B10419"/>
      <c r="C10419"/>
      <c r="J10419"/>
      <c r="K10419"/>
      <c r="L10419"/>
    </row>
    <row r="10420" spans="2:12" x14ac:dyDescent="0.2">
      <c r="B10420"/>
      <c r="C10420"/>
      <c r="J10420"/>
      <c r="K10420"/>
      <c r="L10420"/>
    </row>
    <row r="10421" spans="2:12" x14ac:dyDescent="0.2">
      <c r="B10421"/>
      <c r="C10421"/>
      <c r="J10421"/>
      <c r="K10421"/>
      <c r="L10421"/>
    </row>
    <row r="10422" spans="2:12" x14ac:dyDescent="0.2">
      <c r="B10422"/>
      <c r="C10422"/>
      <c r="J10422"/>
      <c r="K10422"/>
      <c r="L10422"/>
    </row>
    <row r="10423" spans="2:12" x14ac:dyDescent="0.2">
      <c r="B10423"/>
      <c r="C10423"/>
      <c r="J10423"/>
      <c r="K10423"/>
      <c r="L10423"/>
    </row>
    <row r="10424" spans="2:12" x14ac:dyDescent="0.2">
      <c r="B10424"/>
      <c r="C10424"/>
      <c r="J10424"/>
      <c r="K10424"/>
      <c r="L10424"/>
    </row>
    <row r="10425" spans="2:12" x14ac:dyDescent="0.2">
      <c r="B10425"/>
      <c r="C10425"/>
      <c r="J10425"/>
      <c r="K10425"/>
      <c r="L10425"/>
    </row>
    <row r="10426" spans="2:12" x14ac:dyDescent="0.2">
      <c r="B10426"/>
      <c r="C10426"/>
      <c r="J10426"/>
      <c r="K10426"/>
      <c r="L10426"/>
    </row>
    <row r="10427" spans="2:12" x14ac:dyDescent="0.2">
      <c r="B10427"/>
      <c r="C10427"/>
      <c r="J10427"/>
      <c r="K10427"/>
      <c r="L10427"/>
    </row>
    <row r="10428" spans="2:12" x14ac:dyDescent="0.2">
      <c r="B10428"/>
      <c r="C10428"/>
      <c r="J10428"/>
      <c r="K10428"/>
      <c r="L10428"/>
    </row>
    <row r="10429" spans="2:12" x14ac:dyDescent="0.2">
      <c r="B10429"/>
      <c r="C10429"/>
      <c r="J10429"/>
      <c r="K10429"/>
      <c r="L10429"/>
    </row>
    <row r="10430" spans="2:12" x14ac:dyDescent="0.2">
      <c r="B10430"/>
      <c r="C10430"/>
      <c r="J10430"/>
      <c r="K10430"/>
      <c r="L10430"/>
    </row>
    <row r="10431" spans="2:12" x14ac:dyDescent="0.2">
      <c r="B10431"/>
      <c r="C10431"/>
      <c r="J10431"/>
      <c r="K10431"/>
      <c r="L10431"/>
    </row>
    <row r="10432" spans="2:12" x14ac:dyDescent="0.2">
      <c r="B10432"/>
      <c r="C10432"/>
      <c r="J10432"/>
      <c r="K10432"/>
      <c r="L10432"/>
    </row>
    <row r="10433" spans="2:12" x14ac:dyDescent="0.2">
      <c r="B10433"/>
      <c r="C10433"/>
      <c r="J10433"/>
      <c r="K10433"/>
      <c r="L10433"/>
    </row>
    <row r="10434" spans="2:12" x14ac:dyDescent="0.2">
      <c r="B10434"/>
      <c r="C10434"/>
      <c r="J10434"/>
      <c r="K10434"/>
      <c r="L10434"/>
    </row>
    <row r="10435" spans="2:12" x14ac:dyDescent="0.2">
      <c r="B10435"/>
      <c r="C10435"/>
      <c r="J10435"/>
      <c r="K10435"/>
      <c r="L10435"/>
    </row>
    <row r="10436" spans="2:12" x14ac:dyDescent="0.2">
      <c r="B10436"/>
      <c r="C10436"/>
      <c r="J10436"/>
      <c r="K10436"/>
      <c r="L10436"/>
    </row>
    <row r="10437" spans="2:12" x14ac:dyDescent="0.2">
      <c r="B10437"/>
      <c r="C10437"/>
      <c r="J10437"/>
      <c r="K10437"/>
      <c r="L10437"/>
    </row>
    <row r="10438" spans="2:12" x14ac:dyDescent="0.2">
      <c r="B10438"/>
      <c r="C10438"/>
      <c r="J10438"/>
      <c r="K10438"/>
      <c r="L10438"/>
    </row>
    <row r="10439" spans="2:12" x14ac:dyDescent="0.2">
      <c r="B10439"/>
      <c r="C10439"/>
      <c r="J10439"/>
      <c r="K10439"/>
      <c r="L10439"/>
    </row>
    <row r="10440" spans="2:12" x14ac:dyDescent="0.2">
      <c r="B10440"/>
      <c r="C10440"/>
      <c r="J10440"/>
      <c r="K10440"/>
      <c r="L10440"/>
    </row>
    <row r="10441" spans="2:12" x14ac:dyDescent="0.2">
      <c r="B10441"/>
      <c r="C10441"/>
      <c r="J10441"/>
      <c r="K10441"/>
      <c r="L10441"/>
    </row>
    <row r="10442" spans="2:12" x14ac:dyDescent="0.2">
      <c r="B10442"/>
      <c r="C10442"/>
      <c r="J10442"/>
      <c r="K10442"/>
      <c r="L10442"/>
    </row>
    <row r="10443" spans="2:12" x14ac:dyDescent="0.2">
      <c r="B10443"/>
      <c r="C10443"/>
      <c r="J10443"/>
      <c r="K10443"/>
      <c r="L10443"/>
    </row>
    <row r="10444" spans="2:12" x14ac:dyDescent="0.2">
      <c r="B10444"/>
      <c r="C10444"/>
      <c r="J10444"/>
      <c r="K10444"/>
      <c r="L10444"/>
    </row>
    <row r="10445" spans="2:12" x14ac:dyDescent="0.2">
      <c r="B10445"/>
      <c r="C10445"/>
      <c r="J10445"/>
      <c r="K10445"/>
      <c r="L10445"/>
    </row>
    <row r="10446" spans="2:12" x14ac:dyDescent="0.2">
      <c r="B10446"/>
      <c r="C10446"/>
      <c r="J10446"/>
      <c r="K10446"/>
      <c r="L10446"/>
    </row>
    <row r="10447" spans="2:12" x14ac:dyDescent="0.2">
      <c r="B10447"/>
      <c r="C10447"/>
      <c r="J10447"/>
      <c r="K10447"/>
      <c r="L10447"/>
    </row>
    <row r="10448" spans="2:12" x14ac:dyDescent="0.2">
      <c r="B10448"/>
      <c r="C10448"/>
      <c r="J10448"/>
      <c r="K10448"/>
      <c r="L10448"/>
    </row>
    <row r="10449" spans="2:12" x14ac:dyDescent="0.2">
      <c r="B10449"/>
      <c r="C10449"/>
      <c r="J10449"/>
      <c r="K10449"/>
      <c r="L10449"/>
    </row>
    <row r="10450" spans="2:12" x14ac:dyDescent="0.2">
      <c r="B10450"/>
      <c r="C10450"/>
      <c r="J10450"/>
      <c r="K10450"/>
      <c r="L10450"/>
    </row>
    <row r="10451" spans="2:12" x14ac:dyDescent="0.2">
      <c r="B10451"/>
      <c r="C10451"/>
      <c r="J10451"/>
      <c r="K10451"/>
      <c r="L10451"/>
    </row>
    <row r="10452" spans="2:12" x14ac:dyDescent="0.2">
      <c r="B10452"/>
      <c r="C10452"/>
      <c r="J10452"/>
      <c r="K10452"/>
      <c r="L10452"/>
    </row>
    <row r="10453" spans="2:12" x14ac:dyDescent="0.2">
      <c r="B10453"/>
      <c r="C10453"/>
      <c r="J10453"/>
      <c r="K10453"/>
      <c r="L10453"/>
    </row>
    <row r="10454" spans="2:12" x14ac:dyDescent="0.2">
      <c r="B10454"/>
      <c r="C10454"/>
      <c r="J10454"/>
      <c r="K10454"/>
      <c r="L10454"/>
    </row>
    <row r="10455" spans="2:12" x14ac:dyDescent="0.2">
      <c r="B10455"/>
      <c r="C10455"/>
      <c r="J10455"/>
      <c r="K10455"/>
      <c r="L10455"/>
    </row>
    <row r="10456" spans="2:12" x14ac:dyDescent="0.2">
      <c r="B10456"/>
      <c r="C10456"/>
      <c r="J10456"/>
      <c r="K10456"/>
      <c r="L10456"/>
    </row>
    <row r="10457" spans="2:12" x14ac:dyDescent="0.2">
      <c r="B10457"/>
      <c r="C10457"/>
      <c r="J10457"/>
      <c r="K10457"/>
      <c r="L10457"/>
    </row>
    <row r="10458" spans="2:12" x14ac:dyDescent="0.2">
      <c r="B10458"/>
      <c r="C10458"/>
      <c r="J10458"/>
      <c r="K10458"/>
      <c r="L10458"/>
    </row>
    <row r="10459" spans="2:12" x14ac:dyDescent="0.2">
      <c r="B10459"/>
      <c r="C10459"/>
      <c r="J10459"/>
      <c r="K10459"/>
      <c r="L10459"/>
    </row>
    <row r="10460" spans="2:12" x14ac:dyDescent="0.2">
      <c r="B10460"/>
      <c r="C10460"/>
      <c r="J10460"/>
      <c r="K10460"/>
      <c r="L10460"/>
    </row>
    <row r="10461" spans="2:12" x14ac:dyDescent="0.2">
      <c r="B10461"/>
      <c r="C10461"/>
      <c r="J10461"/>
      <c r="K10461"/>
      <c r="L10461"/>
    </row>
    <row r="10462" spans="2:12" x14ac:dyDescent="0.2">
      <c r="B10462"/>
      <c r="C10462"/>
      <c r="J10462"/>
      <c r="K10462"/>
      <c r="L10462"/>
    </row>
    <row r="10463" spans="2:12" x14ac:dyDescent="0.2">
      <c r="B10463"/>
      <c r="C10463"/>
      <c r="J10463"/>
      <c r="K10463"/>
      <c r="L10463"/>
    </row>
    <row r="10464" spans="2:12" x14ac:dyDescent="0.2">
      <c r="B10464"/>
      <c r="C10464"/>
      <c r="J10464"/>
      <c r="K10464"/>
      <c r="L10464"/>
    </row>
    <row r="10465" spans="2:12" x14ac:dyDescent="0.2">
      <c r="B10465"/>
      <c r="C10465"/>
      <c r="J10465"/>
      <c r="K10465"/>
      <c r="L10465"/>
    </row>
    <row r="10466" spans="2:12" x14ac:dyDescent="0.2">
      <c r="B10466"/>
      <c r="C10466"/>
      <c r="J10466"/>
      <c r="K10466"/>
      <c r="L10466"/>
    </row>
    <row r="10467" spans="2:12" x14ac:dyDescent="0.2">
      <c r="B10467"/>
      <c r="C10467"/>
      <c r="J10467"/>
      <c r="K10467"/>
      <c r="L10467"/>
    </row>
    <row r="10468" spans="2:12" x14ac:dyDescent="0.2">
      <c r="B10468"/>
      <c r="C10468"/>
      <c r="J10468"/>
      <c r="K10468"/>
      <c r="L10468"/>
    </row>
    <row r="10469" spans="2:12" x14ac:dyDescent="0.2">
      <c r="B10469"/>
      <c r="C10469"/>
      <c r="J10469"/>
      <c r="K10469"/>
      <c r="L10469"/>
    </row>
    <row r="10470" spans="2:12" x14ac:dyDescent="0.2">
      <c r="B10470"/>
      <c r="C10470"/>
      <c r="J10470"/>
      <c r="K10470"/>
      <c r="L10470"/>
    </row>
    <row r="10471" spans="2:12" x14ac:dyDescent="0.2">
      <c r="B10471"/>
      <c r="C10471"/>
      <c r="J10471"/>
      <c r="K10471"/>
      <c r="L10471"/>
    </row>
    <row r="10472" spans="2:12" x14ac:dyDescent="0.2">
      <c r="B10472"/>
      <c r="C10472"/>
      <c r="J10472"/>
      <c r="K10472"/>
      <c r="L10472"/>
    </row>
    <row r="10473" spans="2:12" x14ac:dyDescent="0.2">
      <c r="B10473"/>
      <c r="C10473"/>
      <c r="J10473"/>
      <c r="K10473"/>
      <c r="L10473"/>
    </row>
    <row r="10474" spans="2:12" x14ac:dyDescent="0.2">
      <c r="B10474"/>
      <c r="C10474"/>
      <c r="J10474"/>
      <c r="K10474"/>
      <c r="L10474"/>
    </row>
    <row r="10475" spans="2:12" x14ac:dyDescent="0.2">
      <c r="B10475"/>
      <c r="C10475"/>
      <c r="J10475"/>
      <c r="K10475"/>
      <c r="L10475"/>
    </row>
    <row r="10476" spans="2:12" x14ac:dyDescent="0.2">
      <c r="B10476"/>
      <c r="C10476"/>
      <c r="J10476"/>
      <c r="K10476"/>
      <c r="L10476"/>
    </row>
    <row r="10477" spans="2:12" x14ac:dyDescent="0.2">
      <c r="B10477"/>
      <c r="C10477"/>
      <c r="J10477"/>
      <c r="K10477"/>
      <c r="L10477"/>
    </row>
    <row r="10478" spans="2:12" x14ac:dyDescent="0.2">
      <c r="B10478"/>
      <c r="C10478"/>
      <c r="J10478"/>
      <c r="K10478"/>
      <c r="L10478"/>
    </row>
    <row r="10479" spans="2:12" x14ac:dyDescent="0.2">
      <c r="B10479"/>
      <c r="C10479"/>
      <c r="J10479"/>
      <c r="K10479"/>
      <c r="L10479"/>
    </row>
    <row r="10480" spans="2:12" x14ac:dyDescent="0.2">
      <c r="B10480"/>
      <c r="C10480"/>
      <c r="J10480"/>
      <c r="K10480"/>
      <c r="L10480"/>
    </row>
    <row r="10481" spans="2:12" x14ac:dyDescent="0.2">
      <c r="B10481"/>
      <c r="C10481"/>
      <c r="J10481"/>
      <c r="K10481"/>
      <c r="L10481"/>
    </row>
    <row r="10482" spans="2:12" x14ac:dyDescent="0.2">
      <c r="B10482"/>
      <c r="C10482"/>
      <c r="J10482"/>
      <c r="K10482"/>
      <c r="L10482"/>
    </row>
    <row r="10483" spans="2:12" x14ac:dyDescent="0.2">
      <c r="B10483"/>
      <c r="C10483"/>
      <c r="J10483"/>
      <c r="K10483"/>
      <c r="L10483"/>
    </row>
    <row r="10484" spans="2:12" x14ac:dyDescent="0.2">
      <c r="B10484"/>
      <c r="C10484"/>
      <c r="J10484"/>
      <c r="K10484"/>
      <c r="L10484"/>
    </row>
    <row r="10485" spans="2:12" x14ac:dyDescent="0.2">
      <c r="B10485"/>
      <c r="C10485"/>
      <c r="J10485"/>
      <c r="K10485"/>
      <c r="L10485"/>
    </row>
    <row r="10486" spans="2:12" x14ac:dyDescent="0.2">
      <c r="B10486"/>
      <c r="C10486"/>
      <c r="J10486"/>
      <c r="K10486"/>
      <c r="L10486"/>
    </row>
    <row r="10487" spans="2:12" x14ac:dyDescent="0.2">
      <c r="B10487"/>
      <c r="C10487"/>
      <c r="J10487"/>
      <c r="K10487"/>
      <c r="L10487"/>
    </row>
    <row r="10488" spans="2:12" x14ac:dyDescent="0.2">
      <c r="B10488"/>
      <c r="C10488"/>
      <c r="J10488"/>
      <c r="K10488"/>
      <c r="L10488"/>
    </row>
    <row r="10489" spans="2:12" x14ac:dyDescent="0.2">
      <c r="B10489"/>
      <c r="C10489"/>
      <c r="J10489"/>
      <c r="K10489"/>
      <c r="L10489"/>
    </row>
    <row r="10490" spans="2:12" x14ac:dyDescent="0.2">
      <c r="B10490"/>
      <c r="C10490"/>
      <c r="J10490"/>
      <c r="K10490"/>
      <c r="L10490"/>
    </row>
    <row r="10491" spans="2:12" x14ac:dyDescent="0.2">
      <c r="B10491"/>
      <c r="C10491"/>
      <c r="J10491"/>
      <c r="K10491"/>
      <c r="L10491"/>
    </row>
    <row r="10492" spans="2:12" x14ac:dyDescent="0.2">
      <c r="B10492"/>
      <c r="C10492"/>
      <c r="J10492"/>
      <c r="K10492"/>
      <c r="L10492"/>
    </row>
    <row r="10493" spans="2:12" x14ac:dyDescent="0.2">
      <c r="B10493"/>
      <c r="C10493"/>
      <c r="J10493"/>
      <c r="K10493"/>
      <c r="L10493"/>
    </row>
    <row r="10494" spans="2:12" x14ac:dyDescent="0.2">
      <c r="B10494"/>
      <c r="C10494"/>
      <c r="J10494"/>
      <c r="K10494"/>
      <c r="L10494"/>
    </row>
    <row r="10495" spans="2:12" x14ac:dyDescent="0.2">
      <c r="B10495"/>
      <c r="C10495"/>
      <c r="J10495"/>
      <c r="K10495"/>
      <c r="L10495"/>
    </row>
    <row r="10496" spans="2:12" x14ac:dyDescent="0.2">
      <c r="B10496"/>
      <c r="C10496"/>
      <c r="J10496"/>
      <c r="K10496"/>
      <c r="L10496"/>
    </row>
    <row r="10497" spans="2:12" x14ac:dyDescent="0.2">
      <c r="B10497"/>
      <c r="C10497"/>
      <c r="J10497"/>
      <c r="K10497"/>
      <c r="L10497"/>
    </row>
    <row r="10498" spans="2:12" x14ac:dyDescent="0.2">
      <c r="B10498"/>
      <c r="C10498"/>
      <c r="J10498"/>
      <c r="K10498"/>
      <c r="L10498"/>
    </row>
    <row r="10499" spans="2:12" x14ac:dyDescent="0.2">
      <c r="B10499"/>
      <c r="C10499"/>
      <c r="J10499"/>
      <c r="K10499"/>
      <c r="L10499"/>
    </row>
    <row r="10500" spans="2:12" x14ac:dyDescent="0.2">
      <c r="B10500"/>
      <c r="C10500"/>
      <c r="J10500"/>
      <c r="K10500"/>
      <c r="L10500"/>
    </row>
    <row r="10501" spans="2:12" x14ac:dyDescent="0.2">
      <c r="B10501"/>
      <c r="C10501"/>
      <c r="J10501"/>
      <c r="K10501"/>
      <c r="L10501"/>
    </row>
    <row r="10502" spans="2:12" x14ac:dyDescent="0.2">
      <c r="B10502"/>
      <c r="C10502"/>
      <c r="J10502"/>
      <c r="K10502"/>
      <c r="L10502"/>
    </row>
    <row r="10503" spans="2:12" x14ac:dyDescent="0.2">
      <c r="B10503"/>
      <c r="C10503"/>
      <c r="J10503"/>
      <c r="K10503"/>
      <c r="L10503"/>
    </row>
    <row r="10504" spans="2:12" x14ac:dyDescent="0.2">
      <c r="B10504"/>
      <c r="C10504"/>
      <c r="J10504"/>
      <c r="K10504"/>
      <c r="L10504"/>
    </row>
    <row r="10505" spans="2:12" x14ac:dyDescent="0.2">
      <c r="B10505"/>
      <c r="C10505"/>
      <c r="J10505"/>
      <c r="K10505"/>
      <c r="L10505"/>
    </row>
    <row r="10506" spans="2:12" x14ac:dyDescent="0.2">
      <c r="B10506"/>
      <c r="C10506"/>
      <c r="J10506"/>
      <c r="K10506"/>
      <c r="L10506"/>
    </row>
    <row r="10507" spans="2:12" x14ac:dyDescent="0.2">
      <c r="B10507"/>
      <c r="C10507"/>
      <c r="J10507"/>
      <c r="K10507"/>
      <c r="L10507"/>
    </row>
    <row r="10508" spans="2:12" x14ac:dyDescent="0.2">
      <c r="B10508"/>
      <c r="C10508"/>
      <c r="J10508"/>
      <c r="K10508"/>
      <c r="L10508"/>
    </row>
    <row r="10509" spans="2:12" x14ac:dyDescent="0.2">
      <c r="B10509"/>
      <c r="C10509"/>
      <c r="J10509"/>
      <c r="K10509"/>
      <c r="L10509"/>
    </row>
    <row r="10510" spans="2:12" x14ac:dyDescent="0.2">
      <c r="B10510"/>
      <c r="C10510"/>
      <c r="J10510"/>
      <c r="K10510"/>
      <c r="L10510"/>
    </row>
    <row r="10511" spans="2:12" x14ac:dyDescent="0.2">
      <c r="B10511"/>
      <c r="C10511"/>
      <c r="J10511"/>
      <c r="K10511"/>
      <c r="L10511"/>
    </row>
    <row r="10512" spans="2:12" x14ac:dyDescent="0.2">
      <c r="B10512"/>
      <c r="C10512"/>
      <c r="J10512"/>
      <c r="K10512"/>
      <c r="L10512"/>
    </row>
    <row r="10513" spans="2:12" x14ac:dyDescent="0.2">
      <c r="B10513"/>
      <c r="C10513"/>
      <c r="J10513"/>
      <c r="K10513"/>
      <c r="L10513"/>
    </row>
    <row r="10514" spans="2:12" x14ac:dyDescent="0.2">
      <c r="B10514"/>
      <c r="C10514"/>
      <c r="J10514"/>
      <c r="K10514"/>
      <c r="L10514"/>
    </row>
    <row r="10515" spans="2:12" x14ac:dyDescent="0.2">
      <c r="B10515"/>
      <c r="C10515"/>
      <c r="J10515"/>
      <c r="K10515"/>
      <c r="L10515"/>
    </row>
    <row r="10516" spans="2:12" x14ac:dyDescent="0.2">
      <c r="B10516"/>
      <c r="C10516"/>
      <c r="J10516"/>
      <c r="K10516"/>
      <c r="L10516"/>
    </row>
    <row r="10517" spans="2:12" x14ac:dyDescent="0.2">
      <c r="B10517"/>
      <c r="C10517"/>
      <c r="J10517"/>
      <c r="K10517"/>
      <c r="L10517"/>
    </row>
    <row r="10518" spans="2:12" x14ac:dyDescent="0.2">
      <c r="B10518"/>
      <c r="C10518"/>
      <c r="J10518"/>
      <c r="K10518"/>
      <c r="L10518"/>
    </row>
    <row r="10519" spans="2:12" x14ac:dyDescent="0.2">
      <c r="B10519"/>
      <c r="C10519"/>
      <c r="J10519"/>
      <c r="K10519"/>
      <c r="L10519"/>
    </row>
    <row r="10520" spans="2:12" x14ac:dyDescent="0.2">
      <c r="B10520"/>
      <c r="C10520"/>
      <c r="J10520"/>
      <c r="K10520"/>
      <c r="L10520"/>
    </row>
    <row r="10521" spans="2:12" x14ac:dyDescent="0.2">
      <c r="B10521"/>
      <c r="C10521"/>
      <c r="J10521"/>
      <c r="K10521"/>
      <c r="L10521"/>
    </row>
    <row r="10522" spans="2:12" x14ac:dyDescent="0.2">
      <c r="B10522"/>
      <c r="C10522"/>
      <c r="J10522"/>
      <c r="K10522"/>
      <c r="L10522"/>
    </row>
    <row r="10523" spans="2:12" x14ac:dyDescent="0.2">
      <c r="B10523"/>
      <c r="C10523"/>
      <c r="J10523"/>
      <c r="K10523"/>
      <c r="L10523"/>
    </row>
    <row r="10524" spans="2:12" x14ac:dyDescent="0.2">
      <c r="B10524"/>
      <c r="C10524"/>
      <c r="J10524"/>
      <c r="K10524"/>
      <c r="L10524"/>
    </row>
    <row r="10525" spans="2:12" x14ac:dyDescent="0.2">
      <c r="B10525"/>
      <c r="C10525"/>
      <c r="J10525"/>
      <c r="K10525"/>
      <c r="L10525"/>
    </row>
    <row r="10526" spans="2:12" x14ac:dyDescent="0.2">
      <c r="B10526"/>
      <c r="C10526"/>
      <c r="J10526"/>
      <c r="K10526"/>
      <c r="L10526"/>
    </row>
    <row r="10527" spans="2:12" x14ac:dyDescent="0.2">
      <c r="B10527"/>
      <c r="C10527"/>
      <c r="J10527"/>
      <c r="K10527"/>
      <c r="L10527"/>
    </row>
    <row r="10528" spans="2:12" x14ac:dyDescent="0.2">
      <c r="B10528"/>
      <c r="C10528"/>
      <c r="J10528"/>
      <c r="K10528"/>
      <c r="L10528"/>
    </row>
    <row r="10529" spans="2:12" x14ac:dyDescent="0.2">
      <c r="B10529"/>
      <c r="C10529"/>
      <c r="J10529"/>
      <c r="K10529"/>
      <c r="L10529"/>
    </row>
    <row r="10530" spans="2:12" x14ac:dyDescent="0.2">
      <c r="B10530"/>
      <c r="C10530"/>
      <c r="J10530"/>
      <c r="K10530"/>
      <c r="L10530"/>
    </row>
    <row r="10531" spans="2:12" x14ac:dyDescent="0.2">
      <c r="B10531"/>
      <c r="C10531"/>
      <c r="J10531"/>
      <c r="K10531"/>
      <c r="L10531"/>
    </row>
    <row r="10532" spans="2:12" x14ac:dyDescent="0.2">
      <c r="B10532"/>
      <c r="C10532"/>
      <c r="J10532"/>
      <c r="K10532"/>
      <c r="L10532"/>
    </row>
    <row r="10533" spans="2:12" x14ac:dyDescent="0.2">
      <c r="B10533"/>
      <c r="C10533"/>
      <c r="J10533"/>
      <c r="K10533"/>
      <c r="L10533"/>
    </row>
    <row r="10534" spans="2:12" x14ac:dyDescent="0.2">
      <c r="B10534"/>
      <c r="C10534"/>
      <c r="J10534"/>
      <c r="K10534"/>
      <c r="L10534"/>
    </row>
    <row r="10535" spans="2:12" x14ac:dyDescent="0.2">
      <c r="B10535"/>
      <c r="C10535"/>
      <c r="J10535"/>
      <c r="K10535"/>
      <c r="L10535"/>
    </row>
    <row r="10536" spans="2:12" x14ac:dyDescent="0.2">
      <c r="B10536"/>
      <c r="C10536"/>
      <c r="J10536"/>
      <c r="K10536"/>
      <c r="L10536"/>
    </row>
    <row r="10537" spans="2:12" x14ac:dyDescent="0.2">
      <c r="B10537"/>
      <c r="C10537"/>
      <c r="J10537"/>
      <c r="K10537"/>
      <c r="L10537"/>
    </row>
    <row r="10538" spans="2:12" x14ac:dyDescent="0.2">
      <c r="B10538"/>
      <c r="C10538"/>
      <c r="J10538"/>
      <c r="K10538"/>
      <c r="L10538"/>
    </row>
    <row r="10539" spans="2:12" x14ac:dyDescent="0.2">
      <c r="B10539"/>
      <c r="C10539"/>
      <c r="J10539"/>
      <c r="K10539"/>
      <c r="L10539"/>
    </row>
    <row r="10540" spans="2:12" x14ac:dyDescent="0.2">
      <c r="B10540"/>
      <c r="C10540"/>
      <c r="J10540"/>
      <c r="K10540"/>
      <c r="L10540"/>
    </row>
    <row r="10541" spans="2:12" x14ac:dyDescent="0.2">
      <c r="B10541"/>
      <c r="C10541"/>
      <c r="J10541"/>
      <c r="K10541"/>
      <c r="L10541"/>
    </row>
    <row r="10542" spans="2:12" x14ac:dyDescent="0.2">
      <c r="B10542"/>
      <c r="C10542"/>
      <c r="J10542"/>
      <c r="K10542"/>
      <c r="L10542"/>
    </row>
    <row r="10543" spans="2:12" x14ac:dyDescent="0.2">
      <c r="B10543"/>
      <c r="C10543"/>
      <c r="J10543"/>
      <c r="K10543"/>
      <c r="L10543"/>
    </row>
    <row r="10544" spans="2:12" x14ac:dyDescent="0.2">
      <c r="B10544"/>
      <c r="C10544"/>
      <c r="J10544"/>
      <c r="K10544"/>
      <c r="L10544"/>
    </row>
    <row r="10545" spans="2:12" x14ac:dyDescent="0.2">
      <c r="B10545"/>
      <c r="C10545"/>
      <c r="J10545"/>
      <c r="K10545"/>
      <c r="L10545"/>
    </row>
    <row r="10546" spans="2:12" x14ac:dyDescent="0.2">
      <c r="B10546"/>
      <c r="C10546"/>
      <c r="J10546"/>
      <c r="K10546"/>
      <c r="L10546"/>
    </row>
    <row r="10547" spans="2:12" x14ac:dyDescent="0.2">
      <c r="B10547"/>
      <c r="C10547"/>
      <c r="J10547"/>
      <c r="K10547"/>
      <c r="L10547"/>
    </row>
    <row r="10548" spans="2:12" x14ac:dyDescent="0.2">
      <c r="B10548"/>
      <c r="C10548"/>
      <c r="J10548"/>
      <c r="K10548"/>
      <c r="L10548"/>
    </row>
    <row r="10549" spans="2:12" x14ac:dyDescent="0.2">
      <c r="B10549"/>
      <c r="C10549"/>
      <c r="J10549"/>
      <c r="K10549"/>
      <c r="L10549"/>
    </row>
    <row r="10550" spans="2:12" x14ac:dyDescent="0.2">
      <c r="B10550"/>
      <c r="C10550"/>
      <c r="J10550"/>
      <c r="K10550"/>
      <c r="L10550"/>
    </row>
    <row r="10551" spans="2:12" x14ac:dyDescent="0.2">
      <c r="B10551"/>
      <c r="C10551"/>
      <c r="J10551"/>
      <c r="K10551"/>
      <c r="L10551"/>
    </row>
    <row r="10552" spans="2:12" x14ac:dyDescent="0.2">
      <c r="B10552"/>
      <c r="C10552"/>
      <c r="J10552"/>
      <c r="K10552"/>
      <c r="L10552"/>
    </row>
    <row r="10553" spans="2:12" x14ac:dyDescent="0.2">
      <c r="B10553"/>
      <c r="C10553"/>
      <c r="J10553"/>
      <c r="K10553"/>
      <c r="L10553"/>
    </row>
    <row r="10554" spans="2:12" x14ac:dyDescent="0.2">
      <c r="B10554"/>
      <c r="C10554"/>
      <c r="J10554"/>
      <c r="K10554"/>
      <c r="L10554"/>
    </row>
    <row r="10555" spans="2:12" x14ac:dyDescent="0.2">
      <c r="B10555"/>
      <c r="C10555"/>
      <c r="J10555"/>
      <c r="K10555"/>
      <c r="L10555"/>
    </row>
    <row r="10556" spans="2:12" x14ac:dyDescent="0.2">
      <c r="B10556"/>
      <c r="C10556"/>
      <c r="J10556"/>
      <c r="K10556"/>
      <c r="L10556"/>
    </row>
    <row r="10557" spans="2:12" x14ac:dyDescent="0.2">
      <c r="B10557"/>
      <c r="C10557"/>
      <c r="J10557"/>
      <c r="K10557"/>
      <c r="L10557"/>
    </row>
    <row r="10558" spans="2:12" x14ac:dyDescent="0.2">
      <c r="B10558"/>
      <c r="C10558"/>
      <c r="J10558"/>
      <c r="K10558"/>
      <c r="L10558"/>
    </row>
    <row r="10559" spans="2:12" x14ac:dyDescent="0.2">
      <c r="B10559"/>
      <c r="C10559"/>
      <c r="J10559"/>
      <c r="K10559"/>
      <c r="L10559"/>
    </row>
    <row r="10560" spans="2:12" x14ac:dyDescent="0.2">
      <c r="B10560"/>
      <c r="C10560"/>
      <c r="J10560"/>
      <c r="K10560"/>
      <c r="L10560"/>
    </row>
    <row r="10561" spans="2:12" x14ac:dyDescent="0.2">
      <c r="B10561"/>
      <c r="C10561"/>
      <c r="J10561"/>
      <c r="K10561"/>
      <c r="L10561"/>
    </row>
    <row r="10562" spans="2:12" x14ac:dyDescent="0.2">
      <c r="B10562"/>
      <c r="C10562"/>
      <c r="J10562"/>
      <c r="K10562"/>
      <c r="L10562"/>
    </row>
    <row r="10563" spans="2:12" x14ac:dyDescent="0.2">
      <c r="B10563"/>
      <c r="C10563"/>
      <c r="J10563"/>
      <c r="K10563"/>
      <c r="L10563"/>
    </row>
    <row r="10564" spans="2:12" x14ac:dyDescent="0.2">
      <c r="B10564"/>
      <c r="C10564"/>
      <c r="J10564"/>
      <c r="K10564"/>
      <c r="L10564"/>
    </row>
    <row r="10565" spans="2:12" x14ac:dyDescent="0.2">
      <c r="B10565"/>
      <c r="C10565"/>
      <c r="J10565"/>
      <c r="K10565"/>
      <c r="L10565"/>
    </row>
    <row r="10566" spans="2:12" x14ac:dyDescent="0.2">
      <c r="B10566"/>
      <c r="C10566"/>
      <c r="J10566"/>
      <c r="K10566"/>
      <c r="L10566"/>
    </row>
    <row r="10567" spans="2:12" x14ac:dyDescent="0.2">
      <c r="B10567"/>
      <c r="C10567"/>
      <c r="J10567"/>
      <c r="K10567"/>
      <c r="L10567"/>
    </row>
    <row r="10568" spans="2:12" x14ac:dyDescent="0.2">
      <c r="B10568"/>
      <c r="C10568"/>
      <c r="J10568"/>
      <c r="K10568"/>
      <c r="L10568"/>
    </row>
    <row r="10569" spans="2:12" x14ac:dyDescent="0.2">
      <c r="B10569"/>
      <c r="C10569"/>
      <c r="J10569"/>
      <c r="K10569"/>
      <c r="L10569"/>
    </row>
    <row r="10570" spans="2:12" x14ac:dyDescent="0.2">
      <c r="B10570"/>
      <c r="C10570"/>
      <c r="J10570"/>
      <c r="K10570"/>
      <c r="L10570"/>
    </row>
    <row r="10571" spans="2:12" x14ac:dyDescent="0.2">
      <c r="B10571"/>
      <c r="C10571"/>
      <c r="J10571"/>
      <c r="K10571"/>
      <c r="L10571"/>
    </row>
    <row r="10572" spans="2:12" x14ac:dyDescent="0.2">
      <c r="B10572"/>
      <c r="C10572"/>
      <c r="J10572"/>
      <c r="K10572"/>
      <c r="L10572"/>
    </row>
    <row r="10573" spans="2:12" x14ac:dyDescent="0.2">
      <c r="B10573"/>
      <c r="C10573"/>
      <c r="J10573"/>
      <c r="K10573"/>
      <c r="L10573"/>
    </row>
    <row r="10574" spans="2:12" x14ac:dyDescent="0.2">
      <c r="B10574"/>
      <c r="C10574"/>
      <c r="J10574"/>
      <c r="K10574"/>
      <c r="L10574"/>
    </row>
    <row r="10575" spans="2:12" x14ac:dyDescent="0.2">
      <c r="B10575"/>
      <c r="C10575"/>
      <c r="J10575"/>
      <c r="K10575"/>
      <c r="L10575"/>
    </row>
    <row r="10576" spans="2:12" x14ac:dyDescent="0.2">
      <c r="B10576"/>
      <c r="C10576"/>
      <c r="J10576"/>
      <c r="K10576"/>
      <c r="L10576"/>
    </row>
    <row r="10577" spans="2:12" x14ac:dyDescent="0.2">
      <c r="B10577"/>
      <c r="C10577"/>
      <c r="J10577"/>
      <c r="K10577"/>
      <c r="L10577"/>
    </row>
    <row r="10578" spans="2:12" x14ac:dyDescent="0.2">
      <c r="B10578"/>
      <c r="C10578"/>
      <c r="J10578"/>
      <c r="K10578"/>
      <c r="L10578"/>
    </row>
    <row r="10579" spans="2:12" x14ac:dyDescent="0.2">
      <c r="B10579"/>
      <c r="C10579"/>
      <c r="J10579"/>
      <c r="K10579"/>
      <c r="L10579"/>
    </row>
    <row r="10580" spans="2:12" x14ac:dyDescent="0.2">
      <c r="B10580"/>
      <c r="C10580"/>
      <c r="J10580"/>
      <c r="K10580"/>
      <c r="L10580"/>
    </row>
    <row r="10581" spans="2:12" x14ac:dyDescent="0.2">
      <c r="B10581"/>
      <c r="C10581"/>
      <c r="J10581"/>
      <c r="K10581"/>
      <c r="L10581"/>
    </row>
    <row r="10582" spans="2:12" x14ac:dyDescent="0.2">
      <c r="B10582"/>
      <c r="C10582"/>
      <c r="J10582"/>
      <c r="K10582"/>
      <c r="L10582"/>
    </row>
    <row r="10583" spans="2:12" x14ac:dyDescent="0.2">
      <c r="B10583"/>
      <c r="C10583"/>
      <c r="J10583"/>
      <c r="K10583"/>
      <c r="L10583"/>
    </row>
    <row r="10584" spans="2:12" x14ac:dyDescent="0.2">
      <c r="B10584"/>
      <c r="C10584"/>
      <c r="J10584"/>
      <c r="K10584"/>
      <c r="L10584"/>
    </row>
    <row r="10585" spans="2:12" x14ac:dyDescent="0.2">
      <c r="B10585"/>
      <c r="C10585"/>
      <c r="J10585"/>
      <c r="K10585"/>
      <c r="L10585"/>
    </row>
    <row r="10586" spans="2:12" x14ac:dyDescent="0.2">
      <c r="B10586"/>
      <c r="C10586"/>
      <c r="J10586"/>
      <c r="K10586"/>
      <c r="L10586"/>
    </row>
    <row r="10587" spans="2:12" x14ac:dyDescent="0.2">
      <c r="B10587"/>
      <c r="C10587"/>
      <c r="J10587"/>
      <c r="K10587"/>
      <c r="L10587"/>
    </row>
    <row r="10588" spans="2:12" x14ac:dyDescent="0.2">
      <c r="B10588"/>
      <c r="C10588"/>
      <c r="J10588"/>
      <c r="K10588"/>
      <c r="L10588"/>
    </row>
    <row r="10589" spans="2:12" x14ac:dyDescent="0.2">
      <c r="B10589"/>
      <c r="C10589"/>
      <c r="J10589"/>
      <c r="K10589"/>
      <c r="L10589"/>
    </row>
    <row r="10590" spans="2:12" x14ac:dyDescent="0.2">
      <c r="B10590"/>
      <c r="C10590"/>
      <c r="J10590"/>
      <c r="K10590"/>
      <c r="L10590"/>
    </row>
    <row r="10591" spans="2:12" x14ac:dyDescent="0.2">
      <c r="B10591"/>
      <c r="C10591"/>
      <c r="J10591"/>
      <c r="K10591"/>
      <c r="L10591"/>
    </row>
    <row r="10592" spans="2:12" x14ac:dyDescent="0.2">
      <c r="B10592"/>
      <c r="C10592"/>
      <c r="J10592"/>
      <c r="K10592"/>
      <c r="L10592"/>
    </row>
    <row r="10593" spans="2:12" x14ac:dyDescent="0.2">
      <c r="B10593"/>
      <c r="C10593"/>
      <c r="J10593"/>
      <c r="K10593"/>
      <c r="L10593"/>
    </row>
    <row r="10594" spans="2:12" x14ac:dyDescent="0.2">
      <c r="B10594"/>
      <c r="C10594"/>
      <c r="J10594"/>
      <c r="K10594"/>
      <c r="L10594"/>
    </row>
    <row r="10595" spans="2:12" x14ac:dyDescent="0.2">
      <c r="B10595"/>
      <c r="C10595"/>
      <c r="J10595"/>
      <c r="K10595"/>
      <c r="L10595"/>
    </row>
    <row r="10596" spans="2:12" x14ac:dyDescent="0.2">
      <c r="B10596"/>
      <c r="C10596"/>
      <c r="J10596"/>
      <c r="K10596"/>
      <c r="L10596"/>
    </row>
    <row r="10597" spans="2:12" x14ac:dyDescent="0.2">
      <c r="B10597"/>
      <c r="C10597"/>
      <c r="J10597"/>
      <c r="K10597"/>
      <c r="L10597"/>
    </row>
    <row r="10598" spans="2:12" x14ac:dyDescent="0.2">
      <c r="B10598"/>
      <c r="C10598"/>
      <c r="J10598"/>
      <c r="K10598"/>
      <c r="L10598"/>
    </row>
    <row r="10599" spans="2:12" x14ac:dyDescent="0.2">
      <c r="B10599"/>
      <c r="C10599"/>
      <c r="J10599"/>
      <c r="K10599"/>
      <c r="L10599"/>
    </row>
    <row r="10600" spans="2:12" x14ac:dyDescent="0.2">
      <c r="B10600"/>
      <c r="C10600"/>
      <c r="J10600"/>
      <c r="K10600"/>
      <c r="L10600"/>
    </row>
    <row r="10601" spans="2:12" x14ac:dyDescent="0.2">
      <c r="B10601"/>
      <c r="C10601"/>
      <c r="J10601"/>
      <c r="K10601"/>
      <c r="L10601"/>
    </row>
    <row r="10602" spans="2:12" x14ac:dyDescent="0.2">
      <c r="B10602"/>
      <c r="C10602"/>
      <c r="J10602"/>
      <c r="K10602"/>
      <c r="L10602"/>
    </row>
    <row r="10603" spans="2:12" x14ac:dyDescent="0.2">
      <c r="B10603"/>
      <c r="C10603"/>
      <c r="J10603"/>
      <c r="K10603"/>
      <c r="L10603"/>
    </row>
    <row r="10604" spans="2:12" x14ac:dyDescent="0.2">
      <c r="B10604"/>
      <c r="C10604"/>
      <c r="J10604"/>
      <c r="K10604"/>
      <c r="L10604"/>
    </row>
    <row r="10605" spans="2:12" x14ac:dyDescent="0.2">
      <c r="B10605"/>
      <c r="C10605"/>
      <c r="J10605"/>
      <c r="K10605"/>
      <c r="L10605"/>
    </row>
    <row r="10606" spans="2:12" x14ac:dyDescent="0.2">
      <c r="B10606"/>
      <c r="C10606"/>
      <c r="J10606"/>
      <c r="K10606"/>
      <c r="L10606"/>
    </row>
    <row r="10607" spans="2:12" x14ac:dyDescent="0.2">
      <c r="B10607"/>
      <c r="C10607"/>
      <c r="J10607"/>
      <c r="K10607"/>
      <c r="L10607"/>
    </row>
    <row r="10608" spans="2:12" x14ac:dyDescent="0.2">
      <c r="B10608"/>
      <c r="C10608"/>
      <c r="J10608"/>
      <c r="K10608"/>
      <c r="L10608"/>
    </row>
    <row r="10609" spans="2:12" x14ac:dyDescent="0.2">
      <c r="B10609"/>
      <c r="C10609"/>
      <c r="J10609"/>
      <c r="K10609"/>
      <c r="L10609"/>
    </row>
    <row r="10610" spans="2:12" x14ac:dyDescent="0.2">
      <c r="B10610"/>
      <c r="C10610"/>
      <c r="J10610"/>
      <c r="K10610"/>
      <c r="L10610"/>
    </row>
    <row r="10611" spans="2:12" x14ac:dyDescent="0.2">
      <c r="B10611"/>
      <c r="C10611"/>
      <c r="J10611"/>
      <c r="K10611"/>
      <c r="L10611"/>
    </row>
    <row r="10612" spans="2:12" x14ac:dyDescent="0.2">
      <c r="B10612"/>
      <c r="C10612"/>
      <c r="J10612"/>
      <c r="K10612"/>
      <c r="L10612"/>
    </row>
    <row r="10613" spans="2:12" x14ac:dyDescent="0.2">
      <c r="B10613"/>
      <c r="C10613"/>
      <c r="J10613"/>
      <c r="K10613"/>
      <c r="L10613"/>
    </row>
    <row r="10614" spans="2:12" x14ac:dyDescent="0.2">
      <c r="B10614"/>
      <c r="C10614"/>
      <c r="J10614"/>
      <c r="K10614"/>
      <c r="L10614"/>
    </row>
    <row r="10615" spans="2:12" x14ac:dyDescent="0.2">
      <c r="B10615"/>
      <c r="C10615"/>
      <c r="J10615"/>
      <c r="K10615"/>
      <c r="L10615"/>
    </row>
    <row r="10616" spans="2:12" x14ac:dyDescent="0.2">
      <c r="B10616"/>
      <c r="C10616"/>
      <c r="J10616"/>
      <c r="K10616"/>
      <c r="L10616"/>
    </row>
    <row r="10617" spans="2:12" x14ac:dyDescent="0.2">
      <c r="B10617"/>
      <c r="C10617"/>
      <c r="J10617"/>
      <c r="K10617"/>
      <c r="L10617"/>
    </row>
    <row r="10618" spans="2:12" x14ac:dyDescent="0.2">
      <c r="B10618"/>
      <c r="C10618"/>
      <c r="J10618"/>
      <c r="K10618"/>
      <c r="L10618"/>
    </row>
    <row r="10619" spans="2:12" x14ac:dyDescent="0.2">
      <c r="B10619"/>
      <c r="C10619"/>
      <c r="J10619"/>
      <c r="K10619"/>
      <c r="L10619"/>
    </row>
    <row r="10620" spans="2:12" x14ac:dyDescent="0.2">
      <c r="B10620"/>
      <c r="C10620"/>
      <c r="J10620"/>
      <c r="K10620"/>
      <c r="L10620"/>
    </row>
    <row r="10621" spans="2:12" x14ac:dyDescent="0.2">
      <c r="B10621"/>
      <c r="C10621"/>
      <c r="J10621"/>
      <c r="K10621"/>
      <c r="L10621"/>
    </row>
    <row r="10622" spans="2:12" x14ac:dyDescent="0.2">
      <c r="B10622"/>
      <c r="C10622"/>
      <c r="J10622"/>
      <c r="K10622"/>
      <c r="L10622"/>
    </row>
    <row r="10623" spans="2:12" x14ac:dyDescent="0.2">
      <c r="B10623"/>
      <c r="C10623"/>
      <c r="J10623"/>
      <c r="K10623"/>
      <c r="L10623"/>
    </row>
    <row r="10624" spans="2:12" x14ac:dyDescent="0.2">
      <c r="B10624"/>
      <c r="C10624"/>
      <c r="J10624"/>
      <c r="K10624"/>
      <c r="L10624"/>
    </row>
    <row r="10625" spans="2:12" x14ac:dyDescent="0.2">
      <c r="B10625"/>
      <c r="C10625"/>
      <c r="J10625"/>
      <c r="K10625"/>
      <c r="L10625"/>
    </row>
    <row r="10626" spans="2:12" x14ac:dyDescent="0.2">
      <c r="B10626"/>
      <c r="C10626"/>
      <c r="J10626"/>
      <c r="K10626"/>
      <c r="L10626"/>
    </row>
    <row r="10627" spans="2:12" x14ac:dyDescent="0.2">
      <c r="B10627"/>
      <c r="C10627"/>
      <c r="J10627"/>
      <c r="K10627"/>
      <c r="L10627"/>
    </row>
    <row r="10628" spans="2:12" x14ac:dyDescent="0.2">
      <c r="B10628"/>
      <c r="C10628"/>
      <c r="J10628"/>
      <c r="K10628"/>
      <c r="L10628"/>
    </row>
    <row r="10629" spans="2:12" x14ac:dyDescent="0.2">
      <c r="B10629"/>
      <c r="C10629"/>
      <c r="J10629"/>
      <c r="K10629"/>
      <c r="L10629"/>
    </row>
    <row r="10630" spans="2:12" x14ac:dyDescent="0.2">
      <c r="B10630"/>
      <c r="C10630"/>
      <c r="J10630"/>
      <c r="K10630"/>
      <c r="L10630"/>
    </row>
    <row r="10631" spans="2:12" x14ac:dyDescent="0.2">
      <c r="B10631"/>
      <c r="C10631"/>
      <c r="J10631"/>
      <c r="K10631"/>
      <c r="L10631"/>
    </row>
    <row r="10632" spans="2:12" x14ac:dyDescent="0.2">
      <c r="B10632"/>
      <c r="C10632"/>
      <c r="J10632"/>
      <c r="K10632"/>
      <c r="L10632"/>
    </row>
    <row r="10633" spans="2:12" x14ac:dyDescent="0.2">
      <c r="B10633"/>
      <c r="C10633"/>
      <c r="J10633"/>
      <c r="K10633"/>
      <c r="L10633"/>
    </row>
    <row r="10634" spans="2:12" x14ac:dyDescent="0.2">
      <c r="B10634"/>
      <c r="C10634"/>
      <c r="J10634"/>
      <c r="K10634"/>
      <c r="L10634"/>
    </row>
    <row r="10635" spans="2:12" x14ac:dyDescent="0.2">
      <c r="B10635"/>
      <c r="C10635"/>
      <c r="J10635"/>
      <c r="K10635"/>
      <c r="L10635"/>
    </row>
    <row r="10636" spans="2:12" x14ac:dyDescent="0.2">
      <c r="B10636"/>
      <c r="C10636"/>
      <c r="J10636"/>
      <c r="K10636"/>
      <c r="L10636"/>
    </row>
    <row r="10637" spans="2:12" x14ac:dyDescent="0.2">
      <c r="B10637"/>
      <c r="C10637"/>
      <c r="J10637"/>
      <c r="K10637"/>
      <c r="L10637"/>
    </row>
    <row r="10638" spans="2:12" x14ac:dyDescent="0.2">
      <c r="B10638"/>
      <c r="C10638"/>
      <c r="J10638"/>
      <c r="K10638"/>
      <c r="L10638"/>
    </row>
    <row r="10639" spans="2:12" x14ac:dyDescent="0.2">
      <c r="B10639"/>
      <c r="C10639"/>
      <c r="J10639"/>
      <c r="K10639"/>
      <c r="L10639"/>
    </row>
    <row r="10640" spans="2:12" x14ac:dyDescent="0.2">
      <c r="B10640"/>
      <c r="C10640"/>
      <c r="J10640"/>
      <c r="K10640"/>
      <c r="L10640"/>
    </row>
    <row r="10641" spans="2:12" x14ac:dyDescent="0.2">
      <c r="B10641"/>
      <c r="C10641"/>
      <c r="J10641"/>
      <c r="K10641"/>
      <c r="L10641"/>
    </row>
    <row r="10642" spans="2:12" x14ac:dyDescent="0.2">
      <c r="B10642"/>
      <c r="C10642"/>
      <c r="J10642"/>
      <c r="K10642"/>
      <c r="L10642"/>
    </row>
    <row r="10643" spans="2:12" x14ac:dyDescent="0.2">
      <c r="B10643"/>
      <c r="C10643"/>
      <c r="J10643"/>
      <c r="K10643"/>
      <c r="L10643"/>
    </row>
    <row r="10644" spans="2:12" x14ac:dyDescent="0.2">
      <c r="B10644"/>
      <c r="C10644"/>
      <c r="J10644"/>
      <c r="K10644"/>
      <c r="L10644"/>
    </row>
    <row r="10645" spans="2:12" x14ac:dyDescent="0.2">
      <c r="B10645"/>
      <c r="C10645"/>
      <c r="J10645"/>
      <c r="K10645"/>
      <c r="L10645"/>
    </row>
    <row r="10646" spans="2:12" x14ac:dyDescent="0.2">
      <c r="B10646"/>
      <c r="C10646"/>
      <c r="J10646"/>
      <c r="K10646"/>
      <c r="L10646"/>
    </row>
    <row r="10647" spans="2:12" x14ac:dyDescent="0.2">
      <c r="B10647"/>
      <c r="C10647"/>
      <c r="J10647"/>
      <c r="K10647"/>
      <c r="L10647"/>
    </row>
    <row r="10648" spans="2:12" x14ac:dyDescent="0.2">
      <c r="B10648"/>
      <c r="C10648"/>
      <c r="J10648"/>
      <c r="K10648"/>
      <c r="L10648"/>
    </row>
    <row r="10649" spans="2:12" x14ac:dyDescent="0.2">
      <c r="B10649"/>
      <c r="C10649"/>
      <c r="J10649"/>
      <c r="K10649"/>
      <c r="L10649"/>
    </row>
    <row r="10650" spans="2:12" x14ac:dyDescent="0.2">
      <c r="B10650"/>
      <c r="C10650"/>
      <c r="J10650"/>
      <c r="K10650"/>
      <c r="L10650"/>
    </row>
    <row r="10651" spans="2:12" x14ac:dyDescent="0.2">
      <c r="B10651"/>
      <c r="C10651"/>
      <c r="J10651"/>
      <c r="K10651"/>
      <c r="L10651"/>
    </row>
    <row r="10652" spans="2:12" x14ac:dyDescent="0.2">
      <c r="B10652"/>
      <c r="C10652"/>
      <c r="J10652"/>
      <c r="K10652"/>
      <c r="L10652"/>
    </row>
    <row r="10653" spans="2:12" x14ac:dyDescent="0.2">
      <c r="B10653"/>
      <c r="C10653"/>
      <c r="J10653"/>
      <c r="K10653"/>
      <c r="L10653"/>
    </row>
    <row r="10654" spans="2:12" x14ac:dyDescent="0.2">
      <c r="B10654"/>
      <c r="C10654"/>
      <c r="J10654"/>
      <c r="K10654"/>
      <c r="L10654"/>
    </row>
    <row r="10655" spans="2:12" x14ac:dyDescent="0.2">
      <c r="B10655"/>
      <c r="C10655"/>
      <c r="J10655"/>
      <c r="K10655"/>
      <c r="L10655"/>
    </row>
    <row r="10656" spans="2:12" x14ac:dyDescent="0.2">
      <c r="B10656"/>
      <c r="C10656"/>
      <c r="J10656"/>
      <c r="K10656"/>
      <c r="L10656"/>
    </row>
    <row r="10657" spans="2:12" x14ac:dyDescent="0.2">
      <c r="B10657"/>
      <c r="C10657"/>
      <c r="J10657"/>
      <c r="K10657"/>
      <c r="L10657"/>
    </row>
    <row r="10658" spans="2:12" x14ac:dyDescent="0.2">
      <c r="B10658"/>
      <c r="C10658"/>
      <c r="J10658"/>
      <c r="K10658"/>
      <c r="L10658"/>
    </row>
    <row r="10659" spans="2:12" x14ac:dyDescent="0.2">
      <c r="B10659"/>
      <c r="C10659"/>
      <c r="J10659"/>
      <c r="K10659"/>
      <c r="L10659"/>
    </row>
    <row r="10660" spans="2:12" x14ac:dyDescent="0.2">
      <c r="B10660"/>
      <c r="C10660"/>
      <c r="J10660"/>
      <c r="K10660"/>
      <c r="L10660"/>
    </row>
    <row r="10661" spans="2:12" x14ac:dyDescent="0.2">
      <c r="B10661"/>
      <c r="C10661"/>
      <c r="J10661"/>
      <c r="K10661"/>
      <c r="L10661"/>
    </row>
    <row r="10662" spans="2:12" x14ac:dyDescent="0.2">
      <c r="B10662"/>
      <c r="C10662"/>
      <c r="J10662"/>
      <c r="K10662"/>
      <c r="L10662"/>
    </row>
    <row r="10663" spans="2:12" x14ac:dyDescent="0.2">
      <c r="B10663"/>
      <c r="C10663"/>
      <c r="J10663"/>
      <c r="K10663"/>
      <c r="L10663"/>
    </row>
    <row r="10664" spans="2:12" x14ac:dyDescent="0.2">
      <c r="B10664"/>
      <c r="C10664"/>
      <c r="J10664"/>
      <c r="K10664"/>
      <c r="L10664"/>
    </row>
    <row r="10665" spans="2:12" x14ac:dyDescent="0.2">
      <c r="B10665"/>
      <c r="C10665"/>
      <c r="J10665"/>
      <c r="K10665"/>
      <c r="L10665"/>
    </row>
    <row r="10666" spans="2:12" x14ac:dyDescent="0.2">
      <c r="B10666"/>
      <c r="C10666"/>
      <c r="J10666"/>
      <c r="K10666"/>
      <c r="L10666"/>
    </row>
    <row r="10667" spans="2:12" x14ac:dyDescent="0.2">
      <c r="B10667"/>
      <c r="C10667"/>
      <c r="J10667"/>
      <c r="K10667"/>
      <c r="L10667"/>
    </row>
    <row r="10668" spans="2:12" x14ac:dyDescent="0.2">
      <c r="B10668"/>
      <c r="C10668"/>
      <c r="J10668"/>
      <c r="K10668"/>
      <c r="L10668"/>
    </row>
    <row r="10669" spans="2:12" x14ac:dyDescent="0.2">
      <c r="B10669"/>
      <c r="C10669"/>
      <c r="J10669"/>
      <c r="K10669"/>
      <c r="L10669"/>
    </row>
    <row r="10670" spans="2:12" x14ac:dyDescent="0.2">
      <c r="B10670"/>
      <c r="C10670"/>
      <c r="J10670"/>
      <c r="K10670"/>
      <c r="L10670"/>
    </row>
    <row r="10671" spans="2:12" x14ac:dyDescent="0.2">
      <c r="B10671"/>
      <c r="C10671"/>
      <c r="J10671"/>
      <c r="K10671"/>
      <c r="L10671"/>
    </row>
    <row r="10672" spans="2:12" x14ac:dyDescent="0.2">
      <c r="B10672"/>
      <c r="C10672"/>
      <c r="J10672"/>
      <c r="K10672"/>
      <c r="L10672"/>
    </row>
    <row r="10673" spans="2:12" x14ac:dyDescent="0.2">
      <c r="B10673"/>
      <c r="C10673"/>
      <c r="J10673"/>
      <c r="K10673"/>
      <c r="L10673"/>
    </row>
    <row r="10674" spans="2:12" x14ac:dyDescent="0.2">
      <c r="B10674"/>
      <c r="C10674"/>
      <c r="J10674"/>
      <c r="K10674"/>
      <c r="L10674"/>
    </row>
    <row r="10675" spans="2:12" x14ac:dyDescent="0.2">
      <c r="B10675"/>
      <c r="C10675"/>
      <c r="J10675"/>
      <c r="K10675"/>
      <c r="L10675"/>
    </row>
    <row r="10676" spans="2:12" x14ac:dyDescent="0.2">
      <c r="B10676"/>
      <c r="C10676"/>
      <c r="J10676"/>
      <c r="K10676"/>
      <c r="L10676"/>
    </row>
    <row r="10677" spans="2:12" x14ac:dyDescent="0.2">
      <c r="B10677"/>
      <c r="C10677"/>
      <c r="J10677"/>
      <c r="K10677"/>
      <c r="L10677"/>
    </row>
    <row r="10678" spans="2:12" x14ac:dyDescent="0.2">
      <c r="B10678"/>
      <c r="C10678"/>
      <c r="J10678"/>
      <c r="K10678"/>
      <c r="L10678"/>
    </row>
    <row r="10679" spans="2:12" x14ac:dyDescent="0.2">
      <c r="B10679"/>
      <c r="C10679"/>
      <c r="J10679"/>
      <c r="K10679"/>
      <c r="L10679"/>
    </row>
    <row r="10680" spans="2:12" x14ac:dyDescent="0.2">
      <c r="B10680"/>
      <c r="C10680"/>
      <c r="J10680"/>
      <c r="K10680"/>
      <c r="L10680"/>
    </row>
    <row r="10681" spans="2:12" x14ac:dyDescent="0.2">
      <c r="B10681"/>
      <c r="C10681"/>
      <c r="J10681"/>
      <c r="K10681"/>
      <c r="L10681"/>
    </row>
    <row r="10682" spans="2:12" x14ac:dyDescent="0.2">
      <c r="B10682"/>
      <c r="C10682"/>
      <c r="J10682"/>
      <c r="K10682"/>
      <c r="L10682"/>
    </row>
    <row r="10683" spans="2:12" x14ac:dyDescent="0.2">
      <c r="B10683"/>
      <c r="C10683"/>
      <c r="J10683"/>
      <c r="K10683"/>
      <c r="L10683"/>
    </row>
    <row r="10684" spans="2:12" x14ac:dyDescent="0.2">
      <c r="B10684"/>
      <c r="C10684"/>
      <c r="J10684"/>
      <c r="K10684"/>
      <c r="L10684"/>
    </row>
    <row r="10685" spans="2:12" x14ac:dyDescent="0.2">
      <c r="B10685"/>
      <c r="C10685"/>
      <c r="J10685"/>
      <c r="K10685"/>
      <c r="L10685"/>
    </row>
    <row r="10686" spans="2:12" x14ac:dyDescent="0.2">
      <c r="B10686"/>
      <c r="C10686"/>
      <c r="J10686"/>
      <c r="K10686"/>
      <c r="L10686"/>
    </row>
    <row r="10687" spans="2:12" x14ac:dyDescent="0.2">
      <c r="B10687"/>
      <c r="C10687"/>
      <c r="J10687"/>
      <c r="K10687"/>
      <c r="L10687"/>
    </row>
    <row r="10688" spans="2:12" x14ac:dyDescent="0.2">
      <c r="B10688"/>
      <c r="C10688"/>
      <c r="J10688"/>
      <c r="K10688"/>
      <c r="L10688"/>
    </row>
    <row r="10689" spans="2:12" x14ac:dyDescent="0.2">
      <c r="B10689"/>
      <c r="C10689"/>
      <c r="J10689"/>
      <c r="K10689"/>
      <c r="L10689"/>
    </row>
    <row r="10690" spans="2:12" x14ac:dyDescent="0.2">
      <c r="B10690"/>
      <c r="C10690"/>
      <c r="J10690"/>
      <c r="K10690"/>
      <c r="L10690"/>
    </row>
    <row r="10691" spans="2:12" x14ac:dyDescent="0.2">
      <c r="B10691"/>
      <c r="C10691"/>
      <c r="J10691"/>
      <c r="K10691"/>
      <c r="L10691"/>
    </row>
    <row r="10692" spans="2:12" x14ac:dyDescent="0.2">
      <c r="B10692"/>
      <c r="C10692"/>
      <c r="J10692"/>
      <c r="K10692"/>
      <c r="L10692"/>
    </row>
    <row r="10693" spans="2:12" x14ac:dyDescent="0.2">
      <c r="B10693"/>
      <c r="C10693"/>
      <c r="J10693"/>
      <c r="K10693"/>
      <c r="L10693"/>
    </row>
    <row r="10694" spans="2:12" x14ac:dyDescent="0.2">
      <c r="B10694"/>
      <c r="C10694"/>
      <c r="J10694"/>
      <c r="K10694"/>
      <c r="L10694"/>
    </row>
    <row r="10695" spans="2:12" x14ac:dyDescent="0.2">
      <c r="B10695"/>
      <c r="C10695"/>
      <c r="J10695"/>
      <c r="K10695"/>
      <c r="L10695"/>
    </row>
    <row r="10696" spans="2:12" x14ac:dyDescent="0.2">
      <c r="B10696"/>
      <c r="C10696"/>
      <c r="J10696"/>
      <c r="K10696"/>
      <c r="L10696"/>
    </row>
    <row r="10697" spans="2:12" x14ac:dyDescent="0.2">
      <c r="B10697"/>
      <c r="C10697"/>
      <c r="J10697"/>
      <c r="K10697"/>
      <c r="L10697"/>
    </row>
    <row r="10698" spans="2:12" x14ac:dyDescent="0.2">
      <c r="B10698"/>
      <c r="C10698"/>
      <c r="J10698"/>
      <c r="K10698"/>
      <c r="L10698"/>
    </row>
    <row r="10699" spans="2:12" x14ac:dyDescent="0.2">
      <c r="B10699"/>
      <c r="C10699"/>
      <c r="J10699"/>
      <c r="K10699"/>
      <c r="L10699"/>
    </row>
    <row r="10700" spans="2:12" x14ac:dyDescent="0.2">
      <c r="B10700"/>
      <c r="C10700"/>
      <c r="J10700"/>
      <c r="K10700"/>
      <c r="L10700"/>
    </row>
    <row r="10701" spans="2:12" x14ac:dyDescent="0.2">
      <c r="B10701"/>
      <c r="C10701"/>
      <c r="J10701"/>
      <c r="K10701"/>
      <c r="L10701"/>
    </row>
    <row r="10702" spans="2:12" x14ac:dyDescent="0.2">
      <c r="B10702"/>
      <c r="C10702"/>
      <c r="J10702"/>
      <c r="K10702"/>
      <c r="L10702"/>
    </row>
    <row r="10703" spans="2:12" x14ac:dyDescent="0.2">
      <c r="B10703"/>
      <c r="C10703"/>
      <c r="J10703"/>
      <c r="K10703"/>
      <c r="L10703"/>
    </row>
    <row r="10704" spans="2:12" x14ac:dyDescent="0.2">
      <c r="B10704"/>
      <c r="C10704"/>
      <c r="J10704"/>
      <c r="K10704"/>
      <c r="L10704"/>
    </row>
    <row r="10705" spans="2:12" x14ac:dyDescent="0.2">
      <c r="B10705"/>
      <c r="C10705"/>
      <c r="J10705"/>
      <c r="K10705"/>
      <c r="L10705"/>
    </row>
    <row r="10706" spans="2:12" x14ac:dyDescent="0.2">
      <c r="B10706"/>
      <c r="C10706"/>
      <c r="J10706"/>
      <c r="K10706"/>
      <c r="L10706"/>
    </row>
    <row r="10707" spans="2:12" x14ac:dyDescent="0.2">
      <c r="B10707"/>
      <c r="C10707"/>
      <c r="J10707"/>
      <c r="K10707"/>
      <c r="L10707"/>
    </row>
    <row r="10708" spans="2:12" x14ac:dyDescent="0.2">
      <c r="B10708"/>
      <c r="C10708"/>
      <c r="J10708"/>
      <c r="K10708"/>
      <c r="L10708"/>
    </row>
    <row r="10709" spans="2:12" x14ac:dyDescent="0.2">
      <c r="B10709"/>
      <c r="C10709"/>
      <c r="J10709"/>
      <c r="K10709"/>
      <c r="L10709"/>
    </row>
    <row r="10710" spans="2:12" x14ac:dyDescent="0.2">
      <c r="B10710"/>
      <c r="C10710"/>
      <c r="J10710"/>
      <c r="K10710"/>
      <c r="L10710"/>
    </row>
    <row r="10711" spans="2:12" x14ac:dyDescent="0.2">
      <c r="B10711"/>
      <c r="C10711"/>
      <c r="J10711"/>
      <c r="K10711"/>
      <c r="L10711"/>
    </row>
    <row r="10712" spans="2:12" x14ac:dyDescent="0.2">
      <c r="B10712"/>
      <c r="C10712"/>
      <c r="J10712"/>
      <c r="K10712"/>
      <c r="L10712"/>
    </row>
    <row r="10713" spans="2:12" x14ac:dyDescent="0.2">
      <c r="B10713"/>
      <c r="C10713"/>
      <c r="J10713"/>
      <c r="K10713"/>
      <c r="L10713"/>
    </row>
    <row r="10714" spans="2:12" x14ac:dyDescent="0.2">
      <c r="B10714"/>
      <c r="C10714"/>
      <c r="J10714"/>
      <c r="K10714"/>
      <c r="L10714"/>
    </row>
    <row r="10715" spans="2:12" x14ac:dyDescent="0.2">
      <c r="B10715"/>
      <c r="C10715"/>
      <c r="J10715"/>
      <c r="K10715"/>
      <c r="L10715"/>
    </row>
    <row r="10716" spans="2:12" x14ac:dyDescent="0.2">
      <c r="B10716"/>
      <c r="C10716"/>
      <c r="J10716"/>
      <c r="K10716"/>
      <c r="L10716"/>
    </row>
    <row r="10717" spans="2:12" x14ac:dyDescent="0.2">
      <c r="B10717"/>
      <c r="C10717"/>
      <c r="J10717"/>
      <c r="K10717"/>
      <c r="L10717"/>
    </row>
    <row r="10718" spans="2:12" x14ac:dyDescent="0.2">
      <c r="B10718"/>
      <c r="C10718"/>
      <c r="J10718"/>
      <c r="K10718"/>
      <c r="L10718"/>
    </row>
    <row r="10719" spans="2:12" x14ac:dyDescent="0.2">
      <c r="B10719"/>
      <c r="C10719"/>
      <c r="J10719"/>
      <c r="K10719"/>
      <c r="L10719"/>
    </row>
    <row r="10720" spans="2:12" x14ac:dyDescent="0.2">
      <c r="B10720"/>
      <c r="C10720"/>
      <c r="J10720"/>
      <c r="K10720"/>
      <c r="L10720"/>
    </row>
    <row r="10721" spans="2:12" x14ac:dyDescent="0.2">
      <c r="B10721"/>
      <c r="C10721"/>
      <c r="J10721"/>
      <c r="K10721"/>
      <c r="L10721"/>
    </row>
    <row r="10722" spans="2:12" x14ac:dyDescent="0.2">
      <c r="B10722"/>
      <c r="C10722"/>
      <c r="J10722"/>
      <c r="K10722"/>
      <c r="L10722"/>
    </row>
    <row r="10723" spans="2:12" x14ac:dyDescent="0.2">
      <c r="B10723"/>
      <c r="C10723"/>
      <c r="J10723"/>
      <c r="K10723"/>
      <c r="L10723"/>
    </row>
    <row r="10724" spans="2:12" x14ac:dyDescent="0.2">
      <c r="B10724"/>
      <c r="C10724"/>
      <c r="J10724"/>
      <c r="K10724"/>
      <c r="L10724"/>
    </row>
    <row r="10725" spans="2:12" x14ac:dyDescent="0.2">
      <c r="B10725"/>
      <c r="C10725"/>
      <c r="J10725"/>
      <c r="K10725"/>
      <c r="L10725"/>
    </row>
    <row r="10726" spans="2:12" x14ac:dyDescent="0.2">
      <c r="B10726"/>
      <c r="C10726"/>
      <c r="J10726"/>
      <c r="K10726"/>
      <c r="L10726"/>
    </row>
    <row r="10727" spans="2:12" x14ac:dyDescent="0.2">
      <c r="B10727"/>
      <c r="C10727"/>
      <c r="J10727"/>
      <c r="K10727"/>
      <c r="L10727"/>
    </row>
    <row r="10728" spans="2:12" x14ac:dyDescent="0.2">
      <c r="B10728"/>
      <c r="C10728"/>
      <c r="J10728"/>
      <c r="K10728"/>
      <c r="L10728"/>
    </row>
    <row r="10729" spans="2:12" x14ac:dyDescent="0.2">
      <c r="B10729"/>
      <c r="C10729"/>
      <c r="J10729"/>
      <c r="K10729"/>
      <c r="L10729"/>
    </row>
    <row r="10730" spans="2:12" x14ac:dyDescent="0.2">
      <c r="B10730"/>
      <c r="C10730"/>
      <c r="J10730"/>
      <c r="K10730"/>
      <c r="L10730"/>
    </row>
    <row r="10731" spans="2:12" x14ac:dyDescent="0.2">
      <c r="B10731"/>
      <c r="C10731"/>
      <c r="J10731"/>
      <c r="K10731"/>
      <c r="L10731"/>
    </row>
    <row r="10732" spans="2:12" x14ac:dyDescent="0.2">
      <c r="B10732"/>
      <c r="C10732"/>
      <c r="J10732"/>
      <c r="K10732"/>
      <c r="L10732"/>
    </row>
    <row r="10733" spans="2:12" x14ac:dyDescent="0.2">
      <c r="B10733"/>
      <c r="C10733"/>
      <c r="J10733"/>
      <c r="K10733"/>
      <c r="L10733"/>
    </row>
    <row r="10734" spans="2:12" x14ac:dyDescent="0.2">
      <c r="B10734"/>
      <c r="C10734"/>
      <c r="J10734"/>
      <c r="K10734"/>
      <c r="L10734"/>
    </row>
    <row r="10735" spans="2:12" x14ac:dyDescent="0.2">
      <c r="B10735"/>
      <c r="C10735"/>
      <c r="J10735"/>
      <c r="K10735"/>
      <c r="L10735"/>
    </row>
    <row r="10736" spans="2:12" x14ac:dyDescent="0.2">
      <c r="B10736"/>
      <c r="C10736"/>
      <c r="J10736"/>
      <c r="K10736"/>
      <c r="L10736"/>
    </row>
    <row r="10737" spans="2:12" x14ac:dyDescent="0.2">
      <c r="B10737"/>
      <c r="C10737"/>
      <c r="J10737"/>
      <c r="K10737"/>
      <c r="L10737"/>
    </row>
    <row r="10738" spans="2:12" x14ac:dyDescent="0.2">
      <c r="B10738"/>
      <c r="C10738"/>
      <c r="J10738"/>
      <c r="K10738"/>
      <c r="L10738"/>
    </row>
    <row r="10739" spans="2:12" x14ac:dyDescent="0.2">
      <c r="B10739"/>
      <c r="C10739"/>
      <c r="J10739"/>
      <c r="K10739"/>
      <c r="L10739"/>
    </row>
    <row r="10740" spans="2:12" x14ac:dyDescent="0.2">
      <c r="B10740"/>
      <c r="C10740"/>
      <c r="J10740"/>
      <c r="K10740"/>
      <c r="L10740"/>
    </row>
    <row r="10741" spans="2:12" x14ac:dyDescent="0.2">
      <c r="B10741"/>
      <c r="C10741"/>
      <c r="J10741"/>
      <c r="K10741"/>
      <c r="L10741"/>
    </row>
    <row r="10742" spans="2:12" x14ac:dyDescent="0.2">
      <c r="B10742"/>
      <c r="C10742"/>
      <c r="J10742"/>
      <c r="K10742"/>
      <c r="L10742"/>
    </row>
    <row r="10743" spans="2:12" x14ac:dyDescent="0.2">
      <c r="B10743"/>
      <c r="C10743"/>
      <c r="J10743"/>
      <c r="K10743"/>
      <c r="L10743"/>
    </row>
    <row r="10744" spans="2:12" x14ac:dyDescent="0.2">
      <c r="B10744"/>
      <c r="C10744"/>
      <c r="J10744"/>
      <c r="K10744"/>
      <c r="L10744"/>
    </row>
    <row r="10745" spans="2:12" x14ac:dyDescent="0.2">
      <c r="B10745"/>
      <c r="C10745"/>
      <c r="J10745"/>
      <c r="K10745"/>
      <c r="L10745"/>
    </row>
    <row r="10746" spans="2:12" x14ac:dyDescent="0.2">
      <c r="B10746"/>
      <c r="C10746"/>
      <c r="J10746"/>
      <c r="K10746"/>
      <c r="L10746"/>
    </row>
    <row r="10747" spans="2:12" x14ac:dyDescent="0.2">
      <c r="B10747"/>
      <c r="C10747"/>
      <c r="J10747"/>
      <c r="K10747"/>
      <c r="L10747"/>
    </row>
    <row r="10748" spans="2:12" x14ac:dyDescent="0.2">
      <c r="B10748"/>
      <c r="C10748"/>
      <c r="J10748"/>
      <c r="K10748"/>
      <c r="L10748"/>
    </row>
    <row r="10749" spans="2:12" x14ac:dyDescent="0.2">
      <c r="B10749"/>
      <c r="C10749"/>
      <c r="J10749"/>
      <c r="K10749"/>
      <c r="L10749"/>
    </row>
    <row r="10750" spans="2:12" x14ac:dyDescent="0.2">
      <c r="B10750"/>
      <c r="C10750"/>
      <c r="J10750"/>
      <c r="K10750"/>
      <c r="L10750"/>
    </row>
    <row r="10751" spans="2:12" x14ac:dyDescent="0.2">
      <c r="B10751"/>
      <c r="C10751"/>
      <c r="J10751"/>
      <c r="K10751"/>
      <c r="L10751"/>
    </row>
    <row r="10752" spans="2:12" x14ac:dyDescent="0.2">
      <c r="B10752"/>
      <c r="C10752"/>
      <c r="J10752"/>
      <c r="K10752"/>
      <c r="L10752"/>
    </row>
    <row r="10753" spans="2:12" x14ac:dyDescent="0.2">
      <c r="B10753"/>
      <c r="C10753"/>
      <c r="J10753"/>
      <c r="K10753"/>
      <c r="L10753"/>
    </row>
    <row r="10754" spans="2:12" x14ac:dyDescent="0.2">
      <c r="B10754"/>
      <c r="C10754"/>
      <c r="J10754"/>
      <c r="K10754"/>
      <c r="L10754"/>
    </row>
    <row r="10755" spans="2:12" x14ac:dyDescent="0.2">
      <c r="B10755"/>
      <c r="C10755"/>
      <c r="J10755"/>
      <c r="K10755"/>
      <c r="L10755"/>
    </row>
    <row r="10756" spans="2:12" x14ac:dyDescent="0.2">
      <c r="B10756"/>
      <c r="C10756"/>
      <c r="J10756"/>
      <c r="K10756"/>
      <c r="L10756"/>
    </row>
    <row r="10757" spans="2:12" x14ac:dyDescent="0.2">
      <c r="B10757"/>
      <c r="C10757"/>
      <c r="J10757"/>
      <c r="K10757"/>
      <c r="L10757"/>
    </row>
    <row r="10758" spans="2:12" x14ac:dyDescent="0.2">
      <c r="B10758"/>
      <c r="C10758"/>
      <c r="J10758"/>
      <c r="K10758"/>
      <c r="L10758"/>
    </row>
    <row r="10759" spans="2:12" x14ac:dyDescent="0.2">
      <c r="B10759"/>
      <c r="C10759"/>
      <c r="J10759"/>
      <c r="K10759"/>
      <c r="L10759"/>
    </row>
    <row r="10760" spans="2:12" x14ac:dyDescent="0.2">
      <c r="B10760"/>
      <c r="C10760"/>
      <c r="J10760"/>
      <c r="K10760"/>
      <c r="L10760"/>
    </row>
    <row r="10761" spans="2:12" x14ac:dyDescent="0.2">
      <c r="B10761"/>
      <c r="C10761"/>
      <c r="J10761"/>
      <c r="K10761"/>
      <c r="L10761"/>
    </row>
    <row r="10762" spans="2:12" x14ac:dyDescent="0.2">
      <c r="B10762"/>
      <c r="C10762"/>
      <c r="J10762"/>
      <c r="K10762"/>
      <c r="L10762"/>
    </row>
    <row r="10763" spans="2:12" x14ac:dyDescent="0.2">
      <c r="B10763"/>
      <c r="C10763"/>
      <c r="J10763"/>
      <c r="K10763"/>
      <c r="L10763"/>
    </row>
    <row r="10764" spans="2:12" x14ac:dyDescent="0.2">
      <c r="B10764"/>
      <c r="C10764"/>
      <c r="J10764"/>
      <c r="K10764"/>
      <c r="L10764"/>
    </row>
    <row r="10765" spans="2:12" x14ac:dyDescent="0.2">
      <c r="B10765"/>
      <c r="C10765"/>
      <c r="J10765"/>
      <c r="K10765"/>
      <c r="L10765"/>
    </row>
    <row r="10766" spans="2:12" x14ac:dyDescent="0.2">
      <c r="B10766"/>
      <c r="C10766"/>
      <c r="J10766"/>
      <c r="K10766"/>
      <c r="L10766"/>
    </row>
    <row r="10767" spans="2:12" x14ac:dyDescent="0.2">
      <c r="B10767"/>
      <c r="C10767"/>
      <c r="J10767"/>
      <c r="K10767"/>
      <c r="L10767"/>
    </row>
    <row r="10768" spans="2:12" x14ac:dyDescent="0.2">
      <c r="B10768"/>
      <c r="C10768"/>
      <c r="J10768"/>
      <c r="K10768"/>
      <c r="L10768"/>
    </row>
    <row r="10769" spans="2:12" x14ac:dyDescent="0.2">
      <c r="B10769"/>
      <c r="C10769"/>
      <c r="J10769"/>
      <c r="K10769"/>
      <c r="L10769"/>
    </row>
    <row r="10770" spans="2:12" x14ac:dyDescent="0.2">
      <c r="B10770"/>
      <c r="C10770"/>
      <c r="J10770"/>
      <c r="K10770"/>
      <c r="L10770"/>
    </row>
    <row r="10771" spans="2:12" x14ac:dyDescent="0.2">
      <c r="B10771"/>
      <c r="C10771"/>
      <c r="J10771"/>
      <c r="K10771"/>
      <c r="L10771"/>
    </row>
    <row r="10772" spans="2:12" x14ac:dyDescent="0.2">
      <c r="B10772"/>
      <c r="C10772"/>
      <c r="J10772"/>
      <c r="K10772"/>
      <c r="L10772"/>
    </row>
    <row r="10773" spans="2:12" x14ac:dyDescent="0.2">
      <c r="B10773"/>
      <c r="C10773"/>
      <c r="J10773"/>
      <c r="K10773"/>
      <c r="L10773"/>
    </row>
    <row r="10774" spans="2:12" x14ac:dyDescent="0.2">
      <c r="B10774"/>
      <c r="C10774"/>
      <c r="J10774"/>
      <c r="K10774"/>
      <c r="L10774"/>
    </row>
    <row r="10775" spans="2:12" x14ac:dyDescent="0.2">
      <c r="B10775"/>
      <c r="C10775"/>
      <c r="J10775"/>
      <c r="K10775"/>
      <c r="L10775"/>
    </row>
    <row r="10776" spans="2:12" x14ac:dyDescent="0.2">
      <c r="B10776"/>
      <c r="C10776"/>
      <c r="J10776"/>
      <c r="K10776"/>
      <c r="L10776"/>
    </row>
    <row r="10777" spans="2:12" x14ac:dyDescent="0.2">
      <c r="B10777"/>
      <c r="C10777"/>
      <c r="J10777"/>
      <c r="K10777"/>
      <c r="L10777"/>
    </row>
    <row r="10778" spans="2:12" x14ac:dyDescent="0.2">
      <c r="B10778"/>
      <c r="C10778"/>
      <c r="J10778"/>
      <c r="K10778"/>
      <c r="L10778"/>
    </row>
    <row r="10779" spans="2:12" x14ac:dyDescent="0.2">
      <c r="B10779"/>
      <c r="C10779"/>
      <c r="J10779"/>
      <c r="K10779"/>
      <c r="L10779"/>
    </row>
    <row r="10780" spans="2:12" x14ac:dyDescent="0.2">
      <c r="B10780"/>
      <c r="C10780"/>
      <c r="J10780"/>
      <c r="K10780"/>
      <c r="L10780"/>
    </row>
    <row r="10781" spans="2:12" x14ac:dyDescent="0.2">
      <c r="B10781"/>
      <c r="C10781"/>
      <c r="J10781"/>
      <c r="K10781"/>
      <c r="L10781"/>
    </row>
    <row r="10782" spans="2:12" x14ac:dyDescent="0.2">
      <c r="B10782"/>
      <c r="C10782"/>
      <c r="J10782"/>
      <c r="K10782"/>
      <c r="L10782"/>
    </row>
    <row r="10783" spans="2:12" x14ac:dyDescent="0.2">
      <c r="B10783"/>
      <c r="C10783"/>
      <c r="J10783"/>
      <c r="K10783"/>
      <c r="L10783"/>
    </row>
    <row r="10784" spans="2:12" x14ac:dyDescent="0.2">
      <c r="B10784"/>
      <c r="C10784"/>
      <c r="J10784"/>
      <c r="K10784"/>
      <c r="L10784"/>
    </row>
    <row r="10785" spans="2:12" x14ac:dyDescent="0.2">
      <c r="B10785"/>
      <c r="C10785"/>
      <c r="J10785"/>
      <c r="K10785"/>
      <c r="L10785"/>
    </row>
    <row r="10786" spans="2:12" x14ac:dyDescent="0.2">
      <c r="B10786"/>
      <c r="C10786"/>
      <c r="J10786"/>
      <c r="K10786"/>
      <c r="L10786"/>
    </row>
    <row r="10787" spans="2:12" x14ac:dyDescent="0.2">
      <c r="B10787"/>
      <c r="C10787"/>
      <c r="J10787"/>
      <c r="K10787"/>
      <c r="L10787"/>
    </row>
    <row r="10788" spans="2:12" x14ac:dyDescent="0.2">
      <c r="B10788"/>
      <c r="C10788"/>
      <c r="J10788"/>
      <c r="K10788"/>
      <c r="L10788"/>
    </row>
    <row r="10789" spans="2:12" x14ac:dyDescent="0.2">
      <c r="B10789"/>
      <c r="C10789"/>
      <c r="J10789"/>
      <c r="K10789"/>
      <c r="L10789"/>
    </row>
    <row r="10790" spans="2:12" x14ac:dyDescent="0.2">
      <c r="B10790"/>
      <c r="C10790"/>
      <c r="J10790"/>
      <c r="K10790"/>
      <c r="L10790"/>
    </row>
    <row r="10791" spans="2:12" x14ac:dyDescent="0.2">
      <c r="B10791"/>
      <c r="C10791"/>
      <c r="J10791"/>
      <c r="K10791"/>
      <c r="L10791"/>
    </row>
    <row r="10792" spans="2:12" x14ac:dyDescent="0.2">
      <c r="B10792"/>
      <c r="C10792"/>
      <c r="J10792"/>
      <c r="K10792"/>
      <c r="L10792"/>
    </row>
    <row r="10793" spans="2:12" x14ac:dyDescent="0.2">
      <c r="B10793"/>
      <c r="C10793"/>
      <c r="J10793"/>
      <c r="K10793"/>
      <c r="L10793"/>
    </row>
    <row r="10794" spans="2:12" x14ac:dyDescent="0.2">
      <c r="B10794"/>
      <c r="C10794"/>
      <c r="J10794"/>
      <c r="K10794"/>
      <c r="L10794"/>
    </row>
    <row r="10795" spans="2:12" x14ac:dyDescent="0.2">
      <c r="B10795"/>
      <c r="C10795"/>
      <c r="J10795"/>
      <c r="K10795"/>
      <c r="L10795"/>
    </row>
    <row r="10796" spans="2:12" x14ac:dyDescent="0.2">
      <c r="B10796"/>
      <c r="C10796"/>
      <c r="J10796"/>
      <c r="K10796"/>
      <c r="L10796"/>
    </row>
    <row r="10797" spans="2:12" x14ac:dyDescent="0.2">
      <c r="B10797"/>
      <c r="C10797"/>
      <c r="J10797"/>
      <c r="K10797"/>
      <c r="L10797"/>
    </row>
    <row r="10798" spans="2:12" x14ac:dyDescent="0.2">
      <c r="B10798"/>
      <c r="C10798"/>
      <c r="J10798"/>
      <c r="K10798"/>
      <c r="L10798"/>
    </row>
    <row r="10799" spans="2:12" x14ac:dyDescent="0.2">
      <c r="B10799"/>
      <c r="C10799"/>
      <c r="J10799"/>
      <c r="K10799"/>
      <c r="L10799"/>
    </row>
    <row r="10800" spans="2:12" x14ac:dyDescent="0.2">
      <c r="B10800"/>
      <c r="C10800"/>
      <c r="J10800"/>
      <c r="K10800"/>
      <c r="L10800"/>
    </row>
    <row r="10801" spans="2:12" x14ac:dyDescent="0.2">
      <c r="B10801"/>
      <c r="C10801"/>
      <c r="J10801"/>
      <c r="K10801"/>
      <c r="L10801"/>
    </row>
    <row r="10802" spans="2:12" x14ac:dyDescent="0.2">
      <c r="B10802"/>
      <c r="C10802"/>
      <c r="J10802"/>
      <c r="K10802"/>
      <c r="L10802"/>
    </row>
    <row r="10803" spans="2:12" x14ac:dyDescent="0.2">
      <c r="B10803"/>
      <c r="C10803"/>
      <c r="J10803"/>
      <c r="K10803"/>
      <c r="L10803"/>
    </row>
    <row r="10804" spans="2:12" x14ac:dyDescent="0.2">
      <c r="B10804"/>
      <c r="C10804"/>
      <c r="J10804"/>
      <c r="K10804"/>
      <c r="L10804"/>
    </row>
    <row r="10805" spans="2:12" x14ac:dyDescent="0.2">
      <c r="B10805"/>
      <c r="C10805"/>
      <c r="J10805"/>
      <c r="K10805"/>
      <c r="L10805"/>
    </row>
    <row r="10806" spans="2:12" x14ac:dyDescent="0.2">
      <c r="B10806"/>
      <c r="C10806"/>
      <c r="J10806"/>
      <c r="K10806"/>
      <c r="L10806"/>
    </row>
    <row r="10807" spans="2:12" x14ac:dyDescent="0.2">
      <c r="B10807"/>
      <c r="C10807"/>
      <c r="J10807"/>
      <c r="K10807"/>
      <c r="L10807"/>
    </row>
    <row r="10808" spans="2:12" x14ac:dyDescent="0.2">
      <c r="B10808"/>
      <c r="C10808"/>
      <c r="J10808"/>
      <c r="K10808"/>
      <c r="L10808"/>
    </row>
    <row r="10809" spans="2:12" x14ac:dyDescent="0.2">
      <c r="B10809"/>
      <c r="C10809"/>
      <c r="J10809"/>
      <c r="K10809"/>
      <c r="L10809"/>
    </row>
    <row r="10810" spans="2:12" x14ac:dyDescent="0.2">
      <c r="B10810"/>
      <c r="C10810"/>
      <c r="J10810"/>
      <c r="K10810"/>
      <c r="L10810"/>
    </row>
    <row r="10811" spans="2:12" x14ac:dyDescent="0.2">
      <c r="B10811"/>
      <c r="C10811"/>
      <c r="J10811"/>
      <c r="K10811"/>
      <c r="L10811"/>
    </row>
    <row r="10812" spans="2:12" x14ac:dyDescent="0.2">
      <c r="B10812"/>
      <c r="C10812"/>
      <c r="J10812"/>
      <c r="K10812"/>
      <c r="L10812"/>
    </row>
    <row r="10813" spans="2:12" x14ac:dyDescent="0.2">
      <c r="B10813"/>
      <c r="C10813"/>
      <c r="J10813"/>
      <c r="K10813"/>
      <c r="L10813"/>
    </row>
    <row r="10814" spans="2:12" x14ac:dyDescent="0.2">
      <c r="B10814"/>
      <c r="C10814"/>
      <c r="J10814"/>
      <c r="K10814"/>
      <c r="L10814"/>
    </row>
    <row r="10815" spans="2:12" x14ac:dyDescent="0.2">
      <c r="B10815"/>
      <c r="C10815"/>
      <c r="J10815"/>
      <c r="K10815"/>
      <c r="L10815"/>
    </row>
    <row r="10816" spans="2:12" x14ac:dyDescent="0.2">
      <c r="B10816"/>
      <c r="C10816"/>
      <c r="J10816"/>
      <c r="K10816"/>
      <c r="L10816"/>
    </row>
    <row r="10817" spans="2:12" x14ac:dyDescent="0.2">
      <c r="B10817"/>
      <c r="C10817"/>
      <c r="J10817"/>
      <c r="K10817"/>
      <c r="L10817"/>
    </row>
    <row r="10818" spans="2:12" x14ac:dyDescent="0.2">
      <c r="B10818"/>
      <c r="C10818"/>
      <c r="J10818"/>
      <c r="K10818"/>
      <c r="L10818"/>
    </row>
    <row r="10819" spans="2:12" x14ac:dyDescent="0.2">
      <c r="B10819"/>
      <c r="C10819"/>
      <c r="J10819"/>
      <c r="K10819"/>
      <c r="L10819"/>
    </row>
    <row r="10820" spans="2:12" x14ac:dyDescent="0.2">
      <c r="B10820"/>
      <c r="C10820"/>
      <c r="J10820"/>
      <c r="K10820"/>
      <c r="L10820"/>
    </row>
    <row r="10821" spans="2:12" x14ac:dyDescent="0.2">
      <c r="B10821"/>
      <c r="C10821"/>
      <c r="J10821"/>
      <c r="K10821"/>
      <c r="L10821"/>
    </row>
    <row r="10822" spans="2:12" x14ac:dyDescent="0.2">
      <c r="B10822"/>
      <c r="C10822"/>
      <c r="J10822"/>
      <c r="K10822"/>
      <c r="L10822"/>
    </row>
    <row r="10823" spans="2:12" x14ac:dyDescent="0.2">
      <c r="B10823"/>
      <c r="C10823"/>
      <c r="J10823"/>
      <c r="K10823"/>
      <c r="L10823"/>
    </row>
    <row r="10824" spans="2:12" x14ac:dyDescent="0.2">
      <c r="B10824"/>
      <c r="C10824"/>
      <c r="J10824"/>
      <c r="K10824"/>
      <c r="L10824"/>
    </row>
    <row r="10825" spans="2:12" x14ac:dyDescent="0.2">
      <c r="B10825"/>
      <c r="C10825"/>
      <c r="J10825"/>
      <c r="K10825"/>
      <c r="L10825"/>
    </row>
    <row r="10826" spans="2:12" x14ac:dyDescent="0.2">
      <c r="B10826"/>
      <c r="C10826"/>
      <c r="J10826"/>
      <c r="K10826"/>
      <c r="L10826"/>
    </row>
    <row r="10827" spans="2:12" x14ac:dyDescent="0.2">
      <c r="B10827"/>
      <c r="C10827"/>
      <c r="J10827"/>
      <c r="K10827"/>
      <c r="L10827"/>
    </row>
    <row r="10828" spans="2:12" x14ac:dyDescent="0.2">
      <c r="B10828"/>
      <c r="C10828"/>
      <c r="J10828"/>
      <c r="K10828"/>
      <c r="L10828"/>
    </row>
    <row r="10829" spans="2:12" x14ac:dyDescent="0.2">
      <c r="B10829"/>
      <c r="C10829"/>
      <c r="J10829"/>
      <c r="K10829"/>
      <c r="L10829"/>
    </row>
    <row r="10830" spans="2:12" x14ac:dyDescent="0.2">
      <c r="B10830"/>
      <c r="C10830"/>
      <c r="J10830"/>
      <c r="K10830"/>
      <c r="L10830"/>
    </row>
    <row r="10831" spans="2:12" x14ac:dyDescent="0.2">
      <c r="B10831"/>
      <c r="C10831"/>
      <c r="J10831"/>
      <c r="K10831"/>
      <c r="L10831"/>
    </row>
    <row r="10832" spans="2:12" x14ac:dyDescent="0.2">
      <c r="B10832"/>
      <c r="C10832"/>
      <c r="J10832"/>
      <c r="K10832"/>
      <c r="L10832"/>
    </row>
    <row r="10833" spans="2:12" x14ac:dyDescent="0.2">
      <c r="B10833"/>
      <c r="C10833"/>
      <c r="J10833"/>
      <c r="K10833"/>
      <c r="L10833"/>
    </row>
    <row r="10834" spans="2:12" x14ac:dyDescent="0.2">
      <c r="B10834"/>
      <c r="C10834"/>
      <c r="J10834"/>
      <c r="K10834"/>
      <c r="L10834"/>
    </row>
    <row r="10835" spans="2:12" x14ac:dyDescent="0.2">
      <c r="B10835"/>
      <c r="C10835"/>
      <c r="J10835"/>
      <c r="K10835"/>
      <c r="L10835"/>
    </row>
    <row r="10836" spans="2:12" x14ac:dyDescent="0.2">
      <c r="B10836"/>
      <c r="C10836"/>
      <c r="J10836"/>
      <c r="K10836"/>
      <c r="L10836"/>
    </row>
    <row r="10837" spans="2:12" x14ac:dyDescent="0.2">
      <c r="B10837"/>
      <c r="C10837"/>
      <c r="J10837"/>
      <c r="K10837"/>
      <c r="L10837"/>
    </row>
    <row r="10838" spans="2:12" x14ac:dyDescent="0.2">
      <c r="B10838"/>
      <c r="C10838"/>
      <c r="J10838"/>
      <c r="K10838"/>
      <c r="L10838"/>
    </row>
    <row r="10839" spans="2:12" x14ac:dyDescent="0.2">
      <c r="B10839"/>
      <c r="C10839"/>
      <c r="J10839"/>
      <c r="K10839"/>
      <c r="L10839"/>
    </row>
    <row r="10840" spans="2:12" x14ac:dyDescent="0.2">
      <c r="B10840"/>
      <c r="C10840"/>
      <c r="J10840"/>
      <c r="K10840"/>
      <c r="L10840"/>
    </row>
    <row r="10841" spans="2:12" x14ac:dyDescent="0.2">
      <c r="B10841"/>
      <c r="C10841"/>
      <c r="J10841"/>
      <c r="K10841"/>
      <c r="L10841"/>
    </row>
    <row r="10842" spans="2:12" x14ac:dyDescent="0.2">
      <c r="B10842"/>
      <c r="C10842"/>
      <c r="J10842"/>
      <c r="K10842"/>
      <c r="L10842"/>
    </row>
    <row r="10843" spans="2:12" x14ac:dyDescent="0.2">
      <c r="B10843"/>
      <c r="C10843"/>
      <c r="J10843"/>
      <c r="K10843"/>
      <c r="L10843"/>
    </row>
    <row r="10844" spans="2:12" x14ac:dyDescent="0.2">
      <c r="B10844"/>
      <c r="C10844"/>
      <c r="J10844"/>
      <c r="K10844"/>
      <c r="L10844"/>
    </row>
    <row r="10845" spans="2:12" x14ac:dyDescent="0.2">
      <c r="B10845"/>
      <c r="C10845"/>
      <c r="J10845"/>
      <c r="K10845"/>
      <c r="L10845"/>
    </row>
    <row r="10846" spans="2:12" x14ac:dyDescent="0.2">
      <c r="B10846"/>
      <c r="C10846"/>
      <c r="J10846"/>
      <c r="K10846"/>
      <c r="L10846"/>
    </row>
    <row r="10847" spans="2:12" x14ac:dyDescent="0.2">
      <c r="B10847"/>
      <c r="C10847"/>
      <c r="J10847"/>
      <c r="K10847"/>
      <c r="L10847"/>
    </row>
    <row r="10848" spans="2:12" x14ac:dyDescent="0.2">
      <c r="B10848"/>
      <c r="C10848"/>
      <c r="J10848"/>
      <c r="K10848"/>
      <c r="L10848"/>
    </row>
    <row r="10849" spans="2:12" x14ac:dyDescent="0.2">
      <c r="B10849"/>
      <c r="C10849"/>
      <c r="J10849"/>
      <c r="K10849"/>
      <c r="L10849"/>
    </row>
    <row r="10850" spans="2:12" x14ac:dyDescent="0.2">
      <c r="B10850"/>
      <c r="C10850"/>
      <c r="J10850"/>
      <c r="K10850"/>
      <c r="L10850"/>
    </row>
    <row r="10851" spans="2:12" x14ac:dyDescent="0.2">
      <c r="B10851"/>
      <c r="C10851"/>
      <c r="J10851"/>
      <c r="K10851"/>
      <c r="L10851"/>
    </row>
    <row r="10852" spans="2:12" x14ac:dyDescent="0.2">
      <c r="B10852"/>
      <c r="C10852"/>
      <c r="J10852"/>
      <c r="K10852"/>
      <c r="L10852"/>
    </row>
    <row r="10853" spans="2:12" x14ac:dyDescent="0.2">
      <c r="B10853"/>
      <c r="C10853"/>
      <c r="J10853"/>
      <c r="K10853"/>
      <c r="L10853"/>
    </row>
    <row r="10854" spans="2:12" x14ac:dyDescent="0.2">
      <c r="B10854"/>
      <c r="C10854"/>
      <c r="J10854"/>
      <c r="K10854"/>
      <c r="L10854"/>
    </row>
    <row r="10855" spans="2:12" x14ac:dyDescent="0.2">
      <c r="B10855"/>
      <c r="C10855"/>
      <c r="J10855"/>
      <c r="K10855"/>
      <c r="L10855"/>
    </row>
    <row r="10856" spans="2:12" x14ac:dyDescent="0.2">
      <c r="B10856"/>
      <c r="C10856"/>
      <c r="J10856"/>
      <c r="K10856"/>
      <c r="L10856"/>
    </row>
    <row r="10857" spans="2:12" x14ac:dyDescent="0.2">
      <c r="B10857"/>
      <c r="C10857"/>
      <c r="J10857"/>
      <c r="K10857"/>
      <c r="L10857"/>
    </row>
    <row r="10858" spans="2:12" x14ac:dyDescent="0.2">
      <c r="B10858"/>
      <c r="C10858"/>
      <c r="J10858"/>
      <c r="K10858"/>
      <c r="L10858"/>
    </row>
    <row r="10859" spans="2:12" x14ac:dyDescent="0.2">
      <c r="B10859"/>
      <c r="C10859"/>
      <c r="J10859"/>
      <c r="K10859"/>
      <c r="L10859"/>
    </row>
    <row r="10860" spans="2:12" x14ac:dyDescent="0.2">
      <c r="B10860"/>
      <c r="C10860"/>
      <c r="J10860"/>
      <c r="K10860"/>
      <c r="L10860"/>
    </row>
    <row r="10861" spans="2:12" x14ac:dyDescent="0.2">
      <c r="B10861"/>
      <c r="C10861"/>
      <c r="J10861"/>
      <c r="K10861"/>
      <c r="L10861"/>
    </row>
    <row r="10862" spans="2:12" x14ac:dyDescent="0.2">
      <c r="B10862"/>
      <c r="C10862"/>
      <c r="J10862"/>
      <c r="K10862"/>
      <c r="L10862"/>
    </row>
    <row r="10863" spans="2:12" x14ac:dyDescent="0.2">
      <c r="B10863"/>
      <c r="C10863"/>
      <c r="J10863"/>
      <c r="K10863"/>
      <c r="L10863"/>
    </row>
    <row r="10864" spans="2:12" x14ac:dyDescent="0.2">
      <c r="B10864"/>
      <c r="C10864"/>
      <c r="J10864"/>
      <c r="K10864"/>
      <c r="L10864"/>
    </row>
    <row r="10865" spans="2:12" x14ac:dyDescent="0.2">
      <c r="B10865"/>
      <c r="C10865"/>
      <c r="J10865"/>
      <c r="K10865"/>
      <c r="L10865"/>
    </row>
    <row r="10866" spans="2:12" x14ac:dyDescent="0.2">
      <c r="B10866"/>
      <c r="C10866"/>
      <c r="J10866"/>
      <c r="K10866"/>
      <c r="L10866"/>
    </row>
    <row r="10867" spans="2:12" x14ac:dyDescent="0.2">
      <c r="B10867"/>
      <c r="C10867"/>
      <c r="J10867"/>
      <c r="K10867"/>
      <c r="L10867"/>
    </row>
    <row r="10868" spans="2:12" x14ac:dyDescent="0.2">
      <c r="B10868"/>
      <c r="C10868"/>
      <c r="J10868"/>
      <c r="K10868"/>
      <c r="L10868"/>
    </row>
    <row r="10869" spans="2:12" x14ac:dyDescent="0.2">
      <c r="B10869"/>
      <c r="C10869"/>
      <c r="J10869"/>
      <c r="K10869"/>
      <c r="L10869"/>
    </row>
    <row r="10870" spans="2:12" x14ac:dyDescent="0.2">
      <c r="B10870"/>
      <c r="C10870"/>
      <c r="J10870"/>
      <c r="K10870"/>
      <c r="L10870"/>
    </row>
    <row r="10871" spans="2:12" x14ac:dyDescent="0.2">
      <c r="B10871"/>
      <c r="C10871"/>
      <c r="J10871"/>
      <c r="K10871"/>
      <c r="L10871"/>
    </row>
    <row r="10872" spans="2:12" x14ac:dyDescent="0.2">
      <c r="B10872"/>
      <c r="C10872"/>
      <c r="J10872"/>
      <c r="K10872"/>
      <c r="L10872"/>
    </row>
    <row r="10873" spans="2:12" x14ac:dyDescent="0.2">
      <c r="B10873"/>
      <c r="C10873"/>
      <c r="J10873"/>
      <c r="K10873"/>
      <c r="L10873"/>
    </row>
    <row r="10874" spans="2:12" x14ac:dyDescent="0.2">
      <c r="B10874"/>
      <c r="C10874"/>
      <c r="J10874"/>
      <c r="K10874"/>
      <c r="L10874"/>
    </row>
    <row r="10875" spans="2:12" x14ac:dyDescent="0.2">
      <c r="B10875"/>
      <c r="C10875"/>
      <c r="J10875"/>
      <c r="K10875"/>
      <c r="L10875"/>
    </row>
    <row r="10876" spans="2:12" x14ac:dyDescent="0.2">
      <c r="B10876"/>
      <c r="C10876"/>
      <c r="J10876"/>
      <c r="K10876"/>
      <c r="L10876"/>
    </row>
    <row r="10877" spans="2:12" x14ac:dyDescent="0.2">
      <c r="B10877"/>
      <c r="C10877"/>
      <c r="J10877"/>
      <c r="K10877"/>
      <c r="L10877"/>
    </row>
    <row r="10878" spans="2:12" x14ac:dyDescent="0.2">
      <c r="B10878"/>
      <c r="C10878"/>
      <c r="J10878"/>
      <c r="K10878"/>
      <c r="L10878"/>
    </row>
    <row r="10879" spans="2:12" x14ac:dyDescent="0.2">
      <c r="B10879"/>
      <c r="C10879"/>
      <c r="J10879"/>
      <c r="K10879"/>
      <c r="L10879"/>
    </row>
    <row r="10880" spans="2:12" x14ac:dyDescent="0.2">
      <c r="B10880"/>
      <c r="C10880"/>
      <c r="J10880"/>
      <c r="K10880"/>
      <c r="L10880"/>
    </row>
    <row r="10881" spans="2:12" x14ac:dyDescent="0.2">
      <c r="B10881"/>
      <c r="C10881"/>
      <c r="J10881"/>
      <c r="K10881"/>
      <c r="L10881"/>
    </row>
    <row r="10882" spans="2:12" x14ac:dyDescent="0.2">
      <c r="B10882"/>
      <c r="C10882"/>
      <c r="J10882"/>
      <c r="K10882"/>
      <c r="L10882"/>
    </row>
    <row r="10883" spans="2:12" x14ac:dyDescent="0.2">
      <c r="B10883"/>
      <c r="C10883"/>
      <c r="J10883"/>
      <c r="K10883"/>
      <c r="L10883"/>
    </row>
    <row r="10884" spans="2:12" x14ac:dyDescent="0.2">
      <c r="B10884"/>
      <c r="C10884"/>
      <c r="J10884"/>
      <c r="K10884"/>
      <c r="L10884"/>
    </row>
    <row r="10885" spans="2:12" x14ac:dyDescent="0.2">
      <c r="B10885"/>
      <c r="C10885"/>
      <c r="J10885"/>
      <c r="K10885"/>
      <c r="L10885"/>
    </row>
    <row r="10886" spans="2:12" x14ac:dyDescent="0.2">
      <c r="B10886"/>
      <c r="C10886"/>
      <c r="J10886"/>
      <c r="K10886"/>
      <c r="L10886"/>
    </row>
    <row r="10887" spans="2:12" x14ac:dyDescent="0.2">
      <c r="B10887"/>
      <c r="C10887"/>
      <c r="J10887"/>
      <c r="K10887"/>
      <c r="L10887"/>
    </row>
    <row r="10888" spans="2:12" x14ac:dyDescent="0.2">
      <c r="B10888"/>
      <c r="C10888"/>
      <c r="J10888"/>
      <c r="K10888"/>
      <c r="L10888"/>
    </row>
    <row r="10889" spans="2:12" x14ac:dyDescent="0.2">
      <c r="B10889"/>
      <c r="C10889"/>
      <c r="J10889"/>
      <c r="K10889"/>
      <c r="L10889"/>
    </row>
    <row r="10890" spans="2:12" x14ac:dyDescent="0.2">
      <c r="B10890"/>
      <c r="C10890"/>
      <c r="J10890"/>
      <c r="K10890"/>
      <c r="L10890"/>
    </row>
    <row r="10891" spans="2:12" x14ac:dyDescent="0.2">
      <c r="B10891"/>
      <c r="C10891"/>
      <c r="J10891"/>
      <c r="K10891"/>
      <c r="L10891"/>
    </row>
    <row r="10892" spans="2:12" x14ac:dyDescent="0.2">
      <c r="B10892"/>
      <c r="C10892"/>
      <c r="J10892"/>
      <c r="K10892"/>
      <c r="L10892"/>
    </row>
    <row r="10893" spans="2:12" x14ac:dyDescent="0.2">
      <c r="B10893"/>
      <c r="C10893"/>
      <c r="J10893"/>
      <c r="K10893"/>
      <c r="L10893"/>
    </row>
    <row r="10894" spans="2:12" x14ac:dyDescent="0.2">
      <c r="B10894"/>
      <c r="C10894"/>
      <c r="J10894"/>
      <c r="K10894"/>
      <c r="L10894"/>
    </row>
    <row r="10895" spans="2:12" x14ac:dyDescent="0.2">
      <c r="B10895"/>
      <c r="C10895"/>
      <c r="J10895"/>
      <c r="K10895"/>
      <c r="L10895"/>
    </row>
    <row r="10896" spans="2:12" x14ac:dyDescent="0.2">
      <c r="B10896"/>
      <c r="C10896"/>
      <c r="J10896"/>
      <c r="K10896"/>
      <c r="L10896"/>
    </row>
    <row r="10897" spans="2:12" x14ac:dyDescent="0.2">
      <c r="B10897"/>
      <c r="C10897"/>
      <c r="J10897"/>
      <c r="K10897"/>
      <c r="L10897"/>
    </row>
    <row r="10898" spans="2:12" x14ac:dyDescent="0.2">
      <c r="B10898"/>
      <c r="C10898"/>
      <c r="J10898"/>
      <c r="K10898"/>
      <c r="L10898"/>
    </row>
    <row r="10899" spans="2:12" x14ac:dyDescent="0.2">
      <c r="B10899"/>
      <c r="C10899"/>
      <c r="J10899"/>
      <c r="K10899"/>
      <c r="L10899"/>
    </row>
    <row r="10900" spans="2:12" x14ac:dyDescent="0.2">
      <c r="B10900"/>
      <c r="C10900"/>
      <c r="J10900"/>
      <c r="K10900"/>
      <c r="L10900"/>
    </row>
    <row r="10901" spans="2:12" x14ac:dyDescent="0.2">
      <c r="B10901"/>
      <c r="C10901"/>
      <c r="J10901"/>
      <c r="K10901"/>
      <c r="L10901"/>
    </row>
    <row r="10902" spans="2:12" x14ac:dyDescent="0.2">
      <c r="B10902"/>
      <c r="C10902"/>
      <c r="J10902"/>
      <c r="K10902"/>
      <c r="L10902"/>
    </row>
    <row r="10903" spans="2:12" x14ac:dyDescent="0.2">
      <c r="B10903"/>
      <c r="C10903"/>
      <c r="J10903"/>
      <c r="K10903"/>
      <c r="L10903"/>
    </row>
    <row r="10904" spans="2:12" x14ac:dyDescent="0.2">
      <c r="B10904"/>
      <c r="C10904"/>
      <c r="J10904"/>
      <c r="K10904"/>
      <c r="L10904"/>
    </row>
    <row r="10905" spans="2:12" x14ac:dyDescent="0.2">
      <c r="B10905"/>
      <c r="C10905"/>
      <c r="J10905"/>
      <c r="K10905"/>
      <c r="L10905"/>
    </row>
    <row r="10906" spans="2:12" x14ac:dyDescent="0.2">
      <c r="B10906"/>
      <c r="C10906"/>
      <c r="J10906"/>
      <c r="K10906"/>
      <c r="L10906"/>
    </row>
    <row r="10907" spans="2:12" x14ac:dyDescent="0.2">
      <c r="B10907"/>
      <c r="C10907"/>
      <c r="J10907"/>
      <c r="K10907"/>
      <c r="L10907"/>
    </row>
    <row r="10908" spans="2:12" x14ac:dyDescent="0.2">
      <c r="B10908"/>
      <c r="C10908"/>
      <c r="J10908"/>
      <c r="K10908"/>
      <c r="L10908"/>
    </row>
    <row r="10909" spans="2:12" x14ac:dyDescent="0.2">
      <c r="B10909"/>
      <c r="C10909"/>
      <c r="J10909"/>
      <c r="K10909"/>
      <c r="L10909"/>
    </row>
    <row r="10910" spans="2:12" x14ac:dyDescent="0.2">
      <c r="B10910"/>
      <c r="C10910"/>
      <c r="J10910"/>
      <c r="K10910"/>
      <c r="L10910"/>
    </row>
    <row r="10911" spans="2:12" x14ac:dyDescent="0.2">
      <c r="B10911"/>
      <c r="C10911"/>
      <c r="J10911"/>
      <c r="K10911"/>
      <c r="L10911"/>
    </row>
    <row r="10912" spans="2:12" x14ac:dyDescent="0.2">
      <c r="B10912"/>
      <c r="C10912"/>
      <c r="J10912"/>
      <c r="K10912"/>
      <c r="L10912"/>
    </row>
    <row r="10913" spans="2:12" x14ac:dyDescent="0.2">
      <c r="B10913"/>
      <c r="C10913"/>
      <c r="J10913"/>
      <c r="K10913"/>
      <c r="L10913"/>
    </row>
    <row r="10914" spans="2:12" x14ac:dyDescent="0.2">
      <c r="B10914"/>
      <c r="C10914"/>
      <c r="J10914"/>
      <c r="K10914"/>
      <c r="L10914"/>
    </row>
    <row r="10915" spans="2:12" x14ac:dyDescent="0.2">
      <c r="B10915"/>
      <c r="C10915"/>
      <c r="J10915"/>
      <c r="K10915"/>
      <c r="L10915"/>
    </row>
    <row r="10916" spans="2:12" x14ac:dyDescent="0.2">
      <c r="B10916"/>
      <c r="C10916"/>
      <c r="J10916"/>
      <c r="K10916"/>
      <c r="L10916"/>
    </row>
    <row r="10917" spans="2:12" x14ac:dyDescent="0.2">
      <c r="B10917"/>
      <c r="C10917"/>
      <c r="J10917"/>
      <c r="K10917"/>
      <c r="L10917"/>
    </row>
    <row r="10918" spans="2:12" x14ac:dyDescent="0.2">
      <c r="B10918"/>
      <c r="C10918"/>
      <c r="J10918"/>
      <c r="K10918"/>
      <c r="L10918"/>
    </row>
    <row r="10919" spans="2:12" x14ac:dyDescent="0.2">
      <c r="B10919"/>
      <c r="C10919"/>
      <c r="J10919"/>
      <c r="K10919"/>
      <c r="L10919"/>
    </row>
    <row r="10920" spans="2:12" x14ac:dyDescent="0.2">
      <c r="B10920"/>
      <c r="C10920"/>
      <c r="J10920"/>
      <c r="K10920"/>
      <c r="L10920"/>
    </row>
    <row r="10921" spans="2:12" x14ac:dyDescent="0.2">
      <c r="B10921"/>
      <c r="C10921"/>
      <c r="J10921"/>
      <c r="K10921"/>
      <c r="L10921"/>
    </row>
    <row r="10922" spans="2:12" x14ac:dyDescent="0.2">
      <c r="B10922"/>
      <c r="C10922"/>
      <c r="J10922"/>
      <c r="K10922"/>
      <c r="L10922"/>
    </row>
    <row r="10923" spans="2:12" x14ac:dyDescent="0.2">
      <c r="B10923"/>
      <c r="C10923"/>
      <c r="J10923"/>
      <c r="K10923"/>
      <c r="L10923"/>
    </row>
    <row r="10924" spans="2:12" x14ac:dyDescent="0.2">
      <c r="B10924"/>
      <c r="C10924"/>
      <c r="J10924"/>
      <c r="K10924"/>
      <c r="L10924"/>
    </row>
    <row r="10925" spans="2:12" x14ac:dyDescent="0.2">
      <c r="B10925"/>
      <c r="C10925"/>
      <c r="J10925"/>
      <c r="K10925"/>
      <c r="L10925"/>
    </row>
    <row r="10926" spans="2:12" x14ac:dyDescent="0.2">
      <c r="B10926"/>
      <c r="C10926"/>
      <c r="J10926"/>
      <c r="K10926"/>
      <c r="L10926"/>
    </row>
    <row r="10927" spans="2:12" x14ac:dyDescent="0.2">
      <c r="B10927"/>
      <c r="C10927"/>
      <c r="J10927"/>
      <c r="K10927"/>
      <c r="L10927"/>
    </row>
    <row r="10928" spans="2:12" x14ac:dyDescent="0.2">
      <c r="B10928"/>
      <c r="C10928"/>
      <c r="J10928"/>
      <c r="K10928"/>
      <c r="L10928"/>
    </row>
    <row r="10929" spans="2:12" x14ac:dyDescent="0.2">
      <c r="B10929"/>
      <c r="C10929"/>
      <c r="J10929"/>
      <c r="K10929"/>
      <c r="L10929"/>
    </row>
    <row r="10930" spans="2:12" x14ac:dyDescent="0.2">
      <c r="B10930"/>
      <c r="C10930"/>
      <c r="J10930"/>
      <c r="K10930"/>
      <c r="L10930"/>
    </row>
    <row r="10931" spans="2:12" x14ac:dyDescent="0.2">
      <c r="B10931"/>
      <c r="C10931"/>
      <c r="J10931"/>
      <c r="K10931"/>
      <c r="L10931"/>
    </row>
    <row r="10932" spans="2:12" x14ac:dyDescent="0.2">
      <c r="B10932"/>
      <c r="C10932"/>
      <c r="J10932"/>
      <c r="K10932"/>
      <c r="L10932"/>
    </row>
    <row r="10933" spans="2:12" x14ac:dyDescent="0.2">
      <c r="B10933"/>
      <c r="C10933"/>
      <c r="J10933"/>
      <c r="K10933"/>
      <c r="L10933"/>
    </row>
    <row r="10934" spans="2:12" x14ac:dyDescent="0.2">
      <c r="B10934"/>
      <c r="C10934"/>
      <c r="J10934"/>
      <c r="K10934"/>
      <c r="L10934"/>
    </row>
    <row r="10935" spans="2:12" x14ac:dyDescent="0.2">
      <c r="B10935"/>
      <c r="C10935"/>
      <c r="J10935"/>
      <c r="K10935"/>
      <c r="L10935"/>
    </row>
    <row r="10936" spans="2:12" x14ac:dyDescent="0.2">
      <c r="B10936"/>
      <c r="C10936"/>
      <c r="J10936"/>
      <c r="K10936"/>
      <c r="L10936"/>
    </row>
    <row r="10937" spans="2:12" x14ac:dyDescent="0.2">
      <c r="B10937"/>
      <c r="C10937"/>
      <c r="J10937"/>
      <c r="K10937"/>
      <c r="L10937"/>
    </row>
    <row r="10938" spans="2:12" x14ac:dyDescent="0.2">
      <c r="B10938"/>
      <c r="C10938"/>
      <c r="J10938"/>
      <c r="K10938"/>
      <c r="L10938"/>
    </row>
    <row r="10939" spans="2:12" x14ac:dyDescent="0.2">
      <c r="B10939"/>
      <c r="C10939"/>
      <c r="J10939"/>
      <c r="K10939"/>
      <c r="L10939"/>
    </row>
    <row r="10940" spans="2:12" x14ac:dyDescent="0.2">
      <c r="B10940"/>
      <c r="C10940"/>
      <c r="J10940"/>
      <c r="K10940"/>
      <c r="L10940"/>
    </row>
    <row r="10941" spans="2:12" x14ac:dyDescent="0.2">
      <c r="B10941"/>
      <c r="C10941"/>
      <c r="J10941"/>
      <c r="K10941"/>
      <c r="L10941"/>
    </row>
    <row r="10942" spans="2:12" x14ac:dyDescent="0.2">
      <c r="B10942"/>
      <c r="C10942"/>
      <c r="J10942"/>
      <c r="K10942"/>
      <c r="L10942"/>
    </row>
    <row r="10943" spans="2:12" x14ac:dyDescent="0.2">
      <c r="B10943"/>
      <c r="C10943"/>
      <c r="J10943"/>
      <c r="K10943"/>
      <c r="L10943"/>
    </row>
    <row r="10944" spans="2:12" x14ac:dyDescent="0.2">
      <c r="B10944"/>
      <c r="C10944"/>
      <c r="J10944"/>
      <c r="K10944"/>
      <c r="L10944"/>
    </row>
    <row r="10945" spans="2:12" x14ac:dyDescent="0.2">
      <c r="B10945"/>
      <c r="C10945"/>
      <c r="J10945"/>
      <c r="K10945"/>
      <c r="L10945"/>
    </row>
    <row r="10946" spans="2:12" x14ac:dyDescent="0.2">
      <c r="B10946"/>
      <c r="C10946"/>
      <c r="J10946"/>
      <c r="K10946"/>
      <c r="L10946"/>
    </row>
    <row r="10947" spans="2:12" x14ac:dyDescent="0.2">
      <c r="B10947"/>
      <c r="C10947"/>
      <c r="J10947"/>
      <c r="K10947"/>
      <c r="L10947"/>
    </row>
    <row r="10948" spans="2:12" x14ac:dyDescent="0.2">
      <c r="B10948"/>
      <c r="C10948"/>
      <c r="J10948"/>
      <c r="K10948"/>
      <c r="L10948"/>
    </row>
    <row r="10949" spans="2:12" x14ac:dyDescent="0.2">
      <c r="B10949"/>
      <c r="C10949"/>
      <c r="J10949"/>
      <c r="K10949"/>
      <c r="L10949"/>
    </row>
    <row r="10950" spans="2:12" x14ac:dyDescent="0.2">
      <c r="B10950"/>
      <c r="C10950"/>
      <c r="J10950"/>
      <c r="K10950"/>
      <c r="L10950"/>
    </row>
    <row r="10951" spans="2:12" x14ac:dyDescent="0.2">
      <c r="B10951"/>
      <c r="C10951"/>
      <c r="J10951"/>
      <c r="K10951"/>
      <c r="L10951"/>
    </row>
    <row r="10952" spans="2:12" x14ac:dyDescent="0.2">
      <c r="B10952"/>
      <c r="C10952"/>
      <c r="J10952"/>
      <c r="K10952"/>
      <c r="L10952"/>
    </row>
    <row r="10953" spans="2:12" x14ac:dyDescent="0.2">
      <c r="B10953"/>
      <c r="C10953"/>
      <c r="J10953"/>
      <c r="K10953"/>
      <c r="L10953"/>
    </row>
    <row r="10954" spans="2:12" x14ac:dyDescent="0.2">
      <c r="B10954"/>
      <c r="C10954"/>
      <c r="J10954"/>
      <c r="K10954"/>
      <c r="L10954"/>
    </row>
    <row r="10955" spans="2:12" x14ac:dyDescent="0.2">
      <c r="B10955"/>
      <c r="C10955"/>
      <c r="J10955"/>
      <c r="K10955"/>
      <c r="L10955"/>
    </row>
    <row r="10956" spans="2:12" x14ac:dyDescent="0.2">
      <c r="B10956"/>
      <c r="C10956"/>
      <c r="J10956"/>
      <c r="K10956"/>
      <c r="L10956"/>
    </row>
    <row r="10957" spans="2:12" x14ac:dyDescent="0.2">
      <c r="B10957"/>
      <c r="C10957"/>
      <c r="J10957"/>
      <c r="K10957"/>
      <c r="L10957"/>
    </row>
    <row r="10958" spans="2:12" x14ac:dyDescent="0.2">
      <c r="B10958"/>
      <c r="C10958"/>
      <c r="J10958"/>
      <c r="K10958"/>
      <c r="L10958"/>
    </row>
    <row r="10959" spans="2:12" x14ac:dyDescent="0.2">
      <c r="B10959"/>
      <c r="C10959"/>
      <c r="J10959"/>
      <c r="K10959"/>
      <c r="L10959"/>
    </row>
    <row r="10960" spans="2:12" x14ac:dyDescent="0.2">
      <c r="B10960"/>
      <c r="C10960"/>
      <c r="J10960"/>
      <c r="K10960"/>
      <c r="L10960"/>
    </row>
    <row r="10961" spans="2:12" x14ac:dyDescent="0.2">
      <c r="B10961"/>
      <c r="C10961"/>
      <c r="J10961"/>
      <c r="K10961"/>
      <c r="L10961"/>
    </row>
    <row r="10962" spans="2:12" x14ac:dyDescent="0.2">
      <c r="B10962"/>
      <c r="C10962"/>
      <c r="J10962"/>
      <c r="K10962"/>
      <c r="L10962"/>
    </row>
    <row r="10963" spans="2:12" x14ac:dyDescent="0.2">
      <c r="B10963"/>
      <c r="C10963"/>
      <c r="J10963"/>
      <c r="K10963"/>
      <c r="L10963"/>
    </row>
    <row r="10964" spans="2:12" x14ac:dyDescent="0.2">
      <c r="B10964"/>
      <c r="C10964"/>
      <c r="J10964"/>
      <c r="K10964"/>
      <c r="L10964"/>
    </row>
    <row r="10965" spans="2:12" x14ac:dyDescent="0.2">
      <c r="B10965"/>
      <c r="C10965"/>
      <c r="J10965"/>
      <c r="K10965"/>
      <c r="L10965"/>
    </row>
    <row r="10966" spans="2:12" x14ac:dyDescent="0.2">
      <c r="B10966"/>
      <c r="C10966"/>
      <c r="J10966"/>
      <c r="K10966"/>
      <c r="L10966"/>
    </row>
    <row r="10967" spans="2:12" x14ac:dyDescent="0.2">
      <c r="B10967"/>
      <c r="C10967"/>
      <c r="J10967"/>
      <c r="K10967"/>
      <c r="L10967"/>
    </row>
    <row r="10968" spans="2:12" x14ac:dyDescent="0.2">
      <c r="B10968"/>
      <c r="C10968"/>
      <c r="J10968"/>
      <c r="K10968"/>
      <c r="L10968"/>
    </row>
    <row r="10969" spans="2:12" x14ac:dyDescent="0.2">
      <c r="B10969"/>
      <c r="C10969"/>
      <c r="J10969"/>
      <c r="K10969"/>
      <c r="L10969"/>
    </row>
    <row r="10970" spans="2:12" x14ac:dyDescent="0.2">
      <c r="B10970"/>
      <c r="C10970"/>
      <c r="J10970"/>
      <c r="K10970"/>
      <c r="L10970"/>
    </row>
    <row r="10971" spans="2:12" x14ac:dyDescent="0.2">
      <c r="B10971"/>
      <c r="C10971"/>
      <c r="J10971"/>
      <c r="K10971"/>
      <c r="L10971"/>
    </row>
    <row r="10972" spans="2:12" x14ac:dyDescent="0.2">
      <c r="B10972"/>
      <c r="C10972"/>
      <c r="J10972"/>
      <c r="K10972"/>
      <c r="L10972"/>
    </row>
    <row r="10973" spans="2:12" x14ac:dyDescent="0.2">
      <c r="B10973"/>
      <c r="C10973"/>
      <c r="J10973"/>
      <c r="K10973"/>
      <c r="L10973"/>
    </row>
    <row r="10974" spans="2:12" x14ac:dyDescent="0.2">
      <c r="B10974"/>
      <c r="C10974"/>
      <c r="J10974"/>
      <c r="K10974"/>
      <c r="L10974"/>
    </row>
    <row r="10975" spans="2:12" x14ac:dyDescent="0.2">
      <c r="B10975"/>
      <c r="C10975"/>
      <c r="J10975"/>
      <c r="K10975"/>
      <c r="L10975"/>
    </row>
    <row r="10976" spans="2:12" x14ac:dyDescent="0.2">
      <c r="B10976"/>
      <c r="C10976"/>
      <c r="J10976"/>
      <c r="K10976"/>
      <c r="L10976"/>
    </row>
    <row r="10977" spans="2:12" x14ac:dyDescent="0.2">
      <c r="B10977"/>
      <c r="C10977"/>
      <c r="J10977"/>
      <c r="K10977"/>
      <c r="L10977"/>
    </row>
    <row r="10978" spans="2:12" x14ac:dyDescent="0.2">
      <c r="B10978"/>
      <c r="C10978"/>
      <c r="J10978"/>
      <c r="K10978"/>
      <c r="L10978"/>
    </row>
    <row r="10979" spans="2:12" x14ac:dyDescent="0.2">
      <c r="B10979"/>
      <c r="C10979"/>
      <c r="J10979"/>
      <c r="K10979"/>
      <c r="L10979"/>
    </row>
    <row r="10980" spans="2:12" x14ac:dyDescent="0.2">
      <c r="B10980"/>
      <c r="C10980"/>
      <c r="J10980"/>
      <c r="K10980"/>
      <c r="L10980"/>
    </row>
    <row r="10981" spans="2:12" x14ac:dyDescent="0.2">
      <c r="B10981"/>
      <c r="C10981"/>
      <c r="J10981"/>
      <c r="K10981"/>
      <c r="L10981"/>
    </row>
    <row r="10982" spans="2:12" x14ac:dyDescent="0.2">
      <c r="B10982"/>
      <c r="C10982"/>
      <c r="J10982"/>
      <c r="K10982"/>
      <c r="L10982"/>
    </row>
    <row r="10983" spans="2:12" x14ac:dyDescent="0.2">
      <c r="B10983"/>
      <c r="C10983"/>
      <c r="J10983"/>
      <c r="K10983"/>
      <c r="L10983"/>
    </row>
    <row r="10984" spans="2:12" x14ac:dyDescent="0.2">
      <c r="B10984"/>
      <c r="C10984"/>
      <c r="J10984"/>
      <c r="K10984"/>
      <c r="L10984"/>
    </row>
    <row r="10985" spans="2:12" x14ac:dyDescent="0.2">
      <c r="B10985"/>
      <c r="C10985"/>
      <c r="J10985"/>
      <c r="K10985"/>
      <c r="L10985"/>
    </row>
    <row r="10986" spans="2:12" x14ac:dyDescent="0.2">
      <c r="B10986"/>
      <c r="C10986"/>
      <c r="J10986"/>
      <c r="K10986"/>
      <c r="L10986"/>
    </row>
    <row r="10987" spans="2:12" x14ac:dyDescent="0.2">
      <c r="B10987"/>
      <c r="C10987"/>
      <c r="J10987"/>
      <c r="K10987"/>
      <c r="L10987"/>
    </row>
    <row r="10988" spans="2:12" x14ac:dyDescent="0.2">
      <c r="B10988"/>
      <c r="C10988"/>
      <c r="J10988"/>
      <c r="K10988"/>
      <c r="L10988"/>
    </row>
    <row r="10989" spans="2:12" x14ac:dyDescent="0.2">
      <c r="B10989"/>
      <c r="C10989"/>
      <c r="J10989"/>
      <c r="K10989"/>
      <c r="L10989"/>
    </row>
    <row r="10990" spans="2:12" x14ac:dyDescent="0.2">
      <c r="B10990"/>
      <c r="C10990"/>
      <c r="J10990"/>
      <c r="K10990"/>
      <c r="L10990"/>
    </row>
    <row r="10991" spans="2:12" x14ac:dyDescent="0.2">
      <c r="B10991"/>
      <c r="C10991"/>
      <c r="J10991"/>
      <c r="K10991"/>
      <c r="L10991"/>
    </row>
    <row r="10992" spans="2:12" x14ac:dyDescent="0.2">
      <c r="B10992"/>
      <c r="C10992"/>
      <c r="J10992"/>
      <c r="K10992"/>
      <c r="L10992"/>
    </row>
    <row r="10993" spans="2:12" x14ac:dyDescent="0.2">
      <c r="B10993"/>
      <c r="C10993"/>
      <c r="J10993"/>
      <c r="K10993"/>
      <c r="L10993"/>
    </row>
    <row r="10994" spans="2:12" x14ac:dyDescent="0.2">
      <c r="B10994"/>
      <c r="C10994"/>
      <c r="J10994"/>
      <c r="K10994"/>
      <c r="L10994"/>
    </row>
    <row r="10995" spans="2:12" x14ac:dyDescent="0.2">
      <c r="B10995"/>
      <c r="C10995"/>
      <c r="J10995"/>
      <c r="K10995"/>
      <c r="L10995"/>
    </row>
    <row r="10996" spans="2:12" x14ac:dyDescent="0.2">
      <c r="B10996"/>
      <c r="C10996"/>
      <c r="J10996"/>
      <c r="K10996"/>
      <c r="L10996"/>
    </row>
    <row r="10997" spans="2:12" x14ac:dyDescent="0.2">
      <c r="B10997"/>
      <c r="C10997"/>
      <c r="J10997"/>
      <c r="K10997"/>
      <c r="L10997"/>
    </row>
    <row r="10998" spans="2:12" x14ac:dyDescent="0.2">
      <c r="B10998"/>
      <c r="C10998"/>
      <c r="J10998"/>
      <c r="K10998"/>
      <c r="L10998"/>
    </row>
    <row r="10999" spans="2:12" x14ac:dyDescent="0.2">
      <c r="B10999"/>
      <c r="C10999"/>
      <c r="J10999"/>
      <c r="K10999"/>
      <c r="L10999"/>
    </row>
    <row r="11000" spans="2:12" x14ac:dyDescent="0.2">
      <c r="B11000"/>
      <c r="C11000"/>
      <c r="J11000"/>
      <c r="K11000"/>
      <c r="L11000"/>
    </row>
    <row r="11001" spans="2:12" x14ac:dyDescent="0.2">
      <c r="B11001"/>
      <c r="C11001"/>
      <c r="J11001"/>
      <c r="K11001"/>
      <c r="L11001"/>
    </row>
    <row r="11002" spans="2:12" x14ac:dyDescent="0.2">
      <c r="B11002"/>
      <c r="C11002"/>
      <c r="J11002"/>
      <c r="K11002"/>
      <c r="L11002"/>
    </row>
    <row r="11003" spans="2:12" x14ac:dyDescent="0.2">
      <c r="B11003"/>
      <c r="C11003"/>
      <c r="J11003"/>
      <c r="K11003"/>
      <c r="L11003"/>
    </row>
    <row r="11004" spans="2:12" x14ac:dyDescent="0.2">
      <c r="B11004"/>
      <c r="C11004"/>
      <c r="J11004"/>
      <c r="K11004"/>
      <c r="L11004"/>
    </row>
    <row r="11005" spans="2:12" x14ac:dyDescent="0.2">
      <c r="B11005"/>
      <c r="C11005"/>
      <c r="J11005"/>
      <c r="K11005"/>
      <c r="L11005"/>
    </row>
    <row r="11006" spans="2:12" x14ac:dyDescent="0.2">
      <c r="B11006"/>
      <c r="C11006"/>
      <c r="J11006"/>
      <c r="K11006"/>
      <c r="L11006"/>
    </row>
    <row r="11007" spans="2:12" x14ac:dyDescent="0.2">
      <c r="B11007"/>
      <c r="C11007"/>
      <c r="J11007"/>
      <c r="K11007"/>
      <c r="L11007"/>
    </row>
    <row r="11008" spans="2:12" x14ac:dyDescent="0.2">
      <c r="B11008"/>
      <c r="C11008"/>
      <c r="J11008"/>
      <c r="K11008"/>
      <c r="L11008"/>
    </row>
    <row r="11009" spans="2:12" x14ac:dyDescent="0.2">
      <c r="B11009"/>
      <c r="C11009"/>
      <c r="J11009"/>
      <c r="K11009"/>
      <c r="L11009"/>
    </row>
    <row r="11010" spans="2:12" x14ac:dyDescent="0.2">
      <c r="B11010"/>
      <c r="C11010"/>
      <c r="J11010"/>
      <c r="K11010"/>
      <c r="L11010"/>
    </row>
    <row r="11011" spans="2:12" x14ac:dyDescent="0.2">
      <c r="B11011"/>
      <c r="C11011"/>
      <c r="J11011"/>
      <c r="K11011"/>
      <c r="L11011"/>
    </row>
    <row r="11012" spans="2:12" x14ac:dyDescent="0.2">
      <c r="B11012"/>
      <c r="C11012"/>
      <c r="J11012"/>
      <c r="K11012"/>
      <c r="L11012"/>
    </row>
    <row r="11013" spans="2:12" x14ac:dyDescent="0.2">
      <c r="B11013"/>
      <c r="C11013"/>
      <c r="J11013"/>
      <c r="K11013"/>
      <c r="L11013"/>
    </row>
    <row r="11014" spans="2:12" x14ac:dyDescent="0.2">
      <c r="B11014"/>
      <c r="C11014"/>
      <c r="J11014"/>
      <c r="K11014"/>
      <c r="L11014"/>
    </row>
    <row r="11015" spans="2:12" x14ac:dyDescent="0.2">
      <c r="B11015"/>
      <c r="C11015"/>
      <c r="J11015"/>
      <c r="K11015"/>
      <c r="L11015"/>
    </row>
    <row r="11016" spans="2:12" x14ac:dyDescent="0.2">
      <c r="B11016"/>
      <c r="C11016"/>
      <c r="J11016"/>
      <c r="K11016"/>
      <c r="L11016"/>
    </row>
    <row r="11017" spans="2:12" x14ac:dyDescent="0.2">
      <c r="B11017"/>
      <c r="C11017"/>
      <c r="J11017"/>
      <c r="K11017"/>
      <c r="L11017"/>
    </row>
    <row r="11018" spans="2:12" x14ac:dyDescent="0.2">
      <c r="B11018"/>
      <c r="C11018"/>
      <c r="J11018"/>
      <c r="K11018"/>
      <c r="L11018"/>
    </row>
    <row r="11019" spans="2:12" x14ac:dyDescent="0.2">
      <c r="B11019"/>
      <c r="C11019"/>
      <c r="J11019"/>
      <c r="K11019"/>
      <c r="L11019"/>
    </row>
    <row r="11020" spans="2:12" x14ac:dyDescent="0.2">
      <c r="B11020"/>
      <c r="C11020"/>
      <c r="J11020"/>
      <c r="K11020"/>
      <c r="L11020"/>
    </row>
    <row r="11021" spans="2:12" x14ac:dyDescent="0.2">
      <c r="B11021"/>
      <c r="C11021"/>
      <c r="J11021"/>
      <c r="K11021"/>
      <c r="L11021"/>
    </row>
    <row r="11022" spans="2:12" x14ac:dyDescent="0.2">
      <c r="B11022"/>
      <c r="C11022"/>
      <c r="J11022"/>
      <c r="K11022"/>
      <c r="L11022"/>
    </row>
    <row r="11023" spans="2:12" x14ac:dyDescent="0.2">
      <c r="B11023"/>
      <c r="C11023"/>
      <c r="J11023"/>
      <c r="K11023"/>
      <c r="L11023"/>
    </row>
    <row r="11024" spans="2:12" x14ac:dyDescent="0.2">
      <c r="B11024"/>
      <c r="C11024"/>
      <c r="J11024"/>
      <c r="K11024"/>
      <c r="L11024"/>
    </row>
    <row r="11025" spans="2:12" x14ac:dyDescent="0.2">
      <c r="B11025"/>
      <c r="C11025"/>
      <c r="J11025"/>
      <c r="K11025"/>
      <c r="L11025"/>
    </row>
    <row r="11026" spans="2:12" x14ac:dyDescent="0.2">
      <c r="B11026"/>
      <c r="C11026"/>
      <c r="J11026"/>
      <c r="K11026"/>
      <c r="L11026"/>
    </row>
    <row r="11027" spans="2:12" x14ac:dyDescent="0.2">
      <c r="B11027"/>
      <c r="C11027"/>
      <c r="J11027"/>
      <c r="K11027"/>
      <c r="L11027"/>
    </row>
    <row r="11028" spans="2:12" x14ac:dyDescent="0.2">
      <c r="B11028"/>
      <c r="C11028"/>
      <c r="J11028"/>
      <c r="K11028"/>
      <c r="L11028"/>
    </row>
    <row r="11029" spans="2:12" x14ac:dyDescent="0.2">
      <c r="B11029"/>
      <c r="C11029"/>
      <c r="J11029"/>
      <c r="K11029"/>
      <c r="L11029"/>
    </row>
    <row r="11030" spans="2:12" x14ac:dyDescent="0.2">
      <c r="B11030"/>
      <c r="C11030"/>
      <c r="J11030"/>
      <c r="K11030"/>
      <c r="L11030"/>
    </row>
    <row r="11031" spans="2:12" x14ac:dyDescent="0.2">
      <c r="B11031"/>
      <c r="C11031"/>
      <c r="J11031"/>
      <c r="K11031"/>
      <c r="L11031"/>
    </row>
    <row r="11032" spans="2:12" x14ac:dyDescent="0.2">
      <c r="B11032"/>
      <c r="C11032"/>
      <c r="J11032"/>
      <c r="K11032"/>
      <c r="L11032"/>
    </row>
    <row r="11033" spans="2:12" x14ac:dyDescent="0.2">
      <c r="B11033"/>
      <c r="C11033"/>
      <c r="J11033"/>
      <c r="K11033"/>
      <c r="L11033"/>
    </row>
    <row r="11034" spans="2:12" x14ac:dyDescent="0.2">
      <c r="B11034"/>
      <c r="C11034"/>
      <c r="J11034"/>
      <c r="K11034"/>
      <c r="L11034"/>
    </row>
    <row r="11035" spans="2:12" x14ac:dyDescent="0.2">
      <c r="B11035"/>
      <c r="C11035"/>
      <c r="J11035"/>
      <c r="K11035"/>
      <c r="L11035"/>
    </row>
    <row r="11036" spans="2:12" x14ac:dyDescent="0.2">
      <c r="B11036"/>
      <c r="C11036"/>
      <c r="J11036"/>
      <c r="K11036"/>
      <c r="L11036"/>
    </row>
    <row r="11037" spans="2:12" x14ac:dyDescent="0.2">
      <c r="B11037"/>
      <c r="C11037"/>
      <c r="J11037"/>
      <c r="K11037"/>
      <c r="L11037"/>
    </row>
    <row r="11038" spans="2:12" x14ac:dyDescent="0.2">
      <c r="B11038"/>
      <c r="C11038"/>
      <c r="J11038"/>
      <c r="K11038"/>
      <c r="L11038"/>
    </row>
    <row r="11039" spans="2:12" x14ac:dyDescent="0.2">
      <c r="B11039"/>
      <c r="C11039"/>
      <c r="J11039"/>
      <c r="K11039"/>
      <c r="L11039"/>
    </row>
    <row r="11040" spans="2:12" x14ac:dyDescent="0.2">
      <c r="B11040"/>
      <c r="C11040"/>
      <c r="J11040"/>
      <c r="K11040"/>
      <c r="L11040"/>
    </row>
    <row r="11041" spans="2:12" x14ac:dyDescent="0.2">
      <c r="B11041"/>
      <c r="C11041"/>
      <c r="J11041"/>
      <c r="K11041"/>
      <c r="L11041"/>
    </row>
    <row r="11042" spans="2:12" x14ac:dyDescent="0.2">
      <c r="B11042"/>
      <c r="C11042"/>
      <c r="J11042"/>
      <c r="K11042"/>
      <c r="L11042"/>
    </row>
    <row r="11043" spans="2:12" x14ac:dyDescent="0.2">
      <c r="B11043"/>
      <c r="C11043"/>
      <c r="J11043"/>
      <c r="K11043"/>
      <c r="L11043"/>
    </row>
    <row r="11044" spans="2:12" x14ac:dyDescent="0.2">
      <c r="B11044"/>
      <c r="C11044"/>
      <c r="J11044"/>
      <c r="K11044"/>
      <c r="L11044"/>
    </row>
    <row r="11045" spans="2:12" x14ac:dyDescent="0.2">
      <c r="B11045"/>
      <c r="C11045"/>
      <c r="J11045"/>
      <c r="K11045"/>
      <c r="L11045"/>
    </row>
    <row r="11046" spans="2:12" x14ac:dyDescent="0.2">
      <c r="B11046"/>
      <c r="C11046"/>
      <c r="J11046"/>
      <c r="K11046"/>
      <c r="L11046"/>
    </row>
    <row r="11047" spans="2:12" x14ac:dyDescent="0.2">
      <c r="B11047"/>
      <c r="C11047"/>
      <c r="J11047"/>
      <c r="K11047"/>
      <c r="L11047"/>
    </row>
    <row r="11048" spans="2:12" x14ac:dyDescent="0.2">
      <c r="B11048"/>
      <c r="C11048"/>
      <c r="J11048"/>
      <c r="K11048"/>
      <c r="L11048"/>
    </row>
    <row r="11049" spans="2:12" x14ac:dyDescent="0.2">
      <c r="B11049"/>
      <c r="C11049"/>
      <c r="J11049"/>
      <c r="K11049"/>
      <c r="L11049"/>
    </row>
    <row r="11050" spans="2:12" x14ac:dyDescent="0.2">
      <c r="B11050"/>
      <c r="C11050"/>
      <c r="J11050"/>
      <c r="K11050"/>
      <c r="L11050"/>
    </row>
    <row r="11051" spans="2:12" x14ac:dyDescent="0.2">
      <c r="B11051"/>
      <c r="C11051"/>
      <c r="J11051"/>
      <c r="K11051"/>
      <c r="L11051"/>
    </row>
    <row r="11052" spans="2:12" x14ac:dyDescent="0.2">
      <c r="B11052"/>
      <c r="C11052"/>
      <c r="J11052"/>
      <c r="K11052"/>
      <c r="L11052"/>
    </row>
    <row r="11053" spans="2:12" x14ac:dyDescent="0.2">
      <c r="B11053"/>
      <c r="C11053"/>
      <c r="J11053"/>
      <c r="K11053"/>
      <c r="L11053"/>
    </row>
    <row r="11054" spans="2:12" x14ac:dyDescent="0.2">
      <c r="B11054"/>
      <c r="C11054"/>
      <c r="J11054"/>
      <c r="K11054"/>
      <c r="L11054"/>
    </row>
    <row r="11055" spans="2:12" x14ac:dyDescent="0.2">
      <c r="B11055"/>
      <c r="C11055"/>
      <c r="J11055"/>
      <c r="K11055"/>
      <c r="L11055"/>
    </row>
    <row r="11056" spans="2:12" x14ac:dyDescent="0.2">
      <c r="B11056"/>
      <c r="C11056"/>
      <c r="J11056"/>
      <c r="K11056"/>
      <c r="L11056"/>
    </row>
    <row r="11057" spans="2:12" x14ac:dyDescent="0.2">
      <c r="B11057"/>
      <c r="C11057"/>
      <c r="J11057"/>
      <c r="K11057"/>
      <c r="L11057"/>
    </row>
    <row r="11058" spans="2:12" x14ac:dyDescent="0.2">
      <c r="B11058"/>
      <c r="C11058"/>
      <c r="J11058"/>
      <c r="K11058"/>
      <c r="L11058"/>
    </row>
    <row r="11059" spans="2:12" x14ac:dyDescent="0.2">
      <c r="B11059"/>
      <c r="C11059"/>
      <c r="J11059"/>
      <c r="K11059"/>
      <c r="L11059"/>
    </row>
    <row r="11060" spans="2:12" x14ac:dyDescent="0.2">
      <c r="B11060"/>
      <c r="C11060"/>
      <c r="J11060"/>
      <c r="K11060"/>
      <c r="L11060"/>
    </row>
    <row r="11061" spans="2:12" x14ac:dyDescent="0.2">
      <c r="B11061"/>
      <c r="C11061"/>
      <c r="J11061"/>
      <c r="K11061"/>
      <c r="L11061"/>
    </row>
    <row r="11062" spans="2:12" x14ac:dyDescent="0.2">
      <c r="B11062"/>
      <c r="C11062"/>
      <c r="J11062"/>
      <c r="K11062"/>
      <c r="L11062"/>
    </row>
    <row r="11063" spans="2:12" x14ac:dyDescent="0.2">
      <c r="B11063"/>
      <c r="C11063"/>
      <c r="J11063"/>
      <c r="K11063"/>
      <c r="L11063"/>
    </row>
    <row r="11064" spans="2:12" x14ac:dyDescent="0.2">
      <c r="B11064"/>
      <c r="C11064"/>
      <c r="J11064"/>
      <c r="K11064"/>
      <c r="L11064"/>
    </row>
    <row r="11065" spans="2:12" x14ac:dyDescent="0.2">
      <c r="B11065"/>
      <c r="C11065"/>
      <c r="J11065"/>
      <c r="K11065"/>
      <c r="L11065"/>
    </row>
    <row r="11066" spans="2:12" x14ac:dyDescent="0.2">
      <c r="B11066"/>
      <c r="C11066"/>
      <c r="J11066"/>
      <c r="K11066"/>
      <c r="L11066"/>
    </row>
    <row r="11067" spans="2:12" x14ac:dyDescent="0.2">
      <c r="B11067"/>
      <c r="C11067"/>
      <c r="J11067"/>
      <c r="K11067"/>
      <c r="L11067"/>
    </row>
    <row r="11068" spans="2:12" x14ac:dyDescent="0.2">
      <c r="B11068"/>
      <c r="C11068"/>
      <c r="J11068"/>
      <c r="K11068"/>
      <c r="L11068"/>
    </row>
    <row r="11069" spans="2:12" x14ac:dyDescent="0.2">
      <c r="B11069"/>
      <c r="C11069"/>
      <c r="J11069"/>
      <c r="K11069"/>
      <c r="L11069"/>
    </row>
    <row r="11070" spans="2:12" x14ac:dyDescent="0.2">
      <c r="B11070"/>
      <c r="C11070"/>
      <c r="J11070"/>
      <c r="K11070"/>
      <c r="L11070"/>
    </row>
    <row r="11071" spans="2:12" x14ac:dyDescent="0.2">
      <c r="B11071"/>
      <c r="C11071"/>
      <c r="J11071"/>
      <c r="K11071"/>
      <c r="L11071"/>
    </row>
    <row r="11072" spans="2:12" x14ac:dyDescent="0.2">
      <c r="B11072"/>
      <c r="C11072"/>
      <c r="J11072"/>
      <c r="K11072"/>
      <c r="L11072"/>
    </row>
    <row r="11073" spans="2:12" x14ac:dyDescent="0.2">
      <c r="B11073"/>
      <c r="C11073"/>
      <c r="J11073"/>
      <c r="K11073"/>
      <c r="L11073"/>
    </row>
    <row r="11074" spans="2:12" x14ac:dyDescent="0.2">
      <c r="B11074"/>
      <c r="C11074"/>
      <c r="J11074"/>
      <c r="K11074"/>
      <c r="L11074"/>
    </row>
    <row r="11075" spans="2:12" x14ac:dyDescent="0.2">
      <c r="B11075"/>
      <c r="C11075"/>
      <c r="J11075"/>
      <c r="K11075"/>
      <c r="L11075"/>
    </row>
    <row r="11076" spans="2:12" x14ac:dyDescent="0.2">
      <c r="B11076"/>
      <c r="C11076"/>
      <c r="J11076"/>
      <c r="K11076"/>
      <c r="L11076"/>
    </row>
    <row r="11077" spans="2:12" x14ac:dyDescent="0.2">
      <c r="B11077"/>
      <c r="C11077"/>
      <c r="J11077"/>
      <c r="K11077"/>
      <c r="L11077"/>
    </row>
    <row r="11078" spans="2:12" x14ac:dyDescent="0.2">
      <c r="B11078"/>
      <c r="C11078"/>
      <c r="J11078"/>
      <c r="K11078"/>
      <c r="L11078"/>
    </row>
    <row r="11079" spans="2:12" x14ac:dyDescent="0.2">
      <c r="B11079"/>
      <c r="C11079"/>
      <c r="J11079"/>
      <c r="K11079"/>
      <c r="L11079"/>
    </row>
    <row r="11080" spans="2:12" x14ac:dyDescent="0.2">
      <c r="B11080"/>
      <c r="C11080"/>
      <c r="J11080"/>
      <c r="K11080"/>
      <c r="L11080"/>
    </row>
    <row r="11081" spans="2:12" x14ac:dyDescent="0.2">
      <c r="B11081"/>
      <c r="C11081"/>
      <c r="J11081"/>
      <c r="K11081"/>
      <c r="L11081"/>
    </row>
    <row r="11082" spans="2:12" x14ac:dyDescent="0.2">
      <c r="B11082"/>
      <c r="C11082"/>
      <c r="J11082"/>
      <c r="K11082"/>
      <c r="L11082"/>
    </row>
    <row r="11083" spans="2:12" x14ac:dyDescent="0.2">
      <c r="B11083"/>
      <c r="C11083"/>
      <c r="J11083"/>
      <c r="K11083"/>
      <c r="L11083"/>
    </row>
    <row r="11084" spans="2:12" x14ac:dyDescent="0.2">
      <c r="B11084"/>
      <c r="C11084"/>
      <c r="J11084"/>
      <c r="K11084"/>
      <c r="L11084"/>
    </row>
    <row r="11085" spans="2:12" x14ac:dyDescent="0.2">
      <c r="B11085"/>
      <c r="C11085"/>
      <c r="J11085"/>
      <c r="K11085"/>
      <c r="L11085"/>
    </row>
    <row r="11086" spans="2:12" x14ac:dyDescent="0.2">
      <c r="B11086"/>
      <c r="C11086"/>
      <c r="J11086"/>
      <c r="K11086"/>
      <c r="L11086"/>
    </row>
    <row r="11087" spans="2:12" x14ac:dyDescent="0.2">
      <c r="B11087"/>
      <c r="C11087"/>
      <c r="J11087"/>
      <c r="K11087"/>
      <c r="L11087"/>
    </row>
    <row r="11088" spans="2:12" x14ac:dyDescent="0.2">
      <c r="B11088"/>
      <c r="C11088"/>
      <c r="J11088"/>
      <c r="K11088"/>
      <c r="L11088"/>
    </row>
    <row r="11089" spans="2:12" x14ac:dyDescent="0.2">
      <c r="B11089"/>
      <c r="C11089"/>
      <c r="J11089"/>
      <c r="K11089"/>
      <c r="L11089"/>
    </row>
    <row r="11090" spans="2:12" x14ac:dyDescent="0.2">
      <c r="B11090"/>
      <c r="C11090"/>
      <c r="J11090"/>
      <c r="K11090"/>
      <c r="L11090"/>
    </row>
    <row r="11091" spans="2:12" x14ac:dyDescent="0.2">
      <c r="B11091"/>
      <c r="C11091"/>
      <c r="J11091"/>
      <c r="K11091"/>
      <c r="L11091"/>
    </row>
    <row r="11092" spans="2:12" x14ac:dyDescent="0.2">
      <c r="B11092"/>
      <c r="C11092"/>
      <c r="J11092"/>
      <c r="K11092"/>
      <c r="L11092"/>
    </row>
    <row r="11093" spans="2:12" x14ac:dyDescent="0.2">
      <c r="B11093"/>
      <c r="C11093"/>
      <c r="J11093"/>
      <c r="K11093"/>
      <c r="L11093"/>
    </row>
    <row r="11094" spans="2:12" x14ac:dyDescent="0.2">
      <c r="B11094"/>
      <c r="C11094"/>
      <c r="J11094"/>
      <c r="K11094"/>
      <c r="L11094"/>
    </row>
    <row r="11095" spans="2:12" x14ac:dyDescent="0.2">
      <c r="B11095"/>
      <c r="C11095"/>
      <c r="J11095"/>
      <c r="K11095"/>
      <c r="L11095"/>
    </row>
    <row r="11096" spans="2:12" x14ac:dyDescent="0.2">
      <c r="B11096"/>
      <c r="C11096"/>
      <c r="J11096"/>
      <c r="K11096"/>
      <c r="L11096"/>
    </row>
    <row r="11097" spans="2:12" x14ac:dyDescent="0.2">
      <c r="B11097"/>
      <c r="C11097"/>
      <c r="J11097"/>
      <c r="K11097"/>
      <c r="L11097"/>
    </row>
    <row r="11098" spans="2:12" x14ac:dyDescent="0.2">
      <c r="B11098"/>
      <c r="C11098"/>
      <c r="J11098"/>
      <c r="K11098"/>
      <c r="L11098"/>
    </row>
    <row r="11099" spans="2:12" x14ac:dyDescent="0.2">
      <c r="B11099"/>
      <c r="C11099"/>
      <c r="J11099"/>
      <c r="K11099"/>
      <c r="L11099"/>
    </row>
    <row r="11100" spans="2:12" x14ac:dyDescent="0.2">
      <c r="B11100"/>
      <c r="C11100"/>
      <c r="J11100"/>
      <c r="K11100"/>
      <c r="L11100"/>
    </row>
    <row r="11101" spans="2:12" x14ac:dyDescent="0.2">
      <c r="B11101"/>
      <c r="C11101"/>
      <c r="J11101"/>
      <c r="K11101"/>
      <c r="L11101"/>
    </row>
    <row r="11102" spans="2:12" x14ac:dyDescent="0.2">
      <c r="B11102"/>
      <c r="C11102"/>
      <c r="J11102"/>
      <c r="K11102"/>
      <c r="L11102"/>
    </row>
    <row r="11103" spans="2:12" x14ac:dyDescent="0.2">
      <c r="B11103"/>
      <c r="C11103"/>
      <c r="J11103"/>
      <c r="K11103"/>
      <c r="L11103"/>
    </row>
    <row r="11104" spans="2:12" x14ac:dyDescent="0.2">
      <c r="B11104"/>
      <c r="C11104"/>
      <c r="J11104"/>
      <c r="K11104"/>
      <c r="L11104"/>
    </row>
    <row r="11105" spans="2:12" x14ac:dyDescent="0.2">
      <c r="B11105"/>
      <c r="C11105"/>
      <c r="J11105"/>
      <c r="K11105"/>
      <c r="L11105"/>
    </row>
    <row r="11106" spans="2:12" x14ac:dyDescent="0.2">
      <c r="B11106"/>
      <c r="C11106"/>
      <c r="J11106"/>
      <c r="K11106"/>
      <c r="L11106"/>
    </row>
    <row r="11107" spans="2:12" x14ac:dyDescent="0.2">
      <c r="B11107"/>
      <c r="C11107"/>
      <c r="J11107"/>
      <c r="K11107"/>
      <c r="L11107"/>
    </row>
    <row r="11108" spans="2:12" x14ac:dyDescent="0.2">
      <c r="B11108"/>
      <c r="C11108"/>
      <c r="J11108"/>
      <c r="K11108"/>
      <c r="L11108"/>
    </row>
    <row r="11109" spans="2:12" x14ac:dyDescent="0.2">
      <c r="B11109"/>
      <c r="C11109"/>
      <c r="J11109"/>
      <c r="K11109"/>
      <c r="L11109"/>
    </row>
    <row r="11110" spans="2:12" x14ac:dyDescent="0.2">
      <c r="B11110"/>
      <c r="C11110"/>
      <c r="J11110"/>
      <c r="K11110"/>
      <c r="L11110"/>
    </row>
    <row r="11111" spans="2:12" x14ac:dyDescent="0.2">
      <c r="B11111"/>
      <c r="C11111"/>
      <c r="J11111"/>
      <c r="K11111"/>
      <c r="L11111"/>
    </row>
    <row r="11112" spans="2:12" x14ac:dyDescent="0.2">
      <c r="B11112"/>
      <c r="C11112"/>
      <c r="J11112"/>
      <c r="K11112"/>
      <c r="L11112"/>
    </row>
    <row r="11113" spans="2:12" x14ac:dyDescent="0.2">
      <c r="B11113"/>
      <c r="C11113"/>
      <c r="J11113"/>
      <c r="K11113"/>
      <c r="L11113"/>
    </row>
    <row r="11114" spans="2:12" x14ac:dyDescent="0.2">
      <c r="B11114"/>
      <c r="C11114"/>
      <c r="J11114"/>
      <c r="K11114"/>
      <c r="L11114"/>
    </row>
    <row r="11115" spans="2:12" x14ac:dyDescent="0.2">
      <c r="B11115"/>
      <c r="C11115"/>
      <c r="J11115"/>
      <c r="K11115"/>
      <c r="L11115"/>
    </row>
    <row r="11116" spans="2:12" x14ac:dyDescent="0.2">
      <c r="B11116"/>
      <c r="C11116"/>
      <c r="J11116"/>
      <c r="K11116"/>
      <c r="L11116"/>
    </row>
    <row r="11117" spans="2:12" x14ac:dyDescent="0.2">
      <c r="B11117"/>
      <c r="C11117"/>
      <c r="J11117"/>
      <c r="K11117"/>
      <c r="L11117"/>
    </row>
    <row r="11118" spans="2:12" x14ac:dyDescent="0.2">
      <c r="B11118"/>
      <c r="C11118"/>
      <c r="J11118"/>
      <c r="K11118"/>
      <c r="L11118"/>
    </row>
    <row r="11119" spans="2:12" x14ac:dyDescent="0.2">
      <c r="B11119"/>
      <c r="C11119"/>
      <c r="J11119"/>
      <c r="K11119"/>
      <c r="L11119"/>
    </row>
    <row r="11120" spans="2:12" x14ac:dyDescent="0.2">
      <c r="B11120"/>
      <c r="C11120"/>
      <c r="J11120"/>
      <c r="K11120"/>
      <c r="L11120"/>
    </row>
    <row r="11121" spans="2:12" x14ac:dyDescent="0.2">
      <c r="B11121"/>
      <c r="C11121"/>
      <c r="J11121"/>
      <c r="K11121"/>
      <c r="L11121"/>
    </row>
    <row r="11122" spans="2:12" x14ac:dyDescent="0.2">
      <c r="B11122"/>
      <c r="C11122"/>
      <c r="J11122"/>
      <c r="K11122"/>
      <c r="L11122"/>
    </row>
    <row r="11123" spans="2:12" x14ac:dyDescent="0.2">
      <c r="B11123"/>
      <c r="C11123"/>
      <c r="J11123"/>
      <c r="K11123"/>
      <c r="L11123"/>
    </row>
    <row r="11124" spans="2:12" x14ac:dyDescent="0.2">
      <c r="B11124"/>
      <c r="C11124"/>
      <c r="J11124"/>
      <c r="K11124"/>
      <c r="L11124"/>
    </row>
    <row r="11125" spans="2:12" x14ac:dyDescent="0.2">
      <c r="B11125"/>
      <c r="C11125"/>
      <c r="J11125"/>
      <c r="K11125"/>
      <c r="L11125"/>
    </row>
    <row r="11126" spans="2:12" x14ac:dyDescent="0.2">
      <c r="B11126"/>
      <c r="C11126"/>
      <c r="J11126"/>
      <c r="K11126"/>
      <c r="L11126"/>
    </row>
    <row r="11127" spans="2:12" x14ac:dyDescent="0.2">
      <c r="B11127"/>
      <c r="C11127"/>
      <c r="J11127"/>
      <c r="K11127"/>
      <c r="L11127"/>
    </row>
    <row r="11128" spans="2:12" x14ac:dyDescent="0.2">
      <c r="B11128"/>
      <c r="C11128"/>
      <c r="J11128"/>
      <c r="K11128"/>
      <c r="L11128"/>
    </row>
    <row r="11129" spans="2:12" x14ac:dyDescent="0.2">
      <c r="B11129"/>
      <c r="C11129"/>
      <c r="J11129"/>
      <c r="K11129"/>
      <c r="L11129"/>
    </row>
    <row r="11130" spans="2:12" x14ac:dyDescent="0.2">
      <c r="B11130"/>
      <c r="C11130"/>
      <c r="J11130"/>
      <c r="K11130"/>
      <c r="L11130"/>
    </row>
    <row r="11131" spans="2:12" x14ac:dyDescent="0.2">
      <c r="B11131"/>
      <c r="C11131"/>
      <c r="J11131"/>
      <c r="K11131"/>
      <c r="L11131"/>
    </row>
    <row r="11132" spans="2:12" x14ac:dyDescent="0.2">
      <c r="B11132"/>
      <c r="C11132"/>
      <c r="J11132"/>
      <c r="K11132"/>
      <c r="L11132"/>
    </row>
    <row r="11133" spans="2:12" x14ac:dyDescent="0.2">
      <c r="B11133"/>
      <c r="C11133"/>
      <c r="J11133"/>
      <c r="K11133"/>
      <c r="L11133"/>
    </row>
    <row r="11134" spans="2:12" x14ac:dyDescent="0.2">
      <c r="B11134"/>
      <c r="C11134"/>
      <c r="J11134"/>
      <c r="K11134"/>
      <c r="L11134"/>
    </row>
    <row r="11135" spans="2:12" x14ac:dyDescent="0.2">
      <c r="B11135"/>
      <c r="C11135"/>
      <c r="J11135"/>
      <c r="K11135"/>
      <c r="L11135"/>
    </row>
    <row r="11136" spans="2:12" x14ac:dyDescent="0.2">
      <c r="B11136"/>
      <c r="C11136"/>
      <c r="J11136"/>
      <c r="K11136"/>
      <c r="L11136"/>
    </row>
    <row r="11137" spans="2:12" x14ac:dyDescent="0.2">
      <c r="B11137"/>
      <c r="C11137"/>
      <c r="J11137"/>
      <c r="K11137"/>
      <c r="L11137"/>
    </row>
    <row r="11138" spans="2:12" x14ac:dyDescent="0.2">
      <c r="B11138"/>
      <c r="C11138"/>
      <c r="J11138"/>
      <c r="K11138"/>
      <c r="L11138"/>
    </row>
    <row r="11139" spans="2:12" x14ac:dyDescent="0.2">
      <c r="B11139"/>
      <c r="C11139"/>
      <c r="J11139"/>
      <c r="K11139"/>
      <c r="L11139"/>
    </row>
    <row r="11140" spans="2:12" x14ac:dyDescent="0.2">
      <c r="B11140"/>
      <c r="C11140"/>
      <c r="J11140"/>
      <c r="K11140"/>
      <c r="L11140"/>
    </row>
    <row r="11141" spans="2:12" x14ac:dyDescent="0.2">
      <c r="B11141"/>
      <c r="C11141"/>
      <c r="J11141"/>
      <c r="K11141"/>
      <c r="L11141"/>
    </row>
    <row r="11142" spans="2:12" x14ac:dyDescent="0.2">
      <c r="B11142"/>
      <c r="C11142"/>
      <c r="J11142"/>
      <c r="K11142"/>
      <c r="L11142"/>
    </row>
    <row r="11143" spans="2:12" x14ac:dyDescent="0.2">
      <c r="B11143"/>
      <c r="C11143"/>
      <c r="J11143"/>
      <c r="K11143"/>
      <c r="L11143"/>
    </row>
    <row r="11144" spans="2:12" x14ac:dyDescent="0.2">
      <c r="B11144"/>
      <c r="C11144"/>
      <c r="J11144"/>
      <c r="K11144"/>
      <c r="L11144"/>
    </row>
    <row r="11145" spans="2:12" x14ac:dyDescent="0.2">
      <c r="B11145"/>
      <c r="C11145"/>
      <c r="J11145"/>
      <c r="K11145"/>
      <c r="L11145"/>
    </row>
    <row r="11146" spans="2:12" x14ac:dyDescent="0.2">
      <c r="B11146"/>
      <c r="C11146"/>
      <c r="J11146"/>
      <c r="K11146"/>
      <c r="L11146"/>
    </row>
    <row r="11147" spans="2:12" x14ac:dyDescent="0.2">
      <c r="B11147"/>
      <c r="C11147"/>
      <c r="J11147"/>
      <c r="K11147"/>
      <c r="L11147"/>
    </row>
    <row r="11148" spans="2:12" x14ac:dyDescent="0.2">
      <c r="B11148"/>
      <c r="C11148"/>
      <c r="J11148"/>
      <c r="K11148"/>
      <c r="L11148"/>
    </row>
    <row r="11149" spans="2:12" x14ac:dyDescent="0.2">
      <c r="B11149"/>
      <c r="C11149"/>
      <c r="J11149"/>
      <c r="K11149"/>
      <c r="L11149"/>
    </row>
    <row r="11150" spans="2:12" x14ac:dyDescent="0.2">
      <c r="B11150"/>
      <c r="C11150"/>
      <c r="J11150"/>
      <c r="K11150"/>
      <c r="L11150"/>
    </row>
    <row r="11151" spans="2:12" x14ac:dyDescent="0.2">
      <c r="B11151"/>
      <c r="C11151"/>
      <c r="J11151"/>
      <c r="K11151"/>
      <c r="L11151"/>
    </row>
    <row r="11152" spans="2:12" x14ac:dyDescent="0.2">
      <c r="B11152"/>
      <c r="C11152"/>
      <c r="J11152"/>
      <c r="K11152"/>
      <c r="L11152"/>
    </row>
    <row r="11153" spans="2:12" x14ac:dyDescent="0.2">
      <c r="B11153"/>
      <c r="C11153"/>
      <c r="J11153"/>
      <c r="K11153"/>
      <c r="L11153"/>
    </row>
    <row r="11154" spans="2:12" x14ac:dyDescent="0.2">
      <c r="B11154"/>
      <c r="C11154"/>
      <c r="J11154"/>
      <c r="K11154"/>
      <c r="L11154"/>
    </row>
    <row r="11155" spans="2:12" x14ac:dyDescent="0.2">
      <c r="B11155"/>
      <c r="C11155"/>
      <c r="J11155"/>
      <c r="K11155"/>
      <c r="L11155"/>
    </row>
    <row r="11156" spans="2:12" x14ac:dyDescent="0.2">
      <c r="B11156"/>
      <c r="C11156"/>
      <c r="J11156"/>
      <c r="K11156"/>
      <c r="L11156"/>
    </row>
    <row r="11157" spans="2:12" x14ac:dyDescent="0.2">
      <c r="B11157"/>
      <c r="C11157"/>
      <c r="J11157"/>
      <c r="K11157"/>
      <c r="L11157"/>
    </row>
    <row r="11158" spans="2:12" x14ac:dyDescent="0.2">
      <c r="B11158"/>
      <c r="C11158"/>
      <c r="J11158"/>
      <c r="K11158"/>
      <c r="L11158"/>
    </row>
    <row r="11159" spans="2:12" x14ac:dyDescent="0.2">
      <c r="B11159"/>
      <c r="C11159"/>
      <c r="J11159"/>
      <c r="K11159"/>
      <c r="L11159"/>
    </row>
    <row r="11160" spans="2:12" x14ac:dyDescent="0.2">
      <c r="B11160"/>
      <c r="C11160"/>
      <c r="J11160"/>
      <c r="K11160"/>
      <c r="L11160"/>
    </row>
    <row r="11161" spans="2:12" x14ac:dyDescent="0.2">
      <c r="B11161"/>
      <c r="C11161"/>
      <c r="J11161"/>
      <c r="K11161"/>
      <c r="L11161"/>
    </row>
    <row r="11162" spans="2:12" x14ac:dyDescent="0.2">
      <c r="B11162"/>
      <c r="C11162"/>
      <c r="J11162"/>
      <c r="K11162"/>
      <c r="L11162"/>
    </row>
    <row r="11163" spans="2:12" x14ac:dyDescent="0.2">
      <c r="B11163"/>
      <c r="C11163"/>
      <c r="J11163"/>
      <c r="K11163"/>
      <c r="L11163"/>
    </row>
    <row r="11164" spans="2:12" x14ac:dyDescent="0.2">
      <c r="B11164"/>
      <c r="C11164"/>
      <c r="J11164"/>
      <c r="K11164"/>
      <c r="L11164"/>
    </row>
    <row r="11165" spans="2:12" x14ac:dyDescent="0.2">
      <c r="B11165"/>
      <c r="C11165"/>
      <c r="J11165"/>
      <c r="K11165"/>
      <c r="L11165"/>
    </row>
    <row r="11166" spans="2:12" x14ac:dyDescent="0.2">
      <c r="B11166"/>
      <c r="C11166"/>
      <c r="J11166"/>
      <c r="K11166"/>
      <c r="L11166"/>
    </row>
    <row r="11167" spans="2:12" x14ac:dyDescent="0.2">
      <c r="B11167"/>
      <c r="C11167"/>
      <c r="J11167"/>
      <c r="K11167"/>
      <c r="L11167"/>
    </row>
    <row r="11168" spans="2:12" x14ac:dyDescent="0.2">
      <c r="B11168"/>
      <c r="C11168"/>
      <c r="J11168"/>
      <c r="K11168"/>
      <c r="L11168"/>
    </row>
    <row r="11169" spans="2:12" x14ac:dyDescent="0.2">
      <c r="B11169"/>
      <c r="C11169"/>
      <c r="J11169"/>
      <c r="K11169"/>
      <c r="L11169"/>
    </row>
    <row r="11170" spans="2:12" x14ac:dyDescent="0.2">
      <c r="B11170"/>
      <c r="C11170"/>
      <c r="J11170"/>
      <c r="K11170"/>
      <c r="L11170"/>
    </row>
    <row r="11171" spans="2:12" x14ac:dyDescent="0.2">
      <c r="B11171"/>
      <c r="C11171"/>
      <c r="J11171"/>
      <c r="K11171"/>
      <c r="L11171"/>
    </row>
    <row r="11172" spans="2:12" x14ac:dyDescent="0.2">
      <c r="B11172"/>
      <c r="C11172"/>
      <c r="J11172"/>
      <c r="K11172"/>
      <c r="L11172"/>
    </row>
    <row r="11173" spans="2:12" x14ac:dyDescent="0.2">
      <c r="B11173"/>
      <c r="C11173"/>
      <c r="J11173"/>
      <c r="K11173"/>
      <c r="L11173"/>
    </row>
    <row r="11174" spans="2:12" x14ac:dyDescent="0.2">
      <c r="B11174"/>
      <c r="C11174"/>
      <c r="J11174"/>
      <c r="K11174"/>
      <c r="L11174"/>
    </row>
    <row r="11175" spans="2:12" x14ac:dyDescent="0.2">
      <c r="B11175"/>
      <c r="C11175"/>
      <c r="J11175"/>
      <c r="K11175"/>
      <c r="L11175"/>
    </row>
    <row r="11176" spans="2:12" x14ac:dyDescent="0.2">
      <c r="B11176"/>
      <c r="C11176"/>
      <c r="J11176"/>
      <c r="K11176"/>
      <c r="L11176"/>
    </row>
    <row r="11177" spans="2:12" x14ac:dyDescent="0.2">
      <c r="B11177"/>
      <c r="C11177"/>
      <c r="J11177"/>
      <c r="K11177"/>
      <c r="L11177"/>
    </row>
    <row r="11178" spans="2:12" x14ac:dyDescent="0.2">
      <c r="B11178"/>
      <c r="C11178"/>
      <c r="J11178"/>
      <c r="K11178"/>
      <c r="L11178"/>
    </row>
    <row r="11179" spans="2:12" x14ac:dyDescent="0.2">
      <c r="B11179"/>
      <c r="C11179"/>
      <c r="J11179"/>
      <c r="K11179"/>
      <c r="L11179"/>
    </row>
    <row r="11180" spans="2:12" x14ac:dyDescent="0.2">
      <c r="B11180"/>
      <c r="C11180"/>
      <c r="J11180"/>
      <c r="K11180"/>
      <c r="L11180"/>
    </row>
    <row r="11181" spans="2:12" x14ac:dyDescent="0.2">
      <c r="B11181"/>
      <c r="C11181"/>
      <c r="J11181"/>
      <c r="K11181"/>
      <c r="L11181"/>
    </row>
    <row r="11182" spans="2:12" x14ac:dyDescent="0.2">
      <c r="B11182"/>
      <c r="C11182"/>
      <c r="J11182"/>
      <c r="K11182"/>
      <c r="L11182"/>
    </row>
    <row r="11183" spans="2:12" x14ac:dyDescent="0.2">
      <c r="B11183"/>
      <c r="C11183"/>
      <c r="J11183"/>
      <c r="K11183"/>
      <c r="L11183"/>
    </row>
    <row r="11184" spans="2:12" x14ac:dyDescent="0.2">
      <c r="B11184"/>
      <c r="C11184"/>
      <c r="J11184"/>
      <c r="K11184"/>
      <c r="L11184"/>
    </row>
    <row r="11185" spans="2:12" x14ac:dyDescent="0.2">
      <c r="B11185"/>
      <c r="C11185"/>
      <c r="J11185"/>
      <c r="K11185"/>
      <c r="L11185"/>
    </row>
    <row r="11186" spans="2:12" x14ac:dyDescent="0.2">
      <c r="B11186"/>
      <c r="C11186"/>
      <c r="J11186"/>
      <c r="K11186"/>
      <c r="L11186"/>
    </row>
    <row r="11187" spans="2:12" x14ac:dyDescent="0.2">
      <c r="B11187"/>
      <c r="C11187"/>
      <c r="J11187"/>
      <c r="K11187"/>
      <c r="L11187"/>
    </row>
    <row r="11188" spans="2:12" x14ac:dyDescent="0.2">
      <c r="B11188"/>
      <c r="C11188"/>
      <c r="J11188"/>
      <c r="K11188"/>
      <c r="L11188"/>
    </row>
    <row r="11189" spans="2:12" x14ac:dyDescent="0.2">
      <c r="B11189"/>
      <c r="C11189"/>
      <c r="J11189"/>
      <c r="K11189"/>
      <c r="L11189"/>
    </row>
    <row r="11190" spans="2:12" x14ac:dyDescent="0.2">
      <c r="B11190"/>
      <c r="C11190"/>
      <c r="J11190"/>
      <c r="K11190"/>
      <c r="L11190"/>
    </row>
    <row r="11191" spans="2:12" x14ac:dyDescent="0.2">
      <c r="B11191"/>
      <c r="C11191"/>
      <c r="J11191"/>
      <c r="K11191"/>
      <c r="L11191"/>
    </row>
    <row r="11192" spans="2:12" x14ac:dyDescent="0.2">
      <c r="B11192"/>
      <c r="C11192"/>
      <c r="J11192"/>
      <c r="K11192"/>
      <c r="L11192"/>
    </row>
    <row r="11193" spans="2:12" x14ac:dyDescent="0.2">
      <c r="B11193"/>
      <c r="C11193"/>
      <c r="J11193"/>
      <c r="K11193"/>
      <c r="L11193"/>
    </row>
    <row r="11194" spans="2:12" x14ac:dyDescent="0.2">
      <c r="B11194"/>
      <c r="C11194"/>
      <c r="J11194"/>
      <c r="K11194"/>
      <c r="L11194"/>
    </row>
    <row r="11195" spans="2:12" x14ac:dyDescent="0.2">
      <c r="B11195"/>
      <c r="C11195"/>
      <c r="J11195"/>
      <c r="K11195"/>
      <c r="L11195"/>
    </row>
    <row r="11196" spans="2:12" x14ac:dyDescent="0.2">
      <c r="B11196"/>
      <c r="C11196"/>
      <c r="J11196"/>
      <c r="K11196"/>
      <c r="L11196"/>
    </row>
    <row r="11197" spans="2:12" x14ac:dyDescent="0.2">
      <c r="B11197"/>
      <c r="C11197"/>
      <c r="J11197"/>
      <c r="K11197"/>
      <c r="L11197"/>
    </row>
    <row r="11198" spans="2:12" x14ac:dyDescent="0.2">
      <c r="B11198"/>
      <c r="C11198"/>
      <c r="J11198"/>
      <c r="K11198"/>
      <c r="L11198"/>
    </row>
    <row r="11199" spans="2:12" x14ac:dyDescent="0.2">
      <c r="B11199"/>
      <c r="C11199"/>
      <c r="J11199"/>
      <c r="K11199"/>
      <c r="L11199"/>
    </row>
    <row r="11200" spans="2:12" x14ac:dyDescent="0.2">
      <c r="B11200"/>
      <c r="C11200"/>
      <c r="J11200"/>
      <c r="K11200"/>
      <c r="L11200"/>
    </row>
    <row r="11201" spans="2:12" x14ac:dyDescent="0.2">
      <c r="B11201"/>
      <c r="C11201"/>
      <c r="J11201"/>
      <c r="K11201"/>
      <c r="L11201"/>
    </row>
    <row r="11202" spans="2:12" x14ac:dyDescent="0.2">
      <c r="B11202"/>
      <c r="C11202"/>
      <c r="J11202"/>
      <c r="K11202"/>
      <c r="L11202"/>
    </row>
    <row r="11203" spans="2:12" x14ac:dyDescent="0.2">
      <c r="B11203"/>
      <c r="C11203"/>
      <c r="J11203"/>
      <c r="K11203"/>
      <c r="L11203"/>
    </row>
    <row r="11204" spans="2:12" x14ac:dyDescent="0.2">
      <c r="B11204"/>
      <c r="C11204"/>
      <c r="J11204"/>
      <c r="K11204"/>
      <c r="L11204"/>
    </row>
    <row r="11205" spans="2:12" x14ac:dyDescent="0.2">
      <c r="B11205"/>
      <c r="C11205"/>
      <c r="J11205"/>
      <c r="K11205"/>
      <c r="L11205"/>
    </row>
    <row r="11206" spans="2:12" x14ac:dyDescent="0.2">
      <c r="B11206"/>
      <c r="C11206"/>
      <c r="J11206"/>
      <c r="K11206"/>
      <c r="L11206"/>
    </row>
    <row r="11207" spans="2:12" x14ac:dyDescent="0.2">
      <c r="B11207"/>
      <c r="C11207"/>
      <c r="J11207"/>
      <c r="K11207"/>
      <c r="L11207"/>
    </row>
    <row r="11208" spans="2:12" x14ac:dyDescent="0.2">
      <c r="B11208"/>
      <c r="C11208"/>
      <c r="J11208"/>
      <c r="K11208"/>
      <c r="L11208"/>
    </row>
    <row r="11209" spans="2:12" x14ac:dyDescent="0.2">
      <c r="B11209"/>
      <c r="C11209"/>
      <c r="J11209"/>
      <c r="K11209"/>
      <c r="L11209"/>
    </row>
    <row r="11210" spans="2:12" x14ac:dyDescent="0.2">
      <c r="B11210"/>
      <c r="C11210"/>
      <c r="J11210"/>
      <c r="K11210"/>
      <c r="L11210"/>
    </row>
    <row r="11211" spans="2:12" x14ac:dyDescent="0.2">
      <c r="B11211"/>
      <c r="C11211"/>
      <c r="J11211"/>
      <c r="K11211"/>
      <c r="L11211"/>
    </row>
    <row r="11212" spans="2:12" x14ac:dyDescent="0.2">
      <c r="B11212"/>
      <c r="C11212"/>
      <c r="J11212"/>
      <c r="K11212"/>
      <c r="L11212"/>
    </row>
    <row r="11213" spans="2:12" x14ac:dyDescent="0.2">
      <c r="B11213"/>
      <c r="C11213"/>
      <c r="J11213"/>
      <c r="K11213"/>
      <c r="L11213"/>
    </row>
    <row r="11214" spans="2:12" x14ac:dyDescent="0.2">
      <c r="B11214"/>
      <c r="C11214"/>
      <c r="J11214"/>
      <c r="K11214"/>
      <c r="L11214"/>
    </row>
    <row r="11215" spans="2:12" x14ac:dyDescent="0.2">
      <c r="B11215"/>
      <c r="C11215"/>
      <c r="J11215"/>
      <c r="K11215"/>
      <c r="L11215"/>
    </row>
    <row r="11216" spans="2:12" x14ac:dyDescent="0.2">
      <c r="B11216"/>
      <c r="C11216"/>
      <c r="J11216"/>
      <c r="K11216"/>
      <c r="L11216"/>
    </row>
    <row r="11217" spans="2:12" x14ac:dyDescent="0.2">
      <c r="B11217"/>
      <c r="C11217"/>
      <c r="J11217"/>
      <c r="K11217"/>
      <c r="L11217"/>
    </row>
    <row r="11218" spans="2:12" x14ac:dyDescent="0.2">
      <c r="B11218"/>
      <c r="C11218"/>
      <c r="J11218"/>
      <c r="K11218"/>
      <c r="L11218"/>
    </row>
    <row r="11219" spans="2:12" x14ac:dyDescent="0.2">
      <c r="B11219"/>
      <c r="C11219"/>
      <c r="J11219"/>
      <c r="K11219"/>
      <c r="L11219"/>
    </row>
    <row r="11220" spans="2:12" x14ac:dyDescent="0.2">
      <c r="B11220"/>
      <c r="C11220"/>
      <c r="J11220"/>
      <c r="K11220"/>
      <c r="L11220"/>
    </row>
    <row r="11221" spans="2:12" x14ac:dyDescent="0.2">
      <c r="B11221"/>
      <c r="C11221"/>
      <c r="J11221"/>
      <c r="K11221"/>
      <c r="L11221"/>
    </row>
    <row r="11222" spans="2:12" x14ac:dyDescent="0.2">
      <c r="B11222"/>
      <c r="C11222"/>
      <c r="J11222"/>
      <c r="K11222"/>
      <c r="L11222"/>
    </row>
    <row r="11223" spans="2:12" x14ac:dyDescent="0.2">
      <c r="B11223"/>
      <c r="C11223"/>
      <c r="J11223"/>
      <c r="K11223"/>
      <c r="L11223"/>
    </row>
    <row r="11224" spans="2:12" x14ac:dyDescent="0.2">
      <c r="B11224"/>
      <c r="C11224"/>
      <c r="J11224"/>
      <c r="K11224"/>
      <c r="L11224"/>
    </row>
    <row r="11225" spans="2:12" x14ac:dyDescent="0.2">
      <c r="B11225"/>
      <c r="C11225"/>
      <c r="J11225"/>
      <c r="K11225"/>
      <c r="L11225"/>
    </row>
    <row r="11226" spans="2:12" x14ac:dyDescent="0.2">
      <c r="B11226"/>
      <c r="C11226"/>
      <c r="J11226"/>
      <c r="K11226"/>
      <c r="L11226"/>
    </row>
    <row r="11227" spans="2:12" x14ac:dyDescent="0.2">
      <c r="B11227"/>
      <c r="C11227"/>
      <c r="J11227"/>
      <c r="K11227"/>
      <c r="L11227"/>
    </row>
    <row r="11228" spans="2:12" x14ac:dyDescent="0.2">
      <c r="B11228"/>
      <c r="C11228"/>
      <c r="J11228"/>
      <c r="K11228"/>
      <c r="L11228"/>
    </row>
    <row r="11229" spans="2:12" x14ac:dyDescent="0.2">
      <c r="B11229"/>
      <c r="C11229"/>
      <c r="J11229"/>
      <c r="K11229"/>
      <c r="L11229"/>
    </row>
    <row r="11230" spans="2:12" x14ac:dyDescent="0.2">
      <c r="B11230"/>
      <c r="C11230"/>
      <c r="J11230"/>
      <c r="K11230"/>
      <c r="L11230"/>
    </row>
    <row r="11231" spans="2:12" x14ac:dyDescent="0.2">
      <c r="B11231"/>
      <c r="C11231"/>
      <c r="J11231"/>
      <c r="K11231"/>
      <c r="L11231"/>
    </row>
    <row r="11232" spans="2:12" x14ac:dyDescent="0.2">
      <c r="B11232"/>
      <c r="C11232"/>
      <c r="J11232"/>
      <c r="K11232"/>
      <c r="L11232"/>
    </row>
    <row r="11233" spans="2:12" x14ac:dyDescent="0.2">
      <c r="B11233"/>
      <c r="C11233"/>
      <c r="J11233"/>
      <c r="K11233"/>
      <c r="L11233"/>
    </row>
    <row r="11234" spans="2:12" x14ac:dyDescent="0.2">
      <c r="B11234"/>
      <c r="C11234"/>
      <c r="J11234"/>
      <c r="K11234"/>
      <c r="L11234"/>
    </row>
    <row r="11235" spans="2:12" x14ac:dyDescent="0.2">
      <c r="B11235"/>
      <c r="C11235"/>
      <c r="J11235"/>
      <c r="K11235"/>
      <c r="L11235"/>
    </row>
    <row r="11236" spans="2:12" x14ac:dyDescent="0.2">
      <c r="B11236"/>
      <c r="C11236"/>
      <c r="J11236"/>
      <c r="K11236"/>
      <c r="L11236"/>
    </row>
    <row r="11237" spans="2:12" x14ac:dyDescent="0.2">
      <c r="B11237"/>
      <c r="C11237"/>
      <c r="J11237"/>
      <c r="K11237"/>
      <c r="L11237"/>
    </row>
    <row r="11238" spans="2:12" x14ac:dyDescent="0.2">
      <c r="B11238"/>
      <c r="C11238"/>
      <c r="J11238"/>
      <c r="K11238"/>
      <c r="L11238"/>
    </row>
    <row r="11239" spans="2:12" x14ac:dyDescent="0.2">
      <c r="B11239"/>
      <c r="C11239"/>
      <c r="J11239"/>
      <c r="K11239"/>
      <c r="L11239"/>
    </row>
    <row r="11240" spans="2:12" x14ac:dyDescent="0.2">
      <c r="B11240"/>
      <c r="C11240"/>
      <c r="J11240"/>
      <c r="K11240"/>
      <c r="L11240"/>
    </row>
    <row r="11241" spans="2:12" x14ac:dyDescent="0.2">
      <c r="B11241"/>
      <c r="C11241"/>
      <c r="J11241"/>
      <c r="K11241"/>
      <c r="L11241"/>
    </row>
    <row r="11242" spans="2:12" x14ac:dyDescent="0.2">
      <c r="B11242"/>
      <c r="C11242"/>
      <c r="J11242"/>
      <c r="K11242"/>
      <c r="L11242"/>
    </row>
    <row r="11243" spans="2:12" x14ac:dyDescent="0.2">
      <c r="B11243"/>
      <c r="C11243"/>
      <c r="J11243"/>
      <c r="K11243"/>
      <c r="L11243"/>
    </row>
    <row r="11244" spans="2:12" x14ac:dyDescent="0.2">
      <c r="B11244"/>
      <c r="C11244"/>
      <c r="J11244"/>
      <c r="K11244"/>
      <c r="L11244"/>
    </row>
    <row r="11245" spans="2:12" x14ac:dyDescent="0.2">
      <c r="B11245"/>
      <c r="C11245"/>
      <c r="J11245"/>
      <c r="K11245"/>
      <c r="L11245"/>
    </row>
    <row r="11246" spans="2:12" x14ac:dyDescent="0.2">
      <c r="B11246"/>
      <c r="C11246"/>
      <c r="J11246"/>
      <c r="K11246"/>
      <c r="L11246"/>
    </row>
    <row r="11247" spans="2:12" x14ac:dyDescent="0.2">
      <c r="B11247"/>
      <c r="C11247"/>
      <c r="J11247"/>
      <c r="K11247"/>
      <c r="L11247"/>
    </row>
    <row r="11248" spans="2:12" x14ac:dyDescent="0.2">
      <c r="B11248"/>
      <c r="C11248"/>
      <c r="J11248"/>
      <c r="K11248"/>
      <c r="L11248"/>
    </row>
    <row r="11249" spans="2:12" x14ac:dyDescent="0.2">
      <c r="B11249"/>
      <c r="C11249"/>
      <c r="J11249"/>
      <c r="K11249"/>
      <c r="L11249"/>
    </row>
    <row r="11250" spans="2:12" x14ac:dyDescent="0.2">
      <c r="B11250"/>
      <c r="C11250"/>
      <c r="J11250"/>
      <c r="K11250"/>
      <c r="L11250"/>
    </row>
    <row r="11251" spans="2:12" x14ac:dyDescent="0.2">
      <c r="B11251"/>
      <c r="C11251"/>
      <c r="J11251"/>
      <c r="K11251"/>
      <c r="L11251"/>
    </row>
    <row r="11252" spans="2:12" x14ac:dyDescent="0.2">
      <c r="B11252"/>
      <c r="C11252"/>
      <c r="J11252"/>
      <c r="K11252"/>
      <c r="L11252"/>
    </row>
    <row r="11253" spans="2:12" x14ac:dyDescent="0.2">
      <c r="B11253"/>
      <c r="C11253"/>
      <c r="J11253"/>
      <c r="K11253"/>
      <c r="L11253"/>
    </row>
    <row r="11254" spans="2:12" x14ac:dyDescent="0.2">
      <c r="B11254"/>
      <c r="C11254"/>
      <c r="J11254"/>
      <c r="K11254"/>
      <c r="L11254"/>
    </row>
    <row r="11255" spans="2:12" x14ac:dyDescent="0.2">
      <c r="B11255"/>
      <c r="C11255"/>
      <c r="J11255"/>
      <c r="K11255"/>
      <c r="L11255"/>
    </row>
    <row r="11256" spans="2:12" x14ac:dyDescent="0.2">
      <c r="B11256"/>
      <c r="C11256"/>
      <c r="J11256"/>
      <c r="K11256"/>
      <c r="L11256"/>
    </row>
    <row r="11257" spans="2:12" x14ac:dyDescent="0.2">
      <c r="B11257"/>
      <c r="C11257"/>
      <c r="J11257"/>
      <c r="K11257"/>
      <c r="L11257"/>
    </row>
    <row r="11258" spans="2:12" x14ac:dyDescent="0.2">
      <c r="B11258"/>
      <c r="C11258"/>
      <c r="J11258"/>
      <c r="K11258"/>
      <c r="L11258"/>
    </row>
    <row r="11259" spans="2:12" x14ac:dyDescent="0.2">
      <c r="B11259"/>
      <c r="C11259"/>
      <c r="J11259"/>
      <c r="K11259"/>
      <c r="L11259"/>
    </row>
    <row r="11260" spans="2:12" x14ac:dyDescent="0.2">
      <c r="B11260"/>
      <c r="C11260"/>
      <c r="J11260"/>
      <c r="K11260"/>
      <c r="L11260"/>
    </row>
    <row r="11261" spans="2:12" x14ac:dyDescent="0.2">
      <c r="B11261"/>
      <c r="C11261"/>
      <c r="J11261"/>
      <c r="K11261"/>
      <c r="L11261"/>
    </row>
    <row r="11262" spans="2:12" x14ac:dyDescent="0.2">
      <c r="B11262"/>
      <c r="C11262"/>
      <c r="J11262"/>
      <c r="K11262"/>
      <c r="L11262"/>
    </row>
    <row r="11263" spans="2:12" x14ac:dyDescent="0.2">
      <c r="B11263"/>
      <c r="C11263"/>
      <c r="J11263"/>
      <c r="K11263"/>
      <c r="L11263"/>
    </row>
    <row r="11264" spans="2:12" x14ac:dyDescent="0.2">
      <c r="B11264"/>
      <c r="C11264"/>
      <c r="J11264"/>
      <c r="K11264"/>
      <c r="L11264"/>
    </row>
    <row r="11265" spans="2:12" x14ac:dyDescent="0.2">
      <c r="B11265"/>
      <c r="C11265"/>
      <c r="J11265"/>
      <c r="K11265"/>
      <c r="L11265"/>
    </row>
    <row r="11266" spans="2:12" x14ac:dyDescent="0.2">
      <c r="B11266"/>
      <c r="C11266"/>
      <c r="J11266"/>
      <c r="K11266"/>
      <c r="L11266"/>
    </row>
    <row r="11267" spans="2:12" x14ac:dyDescent="0.2">
      <c r="B11267"/>
      <c r="C11267"/>
      <c r="J11267"/>
      <c r="K11267"/>
      <c r="L11267"/>
    </row>
    <row r="11268" spans="2:12" x14ac:dyDescent="0.2">
      <c r="B11268"/>
      <c r="C11268"/>
      <c r="J11268"/>
      <c r="K11268"/>
      <c r="L11268"/>
    </row>
    <row r="11269" spans="2:12" x14ac:dyDescent="0.2">
      <c r="B11269"/>
      <c r="C11269"/>
      <c r="J11269"/>
      <c r="K11269"/>
      <c r="L11269"/>
    </row>
    <row r="11270" spans="2:12" x14ac:dyDescent="0.2">
      <c r="B11270"/>
      <c r="C11270"/>
      <c r="J11270"/>
      <c r="K11270"/>
      <c r="L11270"/>
    </row>
    <row r="11271" spans="2:12" x14ac:dyDescent="0.2">
      <c r="B11271"/>
      <c r="C11271"/>
      <c r="J11271"/>
      <c r="K11271"/>
      <c r="L11271"/>
    </row>
    <row r="11272" spans="2:12" x14ac:dyDescent="0.2">
      <c r="B11272"/>
      <c r="C11272"/>
      <c r="J11272"/>
      <c r="K11272"/>
      <c r="L11272"/>
    </row>
    <row r="11273" spans="2:12" x14ac:dyDescent="0.2">
      <c r="B11273"/>
      <c r="C11273"/>
      <c r="J11273"/>
      <c r="K11273"/>
      <c r="L11273"/>
    </row>
    <row r="11274" spans="2:12" x14ac:dyDescent="0.2">
      <c r="B11274"/>
      <c r="C11274"/>
      <c r="J11274"/>
      <c r="K11274"/>
      <c r="L11274"/>
    </row>
    <row r="11275" spans="2:12" x14ac:dyDescent="0.2">
      <c r="B11275"/>
      <c r="C11275"/>
      <c r="J11275"/>
      <c r="K11275"/>
      <c r="L11275"/>
    </row>
    <row r="11276" spans="2:12" x14ac:dyDescent="0.2">
      <c r="B11276"/>
      <c r="C11276"/>
      <c r="J11276"/>
      <c r="K11276"/>
      <c r="L11276"/>
    </row>
    <row r="11277" spans="2:12" x14ac:dyDescent="0.2">
      <c r="B11277"/>
      <c r="C11277"/>
      <c r="J11277"/>
      <c r="K11277"/>
      <c r="L11277"/>
    </row>
    <row r="11278" spans="2:12" x14ac:dyDescent="0.2">
      <c r="B11278"/>
      <c r="C11278"/>
      <c r="J11278"/>
      <c r="K11278"/>
      <c r="L11278"/>
    </row>
    <row r="11279" spans="2:12" x14ac:dyDescent="0.2">
      <c r="B11279"/>
      <c r="C11279"/>
      <c r="J11279"/>
      <c r="K11279"/>
      <c r="L11279"/>
    </row>
    <row r="11280" spans="2:12" x14ac:dyDescent="0.2">
      <c r="B11280"/>
      <c r="C11280"/>
      <c r="J11280"/>
      <c r="K11280"/>
      <c r="L11280"/>
    </row>
    <row r="11281" spans="2:12" x14ac:dyDescent="0.2">
      <c r="B11281"/>
      <c r="C11281"/>
      <c r="J11281"/>
      <c r="K11281"/>
      <c r="L11281"/>
    </row>
    <row r="11282" spans="2:12" x14ac:dyDescent="0.2">
      <c r="B11282"/>
      <c r="C11282"/>
      <c r="J11282"/>
      <c r="K11282"/>
      <c r="L11282"/>
    </row>
    <row r="11283" spans="2:12" x14ac:dyDescent="0.2">
      <c r="B11283"/>
      <c r="C11283"/>
      <c r="J11283"/>
      <c r="K11283"/>
      <c r="L11283"/>
    </row>
    <row r="11284" spans="2:12" x14ac:dyDescent="0.2">
      <c r="B11284"/>
      <c r="C11284"/>
      <c r="J11284"/>
      <c r="K11284"/>
      <c r="L11284"/>
    </row>
    <row r="11285" spans="2:12" x14ac:dyDescent="0.2">
      <c r="B11285"/>
      <c r="C11285"/>
      <c r="J11285"/>
      <c r="K11285"/>
      <c r="L11285"/>
    </row>
    <row r="11286" spans="2:12" x14ac:dyDescent="0.2">
      <c r="B11286"/>
      <c r="C11286"/>
      <c r="J11286"/>
      <c r="K11286"/>
      <c r="L11286"/>
    </row>
    <row r="11287" spans="2:12" x14ac:dyDescent="0.2">
      <c r="B11287"/>
      <c r="C11287"/>
      <c r="J11287"/>
      <c r="K11287"/>
      <c r="L11287"/>
    </row>
    <row r="11288" spans="2:12" x14ac:dyDescent="0.2">
      <c r="B11288"/>
      <c r="C11288"/>
      <c r="J11288"/>
      <c r="K11288"/>
      <c r="L11288"/>
    </row>
    <row r="11289" spans="2:12" x14ac:dyDescent="0.2">
      <c r="B11289"/>
      <c r="C11289"/>
      <c r="J11289"/>
      <c r="K11289"/>
      <c r="L11289"/>
    </row>
    <row r="11290" spans="2:12" x14ac:dyDescent="0.2">
      <c r="B11290"/>
      <c r="C11290"/>
      <c r="J11290"/>
      <c r="K11290"/>
      <c r="L11290"/>
    </row>
    <row r="11291" spans="2:12" x14ac:dyDescent="0.2">
      <c r="B11291"/>
      <c r="C11291"/>
      <c r="J11291"/>
      <c r="K11291"/>
      <c r="L11291"/>
    </row>
    <row r="11292" spans="2:12" x14ac:dyDescent="0.2">
      <c r="B11292"/>
      <c r="C11292"/>
      <c r="J11292"/>
      <c r="K11292"/>
      <c r="L11292"/>
    </row>
    <row r="11293" spans="2:12" x14ac:dyDescent="0.2">
      <c r="B11293"/>
      <c r="C11293"/>
      <c r="J11293"/>
      <c r="K11293"/>
      <c r="L11293"/>
    </row>
    <row r="11294" spans="2:12" x14ac:dyDescent="0.2">
      <c r="B11294"/>
      <c r="C11294"/>
      <c r="J11294"/>
      <c r="K11294"/>
      <c r="L11294"/>
    </row>
    <row r="11295" spans="2:12" x14ac:dyDescent="0.2">
      <c r="B11295"/>
      <c r="C11295"/>
      <c r="J11295"/>
      <c r="K11295"/>
      <c r="L11295"/>
    </row>
    <row r="11296" spans="2:12" x14ac:dyDescent="0.2">
      <c r="B11296"/>
      <c r="C11296"/>
      <c r="J11296"/>
      <c r="K11296"/>
      <c r="L11296"/>
    </row>
    <row r="11297" spans="2:12" x14ac:dyDescent="0.2">
      <c r="B11297"/>
      <c r="C11297"/>
      <c r="J11297"/>
      <c r="K11297"/>
      <c r="L11297"/>
    </row>
    <row r="11298" spans="2:12" x14ac:dyDescent="0.2">
      <c r="B11298"/>
      <c r="C11298"/>
      <c r="J11298"/>
      <c r="K11298"/>
      <c r="L11298"/>
    </row>
    <row r="11299" spans="2:12" x14ac:dyDescent="0.2">
      <c r="B11299"/>
      <c r="C11299"/>
      <c r="J11299"/>
      <c r="K11299"/>
      <c r="L11299"/>
    </row>
    <row r="11300" spans="2:12" x14ac:dyDescent="0.2">
      <c r="B11300"/>
      <c r="C11300"/>
      <c r="J11300"/>
      <c r="K11300"/>
      <c r="L11300"/>
    </row>
    <row r="11301" spans="2:12" x14ac:dyDescent="0.2">
      <c r="B11301"/>
      <c r="C11301"/>
      <c r="J11301"/>
      <c r="K11301"/>
      <c r="L11301"/>
    </row>
    <row r="11302" spans="2:12" x14ac:dyDescent="0.2">
      <c r="B11302"/>
      <c r="C11302"/>
      <c r="J11302"/>
      <c r="K11302"/>
      <c r="L11302"/>
    </row>
    <row r="11303" spans="2:12" x14ac:dyDescent="0.2">
      <c r="B11303"/>
      <c r="C11303"/>
      <c r="J11303"/>
      <c r="K11303"/>
      <c r="L11303"/>
    </row>
    <row r="11304" spans="2:12" x14ac:dyDescent="0.2">
      <c r="B11304"/>
      <c r="C11304"/>
      <c r="J11304"/>
      <c r="K11304"/>
      <c r="L11304"/>
    </row>
    <row r="11305" spans="2:12" x14ac:dyDescent="0.2">
      <c r="B11305"/>
      <c r="C11305"/>
      <c r="J11305"/>
      <c r="K11305"/>
      <c r="L11305"/>
    </row>
    <row r="11306" spans="2:12" x14ac:dyDescent="0.2">
      <c r="B11306"/>
      <c r="C11306"/>
      <c r="J11306"/>
      <c r="K11306"/>
      <c r="L11306"/>
    </row>
    <row r="11307" spans="2:12" x14ac:dyDescent="0.2">
      <c r="B11307"/>
      <c r="C11307"/>
      <c r="J11307"/>
      <c r="K11307"/>
      <c r="L11307"/>
    </row>
    <row r="11308" spans="2:12" x14ac:dyDescent="0.2">
      <c r="B11308"/>
      <c r="C11308"/>
      <c r="J11308"/>
      <c r="K11308"/>
      <c r="L11308"/>
    </row>
    <row r="11309" spans="2:12" x14ac:dyDescent="0.2">
      <c r="B11309"/>
      <c r="C11309"/>
      <c r="J11309"/>
      <c r="K11309"/>
      <c r="L11309"/>
    </row>
    <row r="11310" spans="2:12" x14ac:dyDescent="0.2">
      <c r="B11310"/>
      <c r="C11310"/>
      <c r="J11310"/>
      <c r="K11310"/>
      <c r="L11310"/>
    </row>
    <row r="11311" spans="2:12" x14ac:dyDescent="0.2">
      <c r="B11311"/>
      <c r="C11311"/>
      <c r="J11311"/>
      <c r="K11311"/>
      <c r="L11311"/>
    </row>
    <row r="11312" spans="2:12" x14ac:dyDescent="0.2">
      <c r="B11312"/>
      <c r="C11312"/>
      <c r="J11312"/>
      <c r="K11312"/>
      <c r="L11312"/>
    </row>
    <row r="11313" spans="2:12" x14ac:dyDescent="0.2">
      <c r="B11313"/>
      <c r="C11313"/>
      <c r="J11313"/>
      <c r="K11313"/>
      <c r="L11313"/>
    </row>
    <row r="11314" spans="2:12" x14ac:dyDescent="0.2">
      <c r="B11314"/>
      <c r="C11314"/>
      <c r="J11314"/>
      <c r="K11314"/>
      <c r="L11314"/>
    </row>
    <row r="11315" spans="2:12" x14ac:dyDescent="0.2">
      <c r="B11315"/>
      <c r="C11315"/>
      <c r="J11315"/>
      <c r="K11315"/>
      <c r="L11315"/>
    </row>
    <row r="11316" spans="2:12" x14ac:dyDescent="0.2">
      <c r="B11316"/>
      <c r="C11316"/>
      <c r="J11316"/>
      <c r="K11316"/>
      <c r="L11316"/>
    </row>
    <row r="11317" spans="2:12" x14ac:dyDescent="0.2">
      <c r="B11317"/>
      <c r="C11317"/>
      <c r="J11317"/>
      <c r="K11317"/>
      <c r="L11317"/>
    </row>
    <row r="11318" spans="2:12" x14ac:dyDescent="0.2">
      <c r="B11318"/>
      <c r="C11318"/>
      <c r="J11318"/>
      <c r="K11318"/>
      <c r="L11318"/>
    </row>
    <row r="11319" spans="2:12" x14ac:dyDescent="0.2">
      <c r="B11319"/>
      <c r="C11319"/>
      <c r="J11319"/>
      <c r="K11319"/>
      <c r="L11319"/>
    </row>
    <row r="11320" spans="2:12" x14ac:dyDescent="0.2">
      <c r="B11320"/>
      <c r="C11320"/>
      <c r="J11320"/>
      <c r="K11320"/>
      <c r="L11320"/>
    </row>
    <row r="11321" spans="2:12" x14ac:dyDescent="0.2">
      <c r="B11321"/>
      <c r="C11321"/>
      <c r="J11321"/>
      <c r="K11321"/>
      <c r="L11321"/>
    </row>
    <row r="11322" spans="2:12" x14ac:dyDescent="0.2">
      <c r="B11322"/>
      <c r="C11322"/>
      <c r="J11322"/>
      <c r="K11322"/>
      <c r="L11322"/>
    </row>
    <row r="11323" spans="2:12" x14ac:dyDescent="0.2">
      <c r="B11323"/>
      <c r="C11323"/>
      <c r="J11323"/>
      <c r="K11323"/>
      <c r="L11323"/>
    </row>
    <row r="11324" spans="2:12" x14ac:dyDescent="0.2">
      <c r="B11324"/>
      <c r="C11324"/>
      <c r="J11324"/>
      <c r="K11324"/>
      <c r="L11324"/>
    </row>
    <row r="11325" spans="2:12" x14ac:dyDescent="0.2">
      <c r="B11325"/>
      <c r="C11325"/>
      <c r="J11325"/>
      <c r="K11325"/>
      <c r="L11325"/>
    </row>
    <row r="11326" spans="2:12" x14ac:dyDescent="0.2">
      <c r="B11326"/>
      <c r="C11326"/>
      <c r="J11326"/>
      <c r="K11326"/>
      <c r="L11326"/>
    </row>
    <row r="11327" spans="2:12" x14ac:dyDescent="0.2">
      <c r="B11327"/>
      <c r="C11327"/>
      <c r="J11327"/>
      <c r="K11327"/>
      <c r="L11327"/>
    </row>
    <row r="11328" spans="2:12" x14ac:dyDescent="0.2">
      <c r="B11328"/>
      <c r="C11328"/>
      <c r="J11328"/>
      <c r="K11328"/>
      <c r="L11328"/>
    </row>
    <row r="11329" spans="2:12" x14ac:dyDescent="0.2">
      <c r="B11329"/>
      <c r="C11329"/>
      <c r="J11329"/>
      <c r="K11329"/>
      <c r="L11329"/>
    </row>
    <row r="11330" spans="2:12" x14ac:dyDescent="0.2">
      <c r="B11330"/>
      <c r="C11330"/>
      <c r="J11330"/>
      <c r="K11330"/>
      <c r="L11330"/>
    </row>
    <row r="11331" spans="2:12" x14ac:dyDescent="0.2">
      <c r="B11331"/>
      <c r="C11331"/>
      <c r="J11331"/>
      <c r="K11331"/>
      <c r="L11331"/>
    </row>
    <row r="11332" spans="2:12" x14ac:dyDescent="0.2">
      <c r="B11332"/>
      <c r="C11332"/>
      <c r="J11332"/>
      <c r="K11332"/>
      <c r="L11332"/>
    </row>
    <row r="11333" spans="2:12" x14ac:dyDescent="0.2">
      <c r="B11333"/>
      <c r="C11333"/>
      <c r="J11333"/>
      <c r="K11333"/>
      <c r="L11333"/>
    </row>
    <row r="11334" spans="2:12" x14ac:dyDescent="0.2">
      <c r="B11334"/>
      <c r="C11334"/>
      <c r="J11334"/>
      <c r="K11334"/>
      <c r="L11334"/>
    </row>
    <row r="11335" spans="2:12" x14ac:dyDescent="0.2">
      <c r="B11335"/>
      <c r="C11335"/>
      <c r="J11335"/>
      <c r="K11335"/>
      <c r="L11335"/>
    </row>
    <row r="11336" spans="2:12" x14ac:dyDescent="0.2">
      <c r="B11336"/>
      <c r="C11336"/>
      <c r="J11336"/>
      <c r="K11336"/>
      <c r="L11336"/>
    </row>
    <row r="11337" spans="2:12" x14ac:dyDescent="0.2">
      <c r="B11337"/>
      <c r="C11337"/>
      <c r="J11337"/>
      <c r="K11337"/>
      <c r="L11337"/>
    </row>
    <row r="11338" spans="2:12" x14ac:dyDescent="0.2">
      <c r="B11338"/>
      <c r="C11338"/>
      <c r="J11338"/>
      <c r="K11338"/>
      <c r="L11338"/>
    </row>
    <row r="11339" spans="2:12" x14ac:dyDescent="0.2">
      <c r="B11339"/>
      <c r="C11339"/>
      <c r="J11339"/>
      <c r="K11339"/>
      <c r="L11339"/>
    </row>
    <row r="11340" spans="2:12" x14ac:dyDescent="0.2">
      <c r="B11340"/>
      <c r="C11340"/>
      <c r="J11340"/>
      <c r="K11340"/>
      <c r="L11340"/>
    </row>
    <row r="11341" spans="2:12" x14ac:dyDescent="0.2">
      <c r="B11341"/>
      <c r="C11341"/>
      <c r="J11341"/>
      <c r="K11341"/>
      <c r="L11341"/>
    </row>
    <row r="11342" spans="2:12" x14ac:dyDescent="0.2">
      <c r="B11342"/>
      <c r="C11342"/>
      <c r="J11342"/>
      <c r="K11342"/>
      <c r="L11342"/>
    </row>
    <row r="11343" spans="2:12" x14ac:dyDescent="0.2">
      <c r="B11343"/>
      <c r="C11343"/>
      <c r="J11343"/>
      <c r="K11343"/>
      <c r="L11343"/>
    </row>
    <row r="11344" spans="2:12" x14ac:dyDescent="0.2">
      <c r="B11344"/>
      <c r="C11344"/>
      <c r="J11344"/>
      <c r="K11344"/>
      <c r="L11344"/>
    </row>
    <row r="11345" spans="2:12" x14ac:dyDescent="0.2">
      <c r="B11345"/>
      <c r="C11345"/>
      <c r="J11345"/>
      <c r="K11345"/>
      <c r="L11345"/>
    </row>
    <row r="11346" spans="2:12" x14ac:dyDescent="0.2">
      <c r="B11346"/>
      <c r="C11346"/>
      <c r="J11346"/>
      <c r="K11346"/>
      <c r="L11346"/>
    </row>
    <row r="11347" spans="2:12" x14ac:dyDescent="0.2">
      <c r="B11347"/>
      <c r="C11347"/>
      <c r="J11347"/>
      <c r="K11347"/>
      <c r="L11347"/>
    </row>
    <row r="11348" spans="2:12" x14ac:dyDescent="0.2">
      <c r="B11348"/>
      <c r="C11348"/>
      <c r="J11348"/>
      <c r="K11348"/>
      <c r="L11348"/>
    </row>
    <row r="11349" spans="2:12" x14ac:dyDescent="0.2">
      <c r="B11349"/>
      <c r="C11349"/>
      <c r="J11349"/>
      <c r="K11349"/>
      <c r="L11349"/>
    </row>
    <row r="11350" spans="2:12" x14ac:dyDescent="0.2">
      <c r="B11350"/>
      <c r="C11350"/>
      <c r="J11350"/>
      <c r="K11350"/>
      <c r="L11350"/>
    </row>
    <row r="11351" spans="2:12" x14ac:dyDescent="0.2">
      <c r="B11351"/>
      <c r="C11351"/>
      <c r="J11351"/>
      <c r="K11351"/>
      <c r="L11351"/>
    </row>
    <row r="11352" spans="2:12" x14ac:dyDescent="0.2">
      <c r="B11352"/>
      <c r="C11352"/>
      <c r="J11352"/>
      <c r="K11352"/>
      <c r="L11352"/>
    </row>
    <row r="11353" spans="2:12" x14ac:dyDescent="0.2">
      <c r="B11353"/>
      <c r="C11353"/>
      <c r="J11353"/>
      <c r="K11353"/>
      <c r="L11353"/>
    </row>
    <row r="11354" spans="2:12" x14ac:dyDescent="0.2">
      <c r="B11354"/>
      <c r="C11354"/>
      <c r="J11354"/>
      <c r="K11354"/>
      <c r="L11354"/>
    </row>
    <row r="11355" spans="2:12" x14ac:dyDescent="0.2">
      <c r="B11355"/>
      <c r="C11355"/>
      <c r="J11355"/>
      <c r="K11355"/>
      <c r="L11355"/>
    </row>
    <row r="11356" spans="2:12" x14ac:dyDescent="0.2">
      <c r="B11356"/>
      <c r="C11356"/>
      <c r="J11356"/>
      <c r="K11356"/>
      <c r="L11356"/>
    </row>
    <row r="11357" spans="2:12" x14ac:dyDescent="0.2">
      <c r="B11357"/>
      <c r="C11357"/>
      <c r="J11357"/>
      <c r="K11357"/>
      <c r="L11357"/>
    </row>
    <row r="11358" spans="2:12" x14ac:dyDescent="0.2">
      <c r="B11358"/>
      <c r="C11358"/>
      <c r="J11358"/>
      <c r="K11358"/>
      <c r="L11358"/>
    </row>
    <row r="11359" spans="2:12" x14ac:dyDescent="0.2">
      <c r="B11359"/>
      <c r="C11359"/>
      <c r="J11359"/>
      <c r="K11359"/>
      <c r="L11359"/>
    </row>
    <row r="11360" spans="2:12" x14ac:dyDescent="0.2">
      <c r="B11360"/>
      <c r="C11360"/>
      <c r="J11360"/>
      <c r="K11360"/>
      <c r="L11360"/>
    </row>
    <row r="11361" spans="2:12" x14ac:dyDescent="0.2">
      <c r="B11361"/>
      <c r="C11361"/>
      <c r="J11361"/>
      <c r="K11361"/>
      <c r="L11361"/>
    </row>
    <row r="11362" spans="2:12" x14ac:dyDescent="0.2">
      <c r="B11362"/>
      <c r="C11362"/>
      <c r="J11362"/>
      <c r="K11362"/>
      <c r="L11362"/>
    </row>
    <row r="11363" spans="2:12" x14ac:dyDescent="0.2">
      <c r="B11363"/>
      <c r="C11363"/>
      <c r="J11363"/>
      <c r="K11363"/>
      <c r="L11363"/>
    </row>
    <row r="11364" spans="2:12" x14ac:dyDescent="0.2">
      <c r="B11364"/>
      <c r="C11364"/>
      <c r="J11364"/>
      <c r="K11364"/>
      <c r="L11364"/>
    </row>
    <row r="11365" spans="2:12" x14ac:dyDescent="0.2">
      <c r="B11365"/>
      <c r="C11365"/>
      <c r="J11365"/>
      <c r="K11365"/>
      <c r="L11365"/>
    </row>
    <row r="11366" spans="2:12" x14ac:dyDescent="0.2">
      <c r="B11366"/>
      <c r="C11366"/>
      <c r="J11366"/>
      <c r="K11366"/>
      <c r="L11366"/>
    </row>
    <row r="11367" spans="2:12" x14ac:dyDescent="0.2">
      <c r="B11367"/>
      <c r="C11367"/>
      <c r="J11367"/>
      <c r="K11367"/>
      <c r="L11367"/>
    </row>
    <row r="11368" spans="2:12" x14ac:dyDescent="0.2">
      <c r="B11368"/>
      <c r="C11368"/>
      <c r="J11368"/>
      <c r="K11368"/>
      <c r="L11368"/>
    </row>
    <row r="11369" spans="2:12" x14ac:dyDescent="0.2">
      <c r="B11369"/>
      <c r="C11369"/>
      <c r="J11369"/>
      <c r="K11369"/>
      <c r="L11369"/>
    </row>
    <row r="11370" spans="2:12" x14ac:dyDescent="0.2">
      <c r="B11370"/>
      <c r="C11370"/>
      <c r="J11370"/>
      <c r="K11370"/>
      <c r="L11370"/>
    </row>
    <row r="11371" spans="2:12" x14ac:dyDescent="0.2">
      <c r="B11371"/>
      <c r="C11371"/>
      <c r="J11371"/>
      <c r="K11371"/>
      <c r="L11371"/>
    </row>
    <row r="11372" spans="2:12" x14ac:dyDescent="0.2">
      <c r="B11372"/>
      <c r="C11372"/>
      <c r="J11372"/>
      <c r="K11372"/>
      <c r="L11372"/>
    </row>
    <row r="11373" spans="2:12" x14ac:dyDescent="0.2">
      <c r="B11373"/>
      <c r="C11373"/>
      <c r="J11373"/>
      <c r="K11373"/>
      <c r="L11373"/>
    </row>
    <row r="11374" spans="2:12" x14ac:dyDescent="0.2">
      <c r="B11374"/>
      <c r="C11374"/>
      <c r="J11374"/>
      <c r="K11374"/>
      <c r="L11374"/>
    </row>
    <row r="11375" spans="2:12" x14ac:dyDescent="0.2">
      <c r="B11375"/>
      <c r="C11375"/>
      <c r="J11375"/>
      <c r="K11375"/>
      <c r="L11375"/>
    </row>
    <row r="11376" spans="2:12" x14ac:dyDescent="0.2">
      <c r="B11376"/>
      <c r="C11376"/>
      <c r="J11376"/>
      <c r="K11376"/>
      <c r="L11376"/>
    </row>
    <row r="11377" spans="2:12" x14ac:dyDescent="0.2">
      <c r="B11377"/>
      <c r="C11377"/>
      <c r="J11377"/>
      <c r="K11377"/>
      <c r="L11377"/>
    </row>
    <row r="11378" spans="2:12" x14ac:dyDescent="0.2">
      <c r="B11378"/>
      <c r="C11378"/>
      <c r="J11378"/>
      <c r="K11378"/>
      <c r="L11378"/>
    </row>
    <row r="11379" spans="2:12" x14ac:dyDescent="0.2">
      <c r="B11379"/>
      <c r="C11379"/>
      <c r="J11379"/>
      <c r="K11379"/>
      <c r="L11379"/>
    </row>
    <row r="11380" spans="2:12" x14ac:dyDescent="0.2">
      <c r="B11380"/>
      <c r="C11380"/>
      <c r="J11380"/>
      <c r="K11380"/>
      <c r="L11380"/>
    </row>
    <row r="11381" spans="2:12" x14ac:dyDescent="0.2">
      <c r="B11381"/>
      <c r="C11381"/>
      <c r="J11381"/>
      <c r="K11381"/>
      <c r="L11381"/>
    </row>
    <row r="11382" spans="2:12" x14ac:dyDescent="0.2">
      <c r="B11382"/>
      <c r="C11382"/>
      <c r="J11382"/>
      <c r="K11382"/>
      <c r="L11382"/>
    </row>
    <row r="11383" spans="2:12" x14ac:dyDescent="0.2">
      <c r="B11383"/>
      <c r="C11383"/>
      <c r="J11383"/>
      <c r="K11383"/>
      <c r="L11383"/>
    </row>
    <row r="11384" spans="2:12" x14ac:dyDescent="0.2">
      <c r="B11384"/>
      <c r="C11384"/>
      <c r="J11384"/>
      <c r="K11384"/>
      <c r="L11384"/>
    </row>
    <row r="11385" spans="2:12" x14ac:dyDescent="0.2">
      <c r="B11385"/>
      <c r="C11385"/>
      <c r="J11385"/>
      <c r="K11385"/>
      <c r="L11385"/>
    </row>
    <row r="11386" spans="2:12" x14ac:dyDescent="0.2">
      <c r="B11386"/>
      <c r="C11386"/>
      <c r="J11386"/>
      <c r="K11386"/>
      <c r="L11386"/>
    </row>
    <row r="11387" spans="2:12" x14ac:dyDescent="0.2">
      <c r="B11387"/>
      <c r="C11387"/>
      <c r="J11387"/>
      <c r="K11387"/>
      <c r="L11387"/>
    </row>
    <row r="11388" spans="2:12" x14ac:dyDescent="0.2">
      <c r="B11388"/>
      <c r="C11388"/>
      <c r="J11388"/>
      <c r="K11388"/>
      <c r="L11388"/>
    </row>
    <row r="11389" spans="2:12" x14ac:dyDescent="0.2">
      <c r="B11389"/>
      <c r="C11389"/>
      <c r="J11389"/>
      <c r="K11389"/>
      <c r="L11389"/>
    </row>
    <row r="11390" spans="2:12" x14ac:dyDescent="0.2">
      <c r="B11390"/>
      <c r="C11390"/>
      <c r="J11390"/>
      <c r="K11390"/>
      <c r="L11390"/>
    </row>
    <row r="11391" spans="2:12" x14ac:dyDescent="0.2">
      <c r="B11391"/>
      <c r="C11391"/>
      <c r="J11391"/>
      <c r="K11391"/>
      <c r="L11391"/>
    </row>
    <row r="11392" spans="2:12" x14ac:dyDescent="0.2">
      <c r="B11392"/>
      <c r="C11392"/>
      <c r="J11392"/>
      <c r="K11392"/>
      <c r="L11392"/>
    </row>
    <row r="11393" spans="2:12" x14ac:dyDescent="0.2">
      <c r="B11393"/>
      <c r="C11393"/>
      <c r="J11393"/>
      <c r="K11393"/>
      <c r="L11393"/>
    </row>
    <row r="11394" spans="2:12" x14ac:dyDescent="0.2">
      <c r="B11394"/>
      <c r="C11394"/>
      <c r="J11394"/>
      <c r="K11394"/>
      <c r="L11394"/>
    </row>
    <row r="11395" spans="2:12" x14ac:dyDescent="0.2">
      <c r="B11395"/>
      <c r="C11395"/>
      <c r="J11395"/>
      <c r="K11395"/>
      <c r="L11395"/>
    </row>
    <row r="11396" spans="2:12" x14ac:dyDescent="0.2">
      <c r="B11396"/>
      <c r="C11396"/>
      <c r="J11396"/>
      <c r="K11396"/>
      <c r="L11396"/>
    </row>
    <row r="11397" spans="2:12" x14ac:dyDescent="0.2">
      <c r="B11397"/>
      <c r="C11397"/>
      <c r="J11397"/>
      <c r="K11397"/>
      <c r="L11397"/>
    </row>
    <row r="11398" spans="2:12" x14ac:dyDescent="0.2">
      <c r="B11398"/>
      <c r="C11398"/>
      <c r="J11398"/>
      <c r="K11398"/>
      <c r="L11398"/>
    </row>
    <row r="11399" spans="2:12" x14ac:dyDescent="0.2">
      <c r="B11399"/>
      <c r="C11399"/>
      <c r="J11399"/>
      <c r="K11399"/>
      <c r="L11399"/>
    </row>
    <row r="11400" spans="2:12" x14ac:dyDescent="0.2">
      <c r="B11400"/>
      <c r="C11400"/>
      <c r="J11400"/>
      <c r="K11400"/>
      <c r="L11400"/>
    </row>
    <row r="11401" spans="2:12" x14ac:dyDescent="0.2">
      <c r="B11401"/>
      <c r="C11401"/>
      <c r="J11401"/>
      <c r="K11401"/>
      <c r="L11401"/>
    </row>
    <row r="11402" spans="2:12" x14ac:dyDescent="0.2">
      <c r="B11402"/>
      <c r="C11402"/>
      <c r="J11402"/>
      <c r="K11402"/>
      <c r="L11402"/>
    </row>
    <row r="11403" spans="2:12" x14ac:dyDescent="0.2">
      <c r="B11403"/>
      <c r="C11403"/>
      <c r="J11403"/>
      <c r="K11403"/>
      <c r="L11403"/>
    </row>
    <row r="11404" spans="2:12" x14ac:dyDescent="0.2">
      <c r="B11404"/>
      <c r="C11404"/>
      <c r="J11404"/>
      <c r="K11404"/>
      <c r="L11404"/>
    </row>
    <row r="11405" spans="2:12" x14ac:dyDescent="0.2">
      <c r="B11405"/>
      <c r="C11405"/>
      <c r="J11405"/>
      <c r="K11405"/>
      <c r="L11405"/>
    </row>
    <row r="11406" spans="2:12" x14ac:dyDescent="0.2">
      <c r="B11406"/>
      <c r="C11406"/>
      <c r="J11406"/>
      <c r="K11406"/>
      <c r="L11406"/>
    </row>
    <row r="11407" spans="2:12" x14ac:dyDescent="0.2">
      <c r="B11407"/>
      <c r="C11407"/>
      <c r="J11407"/>
      <c r="K11407"/>
      <c r="L11407"/>
    </row>
    <row r="11408" spans="2:12" x14ac:dyDescent="0.2">
      <c r="B11408"/>
      <c r="C11408"/>
      <c r="J11408"/>
      <c r="K11408"/>
      <c r="L11408"/>
    </row>
    <row r="11409" spans="2:12" x14ac:dyDescent="0.2">
      <c r="B11409"/>
      <c r="C11409"/>
      <c r="J11409"/>
      <c r="K11409"/>
      <c r="L11409"/>
    </row>
    <row r="11410" spans="2:12" x14ac:dyDescent="0.2">
      <c r="B11410"/>
      <c r="C11410"/>
      <c r="J11410"/>
      <c r="K11410"/>
      <c r="L11410"/>
    </row>
    <row r="11411" spans="2:12" x14ac:dyDescent="0.2">
      <c r="B11411"/>
      <c r="C11411"/>
      <c r="J11411"/>
      <c r="K11411"/>
      <c r="L11411"/>
    </row>
    <row r="11412" spans="2:12" x14ac:dyDescent="0.2">
      <c r="B11412"/>
      <c r="C11412"/>
      <c r="J11412"/>
      <c r="K11412"/>
      <c r="L11412"/>
    </row>
    <row r="11413" spans="2:12" x14ac:dyDescent="0.2">
      <c r="B11413"/>
      <c r="C11413"/>
      <c r="J11413"/>
      <c r="K11413"/>
      <c r="L11413"/>
    </row>
    <row r="11414" spans="2:12" x14ac:dyDescent="0.2">
      <c r="B11414"/>
      <c r="C11414"/>
      <c r="J11414"/>
      <c r="K11414"/>
      <c r="L11414"/>
    </row>
    <row r="11415" spans="2:12" x14ac:dyDescent="0.2">
      <c r="B11415"/>
      <c r="C11415"/>
      <c r="J11415"/>
      <c r="K11415"/>
      <c r="L11415"/>
    </row>
    <row r="11416" spans="2:12" x14ac:dyDescent="0.2">
      <c r="B11416"/>
      <c r="C11416"/>
      <c r="J11416"/>
      <c r="K11416"/>
      <c r="L11416"/>
    </row>
    <row r="11417" spans="2:12" x14ac:dyDescent="0.2">
      <c r="B11417"/>
      <c r="C11417"/>
      <c r="J11417"/>
      <c r="K11417"/>
      <c r="L11417"/>
    </row>
    <row r="11418" spans="2:12" x14ac:dyDescent="0.2">
      <c r="B11418"/>
      <c r="C11418"/>
      <c r="J11418"/>
      <c r="K11418"/>
      <c r="L11418"/>
    </row>
    <row r="11419" spans="2:12" x14ac:dyDescent="0.2">
      <c r="B11419"/>
      <c r="C11419"/>
      <c r="J11419"/>
      <c r="K11419"/>
      <c r="L11419"/>
    </row>
    <row r="11420" spans="2:12" x14ac:dyDescent="0.2">
      <c r="B11420"/>
      <c r="C11420"/>
      <c r="J11420"/>
      <c r="K11420"/>
      <c r="L11420"/>
    </row>
    <row r="11421" spans="2:12" x14ac:dyDescent="0.2">
      <c r="B11421"/>
      <c r="C11421"/>
      <c r="J11421"/>
      <c r="K11421"/>
      <c r="L11421"/>
    </row>
    <row r="11422" spans="2:12" x14ac:dyDescent="0.2">
      <c r="B11422"/>
      <c r="C11422"/>
      <c r="J11422"/>
      <c r="K11422"/>
      <c r="L11422"/>
    </row>
    <row r="11423" spans="2:12" x14ac:dyDescent="0.2">
      <c r="B11423"/>
      <c r="C11423"/>
      <c r="J11423"/>
      <c r="K11423"/>
      <c r="L11423"/>
    </row>
    <row r="11424" spans="2:12" x14ac:dyDescent="0.2">
      <c r="B11424"/>
      <c r="C11424"/>
      <c r="J11424"/>
      <c r="K11424"/>
      <c r="L11424"/>
    </row>
    <row r="11425" spans="2:12" x14ac:dyDescent="0.2">
      <c r="B11425"/>
      <c r="C11425"/>
      <c r="J11425"/>
      <c r="K11425"/>
      <c r="L11425"/>
    </row>
    <row r="11426" spans="2:12" x14ac:dyDescent="0.2">
      <c r="B11426"/>
      <c r="C11426"/>
      <c r="J11426"/>
      <c r="K11426"/>
      <c r="L11426"/>
    </row>
    <row r="11427" spans="2:12" x14ac:dyDescent="0.2">
      <c r="B11427"/>
      <c r="C11427"/>
      <c r="J11427"/>
      <c r="K11427"/>
      <c r="L11427"/>
    </row>
    <row r="11428" spans="2:12" x14ac:dyDescent="0.2">
      <c r="B11428"/>
      <c r="C11428"/>
      <c r="J11428"/>
      <c r="K11428"/>
      <c r="L11428"/>
    </row>
    <row r="11429" spans="2:12" x14ac:dyDescent="0.2">
      <c r="B11429"/>
      <c r="C11429"/>
      <c r="J11429"/>
      <c r="K11429"/>
      <c r="L11429"/>
    </row>
    <row r="11430" spans="2:12" x14ac:dyDescent="0.2">
      <c r="B11430"/>
      <c r="C11430"/>
      <c r="J11430"/>
      <c r="K11430"/>
      <c r="L11430"/>
    </row>
    <row r="11431" spans="2:12" x14ac:dyDescent="0.2">
      <c r="B11431"/>
      <c r="C11431"/>
      <c r="J11431"/>
      <c r="K11431"/>
      <c r="L11431"/>
    </row>
    <row r="11432" spans="2:12" x14ac:dyDescent="0.2">
      <c r="B11432"/>
      <c r="C11432"/>
      <c r="J11432"/>
      <c r="K11432"/>
      <c r="L11432"/>
    </row>
    <row r="11433" spans="2:12" x14ac:dyDescent="0.2">
      <c r="B11433"/>
      <c r="C11433"/>
      <c r="J11433"/>
      <c r="K11433"/>
      <c r="L11433"/>
    </row>
    <row r="11434" spans="2:12" x14ac:dyDescent="0.2">
      <c r="B11434"/>
      <c r="C11434"/>
      <c r="J11434"/>
      <c r="K11434"/>
      <c r="L11434"/>
    </row>
    <row r="11435" spans="2:12" x14ac:dyDescent="0.2">
      <c r="B11435"/>
      <c r="C11435"/>
      <c r="J11435"/>
      <c r="K11435"/>
      <c r="L11435"/>
    </row>
    <row r="11436" spans="2:12" x14ac:dyDescent="0.2">
      <c r="B11436"/>
      <c r="C11436"/>
      <c r="J11436"/>
      <c r="K11436"/>
      <c r="L11436"/>
    </row>
    <row r="11437" spans="2:12" x14ac:dyDescent="0.2">
      <c r="B11437"/>
      <c r="C11437"/>
      <c r="J11437"/>
      <c r="K11437"/>
      <c r="L11437"/>
    </row>
    <row r="11438" spans="2:12" x14ac:dyDescent="0.2">
      <c r="B11438"/>
      <c r="C11438"/>
      <c r="J11438"/>
      <c r="K11438"/>
      <c r="L11438"/>
    </row>
    <row r="11439" spans="2:12" x14ac:dyDescent="0.2">
      <c r="B11439"/>
      <c r="C11439"/>
      <c r="J11439"/>
      <c r="K11439"/>
      <c r="L11439"/>
    </row>
    <row r="11440" spans="2:12" x14ac:dyDescent="0.2">
      <c r="B11440"/>
      <c r="C11440"/>
      <c r="J11440"/>
      <c r="K11440"/>
      <c r="L11440"/>
    </row>
    <row r="11441" spans="2:12" x14ac:dyDescent="0.2">
      <c r="B11441"/>
      <c r="C11441"/>
      <c r="J11441"/>
      <c r="K11441"/>
      <c r="L11441"/>
    </row>
    <row r="11442" spans="2:12" x14ac:dyDescent="0.2">
      <c r="B11442"/>
      <c r="C11442"/>
      <c r="J11442"/>
      <c r="K11442"/>
      <c r="L11442"/>
    </row>
    <row r="11443" spans="2:12" x14ac:dyDescent="0.2">
      <c r="B11443"/>
      <c r="C11443"/>
      <c r="J11443"/>
      <c r="K11443"/>
      <c r="L11443"/>
    </row>
    <row r="11444" spans="2:12" x14ac:dyDescent="0.2">
      <c r="B11444"/>
      <c r="C11444"/>
      <c r="J11444"/>
      <c r="K11444"/>
      <c r="L11444"/>
    </row>
    <row r="11445" spans="2:12" x14ac:dyDescent="0.2">
      <c r="B11445"/>
      <c r="C11445"/>
      <c r="J11445"/>
      <c r="K11445"/>
      <c r="L11445"/>
    </row>
    <row r="11446" spans="2:12" x14ac:dyDescent="0.2">
      <c r="B11446"/>
      <c r="C11446"/>
      <c r="J11446"/>
      <c r="K11446"/>
      <c r="L11446"/>
    </row>
    <row r="11447" spans="2:12" x14ac:dyDescent="0.2">
      <c r="B11447"/>
      <c r="C11447"/>
      <c r="J11447"/>
      <c r="K11447"/>
      <c r="L11447"/>
    </row>
    <row r="11448" spans="2:12" x14ac:dyDescent="0.2">
      <c r="B11448"/>
      <c r="C11448"/>
      <c r="J11448"/>
      <c r="K11448"/>
      <c r="L11448"/>
    </row>
    <row r="11449" spans="2:12" x14ac:dyDescent="0.2">
      <c r="B11449"/>
      <c r="C11449"/>
      <c r="J11449"/>
      <c r="K11449"/>
      <c r="L11449"/>
    </row>
    <row r="11450" spans="2:12" x14ac:dyDescent="0.2">
      <c r="B11450"/>
      <c r="C11450"/>
      <c r="J11450"/>
      <c r="K11450"/>
      <c r="L11450"/>
    </row>
    <row r="11451" spans="2:12" x14ac:dyDescent="0.2">
      <c r="B11451"/>
      <c r="C11451"/>
      <c r="J11451"/>
      <c r="K11451"/>
      <c r="L11451"/>
    </row>
    <row r="11452" spans="2:12" x14ac:dyDescent="0.2">
      <c r="B11452"/>
      <c r="C11452"/>
      <c r="J11452"/>
      <c r="K11452"/>
      <c r="L11452"/>
    </row>
    <row r="11453" spans="2:12" x14ac:dyDescent="0.2">
      <c r="B11453"/>
      <c r="C11453"/>
      <c r="J11453"/>
      <c r="K11453"/>
      <c r="L11453"/>
    </row>
    <row r="11454" spans="2:12" x14ac:dyDescent="0.2">
      <c r="B11454"/>
      <c r="C11454"/>
      <c r="J11454"/>
      <c r="K11454"/>
      <c r="L11454"/>
    </row>
    <row r="11455" spans="2:12" x14ac:dyDescent="0.2">
      <c r="B11455"/>
      <c r="C11455"/>
      <c r="J11455"/>
      <c r="K11455"/>
      <c r="L11455"/>
    </row>
    <row r="11456" spans="2:12" x14ac:dyDescent="0.2">
      <c r="B11456"/>
      <c r="C11456"/>
      <c r="J11456"/>
      <c r="K11456"/>
      <c r="L11456"/>
    </row>
    <row r="11457" spans="2:12" x14ac:dyDescent="0.2">
      <c r="B11457"/>
      <c r="C11457"/>
      <c r="J11457"/>
      <c r="K11457"/>
      <c r="L11457"/>
    </row>
    <row r="11458" spans="2:12" x14ac:dyDescent="0.2">
      <c r="B11458"/>
      <c r="C11458"/>
      <c r="J11458"/>
      <c r="K11458"/>
      <c r="L11458"/>
    </row>
    <row r="11459" spans="2:12" x14ac:dyDescent="0.2">
      <c r="B11459"/>
      <c r="C11459"/>
      <c r="J11459"/>
      <c r="K11459"/>
      <c r="L11459"/>
    </row>
    <row r="11460" spans="2:12" x14ac:dyDescent="0.2">
      <c r="B11460"/>
      <c r="C11460"/>
      <c r="J11460"/>
      <c r="K11460"/>
      <c r="L11460"/>
    </row>
    <row r="11461" spans="2:12" x14ac:dyDescent="0.2">
      <c r="B11461"/>
      <c r="C11461"/>
      <c r="J11461"/>
      <c r="K11461"/>
      <c r="L11461"/>
    </row>
    <row r="11462" spans="2:12" x14ac:dyDescent="0.2">
      <c r="B11462"/>
      <c r="C11462"/>
      <c r="J11462"/>
      <c r="K11462"/>
      <c r="L11462"/>
    </row>
    <row r="11463" spans="2:12" x14ac:dyDescent="0.2">
      <c r="B11463"/>
      <c r="C11463"/>
      <c r="J11463"/>
      <c r="K11463"/>
      <c r="L11463"/>
    </row>
    <row r="11464" spans="2:12" x14ac:dyDescent="0.2">
      <c r="B11464"/>
      <c r="C11464"/>
      <c r="J11464"/>
      <c r="K11464"/>
      <c r="L11464"/>
    </row>
    <row r="11465" spans="2:12" x14ac:dyDescent="0.2">
      <c r="B11465"/>
      <c r="C11465"/>
      <c r="J11465"/>
      <c r="K11465"/>
      <c r="L11465"/>
    </row>
    <row r="11466" spans="2:12" x14ac:dyDescent="0.2">
      <c r="B11466"/>
      <c r="C11466"/>
      <c r="J11466"/>
      <c r="K11466"/>
      <c r="L11466"/>
    </row>
    <row r="11467" spans="2:12" x14ac:dyDescent="0.2">
      <c r="B11467"/>
      <c r="C11467"/>
      <c r="J11467"/>
      <c r="K11467"/>
      <c r="L11467"/>
    </row>
    <row r="11468" spans="2:12" x14ac:dyDescent="0.2">
      <c r="B11468"/>
      <c r="C11468"/>
      <c r="J11468"/>
      <c r="K11468"/>
      <c r="L11468"/>
    </row>
    <row r="11469" spans="2:12" x14ac:dyDescent="0.2">
      <c r="B11469"/>
      <c r="C11469"/>
      <c r="J11469"/>
      <c r="K11469"/>
      <c r="L11469"/>
    </row>
    <row r="11470" spans="2:12" x14ac:dyDescent="0.2">
      <c r="B11470"/>
      <c r="C11470"/>
      <c r="J11470"/>
      <c r="K11470"/>
      <c r="L11470"/>
    </row>
    <row r="11471" spans="2:12" x14ac:dyDescent="0.2">
      <c r="B11471"/>
      <c r="C11471"/>
      <c r="J11471"/>
      <c r="K11471"/>
      <c r="L11471"/>
    </row>
    <row r="11472" spans="2:12" x14ac:dyDescent="0.2">
      <c r="B11472"/>
      <c r="C11472"/>
      <c r="J11472"/>
      <c r="K11472"/>
      <c r="L11472"/>
    </row>
    <row r="11473" spans="2:12" x14ac:dyDescent="0.2">
      <c r="B11473"/>
      <c r="C11473"/>
      <c r="J11473"/>
      <c r="K11473"/>
      <c r="L11473"/>
    </row>
    <row r="11474" spans="2:12" x14ac:dyDescent="0.2">
      <c r="B11474"/>
      <c r="C11474"/>
      <c r="J11474"/>
      <c r="K11474"/>
      <c r="L11474"/>
    </row>
    <row r="11475" spans="2:12" x14ac:dyDescent="0.2">
      <c r="B11475"/>
      <c r="C11475"/>
      <c r="J11475"/>
      <c r="K11475"/>
      <c r="L11475"/>
    </row>
    <row r="11476" spans="2:12" x14ac:dyDescent="0.2">
      <c r="B11476"/>
      <c r="C11476"/>
      <c r="J11476"/>
      <c r="K11476"/>
      <c r="L11476"/>
    </row>
    <row r="11477" spans="2:12" x14ac:dyDescent="0.2">
      <c r="B11477"/>
      <c r="C11477"/>
      <c r="J11477"/>
      <c r="K11477"/>
      <c r="L11477"/>
    </row>
    <row r="11478" spans="2:12" x14ac:dyDescent="0.2">
      <c r="B11478"/>
      <c r="C11478"/>
      <c r="J11478"/>
      <c r="K11478"/>
      <c r="L11478"/>
    </row>
    <row r="11479" spans="2:12" x14ac:dyDescent="0.2">
      <c r="B11479"/>
      <c r="C11479"/>
      <c r="J11479"/>
      <c r="K11479"/>
      <c r="L11479"/>
    </row>
    <row r="11480" spans="2:12" x14ac:dyDescent="0.2">
      <c r="B11480"/>
      <c r="C11480"/>
      <c r="J11480"/>
      <c r="K11480"/>
      <c r="L11480"/>
    </row>
    <row r="11481" spans="2:12" x14ac:dyDescent="0.2">
      <c r="B11481"/>
      <c r="C11481"/>
      <c r="J11481"/>
      <c r="K11481"/>
      <c r="L11481"/>
    </row>
    <row r="11482" spans="2:12" x14ac:dyDescent="0.2">
      <c r="B11482"/>
      <c r="C11482"/>
      <c r="J11482"/>
      <c r="K11482"/>
      <c r="L11482"/>
    </row>
    <row r="11483" spans="2:12" x14ac:dyDescent="0.2">
      <c r="B11483"/>
      <c r="C11483"/>
      <c r="J11483"/>
      <c r="K11483"/>
      <c r="L11483"/>
    </row>
    <row r="11484" spans="2:12" x14ac:dyDescent="0.2">
      <c r="B11484"/>
      <c r="C11484"/>
      <c r="J11484"/>
      <c r="K11484"/>
      <c r="L11484"/>
    </row>
    <row r="11485" spans="2:12" x14ac:dyDescent="0.2">
      <c r="B11485"/>
      <c r="C11485"/>
      <c r="J11485"/>
      <c r="K11485"/>
      <c r="L11485"/>
    </row>
    <row r="11486" spans="2:12" x14ac:dyDescent="0.2">
      <c r="B11486"/>
      <c r="C11486"/>
      <c r="J11486"/>
      <c r="K11486"/>
      <c r="L11486"/>
    </row>
    <row r="11487" spans="2:12" x14ac:dyDescent="0.2">
      <c r="B11487"/>
      <c r="C11487"/>
      <c r="J11487"/>
      <c r="K11487"/>
      <c r="L11487"/>
    </row>
    <row r="11488" spans="2:12" x14ac:dyDescent="0.2">
      <c r="B11488"/>
      <c r="C11488"/>
      <c r="J11488"/>
      <c r="K11488"/>
      <c r="L11488"/>
    </row>
    <row r="11489" spans="2:12" x14ac:dyDescent="0.2">
      <c r="B11489"/>
      <c r="C11489"/>
      <c r="J11489"/>
      <c r="K11489"/>
      <c r="L11489"/>
    </row>
    <row r="11490" spans="2:12" x14ac:dyDescent="0.2">
      <c r="B11490"/>
      <c r="C11490"/>
      <c r="J11490"/>
      <c r="K11490"/>
      <c r="L11490"/>
    </row>
    <row r="11491" spans="2:12" x14ac:dyDescent="0.2">
      <c r="B11491"/>
      <c r="C11491"/>
      <c r="J11491"/>
      <c r="K11491"/>
      <c r="L11491"/>
    </row>
    <row r="11492" spans="2:12" x14ac:dyDescent="0.2">
      <c r="B11492"/>
      <c r="C11492"/>
      <c r="J11492"/>
      <c r="K11492"/>
      <c r="L11492"/>
    </row>
    <row r="11493" spans="2:12" x14ac:dyDescent="0.2">
      <c r="B11493"/>
      <c r="C11493"/>
      <c r="J11493"/>
      <c r="K11493"/>
      <c r="L11493"/>
    </row>
    <row r="11494" spans="2:12" x14ac:dyDescent="0.2">
      <c r="B11494"/>
      <c r="C11494"/>
      <c r="J11494"/>
      <c r="K11494"/>
      <c r="L11494"/>
    </row>
    <row r="11495" spans="2:12" x14ac:dyDescent="0.2">
      <c r="B11495"/>
      <c r="C11495"/>
      <c r="J11495"/>
      <c r="K11495"/>
      <c r="L11495"/>
    </row>
    <row r="11496" spans="2:12" x14ac:dyDescent="0.2">
      <c r="B11496"/>
      <c r="C11496"/>
      <c r="J11496"/>
      <c r="K11496"/>
      <c r="L11496"/>
    </row>
    <row r="11497" spans="2:12" x14ac:dyDescent="0.2">
      <c r="B11497"/>
      <c r="C11497"/>
      <c r="J11497"/>
      <c r="K11497"/>
      <c r="L11497"/>
    </row>
    <row r="11498" spans="2:12" x14ac:dyDescent="0.2">
      <c r="B11498"/>
      <c r="C11498"/>
      <c r="J11498"/>
      <c r="K11498"/>
      <c r="L11498"/>
    </row>
    <row r="11499" spans="2:12" x14ac:dyDescent="0.2">
      <c r="B11499"/>
      <c r="C11499"/>
      <c r="J11499"/>
      <c r="K11499"/>
      <c r="L11499"/>
    </row>
    <row r="11500" spans="2:12" x14ac:dyDescent="0.2">
      <c r="B11500"/>
      <c r="C11500"/>
      <c r="J11500"/>
      <c r="K11500"/>
      <c r="L11500"/>
    </row>
    <row r="11501" spans="2:12" x14ac:dyDescent="0.2">
      <c r="B11501"/>
      <c r="C11501"/>
      <c r="J11501"/>
      <c r="K11501"/>
      <c r="L11501"/>
    </row>
    <row r="11502" spans="2:12" x14ac:dyDescent="0.2">
      <c r="B11502"/>
      <c r="C11502"/>
      <c r="J11502"/>
      <c r="K11502"/>
      <c r="L11502"/>
    </row>
    <row r="11503" spans="2:12" x14ac:dyDescent="0.2">
      <c r="B11503"/>
      <c r="C11503"/>
      <c r="J11503"/>
      <c r="K11503"/>
      <c r="L11503"/>
    </row>
    <row r="11504" spans="2:12" x14ac:dyDescent="0.2">
      <c r="B11504"/>
      <c r="C11504"/>
      <c r="J11504"/>
      <c r="K11504"/>
      <c r="L11504"/>
    </row>
    <row r="11505" spans="2:12" x14ac:dyDescent="0.2">
      <c r="B11505"/>
      <c r="C11505"/>
      <c r="J11505"/>
      <c r="K11505"/>
      <c r="L11505"/>
    </row>
    <row r="11506" spans="2:12" x14ac:dyDescent="0.2">
      <c r="B11506"/>
      <c r="C11506"/>
      <c r="J11506"/>
      <c r="K11506"/>
      <c r="L11506"/>
    </row>
    <row r="11507" spans="2:12" x14ac:dyDescent="0.2">
      <c r="B11507"/>
      <c r="C11507"/>
      <c r="J11507"/>
      <c r="K11507"/>
      <c r="L11507"/>
    </row>
    <row r="11508" spans="2:12" x14ac:dyDescent="0.2">
      <c r="B11508"/>
      <c r="C11508"/>
      <c r="J11508"/>
      <c r="K11508"/>
      <c r="L11508"/>
    </row>
    <row r="11509" spans="2:12" x14ac:dyDescent="0.2">
      <c r="B11509"/>
      <c r="C11509"/>
      <c r="J11509"/>
      <c r="K11509"/>
      <c r="L11509"/>
    </row>
    <row r="11510" spans="2:12" x14ac:dyDescent="0.2">
      <c r="B11510"/>
      <c r="C11510"/>
      <c r="J11510"/>
      <c r="K11510"/>
      <c r="L11510"/>
    </row>
    <row r="11511" spans="2:12" x14ac:dyDescent="0.2">
      <c r="B11511"/>
      <c r="C11511"/>
      <c r="J11511"/>
      <c r="K11511"/>
      <c r="L11511"/>
    </row>
    <row r="11512" spans="2:12" x14ac:dyDescent="0.2">
      <c r="B11512"/>
      <c r="C11512"/>
      <c r="J11512"/>
      <c r="K11512"/>
      <c r="L11512"/>
    </row>
    <row r="11513" spans="2:12" x14ac:dyDescent="0.2">
      <c r="B11513"/>
      <c r="C11513"/>
      <c r="J11513"/>
      <c r="K11513"/>
      <c r="L11513"/>
    </row>
    <row r="11514" spans="2:12" x14ac:dyDescent="0.2">
      <c r="B11514"/>
      <c r="C11514"/>
      <c r="J11514"/>
      <c r="K11514"/>
      <c r="L11514"/>
    </row>
    <row r="11515" spans="2:12" x14ac:dyDescent="0.2">
      <c r="B11515"/>
      <c r="C11515"/>
      <c r="J11515"/>
      <c r="K11515"/>
      <c r="L11515"/>
    </row>
    <row r="11516" spans="2:12" x14ac:dyDescent="0.2">
      <c r="B11516"/>
      <c r="C11516"/>
      <c r="J11516"/>
      <c r="K11516"/>
      <c r="L11516"/>
    </row>
    <row r="11517" spans="2:12" x14ac:dyDescent="0.2">
      <c r="B11517"/>
      <c r="C11517"/>
      <c r="J11517"/>
      <c r="K11517"/>
      <c r="L11517"/>
    </row>
    <row r="11518" spans="2:12" x14ac:dyDescent="0.2">
      <c r="B11518"/>
      <c r="C11518"/>
      <c r="J11518"/>
      <c r="K11518"/>
      <c r="L11518"/>
    </row>
    <row r="11519" spans="2:12" x14ac:dyDescent="0.2">
      <c r="B11519"/>
      <c r="C11519"/>
      <c r="J11519"/>
      <c r="K11519"/>
      <c r="L11519"/>
    </row>
    <row r="11520" spans="2:12" x14ac:dyDescent="0.2">
      <c r="B11520"/>
      <c r="C11520"/>
      <c r="J11520"/>
      <c r="K11520"/>
      <c r="L11520"/>
    </row>
    <row r="11521" spans="2:12" x14ac:dyDescent="0.2">
      <c r="B11521"/>
      <c r="C11521"/>
      <c r="J11521"/>
      <c r="K11521"/>
      <c r="L11521"/>
    </row>
    <row r="11522" spans="2:12" x14ac:dyDescent="0.2">
      <c r="B11522"/>
      <c r="C11522"/>
      <c r="J11522"/>
      <c r="K11522"/>
      <c r="L11522"/>
    </row>
    <row r="11523" spans="2:12" x14ac:dyDescent="0.2">
      <c r="B11523"/>
      <c r="C11523"/>
      <c r="J11523"/>
      <c r="K11523"/>
      <c r="L11523"/>
    </row>
    <row r="11524" spans="2:12" x14ac:dyDescent="0.2">
      <c r="B11524"/>
      <c r="C11524"/>
      <c r="J11524"/>
      <c r="K11524"/>
      <c r="L11524"/>
    </row>
    <row r="11525" spans="2:12" x14ac:dyDescent="0.2">
      <c r="B11525"/>
      <c r="C11525"/>
      <c r="J11525"/>
      <c r="K11525"/>
      <c r="L11525"/>
    </row>
    <row r="11526" spans="2:12" x14ac:dyDescent="0.2">
      <c r="B11526"/>
      <c r="C11526"/>
      <c r="J11526"/>
      <c r="K11526"/>
      <c r="L11526"/>
    </row>
    <row r="11527" spans="2:12" x14ac:dyDescent="0.2">
      <c r="B11527"/>
      <c r="C11527"/>
      <c r="J11527"/>
      <c r="K11527"/>
      <c r="L11527"/>
    </row>
    <row r="11528" spans="2:12" x14ac:dyDescent="0.2">
      <c r="B11528"/>
      <c r="C11528"/>
      <c r="J11528"/>
      <c r="K11528"/>
      <c r="L11528"/>
    </row>
    <row r="11529" spans="2:12" x14ac:dyDescent="0.2">
      <c r="B11529"/>
      <c r="C11529"/>
      <c r="J11529"/>
      <c r="K11529"/>
      <c r="L11529"/>
    </row>
    <row r="11530" spans="2:12" x14ac:dyDescent="0.2">
      <c r="B11530"/>
      <c r="C11530"/>
      <c r="J11530"/>
      <c r="K11530"/>
      <c r="L11530"/>
    </row>
    <row r="11531" spans="2:12" x14ac:dyDescent="0.2">
      <c r="B11531"/>
      <c r="C11531"/>
      <c r="J11531"/>
      <c r="K11531"/>
      <c r="L11531"/>
    </row>
    <row r="11532" spans="2:12" x14ac:dyDescent="0.2">
      <c r="B11532"/>
      <c r="C11532"/>
      <c r="J11532"/>
      <c r="K11532"/>
      <c r="L11532"/>
    </row>
    <row r="11533" spans="2:12" x14ac:dyDescent="0.2">
      <c r="B11533"/>
      <c r="C11533"/>
      <c r="J11533"/>
      <c r="K11533"/>
      <c r="L11533"/>
    </row>
    <row r="11534" spans="2:12" x14ac:dyDescent="0.2">
      <c r="B11534"/>
      <c r="C11534"/>
      <c r="J11534"/>
      <c r="K11534"/>
      <c r="L11534"/>
    </row>
    <row r="11535" spans="2:12" x14ac:dyDescent="0.2">
      <c r="B11535"/>
      <c r="C11535"/>
      <c r="J11535"/>
      <c r="K11535"/>
      <c r="L11535"/>
    </row>
    <row r="11536" spans="2:12" x14ac:dyDescent="0.2">
      <c r="B11536"/>
      <c r="C11536"/>
      <c r="J11536"/>
      <c r="K11536"/>
      <c r="L11536"/>
    </row>
    <row r="11537" spans="2:12" x14ac:dyDescent="0.2">
      <c r="B11537"/>
      <c r="C11537"/>
      <c r="J11537"/>
      <c r="K11537"/>
      <c r="L11537"/>
    </row>
    <row r="11538" spans="2:12" x14ac:dyDescent="0.2">
      <c r="B11538"/>
      <c r="C11538"/>
      <c r="J11538"/>
      <c r="K11538"/>
      <c r="L11538"/>
    </row>
    <row r="11539" spans="2:12" x14ac:dyDescent="0.2">
      <c r="B11539"/>
      <c r="C11539"/>
      <c r="J11539"/>
      <c r="K11539"/>
      <c r="L11539"/>
    </row>
    <row r="11540" spans="2:12" x14ac:dyDescent="0.2">
      <c r="B11540"/>
      <c r="C11540"/>
      <c r="J11540"/>
      <c r="K11540"/>
      <c r="L11540"/>
    </row>
    <row r="11541" spans="2:12" x14ac:dyDescent="0.2">
      <c r="B11541"/>
      <c r="C11541"/>
      <c r="J11541"/>
      <c r="K11541"/>
      <c r="L11541"/>
    </row>
    <row r="11542" spans="2:12" x14ac:dyDescent="0.2">
      <c r="B11542"/>
      <c r="C11542"/>
      <c r="J11542"/>
      <c r="K11542"/>
      <c r="L11542"/>
    </row>
    <row r="11543" spans="2:12" x14ac:dyDescent="0.2">
      <c r="B11543"/>
      <c r="C11543"/>
      <c r="J11543"/>
      <c r="K11543"/>
      <c r="L11543"/>
    </row>
    <row r="11544" spans="2:12" x14ac:dyDescent="0.2">
      <c r="B11544"/>
      <c r="C11544"/>
      <c r="J11544"/>
      <c r="K11544"/>
      <c r="L11544"/>
    </row>
    <row r="11545" spans="2:12" x14ac:dyDescent="0.2">
      <c r="B11545"/>
      <c r="C11545"/>
      <c r="J11545"/>
      <c r="K11545"/>
      <c r="L11545"/>
    </row>
    <row r="11546" spans="2:12" x14ac:dyDescent="0.2">
      <c r="B11546"/>
      <c r="C11546"/>
      <c r="J11546"/>
      <c r="K11546"/>
      <c r="L11546"/>
    </row>
    <row r="11547" spans="2:12" x14ac:dyDescent="0.2">
      <c r="B11547"/>
      <c r="C11547"/>
      <c r="J11547"/>
      <c r="K11547"/>
      <c r="L11547"/>
    </row>
    <row r="11548" spans="2:12" x14ac:dyDescent="0.2">
      <c r="B11548"/>
      <c r="C11548"/>
      <c r="J11548"/>
      <c r="K11548"/>
      <c r="L11548"/>
    </row>
    <row r="11549" spans="2:12" x14ac:dyDescent="0.2">
      <c r="B11549"/>
      <c r="C11549"/>
      <c r="J11549"/>
      <c r="K11549"/>
      <c r="L11549"/>
    </row>
    <row r="11550" spans="2:12" x14ac:dyDescent="0.2">
      <c r="B11550"/>
      <c r="C11550"/>
      <c r="J11550"/>
      <c r="K11550"/>
      <c r="L11550"/>
    </row>
    <row r="11551" spans="2:12" x14ac:dyDescent="0.2">
      <c r="B11551"/>
      <c r="C11551"/>
      <c r="J11551"/>
      <c r="K11551"/>
      <c r="L11551"/>
    </row>
    <row r="11552" spans="2:12" x14ac:dyDescent="0.2">
      <c r="B11552"/>
      <c r="C11552"/>
      <c r="J11552"/>
      <c r="K11552"/>
      <c r="L11552"/>
    </row>
    <row r="11553" spans="2:12" x14ac:dyDescent="0.2">
      <c r="B11553"/>
      <c r="C11553"/>
      <c r="J11553"/>
      <c r="K11553"/>
      <c r="L11553"/>
    </row>
    <row r="11554" spans="2:12" x14ac:dyDescent="0.2">
      <c r="B11554"/>
      <c r="C11554"/>
      <c r="J11554"/>
      <c r="K11554"/>
      <c r="L11554"/>
    </row>
    <row r="11555" spans="2:12" x14ac:dyDescent="0.2">
      <c r="B11555"/>
      <c r="C11555"/>
      <c r="J11555"/>
      <c r="K11555"/>
      <c r="L11555"/>
    </row>
    <row r="11556" spans="2:12" x14ac:dyDescent="0.2">
      <c r="B11556"/>
      <c r="C11556"/>
      <c r="J11556"/>
      <c r="K11556"/>
      <c r="L11556"/>
    </row>
    <row r="11557" spans="2:12" x14ac:dyDescent="0.2">
      <c r="B11557"/>
      <c r="C11557"/>
      <c r="J11557"/>
      <c r="K11557"/>
      <c r="L11557"/>
    </row>
    <row r="11558" spans="2:12" x14ac:dyDescent="0.2">
      <c r="B11558"/>
      <c r="C11558"/>
      <c r="J11558"/>
      <c r="K11558"/>
      <c r="L11558"/>
    </row>
    <row r="11559" spans="2:12" x14ac:dyDescent="0.2">
      <c r="B11559"/>
      <c r="C11559"/>
      <c r="J11559"/>
      <c r="K11559"/>
      <c r="L11559"/>
    </row>
    <row r="11560" spans="2:12" x14ac:dyDescent="0.2">
      <c r="B11560"/>
      <c r="C11560"/>
      <c r="J11560"/>
      <c r="K11560"/>
      <c r="L11560"/>
    </row>
    <row r="11561" spans="2:12" x14ac:dyDescent="0.2">
      <c r="B11561"/>
      <c r="C11561"/>
      <c r="J11561"/>
      <c r="K11561"/>
      <c r="L11561"/>
    </row>
    <row r="11562" spans="2:12" x14ac:dyDescent="0.2">
      <c r="B11562"/>
      <c r="C11562"/>
      <c r="J11562"/>
      <c r="K11562"/>
      <c r="L11562"/>
    </row>
    <row r="11563" spans="2:12" x14ac:dyDescent="0.2">
      <c r="B11563"/>
      <c r="C11563"/>
      <c r="J11563"/>
      <c r="K11563"/>
      <c r="L11563"/>
    </row>
    <row r="11564" spans="2:12" x14ac:dyDescent="0.2">
      <c r="B11564"/>
      <c r="C11564"/>
      <c r="J11564"/>
      <c r="K11564"/>
      <c r="L11564"/>
    </row>
    <row r="11565" spans="2:12" x14ac:dyDescent="0.2">
      <c r="B11565"/>
      <c r="C11565"/>
      <c r="J11565"/>
      <c r="K11565"/>
      <c r="L11565"/>
    </row>
    <row r="11566" spans="2:12" x14ac:dyDescent="0.2">
      <c r="B11566"/>
      <c r="C11566"/>
      <c r="J11566"/>
      <c r="K11566"/>
      <c r="L11566"/>
    </row>
    <row r="11567" spans="2:12" x14ac:dyDescent="0.2">
      <c r="B11567"/>
      <c r="C11567"/>
      <c r="J11567"/>
      <c r="K11567"/>
      <c r="L11567"/>
    </row>
    <row r="11568" spans="2:12" x14ac:dyDescent="0.2">
      <c r="B11568"/>
      <c r="C11568"/>
      <c r="J11568"/>
      <c r="K11568"/>
      <c r="L11568"/>
    </row>
    <row r="11569" spans="2:12" x14ac:dyDescent="0.2">
      <c r="B11569"/>
      <c r="C11569"/>
      <c r="J11569"/>
      <c r="K11569"/>
      <c r="L11569"/>
    </row>
    <row r="11570" spans="2:12" x14ac:dyDescent="0.2">
      <c r="B11570"/>
      <c r="C11570"/>
      <c r="J11570"/>
      <c r="K11570"/>
      <c r="L11570"/>
    </row>
    <row r="11571" spans="2:12" x14ac:dyDescent="0.2">
      <c r="B11571"/>
      <c r="C11571"/>
      <c r="J11571"/>
      <c r="K11571"/>
      <c r="L11571"/>
    </row>
    <row r="11572" spans="2:12" x14ac:dyDescent="0.2">
      <c r="B11572"/>
      <c r="C11572"/>
      <c r="J11572"/>
      <c r="K11572"/>
      <c r="L11572"/>
    </row>
    <row r="11573" spans="2:12" x14ac:dyDescent="0.2">
      <c r="B11573"/>
      <c r="C11573"/>
      <c r="J11573"/>
      <c r="K11573"/>
      <c r="L11573"/>
    </row>
    <row r="11574" spans="2:12" x14ac:dyDescent="0.2">
      <c r="B11574"/>
      <c r="C11574"/>
      <c r="J11574"/>
      <c r="K11574"/>
      <c r="L11574"/>
    </row>
    <row r="11575" spans="2:12" x14ac:dyDescent="0.2">
      <c r="B11575"/>
      <c r="C11575"/>
      <c r="J11575"/>
      <c r="K11575"/>
      <c r="L11575"/>
    </row>
    <row r="11576" spans="2:12" x14ac:dyDescent="0.2">
      <c r="B11576"/>
      <c r="C11576"/>
      <c r="J11576"/>
      <c r="K11576"/>
      <c r="L11576"/>
    </row>
    <row r="11577" spans="2:12" x14ac:dyDescent="0.2">
      <c r="B11577"/>
      <c r="C11577"/>
      <c r="J11577"/>
      <c r="K11577"/>
      <c r="L11577"/>
    </row>
    <row r="11578" spans="2:12" x14ac:dyDescent="0.2">
      <c r="B11578"/>
      <c r="C11578"/>
      <c r="J11578"/>
      <c r="K11578"/>
      <c r="L11578"/>
    </row>
    <row r="11579" spans="2:12" x14ac:dyDescent="0.2">
      <c r="B11579"/>
      <c r="C11579"/>
      <c r="J11579"/>
      <c r="K11579"/>
      <c r="L11579"/>
    </row>
    <row r="11580" spans="2:12" x14ac:dyDescent="0.2">
      <c r="B11580"/>
      <c r="C11580"/>
      <c r="J11580"/>
      <c r="K11580"/>
      <c r="L11580"/>
    </row>
    <row r="11581" spans="2:12" x14ac:dyDescent="0.2">
      <c r="B11581"/>
      <c r="C11581"/>
      <c r="J11581"/>
      <c r="K11581"/>
      <c r="L11581"/>
    </row>
    <row r="11582" spans="2:12" x14ac:dyDescent="0.2">
      <c r="B11582"/>
      <c r="C11582"/>
      <c r="J11582"/>
      <c r="K11582"/>
      <c r="L11582"/>
    </row>
    <row r="11583" spans="2:12" x14ac:dyDescent="0.2">
      <c r="B11583"/>
      <c r="C11583"/>
      <c r="J11583"/>
      <c r="K11583"/>
      <c r="L11583"/>
    </row>
    <row r="11584" spans="2:12" x14ac:dyDescent="0.2">
      <c r="B11584"/>
      <c r="C11584"/>
      <c r="J11584"/>
      <c r="K11584"/>
      <c r="L11584"/>
    </row>
    <row r="11585" spans="2:12" x14ac:dyDescent="0.2">
      <c r="B11585"/>
      <c r="C11585"/>
      <c r="J11585"/>
      <c r="K11585"/>
      <c r="L11585"/>
    </row>
    <row r="11586" spans="2:12" x14ac:dyDescent="0.2">
      <c r="B11586"/>
      <c r="C11586"/>
      <c r="J11586"/>
      <c r="K11586"/>
      <c r="L11586"/>
    </row>
    <row r="11587" spans="2:12" x14ac:dyDescent="0.2">
      <c r="B11587"/>
      <c r="C11587"/>
      <c r="J11587"/>
      <c r="K11587"/>
      <c r="L11587"/>
    </row>
    <row r="11588" spans="2:12" x14ac:dyDescent="0.2">
      <c r="B11588"/>
      <c r="C11588"/>
      <c r="J11588"/>
      <c r="K11588"/>
      <c r="L11588"/>
    </row>
    <row r="11589" spans="2:12" x14ac:dyDescent="0.2">
      <c r="B11589"/>
      <c r="C11589"/>
      <c r="J11589"/>
      <c r="K11589"/>
      <c r="L11589"/>
    </row>
    <row r="11590" spans="2:12" x14ac:dyDescent="0.2">
      <c r="B11590"/>
      <c r="C11590"/>
      <c r="J11590"/>
      <c r="K11590"/>
      <c r="L11590"/>
    </row>
    <row r="11591" spans="2:12" x14ac:dyDescent="0.2">
      <c r="B11591"/>
      <c r="C11591"/>
      <c r="J11591"/>
      <c r="K11591"/>
      <c r="L11591"/>
    </row>
    <row r="11592" spans="2:12" x14ac:dyDescent="0.2">
      <c r="B11592"/>
      <c r="C11592"/>
      <c r="J11592"/>
      <c r="K11592"/>
      <c r="L11592"/>
    </row>
    <row r="11593" spans="2:12" x14ac:dyDescent="0.2">
      <c r="B11593"/>
      <c r="C11593"/>
      <c r="J11593"/>
      <c r="K11593"/>
      <c r="L11593"/>
    </row>
    <row r="11594" spans="2:12" x14ac:dyDescent="0.2">
      <c r="B11594"/>
      <c r="C11594"/>
      <c r="J11594"/>
      <c r="K11594"/>
      <c r="L11594"/>
    </row>
    <row r="11595" spans="2:12" x14ac:dyDescent="0.2">
      <c r="B11595"/>
      <c r="C11595"/>
      <c r="J11595"/>
      <c r="K11595"/>
      <c r="L11595"/>
    </row>
    <row r="11596" spans="2:12" x14ac:dyDescent="0.2">
      <c r="B11596"/>
      <c r="C11596"/>
      <c r="J11596"/>
      <c r="K11596"/>
      <c r="L11596"/>
    </row>
    <row r="11597" spans="2:12" x14ac:dyDescent="0.2">
      <c r="B11597"/>
      <c r="C11597"/>
      <c r="J11597"/>
      <c r="K11597"/>
      <c r="L11597"/>
    </row>
    <row r="11598" spans="2:12" x14ac:dyDescent="0.2">
      <c r="B11598"/>
      <c r="C11598"/>
      <c r="J11598"/>
      <c r="K11598"/>
      <c r="L11598"/>
    </row>
    <row r="11599" spans="2:12" x14ac:dyDescent="0.2">
      <c r="B11599"/>
      <c r="C11599"/>
      <c r="J11599"/>
      <c r="K11599"/>
      <c r="L11599"/>
    </row>
    <row r="11600" spans="2:12" x14ac:dyDescent="0.2">
      <c r="B11600"/>
      <c r="C11600"/>
      <c r="J11600"/>
      <c r="K11600"/>
      <c r="L11600"/>
    </row>
    <row r="11601" spans="2:12" x14ac:dyDescent="0.2">
      <c r="B11601"/>
      <c r="C11601"/>
      <c r="J11601"/>
      <c r="K11601"/>
      <c r="L11601"/>
    </row>
    <row r="11602" spans="2:12" x14ac:dyDescent="0.2">
      <c r="B11602"/>
      <c r="C11602"/>
      <c r="J11602"/>
      <c r="K11602"/>
      <c r="L11602"/>
    </row>
    <row r="11603" spans="2:12" x14ac:dyDescent="0.2">
      <c r="B11603"/>
      <c r="C11603"/>
      <c r="J11603"/>
      <c r="K11603"/>
      <c r="L11603"/>
    </row>
    <row r="11604" spans="2:12" x14ac:dyDescent="0.2">
      <c r="B11604"/>
      <c r="C11604"/>
      <c r="J11604"/>
      <c r="K11604"/>
      <c r="L11604"/>
    </row>
    <row r="11605" spans="2:12" x14ac:dyDescent="0.2">
      <c r="B11605"/>
      <c r="C11605"/>
      <c r="J11605"/>
      <c r="K11605"/>
      <c r="L11605"/>
    </row>
    <row r="11606" spans="2:12" x14ac:dyDescent="0.2">
      <c r="B11606"/>
      <c r="C11606"/>
      <c r="J11606"/>
      <c r="K11606"/>
      <c r="L11606"/>
    </row>
    <row r="11607" spans="2:12" x14ac:dyDescent="0.2">
      <c r="B11607"/>
      <c r="C11607"/>
      <c r="J11607"/>
      <c r="K11607"/>
      <c r="L11607"/>
    </row>
    <row r="11608" spans="2:12" x14ac:dyDescent="0.2">
      <c r="B11608"/>
      <c r="C11608"/>
      <c r="J11608"/>
      <c r="K11608"/>
      <c r="L11608"/>
    </row>
    <row r="11609" spans="2:12" x14ac:dyDescent="0.2">
      <c r="B11609"/>
      <c r="C11609"/>
      <c r="J11609"/>
      <c r="K11609"/>
      <c r="L11609"/>
    </row>
    <row r="11610" spans="2:12" x14ac:dyDescent="0.2">
      <c r="B11610"/>
      <c r="C11610"/>
      <c r="J11610"/>
      <c r="K11610"/>
      <c r="L11610"/>
    </row>
    <row r="11611" spans="2:12" x14ac:dyDescent="0.2">
      <c r="B11611"/>
      <c r="C11611"/>
      <c r="J11611"/>
      <c r="K11611"/>
      <c r="L11611"/>
    </row>
    <row r="11612" spans="2:12" x14ac:dyDescent="0.2">
      <c r="B11612"/>
      <c r="C11612"/>
      <c r="J11612"/>
      <c r="K11612"/>
      <c r="L11612"/>
    </row>
    <row r="11613" spans="2:12" x14ac:dyDescent="0.2">
      <c r="B11613"/>
      <c r="C11613"/>
      <c r="J11613"/>
      <c r="K11613"/>
      <c r="L11613"/>
    </row>
    <row r="11614" spans="2:12" x14ac:dyDescent="0.2">
      <c r="B11614"/>
      <c r="C11614"/>
      <c r="J11614"/>
      <c r="K11614"/>
      <c r="L11614"/>
    </row>
    <row r="11615" spans="2:12" x14ac:dyDescent="0.2">
      <c r="B11615"/>
      <c r="C11615"/>
      <c r="J11615"/>
      <c r="K11615"/>
      <c r="L11615"/>
    </row>
    <row r="11616" spans="2:12" x14ac:dyDescent="0.2">
      <c r="B11616"/>
      <c r="C11616"/>
      <c r="J11616"/>
      <c r="K11616"/>
      <c r="L11616"/>
    </row>
    <row r="11617" spans="2:12" x14ac:dyDescent="0.2">
      <c r="B11617"/>
      <c r="C11617"/>
      <c r="J11617"/>
      <c r="K11617"/>
      <c r="L11617"/>
    </row>
    <row r="11618" spans="2:12" x14ac:dyDescent="0.2">
      <c r="B11618"/>
      <c r="C11618"/>
      <c r="J11618"/>
      <c r="K11618"/>
      <c r="L11618"/>
    </row>
    <row r="11619" spans="2:12" x14ac:dyDescent="0.2">
      <c r="B11619"/>
      <c r="C11619"/>
      <c r="J11619"/>
      <c r="K11619"/>
      <c r="L11619"/>
    </row>
    <row r="11620" spans="2:12" x14ac:dyDescent="0.2">
      <c r="B11620"/>
      <c r="C11620"/>
      <c r="J11620"/>
      <c r="K11620"/>
      <c r="L11620"/>
    </row>
    <row r="11621" spans="2:12" x14ac:dyDescent="0.2">
      <c r="B11621"/>
      <c r="C11621"/>
      <c r="J11621"/>
      <c r="K11621"/>
      <c r="L11621"/>
    </row>
    <row r="11622" spans="2:12" x14ac:dyDescent="0.2">
      <c r="B11622"/>
      <c r="C11622"/>
      <c r="J11622"/>
      <c r="K11622"/>
      <c r="L11622"/>
    </row>
    <row r="11623" spans="2:12" x14ac:dyDescent="0.2">
      <c r="B11623"/>
      <c r="C11623"/>
      <c r="J11623"/>
      <c r="K11623"/>
      <c r="L11623"/>
    </row>
    <row r="11624" spans="2:12" x14ac:dyDescent="0.2">
      <c r="B11624"/>
      <c r="C11624"/>
      <c r="J11624"/>
      <c r="K11624"/>
      <c r="L11624"/>
    </row>
    <row r="11625" spans="2:12" x14ac:dyDescent="0.2">
      <c r="B11625"/>
      <c r="C11625"/>
      <c r="J11625"/>
      <c r="K11625"/>
      <c r="L11625"/>
    </row>
    <row r="11626" spans="2:12" x14ac:dyDescent="0.2">
      <c r="B11626"/>
      <c r="C11626"/>
      <c r="J11626"/>
      <c r="K11626"/>
      <c r="L11626"/>
    </row>
    <row r="11627" spans="2:12" x14ac:dyDescent="0.2">
      <c r="B11627"/>
      <c r="C11627"/>
      <c r="J11627"/>
      <c r="K11627"/>
      <c r="L11627"/>
    </row>
    <row r="11628" spans="2:12" x14ac:dyDescent="0.2">
      <c r="B11628"/>
      <c r="C11628"/>
      <c r="J11628"/>
      <c r="K11628"/>
      <c r="L11628"/>
    </row>
    <row r="11629" spans="2:12" x14ac:dyDescent="0.2">
      <c r="B11629"/>
      <c r="C11629"/>
      <c r="J11629"/>
      <c r="K11629"/>
      <c r="L11629"/>
    </row>
    <row r="11630" spans="2:12" x14ac:dyDescent="0.2">
      <c r="B11630"/>
      <c r="C11630"/>
      <c r="J11630"/>
      <c r="K11630"/>
      <c r="L11630"/>
    </row>
    <row r="11631" spans="2:12" x14ac:dyDescent="0.2">
      <c r="B11631"/>
      <c r="C11631"/>
      <c r="J11631"/>
      <c r="K11631"/>
      <c r="L11631"/>
    </row>
    <row r="11632" spans="2:12" x14ac:dyDescent="0.2">
      <c r="B11632"/>
      <c r="C11632"/>
      <c r="J11632"/>
      <c r="K11632"/>
      <c r="L11632"/>
    </row>
    <row r="11633" spans="2:12" x14ac:dyDescent="0.2">
      <c r="B11633"/>
      <c r="C11633"/>
      <c r="J11633"/>
      <c r="K11633"/>
      <c r="L11633"/>
    </row>
    <row r="11634" spans="2:12" x14ac:dyDescent="0.2">
      <c r="B11634"/>
      <c r="C11634"/>
      <c r="J11634"/>
      <c r="K11634"/>
      <c r="L11634"/>
    </row>
    <row r="11635" spans="2:12" x14ac:dyDescent="0.2">
      <c r="B11635"/>
      <c r="C11635"/>
      <c r="J11635"/>
      <c r="K11635"/>
      <c r="L11635"/>
    </row>
    <row r="11636" spans="2:12" x14ac:dyDescent="0.2">
      <c r="B11636"/>
      <c r="C11636"/>
      <c r="J11636"/>
      <c r="K11636"/>
      <c r="L11636"/>
    </row>
    <row r="11637" spans="2:12" x14ac:dyDescent="0.2">
      <c r="B11637"/>
      <c r="C11637"/>
      <c r="J11637"/>
      <c r="K11637"/>
      <c r="L11637"/>
    </row>
    <row r="11638" spans="2:12" x14ac:dyDescent="0.2">
      <c r="B11638"/>
      <c r="C11638"/>
      <c r="J11638"/>
      <c r="K11638"/>
      <c r="L11638"/>
    </row>
    <row r="11639" spans="2:12" x14ac:dyDescent="0.2">
      <c r="B11639"/>
      <c r="C11639"/>
      <c r="J11639"/>
      <c r="K11639"/>
      <c r="L11639"/>
    </row>
    <row r="11640" spans="2:12" x14ac:dyDescent="0.2">
      <c r="B11640"/>
      <c r="C11640"/>
      <c r="J11640"/>
      <c r="K11640"/>
      <c r="L11640"/>
    </row>
    <row r="11641" spans="2:12" x14ac:dyDescent="0.2">
      <c r="B11641"/>
      <c r="C11641"/>
      <c r="J11641"/>
      <c r="K11641"/>
      <c r="L11641"/>
    </row>
    <row r="11642" spans="2:12" x14ac:dyDescent="0.2">
      <c r="B11642"/>
      <c r="C11642"/>
      <c r="J11642"/>
      <c r="K11642"/>
      <c r="L11642"/>
    </row>
    <row r="11643" spans="2:12" x14ac:dyDescent="0.2">
      <c r="B11643"/>
      <c r="C11643"/>
      <c r="J11643"/>
      <c r="K11643"/>
      <c r="L11643"/>
    </row>
    <row r="11644" spans="2:12" x14ac:dyDescent="0.2">
      <c r="B11644"/>
      <c r="C11644"/>
      <c r="J11644"/>
      <c r="K11644"/>
      <c r="L11644"/>
    </row>
    <row r="11645" spans="2:12" x14ac:dyDescent="0.2">
      <c r="B11645"/>
      <c r="C11645"/>
      <c r="J11645"/>
      <c r="K11645"/>
      <c r="L11645"/>
    </row>
    <row r="11646" spans="2:12" x14ac:dyDescent="0.2">
      <c r="B11646"/>
      <c r="C11646"/>
      <c r="J11646"/>
      <c r="K11646"/>
      <c r="L11646"/>
    </row>
    <row r="11647" spans="2:12" x14ac:dyDescent="0.2">
      <c r="B11647"/>
      <c r="C11647"/>
      <c r="J11647"/>
      <c r="K11647"/>
      <c r="L11647"/>
    </row>
    <row r="11648" spans="2:12" x14ac:dyDescent="0.2">
      <c r="B11648"/>
      <c r="C11648"/>
      <c r="J11648"/>
      <c r="K11648"/>
      <c r="L11648"/>
    </row>
    <row r="11649" spans="2:12" x14ac:dyDescent="0.2">
      <c r="B11649"/>
      <c r="C11649"/>
      <c r="J11649"/>
      <c r="K11649"/>
      <c r="L11649"/>
    </row>
    <row r="11650" spans="2:12" x14ac:dyDescent="0.2">
      <c r="B11650"/>
      <c r="C11650"/>
      <c r="J11650"/>
      <c r="K11650"/>
      <c r="L11650"/>
    </row>
    <row r="11651" spans="2:12" x14ac:dyDescent="0.2">
      <c r="B11651"/>
      <c r="C11651"/>
      <c r="J11651"/>
      <c r="K11651"/>
      <c r="L11651"/>
    </row>
    <row r="11652" spans="2:12" x14ac:dyDescent="0.2">
      <c r="B11652"/>
      <c r="C11652"/>
      <c r="J11652"/>
      <c r="K11652"/>
      <c r="L11652"/>
    </row>
    <row r="11653" spans="2:12" x14ac:dyDescent="0.2">
      <c r="B11653"/>
      <c r="C11653"/>
      <c r="J11653"/>
      <c r="K11653"/>
      <c r="L11653"/>
    </row>
    <row r="11654" spans="2:12" x14ac:dyDescent="0.2">
      <c r="B11654"/>
      <c r="C11654"/>
      <c r="J11654"/>
      <c r="K11654"/>
      <c r="L11654"/>
    </row>
    <row r="11655" spans="2:12" x14ac:dyDescent="0.2">
      <c r="B11655"/>
      <c r="C11655"/>
      <c r="J11655"/>
      <c r="K11655"/>
      <c r="L11655"/>
    </row>
    <row r="11656" spans="2:12" x14ac:dyDescent="0.2">
      <c r="B11656"/>
      <c r="C11656"/>
      <c r="J11656"/>
      <c r="K11656"/>
      <c r="L11656"/>
    </row>
    <row r="11657" spans="2:12" x14ac:dyDescent="0.2">
      <c r="B11657"/>
      <c r="C11657"/>
      <c r="J11657"/>
      <c r="K11657"/>
      <c r="L11657"/>
    </row>
    <row r="11658" spans="2:12" x14ac:dyDescent="0.2">
      <c r="B11658"/>
      <c r="C11658"/>
      <c r="J11658"/>
      <c r="K11658"/>
      <c r="L11658"/>
    </row>
    <row r="11659" spans="2:12" x14ac:dyDescent="0.2">
      <c r="B11659"/>
      <c r="C11659"/>
      <c r="J11659"/>
      <c r="K11659"/>
      <c r="L11659"/>
    </row>
    <row r="11660" spans="2:12" x14ac:dyDescent="0.2">
      <c r="B11660"/>
      <c r="C11660"/>
      <c r="J11660"/>
      <c r="K11660"/>
      <c r="L11660"/>
    </row>
    <row r="11661" spans="2:12" x14ac:dyDescent="0.2">
      <c r="B11661"/>
      <c r="C11661"/>
      <c r="J11661"/>
      <c r="K11661"/>
      <c r="L11661"/>
    </row>
    <row r="11662" spans="2:12" x14ac:dyDescent="0.2">
      <c r="B11662"/>
      <c r="C11662"/>
      <c r="J11662"/>
      <c r="K11662"/>
      <c r="L11662"/>
    </row>
    <row r="11663" spans="2:12" x14ac:dyDescent="0.2">
      <c r="B11663"/>
      <c r="C11663"/>
      <c r="J11663"/>
      <c r="K11663"/>
      <c r="L11663"/>
    </row>
    <row r="11664" spans="2:12" x14ac:dyDescent="0.2">
      <c r="B11664"/>
      <c r="C11664"/>
      <c r="J11664"/>
      <c r="K11664"/>
      <c r="L11664"/>
    </row>
    <row r="11665" spans="2:12" x14ac:dyDescent="0.2">
      <c r="B11665"/>
      <c r="C11665"/>
      <c r="J11665"/>
      <c r="K11665"/>
      <c r="L11665"/>
    </row>
    <row r="11666" spans="2:12" x14ac:dyDescent="0.2">
      <c r="B11666"/>
      <c r="C11666"/>
      <c r="J11666"/>
      <c r="K11666"/>
      <c r="L11666"/>
    </row>
    <row r="11667" spans="2:12" x14ac:dyDescent="0.2">
      <c r="B11667"/>
      <c r="C11667"/>
      <c r="J11667"/>
      <c r="K11667"/>
      <c r="L11667"/>
    </row>
    <row r="11668" spans="2:12" x14ac:dyDescent="0.2">
      <c r="B11668"/>
      <c r="C11668"/>
      <c r="J11668"/>
      <c r="K11668"/>
      <c r="L11668"/>
    </row>
    <row r="11669" spans="2:12" x14ac:dyDescent="0.2">
      <c r="B11669"/>
      <c r="C11669"/>
      <c r="J11669"/>
      <c r="K11669"/>
      <c r="L11669"/>
    </row>
    <row r="11670" spans="2:12" x14ac:dyDescent="0.2">
      <c r="B11670"/>
      <c r="C11670"/>
      <c r="J11670"/>
      <c r="K11670"/>
      <c r="L11670"/>
    </row>
    <row r="11671" spans="2:12" x14ac:dyDescent="0.2">
      <c r="B11671"/>
      <c r="C11671"/>
      <c r="J11671"/>
      <c r="K11671"/>
      <c r="L11671"/>
    </row>
    <row r="11672" spans="2:12" x14ac:dyDescent="0.2">
      <c r="B11672"/>
      <c r="C11672"/>
      <c r="J11672"/>
      <c r="K11672"/>
      <c r="L11672"/>
    </row>
    <row r="11673" spans="2:12" x14ac:dyDescent="0.2">
      <c r="B11673"/>
      <c r="C11673"/>
      <c r="J11673"/>
      <c r="K11673"/>
      <c r="L11673"/>
    </row>
    <row r="11674" spans="2:12" x14ac:dyDescent="0.2">
      <c r="B11674"/>
      <c r="C11674"/>
      <c r="J11674"/>
      <c r="K11674"/>
      <c r="L11674"/>
    </row>
    <row r="11675" spans="2:12" x14ac:dyDescent="0.2">
      <c r="B11675"/>
      <c r="C11675"/>
      <c r="J11675"/>
      <c r="K11675"/>
      <c r="L11675"/>
    </row>
    <row r="11676" spans="2:12" x14ac:dyDescent="0.2">
      <c r="B11676"/>
      <c r="C11676"/>
      <c r="J11676"/>
      <c r="K11676"/>
      <c r="L11676"/>
    </row>
    <row r="11677" spans="2:12" x14ac:dyDescent="0.2">
      <c r="B11677"/>
      <c r="C11677"/>
      <c r="J11677"/>
      <c r="K11677"/>
      <c r="L11677"/>
    </row>
    <row r="11678" spans="2:12" x14ac:dyDescent="0.2">
      <c r="B11678"/>
      <c r="C11678"/>
      <c r="J11678"/>
      <c r="K11678"/>
      <c r="L11678"/>
    </row>
    <row r="11679" spans="2:12" x14ac:dyDescent="0.2">
      <c r="B11679"/>
      <c r="C11679"/>
      <c r="J11679"/>
      <c r="K11679"/>
      <c r="L11679"/>
    </row>
    <row r="11680" spans="2:12" x14ac:dyDescent="0.2">
      <c r="B11680"/>
      <c r="C11680"/>
      <c r="J11680"/>
      <c r="K11680"/>
      <c r="L11680"/>
    </row>
    <row r="11681" spans="2:12" x14ac:dyDescent="0.2">
      <c r="B11681"/>
      <c r="C11681"/>
      <c r="J11681"/>
      <c r="K11681"/>
      <c r="L11681"/>
    </row>
    <row r="11682" spans="2:12" x14ac:dyDescent="0.2">
      <c r="B11682"/>
      <c r="C11682"/>
      <c r="J11682"/>
      <c r="K11682"/>
      <c r="L11682"/>
    </row>
    <row r="11683" spans="2:12" x14ac:dyDescent="0.2">
      <c r="B11683"/>
      <c r="C11683"/>
      <c r="J11683"/>
      <c r="K11683"/>
      <c r="L11683"/>
    </row>
    <row r="11684" spans="2:12" x14ac:dyDescent="0.2">
      <c r="B11684"/>
      <c r="C11684"/>
      <c r="J11684"/>
      <c r="K11684"/>
      <c r="L11684"/>
    </row>
    <row r="11685" spans="2:12" x14ac:dyDescent="0.2">
      <c r="B11685"/>
      <c r="C11685"/>
      <c r="J11685"/>
      <c r="K11685"/>
      <c r="L11685"/>
    </row>
    <row r="11686" spans="2:12" x14ac:dyDescent="0.2">
      <c r="B11686"/>
      <c r="C11686"/>
      <c r="J11686"/>
      <c r="K11686"/>
      <c r="L11686"/>
    </row>
    <row r="11687" spans="2:12" x14ac:dyDescent="0.2">
      <c r="B11687"/>
      <c r="C11687"/>
      <c r="J11687"/>
      <c r="K11687"/>
      <c r="L11687"/>
    </row>
    <row r="11688" spans="2:12" x14ac:dyDescent="0.2">
      <c r="B11688"/>
      <c r="C11688"/>
      <c r="J11688"/>
      <c r="K11688"/>
      <c r="L11688"/>
    </row>
    <row r="11689" spans="2:12" x14ac:dyDescent="0.2">
      <c r="B11689"/>
      <c r="C11689"/>
      <c r="J11689"/>
      <c r="K11689"/>
      <c r="L11689"/>
    </row>
    <row r="11690" spans="2:12" x14ac:dyDescent="0.2">
      <c r="B11690"/>
      <c r="C11690"/>
      <c r="J11690"/>
      <c r="K11690"/>
      <c r="L11690"/>
    </row>
    <row r="11691" spans="2:12" x14ac:dyDescent="0.2">
      <c r="B11691"/>
      <c r="C11691"/>
      <c r="J11691"/>
      <c r="K11691"/>
      <c r="L11691"/>
    </row>
    <row r="11692" spans="2:12" x14ac:dyDescent="0.2">
      <c r="B11692"/>
      <c r="C11692"/>
      <c r="J11692"/>
      <c r="K11692"/>
      <c r="L11692"/>
    </row>
    <row r="11693" spans="2:12" x14ac:dyDescent="0.2">
      <c r="B11693"/>
      <c r="C11693"/>
      <c r="J11693"/>
      <c r="K11693"/>
      <c r="L11693"/>
    </row>
    <row r="11694" spans="2:12" x14ac:dyDescent="0.2">
      <c r="B11694"/>
      <c r="C11694"/>
      <c r="J11694"/>
      <c r="K11694"/>
      <c r="L11694"/>
    </row>
    <row r="11695" spans="2:12" x14ac:dyDescent="0.2">
      <c r="B11695"/>
      <c r="C11695"/>
      <c r="J11695"/>
      <c r="K11695"/>
      <c r="L11695"/>
    </row>
    <row r="11696" spans="2:12" x14ac:dyDescent="0.2">
      <c r="B11696"/>
      <c r="C11696"/>
      <c r="J11696"/>
      <c r="K11696"/>
      <c r="L11696"/>
    </row>
    <row r="11697" spans="2:12" x14ac:dyDescent="0.2">
      <c r="B11697"/>
      <c r="C11697"/>
      <c r="J11697"/>
      <c r="K11697"/>
      <c r="L11697"/>
    </row>
    <row r="11698" spans="2:12" x14ac:dyDescent="0.2">
      <c r="B11698"/>
      <c r="C11698"/>
      <c r="J11698"/>
      <c r="K11698"/>
      <c r="L11698"/>
    </row>
    <row r="11699" spans="2:12" x14ac:dyDescent="0.2">
      <c r="B11699"/>
      <c r="C11699"/>
      <c r="J11699"/>
      <c r="K11699"/>
      <c r="L11699"/>
    </row>
    <row r="11700" spans="2:12" x14ac:dyDescent="0.2">
      <c r="B11700"/>
      <c r="C11700"/>
      <c r="J11700"/>
      <c r="K11700"/>
      <c r="L11700"/>
    </row>
    <row r="11701" spans="2:12" x14ac:dyDescent="0.2">
      <c r="B11701"/>
      <c r="C11701"/>
      <c r="J11701"/>
      <c r="K11701"/>
      <c r="L11701"/>
    </row>
    <row r="11702" spans="2:12" x14ac:dyDescent="0.2">
      <c r="B11702"/>
      <c r="C11702"/>
      <c r="J11702"/>
      <c r="K11702"/>
      <c r="L11702"/>
    </row>
    <row r="11703" spans="2:12" x14ac:dyDescent="0.2">
      <c r="B11703"/>
      <c r="C11703"/>
      <c r="J11703"/>
      <c r="K11703"/>
      <c r="L11703"/>
    </row>
    <row r="11704" spans="2:12" x14ac:dyDescent="0.2">
      <c r="B11704"/>
      <c r="C11704"/>
      <c r="J11704"/>
      <c r="K11704"/>
      <c r="L11704"/>
    </row>
    <row r="11705" spans="2:12" x14ac:dyDescent="0.2">
      <c r="B11705"/>
      <c r="C11705"/>
      <c r="J11705"/>
      <c r="K11705"/>
      <c r="L11705"/>
    </row>
    <row r="11706" spans="2:12" x14ac:dyDescent="0.2">
      <c r="B11706"/>
      <c r="C11706"/>
      <c r="J11706"/>
      <c r="K11706"/>
      <c r="L11706"/>
    </row>
    <row r="11707" spans="2:12" x14ac:dyDescent="0.2">
      <c r="B11707"/>
      <c r="C11707"/>
      <c r="J11707"/>
      <c r="K11707"/>
      <c r="L11707"/>
    </row>
    <row r="11708" spans="2:12" x14ac:dyDescent="0.2">
      <c r="B11708"/>
      <c r="C11708"/>
      <c r="J11708"/>
      <c r="K11708"/>
      <c r="L11708"/>
    </row>
    <row r="11709" spans="2:12" x14ac:dyDescent="0.2">
      <c r="B11709"/>
      <c r="C11709"/>
      <c r="J11709"/>
      <c r="K11709"/>
      <c r="L11709"/>
    </row>
    <row r="11710" spans="2:12" x14ac:dyDescent="0.2">
      <c r="B11710"/>
      <c r="C11710"/>
      <c r="J11710"/>
      <c r="K11710"/>
      <c r="L11710"/>
    </row>
    <row r="11711" spans="2:12" x14ac:dyDescent="0.2">
      <c r="B11711"/>
      <c r="C11711"/>
      <c r="J11711"/>
      <c r="K11711"/>
      <c r="L11711"/>
    </row>
    <row r="11712" spans="2:12" x14ac:dyDescent="0.2">
      <c r="B11712"/>
      <c r="C11712"/>
      <c r="J11712"/>
      <c r="K11712"/>
      <c r="L11712"/>
    </row>
    <row r="11713" spans="2:12" x14ac:dyDescent="0.2">
      <c r="B11713"/>
      <c r="C11713"/>
      <c r="J11713"/>
      <c r="K11713"/>
      <c r="L11713"/>
    </row>
    <row r="11714" spans="2:12" x14ac:dyDescent="0.2">
      <c r="B11714"/>
      <c r="C11714"/>
      <c r="J11714"/>
      <c r="K11714"/>
      <c r="L11714"/>
    </row>
    <row r="11715" spans="2:12" x14ac:dyDescent="0.2">
      <c r="B11715"/>
      <c r="C11715"/>
      <c r="J11715"/>
      <c r="K11715"/>
      <c r="L11715"/>
    </row>
    <row r="11716" spans="2:12" x14ac:dyDescent="0.2">
      <c r="B11716"/>
      <c r="C11716"/>
      <c r="J11716"/>
      <c r="K11716"/>
      <c r="L11716"/>
    </row>
    <row r="11717" spans="2:12" x14ac:dyDescent="0.2">
      <c r="B11717"/>
      <c r="C11717"/>
      <c r="J11717"/>
      <c r="K11717"/>
      <c r="L11717"/>
    </row>
    <row r="11718" spans="2:12" x14ac:dyDescent="0.2">
      <c r="B11718"/>
      <c r="C11718"/>
      <c r="J11718"/>
      <c r="K11718"/>
      <c r="L11718"/>
    </row>
    <row r="11719" spans="2:12" x14ac:dyDescent="0.2">
      <c r="B11719"/>
      <c r="C11719"/>
      <c r="J11719"/>
      <c r="K11719"/>
      <c r="L11719"/>
    </row>
    <row r="11720" spans="2:12" x14ac:dyDescent="0.2">
      <c r="B11720"/>
      <c r="C11720"/>
      <c r="J11720"/>
      <c r="K11720"/>
      <c r="L11720"/>
    </row>
    <row r="11721" spans="2:12" x14ac:dyDescent="0.2">
      <c r="B11721"/>
      <c r="C11721"/>
      <c r="J11721"/>
      <c r="K11721"/>
      <c r="L11721"/>
    </row>
    <row r="11722" spans="2:12" x14ac:dyDescent="0.2">
      <c r="B11722"/>
      <c r="C11722"/>
      <c r="J11722"/>
      <c r="K11722"/>
      <c r="L11722"/>
    </row>
    <row r="11723" spans="2:12" x14ac:dyDescent="0.2">
      <c r="B11723"/>
      <c r="C11723"/>
      <c r="J11723"/>
      <c r="K11723"/>
      <c r="L11723"/>
    </row>
    <row r="11724" spans="2:12" x14ac:dyDescent="0.2">
      <c r="B11724"/>
      <c r="C11724"/>
      <c r="J11724"/>
      <c r="K11724"/>
      <c r="L11724"/>
    </row>
    <row r="11725" spans="2:12" x14ac:dyDescent="0.2">
      <c r="B11725"/>
      <c r="C11725"/>
      <c r="J11725"/>
      <c r="K11725"/>
      <c r="L11725"/>
    </row>
    <row r="11726" spans="2:12" x14ac:dyDescent="0.2">
      <c r="B11726"/>
      <c r="C11726"/>
      <c r="J11726"/>
      <c r="K11726"/>
      <c r="L11726"/>
    </row>
    <row r="11727" spans="2:12" x14ac:dyDescent="0.2">
      <c r="B11727"/>
      <c r="C11727"/>
      <c r="J11727"/>
      <c r="K11727"/>
      <c r="L11727"/>
    </row>
    <row r="11728" spans="2:12" x14ac:dyDescent="0.2">
      <c r="B11728"/>
      <c r="C11728"/>
      <c r="J11728"/>
      <c r="K11728"/>
      <c r="L11728"/>
    </row>
    <row r="11729" spans="2:12" x14ac:dyDescent="0.2">
      <c r="B11729"/>
      <c r="C11729"/>
      <c r="J11729"/>
      <c r="K11729"/>
      <c r="L11729"/>
    </row>
    <row r="11730" spans="2:12" x14ac:dyDescent="0.2">
      <c r="B11730"/>
      <c r="C11730"/>
      <c r="J11730"/>
      <c r="K11730"/>
      <c r="L11730"/>
    </row>
    <row r="11731" spans="2:12" x14ac:dyDescent="0.2">
      <c r="B11731"/>
      <c r="C11731"/>
      <c r="J11731"/>
      <c r="K11731"/>
      <c r="L11731"/>
    </row>
    <row r="11732" spans="2:12" x14ac:dyDescent="0.2">
      <c r="B11732"/>
      <c r="C11732"/>
      <c r="J11732"/>
      <c r="K11732"/>
      <c r="L11732"/>
    </row>
    <row r="11733" spans="2:12" x14ac:dyDescent="0.2">
      <c r="B11733"/>
      <c r="C11733"/>
      <c r="J11733"/>
      <c r="K11733"/>
      <c r="L11733"/>
    </row>
    <row r="11734" spans="2:12" x14ac:dyDescent="0.2">
      <c r="B11734"/>
      <c r="C11734"/>
      <c r="J11734"/>
      <c r="K11734"/>
      <c r="L11734"/>
    </row>
    <row r="11735" spans="2:12" x14ac:dyDescent="0.2">
      <c r="B11735"/>
      <c r="C11735"/>
      <c r="J11735"/>
      <c r="K11735"/>
      <c r="L11735"/>
    </row>
    <row r="11736" spans="2:12" x14ac:dyDescent="0.2">
      <c r="B11736"/>
      <c r="C11736"/>
      <c r="J11736"/>
      <c r="K11736"/>
      <c r="L11736"/>
    </row>
    <row r="11737" spans="2:12" x14ac:dyDescent="0.2">
      <c r="B11737"/>
      <c r="C11737"/>
      <c r="J11737"/>
      <c r="K11737"/>
      <c r="L11737"/>
    </row>
    <row r="11738" spans="2:12" x14ac:dyDescent="0.2">
      <c r="B11738"/>
      <c r="C11738"/>
      <c r="J11738"/>
      <c r="K11738"/>
      <c r="L11738"/>
    </row>
    <row r="11739" spans="2:12" x14ac:dyDescent="0.2">
      <c r="B11739"/>
      <c r="C11739"/>
      <c r="J11739"/>
      <c r="K11739"/>
      <c r="L11739"/>
    </row>
    <row r="11740" spans="2:12" x14ac:dyDescent="0.2">
      <c r="B11740"/>
      <c r="C11740"/>
      <c r="J11740"/>
      <c r="K11740"/>
      <c r="L11740"/>
    </row>
    <row r="11741" spans="2:12" x14ac:dyDescent="0.2">
      <c r="B11741"/>
      <c r="C11741"/>
      <c r="J11741"/>
      <c r="K11741"/>
      <c r="L11741"/>
    </row>
    <row r="11742" spans="2:12" x14ac:dyDescent="0.2">
      <c r="B11742"/>
      <c r="C11742"/>
      <c r="J11742"/>
      <c r="K11742"/>
      <c r="L11742"/>
    </row>
    <row r="11743" spans="2:12" x14ac:dyDescent="0.2">
      <c r="B11743"/>
      <c r="C11743"/>
      <c r="J11743"/>
      <c r="K11743"/>
      <c r="L11743"/>
    </row>
    <row r="11744" spans="2:12" x14ac:dyDescent="0.2">
      <c r="B11744"/>
      <c r="C11744"/>
      <c r="J11744"/>
      <c r="K11744"/>
      <c r="L11744"/>
    </row>
    <row r="11745" spans="2:12" x14ac:dyDescent="0.2">
      <c r="B11745"/>
      <c r="C11745"/>
      <c r="J11745"/>
      <c r="K11745"/>
      <c r="L11745"/>
    </row>
    <row r="11746" spans="2:12" x14ac:dyDescent="0.2">
      <c r="B11746"/>
      <c r="C11746"/>
      <c r="J11746"/>
      <c r="K11746"/>
      <c r="L11746"/>
    </row>
    <row r="11747" spans="2:12" x14ac:dyDescent="0.2">
      <c r="B11747"/>
      <c r="C11747"/>
      <c r="J11747"/>
      <c r="K11747"/>
      <c r="L11747"/>
    </row>
    <row r="11748" spans="2:12" x14ac:dyDescent="0.2">
      <c r="B11748"/>
      <c r="C11748"/>
      <c r="J11748"/>
      <c r="K11748"/>
      <c r="L11748"/>
    </row>
    <row r="11749" spans="2:12" x14ac:dyDescent="0.2">
      <c r="B11749"/>
      <c r="C11749"/>
      <c r="J11749"/>
      <c r="K11749"/>
      <c r="L11749"/>
    </row>
    <row r="11750" spans="2:12" x14ac:dyDescent="0.2">
      <c r="B11750"/>
      <c r="C11750"/>
      <c r="J11750"/>
      <c r="K11750"/>
      <c r="L11750"/>
    </row>
    <row r="11751" spans="2:12" x14ac:dyDescent="0.2">
      <c r="B11751"/>
      <c r="C11751"/>
      <c r="J11751"/>
      <c r="K11751"/>
      <c r="L11751"/>
    </row>
    <row r="11752" spans="2:12" x14ac:dyDescent="0.2">
      <c r="B11752"/>
      <c r="C11752"/>
      <c r="J11752"/>
      <c r="K11752"/>
      <c r="L11752"/>
    </row>
    <row r="11753" spans="2:12" x14ac:dyDescent="0.2">
      <c r="B11753"/>
      <c r="C11753"/>
      <c r="J11753"/>
      <c r="K11753"/>
      <c r="L11753"/>
    </row>
    <row r="11754" spans="2:12" x14ac:dyDescent="0.2">
      <c r="B11754"/>
      <c r="C11754"/>
      <c r="J11754"/>
      <c r="K11754"/>
      <c r="L11754"/>
    </row>
    <row r="11755" spans="2:12" x14ac:dyDescent="0.2">
      <c r="B11755"/>
      <c r="C11755"/>
      <c r="J11755"/>
      <c r="K11755"/>
      <c r="L11755"/>
    </row>
    <row r="11756" spans="2:12" x14ac:dyDescent="0.2">
      <c r="B11756"/>
      <c r="C11756"/>
      <c r="J11756"/>
      <c r="K11756"/>
      <c r="L11756"/>
    </row>
    <row r="11757" spans="2:12" x14ac:dyDescent="0.2">
      <c r="B11757"/>
      <c r="C11757"/>
      <c r="J11757"/>
      <c r="K11757"/>
      <c r="L11757"/>
    </row>
    <row r="11758" spans="2:12" x14ac:dyDescent="0.2">
      <c r="B11758"/>
      <c r="C11758"/>
      <c r="J11758"/>
      <c r="K11758"/>
      <c r="L11758"/>
    </row>
    <row r="11759" spans="2:12" x14ac:dyDescent="0.2">
      <c r="B11759"/>
      <c r="C11759"/>
      <c r="J11759"/>
      <c r="K11759"/>
      <c r="L11759"/>
    </row>
    <row r="11760" spans="2:12" x14ac:dyDescent="0.2">
      <c r="B11760"/>
      <c r="C11760"/>
      <c r="J11760"/>
      <c r="K11760"/>
      <c r="L11760"/>
    </row>
    <row r="11761" spans="2:12" x14ac:dyDescent="0.2">
      <c r="B11761"/>
      <c r="C11761"/>
      <c r="J11761"/>
      <c r="K11761"/>
      <c r="L11761"/>
    </row>
    <row r="11762" spans="2:12" x14ac:dyDescent="0.2">
      <c r="B11762"/>
      <c r="C11762"/>
      <c r="J11762"/>
      <c r="K11762"/>
      <c r="L11762"/>
    </row>
    <row r="11763" spans="2:12" x14ac:dyDescent="0.2">
      <c r="B11763"/>
      <c r="C11763"/>
      <c r="J11763"/>
      <c r="K11763"/>
      <c r="L11763"/>
    </row>
    <row r="11764" spans="2:12" x14ac:dyDescent="0.2">
      <c r="B11764"/>
      <c r="C11764"/>
      <c r="J11764"/>
      <c r="K11764"/>
      <c r="L11764"/>
    </row>
    <row r="11765" spans="2:12" x14ac:dyDescent="0.2">
      <c r="B11765"/>
      <c r="C11765"/>
      <c r="J11765"/>
      <c r="K11765"/>
      <c r="L11765"/>
    </row>
    <row r="11766" spans="2:12" x14ac:dyDescent="0.2">
      <c r="B11766"/>
      <c r="C11766"/>
      <c r="J11766"/>
      <c r="K11766"/>
      <c r="L11766"/>
    </row>
    <row r="11767" spans="2:12" x14ac:dyDescent="0.2">
      <c r="B11767"/>
      <c r="C11767"/>
      <c r="J11767"/>
      <c r="K11767"/>
      <c r="L11767"/>
    </row>
    <row r="11768" spans="2:12" x14ac:dyDescent="0.2">
      <c r="B11768"/>
      <c r="C11768"/>
      <c r="J11768"/>
      <c r="K11768"/>
      <c r="L11768"/>
    </row>
    <row r="11769" spans="2:12" x14ac:dyDescent="0.2">
      <c r="B11769"/>
      <c r="C11769"/>
      <c r="J11769"/>
      <c r="K11769"/>
      <c r="L11769"/>
    </row>
    <row r="11770" spans="2:12" x14ac:dyDescent="0.2">
      <c r="B11770"/>
      <c r="C11770"/>
      <c r="J11770"/>
      <c r="K11770"/>
      <c r="L11770"/>
    </row>
    <row r="11771" spans="2:12" x14ac:dyDescent="0.2">
      <c r="B11771"/>
      <c r="C11771"/>
      <c r="J11771"/>
      <c r="K11771"/>
      <c r="L11771"/>
    </row>
    <row r="11772" spans="2:12" x14ac:dyDescent="0.2">
      <c r="B11772"/>
      <c r="C11772"/>
      <c r="J11772"/>
      <c r="K11772"/>
      <c r="L11772"/>
    </row>
    <row r="11773" spans="2:12" x14ac:dyDescent="0.2">
      <c r="B11773"/>
      <c r="C11773"/>
      <c r="J11773"/>
      <c r="K11773"/>
      <c r="L11773"/>
    </row>
    <row r="11774" spans="2:12" x14ac:dyDescent="0.2">
      <c r="B11774"/>
      <c r="C11774"/>
      <c r="J11774"/>
      <c r="K11774"/>
      <c r="L11774"/>
    </row>
    <row r="11775" spans="2:12" x14ac:dyDescent="0.2">
      <c r="B11775"/>
      <c r="C11775"/>
      <c r="J11775"/>
      <c r="K11775"/>
      <c r="L11775"/>
    </row>
    <row r="11776" spans="2:12" x14ac:dyDescent="0.2">
      <c r="B11776"/>
      <c r="C11776"/>
      <c r="J11776"/>
      <c r="K11776"/>
      <c r="L11776"/>
    </row>
    <row r="11777" spans="2:12" x14ac:dyDescent="0.2">
      <c r="B11777"/>
      <c r="C11777"/>
      <c r="J11777"/>
      <c r="K11777"/>
      <c r="L11777"/>
    </row>
    <row r="11778" spans="2:12" x14ac:dyDescent="0.2">
      <c r="B11778"/>
      <c r="C11778"/>
      <c r="J11778"/>
      <c r="K11778"/>
      <c r="L11778"/>
    </row>
    <row r="11779" spans="2:12" x14ac:dyDescent="0.2">
      <c r="B11779"/>
      <c r="C11779"/>
      <c r="J11779"/>
      <c r="K11779"/>
      <c r="L11779"/>
    </row>
    <row r="11780" spans="2:12" x14ac:dyDescent="0.2">
      <c r="B11780"/>
      <c r="C11780"/>
      <c r="J11780"/>
      <c r="K11780"/>
      <c r="L11780"/>
    </row>
    <row r="11781" spans="2:12" x14ac:dyDescent="0.2">
      <c r="B11781"/>
      <c r="C11781"/>
      <c r="J11781"/>
      <c r="K11781"/>
      <c r="L11781"/>
    </row>
    <row r="11782" spans="2:12" x14ac:dyDescent="0.2">
      <c r="B11782"/>
      <c r="C11782"/>
      <c r="J11782"/>
      <c r="K11782"/>
      <c r="L11782"/>
    </row>
    <row r="11783" spans="2:12" x14ac:dyDescent="0.2">
      <c r="B11783"/>
      <c r="C11783"/>
      <c r="J11783"/>
      <c r="K11783"/>
      <c r="L11783"/>
    </row>
    <row r="11784" spans="2:12" x14ac:dyDescent="0.2">
      <c r="B11784"/>
      <c r="C11784"/>
      <c r="J11784"/>
      <c r="K11784"/>
      <c r="L11784"/>
    </row>
    <row r="11785" spans="2:12" x14ac:dyDescent="0.2">
      <c r="B11785"/>
      <c r="C11785"/>
      <c r="J11785"/>
      <c r="K11785"/>
      <c r="L11785"/>
    </row>
    <row r="11786" spans="2:12" x14ac:dyDescent="0.2">
      <c r="B11786"/>
      <c r="C11786"/>
      <c r="J11786"/>
      <c r="K11786"/>
      <c r="L11786"/>
    </row>
    <row r="11787" spans="2:12" x14ac:dyDescent="0.2">
      <c r="B11787"/>
      <c r="C11787"/>
      <c r="J11787"/>
      <c r="K11787"/>
      <c r="L11787"/>
    </row>
    <row r="11788" spans="2:12" x14ac:dyDescent="0.2">
      <c r="B11788"/>
      <c r="C11788"/>
      <c r="J11788"/>
      <c r="K11788"/>
      <c r="L11788"/>
    </row>
    <row r="11789" spans="2:12" x14ac:dyDescent="0.2">
      <c r="B11789"/>
      <c r="C11789"/>
      <c r="J11789"/>
      <c r="K11789"/>
      <c r="L11789"/>
    </row>
    <row r="11790" spans="2:12" x14ac:dyDescent="0.2">
      <c r="B11790"/>
      <c r="C11790"/>
      <c r="J11790"/>
      <c r="K11790"/>
      <c r="L11790"/>
    </row>
    <row r="11791" spans="2:12" x14ac:dyDescent="0.2">
      <c r="B11791"/>
      <c r="C11791"/>
      <c r="J11791"/>
      <c r="K11791"/>
      <c r="L11791"/>
    </row>
    <row r="11792" spans="2:12" x14ac:dyDescent="0.2">
      <c r="B11792"/>
      <c r="C11792"/>
      <c r="J11792"/>
      <c r="K11792"/>
      <c r="L11792"/>
    </row>
    <row r="11793" spans="2:12" x14ac:dyDescent="0.2">
      <c r="B11793"/>
      <c r="C11793"/>
      <c r="J11793"/>
      <c r="K11793"/>
      <c r="L11793"/>
    </row>
    <row r="11794" spans="2:12" x14ac:dyDescent="0.2">
      <c r="B11794"/>
      <c r="C11794"/>
      <c r="J11794"/>
      <c r="K11794"/>
      <c r="L11794"/>
    </row>
    <row r="11795" spans="2:12" x14ac:dyDescent="0.2">
      <c r="B11795"/>
      <c r="C11795"/>
      <c r="J11795"/>
      <c r="K11795"/>
      <c r="L11795"/>
    </row>
    <row r="11796" spans="2:12" x14ac:dyDescent="0.2">
      <c r="B11796"/>
      <c r="C11796"/>
      <c r="J11796"/>
      <c r="K11796"/>
      <c r="L11796"/>
    </row>
    <row r="11797" spans="2:12" x14ac:dyDescent="0.2">
      <c r="B11797"/>
      <c r="C11797"/>
      <c r="J11797"/>
      <c r="K11797"/>
      <c r="L11797"/>
    </row>
    <row r="11798" spans="2:12" x14ac:dyDescent="0.2">
      <c r="B11798"/>
      <c r="C11798"/>
      <c r="J11798"/>
      <c r="K11798"/>
      <c r="L11798"/>
    </row>
    <row r="11799" spans="2:12" x14ac:dyDescent="0.2">
      <c r="B11799"/>
      <c r="C11799"/>
      <c r="J11799"/>
      <c r="K11799"/>
      <c r="L11799"/>
    </row>
    <row r="11800" spans="2:12" x14ac:dyDescent="0.2">
      <c r="B11800"/>
      <c r="C11800"/>
      <c r="J11800"/>
      <c r="K11800"/>
      <c r="L11800"/>
    </row>
    <row r="11801" spans="2:12" x14ac:dyDescent="0.2">
      <c r="B11801"/>
      <c r="C11801"/>
      <c r="J11801"/>
      <c r="K11801"/>
      <c r="L11801"/>
    </row>
    <row r="11802" spans="2:12" x14ac:dyDescent="0.2">
      <c r="B11802"/>
      <c r="C11802"/>
      <c r="J11802"/>
      <c r="K11802"/>
      <c r="L11802"/>
    </row>
    <row r="11803" spans="2:12" x14ac:dyDescent="0.2">
      <c r="B11803"/>
      <c r="C11803"/>
      <c r="J11803"/>
      <c r="K11803"/>
      <c r="L11803"/>
    </row>
    <row r="11804" spans="2:12" x14ac:dyDescent="0.2">
      <c r="B11804"/>
      <c r="C11804"/>
      <c r="J11804"/>
      <c r="K11804"/>
      <c r="L11804"/>
    </row>
    <row r="11805" spans="2:12" x14ac:dyDescent="0.2">
      <c r="B11805"/>
      <c r="C11805"/>
      <c r="J11805"/>
      <c r="K11805"/>
      <c r="L11805"/>
    </row>
    <row r="11806" spans="2:12" x14ac:dyDescent="0.2">
      <c r="B11806"/>
      <c r="C11806"/>
      <c r="J11806"/>
      <c r="K11806"/>
      <c r="L11806"/>
    </row>
    <row r="11807" spans="2:12" x14ac:dyDescent="0.2">
      <c r="B11807"/>
      <c r="C11807"/>
      <c r="J11807"/>
      <c r="K11807"/>
      <c r="L11807"/>
    </row>
    <row r="11808" spans="2:12" x14ac:dyDescent="0.2">
      <c r="B11808"/>
      <c r="C11808"/>
      <c r="J11808"/>
      <c r="K11808"/>
      <c r="L11808"/>
    </row>
    <row r="11809" spans="2:12" x14ac:dyDescent="0.2">
      <c r="B11809"/>
      <c r="C11809"/>
      <c r="J11809"/>
      <c r="K11809"/>
      <c r="L11809"/>
    </row>
    <row r="11810" spans="2:12" x14ac:dyDescent="0.2">
      <c r="B11810"/>
      <c r="C11810"/>
      <c r="J11810"/>
      <c r="K11810"/>
      <c r="L11810"/>
    </row>
    <row r="11811" spans="2:12" x14ac:dyDescent="0.2">
      <c r="B11811"/>
      <c r="C11811"/>
      <c r="J11811"/>
      <c r="K11811"/>
      <c r="L11811"/>
    </row>
    <row r="11812" spans="2:12" x14ac:dyDescent="0.2">
      <c r="B11812"/>
      <c r="C11812"/>
      <c r="J11812"/>
      <c r="K11812"/>
      <c r="L11812"/>
    </row>
    <row r="11813" spans="2:12" x14ac:dyDescent="0.2">
      <c r="B11813"/>
      <c r="C11813"/>
      <c r="J11813"/>
      <c r="K11813"/>
      <c r="L11813"/>
    </row>
    <row r="11814" spans="2:12" x14ac:dyDescent="0.2">
      <c r="B11814"/>
      <c r="C11814"/>
      <c r="J11814"/>
      <c r="K11814"/>
      <c r="L11814"/>
    </row>
    <row r="11815" spans="2:12" x14ac:dyDescent="0.2">
      <c r="B11815"/>
      <c r="C11815"/>
      <c r="J11815"/>
      <c r="K11815"/>
      <c r="L11815"/>
    </row>
    <row r="11816" spans="2:12" x14ac:dyDescent="0.2">
      <c r="B11816"/>
      <c r="C11816"/>
      <c r="J11816"/>
      <c r="K11816"/>
      <c r="L11816"/>
    </row>
    <row r="11817" spans="2:12" x14ac:dyDescent="0.2">
      <c r="B11817"/>
      <c r="C11817"/>
      <c r="J11817"/>
      <c r="K11817"/>
      <c r="L11817"/>
    </row>
    <row r="11818" spans="2:12" x14ac:dyDescent="0.2">
      <c r="B11818"/>
      <c r="C11818"/>
      <c r="J11818"/>
      <c r="K11818"/>
      <c r="L11818"/>
    </row>
    <row r="11819" spans="2:12" x14ac:dyDescent="0.2">
      <c r="B11819"/>
      <c r="C11819"/>
      <c r="J11819"/>
      <c r="K11819"/>
      <c r="L11819"/>
    </row>
    <row r="11820" spans="2:12" x14ac:dyDescent="0.2">
      <c r="B11820"/>
      <c r="C11820"/>
      <c r="J11820"/>
      <c r="K11820"/>
      <c r="L11820"/>
    </row>
    <row r="11821" spans="2:12" x14ac:dyDescent="0.2">
      <c r="B11821"/>
      <c r="C11821"/>
      <c r="J11821"/>
      <c r="K11821"/>
      <c r="L11821"/>
    </row>
    <row r="11822" spans="2:12" x14ac:dyDescent="0.2">
      <c r="B11822"/>
      <c r="C11822"/>
      <c r="J11822"/>
      <c r="K11822"/>
      <c r="L11822"/>
    </row>
    <row r="11823" spans="2:12" x14ac:dyDescent="0.2">
      <c r="B11823"/>
      <c r="C11823"/>
      <c r="J11823"/>
      <c r="K11823"/>
      <c r="L11823"/>
    </row>
    <row r="11824" spans="2:12" x14ac:dyDescent="0.2">
      <c r="B11824"/>
      <c r="C11824"/>
      <c r="J11824"/>
      <c r="K11824"/>
      <c r="L11824"/>
    </row>
    <row r="11825" spans="2:12" x14ac:dyDescent="0.2">
      <c r="B11825"/>
      <c r="C11825"/>
      <c r="J11825"/>
      <c r="K11825"/>
      <c r="L11825"/>
    </row>
    <row r="11826" spans="2:12" x14ac:dyDescent="0.2">
      <c r="B11826"/>
      <c r="C11826"/>
      <c r="J11826"/>
      <c r="K11826"/>
      <c r="L11826"/>
    </row>
    <row r="11827" spans="2:12" x14ac:dyDescent="0.2">
      <c r="B11827"/>
      <c r="C11827"/>
      <c r="J11827"/>
      <c r="K11827"/>
      <c r="L11827"/>
    </row>
    <row r="11828" spans="2:12" x14ac:dyDescent="0.2">
      <c r="B11828"/>
      <c r="C11828"/>
      <c r="J11828"/>
      <c r="K11828"/>
      <c r="L11828"/>
    </row>
    <row r="11829" spans="2:12" x14ac:dyDescent="0.2">
      <c r="B11829"/>
      <c r="C11829"/>
      <c r="J11829"/>
      <c r="K11829"/>
      <c r="L11829"/>
    </row>
    <row r="11830" spans="2:12" x14ac:dyDescent="0.2">
      <c r="B11830"/>
      <c r="C11830"/>
      <c r="J11830"/>
      <c r="K11830"/>
      <c r="L11830"/>
    </row>
    <row r="11831" spans="2:12" x14ac:dyDescent="0.2">
      <c r="B11831"/>
      <c r="C11831"/>
      <c r="J11831"/>
      <c r="K11831"/>
      <c r="L11831"/>
    </row>
    <row r="11832" spans="2:12" x14ac:dyDescent="0.2">
      <c r="B11832"/>
      <c r="C11832"/>
      <c r="J11832"/>
      <c r="K11832"/>
      <c r="L11832"/>
    </row>
    <row r="11833" spans="2:12" x14ac:dyDescent="0.2">
      <c r="B11833"/>
      <c r="C11833"/>
      <c r="J11833"/>
      <c r="K11833"/>
      <c r="L11833"/>
    </row>
    <row r="11834" spans="2:12" x14ac:dyDescent="0.2">
      <c r="B11834"/>
      <c r="C11834"/>
      <c r="J11834"/>
      <c r="K11834"/>
      <c r="L11834"/>
    </row>
    <row r="11835" spans="2:12" x14ac:dyDescent="0.2">
      <c r="B11835"/>
      <c r="C11835"/>
      <c r="J11835"/>
      <c r="K11835"/>
      <c r="L11835"/>
    </row>
    <row r="11836" spans="2:12" x14ac:dyDescent="0.2">
      <c r="B11836"/>
      <c r="C11836"/>
      <c r="J11836"/>
      <c r="K11836"/>
      <c r="L11836"/>
    </row>
    <row r="11837" spans="2:12" x14ac:dyDescent="0.2">
      <c r="B11837"/>
      <c r="C11837"/>
      <c r="J11837"/>
      <c r="K11837"/>
      <c r="L11837"/>
    </row>
    <row r="11838" spans="2:12" x14ac:dyDescent="0.2">
      <c r="B11838"/>
      <c r="C11838"/>
      <c r="J11838"/>
      <c r="K11838"/>
      <c r="L11838"/>
    </row>
    <row r="11839" spans="2:12" x14ac:dyDescent="0.2">
      <c r="B11839"/>
      <c r="C11839"/>
      <c r="J11839"/>
      <c r="K11839"/>
      <c r="L11839"/>
    </row>
    <row r="11840" spans="2:12" x14ac:dyDescent="0.2">
      <c r="B11840"/>
      <c r="C11840"/>
      <c r="J11840"/>
      <c r="K11840"/>
      <c r="L11840"/>
    </row>
    <row r="11841" spans="2:12" x14ac:dyDescent="0.2">
      <c r="B11841"/>
      <c r="C11841"/>
      <c r="J11841"/>
      <c r="K11841"/>
      <c r="L11841"/>
    </row>
    <row r="11842" spans="2:12" x14ac:dyDescent="0.2">
      <c r="B11842"/>
      <c r="C11842"/>
      <c r="J11842"/>
      <c r="K11842"/>
      <c r="L11842"/>
    </row>
    <row r="11843" spans="2:12" x14ac:dyDescent="0.2">
      <c r="B11843"/>
      <c r="C11843"/>
      <c r="J11843"/>
      <c r="K11843"/>
      <c r="L11843"/>
    </row>
    <row r="11844" spans="2:12" x14ac:dyDescent="0.2">
      <c r="B11844"/>
      <c r="C11844"/>
      <c r="J11844"/>
      <c r="K11844"/>
      <c r="L11844"/>
    </row>
    <row r="11845" spans="2:12" x14ac:dyDescent="0.2">
      <c r="B11845"/>
      <c r="C11845"/>
      <c r="J11845"/>
      <c r="K11845"/>
      <c r="L11845"/>
    </row>
    <row r="11846" spans="2:12" x14ac:dyDescent="0.2">
      <c r="B11846"/>
      <c r="C11846"/>
      <c r="J11846"/>
      <c r="K11846"/>
      <c r="L11846"/>
    </row>
    <row r="11847" spans="2:12" x14ac:dyDescent="0.2">
      <c r="B11847"/>
      <c r="C11847"/>
      <c r="J11847"/>
      <c r="K11847"/>
      <c r="L11847"/>
    </row>
    <row r="11848" spans="2:12" x14ac:dyDescent="0.2">
      <c r="B11848"/>
      <c r="C11848"/>
      <c r="J11848"/>
      <c r="K11848"/>
      <c r="L11848"/>
    </row>
    <row r="11849" spans="2:12" x14ac:dyDescent="0.2">
      <c r="B11849"/>
      <c r="C11849"/>
      <c r="J11849"/>
      <c r="K11849"/>
      <c r="L11849"/>
    </row>
    <row r="11850" spans="2:12" x14ac:dyDescent="0.2">
      <c r="B11850"/>
      <c r="C11850"/>
      <c r="J11850"/>
      <c r="K11850"/>
      <c r="L11850"/>
    </row>
    <row r="11851" spans="2:12" x14ac:dyDescent="0.2">
      <c r="B11851"/>
      <c r="C11851"/>
      <c r="J11851"/>
      <c r="K11851"/>
      <c r="L11851"/>
    </row>
    <row r="11852" spans="2:12" x14ac:dyDescent="0.2">
      <c r="B11852"/>
      <c r="C11852"/>
      <c r="J11852"/>
      <c r="K11852"/>
      <c r="L11852"/>
    </row>
    <row r="11853" spans="2:12" x14ac:dyDescent="0.2">
      <c r="B11853"/>
      <c r="C11853"/>
      <c r="J11853"/>
      <c r="K11853"/>
      <c r="L11853"/>
    </row>
    <row r="11854" spans="2:12" x14ac:dyDescent="0.2">
      <c r="B11854"/>
      <c r="C11854"/>
      <c r="J11854"/>
      <c r="K11854"/>
      <c r="L11854"/>
    </row>
    <row r="11855" spans="2:12" x14ac:dyDescent="0.2">
      <c r="B11855"/>
      <c r="C11855"/>
      <c r="J11855"/>
      <c r="K11855"/>
      <c r="L11855"/>
    </row>
    <row r="11856" spans="2:12" x14ac:dyDescent="0.2">
      <c r="B11856"/>
      <c r="C11856"/>
      <c r="J11856"/>
      <c r="K11856"/>
      <c r="L11856"/>
    </row>
    <row r="11857" spans="2:12" x14ac:dyDescent="0.2">
      <c r="B11857"/>
      <c r="C11857"/>
      <c r="J11857"/>
      <c r="K11857"/>
      <c r="L11857"/>
    </row>
    <row r="11858" spans="2:12" x14ac:dyDescent="0.2">
      <c r="B11858"/>
      <c r="C11858"/>
      <c r="J11858"/>
      <c r="K11858"/>
      <c r="L11858"/>
    </row>
    <row r="11859" spans="2:12" x14ac:dyDescent="0.2">
      <c r="B11859"/>
      <c r="C11859"/>
      <c r="J11859"/>
      <c r="K11859"/>
      <c r="L11859"/>
    </row>
    <row r="11860" spans="2:12" x14ac:dyDescent="0.2">
      <c r="B11860"/>
      <c r="C11860"/>
      <c r="J11860"/>
      <c r="K11860"/>
      <c r="L11860"/>
    </row>
    <row r="11861" spans="2:12" x14ac:dyDescent="0.2">
      <c r="B11861"/>
      <c r="C11861"/>
      <c r="J11861"/>
      <c r="K11861"/>
      <c r="L11861"/>
    </row>
    <row r="11862" spans="2:12" x14ac:dyDescent="0.2">
      <c r="B11862"/>
      <c r="C11862"/>
      <c r="J11862"/>
      <c r="K11862"/>
      <c r="L11862"/>
    </row>
    <row r="11863" spans="2:12" x14ac:dyDescent="0.2">
      <c r="B11863"/>
      <c r="C11863"/>
      <c r="J11863"/>
      <c r="K11863"/>
      <c r="L11863"/>
    </row>
    <row r="11864" spans="2:12" x14ac:dyDescent="0.2">
      <c r="B11864"/>
      <c r="C11864"/>
      <c r="J11864"/>
      <c r="K11864"/>
      <c r="L11864"/>
    </row>
    <row r="11865" spans="2:12" x14ac:dyDescent="0.2">
      <c r="B11865"/>
      <c r="C11865"/>
      <c r="J11865"/>
      <c r="K11865"/>
      <c r="L11865"/>
    </row>
    <row r="11866" spans="2:12" x14ac:dyDescent="0.2">
      <c r="B11866"/>
      <c r="C11866"/>
      <c r="J11866"/>
      <c r="K11866"/>
      <c r="L11866"/>
    </row>
    <row r="11867" spans="2:12" x14ac:dyDescent="0.2">
      <c r="B11867"/>
      <c r="C11867"/>
      <c r="J11867"/>
      <c r="K11867"/>
      <c r="L11867"/>
    </row>
    <row r="11868" spans="2:12" x14ac:dyDescent="0.2">
      <c r="B11868"/>
      <c r="C11868"/>
      <c r="J11868"/>
      <c r="K11868"/>
      <c r="L11868"/>
    </row>
    <row r="11869" spans="2:12" x14ac:dyDescent="0.2">
      <c r="B11869"/>
      <c r="C11869"/>
      <c r="J11869"/>
      <c r="K11869"/>
      <c r="L11869"/>
    </row>
    <row r="11870" spans="2:12" x14ac:dyDescent="0.2">
      <c r="B11870"/>
      <c r="C11870"/>
      <c r="J11870"/>
      <c r="K11870"/>
      <c r="L11870"/>
    </row>
    <row r="11871" spans="2:12" x14ac:dyDescent="0.2">
      <c r="B11871"/>
      <c r="C11871"/>
      <c r="J11871"/>
      <c r="K11871"/>
      <c r="L11871"/>
    </row>
    <row r="11872" spans="2:12" x14ac:dyDescent="0.2">
      <c r="B11872"/>
      <c r="C11872"/>
      <c r="J11872"/>
      <c r="K11872"/>
      <c r="L11872"/>
    </row>
    <row r="11873" spans="2:12" x14ac:dyDescent="0.2">
      <c r="B11873"/>
      <c r="C11873"/>
      <c r="J11873"/>
      <c r="K11873"/>
      <c r="L11873"/>
    </row>
    <row r="11874" spans="2:12" x14ac:dyDescent="0.2">
      <c r="B11874"/>
      <c r="C11874"/>
      <c r="J11874"/>
      <c r="K11874"/>
      <c r="L11874"/>
    </row>
    <row r="11875" spans="2:12" x14ac:dyDescent="0.2">
      <c r="B11875"/>
      <c r="C11875"/>
      <c r="J11875"/>
      <c r="K11875"/>
      <c r="L11875"/>
    </row>
    <row r="11876" spans="2:12" x14ac:dyDescent="0.2">
      <c r="B11876"/>
      <c r="C11876"/>
      <c r="J11876"/>
      <c r="K11876"/>
      <c r="L11876"/>
    </row>
    <row r="11877" spans="2:12" x14ac:dyDescent="0.2">
      <c r="B11877"/>
      <c r="C11877"/>
      <c r="J11877"/>
      <c r="K11877"/>
      <c r="L11877"/>
    </row>
    <row r="11878" spans="2:12" x14ac:dyDescent="0.2">
      <c r="B11878"/>
      <c r="C11878"/>
      <c r="J11878"/>
      <c r="K11878"/>
      <c r="L11878"/>
    </row>
    <row r="11879" spans="2:12" x14ac:dyDescent="0.2">
      <c r="B11879"/>
      <c r="C11879"/>
      <c r="J11879"/>
      <c r="K11879"/>
      <c r="L11879"/>
    </row>
    <row r="11880" spans="2:12" x14ac:dyDescent="0.2">
      <c r="B11880"/>
      <c r="C11880"/>
      <c r="J11880"/>
      <c r="K11880"/>
      <c r="L11880"/>
    </row>
    <row r="11881" spans="2:12" x14ac:dyDescent="0.2">
      <c r="B11881"/>
      <c r="C11881"/>
      <c r="J11881"/>
      <c r="K11881"/>
      <c r="L11881"/>
    </row>
    <row r="11882" spans="2:12" x14ac:dyDescent="0.2">
      <c r="B11882"/>
      <c r="C11882"/>
      <c r="J11882"/>
      <c r="K11882"/>
      <c r="L11882"/>
    </row>
    <row r="11883" spans="2:12" x14ac:dyDescent="0.2">
      <c r="B11883"/>
      <c r="C11883"/>
      <c r="J11883"/>
      <c r="K11883"/>
      <c r="L11883"/>
    </row>
    <row r="11884" spans="2:12" x14ac:dyDescent="0.2">
      <c r="B11884"/>
      <c r="C11884"/>
      <c r="J11884"/>
      <c r="K11884"/>
      <c r="L11884"/>
    </row>
    <row r="11885" spans="2:12" x14ac:dyDescent="0.2">
      <c r="B11885"/>
      <c r="C11885"/>
      <c r="J11885"/>
      <c r="K11885"/>
      <c r="L11885"/>
    </row>
    <row r="11886" spans="2:12" x14ac:dyDescent="0.2">
      <c r="B11886"/>
      <c r="C11886"/>
      <c r="J11886"/>
      <c r="K11886"/>
      <c r="L11886"/>
    </row>
    <row r="11887" spans="2:12" x14ac:dyDescent="0.2">
      <c r="B11887"/>
      <c r="C11887"/>
      <c r="J11887"/>
      <c r="K11887"/>
      <c r="L11887"/>
    </row>
    <row r="11888" spans="2:12" x14ac:dyDescent="0.2">
      <c r="B11888"/>
      <c r="C11888"/>
      <c r="J11888"/>
      <c r="K11888"/>
      <c r="L11888"/>
    </row>
    <row r="11889" spans="2:12" x14ac:dyDescent="0.2">
      <c r="B11889"/>
      <c r="C11889"/>
      <c r="J11889"/>
      <c r="K11889"/>
      <c r="L11889"/>
    </row>
    <row r="11890" spans="2:12" x14ac:dyDescent="0.2">
      <c r="B11890"/>
      <c r="C11890"/>
      <c r="J11890"/>
      <c r="K11890"/>
      <c r="L11890"/>
    </row>
    <row r="11891" spans="2:12" x14ac:dyDescent="0.2">
      <c r="B11891"/>
      <c r="C11891"/>
      <c r="J11891"/>
      <c r="K11891"/>
      <c r="L11891"/>
    </row>
    <row r="11892" spans="2:12" x14ac:dyDescent="0.2">
      <c r="B11892"/>
      <c r="C11892"/>
      <c r="J11892"/>
      <c r="K11892"/>
      <c r="L11892"/>
    </row>
    <row r="11893" spans="2:12" x14ac:dyDescent="0.2">
      <c r="B11893"/>
      <c r="C11893"/>
      <c r="J11893"/>
      <c r="K11893"/>
      <c r="L11893"/>
    </row>
    <row r="11894" spans="2:12" x14ac:dyDescent="0.2">
      <c r="B11894"/>
      <c r="C11894"/>
      <c r="J11894"/>
      <c r="K11894"/>
      <c r="L11894"/>
    </row>
    <row r="11895" spans="2:12" x14ac:dyDescent="0.2">
      <c r="B11895"/>
      <c r="C11895"/>
      <c r="J11895"/>
      <c r="K11895"/>
      <c r="L11895"/>
    </row>
    <row r="11896" spans="2:12" x14ac:dyDescent="0.2">
      <c r="B11896"/>
      <c r="C11896"/>
      <c r="J11896"/>
      <c r="K11896"/>
      <c r="L11896"/>
    </row>
    <row r="11897" spans="2:12" x14ac:dyDescent="0.2">
      <c r="B11897"/>
      <c r="C11897"/>
      <c r="J11897"/>
      <c r="K11897"/>
      <c r="L11897"/>
    </row>
    <row r="11898" spans="2:12" x14ac:dyDescent="0.2">
      <c r="B11898"/>
      <c r="C11898"/>
      <c r="J11898"/>
      <c r="K11898"/>
      <c r="L11898"/>
    </row>
    <row r="11899" spans="2:12" x14ac:dyDescent="0.2">
      <c r="B11899"/>
      <c r="C11899"/>
      <c r="J11899"/>
      <c r="K11899"/>
      <c r="L11899"/>
    </row>
    <row r="11900" spans="2:12" x14ac:dyDescent="0.2">
      <c r="B11900"/>
      <c r="C11900"/>
      <c r="J11900"/>
      <c r="K11900"/>
      <c r="L11900"/>
    </row>
    <row r="11901" spans="2:12" x14ac:dyDescent="0.2">
      <c r="B11901"/>
      <c r="C11901"/>
      <c r="J11901"/>
      <c r="K11901"/>
      <c r="L11901"/>
    </row>
    <row r="11902" spans="2:12" x14ac:dyDescent="0.2">
      <c r="B11902"/>
      <c r="C11902"/>
      <c r="J11902"/>
      <c r="K11902"/>
      <c r="L11902"/>
    </row>
    <row r="11903" spans="2:12" x14ac:dyDescent="0.2">
      <c r="B11903"/>
      <c r="C11903"/>
      <c r="J11903"/>
      <c r="K11903"/>
      <c r="L11903"/>
    </row>
    <row r="11904" spans="2:12" x14ac:dyDescent="0.2">
      <c r="B11904"/>
      <c r="C11904"/>
      <c r="J11904"/>
      <c r="K11904"/>
      <c r="L11904"/>
    </row>
    <row r="11905" spans="2:12" x14ac:dyDescent="0.2">
      <c r="B11905"/>
      <c r="C11905"/>
      <c r="J11905"/>
      <c r="K11905"/>
      <c r="L11905"/>
    </row>
    <row r="11906" spans="2:12" x14ac:dyDescent="0.2">
      <c r="B11906"/>
      <c r="C11906"/>
      <c r="J11906"/>
      <c r="K11906"/>
      <c r="L11906"/>
    </row>
    <row r="11907" spans="2:12" x14ac:dyDescent="0.2">
      <c r="B11907"/>
      <c r="C11907"/>
      <c r="J11907"/>
      <c r="K11907"/>
      <c r="L11907"/>
    </row>
    <row r="11908" spans="2:12" x14ac:dyDescent="0.2">
      <c r="B11908"/>
      <c r="C11908"/>
      <c r="J11908"/>
      <c r="K11908"/>
      <c r="L11908"/>
    </row>
    <row r="11909" spans="2:12" x14ac:dyDescent="0.2">
      <c r="B11909"/>
      <c r="C11909"/>
      <c r="J11909"/>
      <c r="K11909"/>
      <c r="L11909"/>
    </row>
    <row r="11910" spans="2:12" x14ac:dyDescent="0.2">
      <c r="B11910"/>
      <c r="C11910"/>
      <c r="J11910"/>
      <c r="K11910"/>
      <c r="L11910"/>
    </row>
    <row r="11911" spans="2:12" x14ac:dyDescent="0.2">
      <c r="B11911"/>
      <c r="C11911"/>
      <c r="J11911"/>
      <c r="K11911"/>
      <c r="L11911"/>
    </row>
    <row r="11912" spans="2:12" x14ac:dyDescent="0.2">
      <c r="B11912"/>
      <c r="C11912"/>
      <c r="J11912"/>
      <c r="K11912"/>
      <c r="L11912"/>
    </row>
    <row r="11913" spans="2:12" x14ac:dyDescent="0.2">
      <c r="B11913"/>
      <c r="C11913"/>
      <c r="J11913"/>
      <c r="K11913"/>
      <c r="L11913"/>
    </row>
    <row r="11914" spans="2:12" x14ac:dyDescent="0.2">
      <c r="B11914"/>
      <c r="C11914"/>
      <c r="J11914"/>
      <c r="K11914"/>
      <c r="L11914"/>
    </row>
    <row r="11915" spans="2:12" x14ac:dyDescent="0.2">
      <c r="B11915"/>
      <c r="C11915"/>
      <c r="J11915"/>
      <c r="K11915"/>
      <c r="L11915"/>
    </row>
    <row r="11916" spans="2:12" x14ac:dyDescent="0.2">
      <c r="B11916"/>
      <c r="C11916"/>
      <c r="J11916"/>
      <c r="K11916"/>
      <c r="L11916"/>
    </row>
    <row r="11917" spans="2:12" x14ac:dyDescent="0.2">
      <c r="B11917"/>
      <c r="C11917"/>
      <c r="J11917"/>
      <c r="K11917"/>
      <c r="L11917"/>
    </row>
    <row r="11918" spans="2:12" x14ac:dyDescent="0.2">
      <c r="B11918"/>
      <c r="C11918"/>
      <c r="J11918"/>
      <c r="K11918"/>
      <c r="L11918"/>
    </row>
    <row r="11919" spans="2:12" x14ac:dyDescent="0.2">
      <c r="B11919"/>
      <c r="C11919"/>
      <c r="J11919"/>
      <c r="K11919"/>
      <c r="L11919"/>
    </row>
    <row r="11920" spans="2:12" x14ac:dyDescent="0.2">
      <c r="B11920"/>
      <c r="C11920"/>
      <c r="J11920"/>
      <c r="K11920"/>
      <c r="L11920"/>
    </row>
    <row r="11921" spans="2:12" x14ac:dyDescent="0.2">
      <c r="B11921"/>
      <c r="C11921"/>
      <c r="J11921"/>
      <c r="K11921"/>
      <c r="L11921"/>
    </row>
    <row r="11922" spans="2:12" x14ac:dyDescent="0.2">
      <c r="B11922"/>
      <c r="C11922"/>
      <c r="J11922"/>
      <c r="K11922"/>
      <c r="L11922"/>
    </row>
    <row r="11923" spans="2:12" x14ac:dyDescent="0.2">
      <c r="B11923"/>
      <c r="C11923"/>
      <c r="J11923"/>
      <c r="K11923"/>
      <c r="L11923"/>
    </row>
    <row r="11924" spans="2:12" x14ac:dyDescent="0.2">
      <c r="B11924"/>
      <c r="C11924"/>
      <c r="J11924"/>
      <c r="K11924"/>
      <c r="L11924"/>
    </row>
    <row r="11925" spans="2:12" x14ac:dyDescent="0.2">
      <c r="B11925"/>
      <c r="C11925"/>
      <c r="J11925"/>
      <c r="K11925"/>
      <c r="L11925"/>
    </row>
    <row r="11926" spans="2:12" x14ac:dyDescent="0.2">
      <c r="B11926"/>
      <c r="C11926"/>
      <c r="J11926"/>
      <c r="K11926"/>
      <c r="L11926"/>
    </row>
    <row r="11927" spans="2:12" x14ac:dyDescent="0.2">
      <c r="B11927"/>
      <c r="C11927"/>
      <c r="J11927"/>
      <c r="K11927"/>
      <c r="L11927"/>
    </row>
    <row r="11928" spans="2:12" x14ac:dyDescent="0.2">
      <c r="B11928"/>
      <c r="C11928"/>
      <c r="J11928"/>
      <c r="K11928"/>
      <c r="L11928"/>
    </row>
    <row r="11929" spans="2:12" x14ac:dyDescent="0.2">
      <c r="B11929"/>
      <c r="C11929"/>
      <c r="J11929"/>
      <c r="K11929"/>
      <c r="L11929"/>
    </row>
    <row r="11930" spans="2:12" x14ac:dyDescent="0.2">
      <c r="B11930"/>
      <c r="C11930"/>
      <c r="J11930"/>
      <c r="K11930"/>
      <c r="L11930"/>
    </row>
    <row r="11931" spans="2:12" x14ac:dyDescent="0.2">
      <c r="B11931"/>
      <c r="C11931"/>
      <c r="J11931"/>
      <c r="K11931"/>
      <c r="L11931"/>
    </row>
    <row r="11932" spans="2:12" x14ac:dyDescent="0.2">
      <c r="B11932"/>
      <c r="C11932"/>
      <c r="J11932"/>
      <c r="K11932"/>
      <c r="L11932"/>
    </row>
    <row r="11933" spans="2:12" x14ac:dyDescent="0.2">
      <c r="B11933"/>
      <c r="C11933"/>
      <c r="J11933"/>
      <c r="K11933"/>
      <c r="L11933"/>
    </row>
    <row r="11934" spans="2:12" x14ac:dyDescent="0.2">
      <c r="B11934"/>
      <c r="C11934"/>
      <c r="J11934"/>
      <c r="K11934"/>
      <c r="L11934"/>
    </row>
    <row r="11935" spans="2:12" x14ac:dyDescent="0.2">
      <c r="B11935"/>
      <c r="C11935"/>
      <c r="J11935"/>
      <c r="K11935"/>
      <c r="L11935"/>
    </row>
    <row r="11936" spans="2:12" x14ac:dyDescent="0.2">
      <c r="B11936"/>
      <c r="C11936"/>
      <c r="J11936"/>
      <c r="K11936"/>
      <c r="L11936"/>
    </row>
    <row r="11937" spans="2:12" x14ac:dyDescent="0.2">
      <c r="B11937"/>
      <c r="C11937"/>
      <c r="J11937"/>
      <c r="K11937"/>
      <c r="L11937"/>
    </row>
    <row r="11938" spans="2:12" x14ac:dyDescent="0.2">
      <c r="B11938"/>
      <c r="C11938"/>
      <c r="J11938"/>
      <c r="K11938"/>
      <c r="L11938"/>
    </row>
    <row r="11939" spans="2:12" x14ac:dyDescent="0.2">
      <c r="B11939"/>
      <c r="C11939"/>
      <c r="J11939"/>
      <c r="K11939"/>
      <c r="L11939"/>
    </row>
    <row r="11940" spans="2:12" x14ac:dyDescent="0.2">
      <c r="B11940"/>
      <c r="C11940"/>
      <c r="J11940"/>
      <c r="K11940"/>
      <c r="L11940"/>
    </row>
    <row r="11941" spans="2:12" x14ac:dyDescent="0.2">
      <c r="B11941"/>
      <c r="C11941"/>
      <c r="J11941"/>
      <c r="K11941"/>
      <c r="L11941"/>
    </row>
    <row r="11942" spans="2:12" x14ac:dyDescent="0.2">
      <c r="B11942"/>
      <c r="C11942"/>
      <c r="J11942"/>
      <c r="K11942"/>
      <c r="L11942"/>
    </row>
    <row r="11943" spans="2:12" x14ac:dyDescent="0.2">
      <c r="B11943"/>
      <c r="C11943"/>
      <c r="J11943"/>
      <c r="K11943"/>
      <c r="L11943"/>
    </row>
    <row r="11944" spans="2:12" x14ac:dyDescent="0.2">
      <c r="B11944"/>
      <c r="C11944"/>
      <c r="J11944"/>
      <c r="K11944"/>
      <c r="L11944"/>
    </row>
    <row r="11945" spans="2:12" x14ac:dyDescent="0.2">
      <c r="B11945"/>
      <c r="C11945"/>
      <c r="J11945"/>
      <c r="K11945"/>
      <c r="L11945"/>
    </row>
    <row r="11946" spans="2:12" x14ac:dyDescent="0.2">
      <c r="B11946"/>
      <c r="C11946"/>
      <c r="J11946"/>
      <c r="K11946"/>
      <c r="L11946"/>
    </row>
    <row r="11947" spans="2:12" x14ac:dyDescent="0.2">
      <c r="B11947"/>
      <c r="C11947"/>
      <c r="J11947"/>
      <c r="K11947"/>
      <c r="L11947"/>
    </row>
    <row r="11948" spans="2:12" x14ac:dyDescent="0.2">
      <c r="B11948"/>
      <c r="C11948"/>
      <c r="J11948"/>
      <c r="K11948"/>
      <c r="L11948"/>
    </row>
    <row r="11949" spans="2:12" x14ac:dyDescent="0.2">
      <c r="B11949"/>
      <c r="C11949"/>
      <c r="J11949"/>
      <c r="K11949"/>
      <c r="L11949"/>
    </row>
    <row r="11950" spans="2:12" x14ac:dyDescent="0.2">
      <c r="B11950"/>
      <c r="C11950"/>
      <c r="J11950"/>
      <c r="K11950"/>
      <c r="L11950"/>
    </row>
    <row r="11951" spans="2:12" x14ac:dyDescent="0.2">
      <c r="B11951"/>
      <c r="C11951"/>
      <c r="J11951"/>
      <c r="K11951"/>
      <c r="L11951"/>
    </row>
    <row r="11952" spans="2:12" x14ac:dyDescent="0.2">
      <c r="B11952"/>
      <c r="C11952"/>
      <c r="J11952"/>
      <c r="K11952"/>
      <c r="L11952"/>
    </row>
    <row r="11953" spans="2:12" x14ac:dyDescent="0.2">
      <c r="B11953"/>
      <c r="C11953"/>
      <c r="J11953"/>
      <c r="K11953"/>
      <c r="L11953"/>
    </row>
    <row r="11954" spans="2:12" x14ac:dyDescent="0.2">
      <c r="B11954"/>
      <c r="C11954"/>
      <c r="J11954"/>
      <c r="K11954"/>
      <c r="L11954"/>
    </row>
    <row r="11955" spans="2:12" x14ac:dyDescent="0.2">
      <c r="B11955"/>
      <c r="C11955"/>
      <c r="J11955"/>
      <c r="K11955"/>
      <c r="L11955"/>
    </row>
    <row r="11956" spans="2:12" x14ac:dyDescent="0.2">
      <c r="B11956"/>
      <c r="C11956"/>
      <c r="J11956"/>
      <c r="K11956"/>
      <c r="L11956"/>
    </row>
    <row r="11957" spans="2:12" x14ac:dyDescent="0.2">
      <c r="B11957"/>
      <c r="C11957"/>
      <c r="J11957"/>
      <c r="K11957"/>
      <c r="L11957"/>
    </row>
    <row r="11958" spans="2:12" x14ac:dyDescent="0.2">
      <c r="B11958"/>
      <c r="C11958"/>
      <c r="J11958"/>
      <c r="K11958"/>
      <c r="L11958"/>
    </row>
    <row r="11959" spans="2:12" x14ac:dyDescent="0.2">
      <c r="B11959"/>
      <c r="C11959"/>
      <c r="J11959"/>
      <c r="K11959"/>
      <c r="L11959"/>
    </row>
    <row r="11960" spans="2:12" x14ac:dyDescent="0.2">
      <c r="B11960"/>
      <c r="C11960"/>
      <c r="J11960"/>
      <c r="K11960"/>
      <c r="L11960"/>
    </row>
    <row r="11961" spans="2:12" x14ac:dyDescent="0.2">
      <c r="B11961"/>
      <c r="C11961"/>
      <c r="J11961"/>
      <c r="K11961"/>
      <c r="L11961"/>
    </row>
    <row r="11962" spans="2:12" x14ac:dyDescent="0.2">
      <c r="B11962"/>
      <c r="C11962"/>
      <c r="J11962"/>
      <c r="K11962"/>
      <c r="L11962"/>
    </row>
    <row r="11963" spans="2:12" x14ac:dyDescent="0.2">
      <c r="B11963"/>
      <c r="C11963"/>
      <c r="J11963"/>
      <c r="K11963"/>
      <c r="L11963"/>
    </row>
    <row r="11964" spans="2:12" x14ac:dyDescent="0.2">
      <c r="B11964"/>
      <c r="C11964"/>
      <c r="J11964"/>
      <c r="K11964"/>
      <c r="L11964"/>
    </row>
    <row r="11965" spans="2:12" x14ac:dyDescent="0.2">
      <c r="B11965"/>
      <c r="C11965"/>
      <c r="J11965"/>
      <c r="K11965"/>
      <c r="L11965"/>
    </row>
    <row r="11966" spans="2:12" x14ac:dyDescent="0.2">
      <c r="B11966"/>
      <c r="C11966"/>
      <c r="J11966"/>
      <c r="K11966"/>
      <c r="L11966"/>
    </row>
    <row r="11967" spans="2:12" x14ac:dyDescent="0.2">
      <c r="B11967"/>
      <c r="C11967"/>
      <c r="J11967"/>
      <c r="K11967"/>
      <c r="L11967"/>
    </row>
    <row r="11968" spans="2:12" x14ac:dyDescent="0.2">
      <c r="B11968"/>
      <c r="C11968"/>
      <c r="J11968"/>
      <c r="K11968"/>
      <c r="L11968"/>
    </row>
    <row r="11969" spans="2:12" x14ac:dyDescent="0.2">
      <c r="B11969"/>
      <c r="C11969"/>
      <c r="J11969"/>
      <c r="K11969"/>
      <c r="L11969"/>
    </row>
    <row r="11970" spans="2:12" x14ac:dyDescent="0.2">
      <c r="B11970"/>
      <c r="C11970"/>
      <c r="J11970"/>
      <c r="K11970"/>
      <c r="L11970"/>
    </row>
    <row r="11971" spans="2:12" x14ac:dyDescent="0.2">
      <c r="B11971"/>
      <c r="C11971"/>
      <c r="J11971"/>
      <c r="K11971"/>
      <c r="L11971"/>
    </row>
    <row r="11972" spans="2:12" x14ac:dyDescent="0.2">
      <c r="B11972"/>
      <c r="C11972"/>
      <c r="J11972"/>
      <c r="K11972"/>
      <c r="L11972"/>
    </row>
    <row r="11973" spans="2:12" x14ac:dyDescent="0.2">
      <c r="B11973"/>
      <c r="C11973"/>
      <c r="J11973"/>
      <c r="K11973"/>
      <c r="L11973"/>
    </row>
    <row r="11974" spans="2:12" x14ac:dyDescent="0.2">
      <c r="B11974"/>
      <c r="C11974"/>
      <c r="J11974"/>
      <c r="K11974"/>
      <c r="L11974"/>
    </row>
    <row r="11975" spans="2:12" x14ac:dyDescent="0.2">
      <c r="B11975"/>
      <c r="C11975"/>
      <c r="J11975"/>
      <c r="K11975"/>
      <c r="L11975"/>
    </row>
    <row r="11976" spans="2:12" x14ac:dyDescent="0.2">
      <c r="B11976"/>
      <c r="C11976"/>
      <c r="J11976"/>
      <c r="K11976"/>
      <c r="L11976"/>
    </row>
    <row r="11977" spans="2:12" x14ac:dyDescent="0.2">
      <c r="B11977"/>
      <c r="C11977"/>
      <c r="J11977"/>
      <c r="K11977"/>
      <c r="L11977"/>
    </row>
    <row r="11978" spans="2:12" x14ac:dyDescent="0.2">
      <c r="B11978"/>
      <c r="C11978"/>
      <c r="J11978"/>
      <c r="K11978"/>
      <c r="L11978"/>
    </row>
    <row r="11979" spans="2:12" x14ac:dyDescent="0.2">
      <c r="B11979"/>
      <c r="C11979"/>
      <c r="J11979"/>
      <c r="K11979"/>
      <c r="L11979"/>
    </row>
    <row r="11980" spans="2:12" x14ac:dyDescent="0.2">
      <c r="B11980"/>
      <c r="C11980"/>
      <c r="J11980"/>
      <c r="K11980"/>
      <c r="L11980"/>
    </row>
    <row r="11981" spans="2:12" x14ac:dyDescent="0.2">
      <c r="B11981"/>
      <c r="C11981"/>
      <c r="J11981"/>
      <c r="K11981"/>
      <c r="L11981"/>
    </row>
    <row r="11982" spans="2:12" x14ac:dyDescent="0.2">
      <c r="B11982"/>
      <c r="C11982"/>
      <c r="J11982"/>
      <c r="K11982"/>
      <c r="L11982"/>
    </row>
    <row r="11983" spans="2:12" x14ac:dyDescent="0.2">
      <c r="B11983"/>
      <c r="C11983"/>
      <c r="J11983"/>
      <c r="K11983"/>
      <c r="L11983"/>
    </row>
    <row r="11984" spans="2:12" x14ac:dyDescent="0.2">
      <c r="B11984"/>
      <c r="C11984"/>
      <c r="J11984"/>
      <c r="K11984"/>
      <c r="L11984"/>
    </row>
    <row r="11985" spans="2:12" x14ac:dyDescent="0.2">
      <c r="B11985"/>
      <c r="C11985"/>
      <c r="J11985"/>
      <c r="K11985"/>
      <c r="L11985"/>
    </row>
    <row r="11986" spans="2:12" x14ac:dyDescent="0.2">
      <c r="B11986"/>
      <c r="C11986"/>
      <c r="J11986"/>
      <c r="K11986"/>
      <c r="L11986"/>
    </row>
    <row r="11987" spans="2:12" x14ac:dyDescent="0.2">
      <c r="B11987"/>
      <c r="C11987"/>
      <c r="J11987"/>
      <c r="K11987"/>
      <c r="L11987"/>
    </row>
    <row r="11988" spans="2:12" x14ac:dyDescent="0.2">
      <c r="B11988"/>
      <c r="C11988"/>
      <c r="J11988"/>
      <c r="K11988"/>
      <c r="L11988"/>
    </row>
    <row r="11989" spans="2:12" x14ac:dyDescent="0.2">
      <c r="B11989"/>
      <c r="C11989"/>
      <c r="J11989"/>
      <c r="K11989"/>
      <c r="L11989"/>
    </row>
    <row r="11990" spans="2:12" x14ac:dyDescent="0.2">
      <c r="B11990"/>
      <c r="C11990"/>
      <c r="J11990"/>
      <c r="K11990"/>
      <c r="L11990"/>
    </row>
    <row r="11991" spans="2:12" x14ac:dyDescent="0.2">
      <c r="B11991"/>
      <c r="C11991"/>
      <c r="J11991"/>
      <c r="K11991"/>
      <c r="L11991"/>
    </row>
    <row r="11992" spans="2:12" x14ac:dyDescent="0.2">
      <c r="B11992"/>
      <c r="C11992"/>
      <c r="J11992"/>
      <c r="K11992"/>
      <c r="L11992"/>
    </row>
    <row r="11993" spans="2:12" x14ac:dyDescent="0.2">
      <c r="B11993"/>
      <c r="C11993"/>
      <c r="J11993"/>
      <c r="K11993"/>
      <c r="L11993"/>
    </row>
    <row r="11994" spans="2:12" x14ac:dyDescent="0.2">
      <c r="B11994"/>
      <c r="C11994"/>
      <c r="J11994"/>
      <c r="K11994"/>
      <c r="L11994"/>
    </row>
    <row r="11995" spans="2:12" x14ac:dyDescent="0.2">
      <c r="B11995"/>
      <c r="C11995"/>
      <c r="J11995"/>
      <c r="K11995"/>
      <c r="L11995"/>
    </row>
    <row r="11996" spans="2:12" x14ac:dyDescent="0.2">
      <c r="B11996"/>
      <c r="C11996"/>
      <c r="J11996"/>
      <c r="K11996"/>
      <c r="L11996"/>
    </row>
    <row r="11997" spans="2:12" x14ac:dyDescent="0.2">
      <c r="B11997"/>
      <c r="C11997"/>
      <c r="J11997"/>
      <c r="K11997"/>
      <c r="L11997"/>
    </row>
    <row r="11998" spans="2:12" x14ac:dyDescent="0.2">
      <c r="B11998"/>
      <c r="C11998"/>
      <c r="J11998"/>
      <c r="K11998"/>
      <c r="L11998"/>
    </row>
    <row r="11999" spans="2:12" x14ac:dyDescent="0.2">
      <c r="B11999"/>
      <c r="C11999"/>
      <c r="J11999"/>
      <c r="K11999"/>
      <c r="L11999"/>
    </row>
    <row r="12000" spans="2:12" x14ac:dyDescent="0.2">
      <c r="B12000"/>
      <c r="C12000"/>
      <c r="J12000"/>
      <c r="K12000"/>
      <c r="L12000"/>
    </row>
    <row r="12001" spans="2:12" x14ac:dyDescent="0.2">
      <c r="B12001"/>
      <c r="C12001"/>
      <c r="J12001"/>
      <c r="K12001"/>
      <c r="L12001"/>
    </row>
    <row r="12002" spans="2:12" x14ac:dyDescent="0.2">
      <c r="B12002"/>
      <c r="C12002"/>
      <c r="J12002"/>
      <c r="K12002"/>
      <c r="L12002"/>
    </row>
    <row r="12003" spans="2:12" x14ac:dyDescent="0.2">
      <c r="B12003"/>
      <c r="C12003"/>
      <c r="J12003"/>
      <c r="K12003"/>
      <c r="L12003"/>
    </row>
    <row r="12004" spans="2:12" x14ac:dyDescent="0.2">
      <c r="B12004"/>
      <c r="C12004"/>
      <c r="J12004"/>
      <c r="K12004"/>
      <c r="L12004"/>
    </row>
    <row r="12005" spans="2:12" x14ac:dyDescent="0.2">
      <c r="B12005"/>
      <c r="C12005"/>
      <c r="J12005"/>
      <c r="K12005"/>
      <c r="L12005"/>
    </row>
    <row r="12006" spans="2:12" x14ac:dyDescent="0.2">
      <c r="B12006"/>
      <c r="C12006"/>
      <c r="J12006"/>
      <c r="K12006"/>
      <c r="L12006"/>
    </row>
    <row r="12007" spans="2:12" x14ac:dyDescent="0.2">
      <c r="B12007"/>
      <c r="C12007"/>
      <c r="J12007"/>
      <c r="K12007"/>
      <c r="L12007"/>
    </row>
    <row r="12008" spans="2:12" x14ac:dyDescent="0.2">
      <c r="B12008"/>
      <c r="C12008"/>
      <c r="J12008"/>
      <c r="K12008"/>
      <c r="L12008"/>
    </row>
    <row r="12009" spans="2:12" x14ac:dyDescent="0.2">
      <c r="B12009"/>
      <c r="C12009"/>
      <c r="J12009"/>
      <c r="K12009"/>
      <c r="L12009"/>
    </row>
    <row r="12010" spans="2:12" x14ac:dyDescent="0.2">
      <c r="B12010"/>
      <c r="C12010"/>
      <c r="J12010"/>
      <c r="K12010"/>
      <c r="L12010"/>
    </row>
    <row r="12011" spans="2:12" x14ac:dyDescent="0.2">
      <c r="B12011"/>
      <c r="C12011"/>
      <c r="J12011"/>
      <c r="K12011"/>
      <c r="L12011"/>
    </row>
    <row r="12012" spans="2:12" x14ac:dyDescent="0.2">
      <c r="B12012"/>
      <c r="C12012"/>
      <c r="J12012"/>
      <c r="K12012"/>
      <c r="L12012"/>
    </row>
    <row r="12013" spans="2:12" x14ac:dyDescent="0.2">
      <c r="B12013"/>
      <c r="C12013"/>
      <c r="J12013"/>
      <c r="K12013"/>
      <c r="L12013"/>
    </row>
    <row r="12014" spans="2:12" x14ac:dyDescent="0.2">
      <c r="B12014"/>
      <c r="C12014"/>
      <c r="J12014"/>
      <c r="K12014"/>
      <c r="L12014"/>
    </row>
    <row r="12015" spans="2:12" x14ac:dyDescent="0.2">
      <c r="B12015"/>
      <c r="C12015"/>
      <c r="J12015"/>
      <c r="K12015"/>
      <c r="L12015"/>
    </row>
    <row r="12016" spans="2:12" x14ac:dyDescent="0.2">
      <c r="B12016"/>
      <c r="C12016"/>
      <c r="J12016"/>
      <c r="K12016"/>
      <c r="L12016"/>
    </row>
    <row r="12017" spans="2:12" x14ac:dyDescent="0.2">
      <c r="B12017"/>
      <c r="C12017"/>
      <c r="J12017"/>
      <c r="K12017"/>
      <c r="L12017"/>
    </row>
    <row r="12018" spans="2:12" x14ac:dyDescent="0.2">
      <c r="B12018"/>
      <c r="C12018"/>
      <c r="J12018"/>
      <c r="K12018"/>
      <c r="L12018"/>
    </row>
    <row r="12019" spans="2:12" x14ac:dyDescent="0.2">
      <c r="B12019"/>
      <c r="C12019"/>
      <c r="J12019"/>
      <c r="K12019"/>
      <c r="L12019"/>
    </row>
    <row r="12020" spans="2:12" x14ac:dyDescent="0.2">
      <c r="B12020"/>
      <c r="C12020"/>
      <c r="J12020"/>
      <c r="K12020"/>
      <c r="L12020"/>
    </row>
    <row r="12021" spans="2:12" x14ac:dyDescent="0.2">
      <c r="B12021"/>
      <c r="C12021"/>
      <c r="J12021"/>
      <c r="K12021"/>
      <c r="L12021"/>
    </row>
    <row r="12022" spans="2:12" x14ac:dyDescent="0.2">
      <c r="B12022"/>
      <c r="C12022"/>
      <c r="J12022"/>
      <c r="K12022"/>
      <c r="L12022"/>
    </row>
    <row r="12023" spans="2:12" x14ac:dyDescent="0.2">
      <c r="B12023"/>
      <c r="C12023"/>
      <c r="J12023"/>
      <c r="K12023"/>
      <c r="L12023"/>
    </row>
    <row r="12024" spans="2:12" x14ac:dyDescent="0.2">
      <c r="B12024"/>
      <c r="C12024"/>
      <c r="J12024"/>
      <c r="K12024"/>
      <c r="L12024"/>
    </row>
    <row r="12025" spans="2:12" x14ac:dyDescent="0.2">
      <c r="B12025"/>
      <c r="C12025"/>
      <c r="J12025"/>
      <c r="K12025"/>
      <c r="L12025"/>
    </row>
    <row r="12026" spans="2:12" x14ac:dyDescent="0.2">
      <c r="B12026"/>
      <c r="C12026"/>
      <c r="J12026"/>
      <c r="K12026"/>
      <c r="L12026"/>
    </row>
    <row r="12027" spans="2:12" x14ac:dyDescent="0.2">
      <c r="B12027"/>
      <c r="C12027"/>
      <c r="J12027"/>
      <c r="K12027"/>
      <c r="L12027"/>
    </row>
    <row r="12028" spans="2:12" x14ac:dyDescent="0.2">
      <c r="B12028"/>
      <c r="C12028"/>
      <c r="J12028"/>
      <c r="K12028"/>
      <c r="L12028"/>
    </row>
    <row r="12029" spans="2:12" x14ac:dyDescent="0.2">
      <c r="B12029"/>
      <c r="C12029"/>
      <c r="J12029"/>
      <c r="K12029"/>
      <c r="L12029"/>
    </row>
    <row r="12030" spans="2:12" x14ac:dyDescent="0.2">
      <c r="B12030"/>
      <c r="C12030"/>
      <c r="J12030"/>
      <c r="K12030"/>
      <c r="L12030"/>
    </row>
    <row r="12031" spans="2:12" x14ac:dyDescent="0.2">
      <c r="B12031"/>
      <c r="C12031"/>
      <c r="J12031"/>
      <c r="K12031"/>
      <c r="L12031"/>
    </row>
    <row r="12032" spans="2:12" x14ac:dyDescent="0.2">
      <c r="B12032"/>
      <c r="C12032"/>
      <c r="J12032"/>
      <c r="K12032"/>
      <c r="L12032"/>
    </row>
    <row r="12033" spans="2:12" x14ac:dyDescent="0.2">
      <c r="B12033"/>
      <c r="C12033"/>
      <c r="J12033"/>
      <c r="K12033"/>
      <c r="L12033"/>
    </row>
    <row r="12034" spans="2:12" x14ac:dyDescent="0.2">
      <c r="B12034"/>
      <c r="C12034"/>
      <c r="J12034"/>
      <c r="K12034"/>
      <c r="L12034"/>
    </row>
    <row r="12035" spans="2:12" x14ac:dyDescent="0.2">
      <c r="B12035"/>
      <c r="C12035"/>
      <c r="J12035"/>
      <c r="K12035"/>
      <c r="L12035"/>
    </row>
    <row r="12036" spans="2:12" x14ac:dyDescent="0.2">
      <c r="B12036"/>
      <c r="C12036"/>
      <c r="J12036"/>
      <c r="K12036"/>
      <c r="L12036"/>
    </row>
    <row r="12037" spans="2:12" x14ac:dyDescent="0.2">
      <c r="B12037"/>
      <c r="C12037"/>
      <c r="J12037"/>
      <c r="K12037"/>
      <c r="L12037"/>
    </row>
    <row r="12038" spans="2:12" x14ac:dyDescent="0.2">
      <c r="B12038"/>
      <c r="C12038"/>
      <c r="J12038"/>
      <c r="K12038"/>
      <c r="L12038"/>
    </row>
    <row r="12039" spans="2:12" x14ac:dyDescent="0.2">
      <c r="B12039"/>
      <c r="C12039"/>
      <c r="J12039"/>
      <c r="K12039"/>
      <c r="L12039"/>
    </row>
    <row r="12040" spans="2:12" x14ac:dyDescent="0.2">
      <c r="B12040"/>
      <c r="C12040"/>
      <c r="J12040"/>
      <c r="K12040"/>
      <c r="L12040"/>
    </row>
    <row r="12041" spans="2:12" x14ac:dyDescent="0.2">
      <c r="B12041"/>
      <c r="C12041"/>
      <c r="J12041"/>
      <c r="K12041"/>
      <c r="L12041"/>
    </row>
    <row r="12042" spans="2:12" x14ac:dyDescent="0.2">
      <c r="B12042"/>
      <c r="C12042"/>
      <c r="J12042"/>
      <c r="K12042"/>
      <c r="L12042"/>
    </row>
    <row r="12043" spans="2:12" x14ac:dyDescent="0.2">
      <c r="B12043"/>
      <c r="C12043"/>
      <c r="J12043"/>
      <c r="K12043"/>
      <c r="L12043"/>
    </row>
    <row r="12044" spans="2:12" x14ac:dyDescent="0.2">
      <c r="B12044"/>
      <c r="C12044"/>
      <c r="J12044"/>
      <c r="K12044"/>
      <c r="L12044"/>
    </row>
    <row r="12045" spans="2:12" x14ac:dyDescent="0.2">
      <c r="B12045"/>
      <c r="C12045"/>
      <c r="J12045"/>
      <c r="K12045"/>
      <c r="L12045"/>
    </row>
    <row r="12046" spans="2:12" x14ac:dyDescent="0.2">
      <c r="B12046"/>
      <c r="C12046"/>
      <c r="J12046"/>
      <c r="K12046"/>
      <c r="L12046"/>
    </row>
    <row r="12047" spans="2:12" x14ac:dyDescent="0.2">
      <c r="B12047"/>
      <c r="C12047"/>
      <c r="J12047"/>
      <c r="K12047"/>
      <c r="L12047"/>
    </row>
    <row r="12048" spans="2:12" x14ac:dyDescent="0.2">
      <c r="B12048"/>
      <c r="C12048"/>
      <c r="J12048"/>
      <c r="K12048"/>
      <c r="L12048"/>
    </row>
    <row r="12049" spans="2:12" x14ac:dyDescent="0.2">
      <c r="B12049"/>
      <c r="C12049"/>
      <c r="J12049"/>
      <c r="K12049"/>
      <c r="L12049"/>
    </row>
    <row r="12050" spans="2:12" x14ac:dyDescent="0.2">
      <c r="B12050"/>
      <c r="C12050"/>
      <c r="J12050"/>
      <c r="K12050"/>
      <c r="L12050"/>
    </row>
    <row r="12051" spans="2:12" x14ac:dyDescent="0.2">
      <c r="B12051"/>
      <c r="C12051"/>
      <c r="J12051"/>
      <c r="K12051"/>
      <c r="L12051"/>
    </row>
    <row r="12052" spans="2:12" x14ac:dyDescent="0.2">
      <c r="B12052"/>
      <c r="C12052"/>
      <c r="J12052"/>
      <c r="K12052"/>
      <c r="L12052"/>
    </row>
    <row r="12053" spans="2:12" x14ac:dyDescent="0.2">
      <c r="B12053"/>
      <c r="C12053"/>
      <c r="J12053"/>
      <c r="K12053"/>
      <c r="L12053"/>
    </row>
    <row r="12054" spans="2:12" x14ac:dyDescent="0.2">
      <c r="B12054"/>
      <c r="C12054"/>
      <c r="J12054"/>
      <c r="K12054"/>
      <c r="L12054"/>
    </row>
    <row r="12055" spans="2:12" x14ac:dyDescent="0.2">
      <c r="B12055"/>
      <c r="C12055"/>
      <c r="J12055"/>
      <c r="K12055"/>
      <c r="L12055"/>
    </row>
    <row r="12056" spans="2:12" x14ac:dyDescent="0.2">
      <c r="B12056"/>
      <c r="C12056"/>
      <c r="J12056"/>
      <c r="K12056"/>
      <c r="L12056"/>
    </row>
    <row r="12057" spans="2:12" x14ac:dyDescent="0.2">
      <c r="B12057"/>
      <c r="C12057"/>
      <c r="J12057"/>
      <c r="K12057"/>
      <c r="L12057"/>
    </row>
    <row r="12058" spans="2:12" x14ac:dyDescent="0.2">
      <c r="B12058"/>
      <c r="C12058"/>
      <c r="J12058"/>
      <c r="K12058"/>
      <c r="L12058"/>
    </row>
    <row r="12059" spans="2:12" x14ac:dyDescent="0.2">
      <c r="B12059"/>
      <c r="C12059"/>
      <c r="J12059"/>
      <c r="K12059"/>
      <c r="L12059"/>
    </row>
    <row r="12060" spans="2:12" x14ac:dyDescent="0.2">
      <c r="B12060"/>
      <c r="C12060"/>
      <c r="J12060"/>
      <c r="K12060"/>
      <c r="L12060"/>
    </row>
    <row r="12061" spans="2:12" x14ac:dyDescent="0.2">
      <c r="B12061"/>
      <c r="C12061"/>
      <c r="J12061"/>
      <c r="K12061"/>
      <c r="L12061"/>
    </row>
    <row r="12062" spans="2:12" x14ac:dyDescent="0.2">
      <c r="B12062"/>
      <c r="C12062"/>
      <c r="J12062"/>
      <c r="K12062"/>
      <c r="L12062"/>
    </row>
    <row r="12063" spans="2:12" x14ac:dyDescent="0.2">
      <c r="B12063"/>
      <c r="C12063"/>
      <c r="J12063"/>
      <c r="K12063"/>
      <c r="L12063"/>
    </row>
    <row r="12064" spans="2:12" x14ac:dyDescent="0.2">
      <c r="B12064"/>
      <c r="C12064"/>
      <c r="J12064"/>
      <c r="K12064"/>
      <c r="L12064"/>
    </row>
    <row r="12065" spans="2:12" x14ac:dyDescent="0.2">
      <c r="B12065"/>
      <c r="C12065"/>
      <c r="J12065"/>
      <c r="K12065"/>
      <c r="L12065"/>
    </row>
    <row r="12066" spans="2:12" x14ac:dyDescent="0.2">
      <c r="B12066"/>
      <c r="C12066"/>
      <c r="J12066"/>
      <c r="K12066"/>
      <c r="L12066"/>
    </row>
    <row r="12067" spans="2:12" x14ac:dyDescent="0.2">
      <c r="B12067"/>
      <c r="C12067"/>
      <c r="J12067"/>
      <c r="K12067"/>
      <c r="L12067"/>
    </row>
    <row r="12068" spans="2:12" x14ac:dyDescent="0.2">
      <c r="B12068"/>
      <c r="C12068"/>
      <c r="J12068"/>
      <c r="K12068"/>
      <c r="L12068"/>
    </row>
    <row r="12069" spans="2:12" x14ac:dyDescent="0.2">
      <c r="B12069"/>
      <c r="C12069"/>
      <c r="J12069"/>
      <c r="K12069"/>
      <c r="L12069"/>
    </row>
    <row r="12070" spans="2:12" x14ac:dyDescent="0.2">
      <c r="B12070"/>
      <c r="C12070"/>
      <c r="J12070"/>
      <c r="K12070"/>
      <c r="L12070"/>
    </row>
    <row r="12071" spans="2:12" x14ac:dyDescent="0.2">
      <c r="B12071"/>
      <c r="C12071"/>
      <c r="J12071"/>
      <c r="K12071"/>
      <c r="L12071"/>
    </row>
    <row r="12072" spans="2:12" x14ac:dyDescent="0.2">
      <c r="B12072"/>
      <c r="C12072"/>
      <c r="J12072"/>
      <c r="K12072"/>
      <c r="L12072"/>
    </row>
    <row r="12073" spans="2:12" x14ac:dyDescent="0.2">
      <c r="B12073"/>
      <c r="C12073"/>
      <c r="J12073"/>
      <c r="K12073"/>
      <c r="L12073"/>
    </row>
    <row r="12074" spans="2:12" x14ac:dyDescent="0.2">
      <c r="B12074"/>
      <c r="C12074"/>
      <c r="J12074"/>
      <c r="K12074"/>
      <c r="L12074"/>
    </row>
    <row r="12075" spans="2:12" x14ac:dyDescent="0.2">
      <c r="B12075"/>
      <c r="C12075"/>
      <c r="J12075"/>
      <c r="K12075"/>
      <c r="L12075"/>
    </row>
    <row r="12076" spans="2:12" x14ac:dyDescent="0.2">
      <c r="B12076"/>
      <c r="C12076"/>
      <c r="J12076"/>
      <c r="K12076"/>
      <c r="L12076"/>
    </row>
    <row r="12077" spans="2:12" x14ac:dyDescent="0.2">
      <c r="B12077"/>
      <c r="C12077"/>
      <c r="J12077"/>
      <c r="K12077"/>
      <c r="L12077"/>
    </row>
    <row r="12078" spans="2:12" x14ac:dyDescent="0.2">
      <c r="B12078"/>
      <c r="C12078"/>
      <c r="J12078"/>
      <c r="K12078"/>
      <c r="L12078"/>
    </row>
    <row r="12079" spans="2:12" x14ac:dyDescent="0.2">
      <c r="B12079"/>
      <c r="C12079"/>
      <c r="J12079"/>
      <c r="K12079"/>
      <c r="L12079"/>
    </row>
    <row r="12080" spans="2:12" x14ac:dyDescent="0.2">
      <c r="B12080"/>
      <c r="C12080"/>
      <c r="J12080"/>
      <c r="K12080"/>
      <c r="L12080"/>
    </row>
    <row r="12081" spans="2:12" x14ac:dyDescent="0.2">
      <c r="B12081"/>
      <c r="C12081"/>
      <c r="J12081"/>
      <c r="K12081"/>
      <c r="L12081"/>
    </row>
    <row r="12082" spans="2:12" x14ac:dyDescent="0.2">
      <c r="B12082"/>
      <c r="C12082"/>
      <c r="J12082"/>
      <c r="K12082"/>
      <c r="L12082"/>
    </row>
    <row r="12083" spans="2:12" x14ac:dyDescent="0.2">
      <c r="B12083"/>
      <c r="C12083"/>
      <c r="J12083"/>
      <c r="K12083"/>
      <c r="L12083"/>
    </row>
    <row r="12084" spans="2:12" x14ac:dyDescent="0.2">
      <c r="B12084"/>
      <c r="C12084"/>
      <c r="J12084"/>
      <c r="K12084"/>
      <c r="L12084"/>
    </row>
    <row r="12085" spans="2:12" x14ac:dyDescent="0.2">
      <c r="B12085"/>
      <c r="C12085"/>
      <c r="J12085"/>
      <c r="K12085"/>
      <c r="L12085"/>
    </row>
    <row r="12086" spans="2:12" x14ac:dyDescent="0.2">
      <c r="B12086"/>
      <c r="C12086"/>
      <c r="J12086"/>
      <c r="K12086"/>
      <c r="L12086"/>
    </row>
    <row r="12087" spans="2:12" x14ac:dyDescent="0.2">
      <c r="B12087"/>
      <c r="C12087"/>
      <c r="J12087"/>
      <c r="K12087"/>
      <c r="L12087"/>
    </row>
    <row r="12088" spans="2:12" x14ac:dyDescent="0.2">
      <c r="B12088"/>
      <c r="C12088"/>
      <c r="J12088"/>
      <c r="K12088"/>
      <c r="L12088"/>
    </row>
    <row r="12089" spans="2:12" x14ac:dyDescent="0.2">
      <c r="B12089"/>
      <c r="C12089"/>
      <c r="J12089"/>
      <c r="K12089"/>
      <c r="L12089"/>
    </row>
    <row r="12090" spans="2:12" x14ac:dyDescent="0.2">
      <c r="B12090"/>
      <c r="C12090"/>
      <c r="J12090"/>
      <c r="K12090"/>
      <c r="L12090"/>
    </row>
    <row r="12091" spans="2:12" x14ac:dyDescent="0.2">
      <c r="B12091"/>
      <c r="C12091"/>
      <c r="J12091"/>
      <c r="K12091"/>
      <c r="L12091"/>
    </row>
    <row r="12092" spans="2:12" x14ac:dyDescent="0.2">
      <c r="B12092"/>
      <c r="C12092"/>
      <c r="J12092"/>
      <c r="K12092"/>
      <c r="L12092"/>
    </row>
    <row r="12093" spans="2:12" x14ac:dyDescent="0.2">
      <c r="B12093"/>
      <c r="C12093"/>
      <c r="J12093"/>
      <c r="K12093"/>
      <c r="L12093"/>
    </row>
    <row r="12094" spans="2:12" x14ac:dyDescent="0.2">
      <c r="B12094"/>
      <c r="C12094"/>
      <c r="J12094"/>
      <c r="K12094"/>
      <c r="L12094"/>
    </row>
    <row r="12095" spans="2:12" x14ac:dyDescent="0.2">
      <c r="B12095"/>
      <c r="C12095"/>
      <c r="J12095"/>
      <c r="K12095"/>
      <c r="L12095"/>
    </row>
    <row r="12096" spans="2:12" x14ac:dyDescent="0.2">
      <c r="B12096"/>
      <c r="C12096"/>
      <c r="J12096"/>
      <c r="K12096"/>
      <c r="L12096"/>
    </row>
    <row r="12097" spans="2:12" x14ac:dyDescent="0.2">
      <c r="B12097"/>
      <c r="C12097"/>
      <c r="J12097"/>
      <c r="K12097"/>
      <c r="L12097"/>
    </row>
    <row r="12098" spans="2:12" x14ac:dyDescent="0.2">
      <c r="B12098"/>
      <c r="C12098"/>
      <c r="J12098"/>
      <c r="K12098"/>
      <c r="L12098"/>
    </row>
    <row r="12099" spans="2:12" x14ac:dyDescent="0.2">
      <c r="B12099"/>
      <c r="C12099"/>
      <c r="J12099"/>
      <c r="K12099"/>
      <c r="L12099"/>
    </row>
    <row r="12100" spans="2:12" x14ac:dyDescent="0.2">
      <c r="B12100"/>
      <c r="C12100"/>
      <c r="J12100"/>
      <c r="K12100"/>
      <c r="L12100"/>
    </row>
    <row r="12101" spans="2:12" x14ac:dyDescent="0.2">
      <c r="B12101"/>
      <c r="C12101"/>
      <c r="J12101"/>
      <c r="K12101"/>
      <c r="L12101"/>
    </row>
    <row r="12102" spans="2:12" x14ac:dyDescent="0.2">
      <c r="B12102"/>
      <c r="C12102"/>
      <c r="J12102"/>
      <c r="K12102"/>
      <c r="L12102"/>
    </row>
    <row r="12103" spans="2:12" x14ac:dyDescent="0.2">
      <c r="B12103"/>
      <c r="C12103"/>
      <c r="J12103"/>
      <c r="K12103"/>
      <c r="L12103"/>
    </row>
    <row r="12104" spans="2:12" x14ac:dyDescent="0.2">
      <c r="B12104"/>
      <c r="C12104"/>
      <c r="J12104"/>
      <c r="K12104"/>
      <c r="L12104"/>
    </row>
    <row r="12105" spans="2:12" x14ac:dyDescent="0.2">
      <c r="B12105"/>
      <c r="C12105"/>
      <c r="J12105"/>
      <c r="K12105"/>
      <c r="L12105"/>
    </row>
    <row r="12106" spans="2:12" x14ac:dyDescent="0.2">
      <c r="B12106"/>
      <c r="C12106"/>
      <c r="J12106"/>
      <c r="K12106"/>
      <c r="L12106"/>
    </row>
    <row r="12107" spans="2:12" x14ac:dyDescent="0.2">
      <c r="B12107"/>
      <c r="C12107"/>
      <c r="J12107"/>
      <c r="K12107"/>
      <c r="L12107"/>
    </row>
    <row r="12108" spans="2:12" x14ac:dyDescent="0.2">
      <c r="B12108"/>
      <c r="C12108"/>
      <c r="J12108"/>
      <c r="K12108"/>
      <c r="L12108"/>
    </row>
    <row r="12109" spans="2:12" x14ac:dyDescent="0.2">
      <c r="B12109"/>
      <c r="C12109"/>
      <c r="J12109"/>
      <c r="K12109"/>
      <c r="L12109"/>
    </row>
    <row r="12110" spans="2:12" x14ac:dyDescent="0.2">
      <c r="B12110"/>
      <c r="C12110"/>
      <c r="J12110"/>
      <c r="K12110"/>
      <c r="L12110"/>
    </row>
    <row r="12111" spans="2:12" x14ac:dyDescent="0.2">
      <c r="B12111"/>
      <c r="C12111"/>
      <c r="J12111"/>
      <c r="K12111"/>
      <c r="L12111"/>
    </row>
    <row r="12112" spans="2:12" x14ac:dyDescent="0.2">
      <c r="B12112"/>
      <c r="C12112"/>
      <c r="J12112"/>
      <c r="K12112"/>
      <c r="L12112"/>
    </row>
    <row r="12113" spans="2:12" x14ac:dyDescent="0.2">
      <c r="B12113"/>
      <c r="C12113"/>
      <c r="J12113"/>
      <c r="K12113"/>
      <c r="L12113"/>
    </row>
    <row r="12114" spans="2:12" x14ac:dyDescent="0.2">
      <c r="B12114"/>
      <c r="C12114"/>
      <c r="J12114"/>
      <c r="K12114"/>
      <c r="L12114"/>
    </row>
    <row r="12115" spans="2:12" x14ac:dyDescent="0.2">
      <c r="B12115"/>
      <c r="C12115"/>
      <c r="J12115"/>
      <c r="K12115"/>
      <c r="L12115"/>
    </row>
    <row r="12116" spans="2:12" x14ac:dyDescent="0.2">
      <c r="B12116"/>
      <c r="C12116"/>
      <c r="J12116"/>
      <c r="K12116"/>
      <c r="L12116"/>
    </row>
    <row r="12117" spans="2:12" x14ac:dyDescent="0.2">
      <c r="B12117"/>
      <c r="C12117"/>
      <c r="J12117"/>
      <c r="K12117"/>
      <c r="L12117"/>
    </row>
    <row r="12118" spans="2:12" x14ac:dyDescent="0.2">
      <c r="B12118"/>
      <c r="C12118"/>
      <c r="J12118"/>
      <c r="K12118"/>
      <c r="L12118"/>
    </row>
    <row r="12119" spans="2:12" x14ac:dyDescent="0.2">
      <c r="B12119"/>
      <c r="C12119"/>
      <c r="J12119"/>
      <c r="K12119"/>
      <c r="L12119"/>
    </row>
    <row r="12120" spans="2:12" x14ac:dyDescent="0.2">
      <c r="B12120"/>
      <c r="C12120"/>
      <c r="J12120"/>
      <c r="K12120"/>
      <c r="L12120"/>
    </row>
    <row r="12121" spans="2:12" x14ac:dyDescent="0.2">
      <c r="B12121"/>
      <c r="C12121"/>
      <c r="J12121"/>
      <c r="K12121"/>
      <c r="L12121"/>
    </row>
    <row r="12122" spans="2:12" x14ac:dyDescent="0.2">
      <c r="B12122"/>
      <c r="C12122"/>
      <c r="J12122"/>
      <c r="K12122"/>
      <c r="L12122"/>
    </row>
    <row r="12123" spans="2:12" x14ac:dyDescent="0.2">
      <c r="B12123"/>
      <c r="C12123"/>
      <c r="J12123"/>
      <c r="K12123"/>
      <c r="L12123"/>
    </row>
    <row r="12124" spans="2:12" x14ac:dyDescent="0.2">
      <c r="B12124"/>
      <c r="C12124"/>
      <c r="J12124"/>
      <c r="K12124"/>
      <c r="L12124"/>
    </row>
    <row r="12125" spans="2:12" x14ac:dyDescent="0.2">
      <c r="B12125"/>
      <c r="C12125"/>
      <c r="J12125"/>
      <c r="K12125"/>
      <c r="L12125"/>
    </row>
    <row r="12126" spans="2:12" x14ac:dyDescent="0.2">
      <c r="B12126"/>
      <c r="C12126"/>
      <c r="J12126"/>
      <c r="K12126"/>
      <c r="L12126"/>
    </row>
    <row r="12127" spans="2:12" x14ac:dyDescent="0.2">
      <c r="B12127"/>
      <c r="C12127"/>
      <c r="J12127"/>
      <c r="K12127"/>
      <c r="L12127"/>
    </row>
    <row r="12128" spans="2:12" x14ac:dyDescent="0.2">
      <c r="B12128"/>
      <c r="C12128"/>
      <c r="J12128"/>
      <c r="K12128"/>
      <c r="L12128"/>
    </row>
    <row r="12129" spans="2:12" x14ac:dyDescent="0.2">
      <c r="B12129"/>
      <c r="C12129"/>
      <c r="J12129"/>
      <c r="K12129"/>
      <c r="L12129"/>
    </row>
    <row r="12130" spans="2:12" x14ac:dyDescent="0.2">
      <c r="B12130"/>
      <c r="C12130"/>
      <c r="J12130"/>
      <c r="K12130"/>
      <c r="L12130"/>
    </row>
    <row r="12131" spans="2:12" x14ac:dyDescent="0.2">
      <c r="B12131"/>
      <c r="C12131"/>
      <c r="J12131"/>
      <c r="K12131"/>
      <c r="L12131"/>
    </row>
    <row r="12132" spans="2:12" x14ac:dyDescent="0.2">
      <c r="B12132"/>
      <c r="C12132"/>
      <c r="J12132"/>
      <c r="K12132"/>
      <c r="L12132"/>
    </row>
    <row r="12133" spans="2:12" x14ac:dyDescent="0.2">
      <c r="B12133"/>
      <c r="C12133"/>
      <c r="J12133"/>
      <c r="K12133"/>
      <c r="L12133"/>
    </row>
    <row r="12134" spans="2:12" x14ac:dyDescent="0.2">
      <c r="B12134"/>
      <c r="C12134"/>
      <c r="J12134"/>
      <c r="K12134"/>
      <c r="L12134"/>
    </row>
    <row r="12135" spans="2:12" x14ac:dyDescent="0.2">
      <c r="B12135"/>
      <c r="C12135"/>
      <c r="J12135"/>
      <c r="K12135"/>
      <c r="L12135"/>
    </row>
    <row r="12136" spans="2:12" x14ac:dyDescent="0.2">
      <c r="B12136"/>
      <c r="C12136"/>
      <c r="J12136"/>
      <c r="K12136"/>
      <c r="L12136"/>
    </row>
    <row r="12137" spans="2:12" x14ac:dyDescent="0.2">
      <c r="B12137"/>
      <c r="C12137"/>
      <c r="J12137"/>
      <c r="K12137"/>
      <c r="L12137"/>
    </row>
    <row r="12138" spans="2:12" x14ac:dyDescent="0.2">
      <c r="B12138"/>
      <c r="C12138"/>
      <c r="J12138"/>
      <c r="K12138"/>
      <c r="L12138"/>
    </row>
    <row r="12139" spans="2:12" x14ac:dyDescent="0.2">
      <c r="B12139"/>
      <c r="C12139"/>
      <c r="J12139"/>
      <c r="K12139"/>
      <c r="L12139"/>
    </row>
    <row r="12140" spans="2:12" x14ac:dyDescent="0.2">
      <c r="B12140"/>
      <c r="C12140"/>
      <c r="J12140"/>
      <c r="K12140"/>
      <c r="L12140"/>
    </row>
    <row r="12141" spans="2:12" x14ac:dyDescent="0.2">
      <c r="B12141"/>
      <c r="C12141"/>
      <c r="J12141"/>
      <c r="K12141"/>
      <c r="L12141"/>
    </row>
    <row r="12142" spans="2:12" x14ac:dyDescent="0.2">
      <c r="B12142"/>
      <c r="C12142"/>
      <c r="J12142"/>
      <c r="K12142"/>
      <c r="L12142"/>
    </row>
    <row r="12143" spans="2:12" x14ac:dyDescent="0.2">
      <c r="B12143"/>
      <c r="C12143"/>
      <c r="J12143"/>
      <c r="K12143"/>
      <c r="L12143"/>
    </row>
    <row r="12144" spans="2:12" x14ac:dyDescent="0.2">
      <c r="B12144"/>
      <c r="C12144"/>
      <c r="J12144"/>
      <c r="K12144"/>
      <c r="L12144"/>
    </row>
    <row r="12145" spans="2:12" x14ac:dyDescent="0.2">
      <c r="B12145"/>
      <c r="C12145"/>
      <c r="J12145"/>
      <c r="K12145"/>
      <c r="L12145"/>
    </row>
    <row r="12146" spans="2:12" x14ac:dyDescent="0.2">
      <c r="B12146"/>
      <c r="C12146"/>
      <c r="J12146"/>
      <c r="K12146"/>
      <c r="L12146"/>
    </row>
    <row r="12147" spans="2:12" x14ac:dyDescent="0.2">
      <c r="B12147"/>
      <c r="C12147"/>
      <c r="J12147"/>
      <c r="K12147"/>
      <c r="L12147"/>
    </row>
    <row r="12148" spans="2:12" x14ac:dyDescent="0.2">
      <c r="B12148"/>
      <c r="C12148"/>
      <c r="J12148"/>
      <c r="K12148"/>
      <c r="L12148"/>
    </row>
    <row r="12149" spans="2:12" x14ac:dyDescent="0.2">
      <c r="B12149"/>
      <c r="C12149"/>
      <c r="J12149"/>
      <c r="K12149"/>
      <c r="L12149"/>
    </row>
    <row r="12150" spans="2:12" x14ac:dyDescent="0.2">
      <c r="B12150"/>
      <c r="C12150"/>
      <c r="J12150"/>
      <c r="K12150"/>
      <c r="L12150"/>
    </row>
    <row r="12151" spans="2:12" x14ac:dyDescent="0.2">
      <c r="B12151"/>
      <c r="C12151"/>
      <c r="J12151"/>
      <c r="K12151"/>
      <c r="L12151"/>
    </row>
    <row r="12152" spans="2:12" x14ac:dyDescent="0.2">
      <c r="B12152"/>
      <c r="C12152"/>
      <c r="J12152"/>
      <c r="K12152"/>
      <c r="L12152"/>
    </row>
    <row r="12153" spans="2:12" x14ac:dyDescent="0.2">
      <c r="B12153"/>
      <c r="C12153"/>
      <c r="J12153"/>
      <c r="K12153"/>
      <c r="L12153"/>
    </row>
    <row r="12154" spans="2:12" x14ac:dyDescent="0.2">
      <c r="B12154"/>
      <c r="C12154"/>
      <c r="J12154"/>
      <c r="K12154"/>
      <c r="L12154"/>
    </row>
    <row r="12155" spans="2:12" x14ac:dyDescent="0.2">
      <c r="B12155"/>
      <c r="C12155"/>
      <c r="J12155"/>
      <c r="K12155"/>
      <c r="L12155"/>
    </row>
    <row r="12156" spans="2:12" x14ac:dyDescent="0.2">
      <c r="B12156"/>
      <c r="C12156"/>
      <c r="J12156"/>
      <c r="K12156"/>
      <c r="L12156"/>
    </row>
    <row r="12157" spans="2:12" x14ac:dyDescent="0.2">
      <c r="B12157"/>
      <c r="C12157"/>
      <c r="J12157"/>
      <c r="K12157"/>
      <c r="L12157"/>
    </row>
    <row r="12158" spans="2:12" x14ac:dyDescent="0.2">
      <c r="B12158"/>
      <c r="C12158"/>
      <c r="J12158"/>
      <c r="K12158"/>
      <c r="L12158"/>
    </row>
    <row r="12159" spans="2:12" x14ac:dyDescent="0.2">
      <c r="B12159"/>
      <c r="C12159"/>
      <c r="J12159"/>
      <c r="K12159"/>
      <c r="L12159"/>
    </row>
    <row r="12160" spans="2:12" x14ac:dyDescent="0.2">
      <c r="B12160"/>
      <c r="C12160"/>
      <c r="J12160"/>
      <c r="K12160"/>
      <c r="L12160"/>
    </row>
    <row r="12161" spans="2:12" x14ac:dyDescent="0.2">
      <c r="B12161"/>
      <c r="C12161"/>
      <c r="J12161"/>
      <c r="K12161"/>
      <c r="L12161"/>
    </row>
    <row r="12162" spans="2:12" x14ac:dyDescent="0.2">
      <c r="B12162"/>
      <c r="C12162"/>
      <c r="J12162"/>
      <c r="K12162"/>
      <c r="L12162"/>
    </row>
    <row r="12163" spans="2:12" x14ac:dyDescent="0.2">
      <c r="B12163"/>
      <c r="C12163"/>
      <c r="J12163"/>
      <c r="K12163"/>
      <c r="L12163"/>
    </row>
    <row r="12164" spans="2:12" x14ac:dyDescent="0.2">
      <c r="B12164"/>
      <c r="C12164"/>
      <c r="J12164"/>
      <c r="K12164"/>
      <c r="L12164"/>
    </row>
    <row r="12165" spans="2:12" x14ac:dyDescent="0.2">
      <c r="B12165"/>
      <c r="C12165"/>
      <c r="J12165"/>
      <c r="K12165"/>
      <c r="L12165"/>
    </row>
    <row r="12166" spans="2:12" x14ac:dyDescent="0.2">
      <c r="B12166"/>
      <c r="C12166"/>
      <c r="J12166"/>
      <c r="K12166"/>
      <c r="L12166"/>
    </row>
    <row r="12167" spans="2:12" x14ac:dyDescent="0.2">
      <c r="B12167"/>
      <c r="C12167"/>
      <c r="J12167"/>
      <c r="K12167"/>
      <c r="L12167"/>
    </row>
    <row r="12168" spans="2:12" x14ac:dyDescent="0.2">
      <c r="B12168"/>
      <c r="C12168"/>
      <c r="J12168"/>
      <c r="K12168"/>
      <c r="L12168"/>
    </row>
    <row r="12169" spans="2:12" x14ac:dyDescent="0.2">
      <c r="B12169"/>
      <c r="C12169"/>
      <c r="J12169"/>
      <c r="K12169"/>
      <c r="L12169"/>
    </row>
    <row r="12170" spans="2:12" x14ac:dyDescent="0.2">
      <c r="B12170"/>
      <c r="C12170"/>
      <c r="J12170"/>
      <c r="K12170"/>
      <c r="L12170"/>
    </row>
    <row r="12171" spans="2:12" x14ac:dyDescent="0.2">
      <c r="B12171"/>
      <c r="C12171"/>
      <c r="J12171"/>
      <c r="K12171"/>
      <c r="L12171"/>
    </row>
    <row r="12172" spans="2:12" x14ac:dyDescent="0.2">
      <c r="B12172"/>
      <c r="C12172"/>
      <c r="J12172"/>
      <c r="K12172"/>
      <c r="L12172"/>
    </row>
    <row r="12173" spans="2:12" x14ac:dyDescent="0.2">
      <c r="B12173"/>
      <c r="C12173"/>
      <c r="J12173"/>
      <c r="K12173"/>
      <c r="L12173"/>
    </row>
    <row r="12174" spans="2:12" x14ac:dyDescent="0.2">
      <c r="B12174"/>
      <c r="C12174"/>
      <c r="J12174"/>
      <c r="K12174"/>
      <c r="L12174"/>
    </row>
    <row r="12175" spans="2:12" x14ac:dyDescent="0.2">
      <c r="B12175"/>
      <c r="C12175"/>
      <c r="J12175"/>
      <c r="K12175"/>
      <c r="L12175"/>
    </row>
    <row r="12176" spans="2:12" x14ac:dyDescent="0.2">
      <c r="B12176"/>
      <c r="C12176"/>
      <c r="J12176"/>
      <c r="K12176"/>
      <c r="L12176"/>
    </row>
    <row r="12177" spans="2:12" x14ac:dyDescent="0.2">
      <c r="B12177"/>
      <c r="C12177"/>
      <c r="J12177"/>
      <c r="K12177"/>
      <c r="L12177"/>
    </row>
    <row r="12178" spans="2:12" x14ac:dyDescent="0.2">
      <c r="B12178"/>
      <c r="C12178"/>
      <c r="J12178"/>
      <c r="K12178"/>
      <c r="L12178"/>
    </row>
    <row r="12179" spans="2:12" x14ac:dyDescent="0.2">
      <c r="B12179"/>
      <c r="C12179"/>
      <c r="J12179"/>
      <c r="K12179"/>
      <c r="L12179"/>
    </row>
    <row r="12180" spans="2:12" x14ac:dyDescent="0.2">
      <c r="B12180"/>
      <c r="C12180"/>
      <c r="J12180"/>
      <c r="K12180"/>
      <c r="L12180"/>
    </row>
    <row r="12181" spans="2:12" x14ac:dyDescent="0.2">
      <c r="B12181"/>
      <c r="C12181"/>
      <c r="J12181"/>
      <c r="K12181"/>
      <c r="L12181"/>
    </row>
    <row r="12182" spans="2:12" x14ac:dyDescent="0.2">
      <c r="B12182"/>
      <c r="C12182"/>
      <c r="J12182"/>
      <c r="K12182"/>
      <c r="L12182"/>
    </row>
    <row r="12183" spans="2:12" x14ac:dyDescent="0.2">
      <c r="B12183"/>
      <c r="C12183"/>
      <c r="J12183"/>
      <c r="K12183"/>
      <c r="L12183"/>
    </row>
    <row r="12184" spans="2:12" x14ac:dyDescent="0.2">
      <c r="B12184"/>
      <c r="C12184"/>
      <c r="J12184"/>
      <c r="K12184"/>
      <c r="L12184"/>
    </row>
    <row r="12185" spans="2:12" x14ac:dyDescent="0.2">
      <c r="B12185"/>
      <c r="C12185"/>
      <c r="J12185"/>
      <c r="K12185"/>
      <c r="L12185"/>
    </row>
    <row r="12186" spans="2:12" x14ac:dyDescent="0.2">
      <c r="B12186"/>
      <c r="C12186"/>
      <c r="J12186"/>
      <c r="K12186"/>
      <c r="L12186"/>
    </row>
    <row r="12187" spans="2:12" x14ac:dyDescent="0.2">
      <c r="B12187"/>
      <c r="C12187"/>
      <c r="J12187"/>
      <c r="K12187"/>
      <c r="L12187"/>
    </row>
    <row r="12188" spans="2:12" x14ac:dyDescent="0.2">
      <c r="B12188"/>
      <c r="C12188"/>
      <c r="J12188"/>
      <c r="K12188"/>
      <c r="L12188"/>
    </row>
    <row r="12189" spans="2:12" x14ac:dyDescent="0.2">
      <c r="B12189"/>
      <c r="C12189"/>
      <c r="J12189"/>
      <c r="K12189"/>
      <c r="L12189"/>
    </row>
    <row r="12190" spans="2:12" x14ac:dyDescent="0.2">
      <c r="B12190"/>
      <c r="C12190"/>
      <c r="J12190"/>
      <c r="K12190"/>
      <c r="L12190"/>
    </row>
    <row r="12191" spans="2:12" x14ac:dyDescent="0.2">
      <c r="B12191"/>
      <c r="C12191"/>
      <c r="J12191"/>
      <c r="K12191"/>
      <c r="L12191"/>
    </row>
    <row r="12192" spans="2:12" x14ac:dyDescent="0.2">
      <c r="B12192"/>
      <c r="C12192"/>
      <c r="J12192"/>
      <c r="K12192"/>
      <c r="L12192"/>
    </row>
    <row r="12193" spans="2:12" x14ac:dyDescent="0.2">
      <c r="B12193"/>
      <c r="C12193"/>
      <c r="J12193"/>
      <c r="K12193"/>
      <c r="L12193"/>
    </row>
    <row r="12194" spans="2:12" x14ac:dyDescent="0.2">
      <c r="B12194"/>
      <c r="C12194"/>
      <c r="J12194"/>
      <c r="K12194"/>
      <c r="L12194"/>
    </row>
    <row r="12195" spans="2:12" x14ac:dyDescent="0.2">
      <c r="B12195"/>
      <c r="C12195"/>
      <c r="J12195"/>
      <c r="K12195"/>
      <c r="L12195"/>
    </row>
    <row r="12196" spans="2:12" x14ac:dyDescent="0.2">
      <c r="B12196"/>
      <c r="C12196"/>
      <c r="J12196"/>
      <c r="K12196"/>
      <c r="L12196"/>
    </row>
    <row r="12197" spans="2:12" x14ac:dyDescent="0.2">
      <c r="B12197"/>
      <c r="C12197"/>
      <c r="J12197"/>
      <c r="K12197"/>
      <c r="L12197"/>
    </row>
    <row r="12198" spans="2:12" x14ac:dyDescent="0.2">
      <c r="B12198"/>
      <c r="C12198"/>
      <c r="J12198"/>
      <c r="K12198"/>
      <c r="L12198"/>
    </row>
    <row r="12199" spans="2:12" x14ac:dyDescent="0.2">
      <c r="B12199"/>
      <c r="C12199"/>
      <c r="J12199"/>
      <c r="K12199"/>
      <c r="L12199"/>
    </row>
    <row r="12200" spans="2:12" x14ac:dyDescent="0.2">
      <c r="B12200"/>
      <c r="C12200"/>
      <c r="J12200"/>
      <c r="K12200"/>
      <c r="L12200"/>
    </row>
    <row r="12201" spans="2:12" x14ac:dyDescent="0.2">
      <c r="B12201"/>
      <c r="C12201"/>
      <c r="J12201"/>
      <c r="K12201"/>
      <c r="L12201"/>
    </row>
    <row r="12202" spans="2:12" x14ac:dyDescent="0.2">
      <c r="B12202"/>
      <c r="C12202"/>
      <c r="J12202"/>
      <c r="K12202"/>
      <c r="L12202"/>
    </row>
    <row r="12203" spans="2:12" x14ac:dyDescent="0.2">
      <c r="B12203"/>
      <c r="C12203"/>
      <c r="J12203"/>
      <c r="K12203"/>
      <c r="L12203"/>
    </row>
    <row r="12204" spans="2:12" x14ac:dyDescent="0.2">
      <c r="B12204"/>
      <c r="C12204"/>
      <c r="J12204"/>
      <c r="K12204"/>
      <c r="L12204"/>
    </row>
    <row r="12205" spans="2:12" x14ac:dyDescent="0.2">
      <c r="B12205"/>
      <c r="C12205"/>
      <c r="J12205"/>
      <c r="K12205"/>
      <c r="L12205"/>
    </row>
    <row r="12206" spans="2:12" x14ac:dyDescent="0.2">
      <c r="B12206"/>
      <c r="C12206"/>
      <c r="J12206"/>
      <c r="K12206"/>
      <c r="L12206"/>
    </row>
    <row r="12207" spans="2:12" x14ac:dyDescent="0.2">
      <c r="B12207"/>
      <c r="C12207"/>
      <c r="J12207"/>
      <c r="K12207"/>
      <c r="L12207"/>
    </row>
    <row r="12208" spans="2:12" x14ac:dyDescent="0.2">
      <c r="B12208"/>
      <c r="C12208"/>
      <c r="J12208"/>
      <c r="K12208"/>
      <c r="L12208"/>
    </row>
    <row r="12209" spans="2:12" x14ac:dyDescent="0.2">
      <c r="B12209"/>
      <c r="C12209"/>
      <c r="J12209"/>
      <c r="K12209"/>
      <c r="L12209"/>
    </row>
    <row r="12210" spans="2:12" x14ac:dyDescent="0.2">
      <c r="B12210"/>
      <c r="C12210"/>
      <c r="J12210"/>
      <c r="K12210"/>
      <c r="L12210"/>
    </row>
    <row r="12211" spans="2:12" x14ac:dyDescent="0.2">
      <c r="B12211"/>
      <c r="C12211"/>
      <c r="J12211"/>
      <c r="K12211"/>
      <c r="L12211"/>
    </row>
    <row r="12212" spans="2:12" x14ac:dyDescent="0.2">
      <c r="B12212"/>
      <c r="C12212"/>
      <c r="J12212"/>
      <c r="K12212"/>
      <c r="L12212"/>
    </row>
    <row r="12213" spans="2:12" x14ac:dyDescent="0.2">
      <c r="B12213"/>
      <c r="C12213"/>
      <c r="J12213"/>
      <c r="K12213"/>
      <c r="L12213"/>
    </row>
    <row r="12214" spans="2:12" x14ac:dyDescent="0.2">
      <c r="B12214"/>
      <c r="C12214"/>
      <c r="J12214"/>
      <c r="K12214"/>
      <c r="L12214"/>
    </row>
    <row r="12215" spans="2:12" x14ac:dyDescent="0.2">
      <c r="B12215"/>
      <c r="C12215"/>
      <c r="J12215"/>
      <c r="K12215"/>
      <c r="L12215"/>
    </row>
    <row r="12216" spans="2:12" x14ac:dyDescent="0.2">
      <c r="B12216"/>
      <c r="C12216"/>
      <c r="J12216"/>
      <c r="K12216"/>
      <c r="L12216"/>
    </row>
    <row r="12217" spans="2:12" x14ac:dyDescent="0.2">
      <c r="B12217"/>
      <c r="C12217"/>
      <c r="J12217"/>
      <c r="K12217"/>
      <c r="L12217"/>
    </row>
    <row r="12218" spans="2:12" x14ac:dyDescent="0.2">
      <c r="B12218"/>
      <c r="C12218"/>
      <c r="J12218"/>
      <c r="K12218"/>
      <c r="L12218"/>
    </row>
    <row r="12219" spans="2:12" x14ac:dyDescent="0.2">
      <c r="B12219"/>
      <c r="C12219"/>
      <c r="J12219"/>
      <c r="K12219"/>
      <c r="L12219"/>
    </row>
    <row r="12220" spans="2:12" x14ac:dyDescent="0.2">
      <c r="B12220"/>
      <c r="C12220"/>
      <c r="J12220"/>
      <c r="K12220"/>
      <c r="L12220"/>
    </row>
    <row r="12221" spans="2:12" x14ac:dyDescent="0.2">
      <c r="B12221"/>
      <c r="C12221"/>
      <c r="J12221"/>
      <c r="K12221"/>
      <c r="L12221"/>
    </row>
    <row r="12222" spans="2:12" x14ac:dyDescent="0.2">
      <c r="B12222"/>
      <c r="C12222"/>
      <c r="J12222"/>
      <c r="K12222"/>
      <c r="L12222"/>
    </row>
    <row r="12223" spans="2:12" x14ac:dyDescent="0.2">
      <c r="B12223"/>
      <c r="C12223"/>
      <c r="J12223"/>
      <c r="K12223"/>
      <c r="L12223"/>
    </row>
    <row r="12224" spans="2:12" x14ac:dyDescent="0.2">
      <c r="B12224"/>
      <c r="C12224"/>
      <c r="J12224"/>
      <c r="K12224"/>
      <c r="L12224"/>
    </row>
    <row r="12225" spans="2:12" x14ac:dyDescent="0.2">
      <c r="B12225"/>
      <c r="C12225"/>
      <c r="J12225"/>
      <c r="K12225"/>
      <c r="L12225"/>
    </row>
    <row r="12226" spans="2:12" x14ac:dyDescent="0.2">
      <c r="B12226"/>
      <c r="C12226"/>
      <c r="J12226"/>
      <c r="K12226"/>
      <c r="L12226"/>
    </row>
    <row r="12227" spans="2:12" x14ac:dyDescent="0.2">
      <c r="B12227"/>
      <c r="C12227"/>
      <c r="J12227"/>
      <c r="K12227"/>
      <c r="L12227"/>
    </row>
    <row r="12228" spans="2:12" x14ac:dyDescent="0.2">
      <c r="B12228"/>
      <c r="C12228"/>
      <c r="J12228"/>
      <c r="K12228"/>
      <c r="L12228"/>
    </row>
    <row r="12229" spans="2:12" x14ac:dyDescent="0.2">
      <c r="B12229"/>
      <c r="C12229"/>
      <c r="J12229"/>
      <c r="K12229"/>
      <c r="L12229"/>
    </row>
    <row r="12230" spans="2:12" x14ac:dyDescent="0.2">
      <c r="B12230"/>
      <c r="C12230"/>
      <c r="J12230"/>
      <c r="K12230"/>
      <c r="L12230"/>
    </row>
    <row r="12231" spans="2:12" x14ac:dyDescent="0.2">
      <c r="B12231"/>
      <c r="C12231"/>
      <c r="J12231"/>
      <c r="K12231"/>
      <c r="L12231"/>
    </row>
    <row r="12232" spans="2:12" x14ac:dyDescent="0.2">
      <c r="B12232"/>
      <c r="C12232"/>
      <c r="J12232"/>
      <c r="K12232"/>
      <c r="L12232"/>
    </row>
    <row r="12233" spans="2:12" x14ac:dyDescent="0.2">
      <c r="B12233"/>
      <c r="C12233"/>
      <c r="J12233"/>
      <c r="K12233"/>
      <c r="L12233"/>
    </row>
    <row r="12234" spans="2:12" x14ac:dyDescent="0.2">
      <c r="B12234"/>
      <c r="C12234"/>
      <c r="J12234"/>
      <c r="K12234"/>
      <c r="L12234"/>
    </row>
    <row r="12235" spans="2:12" x14ac:dyDescent="0.2">
      <c r="B12235"/>
      <c r="C12235"/>
      <c r="J12235"/>
      <c r="K12235"/>
      <c r="L12235"/>
    </row>
    <row r="12236" spans="2:12" x14ac:dyDescent="0.2">
      <c r="B12236"/>
      <c r="C12236"/>
      <c r="J12236"/>
      <c r="K12236"/>
      <c r="L12236"/>
    </row>
    <row r="12237" spans="2:12" x14ac:dyDescent="0.2">
      <c r="B12237"/>
      <c r="C12237"/>
      <c r="J12237"/>
      <c r="K12237"/>
      <c r="L12237"/>
    </row>
    <row r="12238" spans="2:12" x14ac:dyDescent="0.2">
      <c r="B12238"/>
      <c r="C12238"/>
      <c r="J12238"/>
      <c r="K12238"/>
      <c r="L12238"/>
    </row>
    <row r="12239" spans="2:12" x14ac:dyDescent="0.2">
      <c r="B12239"/>
      <c r="C12239"/>
      <c r="J12239"/>
      <c r="K12239"/>
      <c r="L12239"/>
    </row>
    <row r="12240" spans="2:12" x14ac:dyDescent="0.2">
      <c r="B12240"/>
      <c r="C12240"/>
      <c r="J12240"/>
      <c r="K12240"/>
      <c r="L12240"/>
    </row>
    <row r="12241" spans="2:12" x14ac:dyDescent="0.2">
      <c r="B12241"/>
      <c r="C12241"/>
      <c r="J12241"/>
      <c r="K12241"/>
      <c r="L12241"/>
    </row>
    <row r="12242" spans="2:12" x14ac:dyDescent="0.2">
      <c r="B12242"/>
      <c r="C12242"/>
      <c r="J12242"/>
      <c r="K12242"/>
      <c r="L12242"/>
    </row>
    <row r="12243" spans="2:12" x14ac:dyDescent="0.2">
      <c r="B12243"/>
      <c r="C12243"/>
      <c r="J12243"/>
      <c r="K12243"/>
      <c r="L12243"/>
    </row>
    <row r="12244" spans="2:12" x14ac:dyDescent="0.2">
      <c r="B12244"/>
      <c r="C12244"/>
      <c r="J12244"/>
      <c r="K12244"/>
      <c r="L12244"/>
    </row>
    <row r="12245" spans="2:12" x14ac:dyDescent="0.2">
      <c r="B12245"/>
      <c r="C12245"/>
      <c r="J12245"/>
      <c r="K12245"/>
      <c r="L12245"/>
    </row>
    <row r="12246" spans="2:12" x14ac:dyDescent="0.2">
      <c r="B12246"/>
      <c r="C12246"/>
      <c r="J12246"/>
      <c r="K12246"/>
      <c r="L12246"/>
    </row>
    <row r="12247" spans="2:12" x14ac:dyDescent="0.2">
      <c r="B12247"/>
      <c r="C12247"/>
      <c r="J12247"/>
      <c r="K12247"/>
      <c r="L12247"/>
    </row>
    <row r="12248" spans="2:12" x14ac:dyDescent="0.2">
      <c r="B12248"/>
      <c r="C12248"/>
      <c r="J12248"/>
      <c r="K12248"/>
      <c r="L12248"/>
    </row>
    <row r="12249" spans="2:12" x14ac:dyDescent="0.2">
      <c r="B12249"/>
      <c r="C12249"/>
      <c r="J12249"/>
      <c r="K12249"/>
      <c r="L12249"/>
    </row>
    <row r="12250" spans="2:12" x14ac:dyDescent="0.2">
      <c r="B12250"/>
      <c r="C12250"/>
      <c r="J12250"/>
      <c r="K12250"/>
      <c r="L12250"/>
    </row>
    <row r="12251" spans="2:12" x14ac:dyDescent="0.2">
      <c r="B12251"/>
      <c r="C12251"/>
      <c r="J12251"/>
      <c r="K12251"/>
      <c r="L12251"/>
    </row>
    <row r="12252" spans="2:12" x14ac:dyDescent="0.2">
      <c r="B12252"/>
      <c r="C12252"/>
      <c r="J12252"/>
      <c r="K12252"/>
      <c r="L12252"/>
    </row>
    <row r="12253" spans="2:12" x14ac:dyDescent="0.2">
      <c r="B12253"/>
      <c r="C12253"/>
      <c r="J12253"/>
      <c r="K12253"/>
      <c r="L12253"/>
    </row>
    <row r="12254" spans="2:12" x14ac:dyDescent="0.2">
      <c r="B12254"/>
      <c r="C12254"/>
      <c r="J12254"/>
      <c r="K12254"/>
      <c r="L12254"/>
    </row>
    <row r="12255" spans="2:12" x14ac:dyDescent="0.2">
      <c r="B12255"/>
      <c r="C12255"/>
      <c r="J12255"/>
      <c r="K12255"/>
      <c r="L12255"/>
    </row>
    <row r="12256" spans="2:12" x14ac:dyDescent="0.2">
      <c r="B12256"/>
      <c r="C12256"/>
      <c r="J12256"/>
      <c r="K12256"/>
      <c r="L12256"/>
    </row>
    <row r="12257" spans="2:12" x14ac:dyDescent="0.2">
      <c r="B12257"/>
      <c r="C12257"/>
      <c r="J12257"/>
      <c r="K12257"/>
      <c r="L12257"/>
    </row>
    <row r="12258" spans="2:12" x14ac:dyDescent="0.2">
      <c r="B12258"/>
      <c r="C12258"/>
      <c r="J12258"/>
      <c r="K12258"/>
      <c r="L12258"/>
    </row>
    <row r="12259" spans="2:12" x14ac:dyDescent="0.2">
      <c r="B12259"/>
      <c r="C12259"/>
      <c r="J12259"/>
      <c r="K12259"/>
      <c r="L12259"/>
    </row>
    <row r="12260" spans="2:12" x14ac:dyDescent="0.2">
      <c r="B12260"/>
      <c r="C12260"/>
      <c r="J12260"/>
      <c r="K12260"/>
      <c r="L12260"/>
    </row>
    <row r="12261" spans="2:12" x14ac:dyDescent="0.2">
      <c r="B12261"/>
      <c r="C12261"/>
      <c r="J12261"/>
      <c r="K12261"/>
      <c r="L12261"/>
    </row>
    <row r="12262" spans="2:12" x14ac:dyDescent="0.2">
      <c r="B12262"/>
      <c r="C12262"/>
      <c r="J12262"/>
      <c r="K12262"/>
      <c r="L12262"/>
    </row>
    <row r="12263" spans="2:12" x14ac:dyDescent="0.2">
      <c r="B12263"/>
      <c r="C12263"/>
      <c r="J12263"/>
      <c r="K12263"/>
      <c r="L12263"/>
    </row>
    <row r="12264" spans="2:12" x14ac:dyDescent="0.2">
      <c r="B12264"/>
      <c r="C12264"/>
      <c r="J12264"/>
      <c r="K12264"/>
      <c r="L12264"/>
    </row>
    <row r="12265" spans="2:12" x14ac:dyDescent="0.2">
      <c r="B12265"/>
      <c r="C12265"/>
      <c r="J12265"/>
      <c r="K12265"/>
      <c r="L12265"/>
    </row>
    <row r="12266" spans="2:12" x14ac:dyDescent="0.2">
      <c r="B12266"/>
      <c r="C12266"/>
      <c r="J12266"/>
      <c r="K12266"/>
      <c r="L12266"/>
    </row>
    <row r="12267" spans="2:12" x14ac:dyDescent="0.2">
      <c r="B12267"/>
      <c r="C12267"/>
      <c r="J12267"/>
      <c r="K12267"/>
      <c r="L12267"/>
    </row>
    <row r="12268" spans="2:12" x14ac:dyDescent="0.2">
      <c r="B12268"/>
      <c r="C12268"/>
      <c r="J12268"/>
      <c r="K12268"/>
      <c r="L12268"/>
    </row>
    <row r="12269" spans="2:12" x14ac:dyDescent="0.2">
      <c r="B12269"/>
      <c r="C12269"/>
      <c r="J12269"/>
      <c r="K12269"/>
      <c r="L12269"/>
    </row>
    <row r="12270" spans="2:12" x14ac:dyDescent="0.2">
      <c r="B12270"/>
      <c r="C12270"/>
      <c r="J12270"/>
      <c r="K12270"/>
      <c r="L12270"/>
    </row>
    <row r="12271" spans="2:12" x14ac:dyDescent="0.2">
      <c r="B12271"/>
      <c r="C12271"/>
      <c r="J12271"/>
      <c r="K12271"/>
      <c r="L12271"/>
    </row>
    <row r="12272" spans="2:12" x14ac:dyDescent="0.2">
      <c r="B12272"/>
      <c r="C12272"/>
      <c r="J12272"/>
      <c r="K12272"/>
      <c r="L12272"/>
    </row>
    <row r="12273" spans="2:12" x14ac:dyDescent="0.2">
      <c r="B12273"/>
      <c r="C12273"/>
      <c r="J12273"/>
      <c r="K12273"/>
      <c r="L12273"/>
    </row>
    <row r="12274" spans="2:12" x14ac:dyDescent="0.2">
      <c r="B12274"/>
      <c r="C12274"/>
      <c r="J12274"/>
      <c r="K12274"/>
      <c r="L12274"/>
    </row>
    <row r="12275" spans="2:12" x14ac:dyDescent="0.2">
      <c r="B12275"/>
      <c r="C12275"/>
      <c r="J12275"/>
      <c r="K12275"/>
      <c r="L12275"/>
    </row>
    <row r="12276" spans="2:12" x14ac:dyDescent="0.2">
      <c r="B12276"/>
      <c r="C12276"/>
      <c r="J12276"/>
      <c r="K12276"/>
      <c r="L12276"/>
    </row>
    <row r="12277" spans="2:12" x14ac:dyDescent="0.2">
      <c r="B12277"/>
      <c r="C12277"/>
      <c r="J12277"/>
      <c r="K12277"/>
      <c r="L12277"/>
    </row>
    <row r="12278" spans="2:12" x14ac:dyDescent="0.2">
      <c r="B12278"/>
      <c r="C12278"/>
      <c r="J12278"/>
      <c r="K12278"/>
      <c r="L12278"/>
    </row>
    <row r="12279" spans="2:12" x14ac:dyDescent="0.2">
      <c r="B12279"/>
      <c r="C12279"/>
      <c r="J12279"/>
      <c r="K12279"/>
      <c r="L12279"/>
    </row>
    <row r="12280" spans="2:12" x14ac:dyDescent="0.2">
      <c r="B12280"/>
      <c r="C12280"/>
      <c r="J12280"/>
      <c r="K12280"/>
      <c r="L12280"/>
    </row>
    <row r="12281" spans="2:12" x14ac:dyDescent="0.2">
      <c r="B12281"/>
      <c r="C12281"/>
      <c r="J12281"/>
      <c r="K12281"/>
      <c r="L12281"/>
    </row>
    <row r="12282" spans="2:12" x14ac:dyDescent="0.2">
      <c r="B12282"/>
      <c r="C12282"/>
      <c r="J12282"/>
      <c r="K12282"/>
      <c r="L12282"/>
    </row>
    <row r="12283" spans="2:12" x14ac:dyDescent="0.2">
      <c r="B12283"/>
      <c r="C12283"/>
      <c r="J12283"/>
      <c r="K12283"/>
      <c r="L12283"/>
    </row>
    <row r="12284" spans="2:12" x14ac:dyDescent="0.2">
      <c r="B12284"/>
      <c r="C12284"/>
      <c r="J12284"/>
      <c r="K12284"/>
      <c r="L12284"/>
    </row>
    <row r="12285" spans="2:12" x14ac:dyDescent="0.2">
      <c r="B12285"/>
      <c r="C12285"/>
      <c r="J12285"/>
      <c r="K12285"/>
      <c r="L12285"/>
    </row>
    <row r="12286" spans="2:12" x14ac:dyDescent="0.2">
      <c r="B12286"/>
      <c r="C12286"/>
      <c r="J12286"/>
      <c r="K12286"/>
      <c r="L12286"/>
    </row>
    <row r="12287" spans="2:12" x14ac:dyDescent="0.2">
      <c r="B12287"/>
      <c r="C12287"/>
      <c r="J12287"/>
      <c r="K12287"/>
      <c r="L12287"/>
    </row>
    <row r="12288" spans="2:12" x14ac:dyDescent="0.2">
      <c r="B12288"/>
      <c r="C12288"/>
      <c r="J12288"/>
      <c r="K12288"/>
      <c r="L12288"/>
    </row>
    <row r="12289" spans="2:12" x14ac:dyDescent="0.2">
      <c r="B12289"/>
      <c r="C12289"/>
      <c r="J12289"/>
      <c r="K12289"/>
      <c r="L12289"/>
    </row>
    <row r="12290" spans="2:12" x14ac:dyDescent="0.2">
      <c r="B12290"/>
      <c r="C12290"/>
      <c r="J12290"/>
      <c r="K12290"/>
      <c r="L12290"/>
    </row>
    <row r="12291" spans="2:12" x14ac:dyDescent="0.2">
      <c r="B12291"/>
      <c r="C12291"/>
      <c r="J12291"/>
      <c r="K12291"/>
      <c r="L12291"/>
    </row>
    <row r="12292" spans="2:12" x14ac:dyDescent="0.2">
      <c r="B12292"/>
      <c r="C12292"/>
      <c r="J12292"/>
      <c r="K12292"/>
      <c r="L12292"/>
    </row>
    <row r="12293" spans="2:12" x14ac:dyDescent="0.2">
      <c r="B12293"/>
      <c r="C12293"/>
      <c r="J12293"/>
      <c r="K12293"/>
      <c r="L12293"/>
    </row>
    <row r="12294" spans="2:12" x14ac:dyDescent="0.2">
      <c r="B12294"/>
      <c r="C12294"/>
      <c r="J12294"/>
      <c r="K12294"/>
      <c r="L12294"/>
    </row>
    <row r="12295" spans="2:12" x14ac:dyDescent="0.2">
      <c r="B12295"/>
      <c r="C12295"/>
      <c r="J12295"/>
      <c r="K12295"/>
      <c r="L12295"/>
    </row>
    <row r="12296" spans="2:12" x14ac:dyDescent="0.2">
      <c r="B12296"/>
      <c r="C12296"/>
      <c r="J12296"/>
      <c r="K12296"/>
      <c r="L12296"/>
    </row>
    <row r="12297" spans="2:12" x14ac:dyDescent="0.2">
      <c r="B12297"/>
      <c r="C12297"/>
      <c r="J12297"/>
      <c r="K12297"/>
      <c r="L12297"/>
    </row>
    <row r="12298" spans="2:12" x14ac:dyDescent="0.2">
      <c r="B12298"/>
      <c r="C12298"/>
      <c r="J12298"/>
      <c r="K12298"/>
      <c r="L12298"/>
    </row>
    <row r="12299" spans="2:12" x14ac:dyDescent="0.2">
      <c r="B12299"/>
      <c r="C12299"/>
      <c r="J12299"/>
      <c r="K12299"/>
      <c r="L12299"/>
    </row>
    <row r="12300" spans="2:12" x14ac:dyDescent="0.2">
      <c r="B12300"/>
      <c r="C12300"/>
      <c r="J12300"/>
      <c r="K12300"/>
      <c r="L12300"/>
    </row>
    <row r="12301" spans="2:12" x14ac:dyDescent="0.2">
      <c r="B12301"/>
      <c r="C12301"/>
      <c r="J12301"/>
      <c r="K12301"/>
      <c r="L12301"/>
    </row>
    <row r="12302" spans="2:12" x14ac:dyDescent="0.2">
      <c r="B12302"/>
      <c r="C12302"/>
      <c r="J12302"/>
      <c r="K12302"/>
      <c r="L12302"/>
    </row>
    <row r="12303" spans="2:12" x14ac:dyDescent="0.2">
      <c r="B12303"/>
      <c r="C12303"/>
      <c r="J12303"/>
      <c r="K12303"/>
      <c r="L12303"/>
    </row>
    <row r="12304" spans="2:12" x14ac:dyDescent="0.2">
      <c r="B12304"/>
      <c r="C12304"/>
      <c r="J12304"/>
      <c r="K12304"/>
      <c r="L12304"/>
    </row>
    <row r="12305" spans="2:12" x14ac:dyDescent="0.2">
      <c r="B12305"/>
      <c r="C12305"/>
      <c r="J12305"/>
      <c r="K12305"/>
      <c r="L12305"/>
    </row>
    <row r="12306" spans="2:12" x14ac:dyDescent="0.2">
      <c r="B12306"/>
      <c r="C12306"/>
      <c r="J12306"/>
      <c r="K12306"/>
      <c r="L12306"/>
    </row>
    <row r="12307" spans="2:12" x14ac:dyDescent="0.2">
      <c r="B12307"/>
      <c r="C12307"/>
      <c r="J12307"/>
      <c r="K12307"/>
      <c r="L12307"/>
    </row>
    <row r="12308" spans="2:12" x14ac:dyDescent="0.2">
      <c r="B12308"/>
      <c r="C12308"/>
      <c r="J12308"/>
      <c r="K12308"/>
      <c r="L12308"/>
    </row>
    <row r="12309" spans="2:12" x14ac:dyDescent="0.2">
      <c r="B12309"/>
      <c r="C12309"/>
      <c r="J12309"/>
      <c r="K12309"/>
      <c r="L12309"/>
    </row>
    <row r="12310" spans="2:12" x14ac:dyDescent="0.2">
      <c r="B12310"/>
      <c r="C12310"/>
      <c r="J12310"/>
      <c r="K12310"/>
      <c r="L12310"/>
    </row>
    <row r="12311" spans="2:12" x14ac:dyDescent="0.2">
      <c r="B12311"/>
      <c r="C12311"/>
      <c r="J12311"/>
      <c r="K12311"/>
      <c r="L12311"/>
    </row>
    <row r="12312" spans="2:12" x14ac:dyDescent="0.2">
      <c r="B12312"/>
      <c r="C12312"/>
      <c r="J12312"/>
      <c r="K12312"/>
      <c r="L12312"/>
    </row>
    <row r="12313" spans="2:12" x14ac:dyDescent="0.2">
      <c r="B12313"/>
      <c r="C12313"/>
      <c r="J12313"/>
      <c r="K12313"/>
      <c r="L12313"/>
    </row>
    <row r="12314" spans="2:12" x14ac:dyDescent="0.2">
      <c r="B12314"/>
      <c r="C12314"/>
      <c r="J12314"/>
      <c r="K12314"/>
      <c r="L12314"/>
    </row>
    <row r="12315" spans="2:12" x14ac:dyDescent="0.2">
      <c r="B12315"/>
      <c r="C12315"/>
      <c r="J12315"/>
      <c r="K12315"/>
      <c r="L12315"/>
    </row>
    <row r="12316" spans="2:12" x14ac:dyDescent="0.2">
      <c r="B12316"/>
      <c r="C12316"/>
      <c r="J12316"/>
      <c r="K12316"/>
      <c r="L12316"/>
    </row>
    <row r="12317" spans="2:12" x14ac:dyDescent="0.2">
      <c r="B12317"/>
      <c r="C12317"/>
      <c r="J12317"/>
      <c r="K12317"/>
      <c r="L12317"/>
    </row>
    <row r="12318" spans="2:12" x14ac:dyDescent="0.2">
      <c r="B12318"/>
      <c r="C12318"/>
      <c r="J12318"/>
      <c r="K12318"/>
      <c r="L12318"/>
    </row>
    <row r="12319" spans="2:12" x14ac:dyDescent="0.2">
      <c r="B12319"/>
      <c r="C12319"/>
      <c r="J12319"/>
      <c r="K12319"/>
      <c r="L12319"/>
    </row>
    <row r="12320" spans="2:12" x14ac:dyDescent="0.2">
      <c r="B12320"/>
      <c r="C12320"/>
      <c r="J12320"/>
      <c r="K12320"/>
      <c r="L12320"/>
    </row>
    <row r="12321" spans="2:12" x14ac:dyDescent="0.2">
      <c r="B12321"/>
      <c r="C12321"/>
      <c r="J12321"/>
      <c r="K12321"/>
      <c r="L12321"/>
    </row>
    <row r="12322" spans="2:12" x14ac:dyDescent="0.2">
      <c r="B12322"/>
      <c r="C12322"/>
      <c r="J12322"/>
      <c r="K12322"/>
      <c r="L12322"/>
    </row>
    <row r="12323" spans="2:12" x14ac:dyDescent="0.2">
      <c r="B12323"/>
      <c r="C12323"/>
      <c r="J12323"/>
      <c r="K12323"/>
      <c r="L12323"/>
    </row>
    <row r="12324" spans="2:12" x14ac:dyDescent="0.2">
      <c r="B12324"/>
      <c r="C12324"/>
      <c r="J12324"/>
      <c r="K12324"/>
      <c r="L12324"/>
    </row>
    <row r="12325" spans="2:12" x14ac:dyDescent="0.2">
      <c r="B12325"/>
      <c r="C12325"/>
      <c r="J12325"/>
      <c r="K12325"/>
      <c r="L12325"/>
    </row>
    <row r="12326" spans="2:12" x14ac:dyDescent="0.2">
      <c r="B12326"/>
      <c r="C12326"/>
      <c r="J12326"/>
      <c r="K12326"/>
      <c r="L12326"/>
    </row>
    <row r="12327" spans="2:12" x14ac:dyDescent="0.2">
      <c r="B12327"/>
      <c r="C12327"/>
      <c r="J12327"/>
      <c r="K12327"/>
      <c r="L12327"/>
    </row>
    <row r="12328" spans="2:12" x14ac:dyDescent="0.2">
      <c r="B12328"/>
      <c r="C12328"/>
      <c r="J12328"/>
      <c r="K12328"/>
      <c r="L12328"/>
    </row>
    <row r="12329" spans="2:12" x14ac:dyDescent="0.2">
      <c r="B12329"/>
      <c r="C12329"/>
      <c r="J12329"/>
      <c r="K12329"/>
      <c r="L12329"/>
    </row>
    <row r="12330" spans="2:12" x14ac:dyDescent="0.2">
      <c r="B12330"/>
      <c r="C12330"/>
      <c r="J12330"/>
      <c r="K12330"/>
      <c r="L12330"/>
    </row>
    <row r="12331" spans="2:12" x14ac:dyDescent="0.2">
      <c r="B12331"/>
      <c r="C12331"/>
      <c r="J12331"/>
      <c r="K12331"/>
      <c r="L12331"/>
    </row>
    <row r="12332" spans="2:12" x14ac:dyDescent="0.2">
      <c r="B12332"/>
      <c r="C12332"/>
      <c r="J12332"/>
      <c r="K12332"/>
      <c r="L12332"/>
    </row>
    <row r="12333" spans="2:12" x14ac:dyDescent="0.2">
      <c r="B12333"/>
      <c r="C12333"/>
      <c r="J12333"/>
      <c r="K12333"/>
      <c r="L12333"/>
    </row>
    <row r="12334" spans="2:12" x14ac:dyDescent="0.2">
      <c r="B12334"/>
      <c r="C12334"/>
      <c r="J12334"/>
      <c r="K12334"/>
      <c r="L12334"/>
    </row>
    <row r="12335" spans="2:12" x14ac:dyDescent="0.2">
      <c r="B12335"/>
      <c r="C12335"/>
      <c r="J12335"/>
      <c r="K12335"/>
      <c r="L12335"/>
    </row>
    <row r="12336" spans="2:12" x14ac:dyDescent="0.2">
      <c r="B12336"/>
      <c r="C12336"/>
      <c r="J12336"/>
      <c r="K12336"/>
      <c r="L12336"/>
    </row>
    <row r="12337" spans="2:12" x14ac:dyDescent="0.2">
      <c r="B12337"/>
      <c r="C12337"/>
      <c r="J12337"/>
      <c r="K12337"/>
      <c r="L12337"/>
    </row>
    <row r="12338" spans="2:12" x14ac:dyDescent="0.2">
      <c r="B12338"/>
      <c r="C12338"/>
      <c r="J12338"/>
      <c r="K12338"/>
      <c r="L12338"/>
    </row>
    <row r="12339" spans="2:12" x14ac:dyDescent="0.2">
      <c r="B12339"/>
      <c r="C12339"/>
      <c r="J12339"/>
      <c r="K12339"/>
      <c r="L12339"/>
    </row>
    <row r="12340" spans="2:12" x14ac:dyDescent="0.2">
      <c r="B12340"/>
      <c r="C12340"/>
      <c r="J12340"/>
      <c r="K12340"/>
      <c r="L12340"/>
    </row>
    <row r="12341" spans="2:12" x14ac:dyDescent="0.2">
      <c r="B12341"/>
      <c r="C12341"/>
      <c r="J12341"/>
      <c r="K12341"/>
      <c r="L12341"/>
    </row>
    <row r="12342" spans="2:12" x14ac:dyDescent="0.2">
      <c r="B12342"/>
      <c r="C12342"/>
      <c r="J12342"/>
      <c r="K12342"/>
      <c r="L12342"/>
    </row>
    <row r="12343" spans="2:12" x14ac:dyDescent="0.2">
      <c r="B12343"/>
      <c r="C12343"/>
      <c r="J12343"/>
      <c r="K12343"/>
      <c r="L12343"/>
    </row>
    <row r="12344" spans="2:12" x14ac:dyDescent="0.2">
      <c r="B12344"/>
      <c r="C12344"/>
      <c r="J12344"/>
      <c r="K12344"/>
      <c r="L12344"/>
    </row>
    <row r="12345" spans="2:12" x14ac:dyDescent="0.2">
      <c r="B12345"/>
      <c r="C12345"/>
      <c r="J12345"/>
      <c r="K12345"/>
      <c r="L12345"/>
    </row>
    <row r="12346" spans="2:12" x14ac:dyDescent="0.2">
      <c r="B12346"/>
      <c r="C12346"/>
      <c r="J12346"/>
      <c r="K12346"/>
      <c r="L12346"/>
    </row>
    <row r="12347" spans="2:12" x14ac:dyDescent="0.2">
      <c r="B12347"/>
      <c r="C12347"/>
      <c r="J12347"/>
      <c r="K12347"/>
      <c r="L12347"/>
    </row>
    <row r="12348" spans="2:12" x14ac:dyDescent="0.2">
      <c r="B12348"/>
      <c r="C12348"/>
      <c r="J12348"/>
      <c r="K12348"/>
      <c r="L12348"/>
    </row>
    <row r="12349" spans="2:12" x14ac:dyDescent="0.2">
      <c r="B12349"/>
      <c r="C12349"/>
      <c r="J12349"/>
      <c r="K12349"/>
      <c r="L12349"/>
    </row>
    <row r="12350" spans="2:12" x14ac:dyDescent="0.2">
      <c r="B12350"/>
      <c r="C12350"/>
      <c r="J12350"/>
      <c r="K12350"/>
      <c r="L12350"/>
    </row>
    <row r="12351" spans="2:12" x14ac:dyDescent="0.2">
      <c r="B12351"/>
      <c r="C12351"/>
      <c r="J12351"/>
      <c r="K12351"/>
      <c r="L12351"/>
    </row>
    <row r="12352" spans="2:12" x14ac:dyDescent="0.2">
      <c r="B12352"/>
      <c r="C12352"/>
      <c r="J12352"/>
      <c r="K12352"/>
      <c r="L12352"/>
    </row>
    <row r="12353" spans="2:12" x14ac:dyDescent="0.2">
      <c r="B12353"/>
      <c r="C12353"/>
      <c r="J12353"/>
      <c r="K12353"/>
      <c r="L12353"/>
    </row>
    <row r="12354" spans="2:12" x14ac:dyDescent="0.2">
      <c r="B12354"/>
      <c r="C12354"/>
      <c r="J12354"/>
      <c r="K12354"/>
      <c r="L12354"/>
    </row>
    <row r="12355" spans="2:12" x14ac:dyDescent="0.2">
      <c r="B12355"/>
      <c r="C12355"/>
      <c r="J12355"/>
      <c r="K12355"/>
      <c r="L12355"/>
    </row>
    <row r="12356" spans="2:12" x14ac:dyDescent="0.2">
      <c r="B12356"/>
      <c r="C12356"/>
      <c r="J12356"/>
      <c r="K12356"/>
      <c r="L12356"/>
    </row>
    <row r="12357" spans="2:12" x14ac:dyDescent="0.2">
      <c r="B12357"/>
      <c r="C12357"/>
      <c r="J12357"/>
      <c r="K12357"/>
      <c r="L12357"/>
    </row>
    <row r="12358" spans="2:12" x14ac:dyDescent="0.2">
      <c r="B12358"/>
      <c r="C12358"/>
      <c r="J12358"/>
      <c r="K12358"/>
      <c r="L12358"/>
    </row>
    <row r="12359" spans="2:12" x14ac:dyDescent="0.2">
      <c r="B12359"/>
      <c r="C12359"/>
      <c r="J12359"/>
      <c r="K12359"/>
      <c r="L12359"/>
    </row>
    <row r="12360" spans="2:12" x14ac:dyDescent="0.2">
      <c r="B12360"/>
      <c r="C12360"/>
      <c r="J12360"/>
      <c r="K12360"/>
      <c r="L12360"/>
    </row>
    <row r="12361" spans="2:12" x14ac:dyDescent="0.2">
      <c r="B12361"/>
      <c r="C12361"/>
      <c r="J12361"/>
      <c r="K12361"/>
      <c r="L12361"/>
    </row>
    <row r="12362" spans="2:12" x14ac:dyDescent="0.2">
      <c r="B12362"/>
      <c r="C12362"/>
      <c r="J12362"/>
      <c r="K12362"/>
      <c r="L12362"/>
    </row>
    <row r="12363" spans="2:12" x14ac:dyDescent="0.2">
      <c r="B12363"/>
      <c r="C12363"/>
      <c r="J12363"/>
      <c r="K12363"/>
      <c r="L12363"/>
    </row>
    <row r="12364" spans="2:12" x14ac:dyDescent="0.2">
      <c r="B12364"/>
      <c r="C12364"/>
      <c r="J12364"/>
      <c r="K12364"/>
      <c r="L12364"/>
    </row>
    <row r="12365" spans="2:12" x14ac:dyDescent="0.2">
      <c r="B12365"/>
      <c r="C12365"/>
      <c r="J12365"/>
      <c r="K12365"/>
      <c r="L12365"/>
    </row>
    <row r="12366" spans="2:12" x14ac:dyDescent="0.2">
      <c r="B12366"/>
      <c r="C12366"/>
      <c r="J12366"/>
      <c r="K12366"/>
      <c r="L12366"/>
    </row>
    <row r="12367" spans="2:12" x14ac:dyDescent="0.2">
      <c r="B12367"/>
      <c r="C12367"/>
      <c r="J12367"/>
      <c r="K12367"/>
      <c r="L12367"/>
    </row>
    <row r="12368" spans="2:12" x14ac:dyDescent="0.2">
      <c r="B12368"/>
      <c r="C12368"/>
      <c r="J12368"/>
      <c r="K12368"/>
      <c r="L12368"/>
    </row>
    <row r="12369" spans="2:12" x14ac:dyDescent="0.2">
      <c r="B12369"/>
      <c r="C12369"/>
      <c r="J12369"/>
      <c r="K12369"/>
      <c r="L12369"/>
    </row>
    <row r="12370" spans="2:12" x14ac:dyDescent="0.2">
      <c r="B12370"/>
      <c r="C12370"/>
      <c r="J12370"/>
      <c r="K12370"/>
      <c r="L12370"/>
    </row>
    <row r="12371" spans="2:12" x14ac:dyDescent="0.2">
      <c r="B12371"/>
      <c r="C12371"/>
      <c r="J12371"/>
      <c r="K12371"/>
      <c r="L12371"/>
    </row>
    <row r="12372" spans="2:12" x14ac:dyDescent="0.2">
      <c r="B12372"/>
      <c r="C12372"/>
      <c r="J12372"/>
      <c r="K12372"/>
      <c r="L12372"/>
    </row>
    <row r="12373" spans="2:12" x14ac:dyDescent="0.2">
      <c r="B12373"/>
      <c r="C12373"/>
      <c r="J12373"/>
      <c r="K12373"/>
      <c r="L12373"/>
    </row>
    <row r="12374" spans="2:12" x14ac:dyDescent="0.2">
      <c r="B12374"/>
      <c r="C12374"/>
      <c r="J12374"/>
      <c r="K12374"/>
      <c r="L12374"/>
    </row>
    <row r="12375" spans="2:12" x14ac:dyDescent="0.2">
      <c r="B12375"/>
      <c r="C12375"/>
      <c r="J12375"/>
      <c r="K12375"/>
      <c r="L12375"/>
    </row>
    <row r="12376" spans="2:12" x14ac:dyDescent="0.2">
      <c r="B12376"/>
      <c r="C12376"/>
      <c r="J12376"/>
      <c r="K12376"/>
      <c r="L12376"/>
    </row>
    <row r="12377" spans="2:12" x14ac:dyDescent="0.2">
      <c r="B12377"/>
      <c r="C12377"/>
      <c r="J12377"/>
      <c r="K12377"/>
      <c r="L12377"/>
    </row>
    <row r="12378" spans="2:12" x14ac:dyDescent="0.2">
      <c r="B12378"/>
      <c r="C12378"/>
      <c r="J12378"/>
      <c r="K12378"/>
      <c r="L12378"/>
    </row>
    <row r="12379" spans="2:12" x14ac:dyDescent="0.2">
      <c r="B12379"/>
      <c r="C12379"/>
      <c r="J12379"/>
      <c r="K12379"/>
      <c r="L12379"/>
    </row>
    <row r="12380" spans="2:12" x14ac:dyDescent="0.2">
      <c r="B12380"/>
      <c r="C12380"/>
      <c r="J12380"/>
      <c r="K12380"/>
      <c r="L12380"/>
    </row>
    <row r="12381" spans="2:12" x14ac:dyDescent="0.2">
      <c r="B12381"/>
      <c r="C12381"/>
      <c r="J12381"/>
      <c r="K12381"/>
      <c r="L12381"/>
    </row>
    <row r="12382" spans="2:12" x14ac:dyDescent="0.2">
      <c r="B12382"/>
      <c r="C12382"/>
      <c r="J12382"/>
      <c r="K12382"/>
      <c r="L12382"/>
    </row>
    <row r="12383" spans="2:12" x14ac:dyDescent="0.2">
      <c r="B12383"/>
      <c r="C12383"/>
      <c r="J12383"/>
      <c r="K12383"/>
      <c r="L12383"/>
    </row>
    <row r="12384" spans="2:12" x14ac:dyDescent="0.2">
      <c r="B12384"/>
      <c r="C12384"/>
      <c r="J12384"/>
      <c r="K12384"/>
      <c r="L12384"/>
    </row>
    <row r="12385" spans="2:12" x14ac:dyDescent="0.2">
      <c r="B12385"/>
      <c r="C12385"/>
      <c r="J12385"/>
      <c r="K12385"/>
      <c r="L12385"/>
    </row>
    <row r="12386" spans="2:12" x14ac:dyDescent="0.2">
      <c r="B12386"/>
      <c r="C12386"/>
      <c r="J12386"/>
      <c r="K12386"/>
      <c r="L12386"/>
    </row>
    <row r="12387" spans="2:12" x14ac:dyDescent="0.2">
      <c r="B12387"/>
      <c r="C12387"/>
      <c r="J12387"/>
      <c r="K12387"/>
      <c r="L12387"/>
    </row>
    <row r="12388" spans="2:12" x14ac:dyDescent="0.2">
      <c r="B12388"/>
      <c r="C12388"/>
      <c r="J12388"/>
      <c r="K12388"/>
      <c r="L12388"/>
    </row>
    <row r="12389" spans="2:12" x14ac:dyDescent="0.2">
      <c r="B12389"/>
      <c r="C12389"/>
      <c r="J12389"/>
      <c r="K12389"/>
      <c r="L12389"/>
    </row>
    <row r="12390" spans="2:12" x14ac:dyDescent="0.2">
      <c r="B12390"/>
      <c r="C12390"/>
      <c r="J12390"/>
      <c r="K12390"/>
      <c r="L12390"/>
    </row>
    <row r="12391" spans="2:12" x14ac:dyDescent="0.2">
      <c r="B12391"/>
      <c r="C12391"/>
      <c r="J12391"/>
      <c r="K12391"/>
      <c r="L12391"/>
    </row>
    <row r="12392" spans="2:12" x14ac:dyDescent="0.2">
      <c r="B12392"/>
      <c r="C12392"/>
      <c r="J12392"/>
      <c r="K12392"/>
      <c r="L12392"/>
    </row>
    <row r="12393" spans="2:12" x14ac:dyDescent="0.2">
      <c r="B12393"/>
      <c r="C12393"/>
      <c r="J12393"/>
      <c r="K12393"/>
      <c r="L12393"/>
    </row>
    <row r="12394" spans="2:12" x14ac:dyDescent="0.2">
      <c r="B12394"/>
      <c r="C12394"/>
      <c r="J12394"/>
      <c r="K12394"/>
      <c r="L12394"/>
    </row>
    <row r="12395" spans="2:12" x14ac:dyDescent="0.2">
      <c r="B12395"/>
      <c r="C12395"/>
      <c r="J12395"/>
      <c r="K12395"/>
      <c r="L12395"/>
    </row>
    <row r="12396" spans="2:12" x14ac:dyDescent="0.2">
      <c r="B12396"/>
      <c r="C12396"/>
      <c r="J12396"/>
      <c r="K12396"/>
      <c r="L12396"/>
    </row>
    <row r="12397" spans="2:12" x14ac:dyDescent="0.2">
      <c r="B12397"/>
      <c r="C12397"/>
      <c r="J12397"/>
      <c r="K12397"/>
      <c r="L12397"/>
    </row>
    <row r="12398" spans="2:12" x14ac:dyDescent="0.2">
      <c r="B12398"/>
      <c r="C12398"/>
      <c r="J12398"/>
      <c r="K12398"/>
      <c r="L12398"/>
    </row>
    <row r="12399" spans="2:12" x14ac:dyDescent="0.2">
      <c r="B12399"/>
      <c r="C12399"/>
      <c r="J12399"/>
      <c r="K12399"/>
      <c r="L12399"/>
    </row>
    <row r="12400" spans="2:12" x14ac:dyDescent="0.2">
      <c r="B12400"/>
      <c r="C12400"/>
      <c r="J12400"/>
      <c r="K12400"/>
      <c r="L12400"/>
    </row>
    <row r="12401" spans="2:12" x14ac:dyDescent="0.2">
      <c r="B12401"/>
      <c r="C12401"/>
      <c r="J12401"/>
      <c r="K12401"/>
      <c r="L12401"/>
    </row>
    <row r="12402" spans="2:12" x14ac:dyDescent="0.2">
      <c r="B12402"/>
      <c r="C12402"/>
      <c r="J12402"/>
      <c r="K12402"/>
      <c r="L12402"/>
    </row>
    <row r="12403" spans="2:12" x14ac:dyDescent="0.2">
      <c r="B12403"/>
      <c r="C12403"/>
      <c r="J12403"/>
      <c r="K12403"/>
      <c r="L12403"/>
    </row>
    <row r="12404" spans="2:12" x14ac:dyDescent="0.2">
      <c r="B12404"/>
      <c r="C12404"/>
      <c r="J12404"/>
      <c r="K12404"/>
      <c r="L12404"/>
    </row>
    <row r="12405" spans="2:12" x14ac:dyDescent="0.2">
      <c r="B12405"/>
      <c r="C12405"/>
      <c r="J12405"/>
      <c r="K12405"/>
      <c r="L12405"/>
    </row>
    <row r="12406" spans="2:12" x14ac:dyDescent="0.2">
      <c r="B12406"/>
      <c r="C12406"/>
      <c r="J12406"/>
      <c r="K12406"/>
      <c r="L12406"/>
    </row>
    <row r="12407" spans="2:12" x14ac:dyDescent="0.2">
      <c r="B12407"/>
      <c r="C12407"/>
      <c r="J12407"/>
      <c r="K12407"/>
      <c r="L12407"/>
    </row>
    <row r="12408" spans="2:12" x14ac:dyDescent="0.2">
      <c r="B12408"/>
      <c r="C12408"/>
      <c r="J12408"/>
      <c r="K12408"/>
      <c r="L12408"/>
    </row>
    <row r="12409" spans="2:12" x14ac:dyDescent="0.2">
      <c r="B12409"/>
      <c r="C12409"/>
      <c r="J12409"/>
      <c r="K12409"/>
      <c r="L12409"/>
    </row>
    <row r="12410" spans="2:12" x14ac:dyDescent="0.2">
      <c r="B12410"/>
      <c r="C12410"/>
      <c r="J12410"/>
      <c r="K12410"/>
      <c r="L12410"/>
    </row>
    <row r="12411" spans="2:12" x14ac:dyDescent="0.2">
      <c r="B12411"/>
      <c r="C12411"/>
      <c r="J12411"/>
      <c r="K12411"/>
      <c r="L12411"/>
    </row>
    <row r="12412" spans="2:12" x14ac:dyDescent="0.2">
      <c r="B12412"/>
      <c r="C12412"/>
      <c r="J12412"/>
      <c r="K12412"/>
      <c r="L12412"/>
    </row>
    <row r="12413" spans="2:12" x14ac:dyDescent="0.2">
      <c r="B12413"/>
      <c r="C12413"/>
      <c r="J12413"/>
      <c r="K12413"/>
      <c r="L12413"/>
    </row>
    <row r="12414" spans="2:12" x14ac:dyDescent="0.2">
      <c r="B12414"/>
      <c r="C12414"/>
      <c r="J12414"/>
      <c r="K12414"/>
      <c r="L12414"/>
    </row>
    <row r="12415" spans="2:12" x14ac:dyDescent="0.2">
      <c r="B12415"/>
      <c r="C12415"/>
      <c r="J12415"/>
      <c r="K12415"/>
      <c r="L12415"/>
    </row>
    <row r="12416" spans="2:12" x14ac:dyDescent="0.2">
      <c r="B12416"/>
      <c r="C12416"/>
      <c r="J12416"/>
      <c r="K12416"/>
      <c r="L12416"/>
    </row>
    <row r="12417" spans="2:12" x14ac:dyDescent="0.2">
      <c r="B12417"/>
      <c r="C12417"/>
      <c r="J12417"/>
      <c r="K12417"/>
      <c r="L12417"/>
    </row>
    <row r="12418" spans="2:12" x14ac:dyDescent="0.2">
      <c r="B12418"/>
      <c r="C12418"/>
      <c r="J12418"/>
      <c r="K12418"/>
      <c r="L12418"/>
    </row>
    <row r="12419" spans="2:12" x14ac:dyDescent="0.2">
      <c r="B12419"/>
      <c r="C12419"/>
      <c r="J12419"/>
      <c r="K12419"/>
      <c r="L12419"/>
    </row>
    <row r="12420" spans="2:12" x14ac:dyDescent="0.2">
      <c r="B12420"/>
      <c r="C12420"/>
      <c r="J12420"/>
      <c r="K12420"/>
      <c r="L12420"/>
    </row>
    <row r="12421" spans="2:12" x14ac:dyDescent="0.2">
      <c r="B12421"/>
      <c r="C12421"/>
      <c r="J12421"/>
      <c r="K12421"/>
      <c r="L12421"/>
    </row>
    <row r="12422" spans="2:12" x14ac:dyDescent="0.2">
      <c r="B12422"/>
      <c r="C12422"/>
      <c r="J12422"/>
      <c r="K12422"/>
      <c r="L12422"/>
    </row>
    <row r="12423" spans="2:12" x14ac:dyDescent="0.2">
      <c r="B12423"/>
      <c r="C12423"/>
      <c r="J12423"/>
      <c r="K12423"/>
      <c r="L12423"/>
    </row>
    <row r="12424" spans="2:12" x14ac:dyDescent="0.2">
      <c r="B12424"/>
      <c r="C12424"/>
      <c r="J12424"/>
      <c r="K12424"/>
      <c r="L12424"/>
    </row>
    <row r="12425" spans="2:12" x14ac:dyDescent="0.2">
      <c r="B12425"/>
      <c r="C12425"/>
      <c r="J12425"/>
      <c r="K12425"/>
      <c r="L12425"/>
    </row>
    <row r="12426" spans="2:12" x14ac:dyDescent="0.2">
      <c r="B12426"/>
      <c r="C12426"/>
      <c r="J12426"/>
      <c r="K12426"/>
      <c r="L12426"/>
    </row>
    <row r="12427" spans="2:12" x14ac:dyDescent="0.2">
      <c r="B12427"/>
      <c r="C12427"/>
      <c r="J12427"/>
      <c r="K12427"/>
      <c r="L12427"/>
    </row>
    <row r="12428" spans="2:12" x14ac:dyDescent="0.2">
      <c r="B12428"/>
      <c r="C12428"/>
      <c r="J12428"/>
      <c r="K12428"/>
      <c r="L12428"/>
    </row>
    <row r="12429" spans="2:12" x14ac:dyDescent="0.2">
      <c r="B12429"/>
      <c r="C12429"/>
      <c r="J12429"/>
      <c r="K12429"/>
      <c r="L12429"/>
    </row>
    <row r="12430" spans="2:12" x14ac:dyDescent="0.2">
      <c r="B12430"/>
      <c r="C12430"/>
      <c r="J12430"/>
      <c r="K12430"/>
      <c r="L12430"/>
    </row>
    <row r="12431" spans="2:12" x14ac:dyDescent="0.2">
      <c r="B12431"/>
      <c r="C12431"/>
      <c r="J12431"/>
      <c r="K12431"/>
      <c r="L12431"/>
    </row>
    <row r="12432" spans="2:12" x14ac:dyDescent="0.2">
      <c r="B12432"/>
      <c r="C12432"/>
      <c r="J12432"/>
      <c r="K12432"/>
      <c r="L12432"/>
    </row>
    <row r="12433" spans="2:12" x14ac:dyDescent="0.2">
      <c r="B12433"/>
      <c r="C12433"/>
      <c r="J12433"/>
      <c r="K12433"/>
      <c r="L12433"/>
    </row>
    <row r="12434" spans="2:12" x14ac:dyDescent="0.2">
      <c r="B12434"/>
      <c r="C12434"/>
      <c r="J12434"/>
      <c r="K12434"/>
      <c r="L12434"/>
    </row>
    <row r="12435" spans="2:12" x14ac:dyDescent="0.2">
      <c r="B12435"/>
      <c r="C12435"/>
      <c r="J12435"/>
      <c r="K12435"/>
      <c r="L12435"/>
    </row>
    <row r="12436" spans="2:12" x14ac:dyDescent="0.2">
      <c r="B12436"/>
      <c r="C12436"/>
      <c r="J12436"/>
      <c r="K12436"/>
      <c r="L12436"/>
    </row>
    <row r="12437" spans="2:12" x14ac:dyDescent="0.2">
      <c r="B12437"/>
      <c r="C12437"/>
      <c r="J12437"/>
      <c r="K12437"/>
      <c r="L12437"/>
    </row>
    <row r="12438" spans="2:12" x14ac:dyDescent="0.2">
      <c r="B12438"/>
      <c r="C12438"/>
      <c r="J12438"/>
      <c r="K12438"/>
      <c r="L12438"/>
    </row>
    <row r="12439" spans="2:12" x14ac:dyDescent="0.2">
      <c r="B12439"/>
      <c r="C12439"/>
      <c r="J12439"/>
      <c r="K12439"/>
      <c r="L12439"/>
    </row>
    <row r="12440" spans="2:12" x14ac:dyDescent="0.2">
      <c r="B12440"/>
      <c r="C12440"/>
      <c r="J12440"/>
      <c r="K12440"/>
      <c r="L12440"/>
    </row>
    <row r="12441" spans="2:12" x14ac:dyDescent="0.2">
      <c r="B12441"/>
      <c r="C12441"/>
      <c r="J12441"/>
      <c r="K12441"/>
      <c r="L12441"/>
    </row>
    <row r="12442" spans="2:12" x14ac:dyDescent="0.2">
      <c r="B12442"/>
      <c r="C12442"/>
      <c r="J12442"/>
      <c r="K12442"/>
      <c r="L12442"/>
    </row>
    <row r="12443" spans="2:12" x14ac:dyDescent="0.2">
      <c r="B12443"/>
      <c r="C12443"/>
      <c r="J12443"/>
      <c r="K12443"/>
      <c r="L12443"/>
    </row>
    <row r="12444" spans="2:12" x14ac:dyDescent="0.2">
      <c r="B12444"/>
      <c r="C12444"/>
      <c r="J12444"/>
      <c r="K12444"/>
      <c r="L12444"/>
    </row>
    <row r="12445" spans="2:12" x14ac:dyDescent="0.2">
      <c r="B12445"/>
      <c r="C12445"/>
      <c r="J12445"/>
      <c r="K12445"/>
      <c r="L12445"/>
    </row>
    <row r="12446" spans="2:12" x14ac:dyDescent="0.2">
      <c r="B12446"/>
      <c r="C12446"/>
      <c r="J12446"/>
      <c r="K12446"/>
      <c r="L12446"/>
    </row>
    <row r="12447" spans="2:12" x14ac:dyDescent="0.2">
      <c r="B12447"/>
      <c r="C12447"/>
      <c r="J12447"/>
      <c r="K12447"/>
      <c r="L12447"/>
    </row>
    <row r="12448" spans="2:12" x14ac:dyDescent="0.2">
      <c r="B12448"/>
      <c r="C12448"/>
      <c r="J12448"/>
      <c r="K12448"/>
      <c r="L12448"/>
    </row>
    <row r="12449" spans="2:12" x14ac:dyDescent="0.2">
      <c r="B12449"/>
      <c r="C12449"/>
      <c r="J12449"/>
      <c r="K12449"/>
      <c r="L12449"/>
    </row>
    <row r="12450" spans="2:12" x14ac:dyDescent="0.2">
      <c r="B12450"/>
      <c r="C12450"/>
      <c r="J12450"/>
      <c r="K12450"/>
      <c r="L12450"/>
    </row>
    <row r="12451" spans="2:12" x14ac:dyDescent="0.2">
      <c r="B12451"/>
      <c r="C12451"/>
      <c r="J12451"/>
      <c r="K12451"/>
      <c r="L12451"/>
    </row>
    <row r="12452" spans="2:12" x14ac:dyDescent="0.2">
      <c r="B12452"/>
      <c r="C12452"/>
      <c r="J12452"/>
      <c r="K12452"/>
      <c r="L12452"/>
    </row>
    <row r="12453" spans="2:12" x14ac:dyDescent="0.2">
      <c r="B12453"/>
      <c r="C12453"/>
      <c r="J12453"/>
      <c r="K12453"/>
      <c r="L12453"/>
    </row>
    <row r="12454" spans="2:12" x14ac:dyDescent="0.2">
      <c r="B12454"/>
      <c r="C12454"/>
      <c r="J12454"/>
      <c r="K12454"/>
      <c r="L12454"/>
    </row>
    <row r="12455" spans="2:12" x14ac:dyDescent="0.2">
      <c r="B12455"/>
      <c r="C12455"/>
      <c r="J12455"/>
      <c r="K12455"/>
      <c r="L12455"/>
    </row>
    <row r="12456" spans="2:12" x14ac:dyDescent="0.2">
      <c r="B12456"/>
      <c r="C12456"/>
      <c r="J12456"/>
      <c r="K12456"/>
      <c r="L12456"/>
    </row>
    <row r="12457" spans="2:12" x14ac:dyDescent="0.2">
      <c r="B12457"/>
      <c r="C12457"/>
      <c r="J12457"/>
      <c r="K12457"/>
      <c r="L12457"/>
    </row>
    <row r="12458" spans="2:12" x14ac:dyDescent="0.2">
      <c r="B12458"/>
      <c r="C12458"/>
      <c r="J12458"/>
      <c r="K12458"/>
      <c r="L12458"/>
    </row>
    <row r="12459" spans="2:12" x14ac:dyDescent="0.2">
      <c r="B12459"/>
      <c r="C12459"/>
      <c r="J12459"/>
      <c r="K12459"/>
      <c r="L12459"/>
    </row>
    <row r="12460" spans="2:12" x14ac:dyDescent="0.2">
      <c r="B12460"/>
      <c r="C12460"/>
      <c r="J12460"/>
      <c r="K12460"/>
      <c r="L12460"/>
    </row>
    <row r="12461" spans="2:12" x14ac:dyDescent="0.2">
      <c r="B12461"/>
      <c r="C12461"/>
      <c r="J12461"/>
      <c r="K12461"/>
      <c r="L12461"/>
    </row>
    <row r="12462" spans="2:12" x14ac:dyDescent="0.2">
      <c r="B12462"/>
      <c r="C12462"/>
      <c r="J12462"/>
      <c r="K12462"/>
      <c r="L12462"/>
    </row>
    <row r="12463" spans="2:12" x14ac:dyDescent="0.2">
      <c r="B12463"/>
      <c r="C12463"/>
      <c r="J12463"/>
      <c r="K12463"/>
      <c r="L12463"/>
    </row>
    <row r="12464" spans="2:12" x14ac:dyDescent="0.2">
      <c r="B12464"/>
      <c r="C12464"/>
      <c r="J12464"/>
      <c r="K12464"/>
      <c r="L12464"/>
    </row>
    <row r="12465" spans="2:12" x14ac:dyDescent="0.2">
      <c r="B12465"/>
      <c r="C12465"/>
      <c r="J12465"/>
      <c r="K12465"/>
      <c r="L12465"/>
    </row>
    <row r="12466" spans="2:12" x14ac:dyDescent="0.2">
      <c r="B12466"/>
      <c r="C12466"/>
      <c r="J12466"/>
      <c r="K12466"/>
      <c r="L12466"/>
    </row>
    <row r="12467" spans="2:12" x14ac:dyDescent="0.2">
      <c r="B12467"/>
      <c r="C12467"/>
      <c r="J12467"/>
      <c r="K12467"/>
      <c r="L12467"/>
    </row>
    <row r="12468" spans="2:12" x14ac:dyDescent="0.2">
      <c r="B12468"/>
      <c r="C12468"/>
      <c r="J12468"/>
      <c r="K12468"/>
      <c r="L12468"/>
    </row>
    <row r="12469" spans="2:12" x14ac:dyDescent="0.2">
      <c r="B12469"/>
      <c r="C12469"/>
      <c r="J12469"/>
      <c r="K12469"/>
      <c r="L12469"/>
    </row>
    <row r="12470" spans="2:12" x14ac:dyDescent="0.2">
      <c r="B12470"/>
      <c r="C12470"/>
      <c r="J12470"/>
      <c r="K12470"/>
      <c r="L12470"/>
    </row>
    <row r="12471" spans="2:12" x14ac:dyDescent="0.2">
      <c r="B12471"/>
      <c r="C12471"/>
      <c r="J12471"/>
      <c r="K12471"/>
      <c r="L12471"/>
    </row>
    <row r="12472" spans="2:12" x14ac:dyDescent="0.2">
      <c r="B12472"/>
      <c r="C12472"/>
      <c r="J12472"/>
      <c r="K12472"/>
      <c r="L12472"/>
    </row>
    <row r="12473" spans="2:12" x14ac:dyDescent="0.2">
      <c r="B12473"/>
      <c r="C12473"/>
      <c r="J12473"/>
      <c r="K12473"/>
      <c r="L12473"/>
    </row>
    <row r="12474" spans="2:12" x14ac:dyDescent="0.2">
      <c r="B12474"/>
      <c r="C12474"/>
      <c r="J12474"/>
      <c r="K12474"/>
      <c r="L12474"/>
    </row>
    <row r="12475" spans="2:12" x14ac:dyDescent="0.2">
      <c r="B12475"/>
      <c r="C12475"/>
      <c r="J12475"/>
      <c r="K12475"/>
      <c r="L12475"/>
    </row>
    <row r="12476" spans="2:12" x14ac:dyDescent="0.2">
      <c r="B12476"/>
      <c r="C12476"/>
      <c r="J12476"/>
      <c r="K12476"/>
      <c r="L12476"/>
    </row>
    <row r="12477" spans="2:12" x14ac:dyDescent="0.2">
      <c r="B12477"/>
      <c r="C12477"/>
      <c r="J12477"/>
      <c r="K12477"/>
      <c r="L12477"/>
    </row>
    <row r="12478" spans="2:12" x14ac:dyDescent="0.2">
      <c r="B12478"/>
      <c r="C12478"/>
      <c r="J12478"/>
      <c r="K12478"/>
      <c r="L12478"/>
    </row>
    <row r="12479" spans="2:12" x14ac:dyDescent="0.2">
      <c r="B12479"/>
      <c r="C12479"/>
      <c r="J12479"/>
      <c r="K12479"/>
      <c r="L12479"/>
    </row>
    <row r="12480" spans="2:12" x14ac:dyDescent="0.2">
      <c r="B12480"/>
      <c r="C12480"/>
      <c r="J12480"/>
      <c r="K12480"/>
      <c r="L12480"/>
    </row>
    <row r="12481" spans="2:12" x14ac:dyDescent="0.2">
      <c r="B12481"/>
      <c r="C12481"/>
      <c r="J12481"/>
      <c r="K12481"/>
      <c r="L12481"/>
    </row>
    <row r="12482" spans="2:12" x14ac:dyDescent="0.2">
      <c r="B12482"/>
      <c r="C12482"/>
      <c r="J12482"/>
      <c r="K12482"/>
      <c r="L12482"/>
    </row>
    <row r="12483" spans="2:12" x14ac:dyDescent="0.2">
      <c r="B12483"/>
      <c r="C12483"/>
      <c r="J12483"/>
      <c r="K12483"/>
      <c r="L12483"/>
    </row>
    <row r="12484" spans="2:12" x14ac:dyDescent="0.2">
      <c r="B12484"/>
      <c r="C12484"/>
      <c r="J12484"/>
      <c r="K12484"/>
      <c r="L12484"/>
    </row>
    <row r="12485" spans="2:12" x14ac:dyDescent="0.2">
      <c r="B12485"/>
      <c r="C12485"/>
      <c r="J12485"/>
      <c r="K12485"/>
      <c r="L12485"/>
    </row>
    <row r="12486" spans="2:12" x14ac:dyDescent="0.2">
      <c r="B12486"/>
      <c r="C12486"/>
      <c r="J12486"/>
      <c r="K12486"/>
      <c r="L12486"/>
    </row>
    <row r="12487" spans="2:12" x14ac:dyDescent="0.2">
      <c r="B12487"/>
      <c r="C12487"/>
      <c r="J12487"/>
      <c r="K12487"/>
      <c r="L12487"/>
    </row>
    <row r="12488" spans="2:12" x14ac:dyDescent="0.2">
      <c r="B12488"/>
      <c r="C12488"/>
      <c r="J12488"/>
      <c r="K12488"/>
      <c r="L12488"/>
    </row>
    <row r="12489" spans="2:12" x14ac:dyDescent="0.2">
      <c r="B12489"/>
      <c r="C12489"/>
      <c r="J12489"/>
      <c r="K12489"/>
      <c r="L12489"/>
    </row>
    <row r="12490" spans="2:12" x14ac:dyDescent="0.2">
      <c r="B12490"/>
      <c r="C12490"/>
      <c r="J12490"/>
      <c r="K12490"/>
      <c r="L12490"/>
    </row>
    <row r="12491" spans="2:12" x14ac:dyDescent="0.2">
      <c r="B12491"/>
      <c r="C12491"/>
      <c r="J12491"/>
      <c r="K12491"/>
      <c r="L12491"/>
    </row>
    <row r="12492" spans="2:12" x14ac:dyDescent="0.2">
      <c r="B12492"/>
      <c r="C12492"/>
      <c r="J12492"/>
      <c r="K12492"/>
      <c r="L12492"/>
    </row>
    <row r="12493" spans="2:12" x14ac:dyDescent="0.2">
      <c r="B12493"/>
      <c r="C12493"/>
      <c r="J12493"/>
      <c r="K12493"/>
      <c r="L12493"/>
    </row>
    <row r="12494" spans="2:12" x14ac:dyDescent="0.2">
      <c r="B12494"/>
      <c r="C12494"/>
      <c r="J12494"/>
      <c r="K12494"/>
      <c r="L12494"/>
    </row>
    <row r="12495" spans="2:12" x14ac:dyDescent="0.2">
      <c r="B12495"/>
      <c r="C12495"/>
      <c r="J12495"/>
      <c r="K12495"/>
      <c r="L12495"/>
    </row>
    <row r="12496" spans="2:12" x14ac:dyDescent="0.2">
      <c r="B12496"/>
      <c r="C12496"/>
      <c r="J12496"/>
      <c r="K12496"/>
      <c r="L12496"/>
    </row>
    <row r="12497" spans="2:12" x14ac:dyDescent="0.2">
      <c r="B12497"/>
      <c r="C12497"/>
      <c r="J12497"/>
      <c r="K12497"/>
      <c r="L12497"/>
    </row>
    <row r="12498" spans="2:12" x14ac:dyDescent="0.2">
      <c r="B12498"/>
      <c r="C12498"/>
      <c r="J12498"/>
      <c r="K12498"/>
      <c r="L12498"/>
    </row>
    <row r="12499" spans="2:12" x14ac:dyDescent="0.2">
      <c r="B12499"/>
      <c r="C12499"/>
      <c r="J12499"/>
      <c r="K12499"/>
      <c r="L12499"/>
    </row>
    <row r="12500" spans="2:12" x14ac:dyDescent="0.2">
      <c r="B12500"/>
      <c r="C12500"/>
      <c r="J12500"/>
      <c r="K12500"/>
      <c r="L12500"/>
    </row>
    <row r="12501" spans="2:12" x14ac:dyDescent="0.2">
      <c r="B12501"/>
      <c r="C12501"/>
      <c r="J12501"/>
      <c r="K12501"/>
      <c r="L12501"/>
    </row>
    <row r="12502" spans="2:12" x14ac:dyDescent="0.2">
      <c r="B12502"/>
      <c r="C12502"/>
      <c r="J12502"/>
      <c r="K12502"/>
      <c r="L12502"/>
    </row>
    <row r="12503" spans="2:12" x14ac:dyDescent="0.2">
      <c r="B12503"/>
      <c r="C12503"/>
      <c r="J12503"/>
      <c r="K12503"/>
      <c r="L12503"/>
    </row>
    <row r="12504" spans="2:12" x14ac:dyDescent="0.2">
      <c r="B12504"/>
      <c r="C12504"/>
      <c r="J12504"/>
      <c r="K12504"/>
      <c r="L12504"/>
    </row>
    <row r="12505" spans="2:12" x14ac:dyDescent="0.2">
      <c r="B12505"/>
      <c r="C12505"/>
      <c r="J12505"/>
      <c r="K12505"/>
      <c r="L12505"/>
    </row>
    <row r="12506" spans="2:12" x14ac:dyDescent="0.2">
      <c r="B12506"/>
      <c r="C12506"/>
      <c r="J12506"/>
      <c r="K12506"/>
      <c r="L12506"/>
    </row>
    <row r="12507" spans="2:12" x14ac:dyDescent="0.2">
      <c r="B12507"/>
      <c r="C12507"/>
      <c r="J12507"/>
      <c r="K12507"/>
      <c r="L12507"/>
    </row>
    <row r="12508" spans="2:12" x14ac:dyDescent="0.2">
      <c r="B12508"/>
      <c r="C12508"/>
      <c r="J12508"/>
      <c r="K12508"/>
      <c r="L12508"/>
    </row>
    <row r="12509" spans="2:12" x14ac:dyDescent="0.2">
      <c r="B12509"/>
      <c r="C12509"/>
      <c r="J12509"/>
      <c r="K12509"/>
      <c r="L12509"/>
    </row>
    <row r="12510" spans="2:12" x14ac:dyDescent="0.2">
      <c r="B12510"/>
      <c r="C12510"/>
      <c r="J12510"/>
      <c r="K12510"/>
      <c r="L12510"/>
    </row>
    <row r="12511" spans="2:12" x14ac:dyDescent="0.2">
      <c r="B12511"/>
      <c r="C12511"/>
      <c r="J12511"/>
      <c r="K12511"/>
      <c r="L12511"/>
    </row>
    <row r="12512" spans="2:12" x14ac:dyDescent="0.2">
      <c r="B12512"/>
      <c r="C12512"/>
      <c r="J12512"/>
      <c r="K12512"/>
      <c r="L12512"/>
    </row>
    <row r="12513" spans="2:12" x14ac:dyDescent="0.2">
      <c r="B12513"/>
      <c r="C12513"/>
      <c r="J12513"/>
      <c r="K12513"/>
      <c r="L12513"/>
    </row>
    <row r="12514" spans="2:12" x14ac:dyDescent="0.2">
      <c r="B12514"/>
      <c r="C12514"/>
      <c r="J12514"/>
      <c r="K12514"/>
      <c r="L12514"/>
    </row>
    <row r="12515" spans="2:12" x14ac:dyDescent="0.2">
      <c r="B12515"/>
      <c r="C12515"/>
      <c r="J12515"/>
      <c r="K12515"/>
      <c r="L12515"/>
    </row>
    <row r="12516" spans="2:12" x14ac:dyDescent="0.2">
      <c r="B12516"/>
      <c r="C12516"/>
      <c r="J12516"/>
      <c r="K12516"/>
      <c r="L12516"/>
    </row>
    <row r="12517" spans="2:12" x14ac:dyDescent="0.2">
      <c r="B12517"/>
      <c r="C12517"/>
      <c r="J12517"/>
      <c r="K12517"/>
      <c r="L12517"/>
    </row>
    <row r="12518" spans="2:12" x14ac:dyDescent="0.2">
      <c r="B12518"/>
      <c r="C12518"/>
      <c r="J12518"/>
      <c r="K12518"/>
      <c r="L12518"/>
    </row>
    <row r="12519" spans="2:12" x14ac:dyDescent="0.2">
      <c r="B12519"/>
      <c r="C12519"/>
      <c r="J12519"/>
      <c r="K12519"/>
      <c r="L12519"/>
    </row>
    <row r="12520" spans="2:12" x14ac:dyDescent="0.2">
      <c r="B12520"/>
      <c r="C12520"/>
      <c r="J12520"/>
      <c r="K12520"/>
      <c r="L12520"/>
    </row>
    <row r="12521" spans="2:12" x14ac:dyDescent="0.2">
      <c r="B12521"/>
      <c r="C12521"/>
      <c r="J12521"/>
      <c r="K12521"/>
      <c r="L12521"/>
    </row>
    <row r="12522" spans="2:12" x14ac:dyDescent="0.2">
      <c r="B12522"/>
      <c r="C12522"/>
      <c r="J12522"/>
      <c r="K12522"/>
      <c r="L12522"/>
    </row>
    <row r="12523" spans="2:12" x14ac:dyDescent="0.2">
      <c r="B12523"/>
      <c r="C12523"/>
      <c r="J12523"/>
      <c r="K12523"/>
      <c r="L12523"/>
    </row>
    <row r="12524" spans="2:12" x14ac:dyDescent="0.2">
      <c r="B12524"/>
      <c r="C12524"/>
      <c r="J12524"/>
      <c r="K12524"/>
      <c r="L12524"/>
    </row>
    <row r="12525" spans="2:12" x14ac:dyDescent="0.2">
      <c r="B12525"/>
      <c r="C12525"/>
      <c r="J12525"/>
      <c r="K12525"/>
      <c r="L12525"/>
    </row>
    <row r="12526" spans="2:12" x14ac:dyDescent="0.2">
      <c r="B12526"/>
      <c r="C12526"/>
      <c r="J12526"/>
      <c r="K12526"/>
      <c r="L12526"/>
    </row>
    <row r="12527" spans="2:12" x14ac:dyDescent="0.2">
      <c r="B12527"/>
      <c r="C12527"/>
      <c r="J12527"/>
      <c r="K12527"/>
      <c r="L12527"/>
    </row>
    <row r="12528" spans="2:12" x14ac:dyDescent="0.2">
      <c r="B12528"/>
      <c r="C12528"/>
      <c r="J12528"/>
      <c r="K12528"/>
      <c r="L12528"/>
    </row>
    <row r="12529" spans="2:12" x14ac:dyDescent="0.2">
      <c r="B12529"/>
      <c r="C12529"/>
      <c r="J12529"/>
      <c r="K12529"/>
      <c r="L12529"/>
    </row>
    <row r="12530" spans="2:12" x14ac:dyDescent="0.2">
      <c r="B12530"/>
      <c r="C12530"/>
      <c r="J12530"/>
      <c r="K12530"/>
      <c r="L12530"/>
    </row>
    <row r="12531" spans="2:12" x14ac:dyDescent="0.2">
      <c r="B12531"/>
      <c r="C12531"/>
      <c r="J12531"/>
      <c r="K12531"/>
      <c r="L12531"/>
    </row>
    <row r="12532" spans="2:12" x14ac:dyDescent="0.2">
      <c r="B12532"/>
      <c r="C12532"/>
      <c r="J12532"/>
      <c r="K12532"/>
      <c r="L12532"/>
    </row>
    <row r="12533" spans="2:12" x14ac:dyDescent="0.2">
      <c r="B12533"/>
      <c r="C12533"/>
      <c r="J12533"/>
      <c r="K12533"/>
      <c r="L12533"/>
    </row>
    <row r="12534" spans="2:12" x14ac:dyDescent="0.2">
      <c r="B12534"/>
      <c r="C12534"/>
      <c r="J12534"/>
      <c r="K12534"/>
      <c r="L12534"/>
    </row>
    <row r="12535" spans="2:12" x14ac:dyDescent="0.2">
      <c r="B12535"/>
      <c r="C12535"/>
      <c r="J12535"/>
      <c r="K12535"/>
      <c r="L12535"/>
    </row>
    <row r="12536" spans="2:12" x14ac:dyDescent="0.2">
      <c r="B12536"/>
      <c r="C12536"/>
      <c r="J12536"/>
      <c r="K12536"/>
      <c r="L12536"/>
    </row>
    <row r="12537" spans="2:12" x14ac:dyDescent="0.2">
      <c r="B12537"/>
      <c r="C12537"/>
      <c r="J12537"/>
      <c r="K12537"/>
      <c r="L12537"/>
    </row>
    <row r="12538" spans="2:12" x14ac:dyDescent="0.2">
      <c r="B12538"/>
      <c r="C12538"/>
      <c r="J12538"/>
      <c r="K12538"/>
      <c r="L12538"/>
    </row>
    <row r="12539" spans="2:12" x14ac:dyDescent="0.2">
      <c r="B12539"/>
      <c r="C12539"/>
      <c r="J12539"/>
      <c r="K12539"/>
      <c r="L12539"/>
    </row>
    <row r="12540" spans="2:12" x14ac:dyDescent="0.2">
      <c r="B12540"/>
      <c r="C12540"/>
      <c r="J12540"/>
      <c r="K12540"/>
      <c r="L12540"/>
    </row>
    <row r="12541" spans="2:12" x14ac:dyDescent="0.2">
      <c r="B12541"/>
      <c r="C12541"/>
      <c r="J12541"/>
      <c r="K12541"/>
      <c r="L12541"/>
    </row>
    <row r="12542" spans="2:12" x14ac:dyDescent="0.2">
      <c r="B12542"/>
      <c r="C12542"/>
      <c r="J12542"/>
      <c r="K12542"/>
      <c r="L12542"/>
    </row>
    <row r="12543" spans="2:12" x14ac:dyDescent="0.2">
      <c r="B12543"/>
      <c r="C12543"/>
      <c r="J12543"/>
      <c r="K12543"/>
      <c r="L12543"/>
    </row>
    <row r="12544" spans="2:12" x14ac:dyDescent="0.2">
      <c r="B12544"/>
      <c r="C12544"/>
      <c r="J12544"/>
      <c r="K12544"/>
      <c r="L12544"/>
    </row>
    <row r="12545" spans="2:12" x14ac:dyDescent="0.2">
      <c r="B12545"/>
      <c r="C12545"/>
      <c r="J12545"/>
      <c r="K12545"/>
      <c r="L12545"/>
    </row>
    <row r="12546" spans="2:12" x14ac:dyDescent="0.2">
      <c r="B12546"/>
      <c r="C12546"/>
      <c r="J12546"/>
      <c r="K12546"/>
      <c r="L12546"/>
    </row>
    <row r="12547" spans="2:12" x14ac:dyDescent="0.2">
      <c r="B12547"/>
      <c r="C12547"/>
      <c r="J12547"/>
      <c r="K12547"/>
      <c r="L12547"/>
    </row>
    <row r="12548" spans="2:12" x14ac:dyDescent="0.2">
      <c r="B12548"/>
      <c r="C12548"/>
      <c r="J12548"/>
      <c r="K12548"/>
      <c r="L12548"/>
    </row>
    <row r="12549" spans="2:12" x14ac:dyDescent="0.2">
      <c r="B12549"/>
      <c r="C12549"/>
      <c r="J12549"/>
      <c r="K12549"/>
      <c r="L12549"/>
    </row>
    <row r="12550" spans="2:12" x14ac:dyDescent="0.2">
      <c r="B12550"/>
      <c r="C12550"/>
      <c r="J12550"/>
      <c r="K12550"/>
      <c r="L12550"/>
    </row>
    <row r="12551" spans="2:12" x14ac:dyDescent="0.2">
      <c r="B12551"/>
      <c r="C12551"/>
      <c r="J12551"/>
      <c r="K12551"/>
      <c r="L12551"/>
    </row>
    <row r="12552" spans="2:12" x14ac:dyDescent="0.2">
      <c r="B12552"/>
      <c r="C12552"/>
      <c r="J12552"/>
      <c r="K12552"/>
      <c r="L12552"/>
    </row>
    <row r="12553" spans="2:12" x14ac:dyDescent="0.2">
      <c r="B12553"/>
      <c r="C12553"/>
      <c r="J12553"/>
      <c r="K12553"/>
      <c r="L12553"/>
    </row>
    <row r="12554" spans="2:12" x14ac:dyDescent="0.2">
      <c r="B12554"/>
      <c r="C12554"/>
      <c r="J12554"/>
      <c r="K12554"/>
      <c r="L12554"/>
    </row>
    <row r="12555" spans="2:12" x14ac:dyDescent="0.2">
      <c r="B12555"/>
      <c r="C12555"/>
      <c r="J12555"/>
      <c r="K12555"/>
      <c r="L12555"/>
    </row>
    <row r="12556" spans="2:12" x14ac:dyDescent="0.2">
      <c r="B12556"/>
      <c r="C12556"/>
      <c r="J12556"/>
      <c r="K12556"/>
      <c r="L12556"/>
    </row>
    <row r="12557" spans="2:12" x14ac:dyDescent="0.2">
      <c r="B12557"/>
      <c r="C12557"/>
      <c r="J12557"/>
      <c r="K12557"/>
      <c r="L12557"/>
    </row>
    <row r="12558" spans="2:12" x14ac:dyDescent="0.2">
      <c r="B12558"/>
      <c r="C12558"/>
      <c r="J12558"/>
      <c r="K12558"/>
      <c r="L12558"/>
    </row>
    <row r="12559" spans="2:12" x14ac:dyDescent="0.2">
      <c r="B12559"/>
      <c r="C12559"/>
      <c r="J12559"/>
      <c r="K12559"/>
      <c r="L12559"/>
    </row>
    <row r="12560" spans="2:12" x14ac:dyDescent="0.2">
      <c r="B12560"/>
      <c r="C12560"/>
      <c r="J12560"/>
      <c r="K12560"/>
      <c r="L12560"/>
    </row>
    <row r="12561" spans="2:12" x14ac:dyDescent="0.2">
      <c r="B12561"/>
      <c r="C12561"/>
      <c r="J12561"/>
      <c r="K12561"/>
      <c r="L12561"/>
    </row>
    <row r="12562" spans="2:12" x14ac:dyDescent="0.2">
      <c r="B12562"/>
      <c r="C12562"/>
      <c r="J12562"/>
      <c r="K12562"/>
      <c r="L12562"/>
    </row>
    <row r="12563" spans="2:12" x14ac:dyDescent="0.2">
      <c r="B12563"/>
      <c r="C12563"/>
      <c r="J12563"/>
      <c r="K12563"/>
      <c r="L12563"/>
    </row>
    <row r="12564" spans="2:12" x14ac:dyDescent="0.2">
      <c r="B12564"/>
      <c r="C12564"/>
      <c r="J12564"/>
      <c r="K12564"/>
      <c r="L12564"/>
    </row>
    <row r="12565" spans="2:12" x14ac:dyDescent="0.2">
      <c r="B12565"/>
      <c r="C12565"/>
      <c r="J12565"/>
      <c r="K12565"/>
      <c r="L12565"/>
    </row>
    <row r="12566" spans="2:12" x14ac:dyDescent="0.2">
      <c r="B12566"/>
      <c r="C12566"/>
      <c r="J12566"/>
      <c r="K12566"/>
      <c r="L12566"/>
    </row>
    <row r="12567" spans="2:12" x14ac:dyDescent="0.2">
      <c r="B12567"/>
      <c r="C12567"/>
      <c r="J12567"/>
      <c r="K12567"/>
      <c r="L12567"/>
    </row>
    <row r="12568" spans="2:12" x14ac:dyDescent="0.2">
      <c r="B12568"/>
      <c r="C12568"/>
      <c r="J12568"/>
      <c r="K12568"/>
      <c r="L12568"/>
    </row>
    <row r="12569" spans="2:12" x14ac:dyDescent="0.2">
      <c r="B12569"/>
      <c r="C12569"/>
      <c r="J12569"/>
      <c r="K12569"/>
      <c r="L12569"/>
    </row>
    <row r="12570" spans="2:12" x14ac:dyDescent="0.2">
      <c r="B12570"/>
      <c r="C12570"/>
      <c r="J12570"/>
      <c r="K12570"/>
      <c r="L12570"/>
    </row>
    <row r="12571" spans="2:12" x14ac:dyDescent="0.2">
      <c r="B12571"/>
      <c r="C12571"/>
      <c r="J12571"/>
      <c r="K12571"/>
      <c r="L12571"/>
    </row>
    <row r="12572" spans="2:12" x14ac:dyDescent="0.2">
      <c r="B12572"/>
      <c r="C12572"/>
      <c r="J12572"/>
      <c r="K12572"/>
      <c r="L12572"/>
    </row>
    <row r="12573" spans="2:12" x14ac:dyDescent="0.2">
      <c r="B12573"/>
      <c r="C12573"/>
      <c r="J12573"/>
      <c r="K12573"/>
      <c r="L12573"/>
    </row>
    <row r="12574" spans="2:12" x14ac:dyDescent="0.2">
      <c r="B12574"/>
      <c r="C12574"/>
      <c r="J12574"/>
      <c r="K12574"/>
      <c r="L12574"/>
    </row>
    <row r="12575" spans="2:12" x14ac:dyDescent="0.2">
      <c r="B12575"/>
      <c r="C12575"/>
      <c r="J12575"/>
      <c r="K12575"/>
      <c r="L12575"/>
    </row>
    <row r="12576" spans="2:12" x14ac:dyDescent="0.2">
      <c r="B12576"/>
      <c r="C12576"/>
      <c r="J12576"/>
      <c r="K12576"/>
      <c r="L12576"/>
    </row>
    <row r="12577" spans="2:12" x14ac:dyDescent="0.2">
      <c r="B12577"/>
      <c r="C12577"/>
      <c r="J12577"/>
      <c r="K12577"/>
      <c r="L12577"/>
    </row>
    <row r="12578" spans="2:12" x14ac:dyDescent="0.2">
      <c r="B12578"/>
      <c r="C12578"/>
      <c r="J12578"/>
      <c r="K12578"/>
      <c r="L12578"/>
    </row>
    <row r="12579" spans="2:12" x14ac:dyDescent="0.2">
      <c r="B12579"/>
      <c r="C12579"/>
      <c r="J12579"/>
      <c r="K12579"/>
      <c r="L12579"/>
    </row>
    <row r="12580" spans="2:12" x14ac:dyDescent="0.2">
      <c r="B12580"/>
      <c r="C12580"/>
      <c r="J12580"/>
      <c r="K12580"/>
      <c r="L12580"/>
    </row>
    <row r="12581" spans="2:12" x14ac:dyDescent="0.2">
      <c r="B12581"/>
      <c r="C12581"/>
      <c r="J12581"/>
      <c r="K12581"/>
      <c r="L12581"/>
    </row>
    <row r="12582" spans="2:12" x14ac:dyDescent="0.2">
      <c r="B12582"/>
      <c r="C12582"/>
      <c r="J12582"/>
      <c r="K12582"/>
      <c r="L12582"/>
    </row>
    <row r="12583" spans="2:12" x14ac:dyDescent="0.2">
      <c r="B12583"/>
      <c r="C12583"/>
      <c r="J12583"/>
      <c r="K12583"/>
      <c r="L12583"/>
    </row>
    <row r="12584" spans="2:12" x14ac:dyDescent="0.2">
      <c r="B12584"/>
      <c r="C12584"/>
      <c r="J12584"/>
      <c r="K12584"/>
      <c r="L12584"/>
    </row>
    <row r="12585" spans="2:12" x14ac:dyDescent="0.2">
      <c r="B12585"/>
      <c r="C12585"/>
      <c r="J12585"/>
      <c r="K12585"/>
      <c r="L12585"/>
    </row>
    <row r="12586" spans="2:12" x14ac:dyDescent="0.2">
      <c r="B12586"/>
      <c r="C12586"/>
      <c r="J12586"/>
      <c r="K12586"/>
      <c r="L12586"/>
    </row>
    <row r="12587" spans="2:12" x14ac:dyDescent="0.2">
      <c r="B12587"/>
      <c r="C12587"/>
      <c r="J12587"/>
      <c r="K12587"/>
      <c r="L12587"/>
    </row>
    <row r="12588" spans="2:12" x14ac:dyDescent="0.2">
      <c r="B12588"/>
      <c r="C12588"/>
      <c r="J12588"/>
      <c r="K12588"/>
      <c r="L12588"/>
    </row>
    <row r="12589" spans="2:12" x14ac:dyDescent="0.2">
      <c r="B12589"/>
      <c r="C12589"/>
      <c r="J12589"/>
      <c r="K12589"/>
      <c r="L12589"/>
    </row>
    <row r="12590" spans="2:12" x14ac:dyDescent="0.2">
      <c r="B12590"/>
      <c r="C12590"/>
      <c r="J12590"/>
      <c r="K12590"/>
      <c r="L12590"/>
    </row>
    <row r="12591" spans="2:12" x14ac:dyDescent="0.2">
      <c r="B12591"/>
      <c r="C12591"/>
      <c r="J12591"/>
      <c r="K12591"/>
      <c r="L12591"/>
    </row>
    <row r="12592" spans="2:12" x14ac:dyDescent="0.2">
      <c r="B12592"/>
      <c r="C12592"/>
      <c r="J12592"/>
      <c r="K12592"/>
      <c r="L12592"/>
    </row>
    <row r="12593" spans="2:12" x14ac:dyDescent="0.2">
      <c r="B12593"/>
      <c r="C12593"/>
      <c r="J12593"/>
      <c r="K12593"/>
      <c r="L12593"/>
    </row>
    <row r="12594" spans="2:12" x14ac:dyDescent="0.2">
      <c r="B12594"/>
      <c r="C12594"/>
      <c r="J12594"/>
      <c r="K12594"/>
      <c r="L12594"/>
    </row>
    <row r="12595" spans="2:12" x14ac:dyDescent="0.2">
      <c r="B12595"/>
      <c r="C12595"/>
      <c r="J12595"/>
      <c r="K12595"/>
      <c r="L12595"/>
    </row>
    <row r="12596" spans="2:12" x14ac:dyDescent="0.2">
      <c r="B12596"/>
      <c r="C12596"/>
      <c r="J12596"/>
      <c r="K12596"/>
      <c r="L12596"/>
    </row>
    <row r="12597" spans="2:12" x14ac:dyDescent="0.2">
      <c r="B12597"/>
      <c r="C12597"/>
      <c r="J12597"/>
      <c r="K12597"/>
      <c r="L12597"/>
    </row>
    <row r="12598" spans="2:12" x14ac:dyDescent="0.2">
      <c r="B12598"/>
      <c r="C12598"/>
      <c r="J12598"/>
      <c r="K12598"/>
      <c r="L12598"/>
    </row>
    <row r="12599" spans="2:12" x14ac:dyDescent="0.2">
      <c r="B12599"/>
      <c r="C12599"/>
      <c r="J12599"/>
      <c r="K12599"/>
      <c r="L12599"/>
    </row>
    <row r="12600" spans="2:12" x14ac:dyDescent="0.2">
      <c r="B12600"/>
      <c r="C12600"/>
      <c r="J12600"/>
      <c r="K12600"/>
      <c r="L12600"/>
    </row>
    <row r="12601" spans="2:12" x14ac:dyDescent="0.2">
      <c r="B12601"/>
      <c r="C12601"/>
      <c r="J12601"/>
      <c r="K12601"/>
      <c r="L12601"/>
    </row>
    <row r="12602" spans="2:12" x14ac:dyDescent="0.2">
      <c r="B12602"/>
      <c r="C12602"/>
      <c r="J12602"/>
      <c r="K12602"/>
      <c r="L12602"/>
    </row>
    <row r="12603" spans="2:12" x14ac:dyDescent="0.2">
      <c r="B12603"/>
      <c r="C12603"/>
      <c r="J12603"/>
      <c r="K12603"/>
      <c r="L12603"/>
    </row>
    <row r="12604" spans="2:12" x14ac:dyDescent="0.2">
      <c r="B12604"/>
      <c r="C12604"/>
      <c r="J12604"/>
      <c r="K12604"/>
      <c r="L12604"/>
    </row>
    <row r="12605" spans="2:12" x14ac:dyDescent="0.2">
      <c r="B12605"/>
      <c r="C12605"/>
      <c r="J12605"/>
      <c r="K12605"/>
      <c r="L12605"/>
    </row>
    <row r="12606" spans="2:12" x14ac:dyDescent="0.2">
      <c r="B12606"/>
      <c r="C12606"/>
      <c r="J12606"/>
      <c r="K12606"/>
      <c r="L12606"/>
    </row>
    <row r="12607" spans="2:12" x14ac:dyDescent="0.2">
      <c r="B12607"/>
      <c r="C12607"/>
      <c r="J12607"/>
      <c r="K12607"/>
      <c r="L12607"/>
    </row>
    <row r="12608" spans="2:12" x14ac:dyDescent="0.2">
      <c r="B12608"/>
      <c r="C12608"/>
      <c r="J12608"/>
      <c r="K12608"/>
      <c r="L12608"/>
    </row>
    <row r="12609" spans="2:12" x14ac:dyDescent="0.2">
      <c r="B12609"/>
      <c r="C12609"/>
      <c r="J12609"/>
      <c r="K12609"/>
      <c r="L12609"/>
    </row>
    <row r="12610" spans="2:12" x14ac:dyDescent="0.2">
      <c r="B12610"/>
      <c r="C12610"/>
      <c r="J12610"/>
      <c r="K12610"/>
      <c r="L12610"/>
    </row>
    <row r="12611" spans="2:12" x14ac:dyDescent="0.2">
      <c r="B12611"/>
      <c r="C12611"/>
      <c r="J12611"/>
      <c r="K12611"/>
      <c r="L12611"/>
    </row>
    <row r="12612" spans="2:12" x14ac:dyDescent="0.2">
      <c r="B12612"/>
      <c r="C12612"/>
      <c r="J12612"/>
      <c r="K12612"/>
      <c r="L12612"/>
    </row>
    <row r="12613" spans="2:12" x14ac:dyDescent="0.2">
      <c r="B12613"/>
      <c r="C12613"/>
      <c r="J12613"/>
      <c r="K12613"/>
      <c r="L12613"/>
    </row>
    <row r="12614" spans="2:12" x14ac:dyDescent="0.2">
      <c r="B12614"/>
      <c r="C12614"/>
      <c r="J12614"/>
      <c r="K12614"/>
      <c r="L12614"/>
    </row>
    <row r="12615" spans="2:12" x14ac:dyDescent="0.2">
      <c r="B12615"/>
      <c r="C12615"/>
      <c r="J12615"/>
      <c r="K12615"/>
      <c r="L12615"/>
    </row>
    <row r="12616" spans="2:12" x14ac:dyDescent="0.2">
      <c r="B12616"/>
      <c r="C12616"/>
      <c r="J12616"/>
      <c r="K12616"/>
      <c r="L12616"/>
    </row>
    <row r="12617" spans="2:12" x14ac:dyDescent="0.2">
      <c r="B12617"/>
      <c r="C12617"/>
      <c r="J12617"/>
      <c r="K12617"/>
      <c r="L12617"/>
    </row>
    <row r="12618" spans="2:12" x14ac:dyDescent="0.2">
      <c r="B12618"/>
      <c r="C12618"/>
      <c r="J12618"/>
      <c r="K12618"/>
      <c r="L12618"/>
    </row>
    <row r="12619" spans="2:12" x14ac:dyDescent="0.2">
      <c r="B12619"/>
      <c r="C12619"/>
      <c r="J12619"/>
      <c r="K12619"/>
      <c r="L12619"/>
    </row>
    <row r="12620" spans="2:12" x14ac:dyDescent="0.2">
      <c r="B12620"/>
      <c r="C12620"/>
      <c r="J12620"/>
      <c r="K12620"/>
      <c r="L12620"/>
    </row>
    <row r="12621" spans="2:12" x14ac:dyDescent="0.2">
      <c r="B12621"/>
      <c r="C12621"/>
      <c r="J12621"/>
      <c r="K12621"/>
      <c r="L12621"/>
    </row>
    <row r="12622" spans="2:12" x14ac:dyDescent="0.2">
      <c r="B12622"/>
      <c r="C12622"/>
      <c r="J12622"/>
      <c r="K12622"/>
      <c r="L12622"/>
    </row>
    <row r="12623" spans="2:12" x14ac:dyDescent="0.2">
      <c r="B12623"/>
      <c r="C12623"/>
      <c r="J12623"/>
      <c r="K12623"/>
      <c r="L12623"/>
    </row>
    <row r="12624" spans="2:12" x14ac:dyDescent="0.2">
      <c r="B12624"/>
      <c r="C12624"/>
      <c r="J12624"/>
      <c r="K12624"/>
      <c r="L12624"/>
    </row>
    <row r="12625" spans="2:12" x14ac:dyDescent="0.2">
      <c r="B12625"/>
      <c r="C12625"/>
      <c r="J12625"/>
      <c r="K12625"/>
      <c r="L12625"/>
    </row>
    <row r="12626" spans="2:12" x14ac:dyDescent="0.2">
      <c r="B12626"/>
      <c r="C12626"/>
      <c r="J12626"/>
      <c r="K12626"/>
      <c r="L12626"/>
    </row>
    <row r="12627" spans="2:12" x14ac:dyDescent="0.2">
      <c r="B12627"/>
      <c r="C12627"/>
      <c r="J12627"/>
      <c r="K12627"/>
      <c r="L12627"/>
    </row>
    <row r="12628" spans="2:12" x14ac:dyDescent="0.2">
      <c r="B12628"/>
      <c r="C12628"/>
      <c r="J12628"/>
      <c r="K12628"/>
      <c r="L12628"/>
    </row>
    <row r="12629" spans="2:12" x14ac:dyDescent="0.2">
      <c r="B12629"/>
      <c r="C12629"/>
      <c r="J12629"/>
      <c r="K12629"/>
      <c r="L12629"/>
    </row>
    <row r="12630" spans="2:12" x14ac:dyDescent="0.2">
      <c r="B12630"/>
      <c r="C12630"/>
      <c r="J12630"/>
      <c r="K12630"/>
      <c r="L12630"/>
    </row>
    <row r="12631" spans="2:12" x14ac:dyDescent="0.2">
      <c r="B12631"/>
      <c r="C12631"/>
      <c r="J12631"/>
      <c r="K12631"/>
      <c r="L12631"/>
    </row>
    <row r="12632" spans="2:12" x14ac:dyDescent="0.2">
      <c r="B12632"/>
      <c r="C12632"/>
      <c r="J12632"/>
      <c r="K12632"/>
      <c r="L12632"/>
    </row>
    <row r="12633" spans="2:12" x14ac:dyDescent="0.2">
      <c r="B12633"/>
      <c r="C12633"/>
      <c r="J12633"/>
      <c r="K12633"/>
      <c r="L12633"/>
    </row>
    <row r="12634" spans="2:12" x14ac:dyDescent="0.2">
      <c r="B12634"/>
      <c r="C12634"/>
      <c r="J12634"/>
      <c r="K12634"/>
      <c r="L12634"/>
    </row>
    <row r="12635" spans="2:12" x14ac:dyDescent="0.2">
      <c r="B12635"/>
      <c r="C12635"/>
      <c r="J12635"/>
      <c r="K12635"/>
      <c r="L12635"/>
    </row>
    <row r="12636" spans="2:12" x14ac:dyDescent="0.2">
      <c r="B12636"/>
      <c r="C12636"/>
      <c r="J12636"/>
      <c r="K12636"/>
      <c r="L12636"/>
    </row>
    <row r="12637" spans="2:12" x14ac:dyDescent="0.2">
      <c r="B12637"/>
      <c r="C12637"/>
      <c r="J12637"/>
      <c r="K12637"/>
      <c r="L12637"/>
    </row>
    <row r="12638" spans="2:12" x14ac:dyDescent="0.2">
      <c r="B12638"/>
      <c r="C12638"/>
      <c r="J12638"/>
      <c r="K12638"/>
      <c r="L12638"/>
    </row>
    <row r="12639" spans="2:12" x14ac:dyDescent="0.2">
      <c r="B12639"/>
      <c r="C12639"/>
      <c r="J12639"/>
      <c r="K12639"/>
      <c r="L12639"/>
    </row>
    <row r="12640" spans="2:12" x14ac:dyDescent="0.2">
      <c r="B12640"/>
      <c r="C12640"/>
      <c r="J12640"/>
      <c r="K12640"/>
      <c r="L12640"/>
    </row>
    <row r="12641" spans="2:12" x14ac:dyDescent="0.2">
      <c r="B12641"/>
      <c r="C12641"/>
      <c r="J12641"/>
      <c r="K12641"/>
      <c r="L12641"/>
    </row>
    <row r="12642" spans="2:12" x14ac:dyDescent="0.2">
      <c r="B12642"/>
      <c r="C12642"/>
      <c r="J12642"/>
      <c r="K12642"/>
      <c r="L12642"/>
    </row>
    <row r="12643" spans="2:12" x14ac:dyDescent="0.2">
      <c r="B12643"/>
      <c r="C12643"/>
      <c r="J12643"/>
      <c r="K12643"/>
      <c r="L12643"/>
    </row>
    <row r="12644" spans="2:12" x14ac:dyDescent="0.2">
      <c r="B12644"/>
      <c r="C12644"/>
      <c r="J12644"/>
      <c r="K12644"/>
      <c r="L12644"/>
    </row>
    <row r="12645" spans="2:12" x14ac:dyDescent="0.2">
      <c r="B12645"/>
      <c r="C12645"/>
      <c r="J12645"/>
      <c r="K12645"/>
      <c r="L12645"/>
    </row>
    <row r="12646" spans="2:12" x14ac:dyDescent="0.2">
      <c r="B12646"/>
      <c r="C12646"/>
      <c r="J12646"/>
      <c r="K12646"/>
      <c r="L12646"/>
    </row>
    <row r="12647" spans="2:12" x14ac:dyDescent="0.2">
      <c r="B12647"/>
      <c r="C12647"/>
      <c r="J12647"/>
      <c r="K12647"/>
      <c r="L12647"/>
    </row>
    <row r="12648" spans="2:12" x14ac:dyDescent="0.2">
      <c r="B12648"/>
      <c r="C12648"/>
      <c r="J12648"/>
      <c r="K12648"/>
      <c r="L12648"/>
    </row>
    <row r="12649" spans="2:12" x14ac:dyDescent="0.2">
      <c r="B12649"/>
      <c r="C12649"/>
      <c r="J12649"/>
      <c r="K12649"/>
      <c r="L12649"/>
    </row>
    <row r="12650" spans="2:12" x14ac:dyDescent="0.2">
      <c r="B12650"/>
      <c r="C12650"/>
      <c r="J12650"/>
      <c r="K12650"/>
      <c r="L12650"/>
    </row>
    <row r="12651" spans="2:12" x14ac:dyDescent="0.2">
      <c r="B12651"/>
      <c r="C12651"/>
      <c r="J12651"/>
      <c r="K12651"/>
      <c r="L12651"/>
    </row>
    <row r="12652" spans="2:12" x14ac:dyDescent="0.2">
      <c r="B12652"/>
      <c r="C12652"/>
      <c r="J12652"/>
      <c r="K12652"/>
      <c r="L12652"/>
    </row>
    <row r="12653" spans="2:12" x14ac:dyDescent="0.2">
      <c r="B12653"/>
      <c r="C12653"/>
      <c r="J12653"/>
      <c r="K12653"/>
      <c r="L12653"/>
    </row>
    <row r="12654" spans="2:12" x14ac:dyDescent="0.2">
      <c r="B12654"/>
      <c r="C12654"/>
      <c r="J12654"/>
      <c r="K12654"/>
      <c r="L12654"/>
    </row>
    <row r="12655" spans="2:12" x14ac:dyDescent="0.2">
      <c r="B12655"/>
      <c r="C12655"/>
      <c r="J12655"/>
      <c r="K12655"/>
      <c r="L12655"/>
    </row>
    <row r="12656" spans="2:12" x14ac:dyDescent="0.2">
      <c r="B12656"/>
      <c r="C12656"/>
      <c r="J12656"/>
      <c r="K12656"/>
      <c r="L12656"/>
    </row>
    <row r="12657" spans="2:12" x14ac:dyDescent="0.2">
      <c r="B12657"/>
      <c r="C12657"/>
      <c r="J12657"/>
      <c r="K12657"/>
      <c r="L12657"/>
    </row>
    <row r="12658" spans="2:12" x14ac:dyDescent="0.2">
      <c r="B12658"/>
      <c r="C12658"/>
      <c r="J12658"/>
      <c r="K12658"/>
      <c r="L12658"/>
    </row>
    <row r="12659" spans="2:12" x14ac:dyDescent="0.2">
      <c r="B12659"/>
      <c r="C12659"/>
      <c r="J12659"/>
      <c r="K12659"/>
      <c r="L12659"/>
    </row>
    <row r="12660" spans="2:12" x14ac:dyDescent="0.2">
      <c r="B12660"/>
      <c r="C12660"/>
      <c r="J12660"/>
      <c r="K12660"/>
      <c r="L12660"/>
    </row>
    <row r="12661" spans="2:12" x14ac:dyDescent="0.2">
      <c r="B12661"/>
      <c r="C12661"/>
      <c r="J12661"/>
      <c r="K12661"/>
      <c r="L12661"/>
    </row>
    <row r="12662" spans="2:12" x14ac:dyDescent="0.2">
      <c r="B12662"/>
      <c r="C12662"/>
      <c r="J12662"/>
      <c r="K12662"/>
      <c r="L12662"/>
    </row>
    <row r="12663" spans="2:12" x14ac:dyDescent="0.2">
      <c r="B12663"/>
      <c r="C12663"/>
      <c r="J12663"/>
      <c r="K12663"/>
      <c r="L12663"/>
    </row>
    <row r="12664" spans="2:12" x14ac:dyDescent="0.2">
      <c r="B12664"/>
      <c r="C12664"/>
      <c r="J12664"/>
      <c r="K12664"/>
      <c r="L12664"/>
    </row>
    <row r="12665" spans="2:12" x14ac:dyDescent="0.2">
      <c r="B12665"/>
      <c r="C12665"/>
      <c r="J12665"/>
      <c r="K12665"/>
      <c r="L12665"/>
    </row>
    <row r="12666" spans="2:12" x14ac:dyDescent="0.2">
      <c r="B12666"/>
      <c r="C12666"/>
      <c r="J12666"/>
      <c r="K12666"/>
      <c r="L12666"/>
    </row>
    <row r="12667" spans="2:12" x14ac:dyDescent="0.2">
      <c r="B12667"/>
      <c r="C12667"/>
      <c r="J12667"/>
      <c r="K12667"/>
      <c r="L12667"/>
    </row>
    <row r="12668" spans="2:12" x14ac:dyDescent="0.2">
      <c r="B12668"/>
      <c r="C12668"/>
      <c r="J12668"/>
      <c r="K12668"/>
      <c r="L12668"/>
    </row>
    <row r="12669" spans="2:12" x14ac:dyDescent="0.2">
      <c r="B12669"/>
      <c r="C12669"/>
      <c r="J12669"/>
      <c r="K12669"/>
      <c r="L12669"/>
    </row>
    <row r="12670" spans="2:12" x14ac:dyDescent="0.2">
      <c r="B12670"/>
      <c r="C12670"/>
      <c r="J12670"/>
      <c r="K12670"/>
      <c r="L12670"/>
    </row>
    <row r="12671" spans="2:12" x14ac:dyDescent="0.2">
      <c r="B12671"/>
      <c r="C12671"/>
      <c r="J12671"/>
      <c r="K12671"/>
      <c r="L12671"/>
    </row>
    <row r="12672" spans="2:12" x14ac:dyDescent="0.2">
      <c r="B12672"/>
      <c r="C12672"/>
      <c r="J12672"/>
      <c r="K12672"/>
      <c r="L12672"/>
    </row>
    <row r="12673" spans="2:12" x14ac:dyDescent="0.2">
      <c r="B12673"/>
      <c r="C12673"/>
      <c r="J12673"/>
      <c r="K12673"/>
      <c r="L12673"/>
    </row>
    <row r="12674" spans="2:12" x14ac:dyDescent="0.2">
      <c r="B12674"/>
      <c r="C12674"/>
      <c r="J12674"/>
      <c r="K12674"/>
      <c r="L12674"/>
    </row>
    <row r="12675" spans="2:12" x14ac:dyDescent="0.2">
      <c r="B12675"/>
      <c r="C12675"/>
      <c r="J12675"/>
      <c r="K12675"/>
      <c r="L12675"/>
    </row>
    <row r="12676" spans="2:12" x14ac:dyDescent="0.2">
      <c r="B12676"/>
      <c r="C12676"/>
      <c r="J12676"/>
      <c r="K12676"/>
      <c r="L12676"/>
    </row>
    <row r="12677" spans="2:12" x14ac:dyDescent="0.2">
      <c r="B12677"/>
      <c r="C12677"/>
      <c r="J12677"/>
      <c r="K12677"/>
      <c r="L12677"/>
    </row>
    <row r="12678" spans="2:12" x14ac:dyDescent="0.2">
      <c r="B12678"/>
      <c r="C12678"/>
      <c r="J12678"/>
      <c r="K12678"/>
      <c r="L12678"/>
    </row>
    <row r="12679" spans="2:12" x14ac:dyDescent="0.2">
      <c r="B12679"/>
      <c r="C12679"/>
      <c r="J12679"/>
      <c r="K12679"/>
      <c r="L12679"/>
    </row>
    <row r="12680" spans="2:12" x14ac:dyDescent="0.2">
      <c r="B12680"/>
      <c r="C12680"/>
      <c r="J12680"/>
      <c r="K12680"/>
      <c r="L12680"/>
    </row>
    <row r="12681" spans="2:12" x14ac:dyDescent="0.2">
      <c r="B12681"/>
      <c r="C12681"/>
      <c r="J12681"/>
      <c r="K12681"/>
      <c r="L12681"/>
    </row>
    <row r="12682" spans="2:12" x14ac:dyDescent="0.2">
      <c r="B12682"/>
      <c r="C12682"/>
      <c r="J12682"/>
      <c r="K12682"/>
      <c r="L12682"/>
    </row>
    <row r="12683" spans="2:12" x14ac:dyDescent="0.2">
      <c r="B12683"/>
      <c r="C12683"/>
      <c r="J12683"/>
      <c r="K12683"/>
      <c r="L12683"/>
    </row>
    <row r="12684" spans="2:12" x14ac:dyDescent="0.2">
      <c r="B12684"/>
      <c r="C12684"/>
      <c r="J12684"/>
      <c r="K12684"/>
      <c r="L12684"/>
    </row>
    <row r="12685" spans="2:12" x14ac:dyDescent="0.2">
      <c r="B12685"/>
      <c r="C12685"/>
      <c r="J12685"/>
      <c r="K12685"/>
      <c r="L12685"/>
    </row>
    <row r="12686" spans="2:12" x14ac:dyDescent="0.2">
      <c r="B12686"/>
      <c r="C12686"/>
      <c r="J12686"/>
      <c r="K12686"/>
      <c r="L12686"/>
    </row>
    <row r="12687" spans="2:12" x14ac:dyDescent="0.2">
      <c r="B12687"/>
      <c r="C12687"/>
      <c r="J12687"/>
      <c r="K12687"/>
      <c r="L12687"/>
    </row>
    <row r="12688" spans="2:12" x14ac:dyDescent="0.2">
      <c r="B12688"/>
      <c r="C12688"/>
      <c r="J12688"/>
      <c r="K12688"/>
      <c r="L12688"/>
    </row>
    <row r="12689" spans="2:12" x14ac:dyDescent="0.2">
      <c r="B12689"/>
      <c r="C12689"/>
      <c r="J12689"/>
      <c r="K12689"/>
      <c r="L12689"/>
    </row>
    <row r="12690" spans="2:12" x14ac:dyDescent="0.2">
      <c r="B12690"/>
      <c r="C12690"/>
      <c r="J12690"/>
      <c r="K12690"/>
      <c r="L12690"/>
    </row>
    <row r="12691" spans="2:12" x14ac:dyDescent="0.2">
      <c r="B12691"/>
      <c r="C12691"/>
      <c r="J12691"/>
      <c r="K12691"/>
      <c r="L12691"/>
    </row>
    <row r="12692" spans="2:12" x14ac:dyDescent="0.2">
      <c r="B12692"/>
      <c r="C12692"/>
      <c r="J12692"/>
      <c r="K12692"/>
      <c r="L12692"/>
    </row>
    <row r="12693" spans="2:12" x14ac:dyDescent="0.2">
      <c r="B12693"/>
      <c r="C12693"/>
      <c r="J12693"/>
      <c r="K12693"/>
      <c r="L12693"/>
    </row>
    <row r="12694" spans="2:12" x14ac:dyDescent="0.2">
      <c r="B12694"/>
      <c r="C12694"/>
      <c r="J12694"/>
      <c r="K12694"/>
      <c r="L12694"/>
    </row>
    <row r="12695" spans="2:12" x14ac:dyDescent="0.2">
      <c r="B12695"/>
      <c r="C12695"/>
      <c r="J12695"/>
      <c r="K12695"/>
      <c r="L12695"/>
    </row>
    <row r="12696" spans="2:12" x14ac:dyDescent="0.2">
      <c r="B12696"/>
      <c r="C12696"/>
      <c r="J12696"/>
      <c r="K12696"/>
      <c r="L12696"/>
    </row>
    <row r="12697" spans="2:12" x14ac:dyDescent="0.2">
      <c r="B12697"/>
      <c r="C12697"/>
      <c r="J12697"/>
      <c r="K12697"/>
      <c r="L12697"/>
    </row>
    <row r="12698" spans="2:12" x14ac:dyDescent="0.2">
      <c r="B12698"/>
      <c r="C12698"/>
      <c r="J12698"/>
      <c r="K12698"/>
      <c r="L12698"/>
    </row>
    <row r="12699" spans="2:12" x14ac:dyDescent="0.2">
      <c r="B12699"/>
      <c r="C12699"/>
      <c r="J12699"/>
      <c r="K12699"/>
      <c r="L12699"/>
    </row>
    <row r="12700" spans="2:12" x14ac:dyDescent="0.2">
      <c r="B12700"/>
      <c r="C12700"/>
      <c r="J12700"/>
      <c r="K12700"/>
      <c r="L12700"/>
    </row>
    <row r="12701" spans="2:12" x14ac:dyDescent="0.2">
      <c r="B12701"/>
      <c r="C12701"/>
      <c r="J12701"/>
      <c r="K12701"/>
      <c r="L12701"/>
    </row>
    <row r="12702" spans="2:12" x14ac:dyDescent="0.2">
      <c r="B12702"/>
      <c r="C12702"/>
      <c r="J12702"/>
      <c r="K12702"/>
      <c r="L12702"/>
    </row>
    <row r="12703" spans="2:12" x14ac:dyDescent="0.2">
      <c r="B12703"/>
      <c r="C12703"/>
      <c r="J12703"/>
      <c r="K12703"/>
      <c r="L12703"/>
    </row>
    <row r="12704" spans="2:12" x14ac:dyDescent="0.2">
      <c r="B12704"/>
      <c r="C12704"/>
      <c r="J12704"/>
      <c r="K12704"/>
      <c r="L12704"/>
    </row>
    <row r="12705" spans="2:12" x14ac:dyDescent="0.2">
      <c r="B12705"/>
      <c r="C12705"/>
      <c r="J12705"/>
      <c r="K12705"/>
      <c r="L12705"/>
    </row>
    <row r="12706" spans="2:12" x14ac:dyDescent="0.2">
      <c r="B12706"/>
      <c r="C12706"/>
      <c r="J12706"/>
      <c r="K12706"/>
      <c r="L12706"/>
    </row>
    <row r="12707" spans="2:12" x14ac:dyDescent="0.2">
      <c r="B12707"/>
      <c r="C12707"/>
      <c r="J12707"/>
      <c r="K12707"/>
      <c r="L12707"/>
    </row>
    <row r="12708" spans="2:12" x14ac:dyDescent="0.2">
      <c r="B12708"/>
      <c r="C12708"/>
      <c r="J12708"/>
      <c r="K12708"/>
      <c r="L12708"/>
    </row>
    <row r="12709" spans="2:12" x14ac:dyDescent="0.2">
      <c r="B12709"/>
      <c r="C12709"/>
      <c r="J12709"/>
      <c r="K12709"/>
      <c r="L12709"/>
    </row>
    <row r="12710" spans="2:12" x14ac:dyDescent="0.2">
      <c r="B12710"/>
      <c r="C12710"/>
      <c r="J12710"/>
      <c r="K12710"/>
      <c r="L12710"/>
    </row>
    <row r="12711" spans="2:12" x14ac:dyDescent="0.2">
      <c r="B12711"/>
      <c r="C12711"/>
      <c r="J12711"/>
      <c r="K12711"/>
      <c r="L12711"/>
    </row>
    <row r="12712" spans="2:12" x14ac:dyDescent="0.2">
      <c r="B12712"/>
      <c r="C12712"/>
      <c r="J12712"/>
      <c r="K12712"/>
      <c r="L12712"/>
    </row>
    <row r="12713" spans="2:12" x14ac:dyDescent="0.2">
      <c r="B12713"/>
      <c r="C12713"/>
      <c r="J12713"/>
      <c r="K12713"/>
      <c r="L12713"/>
    </row>
    <row r="12714" spans="2:12" x14ac:dyDescent="0.2">
      <c r="B12714"/>
      <c r="C12714"/>
      <c r="J12714"/>
      <c r="K12714"/>
      <c r="L12714"/>
    </row>
    <row r="12715" spans="2:12" x14ac:dyDescent="0.2">
      <c r="B12715"/>
      <c r="C12715"/>
      <c r="J12715"/>
      <c r="K12715"/>
      <c r="L12715"/>
    </row>
    <row r="12716" spans="2:12" x14ac:dyDescent="0.2">
      <c r="B12716"/>
      <c r="C12716"/>
      <c r="J12716"/>
      <c r="K12716"/>
      <c r="L12716"/>
    </row>
    <row r="12717" spans="2:12" x14ac:dyDescent="0.2">
      <c r="B12717"/>
      <c r="C12717"/>
      <c r="J12717"/>
      <c r="K12717"/>
      <c r="L12717"/>
    </row>
    <row r="12718" spans="2:12" x14ac:dyDescent="0.2">
      <c r="B12718"/>
      <c r="C12718"/>
      <c r="J12718"/>
      <c r="K12718"/>
      <c r="L12718"/>
    </row>
    <row r="12719" spans="2:12" x14ac:dyDescent="0.2">
      <c r="B12719"/>
      <c r="C12719"/>
      <c r="J12719"/>
      <c r="K12719"/>
      <c r="L12719"/>
    </row>
    <row r="12720" spans="2:12" x14ac:dyDescent="0.2">
      <c r="B12720"/>
      <c r="C12720"/>
      <c r="J12720"/>
      <c r="K12720"/>
      <c r="L12720"/>
    </row>
    <row r="12721" spans="2:12" x14ac:dyDescent="0.2">
      <c r="B12721"/>
      <c r="C12721"/>
      <c r="J12721"/>
      <c r="K12721"/>
      <c r="L12721"/>
    </row>
    <row r="12722" spans="2:12" x14ac:dyDescent="0.2">
      <c r="B12722"/>
      <c r="C12722"/>
      <c r="J12722"/>
      <c r="K12722"/>
      <c r="L12722"/>
    </row>
    <row r="12723" spans="2:12" x14ac:dyDescent="0.2">
      <c r="B12723"/>
      <c r="C12723"/>
      <c r="J12723"/>
      <c r="K12723"/>
      <c r="L12723"/>
    </row>
    <row r="12724" spans="2:12" x14ac:dyDescent="0.2">
      <c r="B12724"/>
      <c r="C12724"/>
      <c r="J12724"/>
      <c r="K12724"/>
      <c r="L12724"/>
    </row>
    <row r="12725" spans="2:12" x14ac:dyDescent="0.2">
      <c r="B12725"/>
      <c r="C12725"/>
      <c r="J12725"/>
      <c r="K12725"/>
      <c r="L12725"/>
    </row>
    <row r="12726" spans="2:12" x14ac:dyDescent="0.2">
      <c r="B12726"/>
      <c r="C12726"/>
      <c r="J12726"/>
      <c r="K12726"/>
      <c r="L12726"/>
    </row>
    <row r="12727" spans="2:12" x14ac:dyDescent="0.2">
      <c r="B12727"/>
      <c r="C12727"/>
      <c r="J12727"/>
      <c r="K12727"/>
      <c r="L12727"/>
    </row>
    <row r="12728" spans="2:12" x14ac:dyDescent="0.2">
      <c r="B12728"/>
      <c r="C12728"/>
      <c r="J12728"/>
      <c r="K12728"/>
      <c r="L12728"/>
    </row>
    <row r="12729" spans="2:12" x14ac:dyDescent="0.2">
      <c r="B12729"/>
      <c r="C12729"/>
      <c r="J12729"/>
      <c r="K12729"/>
      <c r="L12729"/>
    </row>
    <row r="12730" spans="2:12" x14ac:dyDescent="0.2">
      <c r="B12730"/>
      <c r="C12730"/>
      <c r="J12730"/>
      <c r="K12730"/>
      <c r="L12730"/>
    </row>
    <row r="12731" spans="2:12" x14ac:dyDescent="0.2">
      <c r="B12731"/>
      <c r="C12731"/>
      <c r="J12731"/>
      <c r="K12731"/>
      <c r="L12731"/>
    </row>
    <row r="12732" spans="2:12" x14ac:dyDescent="0.2">
      <c r="B12732"/>
      <c r="C12732"/>
      <c r="J12732"/>
      <c r="K12732"/>
      <c r="L12732"/>
    </row>
    <row r="12733" spans="2:12" x14ac:dyDescent="0.2">
      <c r="B12733"/>
      <c r="C12733"/>
      <c r="J12733"/>
      <c r="K12733"/>
      <c r="L12733"/>
    </row>
    <row r="12734" spans="2:12" x14ac:dyDescent="0.2">
      <c r="B12734"/>
      <c r="C12734"/>
      <c r="J12734"/>
      <c r="K12734"/>
      <c r="L12734"/>
    </row>
    <row r="12735" spans="2:12" x14ac:dyDescent="0.2">
      <c r="B12735"/>
      <c r="C12735"/>
      <c r="J12735"/>
      <c r="K12735"/>
      <c r="L12735"/>
    </row>
    <row r="12736" spans="2:12" x14ac:dyDescent="0.2">
      <c r="B12736"/>
      <c r="C12736"/>
      <c r="J12736"/>
      <c r="K12736"/>
      <c r="L12736"/>
    </row>
    <row r="12737" spans="2:12" x14ac:dyDescent="0.2">
      <c r="B12737"/>
      <c r="C12737"/>
      <c r="J12737"/>
      <c r="K12737"/>
      <c r="L12737"/>
    </row>
    <row r="12738" spans="2:12" x14ac:dyDescent="0.2">
      <c r="B12738"/>
      <c r="C12738"/>
      <c r="J12738"/>
      <c r="K12738"/>
      <c r="L12738"/>
    </row>
    <row r="12739" spans="2:12" x14ac:dyDescent="0.2">
      <c r="B12739"/>
      <c r="C12739"/>
      <c r="J12739"/>
      <c r="K12739"/>
      <c r="L12739"/>
    </row>
    <row r="12740" spans="2:12" x14ac:dyDescent="0.2">
      <c r="B12740"/>
      <c r="C12740"/>
      <c r="J12740"/>
      <c r="K12740"/>
      <c r="L12740"/>
    </row>
    <row r="12741" spans="2:12" x14ac:dyDescent="0.2">
      <c r="B12741"/>
      <c r="C12741"/>
      <c r="J12741"/>
      <c r="K12741"/>
      <c r="L12741"/>
    </row>
    <row r="12742" spans="2:12" x14ac:dyDescent="0.2">
      <c r="B12742"/>
      <c r="C12742"/>
      <c r="J12742"/>
      <c r="K12742"/>
      <c r="L12742"/>
    </row>
    <row r="12743" spans="2:12" x14ac:dyDescent="0.2">
      <c r="B12743"/>
      <c r="C12743"/>
      <c r="J12743"/>
      <c r="K12743"/>
      <c r="L12743"/>
    </row>
    <row r="12744" spans="2:12" x14ac:dyDescent="0.2">
      <c r="B12744"/>
      <c r="C12744"/>
      <c r="J12744"/>
      <c r="K12744"/>
      <c r="L12744"/>
    </row>
    <row r="12745" spans="2:12" x14ac:dyDescent="0.2">
      <c r="B12745"/>
      <c r="C12745"/>
      <c r="J12745"/>
      <c r="K12745"/>
      <c r="L12745"/>
    </row>
    <row r="12746" spans="2:12" x14ac:dyDescent="0.2">
      <c r="B12746"/>
      <c r="C12746"/>
      <c r="J12746"/>
      <c r="K12746"/>
      <c r="L12746"/>
    </row>
    <row r="12747" spans="2:12" x14ac:dyDescent="0.2">
      <c r="B12747"/>
      <c r="C12747"/>
      <c r="J12747"/>
      <c r="K12747"/>
      <c r="L12747"/>
    </row>
    <row r="12748" spans="2:12" x14ac:dyDescent="0.2">
      <c r="B12748"/>
      <c r="C12748"/>
      <c r="J12748"/>
      <c r="K12748"/>
      <c r="L12748"/>
    </row>
    <row r="12749" spans="2:12" x14ac:dyDescent="0.2">
      <c r="B12749"/>
      <c r="C12749"/>
      <c r="J12749"/>
      <c r="K12749"/>
      <c r="L12749"/>
    </row>
    <row r="12750" spans="2:12" x14ac:dyDescent="0.2">
      <c r="B12750"/>
      <c r="C12750"/>
      <c r="J12750"/>
      <c r="K12750"/>
      <c r="L12750"/>
    </row>
    <row r="12751" spans="2:12" x14ac:dyDescent="0.2">
      <c r="B12751"/>
      <c r="C12751"/>
      <c r="J12751"/>
      <c r="K12751"/>
      <c r="L12751"/>
    </row>
    <row r="12752" spans="2:12" x14ac:dyDescent="0.2">
      <c r="B12752"/>
      <c r="C12752"/>
      <c r="J12752"/>
      <c r="K12752"/>
      <c r="L12752"/>
    </row>
    <row r="12753" spans="2:12" x14ac:dyDescent="0.2">
      <c r="B12753"/>
      <c r="C12753"/>
      <c r="J12753"/>
      <c r="K12753"/>
      <c r="L12753"/>
    </row>
    <row r="12754" spans="2:12" x14ac:dyDescent="0.2">
      <c r="B12754"/>
      <c r="C12754"/>
      <c r="J12754"/>
      <c r="K12754"/>
      <c r="L12754"/>
    </row>
    <row r="12755" spans="2:12" x14ac:dyDescent="0.2">
      <c r="B12755"/>
      <c r="C12755"/>
      <c r="J12755"/>
      <c r="K12755"/>
      <c r="L12755"/>
    </row>
    <row r="12756" spans="2:12" x14ac:dyDescent="0.2">
      <c r="B12756"/>
      <c r="C12756"/>
      <c r="J12756"/>
      <c r="K12756"/>
      <c r="L12756"/>
    </row>
    <row r="12757" spans="2:12" x14ac:dyDescent="0.2">
      <c r="B12757"/>
      <c r="C12757"/>
      <c r="J12757"/>
      <c r="K12757"/>
      <c r="L12757"/>
    </row>
    <row r="12758" spans="2:12" x14ac:dyDescent="0.2">
      <c r="B12758"/>
      <c r="C12758"/>
      <c r="J12758"/>
      <c r="K12758"/>
      <c r="L12758"/>
    </row>
    <row r="12759" spans="2:12" x14ac:dyDescent="0.2">
      <c r="B12759"/>
      <c r="C12759"/>
      <c r="J12759"/>
      <c r="K12759"/>
      <c r="L12759"/>
    </row>
    <row r="12760" spans="2:12" x14ac:dyDescent="0.2">
      <c r="B12760"/>
      <c r="C12760"/>
      <c r="J12760"/>
      <c r="K12760"/>
      <c r="L12760"/>
    </row>
    <row r="12761" spans="2:12" x14ac:dyDescent="0.2">
      <c r="B12761"/>
      <c r="C12761"/>
      <c r="J12761"/>
      <c r="K12761"/>
      <c r="L12761"/>
    </row>
    <row r="12762" spans="2:12" x14ac:dyDescent="0.2">
      <c r="B12762"/>
      <c r="C12762"/>
      <c r="J12762"/>
      <c r="K12762"/>
      <c r="L12762"/>
    </row>
    <row r="12763" spans="2:12" x14ac:dyDescent="0.2">
      <c r="B12763"/>
      <c r="C12763"/>
      <c r="J12763"/>
      <c r="K12763"/>
      <c r="L12763"/>
    </row>
    <row r="12764" spans="2:12" x14ac:dyDescent="0.2">
      <c r="B12764"/>
      <c r="C12764"/>
      <c r="J12764"/>
      <c r="K12764"/>
      <c r="L12764"/>
    </row>
    <row r="12765" spans="2:12" x14ac:dyDescent="0.2">
      <c r="B12765"/>
      <c r="C12765"/>
      <c r="J12765"/>
      <c r="K12765"/>
      <c r="L12765"/>
    </row>
    <row r="12766" spans="2:12" x14ac:dyDescent="0.2">
      <c r="B12766"/>
      <c r="C12766"/>
      <c r="J12766"/>
      <c r="K12766"/>
      <c r="L12766"/>
    </row>
    <row r="12767" spans="2:12" x14ac:dyDescent="0.2">
      <c r="B12767"/>
      <c r="C12767"/>
      <c r="J12767"/>
      <c r="K12767"/>
      <c r="L12767"/>
    </row>
    <row r="12768" spans="2:12" x14ac:dyDescent="0.2">
      <c r="B12768"/>
      <c r="C12768"/>
      <c r="J12768"/>
      <c r="K12768"/>
      <c r="L12768"/>
    </row>
    <row r="12769" spans="2:12" x14ac:dyDescent="0.2">
      <c r="B12769"/>
      <c r="C12769"/>
      <c r="J12769"/>
      <c r="K12769"/>
      <c r="L12769"/>
    </row>
    <row r="12770" spans="2:12" x14ac:dyDescent="0.2">
      <c r="B12770"/>
      <c r="C12770"/>
      <c r="J12770"/>
      <c r="K12770"/>
      <c r="L12770"/>
    </row>
    <row r="12771" spans="2:12" x14ac:dyDescent="0.2">
      <c r="B12771"/>
      <c r="C12771"/>
      <c r="J12771"/>
      <c r="K12771"/>
      <c r="L12771"/>
    </row>
    <row r="12772" spans="2:12" x14ac:dyDescent="0.2">
      <c r="B12772"/>
      <c r="C12772"/>
      <c r="J12772"/>
      <c r="K12772"/>
      <c r="L12772"/>
    </row>
    <row r="12773" spans="2:12" x14ac:dyDescent="0.2">
      <c r="B12773"/>
      <c r="C12773"/>
      <c r="J12773"/>
      <c r="K12773"/>
      <c r="L12773"/>
    </row>
    <row r="12774" spans="2:12" x14ac:dyDescent="0.2">
      <c r="B12774"/>
      <c r="C12774"/>
      <c r="J12774"/>
      <c r="K12774"/>
      <c r="L12774"/>
    </row>
    <row r="12775" spans="2:12" x14ac:dyDescent="0.2">
      <c r="B12775"/>
      <c r="C12775"/>
      <c r="J12775"/>
      <c r="K12775"/>
      <c r="L12775"/>
    </row>
    <row r="12776" spans="2:12" x14ac:dyDescent="0.2">
      <c r="B12776"/>
      <c r="C12776"/>
      <c r="J12776"/>
      <c r="K12776"/>
      <c r="L12776"/>
    </row>
    <row r="12777" spans="2:12" x14ac:dyDescent="0.2">
      <c r="B12777"/>
      <c r="C12777"/>
      <c r="J12777"/>
      <c r="K12777"/>
      <c r="L12777"/>
    </row>
    <row r="12778" spans="2:12" x14ac:dyDescent="0.2">
      <c r="B12778"/>
      <c r="C12778"/>
      <c r="J12778"/>
      <c r="K12778"/>
      <c r="L12778"/>
    </row>
    <row r="12779" spans="2:12" x14ac:dyDescent="0.2">
      <c r="B12779"/>
      <c r="C12779"/>
      <c r="J12779"/>
      <c r="K12779"/>
      <c r="L12779"/>
    </row>
    <row r="12780" spans="2:12" x14ac:dyDescent="0.2">
      <c r="B12780"/>
      <c r="C12780"/>
      <c r="J12780"/>
      <c r="K12780"/>
      <c r="L12780"/>
    </row>
    <row r="12781" spans="2:12" x14ac:dyDescent="0.2">
      <c r="B12781"/>
      <c r="C12781"/>
      <c r="J12781"/>
      <c r="K12781"/>
      <c r="L12781"/>
    </row>
    <row r="12782" spans="2:12" x14ac:dyDescent="0.2">
      <c r="B12782"/>
      <c r="C12782"/>
      <c r="J12782"/>
      <c r="K12782"/>
      <c r="L12782"/>
    </row>
    <row r="12783" spans="2:12" x14ac:dyDescent="0.2">
      <c r="B12783"/>
      <c r="C12783"/>
      <c r="J12783"/>
      <c r="K12783"/>
      <c r="L12783"/>
    </row>
    <row r="12784" spans="2:12" x14ac:dyDescent="0.2">
      <c r="B12784"/>
      <c r="C12784"/>
      <c r="J12784"/>
      <c r="K12784"/>
      <c r="L12784"/>
    </row>
    <row r="12785" spans="2:12" x14ac:dyDescent="0.2">
      <c r="B12785"/>
      <c r="C12785"/>
      <c r="J12785"/>
      <c r="K12785"/>
      <c r="L12785"/>
    </row>
    <row r="12786" spans="2:12" x14ac:dyDescent="0.2">
      <c r="B12786"/>
      <c r="C12786"/>
      <c r="J12786"/>
      <c r="K12786"/>
      <c r="L12786"/>
    </row>
    <row r="12787" spans="2:12" x14ac:dyDescent="0.2">
      <c r="B12787"/>
      <c r="C12787"/>
      <c r="J12787"/>
      <c r="K12787"/>
      <c r="L12787"/>
    </row>
    <row r="12788" spans="2:12" x14ac:dyDescent="0.2">
      <c r="B12788"/>
      <c r="C12788"/>
      <c r="J12788"/>
      <c r="K12788"/>
      <c r="L12788"/>
    </row>
    <row r="12789" spans="2:12" x14ac:dyDescent="0.2">
      <c r="B12789"/>
      <c r="C12789"/>
      <c r="J12789"/>
      <c r="K12789"/>
      <c r="L12789"/>
    </row>
    <row r="12790" spans="2:12" x14ac:dyDescent="0.2">
      <c r="B12790"/>
      <c r="C12790"/>
      <c r="J12790"/>
      <c r="K12790"/>
      <c r="L12790"/>
    </row>
    <row r="12791" spans="2:12" x14ac:dyDescent="0.2">
      <c r="B12791"/>
      <c r="C12791"/>
      <c r="J12791"/>
      <c r="K12791"/>
      <c r="L12791"/>
    </row>
    <row r="12792" spans="2:12" x14ac:dyDescent="0.2">
      <c r="B12792"/>
      <c r="C12792"/>
      <c r="J12792"/>
      <c r="K12792"/>
      <c r="L12792"/>
    </row>
    <row r="12793" spans="2:12" x14ac:dyDescent="0.2">
      <c r="B12793"/>
      <c r="C12793"/>
      <c r="J12793"/>
      <c r="K12793"/>
      <c r="L12793"/>
    </row>
    <row r="12794" spans="2:12" x14ac:dyDescent="0.2">
      <c r="B12794"/>
      <c r="C12794"/>
      <c r="J12794"/>
      <c r="K12794"/>
      <c r="L12794"/>
    </row>
    <row r="12795" spans="2:12" x14ac:dyDescent="0.2">
      <c r="B12795"/>
      <c r="C12795"/>
      <c r="J12795"/>
      <c r="K12795"/>
      <c r="L12795"/>
    </row>
    <row r="12796" spans="2:12" x14ac:dyDescent="0.2">
      <c r="B12796"/>
      <c r="C12796"/>
      <c r="J12796"/>
      <c r="K12796"/>
      <c r="L12796"/>
    </row>
    <row r="12797" spans="2:12" x14ac:dyDescent="0.2">
      <c r="B12797"/>
      <c r="C12797"/>
      <c r="J12797"/>
      <c r="K12797"/>
      <c r="L12797"/>
    </row>
    <row r="12798" spans="2:12" x14ac:dyDescent="0.2">
      <c r="B12798"/>
      <c r="C12798"/>
      <c r="J12798"/>
      <c r="K12798"/>
      <c r="L12798"/>
    </row>
    <row r="12799" spans="2:12" x14ac:dyDescent="0.2">
      <c r="B12799"/>
      <c r="C12799"/>
      <c r="J12799"/>
      <c r="K12799"/>
      <c r="L12799"/>
    </row>
    <row r="12800" spans="2:12" x14ac:dyDescent="0.2">
      <c r="B12800"/>
      <c r="C12800"/>
      <c r="J12800"/>
      <c r="K12800"/>
      <c r="L12800"/>
    </row>
    <row r="12801" spans="2:12" x14ac:dyDescent="0.2">
      <c r="B12801"/>
      <c r="C12801"/>
      <c r="J12801"/>
      <c r="K12801"/>
      <c r="L12801"/>
    </row>
    <row r="12802" spans="2:12" x14ac:dyDescent="0.2">
      <c r="B12802"/>
      <c r="C12802"/>
      <c r="J12802"/>
      <c r="K12802"/>
      <c r="L12802"/>
    </row>
    <row r="12803" spans="2:12" x14ac:dyDescent="0.2">
      <c r="B12803"/>
      <c r="C12803"/>
      <c r="J12803"/>
      <c r="K12803"/>
      <c r="L12803"/>
    </row>
    <row r="12804" spans="2:12" x14ac:dyDescent="0.2">
      <c r="B12804"/>
      <c r="C12804"/>
      <c r="J12804"/>
      <c r="K12804"/>
      <c r="L12804"/>
    </row>
    <row r="12805" spans="2:12" x14ac:dyDescent="0.2">
      <c r="B12805"/>
      <c r="C12805"/>
      <c r="J12805"/>
      <c r="K12805"/>
      <c r="L12805"/>
    </row>
    <row r="12806" spans="2:12" x14ac:dyDescent="0.2">
      <c r="B12806"/>
      <c r="C12806"/>
      <c r="J12806"/>
      <c r="K12806"/>
      <c r="L12806"/>
    </row>
    <row r="12807" spans="2:12" x14ac:dyDescent="0.2">
      <c r="B12807"/>
      <c r="C12807"/>
      <c r="J12807"/>
      <c r="K12807"/>
      <c r="L12807"/>
    </row>
    <row r="12808" spans="2:12" x14ac:dyDescent="0.2">
      <c r="B12808"/>
      <c r="C12808"/>
      <c r="J12808"/>
      <c r="K12808"/>
      <c r="L12808"/>
    </row>
    <row r="12809" spans="2:12" x14ac:dyDescent="0.2">
      <c r="B12809"/>
      <c r="C12809"/>
      <c r="J12809"/>
      <c r="K12809"/>
      <c r="L12809"/>
    </row>
    <row r="12810" spans="2:12" x14ac:dyDescent="0.2">
      <c r="B12810"/>
      <c r="C12810"/>
      <c r="J12810"/>
      <c r="K12810"/>
      <c r="L12810"/>
    </row>
    <row r="12811" spans="2:12" x14ac:dyDescent="0.2">
      <c r="B12811"/>
      <c r="C12811"/>
      <c r="J12811"/>
      <c r="K12811"/>
      <c r="L12811"/>
    </row>
    <row r="12812" spans="2:12" x14ac:dyDescent="0.2">
      <c r="B12812"/>
      <c r="C12812"/>
      <c r="J12812"/>
      <c r="K12812"/>
      <c r="L12812"/>
    </row>
    <row r="12813" spans="2:12" x14ac:dyDescent="0.2">
      <c r="B12813"/>
      <c r="C12813"/>
      <c r="J12813"/>
      <c r="K12813"/>
      <c r="L12813"/>
    </row>
    <row r="12814" spans="2:12" x14ac:dyDescent="0.2">
      <c r="B12814"/>
      <c r="C12814"/>
      <c r="J12814"/>
      <c r="K12814"/>
      <c r="L12814"/>
    </row>
    <row r="12815" spans="2:12" x14ac:dyDescent="0.2">
      <c r="B12815"/>
      <c r="C12815"/>
      <c r="J12815"/>
      <c r="K12815"/>
      <c r="L12815"/>
    </row>
    <row r="12816" spans="2:12" x14ac:dyDescent="0.2">
      <c r="B12816"/>
      <c r="C12816"/>
      <c r="J12816"/>
      <c r="K12816"/>
      <c r="L12816"/>
    </row>
    <row r="12817" spans="2:12" x14ac:dyDescent="0.2">
      <c r="B12817"/>
      <c r="C12817"/>
      <c r="J12817"/>
      <c r="K12817"/>
      <c r="L12817"/>
    </row>
    <row r="12818" spans="2:12" x14ac:dyDescent="0.2">
      <c r="B12818"/>
      <c r="C12818"/>
      <c r="J12818"/>
      <c r="K12818"/>
      <c r="L12818"/>
    </row>
    <row r="12819" spans="2:12" x14ac:dyDescent="0.2">
      <c r="B12819"/>
      <c r="C12819"/>
      <c r="J12819"/>
      <c r="K12819"/>
      <c r="L12819"/>
    </row>
    <row r="12820" spans="2:12" x14ac:dyDescent="0.2">
      <c r="B12820"/>
      <c r="C12820"/>
      <c r="J12820"/>
      <c r="K12820"/>
      <c r="L12820"/>
    </row>
    <row r="12821" spans="2:12" x14ac:dyDescent="0.2">
      <c r="B12821"/>
      <c r="C12821"/>
      <c r="J12821"/>
      <c r="K12821"/>
      <c r="L12821"/>
    </row>
    <row r="12822" spans="2:12" x14ac:dyDescent="0.2">
      <c r="B12822"/>
      <c r="C12822"/>
      <c r="J12822"/>
      <c r="K12822"/>
      <c r="L12822"/>
    </row>
    <row r="12823" spans="2:12" x14ac:dyDescent="0.2">
      <c r="B12823"/>
      <c r="C12823"/>
      <c r="J12823"/>
      <c r="K12823"/>
      <c r="L12823"/>
    </row>
    <row r="12824" spans="2:12" x14ac:dyDescent="0.2">
      <c r="B12824"/>
      <c r="C12824"/>
      <c r="J12824"/>
      <c r="K12824"/>
      <c r="L12824"/>
    </row>
    <row r="12825" spans="2:12" x14ac:dyDescent="0.2">
      <c r="B12825"/>
      <c r="C12825"/>
      <c r="J12825"/>
      <c r="K12825"/>
      <c r="L12825"/>
    </row>
    <row r="12826" spans="2:12" x14ac:dyDescent="0.2">
      <c r="B12826"/>
      <c r="C12826"/>
      <c r="J12826"/>
      <c r="K12826"/>
      <c r="L12826"/>
    </row>
    <row r="12827" spans="2:12" x14ac:dyDescent="0.2">
      <c r="B12827"/>
      <c r="C12827"/>
      <c r="J12827"/>
      <c r="K12827"/>
      <c r="L12827"/>
    </row>
    <row r="12828" spans="2:12" x14ac:dyDescent="0.2">
      <c r="B12828"/>
      <c r="C12828"/>
      <c r="J12828"/>
      <c r="K12828"/>
      <c r="L12828"/>
    </row>
    <row r="12829" spans="2:12" x14ac:dyDescent="0.2">
      <c r="B12829"/>
      <c r="C12829"/>
      <c r="J12829"/>
      <c r="K12829"/>
      <c r="L12829"/>
    </row>
    <row r="12830" spans="2:12" x14ac:dyDescent="0.2">
      <c r="B12830"/>
      <c r="C12830"/>
      <c r="J12830"/>
      <c r="K12830"/>
      <c r="L12830"/>
    </row>
    <row r="12831" spans="2:12" x14ac:dyDescent="0.2">
      <c r="B12831"/>
      <c r="C12831"/>
      <c r="J12831"/>
      <c r="K12831"/>
      <c r="L12831"/>
    </row>
    <row r="12832" spans="2:12" x14ac:dyDescent="0.2">
      <c r="B12832"/>
      <c r="C12832"/>
      <c r="J12832"/>
      <c r="K12832"/>
      <c r="L12832"/>
    </row>
    <row r="12833" spans="2:12" x14ac:dyDescent="0.2">
      <c r="B12833"/>
      <c r="C12833"/>
      <c r="J12833"/>
      <c r="K12833"/>
      <c r="L12833"/>
    </row>
    <row r="12834" spans="2:12" x14ac:dyDescent="0.2">
      <c r="B12834"/>
      <c r="C12834"/>
      <c r="J12834"/>
      <c r="K12834"/>
      <c r="L12834"/>
    </row>
    <row r="12835" spans="2:12" x14ac:dyDescent="0.2">
      <c r="B12835"/>
      <c r="C12835"/>
      <c r="J12835"/>
      <c r="K12835"/>
      <c r="L12835"/>
    </row>
    <row r="12836" spans="2:12" x14ac:dyDescent="0.2">
      <c r="B12836"/>
      <c r="C12836"/>
      <c r="J12836"/>
      <c r="K12836"/>
      <c r="L12836"/>
    </row>
    <row r="12837" spans="2:12" x14ac:dyDescent="0.2">
      <c r="B12837"/>
      <c r="C12837"/>
      <c r="J12837"/>
      <c r="K12837"/>
      <c r="L12837"/>
    </row>
    <row r="12838" spans="2:12" x14ac:dyDescent="0.2">
      <c r="B12838"/>
      <c r="C12838"/>
      <c r="J12838"/>
      <c r="K12838"/>
      <c r="L12838"/>
    </row>
    <row r="12839" spans="2:12" x14ac:dyDescent="0.2">
      <c r="B12839"/>
      <c r="C12839"/>
      <c r="J12839"/>
      <c r="K12839"/>
      <c r="L12839"/>
    </row>
    <row r="12840" spans="2:12" x14ac:dyDescent="0.2">
      <c r="B12840"/>
      <c r="C12840"/>
      <c r="J12840"/>
      <c r="K12840"/>
      <c r="L12840"/>
    </row>
    <row r="12841" spans="2:12" x14ac:dyDescent="0.2">
      <c r="B12841"/>
      <c r="C12841"/>
      <c r="J12841"/>
      <c r="K12841"/>
      <c r="L12841"/>
    </row>
    <row r="12842" spans="2:12" x14ac:dyDescent="0.2">
      <c r="B12842"/>
      <c r="C12842"/>
      <c r="J12842"/>
      <c r="K12842"/>
      <c r="L12842"/>
    </row>
    <row r="12843" spans="2:12" x14ac:dyDescent="0.2">
      <c r="B12843"/>
      <c r="C12843"/>
      <c r="J12843"/>
      <c r="K12843"/>
      <c r="L12843"/>
    </row>
    <row r="12844" spans="2:12" x14ac:dyDescent="0.2">
      <c r="B12844"/>
      <c r="C12844"/>
      <c r="J12844"/>
      <c r="K12844"/>
      <c r="L12844"/>
    </row>
    <row r="12845" spans="2:12" x14ac:dyDescent="0.2">
      <c r="B12845"/>
      <c r="C12845"/>
      <c r="J12845"/>
      <c r="K12845"/>
      <c r="L12845"/>
    </row>
    <row r="12846" spans="2:12" x14ac:dyDescent="0.2">
      <c r="B12846"/>
      <c r="C12846"/>
      <c r="J12846"/>
      <c r="K12846"/>
      <c r="L12846"/>
    </row>
    <row r="12847" spans="2:12" x14ac:dyDescent="0.2">
      <c r="B12847"/>
      <c r="C12847"/>
      <c r="J12847"/>
      <c r="K12847"/>
      <c r="L12847"/>
    </row>
    <row r="12848" spans="2:12" x14ac:dyDescent="0.2">
      <c r="B12848"/>
      <c r="C12848"/>
      <c r="J12848"/>
      <c r="K12848"/>
      <c r="L12848"/>
    </row>
    <row r="12849" spans="2:12" x14ac:dyDescent="0.2">
      <c r="B12849"/>
      <c r="C12849"/>
      <c r="J12849"/>
      <c r="K12849"/>
      <c r="L12849"/>
    </row>
    <row r="12850" spans="2:12" x14ac:dyDescent="0.2">
      <c r="B12850"/>
      <c r="C12850"/>
      <c r="J12850"/>
      <c r="K12850"/>
      <c r="L12850"/>
    </row>
    <row r="12851" spans="2:12" x14ac:dyDescent="0.2">
      <c r="B12851"/>
      <c r="C12851"/>
      <c r="J12851"/>
      <c r="K12851"/>
      <c r="L12851"/>
    </row>
    <row r="12852" spans="2:12" x14ac:dyDescent="0.2">
      <c r="B12852"/>
      <c r="C12852"/>
      <c r="J12852"/>
      <c r="K12852"/>
      <c r="L12852"/>
    </row>
    <row r="12853" spans="2:12" x14ac:dyDescent="0.2">
      <c r="B12853"/>
      <c r="C12853"/>
      <c r="J12853"/>
      <c r="K12853"/>
      <c r="L12853"/>
    </row>
    <row r="12854" spans="2:12" x14ac:dyDescent="0.2">
      <c r="B12854"/>
      <c r="C12854"/>
      <c r="J12854"/>
      <c r="K12854"/>
      <c r="L12854"/>
    </row>
    <row r="12855" spans="2:12" x14ac:dyDescent="0.2">
      <c r="B12855"/>
      <c r="C12855"/>
      <c r="J12855"/>
      <c r="K12855"/>
      <c r="L12855"/>
    </row>
    <row r="12856" spans="2:12" x14ac:dyDescent="0.2">
      <c r="B12856"/>
      <c r="C12856"/>
      <c r="J12856"/>
      <c r="K12856"/>
      <c r="L12856"/>
    </row>
    <row r="12857" spans="2:12" x14ac:dyDescent="0.2">
      <c r="B12857"/>
      <c r="C12857"/>
      <c r="J12857"/>
      <c r="K12857"/>
      <c r="L12857"/>
    </row>
    <row r="12858" spans="2:12" x14ac:dyDescent="0.2">
      <c r="B12858"/>
      <c r="C12858"/>
      <c r="J12858"/>
      <c r="K12858"/>
      <c r="L12858"/>
    </row>
    <row r="12859" spans="2:12" x14ac:dyDescent="0.2">
      <c r="B12859"/>
      <c r="C12859"/>
      <c r="J12859"/>
      <c r="K12859"/>
      <c r="L12859"/>
    </row>
    <row r="12860" spans="2:12" x14ac:dyDescent="0.2">
      <c r="B12860"/>
      <c r="C12860"/>
      <c r="J12860"/>
      <c r="K12860"/>
      <c r="L12860"/>
    </row>
    <row r="12861" spans="2:12" x14ac:dyDescent="0.2">
      <c r="B12861"/>
      <c r="C12861"/>
      <c r="J12861"/>
      <c r="K12861"/>
      <c r="L12861"/>
    </row>
    <row r="12862" spans="2:12" x14ac:dyDescent="0.2">
      <c r="B12862"/>
      <c r="C12862"/>
      <c r="J12862"/>
      <c r="K12862"/>
      <c r="L12862"/>
    </row>
    <row r="12863" spans="2:12" x14ac:dyDescent="0.2">
      <c r="B12863"/>
      <c r="C12863"/>
      <c r="J12863"/>
      <c r="K12863"/>
      <c r="L12863"/>
    </row>
    <row r="12864" spans="2:12" x14ac:dyDescent="0.2">
      <c r="B12864"/>
      <c r="C12864"/>
      <c r="J12864"/>
      <c r="K12864"/>
      <c r="L12864"/>
    </row>
    <row r="12865" spans="2:12" x14ac:dyDescent="0.2">
      <c r="B12865"/>
      <c r="C12865"/>
      <c r="J12865"/>
      <c r="K12865"/>
      <c r="L12865"/>
    </row>
    <row r="12866" spans="2:12" x14ac:dyDescent="0.2">
      <c r="B12866"/>
      <c r="C12866"/>
      <c r="J12866"/>
      <c r="K12866"/>
      <c r="L12866"/>
    </row>
    <row r="12867" spans="2:12" x14ac:dyDescent="0.2">
      <c r="B12867"/>
      <c r="C12867"/>
      <c r="J12867"/>
      <c r="K12867"/>
      <c r="L12867"/>
    </row>
    <row r="12868" spans="2:12" x14ac:dyDescent="0.2">
      <c r="B12868"/>
      <c r="C12868"/>
      <c r="J12868"/>
      <c r="K12868"/>
      <c r="L12868"/>
    </row>
    <row r="12869" spans="2:12" x14ac:dyDescent="0.2">
      <c r="B12869"/>
      <c r="C12869"/>
      <c r="J12869"/>
      <c r="K12869"/>
      <c r="L12869"/>
    </row>
    <row r="12870" spans="2:12" x14ac:dyDescent="0.2">
      <c r="B12870"/>
      <c r="C12870"/>
      <c r="J12870"/>
      <c r="K12870"/>
      <c r="L12870"/>
    </row>
    <row r="12871" spans="2:12" x14ac:dyDescent="0.2">
      <c r="B12871"/>
      <c r="C12871"/>
      <c r="J12871"/>
      <c r="K12871"/>
      <c r="L12871"/>
    </row>
    <row r="12872" spans="2:12" x14ac:dyDescent="0.2">
      <c r="B12872"/>
      <c r="C12872"/>
      <c r="J12872"/>
      <c r="K12872"/>
      <c r="L12872"/>
    </row>
    <row r="12873" spans="2:12" x14ac:dyDescent="0.2">
      <c r="B12873"/>
      <c r="C12873"/>
      <c r="J12873"/>
      <c r="K12873"/>
      <c r="L12873"/>
    </row>
    <row r="12874" spans="2:12" x14ac:dyDescent="0.2">
      <c r="B12874"/>
      <c r="C12874"/>
      <c r="J12874"/>
      <c r="K12874"/>
      <c r="L12874"/>
    </row>
    <row r="12875" spans="2:12" x14ac:dyDescent="0.2">
      <c r="B12875"/>
      <c r="C12875"/>
      <c r="J12875"/>
      <c r="K12875"/>
      <c r="L12875"/>
    </row>
    <row r="12876" spans="2:12" x14ac:dyDescent="0.2">
      <c r="B12876"/>
      <c r="C12876"/>
      <c r="J12876"/>
      <c r="K12876"/>
      <c r="L12876"/>
    </row>
    <row r="12877" spans="2:12" x14ac:dyDescent="0.2">
      <c r="B12877"/>
      <c r="C12877"/>
      <c r="J12877"/>
      <c r="K12877"/>
      <c r="L12877"/>
    </row>
    <row r="12878" spans="2:12" x14ac:dyDescent="0.2">
      <c r="B12878"/>
      <c r="C12878"/>
      <c r="J12878"/>
      <c r="K12878"/>
      <c r="L12878"/>
    </row>
    <row r="12879" spans="2:12" x14ac:dyDescent="0.2">
      <c r="B12879"/>
      <c r="C12879"/>
      <c r="J12879"/>
      <c r="K12879"/>
      <c r="L12879"/>
    </row>
    <row r="12880" spans="2:12" x14ac:dyDescent="0.2">
      <c r="B12880"/>
      <c r="C12880"/>
      <c r="J12880"/>
      <c r="K12880"/>
      <c r="L12880"/>
    </row>
    <row r="12881" spans="2:12" x14ac:dyDescent="0.2">
      <c r="B12881"/>
      <c r="C12881"/>
      <c r="J12881"/>
      <c r="K12881"/>
      <c r="L12881"/>
    </row>
    <row r="12882" spans="2:12" x14ac:dyDescent="0.2">
      <c r="B12882"/>
      <c r="C12882"/>
      <c r="J12882"/>
      <c r="K12882"/>
      <c r="L12882"/>
    </row>
    <row r="12883" spans="2:12" x14ac:dyDescent="0.2">
      <c r="B12883"/>
      <c r="C12883"/>
      <c r="J12883"/>
      <c r="K12883"/>
      <c r="L12883"/>
    </row>
    <row r="12884" spans="2:12" x14ac:dyDescent="0.2">
      <c r="B12884"/>
      <c r="C12884"/>
      <c r="J12884"/>
      <c r="K12884"/>
      <c r="L12884"/>
    </row>
    <row r="12885" spans="2:12" x14ac:dyDescent="0.2">
      <c r="B12885"/>
      <c r="C12885"/>
      <c r="J12885"/>
      <c r="K12885"/>
      <c r="L12885"/>
    </row>
    <row r="12886" spans="2:12" x14ac:dyDescent="0.2">
      <c r="B12886"/>
      <c r="C12886"/>
      <c r="J12886"/>
      <c r="K12886"/>
      <c r="L12886"/>
    </row>
    <row r="12887" spans="2:12" x14ac:dyDescent="0.2">
      <c r="B12887"/>
      <c r="C12887"/>
      <c r="J12887"/>
      <c r="K12887"/>
      <c r="L12887"/>
    </row>
    <row r="12888" spans="2:12" x14ac:dyDescent="0.2">
      <c r="B12888"/>
      <c r="C12888"/>
      <c r="J12888"/>
      <c r="K12888"/>
      <c r="L12888"/>
    </row>
    <row r="12889" spans="2:12" x14ac:dyDescent="0.2">
      <c r="B12889"/>
      <c r="C12889"/>
      <c r="J12889"/>
      <c r="K12889"/>
      <c r="L12889"/>
    </row>
    <row r="12890" spans="2:12" x14ac:dyDescent="0.2">
      <c r="B12890"/>
      <c r="C12890"/>
      <c r="J12890"/>
      <c r="K12890"/>
      <c r="L12890"/>
    </row>
    <row r="12891" spans="2:12" x14ac:dyDescent="0.2">
      <c r="B12891"/>
      <c r="C12891"/>
      <c r="J12891"/>
      <c r="K12891"/>
      <c r="L12891"/>
    </row>
    <row r="12892" spans="2:12" x14ac:dyDescent="0.2">
      <c r="B12892"/>
      <c r="C12892"/>
      <c r="J12892"/>
      <c r="K12892"/>
      <c r="L12892"/>
    </row>
    <row r="12893" spans="2:12" x14ac:dyDescent="0.2">
      <c r="B12893"/>
      <c r="C12893"/>
      <c r="J12893"/>
      <c r="K12893"/>
      <c r="L12893"/>
    </row>
    <row r="12894" spans="2:12" x14ac:dyDescent="0.2">
      <c r="B12894"/>
      <c r="C12894"/>
      <c r="J12894"/>
      <c r="K12894"/>
      <c r="L12894"/>
    </row>
    <row r="12895" spans="2:12" x14ac:dyDescent="0.2">
      <c r="B12895"/>
      <c r="C12895"/>
      <c r="J12895"/>
      <c r="K12895"/>
      <c r="L12895"/>
    </row>
    <row r="12896" spans="2:12" x14ac:dyDescent="0.2">
      <c r="B12896"/>
      <c r="C12896"/>
      <c r="J12896"/>
      <c r="K12896"/>
      <c r="L12896"/>
    </row>
    <row r="12897" spans="2:12" x14ac:dyDescent="0.2">
      <c r="B12897"/>
      <c r="C12897"/>
      <c r="J12897"/>
      <c r="K12897"/>
      <c r="L12897"/>
    </row>
    <row r="12898" spans="2:12" x14ac:dyDescent="0.2">
      <c r="B12898"/>
      <c r="C12898"/>
      <c r="J12898"/>
      <c r="K12898"/>
      <c r="L12898"/>
    </row>
    <row r="12899" spans="2:12" x14ac:dyDescent="0.2">
      <c r="B12899"/>
      <c r="C12899"/>
      <c r="J12899"/>
      <c r="K12899"/>
      <c r="L12899"/>
    </row>
    <row r="12900" spans="2:12" x14ac:dyDescent="0.2">
      <c r="B12900"/>
      <c r="C12900"/>
      <c r="J12900"/>
      <c r="K12900"/>
      <c r="L12900"/>
    </row>
    <row r="12901" spans="2:12" x14ac:dyDescent="0.2">
      <c r="B12901"/>
      <c r="C12901"/>
      <c r="J12901"/>
      <c r="K12901"/>
      <c r="L12901"/>
    </row>
    <row r="12902" spans="2:12" x14ac:dyDescent="0.2">
      <c r="B12902"/>
      <c r="C12902"/>
      <c r="J12902"/>
      <c r="K12902"/>
      <c r="L12902"/>
    </row>
    <row r="12903" spans="2:12" x14ac:dyDescent="0.2">
      <c r="B12903"/>
      <c r="C12903"/>
      <c r="J12903"/>
      <c r="K12903"/>
      <c r="L12903"/>
    </row>
    <row r="12904" spans="2:12" x14ac:dyDescent="0.2">
      <c r="B12904"/>
      <c r="C12904"/>
      <c r="J12904"/>
      <c r="K12904"/>
      <c r="L12904"/>
    </row>
    <row r="12905" spans="2:12" x14ac:dyDescent="0.2">
      <c r="B12905"/>
      <c r="C12905"/>
      <c r="J12905"/>
      <c r="K12905"/>
      <c r="L12905"/>
    </row>
    <row r="12906" spans="2:12" x14ac:dyDescent="0.2">
      <c r="B12906"/>
      <c r="C12906"/>
      <c r="J12906"/>
      <c r="K12906"/>
      <c r="L12906"/>
    </row>
    <row r="12907" spans="2:12" x14ac:dyDescent="0.2">
      <c r="B12907"/>
      <c r="C12907"/>
      <c r="J12907"/>
      <c r="K12907"/>
      <c r="L12907"/>
    </row>
    <row r="12908" spans="2:12" x14ac:dyDescent="0.2">
      <c r="B12908"/>
      <c r="C12908"/>
      <c r="J12908"/>
      <c r="K12908"/>
      <c r="L12908"/>
    </row>
    <row r="12909" spans="2:12" x14ac:dyDescent="0.2">
      <c r="B12909"/>
      <c r="C12909"/>
      <c r="J12909"/>
      <c r="K12909"/>
      <c r="L12909"/>
    </row>
    <row r="12910" spans="2:12" x14ac:dyDescent="0.2">
      <c r="B12910"/>
      <c r="C12910"/>
      <c r="J12910"/>
      <c r="K12910"/>
      <c r="L12910"/>
    </row>
    <row r="12911" spans="2:12" x14ac:dyDescent="0.2">
      <c r="B12911"/>
      <c r="C12911"/>
      <c r="J12911"/>
      <c r="K12911"/>
      <c r="L12911"/>
    </row>
    <row r="12912" spans="2:12" x14ac:dyDescent="0.2">
      <c r="B12912"/>
      <c r="C12912"/>
      <c r="J12912"/>
      <c r="K12912"/>
      <c r="L12912"/>
    </row>
    <row r="12913" spans="2:12" x14ac:dyDescent="0.2">
      <c r="B12913"/>
      <c r="C12913"/>
      <c r="J12913"/>
      <c r="K12913"/>
      <c r="L12913"/>
    </row>
    <row r="12914" spans="2:12" x14ac:dyDescent="0.2">
      <c r="B12914"/>
      <c r="C12914"/>
      <c r="J12914"/>
      <c r="K12914"/>
      <c r="L12914"/>
    </row>
    <row r="12915" spans="2:12" x14ac:dyDescent="0.2">
      <c r="B12915"/>
      <c r="C12915"/>
      <c r="J12915"/>
      <c r="K12915"/>
      <c r="L12915"/>
    </row>
    <row r="12916" spans="2:12" x14ac:dyDescent="0.2">
      <c r="B12916"/>
      <c r="C12916"/>
      <c r="J12916"/>
      <c r="K12916"/>
      <c r="L12916"/>
    </row>
    <row r="12917" spans="2:12" x14ac:dyDescent="0.2">
      <c r="B12917"/>
      <c r="C12917"/>
      <c r="J12917"/>
      <c r="K12917"/>
      <c r="L12917"/>
    </row>
    <row r="12918" spans="2:12" x14ac:dyDescent="0.2">
      <c r="B12918"/>
      <c r="C12918"/>
      <c r="J12918"/>
      <c r="K12918"/>
      <c r="L12918"/>
    </row>
    <row r="12919" spans="2:12" x14ac:dyDescent="0.2">
      <c r="B12919"/>
      <c r="C12919"/>
      <c r="J12919"/>
      <c r="K12919"/>
      <c r="L12919"/>
    </row>
    <row r="12920" spans="2:12" x14ac:dyDescent="0.2">
      <c r="B12920"/>
      <c r="C12920"/>
      <c r="J12920"/>
      <c r="K12920"/>
      <c r="L12920"/>
    </row>
    <row r="12921" spans="2:12" x14ac:dyDescent="0.2">
      <c r="B12921"/>
      <c r="C12921"/>
      <c r="J12921"/>
      <c r="K12921"/>
      <c r="L12921"/>
    </row>
    <row r="12922" spans="2:12" x14ac:dyDescent="0.2">
      <c r="B12922"/>
      <c r="C12922"/>
      <c r="J12922"/>
      <c r="K12922"/>
      <c r="L12922"/>
    </row>
    <row r="12923" spans="2:12" x14ac:dyDescent="0.2">
      <c r="B12923"/>
      <c r="C12923"/>
      <c r="J12923"/>
      <c r="K12923"/>
      <c r="L12923"/>
    </row>
    <row r="12924" spans="2:12" x14ac:dyDescent="0.2">
      <c r="B12924"/>
      <c r="C12924"/>
      <c r="J12924"/>
      <c r="K12924"/>
      <c r="L12924"/>
    </row>
    <row r="12925" spans="2:12" x14ac:dyDescent="0.2">
      <c r="B12925"/>
      <c r="C12925"/>
      <c r="J12925"/>
      <c r="K12925"/>
      <c r="L12925"/>
    </row>
    <row r="12926" spans="2:12" x14ac:dyDescent="0.2">
      <c r="B12926"/>
      <c r="C12926"/>
      <c r="J12926"/>
      <c r="K12926"/>
      <c r="L12926"/>
    </row>
    <row r="12927" spans="2:12" x14ac:dyDescent="0.2">
      <c r="B12927"/>
      <c r="C12927"/>
      <c r="J12927"/>
      <c r="K12927"/>
      <c r="L12927"/>
    </row>
    <row r="12928" spans="2:12" x14ac:dyDescent="0.2">
      <c r="B12928"/>
      <c r="C12928"/>
      <c r="J12928"/>
      <c r="K12928"/>
      <c r="L12928"/>
    </row>
    <row r="12929" spans="2:12" x14ac:dyDescent="0.2">
      <c r="B12929"/>
      <c r="C12929"/>
      <c r="J12929"/>
      <c r="K12929"/>
      <c r="L12929"/>
    </row>
    <row r="12930" spans="2:12" x14ac:dyDescent="0.2">
      <c r="B12930"/>
      <c r="C12930"/>
      <c r="J12930"/>
      <c r="K12930"/>
      <c r="L12930"/>
    </row>
    <row r="12931" spans="2:12" x14ac:dyDescent="0.2">
      <c r="B12931"/>
      <c r="C12931"/>
      <c r="J12931"/>
      <c r="K12931"/>
      <c r="L12931"/>
    </row>
    <row r="12932" spans="2:12" x14ac:dyDescent="0.2">
      <c r="B12932"/>
      <c r="C12932"/>
      <c r="J12932"/>
      <c r="K12932"/>
      <c r="L12932"/>
    </row>
    <row r="12933" spans="2:12" x14ac:dyDescent="0.2">
      <c r="B12933"/>
      <c r="C12933"/>
      <c r="J12933"/>
      <c r="K12933"/>
      <c r="L12933"/>
    </row>
    <row r="12934" spans="2:12" x14ac:dyDescent="0.2">
      <c r="B12934"/>
      <c r="C12934"/>
      <c r="J12934"/>
      <c r="K12934"/>
      <c r="L12934"/>
    </row>
    <row r="12935" spans="2:12" x14ac:dyDescent="0.2">
      <c r="B12935"/>
      <c r="C12935"/>
      <c r="J12935"/>
      <c r="K12935"/>
      <c r="L12935"/>
    </row>
    <row r="12936" spans="2:12" x14ac:dyDescent="0.2">
      <c r="B12936"/>
      <c r="C12936"/>
      <c r="J12936"/>
      <c r="K12936"/>
      <c r="L12936"/>
    </row>
    <row r="12937" spans="2:12" x14ac:dyDescent="0.2">
      <c r="B12937"/>
      <c r="C12937"/>
      <c r="J12937"/>
      <c r="K12937"/>
      <c r="L12937"/>
    </row>
    <row r="12938" spans="2:12" x14ac:dyDescent="0.2">
      <c r="B12938"/>
      <c r="C12938"/>
      <c r="J12938"/>
      <c r="K12938"/>
      <c r="L12938"/>
    </row>
    <row r="12939" spans="2:12" x14ac:dyDescent="0.2">
      <c r="B12939"/>
      <c r="C12939"/>
      <c r="J12939"/>
      <c r="K12939"/>
      <c r="L12939"/>
    </row>
    <row r="12940" spans="2:12" x14ac:dyDescent="0.2">
      <c r="B12940"/>
      <c r="C12940"/>
      <c r="J12940"/>
      <c r="K12940"/>
      <c r="L12940"/>
    </row>
    <row r="12941" spans="2:12" x14ac:dyDescent="0.2">
      <c r="B12941"/>
      <c r="C12941"/>
      <c r="J12941"/>
      <c r="K12941"/>
      <c r="L12941"/>
    </row>
    <row r="12942" spans="2:12" x14ac:dyDescent="0.2">
      <c r="B12942"/>
      <c r="C12942"/>
      <c r="J12942"/>
      <c r="K12942"/>
      <c r="L12942"/>
    </row>
    <row r="12943" spans="2:12" x14ac:dyDescent="0.2">
      <c r="B12943"/>
      <c r="C12943"/>
      <c r="J12943"/>
      <c r="K12943"/>
      <c r="L12943"/>
    </row>
    <row r="12944" spans="2:12" x14ac:dyDescent="0.2">
      <c r="B12944"/>
      <c r="C12944"/>
      <c r="J12944"/>
      <c r="K12944"/>
      <c r="L12944"/>
    </row>
    <row r="12945" spans="2:12" x14ac:dyDescent="0.2">
      <c r="B12945"/>
      <c r="C12945"/>
      <c r="J12945"/>
      <c r="K12945"/>
      <c r="L12945"/>
    </row>
    <row r="12946" spans="2:12" x14ac:dyDescent="0.2">
      <c r="B12946"/>
      <c r="C12946"/>
      <c r="J12946"/>
      <c r="K12946"/>
      <c r="L12946"/>
    </row>
    <row r="12947" spans="2:12" x14ac:dyDescent="0.2">
      <c r="B12947"/>
      <c r="C12947"/>
      <c r="J12947"/>
      <c r="K12947"/>
      <c r="L12947"/>
    </row>
    <row r="12948" spans="2:12" x14ac:dyDescent="0.2">
      <c r="B12948"/>
      <c r="C12948"/>
      <c r="J12948"/>
      <c r="K12948"/>
      <c r="L12948"/>
    </row>
    <row r="12949" spans="2:12" x14ac:dyDescent="0.2">
      <c r="B12949"/>
      <c r="C12949"/>
      <c r="J12949"/>
      <c r="K12949"/>
      <c r="L12949"/>
    </row>
    <row r="12950" spans="2:12" x14ac:dyDescent="0.2">
      <c r="B12950"/>
      <c r="C12950"/>
      <c r="J12950"/>
      <c r="K12950"/>
      <c r="L12950"/>
    </row>
    <row r="12951" spans="2:12" x14ac:dyDescent="0.2">
      <c r="B12951"/>
      <c r="C12951"/>
      <c r="J12951"/>
      <c r="K12951"/>
      <c r="L12951"/>
    </row>
    <row r="12952" spans="2:12" x14ac:dyDescent="0.2">
      <c r="B12952"/>
      <c r="C12952"/>
      <c r="J12952"/>
      <c r="K12952"/>
      <c r="L12952"/>
    </row>
    <row r="12953" spans="2:12" x14ac:dyDescent="0.2">
      <c r="B12953"/>
      <c r="C12953"/>
      <c r="J12953"/>
      <c r="K12953"/>
      <c r="L12953"/>
    </row>
    <row r="12954" spans="2:12" x14ac:dyDescent="0.2">
      <c r="B12954"/>
      <c r="C12954"/>
      <c r="J12954"/>
      <c r="K12954"/>
      <c r="L12954"/>
    </row>
    <row r="12955" spans="2:12" x14ac:dyDescent="0.2">
      <c r="B12955"/>
      <c r="C12955"/>
      <c r="J12955"/>
      <c r="K12955"/>
      <c r="L12955"/>
    </row>
    <row r="12956" spans="2:12" x14ac:dyDescent="0.2">
      <c r="B12956"/>
      <c r="C12956"/>
      <c r="J12956"/>
      <c r="K12956"/>
      <c r="L12956"/>
    </row>
    <row r="12957" spans="2:12" x14ac:dyDescent="0.2">
      <c r="B12957"/>
      <c r="C12957"/>
      <c r="J12957"/>
      <c r="K12957"/>
      <c r="L12957"/>
    </row>
    <row r="12958" spans="2:12" x14ac:dyDescent="0.2">
      <c r="B12958"/>
      <c r="C12958"/>
      <c r="J12958"/>
      <c r="K12958"/>
      <c r="L12958"/>
    </row>
    <row r="12959" spans="2:12" x14ac:dyDescent="0.2">
      <c r="B12959"/>
      <c r="C12959"/>
      <c r="J12959"/>
      <c r="K12959"/>
      <c r="L12959"/>
    </row>
    <row r="12960" spans="2:12" x14ac:dyDescent="0.2">
      <c r="B12960"/>
      <c r="C12960"/>
      <c r="J12960"/>
      <c r="K12960"/>
      <c r="L12960"/>
    </row>
    <row r="12961" spans="2:12" x14ac:dyDescent="0.2">
      <c r="B12961"/>
      <c r="C12961"/>
      <c r="J12961"/>
      <c r="K12961"/>
      <c r="L12961"/>
    </row>
    <row r="12962" spans="2:12" x14ac:dyDescent="0.2">
      <c r="B12962"/>
      <c r="C12962"/>
      <c r="J12962"/>
      <c r="K12962"/>
      <c r="L12962"/>
    </row>
    <row r="12963" spans="2:12" x14ac:dyDescent="0.2">
      <c r="B12963"/>
      <c r="C12963"/>
      <c r="J12963"/>
      <c r="K12963"/>
      <c r="L12963"/>
    </row>
    <row r="12964" spans="2:12" x14ac:dyDescent="0.2">
      <c r="B12964"/>
      <c r="C12964"/>
      <c r="J12964"/>
      <c r="K12964"/>
      <c r="L12964"/>
    </row>
    <row r="12965" spans="2:12" x14ac:dyDescent="0.2">
      <c r="B12965"/>
      <c r="C12965"/>
      <c r="J12965"/>
      <c r="K12965"/>
      <c r="L12965"/>
    </row>
    <row r="12966" spans="2:12" x14ac:dyDescent="0.2">
      <c r="B12966"/>
      <c r="C12966"/>
      <c r="J12966"/>
      <c r="K12966"/>
      <c r="L12966"/>
    </row>
    <row r="12967" spans="2:12" x14ac:dyDescent="0.2">
      <c r="B12967"/>
      <c r="C12967"/>
      <c r="J12967"/>
      <c r="K12967"/>
      <c r="L12967"/>
    </row>
    <row r="12968" spans="2:12" x14ac:dyDescent="0.2">
      <c r="B12968"/>
      <c r="C12968"/>
      <c r="J12968"/>
      <c r="K12968"/>
      <c r="L12968"/>
    </row>
    <row r="12969" spans="2:12" x14ac:dyDescent="0.2">
      <c r="B12969"/>
      <c r="C12969"/>
      <c r="J12969"/>
      <c r="K12969"/>
      <c r="L12969"/>
    </row>
    <row r="12970" spans="2:12" x14ac:dyDescent="0.2">
      <c r="B12970"/>
      <c r="C12970"/>
      <c r="J12970"/>
      <c r="K12970"/>
      <c r="L12970"/>
    </row>
    <row r="12971" spans="2:12" x14ac:dyDescent="0.2">
      <c r="B12971"/>
      <c r="C12971"/>
      <c r="J12971"/>
      <c r="K12971"/>
      <c r="L12971"/>
    </row>
    <row r="12972" spans="2:12" x14ac:dyDescent="0.2">
      <c r="B12972"/>
      <c r="C12972"/>
      <c r="J12972"/>
      <c r="K12972"/>
      <c r="L12972"/>
    </row>
    <row r="12973" spans="2:12" x14ac:dyDescent="0.2">
      <c r="B12973"/>
      <c r="C12973"/>
      <c r="J12973"/>
      <c r="K12973"/>
      <c r="L12973"/>
    </row>
    <row r="12974" spans="2:12" x14ac:dyDescent="0.2">
      <c r="B12974"/>
      <c r="C12974"/>
      <c r="J12974"/>
      <c r="K12974"/>
      <c r="L12974"/>
    </row>
    <row r="12975" spans="2:12" x14ac:dyDescent="0.2">
      <c r="B12975"/>
      <c r="C12975"/>
      <c r="J12975"/>
      <c r="K12975"/>
      <c r="L12975"/>
    </row>
    <row r="12976" spans="2:12" x14ac:dyDescent="0.2">
      <c r="B12976"/>
      <c r="C12976"/>
      <c r="J12976"/>
      <c r="K12976"/>
      <c r="L12976"/>
    </row>
    <row r="12977" spans="2:12" x14ac:dyDescent="0.2">
      <c r="B12977"/>
      <c r="C12977"/>
      <c r="J12977"/>
      <c r="K12977"/>
      <c r="L12977"/>
    </row>
    <row r="12978" spans="2:12" x14ac:dyDescent="0.2">
      <c r="B12978"/>
      <c r="C12978"/>
      <c r="J12978"/>
      <c r="K12978"/>
      <c r="L12978"/>
    </row>
    <row r="12979" spans="2:12" x14ac:dyDescent="0.2">
      <c r="B12979"/>
      <c r="C12979"/>
      <c r="J12979"/>
      <c r="K12979"/>
      <c r="L12979"/>
    </row>
    <row r="12980" spans="2:12" x14ac:dyDescent="0.2">
      <c r="B12980"/>
      <c r="C12980"/>
      <c r="J12980"/>
      <c r="K12980"/>
      <c r="L12980"/>
    </row>
    <row r="12981" spans="2:12" x14ac:dyDescent="0.2">
      <c r="B12981"/>
      <c r="C12981"/>
      <c r="J12981"/>
      <c r="K12981"/>
      <c r="L12981"/>
    </row>
    <row r="12982" spans="2:12" x14ac:dyDescent="0.2">
      <c r="B12982"/>
      <c r="C12982"/>
      <c r="J12982"/>
      <c r="K12982"/>
      <c r="L12982"/>
    </row>
    <row r="12983" spans="2:12" x14ac:dyDescent="0.2">
      <c r="B12983"/>
      <c r="C12983"/>
      <c r="J12983"/>
      <c r="K12983"/>
      <c r="L12983"/>
    </row>
    <row r="12984" spans="2:12" x14ac:dyDescent="0.2">
      <c r="B12984"/>
      <c r="C12984"/>
      <c r="J12984"/>
      <c r="K12984"/>
      <c r="L12984"/>
    </row>
    <row r="12985" spans="2:12" x14ac:dyDescent="0.2">
      <c r="B12985"/>
      <c r="C12985"/>
      <c r="J12985"/>
      <c r="K12985"/>
      <c r="L12985"/>
    </row>
    <row r="12986" spans="2:12" x14ac:dyDescent="0.2">
      <c r="B12986"/>
      <c r="C12986"/>
      <c r="J12986"/>
      <c r="K12986"/>
      <c r="L12986"/>
    </row>
    <row r="12987" spans="2:12" x14ac:dyDescent="0.2">
      <c r="B12987"/>
      <c r="C12987"/>
      <c r="J12987"/>
      <c r="K12987"/>
      <c r="L12987"/>
    </row>
    <row r="12988" spans="2:12" x14ac:dyDescent="0.2">
      <c r="B12988"/>
      <c r="C12988"/>
      <c r="J12988"/>
      <c r="K12988"/>
      <c r="L12988"/>
    </row>
    <row r="12989" spans="2:12" x14ac:dyDescent="0.2">
      <c r="B12989"/>
      <c r="C12989"/>
      <c r="J12989"/>
      <c r="K12989"/>
      <c r="L12989"/>
    </row>
    <row r="12990" spans="2:12" x14ac:dyDescent="0.2">
      <c r="B12990"/>
      <c r="C12990"/>
      <c r="J12990"/>
      <c r="K12990"/>
      <c r="L12990"/>
    </row>
    <row r="12991" spans="2:12" x14ac:dyDescent="0.2">
      <c r="B12991"/>
      <c r="C12991"/>
      <c r="J12991"/>
      <c r="K12991"/>
      <c r="L12991"/>
    </row>
    <row r="12992" spans="2:12" x14ac:dyDescent="0.2">
      <c r="B12992"/>
      <c r="C12992"/>
      <c r="J12992"/>
      <c r="K12992"/>
      <c r="L12992"/>
    </row>
    <row r="12993" spans="2:12" x14ac:dyDescent="0.2">
      <c r="B12993"/>
      <c r="C12993"/>
      <c r="J12993"/>
      <c r="K12993"/>
      <c r="L12993"/>
    </row>
    <row r="12994" spans="2:12" x14ac:dyDescent="0.2">
      <c r="B12994"/>
      <c r="C12994"/>
      <c r="J12994"/>
      <c r="K12994"/>
      <c r="L12994"/>
    </row>
    <row r="12995" spans="2:12" x14ac:dyDescent="0.2">
      <c r="B12995"/>
      <c r="C12995"/>
      <c r="J12995"/>
      <c r="K12995"/>
      <c r="L12995"/>
    </row>
    <row r="12996" spans="2:12" x14ac:dyDescent="0.2">
      <c r="B12996"/>
      <c r="C12996"/>
      <c r="J12996"/>
      <c r="K12996"/>
      <c r="L12996"/>
    </row>
    <row r="12997" spans="2:12" x14ac:dyDescent="0.2">
      <c r="B12997"/>
      <c r="C12997"/>
      <c r="J12997"/>
      <c r="K12997"/>
      <c r="L12997"/>
    </row>
    <row r="12998" spans="2:12" x14ac:dyDescent="0.2">
      <c r="B12998"/>
      <c r="C12998"/>
      <c r="J12998"/>
      <c r="K12998"/>
      <c r="L12998"/>
    </row>
    <row r="12999" spans="2:12" x14ac:dyDescent="0.2">
      <c r="B12999"/>
      <c r="C12999"/>
      <c r="J12999"/>
      <c r="K12999"/>
      <c r="L12999"/>
    </row>
    <row r="13000" spans="2:12" x14ac:dyDescent="0.2">
      <c r="B13000"/>
      <c r="C13000"/>
      <c r="J13000"/>
      <c r="K13000"/>
      <c r="L13000"/>
    </row>
    <row r="13001" spans="2:12" x14ac:dyDescent="0.2">
      <c r="B13001"/>
      <c r="C13001"/>
      <c r="J13001"/>
      <c r="K13001"/>
      <c r="L13001"/>
    </row>
    <row r="13002" spans="2:12" x14ac:dyDescent="0.2">
      <c r="B13002"/>
      <c r="C13002"/>
      <c r="J13002"/>
      <c r="K13002"/>
      <c r="L13002"/>
    </row>
    <row r="13003" spans="2:12" x14ac:dyDescent="0.2">
      <c r="B13003"/>
      <c r="C13003"/>
      <c r="J13003"/>
      <c r="K13003"/>
      <c r="L13003"/>
    </row>
    <row r="13004" spans="2:12" x14ac:dyDescent="0.2">
      <c r="B13004"/>
      <c r="C13004"/>
      <c r="J13004"/>
      <c r="K13004"/>
      <c r="L13004"/>
    </row>
    <row r="13005" spans="2:12" x14ac:dyDescent="0.2">
      <c r="B13005"/>
      <c r="C13005"/>
      <c r="J13005"/>
      <c r="K13005"/>
      <c r="L13005"/>
    </row>
    <row r="13006" spans="2:12" x14ac:dyDescent="0.2">
      <c r="B13006"/>
      <c r="C13006"/>
      <c r="J13006"/>
      <c r="K13006"/>
      <c r="L13006"/>
    </row>
    <row r="13007" spans="2:12" x14ac:dyDescent="0.2">
      <c r="B13007"/>
      <c r="C13007"/>
      <c r="J13007"/>
      <c r="K13007"/>
      <c r="L13007"/>
    </row>
    <row r="13008" spans="2:12" x14ac:dyDescent="0.2">
      <c r="B13008"/>
      <c r="C13008"/>
      <c r="J13008"/>
      <c r="K13008"/>
      <c r="L13008"/>
    </row>
    <row r="13009" spans="2:12" x14ac:dyDescent="0.2">
      <c r="B13009"/>
      <c r="C13009"/>
      <c r="J13009"/>
      <c r="K13009"/>
      <c r="L13009"/>
    </row>
    <row r="13010" spans="2:12" x14ac:dyDescent="0.2">
      <c r="B13010"/>
      <c r="C13010"/>
      <c r="J13010"/>
      <c r="K13010"/>
      <c r="L13010"/>
    </row>
    <row r="13011" spans="2:12" x14ac:dyDescent="0.2">
      <c r="B13011"/>
      <c r="C13011"/>
      <c r="J13011"/>
      <c r="K13011"/>
      <c r="L13011"/>
    </row>
    <row r="13012" spans="2:12" x14ac:dyDescent="0.2">
      <c r="B13012"/>
      <c r="C13012"/>
      <c r="J13012"/>
      <c r="K13012"/>
      <c r="L13012"/>
    </row>
    <row r="13013" spans="2:12" x14ac:dyDescent="0.2">
      <c r="B13013"/>
      <c r="C13013"/>
      <c r="J13013"/>
      <c r="K13013"/>
      <c r="L13013"/>
    </row>
    <row r="13014" spans="2:12" x14ac:dyDescent="0.2">
      <c r="B13014"/>
      <c r="C13014"/>
      <c r="J13014"/>
      <c r="K13014"/>
      <c r="L13014"/>
    </row>
    <row r="13015" spans="2:12" x14ac:dyDescent="0.2">
      <c r="B13015"/>
      <c r="C13015"/>
      <c r="J13015"/>
      <c r="K13015"/>
      <c r="L13015"/>
    </row>
    <row r="13016" spans="2:12" x14ac:dyDescent="0.2">
      <c r="B13016"/>
      <c r="C13016"/>
      <c r="J13016"/>
      <c r="K13016"/>
      <c r="L13016"/>
    </row>
    <row r="13017" spans="2:12" x14ac:dyDescent="0.2">
      <c r="B13017"/>
      <c r="C13017"/>
      <c r="J13017"/>
      <c r="K13017"/>
      <c r="L13017"/>
    </row>
    <row r="13018" spans="2:12" x14ac:dyDescent="0.2">
      <c r="B13018"/>
      <c r="C13018"/>
      <c r="J13018"/>
      <c r="K13018"/>
      <c r="L13018"/>
    </row>
    <row r="13019" spans="2:12" x14ac:dyDescent="0.2">
      <c r="B13019"/>
      <c r="C13019"/>
      <c r="J13019"/>
      <c r="K13019"/>
      <c r="L13019"/>
    </row>
    <row r="13020" spans="2:12" x14ac:dyDescent="0.2">
      <c r="B13020"/>
      <c r="C13020"/>
      <c r="J13020"/>
      <c r="K13020"/>
      <c r="L13020"/>
    </row>
    <row r="13021" spans="2:12" x14ac:dyDescent="0.2">
      <c r="B13021"/>
      <c r="C13021"/>
      <c r="J13021"/>
      <c r="K13021"/>
      <c r="L13021"/>
    </row>
    <row r="13022" spans="2:12" x14ac:dyDescent="0.2">
      <c r="B13022"/>
      <c r="C13022"/>
      <c r="J13022"/>
      <c r="K13022"/>
      <c r="L13022"/>
    </row>
    <row r="13023" spans="2:12" x14ac:dyDescent="0.2">
      <c r="B13023"/>
      <c r="C13023"/>
      <c r="J13023"/>
      <c r="K13023"/>
      <c r="L13023"/>
    </row>
    <row r="13024" spans="2:12" x14ac:dyDescent="0.2">
      <c r="B13024"/>
      <c r="C13024"/>
      <c r="J13024"/>
      <c r="K13024"/>
      <c r="L13024"/>
    </row>
    <row r="13025" spans="2:12" x14ac:dyDescent="0.2">
      <c r="B13025"/>
      <c r="C13025"/>
      <c r="J13025"/>
      <c r="K13025"/>
      <c r="L13025"/>
    </row>
    <row r="13026" spans="2:12" x14ac:dyDescent="0.2">
      <c r="B13026"/>
      <c r="C13026"/>
      <c r="J13026"/>
      <c r="K13026"/>
      <c r="L13026"/>
    </row>
    <row r="13027" spans="2:12" x14ac:dyDescent="0.2">
      <c r="B13027"/>
      <c r="C13027"/>
      <c r="J13027"/>
      <c r="K13027"/>
      <c r="L13027"/>
    </row>
    <row r="13028" spans="2:12" x14ac:dyDescent="0.2">
      <c r="B13028"/>
      <c r="C13028"/>
      <c r="J13028"/>
      <c r="K13028"/>
      <c r="L13028"/>
    </row>
    <row r="13029" spans="2:12" x14ac:dyDescent="0.2">
      <c r="B13029"/>
      <c r="C13029"/>
      <c r="J13029"/>
      <c r="K13029"/>
      <c r="L13029"/>
    </row>
    <row r="13030" spans="2:12" x14ac:dyDescent="0.2">
      <c r="B13030"/>
      <c r="C13030"/>
      <c r="J13030"/>
      <c r="K13030"/>
      <c r="L13030"/>
    </row>
    <row r="13031" spans="2:12" x14ac:dyDescent="0.2">
      <c r="B13031"/>
      <c r="C13031"/>
      <c r="J13031"/>
      <c r="K13031"/>
      <c r="L13031"/>
    </row>
    <row r="13032" spans="2:12" x14ac:dyDescent="0.2">
      <c r="B13032"/>
      <c r="C13032"/>
      <c r="J13032"/>
      <c r="K13032"/>
      <c r="L13032"/>
    </row>
    <row r="13033" spans="2:12" x14ac:dyDescent="0.2">
      <c r="B13033"/>
      <c r="C13033"/>
      <c r="J13033"/>
      <c r="K13033"/>
      <c r="L13033"/>
    </row>
    <row r="13034" spans="2:12" x14ac:dyDescent="0.2">
      <c r="B13034"/>
      <c r="C13034"/>
      <c r="J13034"/>
      <c r="K13034"/>
      <c r="L13034"/>
    </row>
    <row r="13035" spans="2:12" x14ac:dyDescent="0.2">
      <c r="B13035"/>
      <c r="C13035"/>
      <c r="J13035"/>
      <c r="K13035"/>
      <c r="L13035"/>
    </row>
    <row r="13036" spans="2:12" x14ac:dyDescent="0.2">
      <c r="B13036"/>
      <c r="C13036"/>
      <c r="J13036"/>
      <c r="K13036"/>
      <c r="L13036"/>
    </row>
    <row r="13037" spans="2:12" x14ac:dyDescent="0.2">
      <c r="B13037"/>
      <c r="C13037"/>
      <c r="J13037"/>
      <c r="K13037"/>
      <c r="L13037"/>
    </row>
    <row r="13038" spans="2:12" x14ac:dyDescent="0.2">
      <c r="B13038"/>
      <c r="C13038"/>
      <c r="J13038"/>
      <c r="K13038"/>
      <c r="L13038"/>
    </row>
    <row r="13039" spans="2:12" x14ac:dyDescent="0.2">
      <c r="B13039"/>
      <c r="C13039"/>
      <c r="J13039"/>
      <c r="K13039"/>
      <c r="L13039"/>
    </row>
    <row r="13040" spans="2:12" x14ac:dyDescent="0.2">
      <c r="B13040"/>
      <c r="C13040"/>
      <c r="J13040"/>
      <c r="K13040"/>
      <c r="L13040"/>
    </row>
    <row r="13041" spans="2:12" x14ac:dyDescent="0.2">
      <c r="B13041"/>
      <c r="C13041"/>
      <c r="J13041"/>
      <c r="K13041"/>
      <c r="L13041"/>
    </row>
    <row r="13042" spans="2:12" x14ac:dyDescent="0.2">
      <c r="B13042"/>
      <c r="C13042"/>
      <c r="J13042"/>
      <c r="K13042"/>
      <c r="L13042"/>
    </row>
    <row r="13043" spans="2:12" x14ac:dyDescent="0.2">
      <c r="B13043"/>
      <c r="C13043"/>
      <c r="J13043"/>
      <c r="K13043"/>
      <c r="L13043"/>
    </row>
    <row r="13044" spans="2:12" x14ac:dyDescent="0.2">
      <c r="B13044"/>
      <c r="C13044"/>
      <c r="J13044"/>
      <c r="K13044"/>
      <c r="L13044"/>
    </row>
    <row r="13045" spans="2:12" x14ac:dyDescent="0.2">
      <c r="B13045"/>
      <c r="C13045"/>
      <c r="J13045"/>
      <c r="K13045"/>
      <c r="L13045"/>
    </row>
    <row r="13046" spans="2:12" x14ac:dyDescent="0.2">
      <c r="B13046"/>
      <c r="C13046"/>
      <c r="J13046"/>
      <c r="K13046"/>
      <c r="L13046"/>
    </row>
    <row r="13047" spans="2:12" x14ac:dyDescent="0.2">
      <c r="B13047"/>
      <c r="C13047"/>
      <c r="J13047"/>
      <c r="K13047"/>
      <c r="L13047"/>
    </row>
    <row r="13048" spans="2:12" x14ac:dyDescent="0.2">
      <c r="B13048"/>
      <c r="C13048"/>
      <c r="J13048"/>
      <c r="K13048"/>
      <c r="L13048"/>
    </row>
    <row r="13049" spans="2:12" x14ac:dyDescent="0.2">
      <c r="B13049"/>
      <c r="C13049"/>
      <c r="J13049"/>
      <c r="K13049"/>
      <c r="L13049"/>
    </row>
    <row r="13050" spans="2:12" x14ac:dyDescent="0.2">
      <c r="B13050"/>
      <c r="C13050"/>
      <c r="J13050"/>
      <c r="K13050"/>
      <c r="L13050"/>
    </row>
    <row r="13051" spans="2:12" x14ac:dyDescent="0.2">
      <c r="B13051"/>
      <c r="C13051"/>
      <c r="J13051"/>
      <c r="K13051"/>
      <c r="L13051"/>
    </row>
    <row r="13052" spans="2:12" x14ac:dyDescent="0.2">
      <c r="B13052"/>
      <c r="C13052"/>
      <c r="J13052"/>
      <c r="K13052"/>
      <c r="L13052"/>
    </row>
    <row r="13053" spans="2:12" x14ac:dyDescent="0.2">
      <c r="B13053"/>
      <c r="C13053"/>
      <c r="J13053"/>
      <c r="K13053"/>
      <c r="L13053"/>
    </row>
    <row r="13054" spans="2:12" x14ac:dyDescent="0.2">
      <c r="B13054"/>
      <c r="C13054"/>
      <c r="J13054"/>
      <c r="K13054"/>
      <c r="L13054"/>
    </row>
    <row r="13055" spans="2:12" x14ac:dyDescent="0.2">
      <c r="B13055"/>
      <c r="C13055"/>
      <c r="J13055"/>
      <c r="K13055"/>
      <c r="L13055"/>
    </row>
    <row r="13056" spans="2:12" x14ac:dyDescent="0.2">
      <c r="B13056"/>
      <c r="C13056"/>
      <c r="J13056"/>
      <c r="K13056"/>
      <c r="L13056"/>
    </row>
    <row r="13057" spans="2:12" x14ac:dyDescent="0.2">
      <c r="B13057"/>
      <c r="C13057"/>
      <c r="J13057"/>
      <c r="K13057"/>
      <c r="L13057"/>
    </row>
    <row r="13058" spans="2:12" x14ac:dyDescent="0.2">
      <c r="B13058"/>
      <c r="C13058"/>
      <c r="J13058"/>
      <c r="K13058"/>
      <c r="L13058"/>
    </row>
    <row r="13059" spans="2:12" x14ac:dyDescent="0.2">
      <c r="B13059"/>
      <c r="C13059"/>
      <c r="J13059"/>
      <c r="K13059"/>
      <c r="L13059"/>
    </row>
    <row r="13060" spans="2:12" x14ac:dyDescent="0.2">
      <c r="B13060"/>
      <c r="C13060"/>
      <c r="J13060"/>
      <c r="K13060"/>
      <c r="L13060"/>
    </row>
    <row r="13061" spans="2:12" x14ac:dyDescent="0.2">
      <c r="B13061"/>
      <c r="C13061"/>
      <c r="J13061"/>
      <c r="K13061"/>
      <c r="L13061"/>
    </row>
    <row r="13062" spans="2:12" x14ac:dyDescent="0.2">
      <c r="B13062"/>
      <c r="C13062"/>
      <c r="J13062"/>
      <c r="K13062"/>
      <c r="L13062"/>
    </row>
    <row r="13063" spans="2:12" x14ac:dyDescent="0.2">
      <c r="B13063"/>
      <c r="C13063"/>
      <c r="J13063"/>
      <c r="K13063"/>
      <c r="L13063"/>
    </row>
    <row r="13064" spans="2:12" x14ac:dyDescent="0.2">
      <c r="B13064"/>
      <c r="C13064"/>
      <c r="J13064"/>
      <c r="K13064"/>
      <c r="L13064"/>
    </row>
    <row r="13065" spans="2:12" x14ac:dyDescent="0.2">
      <c r="B13065"/>
      <c r="C13065"/>
      <c r="J13065"/>
      <c r="K13065"/>
      <c r="L13065"/>
    </row>
    <row r="13066" spans="2:12" x14ac:dyDescent="0.2">
      <c r="B13066"/>
      <c r="C13066"/>
      <c r="J13066"/>
      <c r="K13066"/>
      <c r="L13066"/>
    </row>
    <row r="13067" spans="2:12" x14ac:dyDescent="0.2">
      <c r="B13067"/>
      <c r="C13067"/>
      <c r="J13067"/>
      <c r="K13067"/>
      <c r="L13067"/>
    </row>
    <row r="13068" spans="2:12" x14ac:dyDescent="0.2">
      <c r="B13068"/>
      <c r="C13068"/>
      <c r="J13068"/>
      <c r="K13068"/>
      <c r="L13068"/>
    </row>
    <row r="13069" spans="2:12" x14ac:dyDescent="0.2">
      <c r="B13069"/>
      <c r="C13069"/>
      <c r="J13069"/>
      <c r="K13069"/>
      <c r="L13069"/>
    </row>
    <row r="13070" spans="2:12" x14ac:dyDescent="0.2">
      <c r="B13070"/>
      <c r="C13070"/>
      <c r="J13070"/>
      <c r="K13070"/>
      <c r="L13070"/>
    </row>
    <row r="13071" spans="2:12" x14ac:dyDescent="0.2">
      <c r="B13071"/>
      <c r="C13071"/>
      <c r="J13071"/>
      <c r="K13071"/>
      <c r="L13071"/>
    </row>
    <row r="13072" spans="2:12" x14ac:dyDescent="0.2">
      <c r="B13072"/>
      <c r="C13072"/>
      <c r="J13072"/>
      <c r="K13072"/>
      <c r="L13072"/>
    </row>
    <row r="13073" spans="2:12" x14ac:dyDescent="0.2">
      <c r="B13073"/>
      <c r="C13073"/>
      <c r="J13073"/>
      <c r="K13073"/>
      <c r="L13073"/>
    </row>
    <row r="13074" spans="2:12" x14ac:dyDescent="0.2">
      <c r="B13074"/>
      <c r="C13074"/>
      <c r="J13074"/>
      <c r="K13074"/>
      <c r="L13074"/>
    </row>
    <row r="13075" spans="2:12" x14ac:dyDescent="0.2">
      <c r="B13075"/>
      <c r="C13075"/>
      <c r="J13075"/>
      <c r="K13075"/>
      <c r="L13075"/>
    </row>
    <row r="13076" spans="2:12" x14ac:dyDescent="0.2">
      <c r="B13076"/>
      <c r="C13076"/>
      <c r="J13076"/>
      <c r="K13076"/>
      <c r="L13076"/>
    </row>
    <row r="13077" spans="2:12" x14ac:dyDescent="0.2">
      <c r="B13077"/>
      <c r="C13077"/>
      <c r="J13077"/>
      <c r="K13077"/>
      <c r="L13077"/>
    </row>
    <row r="13078" spans="2:12" x14ac:dyDescent="0.2">
      <c r="B13078"/>
      <c r="C13078"/>
      <c r="J13078"/>
      <c r="K13078"/>
      <c r="L13078"/>
    </row>
    <row r="13079" spans="2:12" x14ac:dyDescent="0.2">
      <c r="B13079"/>
      <c r="C13079"/>
      <c r="J13079"/>
      <c r="K13079"/>
      <c r="L13079"/>
    </row>
    <row r="13080" spans="2:12" x14ac:dyDescent="0.2">
      <c r="B13080"/>
      <c r="C13080"/>
      <c r="J13080"/>
      <c r="K13080"/>
      <c r="L13080"/>
    </row>
    <row r="13081" spans="2:12" x14ac:dyDescent="0.2">
      <c r="B13081"/>
      <c r="C13081"/>
      <c r="J13081"/>
      <c r="K13081"/>
      <c r="L13081"/>
    </row>
    <row r="13082" spans="2:12" x14ac:dyDescent="0.2">
      <c r="B13082"/>
      <c r="C13082"/>
      <c r="J13082"/>
      <c r="K13082"/>
      <c r="L13082"/>
    </row>
    <row r="13083" spans="2:12" x14ac:dyDescent="0.2">
      <c r="B13083"/>
      <c r="C13083"/>
      <c r="J13083"/>
      <c r="K13083"/>
      <c r="L13083"/>
    </row>
    <row r="13084" spans="2:12" x14ac:dyDescent="0.2">
      <c r="B13084"/>
      <c r="C13084"/>
      <c r="J13084"/>
      <c r="K13084"/>
      <c r="L13084"/>
    </row>
    <row r="13085" spans="2:12" x14ac:dyDescent="0.2">
      <c r="B13085"/>
      <c r="C13085"/>
      <c r="J13085"/>
      <c r="K13085"/>
      <c r="L13085"/>
    </row>
    <row r="13086" spans="2:12" x14ac:dyDescent="0.2">
      <c r="B13086"/>
      <c r="C13086"/>
      <c r="J13086"/>
      <c r="K13086"/>
      <c r="L13086"/>
    </row>
    <row r="13087" spans="2:12" x14ac:dyDescent="0.2">
      <c r="B13087"/>
      <c r="C13087"/>
      <c r="J13087"/>
      <c r="K13087"/>
      <c r="L13087"/>
    </row>
    <row r="13088" spans="2:12" x14ac:dyDescent="0.2">
      <c r="B13088"/>
      <c r="C13088"/>
      <c r="J13088"/>
      <c r="K13088"/>
      <c r="L13088"/>
    </row>
    <row r="13089" spans="2:12" x14ac:dyDescent="0.2">
      <c r="B13089"/>
      <c r="C13089"/>
      <c r="J13089"/>
      <c r="K13089"/>
      <c r="L13089"/>
    </row>
    <row r="13090" spans="2:12" x14ac:dyDescent="0.2">
      <c r="B13090"/>
      <c r="C13090"/>
      <c r="J13090"/>
      <c r="K13090"/>
      <c r="L13090"/>
    </row>
    <row r="13091" spans="2:12" x14ac:dyDescent="0.2">
      <c r="B13091"/>
      <c r="C13091"/>
      <c r="J13091"/>
      <c r="K13091"/>
      <c r="L13091"/>
    </row>
    <row r="13092" spans="2:12" x14ac:dyDescent="0.2">
      <c r="B13092"/>
      <c r="C13092"/>
      <c r="J13092"/>
      <c r="K13092"/>
      <c r="L13092"/>
    </row>
    <row r="13093" spans="2:12" x14ac:dyDescent="0.2">
      <c r="B13093"/>
      <c r="C13093"/>
      <c r="J13093"/>
      <c r="K13093"/>
      <c r="L13093"/>
    </row>
    <row r="13094" spans="2:12" x14ac:dyDescent="0.2">
      <c r="B13094"/>
      <c r="C13094"/>
      <c r="J13094"/>
      <c r="K13094"/>
      <c r="L13094"/>
    </row>
    <row r="13095" spans="2:12" x14ac:dyDescent="0.2">
      <c r="B13095"/>
      <c r="C13095"/>
      <c r="J13095"/>
      <c r="K13095"/>
      <c r="L13095"/>
    </row>
    <row r="13096" spans="2:12" x14ac:dyDescent="0.2">
      <c r="B13096"/>
      <c r="C13096"/>
      <c r="J13096"/>
      <c r="K13096"/>
      <c r="L13096"/>
    </row>
    <row r="13097" spans="2:12" x14ac:dyDescent="0.2">
      <c r="B13097"/>
      <c r="C13097"/>
      <c r="J13097"/>
      <c r="K13097"/>
      <c r="L13097"/>
    </row>
    <row r="13098" spans="2:12" x14ac:dyDescent="0.2">
      <c r="B13098"/>
      <c r="C13098"/>
      <c r="J13098"/>
      <c r="K13098"/>
      <c r="L13098"/>
    </row>
    <row r="13099" spans="2:12" x14ac:dyDescent="0.2">
      <c r="B13099"/>
      <c r="C13099"/>
      <c r="J13099"/>
      <c r="K13099"/>
      <c r="L13099"/>
    </row>
    <row r="13100" spans="2:12" x14ac:dyDescent="0.2">
      <c r="B13100"/>
      <c r="C13100"/>
      <c r="J13100"/>
      <c r="K13100"/>
      <c r="L13100"/>
    </row>
    <row r="13101" spans="2:12" x14ac:dyDescent="0.2">
      <c r="B13101"/>
      <c r="C13101"/>
      <c r="J13101"/>
      <c r="K13101"/>
      <c r="L13101"/>
    </row>
    <row r="13102" spans="2:12" x14ac:dyDescent="0.2">
      <c r="B13102"/>
      <c r="C13102"/>
      <c r="J13102"/>
      <c r="K13102"/>
      <c r="L13102"/>
    </row>
    <row r="13103" spans="2:12" x14ac:dyDescent="0.2">
      <c r="B13103"/>
      <c r="C13103"/>
      <c r="J13103"/>
      <c r="K13103"/>
      <c r="L13103"/>
    </row>
    <row r="13104" spans="2:12" x14ac:dyDescent="0.2">
      <c r="B13104"/>
      <c r="C13104"/>
      <c r="J13104"/>
      <c r="K13104"/>
      <c r="L13104"/>
    </row>
    <row r="13105" spans="2:12" x14ac:dyDescent="0.2">
      <c r="B13105"/>
      <c r="C13105"/>
      <c r="J13105"/>
      <c r="K13105"/>
      <c r="L13105"/>
    </row>
    <row r="13106" spans="2:12" x14ac:dyDescent="0.2">
      <c r="B13106"/>
      <c r="C13106"/>
      <c r="J13106"/>
      <c r="K13106"/>
      <c r="L13106"/>
    </row>
    <row r="13107" spans="2:12" x14ac:dyDescent="0.2">
      <c r="B13107"/>
      <c r="C13107"/>
      <c r="J13107"/>
      <c r="K13107"/>
      <c r="L13107"/>
    </row>
    <row r="13108" spans="2:12" x14ac:dyDescent="0.2">
      <c r="B13108"/>
      <c r="C13108"/>
      <c r="J13108"/>
      <c r="K13108"/>
      <c r="L13108"/>
    </row>
    <row r="13109" spans="2:12" x14ac:dyDescent="0.2">
      <c r="B13109"/>
      <c r="C13109"/>
      <c r="J13109"/>
      <c r="K13109"/>
      <c r="L13109"/>
    </row>
    <row r="13110" spans="2:12" x14ac:dyDescent="0.2">
      <c r="B13110"/>
      <c r="C13110"/>
      <c r="J13110"/>
      <c r="K13110"/>
      <c r="L13110"/>
    </row>
    <row r="13111" spans="2:12" x14ac:dyDescent="0.2">
      <c r="B13111"/>
      <c r="C13111"/>
      <c r="J13111"/>
      <c r="K13111"/>
      <c r="L13111"/>
    </row>
    <row r="13112" spans="2:12" x14ac:dyDescent="0.2">
      <c r="B13112"/>
      <c r="C13112"/>
      <c r="J13112"/>
      <c r="K13112"/>
      <c r="L13112"/>
    </row>
    <row r="13113" spans="2:12" x14ac:dyDescent="0.2">
      <c r="B13113"/>
      <c r="C13113"/>
      <c r="J13113"/>
      <c r="K13113"/>
      <c r="L13113"/>
    </row>
    <row r="13114" spans="2:12" x14ac:dyDescent="0.2">
      <c r="B13114"/>
      <c r="C13114"/>
      <c r="J13114"/>
      <c r="K13114"/>
      <c r="L13114"/>
    </row>
    <row r="13115" spans="2:12" x14ac:dyDescent="0.2">
      <c r="B13115"/>
      <c r="C13115"/>
      <c r="J13115"/>
      <c r="K13115"/>
      <c r="L13115"/>
    </row>
    <row r="13116" spans="2:12" x14ac:dyDescent="0.2">
      <c r="B13116"/>
      <c r="C13116"/>
      <c r="J13116"/>
      <c r="K13116"/>
      <c r="L13116"/>
    </row>
    <row r="13117" spans="2:12" x14ac:dyDescent="0.2">
      <c r="B13117"/>
      <c r="C13117"/>
      <c r="J13117"/>
      <c r="K13117"/>
      <c r="L13117"/>
    </row>
    <row r="13118" spans="2:12" x14ac:dyDescent="0.2">
      <c r="B13118"/>
      <c r="C13118"/>
      <c r="J13118"/>
      <c r="K13118"/>
      <c r="L13118"/>
    </row>
    <row r="13119" spans="2:12" x14ac:dyDescent="0.2">
      <c r="B13119"/>
      <c r="C13119"/>
      <c r="J13119"/>
      <c r="K13119"/>
      <c r="L13119"/>
    </row>
    <row r="13120" spans="2:12" x14ac:dyDescent="0.2">
      <c r="B13120"/>
      <c r="C13120"/>
      <c r="J13120"/>
      <c r="K13120"/>
      <c r="L13120"/>
    </row>
    <row r="13121" spans="2:12" x14ac:dyDescent="0.2">
      <c r="B13121"/>
      <c r="C13121"/>
      <c r="J13121"/>
      <c r="K13121"/>
      <c r="L13121"/>
    </row>
    <row r="13122" spans="2:12" x14ac:dyDescent="0.2">
      <c r="B13122"/>
      <c r="C13122"/>
      <c r="J13122"/>
      <c r="K13122"/>
      <c r="L13122"/>
    </row>
    <row r="13123" spans="2:12" x14ac:dyDescent="0.2">
      <c r="B13123"/>
      <c r="C13123"/>
      <c r="J13123"/>
      <c r="K13123"/>
      <c r="L13123"/>
    </row>
    <row r="13124" spans="2:12" x14ac:dyDescent="0.2">
      <c r="B13124"/>
      <c r="C13124"/>
      <c r="J13124"/>
      <c r="K13124"/>
      <c r="L13124"/>
    </row>
    <row r="13125" spans="2:12" x14ac:dyDescent="0.2">
      <c r="B13125"/>
      <c r="C13125"/>
      <c r="J13125"/>
      <c r="K13125"/>
      <c r="L13125"/>
    </row>
    <row r="13126" spans="2:12" x14ac:dyDescent="0.2">
      <c r="B13126"/>
      <c r="C13126"/>
      <c r="J13126"/>
      <c r="K13126"/>
      <c r="L13126"/>
    </row>
    <row r="13127" spans="2:12" x14ac:dyDescent="0.2">
      <c r="B13127"/>
      <c r="C13127"/>
      <c r="J13127"/>
      <c r="K13127"/>
      <c r="L13127"/>
    </row>
    <row r="13128" spans="2:12" x14ac:dyDescent="0.2">
      <c r="B13128"/>
      <c r="C13128"/>
      <c r="J13128"/>
      <c r="K13128"/>
      <c r="L13128"/>
    </row>
    <row r="13129" spans="2:12" x14ac:dyDescent="0.2">
      <c r="B13129"/>
      <c r="C13129"/>
      <c r="J13129"/>
      <c r="K13129"/>
      <c r="L13129"/>
    </row>
    <row r="13130" spans="2:12" x14ac:dyDescent="0.2">
      <c r="B13130"/>
      <c r="C13130"/>
      <c r="J13130"/>
      <c r="K13130"/>
      <c r="L13130"/>
    </row>
    <row r="13131" spans="2:12" x14ac:dyDescent="0.2">
      <c r="B13131"/>
      <c r="C13131"/>
      <c r="J13131"/>
      <c r="K13131"/>
      <c r="L13131"/>
    </row>
    <row r="13132" spans="2:12" x14ac:dyDescent="0.2">
      <c r="B13132"/>
      <c r="C13132"/>
      <c r="J13132"/>
      <c r="K13132"/>
      <c r="L13132"/>
    </row>
    <row r="13133" spans="2:12" x14ac:dyDescent="0.2">
      <c r="B13133"/>
      <c r="C13133"/>
      <c r="J13133"/>
      <c r="K13133"/>
      <c r="L13133"/>
    </row>
    <row r="13134" spans="2:12" x14ac:dyDescent="0.2">
      <c r="B13134"/>
      <c r="C13134"/>
      <c r="J13134"/>
      <c r="K13134"/>
      <c r="L13134"/>
    </row>
    <row r="13135" spans="2:12" x14ac:dyDescent="0.2">
      <c r="B13135"/>
      <c r="C13135"/>
      <c r="J13135"/>
      <c r="K13135"/>
      <c r="L13135"/>
    </row>
    <row r="13136" spans="2:12" x14ac:dyDescent="0.2">
      <c r="B13136"/>
      <c r="C13136"/>
      <c r="J13136"/>
      <c r="K13136"/>
      <c r="L13136"/>
    </row>
    <row r="13137" spans="2:12" x14ac:dyDescent="0.2">
      <c r="B13137"/>
      <c r="C13137"/>
      <c r="J13137"/>
      <c r="K13137"/>
      <c r="L13137"/>
    </row>
    <row r="13138" spans="2:12" x14ac:dyDescent="0.2">
      <c r="B13138"/>
      <c r="C13138"/>
      <c r="J13138"/>
      <c r="K13138"/>
      <c r="L13138"/>
    </row>
    <row r="13139" spans="2:12" x14ac:dyDescent="0.2">
      <c r="B13139"/>
      <c r="C13139"/>
      <c r="J13139"/>
      <c r="K13139"/>
      <c r="L13139"/>
    </row>
    <row r="13140" spans="2:12" x14ac:dyDescent="0.2">
      <c r="B13140"/>
      <c r="C13140"/>
      <c r="J13140"/>
      <c r="K13140"/>
      <c r="L13140"/>
    </row>
    <row r="13141" spans="2:12" x14ac:dyDescent="0.2">
      <c r="B13141"/>
      <c r="C13141"/>
      <c r="J13141"/>
      <c r="K13141"/>
      <c r="L13141"/>
    </row>
    <row r="13142" spans="2:12" x14ac:dyDescent="0.2">
      <c r="B13142"/>
      <c r="C13142"/>
      <c r="J13142"/>
      <c r="K13142"/>
      <c r="L13142"/>
    </row>
    <row r="13143" spans="2:12" x14ac:dyDescent="0.2">
      <c r="B13143"/>
      <c r="C13143"/>
      <c r="J13143"/>
      <c r="K13143"/>
      <c r="L13143"/>
    </row>
    <row r="13144" spans="2:12" x14ac:dyDescent="0.2">
      <c r="B13144"/>
      <c r="C13144"/>
      <c r="J13144"/>
      <c r="K13144"/>
      <c r="L13144"/>
    </row>
    <row r="13145" spans="2:12" x14ac:dyDescent="0.2">
      <c r="B13145"/>
      <c r="C13145"/>
      <c r="J13145"/>
      <c r="K13145"/>
      <c r="L13145"/>
    </row>
    <row r="13146" spans="2:12" x14ac:dyDescent="0.2">
      <c r="B13146"/>
      <c r="C13146"/>
      <c r="J13146"/>
      <c r="K13146"/>
      <c r="L13146"/>
    </row>
    <row r="13147" spans="2:12" x14ac:dyDescent="0.2">
      <c r="B13147"/>
      <c r="C13147"/>
      <c r="J13147"/>
      <c r="K13147"/>
      <c r="L13147"/>
    </row>
    <row r="13148" spans="2:12" x14ac:dyDescent="0.2">
      <c r="B13148"/>
      <c r="C13148"/>
      <c r="J13148"/>
      <c r="K13148"/>
      <c r="L13148"/>
    </row>
    <row r="13149" spans="2:12" x14ac:dyDescent="0.2">
      <c r="B13149"/>
      <c r="C13149"/>
      <c r="J13149"/>
      <c r="K13149"/>
      <c r="L13149"/>
    </row>
    <row r="13150" spans="2:12" x14ac:dyDescent="0.2">
      <c r="B13150"/>
      <c r="C13150"/>
      <c r="J13150"/>
      <c r="K13150"/>
      <c r="L13150"/>
    </row>
    <row r="13151" spans="2:12" x14ac:dyDescent="0.2">
      <c r="B13151"/>
      <c r="C13151"/>
      <c r="J13151"/>
      <c r="K13151"/>
      <c r="L13151"/>
    </row>
    <row r="13152" spans="2:12" x14ac:dyDescent="0.2">
      <c r="B13152"/>
      <c r="C13152"/>
      <c r="J13152"/>
      <c r="K13152"/>
      <c r="L13152"/>
    </row>
    <row r="13153" spans="2:12" x14ac:dyDescent="0.2">
      <c r="B13153"/>
      <c r="C13153"/>
      <c r="J13153"/>
      <c r="K13153"/>
      <c r="L13153"/>
    </row>
    <row r="13154" spans="2:12" x14ac:dyDescent="0.2">
      <c r="B13154"/>
      <c r="C13154"/>
      <c r="J13154"/>
      <c r="K13154"/>
      <c r="L13154"/>
    </row>
    <row r="13155" spans="2:12" x14ac:dyDescent="0.2">
      <c r="B13155"/>
      <c r="C13155"/>
      <c r="J13155"/>
      <c r="K13155"/>
      <c r="L13155"/>
    </row>
    <row r="13156" spans="2:12" x14ac:dyDescent="0.2">
      <c r="B13156"/>
      <c r="C13156"/>
      <c r="J13156"/>
      <c r="K13156"/>
      <c r="L13156"/>
    </row>
    <row r="13157" spans="2:12" x14ac:dyDescent="0.2">
      <c r="B13157"/>
      <c r="C13157"/>
      <c r="J13157"/>
      <c r="K13157"/>
      <c r="L13157"/>
    </row>
    <row r="13158" spans="2:12" x14ac:dyDescent="0.2">
      <c r="B13158"/>
      <c r="C13158"/>
      <c r="J13158"/>
      <c r="K13158"/>
      <c r="L13158"/>
    </row>
    <row r="13159" spans="2:12" x14ac:dyDescent="0.2">
      <c r="B13159"/>
      <c r="C13159"/>
      <c r="J13159"/>
      <c r="K13159"/>
      <c r="L13159"/>
    </row>
    <row r="13160" spans="2:12" x14ac:dyDescent="0.2">
      <c r="B13160"/>
      <c r="C13160"/>
      <c r="J13160"/>
      <c r="K13160"/>
      <c r="L13160"/>
    </row>
    <row r="13161" spans="2:12" x14ac:dyDescent="0.2">
      <c r="B13161"/>
      <c r="C13161"/>
      <c r="J13161"/>
      <c r="K13161"/>
      <c r="L13161"/>
    </row>
    <row r="13162" spans="2:12" x14ac:dyDescent="0.2">
      <c r="B13162"/>
      <c r="C13162"/>
      <c r="J13162"/>
      <c r="K13162"/>
      <c r="L13162"/>
    </row>
    <row r="13163" spans="2:12" x14ac:dyDescent="0.2">
      <c r="B13163"/>
      <c r="C13163"/>
      <c r="J13163"/>
      <c r="K13163"/>
      <c r="L13163"/>
    </row>
    <row r="13164" spans="2:12" x14ac:dyDescent="0.2">
      <c r="B13164"/>
      <c r="C13164"/>
      <c r="J13164"/>
      <c r="K13164"/>
      <c r="L13164"/>
    </row>
    <row r="13165" spans="2:12" x14ac:dyDescent="0.2">
      <c r="B13165"/>
      <c r="C13165"/>
      <c r="J13165"/>
      <c r="K13165"/>
      <c r="L13165"/>
    </row>
    <row r="13166" spans="2:12" x14ac:dyDescent="0.2">
      <c r="B13166"/>
      <c r="C13166"/>
      <c r="J13166"/>
      <c r="K13166"/>
      <c r="L13166"/>
    </row>
    <row r="13167" spans="2:12" x14ac:dyDescent="0.2">
      <c r="B13167"/>
      <c r="C13167"/>
      <c r="J13167"/>
      <c r="K13167"/>
      <c r="L13167"/>
    </row>
    <row r="13168" spans="2:12" x14ac:dyDescent="0.2">
      <c r="B13168"/>
      <c r="C13168"/>
      <c r="J13168"/>
      <c r="K13168"/>
      <c r="L13168"/>
    </row>
    <row r="13169" spans="2:12" x14ac:dyDescent="0.2">
      <c r="B13169"/>
      <c r="C13169"/>
      <c r="J13169"/>
      <c r="K13169"/>
      <c r="L13169"/>
    </row>
    <row r="13170" spans="2:12" x14ac:dyDescent="0.2">
      <c r="B13170"/>
      <c r="C13170"/>
      <c r="J13170"/>
      <c r="K13170"/>
      <c r="L13170"/>
    </row>
    <row r="13171" spans="2:12" x14ac:dyDescent="0.2">
      <c r="B13171"/>
      <c r="C13171"/>
      <c r="J13171"/>
      <c r="K13171"/>
      <c r="L13171"/>
    </row>
    <row r="13172" spans="2:12" x14ac:dyDescent="0.2">
      <c r="B13172"/>
      <c r="C13172"/>
      <c r="J13172"/>
      <c r="K13172"/>
      <c r="L13172"/>
    </row>
    <row r="13173" spans="2:12" x14ac:dyDescent="0.2">
      <c r="B13173"/>
      <c r="C13173"/>
      <c r="J13173"/>
      <c r="K13173"/>
      <c r="L13173"/>
    </row>
    <row r="13174" spans="2:12" x14ac:dyDescent="0.2">
      <c r="B13174"/>
      <c r="C13174"/>
      <c r="J13174"/>
      <c r="K13174"/>
      <c r="L13174"/>
    </row>
    <row r="13175" spans="2:12" x14ac:dyDescent="0.2">
      <c r="B13175"/>
      <c r="C13175"/>
      <c r="J13175"/>
      <c r="K13175"/>
      <c r="L13175"/>
    </row>
    <row r="13176" spans="2:12" x14ac:dyDescent="0.2">
      <c r="B13176"/>
      <c r="C13176"/>
      <c r="J13176"/>
      <c r="K13176"/>
      <c r="L13176"/>
    </row>
    <row r="13177" spans="2:12" x14ac:dyDescent="0.2">
      <c r="B13177"/>
      <c r="C13177"/>
      <c r="J13177"/>
      <c r="K13177"/>
      <c r="L13177"/>
    </row>
    <row r="13178" spans="2:12" x14ac:dyDescent="0.2">
      <c r="B13178"/>
      <c r="C13178"/>
      <c r="J13178"/>
      <c r="K13178"/>
      <c r="L13178"/>
    </row>
    <row r="13179" spans="2:12" x14ac:dyDescent="0.2">
      <c r="B13179"/>
      <c r="C13179"/>
      <c r="J13179"/>
      <c r="K13179"/>
      <c r="L13179"/>
    </row>
    <row r="13180" spans="2:12" x14ac:dyDescent="0.2">
      <c r="B13180"/>
      <c r="C13180"/>
      <c r="J13180"/>
      <c r="K13180"/>
      <c r="L13180"/>
    </row>
    <row r="13181" spans="2:12" x14ac:dyDescent="0.2">
      <c r="B13181"/>
      <c r="C13181"/>
      <c r="J13181"/>
      <c r="K13181"/>
      <c r="L13181"/>
    </row>
    <row r="13182" spans="2:12" x14ac:dyDescent="0.2">
      <c r="B13182"/>
      <c r="C13182"/>
      <c r="J13182"/>
      <c r="K13182"/>
      <c r="L13182"/>
    </row>
    <row r="13183" spans="2:12" x14ac:dyDescent="0.2">
      <c r="B13183"/>
      <c r="C13183"/>
      <c r="J13183"/>
      <c r="K13183"/>
      <c r="L13183"/>
    </row>
    <row r="13184" spans="2:12" x14ac:dyDescent="0.2">
      <c r="B13184"/>
      <c r="C13184"/>
      <c r="J13184"/>
      <c r="K13184"/>
      <c r="L13184"/>
    </row>
    <row r="13185" spans="2:12" x14ac:dyDescent="0.2">
      <c r="B13185"/>
      <c r="C13185"/>
      <c r="J13185"/>
      <c r="K13185"/>
      <c r="L13185"/>
    </row>
    <row r="13186" spans="2:12" x14ac:dyDescent="0.2">
      <c r="B13186"/>
      <c r="C13186"/>
      <c r="J13186"/>
      <c r="K13186"/>
      <c r="L13186"/>
    </row>
    <row r="13187" spans="2:12" x14ac:dyDescent="0.2">
      <c r="B13187"/>
      <c r="C13187"/>
      <c r="J13187"/>
      <c r="K13187"/>
      <c r="L13187"/>
    </row>
    <row r="13188" spans="2:12" x14ac:dyDescent="0.2">
      <c r="B13188"/>
      <c r="C13188"/>
      <c r="J13188"/>
      <c r="K13188"/>
      <c r="L13188"/>
    </row>
    <row r="13189" spans="2:12" x14ac:dyDescent="0.2">
      <c r="B13189"/>
      <c r="C13189"/>
      <c r="J13189"/>
      <c r="K13189"/>
      <c r="L13189"/>
    </row>
    <row r="13190" spans="2:12" x14ac:dyDescent="0.2">
      <c r="B13190"/>
      <c r="C13190"/>
      <c r="J13190"/>
      <c r="K13190"/>
      <c r="L13190"/>
    </row>
    <row r="13191" spans="2:12" x14ac:dyDescent="0.2">
      <c r="B13191"/>
      <c r="C13191"/>
      <c r="J13191"/>
      <c r="K13191"/>
      <c r="L13191"/>
    </row>
    <row r="13192" spans="2:12" x14ac:dyDescent="0.2">
      <c r="B13192"/>
      <c r="C13192"/>
      <c r="J13192"/>
      <c r="K13192"/>
      <c r="L13192"/>
    </row>
    <row r="13193" spans="2:12" x14ac:dyDescent="0.2">
      <c r="B13193"/>
      <c r="C13193"/>
      <c r="J13193"/>
      <c r="K13193"/>
      <c r="L13193"/>
    </row>
    <row r="13194" spans="2:12" x14ac:dyDescent="0.2">
      <c r="B13194"/>
      <c r="C13194"/>
      <c r="J13194"/>
      <c r="K13194"/>
      <c r="L13194"/>
    </row>
    <row r="13195" spans="2:12" x14ac:dyDescent="0.2">
      <c r="B13195"/>
      <c r="C13195"/>
      <c r="J13195"/>
      <c r="K13195"/>
      <c r="L13195"/>
    </row>
    <row r="13196" spans="2:12" x14ac:dyDescent="0.2">
      <c r="B13196"/>
      <c r="C13196"/>
      <c r="J13196"/>
      <c r="K13196"/>
      <c r="L13196"/>
    </row>
    <row r="13197" spans="2:12" x14ac:dyDescent="0.2">
      <c r="B13197"/>
      <c r="C13197"/>
      <c r="J13197"/>
      <c r="K13197"/>
      <c r="L13197"/>
    </row>
    <row r="13198" spans="2:12" x14ac:dyDescent="0.2">
      <c r="B13198"/>
      <c r="C13198"/>
      <c r="J13198"/>
      <c r="K13198"/>
      <c r="L13198"/>
    </row>
    <row r="13199" spans="2:12" x14ac:dyDescent="0.2">
      <c r="B13199"/>
      <c r="C13199"/>
      <c r="J13199"/>
      <c r="K13199"/>
      <c r="L13199"/>
    </row>
    <row r="13200" spans="2:12" x14ac:dyDescent="0.2">
      <c r="B13200"/>
      <c r="C13200"/>
      <c r="J13200"/>
      <c r="K13200"/>
      <c r="L13200"/>
    </row>
    <row r="13201" spans="2:12" x14ac:dyDescent="0.2">
      <c r="B13201"/>
      <c r="C13201"/>
      <c r="J13201"/>
      <c r="K13201"/>
      <c r="L13201"/>
    </row>
    <row r="13202" spans="2:12" x14ac:dyDescent="0.2">
      <c r="B13202"/>
      <c r="C13202"/>
      <c r="J13202"/>
      <c r="K13202"/>
      <c r="L13202"/>
    </row>
    <row r="13203" spans="2:12" x14ac:dyDescent="0.2">
      <c r="B13203"/>
      <c r="C13203"/>
      <c r="J13203"/>
      <c r="K13203"/>
      <c r="L13203"/>
    </row>
    <row r="13204" spans="2:12" x14ac:dyDescent="0.2">
      <c r="B13204"/>
      <c r="C13204"/>
      <c r="J13204"/>
      <c r="K13204"/>
      <c r="L13204"/>
    </row>
    <row r="13205" spans="2:12" x14ac:dyDescent="0.2">
      <c r="B13205"/>
      <c r="C13205"/>
      <c r="J13205"/>
      <c r="K13205"/>
      <c r="L13205"/>
    </row>
    <row r="13206" spans="2:12" x14ac:dyDescent="0.2">
      <c r="B13206"/>
      <c r="C13206"/>
      <c r="J13206"/>
      <c r="K13206"/>
      <c r="L13206"/>
    </row>
    <row r="13207" spans="2:12" x14ac:dyDescent="0.2">
      <c r="B13207"/>
      <c r="C13207"/>
      <c r="J13207"/>
      <c r="K13207"/>
      <c r="L13207"/>
    </row>
    <row r="13208" spans="2:12" x14ac:dyDescent="0.2">
      <c r="B13208"/>
      <c r="C13208"/>
      <c r="J13208"/>
      <c r="K13208"/>
      <c r="L13208"/>
    </row>
    <row r="13209" spans="2:12" x14ac:dyDescent="0.2">
      <c r="B13209"/>
      <c r="C13209"/>
      <c r="J13209"/>
      <c r="K13209"/>
      <c r="L13209"/>
    </row>
    <row r="13210" spans="2:12" x14ac:dyDescent="0.2">
      <c r="B13210"/>
      <c r="C13210"/>
      <c r="J13210"/>
      <c r="K13210"/>
      <c r="L13210"/>
    </row>
    <row r="13211" spans="2:12" x14ac:dyDescent="0.2">
      <c r="B13211"/>
      <c r="C13211"/>
      <c r="J13211"/>
      <c r="K13211"/>
      <c r="L13211"/>
    </row>
    <row r="13212" spans="2:12" x14ac:dyDescent="0.2">
      <c r="B13212"/>
      <c r="C13212"/>
      <c r="J13212"/>
      <c r="K13212"/>
      <c r="L13212"/>
    </row>
    <row r="13213" spans="2:12" x14ac:dyDescent="0.2">
      <c r="B13213"/>
      <c r="C13213"/>
      <c r="J13213"/>
      <c r="K13213"/>
      <c r="L13213"/>
    </row>
    <row r="13214" spans="2:12" x14ac:dyDescent="0.2">
      <c r="B13214"/>
      <c r="C13214"/>
      <c r="J13214"/>
      <c r="K13214"/>
      <c r="L13214"/>
    </row>
    <row r="13215" spans="2:12" x14ac:dyDescent="0.2">
      <c r="B13215"/>
      <c r="C13215"/>
      <c r="J13215"/>
      <c r="K13215"/>
      <c r="L13215"/>
    </row>
    <row r="13216" spans="2:12" x14ac:dyDescent="0.2">
      <c r="B13216"/>
      <c r="C13216"/>
      <c r="J13216"/>
      <c r="K13216"/>
      <c r="L13216"/>
    </row>
    <row r="13217" spans="2:12" x14ac:dyDescent="0.2">
      <c r="B13217"/>
      <c r="C13217"/>
      <c r="J13217"/>
      <c r="K13217"/>
      <c r="L13217"/>
    </row>
    <row r="13218" spans="2:12" x14ac:dyDescent="0.2">
      <c r="B13218"/>
      <c r="C13218"/>
      <c r="J13218"/>
      <c r="K13218"/>
      <c r="L13218"/>
    </row>
    <row r="13219" spans="2:12" x14ac:dyDescent="0.2">
      <c r="B13219"/>
      <c r="C13219"/>
      <c r="J13219"/>
      <c r="K13219"/>
      <c r="L13219"/>
    </row>
    <row r="13220" spans="2:12" x14ac:dyDescent="0.2">
      <c r="B13220"/>
      <c r="C13220"/>
      <c r="J13220"/>
      <c r="K13220"/>
      <c r="L13220"/>
    </row>
    <row r="13221" spans="2:12" x14ac:dyDescent="0.2">
      <c r="B13221"/>
      <c r="C13221"/>
      <c r="J13221"/>
      <c r="K13221"/>
      <c r="L13221"/>
    </row>
    <row r="13222" spans="2:12" x14ac:dyDescent="0.2">
      <c r="B13222"/>
      <c r="C13222"/>
      <c r="J13222"/>
      <c r="K13222"/>
      <c r="L13222"/>
    </row>
    <row r="13223" spans="2:12" x14ac:dyDescent="0.2">
      <c r="B13223"/>
      <c r="C13223"/>
      <c r="J13223"/>
      <c r="K13223"/>
      <c r="L13223"/>
    </row>
    <row r="13224" spans="2:12" x14ac:dyDescent="0.2">
      <c r="B13224"/>
      <c r="C13224"/>
      <c r="J13224"/>
      <c r="K13224"/>
      <c r="L13224"/>
    </row>
    <row r="13225" spans="2:12" x14ac:dyDescent="0.2">
      <c r="B13225"/>
      <c r="C13225"/>
      <c r="J13225"/>
      <c r="K13225"/>
      <c r="L13225"/>
    </row>
    <row r="13226" spans="2:12" x14ac:dyDescent="0.2">
      <c r="B13226"/>
      <c r="C13226"/>
      <c r="J13226"/>
      <c r="K13226"/>
      <c r="L13226"/>
    </row>
    <row r="13227" spans="2:12" x14ac:dyDescent="0.2">
      <c r="B13227"/>
      <c r="C13227"/>
      <c r="J13227"/>
      <c r="K13227"/>
      <c r="L13227"/>
    </row>
    <row r="13228" spans="2:12" x14ac:dyDescent="0.2">
      <c r="B13228"/>
      <c r="C13228"/>
      <c r="J13228"/>
      <c r="K13228"/>
      <c r="L13228"/>
    </row>
    <row r="13229" spans="2:12" x14ac:dyDescent="0.2">
      <c r="B13229"/>
      <c r="C13229"/>
      <c r="J13229"/>
      <c r="K13229"/>
      <c r="L13229"/>
    </row>
    <row r="13230" spans="2:12" x14ac:dyDescent="0.2">
      <c r="B13230"/>
      <c r="C13230"/>
      <c r="J13230"/>
      <c r="K13230"/>
      <c r="L13230"/>
    </row>
    <row r="13231" spans="2:12" x14ac:dyDescent="0.2">
      <c r="B13231"/>
      <c r="C13231"/>
      <c r="J13231"/>
      <c r="K13231"/>
      <c r="L13231"/>
    </row>
    <row r="13232" spans="2:12" x14ac:dyDescent="0.2">
      <c r="B13232"/>
      <c r="C13232"/>
      <c r="J13232"/>
      <c r="K13232"/>
      <c r="L13232"/>
    </row>
    <row r="13233" spans="2:12" x14ac:dyDescent="0.2">
      <c r="B13233"/>
      <c r="C13233"/>
      <c r="J13233"/>
      <c r="K13233"/>
      <c r="L13233"/>
    </row>
    <row r="13234" spans="2:12" x14ac:dyDescent="0.2">
      <c r="B13234"/>
      <c r="C13234"/>
      <c r="J13234"/>
      <c r="K13234"/>
      <c r="L13234"/>
    </row>
    <row r="13235" spans="2:12" x14ac:dyDescent="0.2">
      <c r="B13235"/>
      <c r="C13235"/>
      <c r="J13235"/>
      <c r="K13235"/>
      <c r="L13235"/>
    </row>
    <row r="13236" spans="2:12" x14ac:dyDescent="0.2">
      <c r="B13236"/>
      <c r="C13236"/>
      <c r="J13236"/>
      <c r="K13236"/>
      <c r="L13236"/>
    </row>
    <row r="13237" spans="2:12" x14ac:dyDescent="0.2">
      <c r="B13237"/>
      <c r="C13237"/>
      <c r="J13237"/>
      <c r="K13237"/>
      <c r="L13237"/>
    </row>
    <row r="13238" spans="2:12" x14ac:dyDescent="0.2">
      <c r="B13238"/>
      <c r="C13238"/>
      <c r="J13238"/>
      <c r="K13238"/>
      <c r="L13238"/>
    </row>
    <row r="13239" spans="2:12" x14ac:dyDescent="0.2">
      <c r="B13239"/>
      <c r="C13239"/>
      <c r="J13239"/>
      <c r="K13239"/>
      <c r="L13239"/>
    </row>
    <row r="13240" spans="2:12" x14ac:dyDescent="0.2">
      <c r="B13240"/>
      <c r="C13240"/>
      <c r="J13240"/>
      <c r="K13240"/>
      <c r="L13240"/>
    </row>
    <row r="13241" spans="2:12" x14ac:dyDescent="0.2">
      <c r="B13241"/>
      <c r="C13241"/>
      <c r="J13241"/>
      <c r="K13241"/>
      <c r="L13241"/>
    </row>
    <row r="13242" spans="2:12" x14ac:dyDescent="0.2">
      <c r="B13242"/>
      <c r="C13242"/>
      <c r="J13242"/>
      <c r="K13242"/>
      <c r="L13242"/>
    </row>
    <row r="13243" spans="2:12" x14ac:dyDescent="0.2">
      <c r="B13243"/>
      <c r="C13243"/>
      <c r="J13243"/>
      <c r="K13243"/>
      <c r="L13243"/>
    </row>
    <row r="13244" spans="2:12" x14ac:dyDescent="0.2">
      <c r="B13244"/>
      <c r="C13244"/>
      <c r="J13244"/>
      <c r="K13244"/>
      <c r="L13244"/>
    </row>
    <row r="13245" spans="2:12" x14ac:dyDescent="0.2">
      <c r="B13245"/>
      <c r="C13245"/>
      <c r="J13245"/>
      <c r="K13245"/>
      <c r="L13245"/>
    </row>
    <row r="13246" spans="2:12" x14ac:dyDescent="0.2">
      <c r="B13246"/>
      <c r="C13246"/>
      <c r="J13246"/>
      <c r="K13246"/>
      <c r="L13246"/>
    </row>
    <row r="13247" spans="2:12" x14ac:dyDescent="0.2">
      <c r="B13247"/>
      <c r="C13247"/>
      <c r="J13247"/>
      <c r="K13247"/>
      <c r="L13247"/>
    </row>
    <row r="13248" spans="2:12" x14ac:dyDescent="0.2">
      <c r="B13248"/>
      <c r="C13248"/>
      <c r="J13248"/>
      <c r="K13248"/>
      <c r="L13248"/>
    </row>
    <row r="13249" spans="2:12" x14ac:dyDescent="0.2">
      <c r="B13249"/>
      <c r="C13249"/>
      <c r="J13249"/>
      <c r="K13249"/>
      <c r="L13249"/>
    </row>
    <row r="13250" spans="2:12" x14ac:dyDescent="0.2">
      <c r="B13250"/>
      <c r="C13250"/>
      <c r="J13250"/>
      <c r="K13250"/>
      <c r="L13250"/>
    </row>
    <row r="13251" spans="2:12" x14ac:dyDescent="0.2">
      <c r="B13251"/>
      <c r="C13251"/>
      <c r="J13251"/>
      <c r="K13251"/>
      <c r="L13251"/>
    </row>
    <row r="13252" spans="2:12" x14ac:dyDescent="0.2">
      <c r="B13252"/>
      <c r="C13252"/>
      <c r="J13252"/>
      <c r="K13252"/>
      <c r="L13252"/>
    </row>
    <row r="13253" spans="2:12" x14ac:dyDescent="0.2">
      <c r="B13253"/>
      <c r="C13253"/>
      <c r="J13253"/>
      <c r="K13253"/>
      <c r="L13253"/>
    </row>
    <row r="13254" spans="2:12" x14ac:dyDescent="0.2">
      <c r="B13254"/>
      <c r="C13254"/>
      <c r="J13254"/>
      <c r="K13254"/>
      <c r="L13254"/>
    </row>
    <row r="13255" spans="2:12" x14ac:dyDescent="0.2">
      <c r="B13255"/>
      <c r="C13255"/>
      <c r="J13255"/>
      <c r="K13255"/>
      <c r="L13255"/>
    </row>
    <row r="13256" spans="2:12" x14ac:dyDescent="0.2">
      <c r="B13256"/>
      <c r="C13256"/>
      <c r="J13256"/>
      <c r="K13256"/>
      <c r="L13256"/>
    </row>
    <row r="13257" spans="2:12" x14ac:dyDescent="0.2">
      <c r="B13257"/>
      <c r="C13257"/>
      <c r="J13257"/>
      <c r="K13257"/>
      <c r="L13257"/>
    </row>
    <row r="13258" spans="2:12" x14ac:dyDescent="0.2">
      <c r="B13258"/>
      <c r="C13258"/>
      <c r="J13258"/>
      <c r="K13258"/>
      <c r="L13258"/>
    </row>
    <row r="13259" spans="2:12" x14ac:dyDescent="0.2">
      <c r="B13259"/>
      <c r="C13259"/>
      <c r="J13259"/>
      <c r="K13259"/>
      <c r="L13259"/>
    </row>
    <row r="13260" spans="2:12" x14ac:dyDescent="0.2">
      <c r="B13260"/>
      <c r="C13260"/>
      <c r="J13260"/>
      <c r="K13260"/>
      <c r="L13260"/>
    </row>
    <row r="13261" spans="2:12" x14ac:dyDescent="0.2">
      <c r="B13261"/>
      <c r="C13261"/>
      <c r="J13261"/>
      <c r="K13261"/>
      <c r="L13261"/>
    </row>
    <row r="13262" spans="2:12" x14ac:dyDescent="0.2">
      <c r="B13262"/>
      <c r="C13262"/>
      <c r="J13262"/>
      <c r="K13262"/>
      <c r="L13262"/>
    </row>
    <row r="13263" spans="2:12" x14ac:dyDescent="0.2">
      <c r="B13263"/>
      <c r="C13263"/>
      <c r="J13263"/>
      <c r="K13263"/>
      <c r="L13263"/>
    </row>
    <row r="13264" spans="2:12" x14ac:dyDescent="0.2">
      <c r="B13264"/>
      <c r="C13264"/>
      <c r="J13264"/>
      <c r="K13264"/>
      <c r="L13264"/>
    </row>
    <row r="13265" spans="2:12" x14ac:dyDescent="0.2">
      <c r="B13265"/>
      <c r="C13265"/>
      <c r="J13265"/>
      <c r="K13265"/>
      <c r="L13265"/>
    </row>
    <row r="13266" spans="2:12" x14ac:dyDescent="0.2">
      <c r="B13266"/>
      <c r="C13266"/>
      <c r="J13266"/>
      <c r="K13266"/>
      <c r="L13266"/>
    </row>
    <row r="13267" spans="2:12" x14ac:dyDescent="0.2">
      <c r="B13267"/>
      <c r="C13267"/>
      <c r="J13267"/>
      <c r="K13267"/>
      <c r="L13267"/>
    </row>
    <row r="13268" spans="2:12" x14ac:dyDescent="0.2">
      <c r="B13268"/>
      <c r="C13268"/>
      <c r="J13268"/>
      <c r="K13268"/>
      <c r="L13268"/>
    </row>
    <row r="13269" spans="2:12" x14ac:dyDescent="0.2">
      <c r="B13269"/>
      <c r="C13269"/>
      <c r="J13269"/>
      <c r="K13269"/>
      <c r="L13269"/>
    </row>
    <row r="13270" spans="2:12" x14ac:dyDescent="0.2">
      <c r="B13270"/>
      <c r="C13270"/>
      <c r="J13270"/>
      <c r="K13270"/>
      <c r="L13270"/>
    </row>
    <row r="13271" spans="2:12" x14ac:dyDescent="0.2">
      <c r="B13271"/>
      <c r="C13271"/>
      <c r="J13271"/>
      <c r="K13271"/>
      <c r="L13271"/>
    </row>
    <row r="13272" spans="2:12" x14ac:dyDescent="0.2">
      <c r="B13272"/>
      <c r="C13272"/>
      <c r="J13272"/>
      <c r="K13272"/>
      <c r="L13272"/>
    </row>
    <row r="13273" spans="2:12" x14ac:dyDescent="0.2">
      <c r="B13273"/>
      <c r="C13273"/>
      <c r="J13273"/>
      <c r="K13273"/>
      <c r="L13273"/>
    </row>
    <row r="13274" spans="2:12" x14ac:dyDescent="0.2">
      <c r="B13274"/>
      <c r="C13274"/>
      <c r="J13274"/>
      <c r="K13274"/>
      <c r="L13274"/>
    </row>
    <row r="13275" spans="2:12" x14ac:dyDescent="0.2">
      <c r="B13275"/>
      <c r="C13275"/>
      <c r="J13275"/>
      <c r="K13275"/>
      <c r="L13275"/>
    </row>
    <row r="13276" spans="2:12" x14ac:dyDescent="0.2">
      <c r="B13276"/>
      <c r="C13276"/>
      <c r="J13276"/>
      <c r="K13276"/>
      <c r="L13276"/>
    </row>
    <row r="13277" spans="2:12" x14ac:dyDescent="0.2">
      <c r="B13277"/>
      <c r="C13277"/>
      <c r="J13277"/>
      <c r="K13277"/>
      <c r="L13277"/>
    </row>
    <row r="13278" spans="2:12" x14ac:dyDescent="0.2">
      <c r="B13278"/>
      <c r="C13278"/>
      <c r="J13278"/>
      <c r="K13278"/>
      <c r="L13278"/>
    </row>
    <row r="13279" spans="2:12" x14ac:dyDescent="0.2">
      <c r="B13279"/>
      <c r="C13279"/>
      <c r="J13279"/>
      <c r="K13279"/>
      <c r="L13279"/>
    </row>
    <row r="13280" spans="2:12" x14ac:dyDescent="0.2">
      <c r="B13280"/>
      <c r="C13280"/>
      <c r="J13280"/>
      <c r="K13280"/>
      <c r="L13280"/>
    </row>
    <row r="13281" spans="2:12" x14ac:dyDescent="0.2">
      <c r="B13281"/>
      <c r="C13281"/>
      <c r="J13281"/>
      <c r="K13281"/>
      <c r="L13281"/>
    </row>
    <row r="13282" spans="2:12" x14ac:dyDescent="0.2">
      <c r="B13282"/>
      <c r="C13282"/>
      <c r="J13282"/>
      <c r="K13282"/>
      <c r="L13282"/>
    </row>
    <row r="13283" spans="2:12" x14ac:dyDescent="0.2">
      <c r="B13283"/>
      <c r="C13283"/>
      <c r="J13283"/>
      <c r="K13283"/>
      <c r="L13283"/>
    </row>
    <row r="13284" spans="2:12" x14ac:dyDescent="0.2">
      <c r="B13284"/>
      <c r="C13284"/>
      <c r="J13284"/>
      <c r="K13284"/>
      <c r="L13284"/>
    </row>
    <row r="13285" spans="2:12" x14ac:dyDescent="0.2">
      <c r="B13285"/>
      <c r="C13285"/>
      <c r="J13285"/>
      <c r="K13285"/>
      <c r="L13285"/>
    </row>
    <row r="13286" spans="2:12" x14ac:dyDescent="0.2">
      <c r="B13286"/>
      <c r="C13286"/>
      <c r="J13286"/>
      <c r="K13286"/>
      <c r="L13286"/>
    </row>
    <row r="13287" spans="2:12" x14ac:dyDescent="0.2">
      <c r="B13287"/>
      <c r="C13287"/>
      <c r="J13287"/>
      <c r="K13287"/>
      <c r="L13287"/>
    </row>
    <row r="13288" spans="2:12" x14ac:dyDescent="0.2">
      <c r="B13288"/>
      <c r="C13288"/>
      <c r="J13288"/>
      <c r="K13288"/>
      <c r="L13288"/>
    </row>
    <row r="13289" spans="2:12" x14ac:dyDescent="0.2">
      <c r="B13289"/>
      <c r="C13289"/>
      <c r="J13289"/>
      <c r="K13289"/>
      <c r="L13289"/>
    </row>
    <row r="13290" spans="2:12" x14ac:dyDescent="0.2">
      <c r="B13290"/>
      <c r="C13290"/>
      <c r="J13290"/>
      <c r="K13290"/>
      <c r="L13290"/>
    </row>
    <row r="13291" spans="2:12" x14ac:dyDescent="0.2">
      <c r="B13291"/>
      <c r="C13291"/>
      <c r="J13291"/>
      <c r="K13291"/>
      <c r="L13291"/>
    </row>
    <row r="13292" spans="2:12" x14ac:dyDescent="0.2">
      <c r="B13292"/>
      <c r="C13292"/>
      <c r="J13292"/>
      <c r="K13292"/>
      <c r="L13292"/>
    </row>
    <row r="13293" spans="2:12" x14ac:dyDescent="0.2">
      <c r="B13293"/>
      <c r="C13293"/>
      <c r="J13293"/>
      <c r="K13293"/>
      <c r="L13293"/>
    </row>
    <row r="13294" spans="2:12" x14ac:dyDescent="0.2">
      <c r="B13294"/>
      <c r="C13294"/>
      <c r="J13294"/>
      <c r="K13294"/>
      <c r="L13294"/>
    </row>
    <row r="13295" spans="2:12" x14ac:dyDescent="0.2">
      <c r="B13295"/>
      <c r="C13295"/>
      <c r="J13295"/>
      <c r="K13295"/>
      <c r="L13295"/>
    </row>
    <row r="13296" spans="2:12" x14ac:dyDescent="0.2">
      <c r="B13296"/>
      <c r="C13296"/>
      <c r="J13296"/>
      <c r="K13296"/>
      <c r="L13296"/>
    </row>
    <row r="13297" spans="2:12" x14ac:dyDescent="0.2">
      <c r="B13297"/>
      <c r="C13297"/>
      <c r="J13297"/>
      <c r="K13297"/>
      <c r="L13297"/>
    </row>
    <row r="13298" spans="2:12" x14ac:dyDescent="0.2">
      <c r="B13298"/>
      <c r="C13298"/>
      <c r="J13298"/>
      <c r="K13298"/>
      <c r="L13298"/>
    </row>
    <row r="13299" spans="2:12" x14ac:dyDescent="0.2">
      <c r="B13299"/>
      <c r="C13299"/>
      <c r="J13299"/>
      <c r="K13299"/>
      <c r="L13299"/>
    </row>
    <row r="13300" spans="2:12" x14ac:dyDescent="0.2">
      <c r="B13300"/>
      <c r="C13300"/>
      <c r="J13300"/>
      <c r="K13300"/>
      <c r="L13300"/>
    </row>
    <row r="13301" spans="2:12" x14ac:dyDescent="0.2">
      <c r="B13301"/>
      <c r="C13301"/>
      <c r="J13301"/>
      <c r="K13301"/>
      <c r="L13301"/>
    </row>
    <row r="13302" spans="2:12" x14ac:dyDescent="0.2">
      <c r="B13302"/>
      <c r="C13302"/>
      <c r="J13302"/>
      <c r="K13302"/>
      <c r="L13302"/>
    </row>
    <row r="13303" spans="2:12" x14ac:dyDescent="0.2">
      <c r="B13303"/>
      <c r="C13303"/>
      <c r="J13303"/>
      <c r="K13303"/>
      <c r="L13303"/>
    </row>
    <row r="13304" spans="2:12" x14ac:dyDescent="0.2">
      <c r="B13304"/>
      <c r="C13304"/>
      <c r="J13304"/>
      <c r="K13304"/>
      <c r="L13304"/>
    </row>
    <row r="13305" spans="2:12" x14ac:dyDescent="0.2">
      <c r="B13305"/>
      <c r="C13305"/>
      <c r="J13305"/>
      <c r="K13305"/>
      <c r="L13305"/>
    </row>
    <row r="13306" spans="2:12" x14ac:dyDescent="0.2">
      <c r="B13306"/>
      <c r="C13306"/>
      <c r="J13306"/>
      <c r="K13306"/>
      <c r="L13306"/>
    </row>
    <row r="13307" spans="2:12" x14ac:dyDescent="0.2">
      <c r="B13307"/>
      <c r="C13307"/>
      <c r="J13307"/>
      <c r="K13307"/>
      <c r="L13307"/>
    </row>
    <row r="13308" spans="2:12" x14ac:dyDescent="0.2">
      <c r="B13308"/>
      <c r="C13308"/>
      <c r="J13308"/>
      <c r="K13308"/>
      <c r="L13308"/>
    </row>
    <row r="13309" spans="2:12" x14ac:dyDescent="0.2">
      <c r="B13309"/>
      <c r="C13309"/>
      <c r="J13309"/>
      <c r="K13309"/>
      <c r="L13309"/>
    </row>
    <row r="13310" spans="2:12" x14ac:dyDescent="0.2">
      <c r="B13310"/>
      <c r="C13310"/>
      <c r="J13310"/>
      <c r="K13310"/>
      <c r="L13310"/>
    </row>
    <row r="13311" spans="2:12" x14ac:dyDescent="0.2">
      <c r="B13311"/>
      <c r="C13311"/>
      <c r="J13311"/>
      <c r="K13311"/>
      <c r="L13311"/>
    </row>
    <row r="13312" spans="2:12" x14ac:dyDescent="0.2">
      <c r="B13312"/>
      <c r="C13312"/>
      <c r="J13312"/>
      <c r="K13312"/>
      <c r="L13312"/>
    </row>
    <row r="13313" spans="2:12" x14ac:dyDescent="0.2">
      <c r="B13313"/>
      <c r="C13313"/>
      <c r="J13313"/>
      <c r="K13313"/>
      <c r="L13313"/>
    </row>
    <row r="13314" spans="2:12" x14ac:dyDescent="0.2">
      <c r="B13314"/>
      <c r="C13314"/>
      <c r="J13314"/>
      <c r="K13314"/>
      <c r="L13314"/>
    </row>
    <row r="13315" spans="2:12" x14ac:dyDescent="0.2">
      <c r="B13315"/>
      <c r="C13315"/>
      <c r="J13315"/>
      <c r="K13315"/>
      <c r="L13315"/>
    </row>
    <row r="13316" spans="2:12" x14ac:dyDescent="0.2">
      <c r="B13316"/>
      <c r="C13316"/>
      <c r="J13316"/>
      <c r="K13316"/>
      <c r="L13316"/>
    </row>
    <row r="13317" spans="2:12" x14ac:dyDescent="0.2">
      <c r="B13317"/>
      <c r="C13317"/>
      <c r="J13317"/>
      <c r="K13317"/>
      <c r="L13317"/>
    </row>
    <row r="13318" spans="2:12" x14ac:dyDescent="0.2">
      <c r="B13318"/>
      <c r="C13318"/>
      <c r="J13318"/>
      <c r="K13318"/>
      <c r="L13318"/>
    </row>
    <row r="13319" spans="2:12" x14ac:dyDescent="0.2">
      <c r="B13319"/>
      <c r="C13319"/>
      <c r="J13319"/>
      <c r="K13319"/>
      <c r="L13319"/>
    </row>
    <row r="13320" spans="2:12" x14ac:dyDescent="0.2">
      <c r="B13320"/>
      <c r="C13320"/>
      <c r="J13320"/>
      <c r="K13320"/>
      <c r="L13320"/>
    </row>
    <row r="13321" spans="2:12" x14ac:dyDescent="0.2">
      <c r="B13321"/>
      <c r="C13321"/>
      <c r="J13321"/>
      <c r="K13321"/>
      <c r="L13321"/>
    </row>
    <row r="13322" spans="2:12" x14ac:dyDescent="0.2">
      <c r="B13322"/>
      <c r="C13322"/>
      <c r="J13322"/>
      <c r="K13322"/>
      <c r="L13322"/>
    </row>
    <row r="13323" spans="2:12" x14ac:dyDescent="0.2">
      <c r="B13323"/>
      <c r="C13323"/>
      <c r="J13323"/>
      <c r="K13323"/>
      <c r="L13323"/>
    </row>
    <row r="13324" spans="2:12" x14ac:dyDescent="0.2">
      <c r="B13324"/>
      <c r="C13324"/>
      <c r="J13324"/>
      <c r="K13324"/>
      <c r="L13324"/>
    </row>
    <row r="13325" spans="2:12" x14ac:dyDescent="0.2">
      <c r="B13325"/>
      <c r="C13325"/>
      <c r="J13325"/>
      <c r="K13325"/>
      <c r="L13325"/>
    </row>
    <row r="13326" spans="2:12" x14ac:dyDescent="0.2">
      <c r="B13326"/>
      <c r="C13326"/>
      <c r="J13326"/>
      <c r="K13326"/>
      <c r="L13326"/>
    </row>
    <row r="13327" spans="2:12" x14ac:dyDescent="0.2">
      <c r="B13327"/>
      <c r="C13327"/>
      <c r="J13327"/>
      <c r="K13327"/>
      <c r="L13327"/>
    </row>
    <row r="13328" spans="2:12" x14ac:dyDescent="0.2">
      <c r="B13328"/>
      <c r="C13328"/>
      <c r="J13328"/>
      <c r="K13328"/>
      <c r="L13328"/>
    </row>
    <row r="13329" spans="2:12" x14ac:dyDescent="0.2">
      <c r="B13329"/>
      <c r="C13329"/>
      <c r="J13329"/>
      <c r="K13329"/>
      <c r="L13329"/>
    </row>
    <row r="13330" spans="2:12" x14ac:dyDescent="0.2">
      <c r="B13330"/>
      <c r="C13330"/>
      <c r="J13330"/>
      <c r="K13330"/>
      <c r="L13330"/>
    </row>
    <row r="13331" spans="2:12" x14ac:dyDescent="0.2">
      <c r="B13331"/>
      <c r="C13331"/>
      <c r="J13331"/>
      <c r="K13331"/>
      <c r="L13331"/>
    </row>
    <row r="13332" spans="2:12" x14ac:dyDescent="0.2">
      <c r="B13332"/>
      <c r="C13332"/>
      <c r="J13332"/>
      <c r="K13332"/>
      <c r="L13332"/>
    </row>
    <row r="13333" spans="2:12" x14ac:dyDescent="0.2">
      <c r="B13333"/>
      <c r="C13333"/>
      <c r="J13333"/>
      <c r="K13333"/>
      <c r="L13333"/>
    </row>
    <row r="13334" spans="2:12" x14ac:dyDescent="0.2">
      <c r="B13334"/>
      <c r="C13334"/>
      <c r="J13334"/>
      <c r="K13334"/>
      <c r="L13334"/>
    </row>
    <row r="13335" spans="2:12" x14ac:dyDescent="0.2">
      <c r="B13335"/>
      <c r="C13335"/>
      <c r="J13335"/>
      <c r="K13335"/>
      <c r="L13335"/>
    </row>
    <row r="13336" spans="2:12" x14ac:dyDescent="0.2">
      <c r="B13336"/>
      <c r="C13336"/>
      <c r="J13336"/>
      <c r="K13336"/>
      <c r="L13336"/>
    </row>
    <row r="13337" spans="2:12" x14ac:dyDescent="0.2">
      <c r="B13337"/>
      <c r="C13337"/>
      <c r="J13337"/>
      <c r="K13337"/>
      <c r="L13337"/>
    </row>
    <row r="13338" spans="2:12" x14ac:dyDescent="0.2">
      <c r="B13338"/>
      <c r="C13338"/>
      <c r="J13338"/>
      <c r="K13338"/>
      <c r="L13338"/>
    </row>
    <row r="13339" spans="2:12" x14ac:dyDescent="0.2">
      <c r="B13339"/>
      <c r="C13339"/>
      <c r="J13339"/>
      <c r="K13339"/>
      <c r="L13339"/>
    </row>
    <row r="13340" spans="2:12" x14ac:dyDescent="0.2">
      <c r="B13340"/>
      <c r="C13340"/>
      <c r="J13340"/>
      <c r="K13340"/>
      <c r="L13340"/>
    </row>
    <row r="13341" spans="2:12" x14ac:dyDescent="0.2">
      <c r="B13341"/>
      <c r="C13341"/>
      <c r="J13341"/>
      <c r="K13341"/>
      <c r="L13341"/>
    </row>
    <row r="13342" spans="2:12" x14ac:dyDescent="0.2">
      <c r="B13342"/>
      <c r="C13342"/>
      <c r="J13342"/>
      <c r="K13342"/>
      <c r="L13342"/>
    </row>
    <row r="13343" spans="2:12" x14ac:dyDescent="0.2">
      <c r="B13343"/>
      <c r="C13343"/>
      <c r="J13343"/>
      <c r="K13343"/>
      <c r="L13343"/>
    </row>
    <row r="13344" spans="2:12" x14ac:dyDescent="0.2">
      <c r="B13344"/>
      <c r="C13344"/>
      <c r="J13344"/>
      <c r="K13344"/>
      <c r="L13344"/>
    </row>
    <row r="13345" spans="2:12" x14ac:dyDescent="0.2">
      <c r="B13345"/>
      <c r="C13345"/>
      <c r="J13345"/>
      <c r="K13345"/>
      <c r="L13345"/>
    </row>
    <row r="13346" spans="2:12" x14ac:dyDescent="0.2">
      <c r="B13346"/>
      <c r="C13346"/>
      <c r="J13346"/>
      <c r="K13346"/>
      <c r="L13346"/>
    </row>
    <row r="13347" spans="2:12" x14ac:dyDescent="0.2">
      <c r="B13347"/>
      <c r="C13347"/>
      <c r="J13347"/>
      <c r="K13347"/>
      <c r="L13347"/>
    </row>
    <row r="13348" spans="2:12" x14ac:dyDescent="0.2">
      <c r="B13348"/>
      <c r="C13348"/>
      <c r="J13348"/>
      <c r="K13348"/>
      <c r="L13348"/>
    </row>
    <row r="13349" spans="2:12" x14ac:dyDescent="0.2">
      <c r="B13349"/>
      <c r="C13349"/>
      <c r="J13349"/>
      <c r="K13349"/>
      <c r="L13349"/>
    </row>
    <row r="13350" spans="2:12" x14ac:dyDescent="0.2">
      <c r="B13350"/>
      <c r="C13350"/>
      <c r="J13350"/>
      <c r="K13350"/>
      <c r="L13350"/>
    </row>
    <row r="13351" spans="2:12" x14ac:dyDescent="0.2">
      <c r="B13351"/>
      <c r="C13351"/>
      <c r="J13351"/>
      <c r="K13351"/>
      <c r="L13351"/>
    </row>
    <row r="13352" spans="2:12" x14ac:dyDescent="0.2">
      <c r="B13352"/>
      <c r="C13352"/>
      <c r="J13352"/>
      <c r="K13352"/>
      <c r="L13352"/>
    </row>
    <row r="13353" spans="2:12" x14ac:dyDescent="0.2">
      <c r="B13353"/>
      <c r="C13353"/>
      <c r="J13353"/>
      <c r="K13353"/>
      <c r="L13353"/>
    </row>
    <row r="13354" spans="2:12" x14ac:dyDescent="0.2">
      <c r="B13354"/>
      <c r="C13354"/>
      <c r="J13354"/>
      <c r="K13354"/>
      <c r="L13354"/>
    </row>
    <row r="13355" spans="2:12" x14ac:dyDescent="0.2">
      <c r="B13355"/>
      <c r="C13355"/>
      <c r="J13355"/>
      <c r="K13355"/>
      <c r="L13355"/>
    </row>
    <row r="13356" spans="2:12" x14ac:dyDescent="0.2">
      <c r="B13356"/>
      <c r="C13356"/>
      <c r="J13356"/>
      <c r="K13356"/>
      <c r="L13356"/>
    </row>
    <row r="13357" spans="2:12" x14ac:dyDescent="0.2">
      <c r="B13357"/>
      <c r="C13357"/>
      <c r="J13357"/>
      <c r="K13357"/>
      <c r="L13357"/>
    </row>
    <row r="13358" spans="2:12" x14ac:dyDescent="0.2">
      <c r="B13358"/>
      <c r="C13358"/>
      <c r="J13358"/>
      <c r="K13358"/>
      <c r="L13358"/>
    </row>
    <row r="13359" spans="2:12" x14ac:dyDescent="0.2">
      <c r="B13359"/>
      <c r="C13359"/>
      <c r="J13359"/>
      <c r="K13359"/>
      <c r="L13359"/>
    </row>
    <row r="13360" spans="2:12" x14ac:dyDescent="0.2">
      <c r="B13360"/>
      <c r="C13360"/>
      <c r="J13360"/>
      <c r="K13360"/>
      <c r="L13360"/>
    </row>
    <row r="13361" spans="2:12" x14ac:dyDescent="0.2">
      <c r="B13361"/>
      <c r="C13361"/>
      <c r="J13361"/>
      <c r="K13361"/>
      <c r="L13361"/>
    </row>
    <row r="13362" spans="2:12" x14ac:dyDescent="0.2">
      <c r="B13362"/>
      <c r="C13362"/>
      <c r="J13362"/>
      <c r="K13362"/>
      <c r="L13362"/>
    </row>
    <row r="13363" spans="2:12" x14ac:dyDescent="0.2">
      <c r="B13363"/>
      <c r="C13363"/>
      <c r="J13363"/>
      <c r="K13363"/>
      <c r="L13363"/>
    </row>
    <row r="13364" spans="2:12" x14ac:dyDescent="0.2">
      <c r="B13364"/>
      <c r="C13364"/>
      <c r="J13364"/>
      <c r="K13364"/>
      <c r="L13364"/>
    </row>
    <row r="13365" spans="2:12" x14ac:dyDescent="0.2">
      <c r="B13365"/>
      <c r="C13365"/>
      <c r="J13365"/>
      <c r="K13365"/>
      <c r="L13365"/>
    </row>
    <row r="13366" spans="2:12" x14ac:dyDescent="0.2">
      <c r="B13366"/>
      <c r="C13366"/>
      <c r="J13366"/>
      <c r="K13366"/>
      <c r="L13366"/>
    </row>
    <row r="13367" spans="2:12" x14ac:dyDescent="0.2">
      <c r="B13367"/>
      <c r="C13367"/>
      <c r="J13367"/>
      <c r="K13367"/>
      <c r="L13367"/>
    </row>
    <row r="13368" spans="2:12" x14ac:dyDescent="0.2">
      <c r="B13368"/>
      <c r="C13368"/>
      <c r="J13368"/>
      <c r="K13368"/>
      <c r="L13368"/>
    </row>
    <row r="13369" spans="2:12" x14ac:dyDescent="0.2">
      <c r="B13369"/>
      <c r="C13369"/>
      <c r="J13369"/>
      <c r="K13369"/>
      <c r="L13369"/>
    </row>
    <row r="13370" spans="2:12" x14ac:dyDescent="0.2">
      <c r="B13370"/>
      <c r="C13370"/>
      <c r="J13370"/>
      <c r="K13370"/>
      <c r="L13370"/>
    </row>
    <row r="13371" spans="2:12" x14ac:dyDescent="0.2">
      <c r="B13371"/>
      <c r="C13371"/>
      <c r="J13371"/>
      <c r="K13371"/>
      <c r="L13371"/>
    </row>
    <row r="13372" spans="2:12" x14ac:dyDescent="0.2">
      <c r="B13372"/>
      <c r="C13372"/>
      <c r="J13372"/>
      <c r="K13372"/>
      <c r="L13372"/>
    </row>
    <row r="13373" spans="2:12" x14ac:dyDescent="0.2">
      <c r="B13373"/>
      <c r="C13373"/>
      <c r="J13373"/>
      <c r="K13373"/>
      <c r="L13373"/>
    </row>
    <row r="13374" spans="2:12" x14ac:dyDescent="0.2">
      <c r="B13374"/>
      <c r="C13374"/>
      <c r="J13374"/>
      <c r="K13374"/>
      <c r="L13374"/>
    </row>
    <row r="13375" spans="2:12" x14ac:dyDescent="0.2">
      <c r="B13375"/>
      <c r="C13375"/>
      <c r="J13375"/>
      <c r="K13375"/>
      <c r="L13375"/>
    </row>
    <row r="13376" spans="2:12" x14ac:dyDescent="0.2">
      <c r="B13376"/>
      <c r="C13376"/>
      <c r="J13376"/>
      <c r="K13376"/>
      <c r="L13376"/>
    </row>
    <row r="13377" spans="2:12" x14ac:dyDescent="0.2">
      <c r="B13377"/>
      <c r="C13377"/>
      <c r="J13377"/>
      <c r="K13377"/>
      <c r="L13377"/>
    </row>
    <row r="13378" spans="2:12" x14ac:dyDescent="0.2">
      <c r="B13378"/>
      <c r="C13378"/>
      <c r="J13378"/>
      <c r="K13378"/>
      <c r="L13378"/>
    </row>
    <row r="13379" spans="2:12" x14ac:dyDescent="0.2">
      <c r="B13379"/>
      <c r="C13379"/>
      <c r="J13379"/>
      <c r="K13379"/>
      <c r="L13379"/>
    </row>
    <row r="13380" spans="2:12" x14ac:dyDescent="0.2">
      <c r="B13380"/>
      <c r="C13380"/>
      <c r="J13380"/>
      <c r="K13380"/>
      <c r="L13380"/>
    </row>
    <row r="13381" spans="2:12" x14ac:dyDescent="0.2">
      <c r="B13381"/>
      <c r="C13381"/>
      <c r="J13381"/>
      <c r="K13381"/>
      <c r="L13381"/>
    </row>
    <row r="13382" spans="2:12" x14ac:dyDescent="0.2">
      <c r="B13382"/>
      <c r="C13382"/>
      <c r="J13382"/>
      <c r="K13382"/>
      <c r="L13382"/>
    </row>
    <row r="13383" spans="2:12" x14ac:dyDescent="0.2">
      <c r="B13383"/>
      <c r="C13383"/>
      <c r="J13383"/>
      <c r="K13383"/>
      <c r="L13383"/>
    </row>
    <row r="13384" spans="2:12" x14ac:dyDescent="0.2">
      <c r="B13384"/>
      <c r="C13384"/>
      <c r="J13384"/>
      <c r="K13384"/>
      <c r="L13384"/>
    </row>
    <row r="13385" spans="2:12" x14ac:dyDescent="0.2">
      <c r="B13385"/>
      <c r="C13385"/>
      <c r="J13385"/>
      <c r="K13385"/>
      <c r="L13385"/>
    </row>
    <row r="13386" spans="2:12" x14ac:dyDescent="0.2">
      <c r="B13386"/>
      <c r="C13386"/>
      <c r="J13386"/>
      <c r="K13386"/>
      <c r="L13386"/>
    </row>
    <row r="13387" spans="2:12" x14ac:dyDescent="0.2">
      <c r="B13387"/>
      <c r="C13387"/>
      <c r="J13387"/>
      <c r="K13387"/>
      <c r="L13387"/>
    </row>
    <row r="13388" spans="2:12" x14ac:dyDescent="0.2">
      <c r="B13388"/>
      <c r="C13388"/>
      <c r="J13388"/>
      <c r="K13388"/>
      <c r="L13388"/>
    </row>
    <row r="13389" spans="2:12" x14ac:dyDescent="0.2">
      <c r="B13389"/>
      <c r="C13389"/>
      <c r="J13389"/>
      <c r="K13389"/>
      <c r="L13389"/>
    </row>
    <row r="13390" spans="2:12" x14ac:dyDescent="0.2">
      <c r="B13390"/>
      <c r="C13390"/>
      <c r="J13390"/>
      <c r="K13390"/>
      <c r="L13390"/>
    </row>
    <row r="13391" spans="2:12" x14ac:dyDescent="0.2">
      <c r="B13391"/>
      <c r="C13391"/>
      <c r="J13391"/>
      <c r="K13391"/>
      <c r="L13391"/>
    </row>
    <row r="13392" spans="2:12" x14ac:dyDescent="0.2">
      <c r="B13392"/>
      <c r="C13392"/>
      <c r="J13392"/>
      <c r="K13392"/>
      <c r="L13392"/>
    </row>
    <row r="13393" spans="2:12" x14ac:dyDescent="0.2">
      <c r="B13393"/>
      <c r="C13393"/>
      <c r="J13393"/>
      <c r="K13393"/>
      <c r="L13393"/>
    </row>
    <row r="13394" spans="2:12" x14ac:dyDescent="0.2">
      <c r="B13394"/>
      <c r="C13394"/>
      <c r="J13394"/>
      <c r="K13394"/>
      <c r="L13394"/>
    </row>
    <row r="13395" spans="2:12" x14ac:dyDescent="0.2">
      <c r="B13395"/>
      <c r="C13395"/>
      <c r="J13395"/>
      <c r="K13395"/>
      <c r="L13395"/>
    </row>
    <row r="13396" spans="2:12" x14ac:dyDescent="0.2">
      <c r="B13396"/>
      <c r="C13396"/>
      <c r="J13396"/>
      <c r="K13396"/>
      <c r="L13396"/>
    </row>
    <row r="13397" spans="2:12" x14ac:dyDescent="0.2">
      <c r="B13397"/>
      <c r="C13397"/>
      <c r="J13397"/>
      <c r="K13397"/>
      <c r="L13397"/>
    </row>
    <row r="13398" spans="2:12" x14ac:dyDescent="0.2">
      <c r="B13398"/>
      <c r="C13398"/>
      <c r="J13398"/>
      <c r="K13398"/>
      <c r="L13398"/>
    </row>
    <row r="13399" spans="2:12" x14ac:dyDescent="0.2">
      <c r="B13399"/>
      <c r="C13399"/>
      <c r="J13399"/>
      <c r="K13399"/>
      <c r="L13399"/>
    </row>
    <row r="13400" spans="2:12" x14ac:dyDescent="0.2">
      <c r="B13400"/>
      <c r="C13400"/>
      <c r="J13400"/>
      <c r="K13400"/>
      <c r="L13400"/>
    </row>
    <row r="13401" spans="2:12" x14ac:dyDescent="0.2">
      <c r="B13401"/>
      <c r="C13401"/>
      <c r="J13401"/>
      <c r="K13401"/>
      <c r="L13401"/>
    </row>
    <row r="13402" spans="2:12" x14ac:dyDescent="0.2">
      <c r="B13402"/>
      <c r="C13402"/>
      <c r="J13402"/>
      <c r="K13402"/>
      <c r="L13402"/>
    </row>
    <row r="13403" spans="2:12" x14ac:dyDescent="0.2">
      <c r="B13403"/>
      <c r="C13403"/>
      <c r="J13403"/>
      <c r="K13403"/>
      <c r="L13403"/>
    </row>
    <row r="13404" spans="2:12" x14ac:dyDescent="0.2">
      <c r="B13404"/>
      <c r="C13404"/>
      <c r="J13404"/>
      <c r="K13404"/>
      <c r="L13404"/>
    </row>
    <row r="13405" spans="2:12" x14ac:dyDescent="0.2">
      <c r="B13405"/>
      <c r="C13405"/>
      <c r="J13405"/>
      <c r="K13405"/>
      <c r="L13405"/>
    </row>
    <row r="13406" spans="2:12" x14ac:dyDescent="0.2">
      <c r="B13406"/>
      <c r="C13406"/>
      <c r="J13406"/>
      <c r="K13406"/>
      <c r="L13406"/>
    </row>
    <row r="13407" spans="2:12" x14ac:dyDescent="0.2">
      <c r="B13407"/>
      <c r="C13407"/>
      <c r="J13407"/>
      <c r="K13407"/>
      <c r="L13407"/>
    </row>
    <row r="13408" spans="2:12" x14ac:dyDescent="0.2">
      <c r="B13408"/>
      <c r="C13408"/>
      <c r="J13408"/>
      <c r="K13408"/>
      <c r="L13408"/>
    </row>
    <row r="13409" spans="2:12" x14ac:dyDescent="0.2">
      <c r="B13409"/>
      <c r="C13409"/>
      <c r="J13409"/>
      <c r="K13409"/>
      <c r="L13409"/>
    </row>
    <row r="13410" spans="2:12" x14ac:dyDescent="0.2">
      <c r="B13410"/>
      <c r="C13410"/>
      <c r="J13410"/>
      <c r="K13410"/>
      <c r="L13410"/>
    </row>
    <row r="13411" spans="2:12" x14ac:dyDescent="0.2">
      <c r="B13411"/>
      <c r="C13411"/>
      <c r="J13411"/>
      <c r="K13411"/>
      <c r="L13411"/>
    </row>
    <row r="13412" spans="2:12" x14ac:dyDescent="0.2">
      <c r="B13412"/>
      <c r="C13412"/>
      <c r="J13412"/>
      <c r="K13412"/>
      <c r="L13412"/>
    </row>
    <row r="13413" spans="2:12" x14ac:dyDescent="0.2">
      <c r="B13413"/>
      <c r="C13413"/>
      <c r="J13413"/>
      <c r="K13413"/>
      <c r="L13413"/>
    </row>
    <row r="13414" spans="2:12" x14ac:dyDescent="0.2">
      <c r="B13414"/>
      <c r="C13414"/>
      <c r="J13414"/>
      <c r="K13414"/>
      <c r="L13414"/>
    </row>
    <row r="13415" spans="2:12" x14ac:dyDescent="0.2">
      <c r="B13415"/>
      <c r="C13415"/>
      <c r="J13415"/>
      <c r="K13415"/>
      <c r="L13415"/>
    </row>
    <row r="13416" spans="2:12" x14ac:dyDescent="0.2">
      <c r="B13416"/>
      <c r="C13416"/>
      <c r="J13416"/>
      <c r="K13416"/>
      <c r="L13416"/>
    </row>
    <row r="13417" spans="2:12" x14ac:dyDescent="0.2">
      <c r="B13417"/>
      <c r="C13417"/>
      <c r="J13417"/>
      <c r="K13417"/>
      <c r="L13417"/>
    </row>
    <row r="13418" spans="2:12" x14ac:dyDescent="0.2">
      <c r="B13418"/>
      <c r="C13418"/>
      <c r="J13418"/>
      <c r="K13418"/>
      <c r="L13418"/>
    </row>
    <row r="13419" spans="2:12" x14ac:dyDescent="0.2">
      <c r="B13419"/>
      <c r="C13419"/>
      <c r="J13419"/>
      <c r="K13419"/>
      <c r="L13419"/>
    </row>
    <row r="13420" spans="2:12" x14ac:dyDescent="0.2">
      <c r="B13420"/>
      <c r="C13420"/>
      <c r="J13420"/>
      <c r="K13420"/>
      <c r="L13420"/>
    </row>
    <row r="13421" spans="2:12" x14ac:dyDescent="0.2">
      <c r="B13421"/>
      <c r="C13421"/>
      <c r="J13421"/>
      <c r="K13421"/>
      <c r="L13421"/>
    </row>
    <row r="13422" spans="2:12" x14ac:dyDescent="0.2">
      <c r="B13422"/>
      <c r="C13422"/>
      <c r="J13422"/>
      <c r="K13422"/>
      <c r="L13422"/>
    </row>
    <row r="13423" spans="2:12" x14ac:dyDescent="0.2">
      <c r="B13423"/>
      <c r="C13423"/>
      <c r="J13423"/>
      <c r="K13423"/>
      <c r="L13423"/>
    </row>
    <row r="13424" spans="2:12" x14ac:dyDescent="0.2">
      <c r="B13424"/>
      <c r="C13424"/>
      <c r="J13424"/>
      <c r="K13424"/>
      <c r="L13424"/>
    </row>
    <row r="13425" spans="2:12" x14ac:dyDescent="0.2">
      <c r="B13425"/>
      <c r="C13425"/>
      <c r="J13425"/>
      <c r="K13425"/>
      <c r="L13425"/>
    </row>
    <row r="13426" spans="2:12" x14ac:dyDescent="0.2">
      <c r="B13426"/>
      <c r="C13426"/>
      <c r="J13426"/>
      <c r="K13426"/>
      <c r="L13426"/>
    </row>
    <row r="13427" spans="2:12" x14ac:dyDescent="0.2">
      <c r="B13427"/>
      <c r="C13427"/>
      <c r="J13427"/>
      <c r="K13427"/>
      <c r="L13427"/>
    </row>
    <row r="13428" spans="2:12" x14ac:dyDescent="0.2">
      <c r="B13428"/>
      <c r="C13428"/>
      <c r="J13428"/>
      <c r="K13428"/>
      <c r="L13428"/>
    </row>
    <row r="13429" spans="2:12" x14ac:dyDescent="0.2">
      <c r="B13429"/>
      <c r="C13429"/>
      <c r="J13429"/>
      <c r="K13429"/>
      <c r="L13429"/>
    </row>
    <row r="13430" spans="2:12" x14ac:dyDescent="0.2">
      <c r="B13430"/>
      <c r="C13430"/>
      <c r="J13430"/>
      <c r="K13430"/>
      <c r="L13430"/>
    </row>
    <row r="13431" spans="2:12" x14ac:dyDescent="0.2">
      <c r="B13431"/>
      <c r="C13431"/>
      <c r="J13431"/>
      <c r="K13431"/>
      <c r="L13431"/>
    </row>
    <row r="13432" spans="2:12" x14ac:dyDescent="0.2">
      <c r="B13432"/>
      <c r="C13432"/>
      <c r="J13432"/>
      <c r="K13432"/>
      <c r="L13432"/>
    </row>
    <row r="13433" spans="2:12" x14ac:dyDescent="0.2">
      <c r="B13433"/>
      <c r="C13433"/>
      <c r="J13433"/>
      <c r="K13433"/>
      <c r="L13433"/>
    </row>
    <row r="13434" spans="2:12" x14ac:dyDescent="0.2">
      <c r="B13434"/>
      <c r="C13434"/>
      <c r="J13434"/>
      <c r="K13434"/>
      <c r="L13434"/>
    </row>
    <row r="13435" spans="2:12" x14ac:dyDescent="0.2">
      <c r="B13435"/>
      <c r="C13435"/>
      <c r="J13435"/>
      <c r="K13435"/>
      <c r="L13435"/>
    </row>
    <row r="13436" spans="2:12" x14ac:dyDescent="0.2">
      <c r="B13436"/>
      <c r="C13436"/>
      <c r="J13436"/>
      <c r="K13436"/>
      <c r="L13436"/>
    </row>
    <row r="13437" spans="2:12" x14ac:dyDescent="0.2">
      <c r="B13437"/>
      <c r="C13437"/>
      <c r="J13437"/>
      <c r="K13437"/>
      <c r="L13437"/>
    </row>
    <row r="13438" spans="2:12" x14ac:dyDescent="0.2">
      <c r="B13438"/>
      <c r="C13438"/>
      <c r="J13438"/>
      <c r="K13438"/>
      <c r="L13438"/>
    </row>
    <row r="13439" spans="2:12" x14ac:dyDescent="0.2">
      <c r="B13439"/>
      <c r="C13439"/>
      <c r="J13439"/>
      <c r="K13439"/>
      <c r="L13439"/>
    </row>
    <row r="13440" spans="2:12" x14ac:dyDescent="0.2">
      <c r="B13440"/>
      <c r="C13440"/>
      <c r="J13440"/>
      <c r="K13440"/>
      <c r="L13440"/>
    </row>
    <row r="13441" spans="2:12" x14ac:dyDescent="0.2">
      <c r="B13441"/>
      <c r="C13441"/>
      <c r="J13441"/>
      <c r="K13441"/>
      <c r="L13441"/>
    </row>
    <row r="13442" spans="2:12" x14ac:dyDescent="0.2">
      <c r="B13442"/>
      <c r="C13442"/>
      <c r="J13442"/>
      <c r="K13442"/>
      <c r="L13442"/>
    </row>
    <row r="13443" spans="2:12" x14ac:dyDescent="0.2">
      <c r="B13443"/>
      <c r="C13443"/>
      <c r="J13443"/>
      <c r="K13443"/>
      <c r="L13443"/>
    </row>
    <row r="13444" spans="2:12" x14ac:dyDescent="0.2">
      <c r="B13444"/>
      <c r="C13444"/>
      <c r="J13444"/>
      <c r="K13444"/>
      <c r="L13444"/>
    </row>
    <row r="13445" spans="2:12" x14ac:dyDescent="0.2">
      <c r="B13445"/>
      <c r="C13445"/>
      <c r="J13445"/>
      <c r="K13445"/>
      <c r="L13445"/>
    </row>
    <row r="13446" spans="2:12" x14ac:dyDescent="0.2">
      <c r="B13446"/>
      <c r="C13446"/>
      <c r="J13446"/>
      <c r="K13446"/>
      <c r="L13446"/>
    </row>
    <row r="13447" spans="2:12" x14ac:dyDescent="0.2">
      <c r="B13447"/>
      <c r="C13447"/>
      <c r="J13447"/>
      <c r="K13447"/>
      <c r="L13447"/>
    </row>
    <row r="13448" spans="2:12" x14ac:dyDescent="0.2">
      <c r="B13448"/>
      <c r="C13448"/>
      <c r="J13448"/>
      <c r="K13448"/>
      <c r="L13448"/>
    </row>
    <row r="13449" spans="2:12" x14ac:dyDescent="0.2">
      <c r="B13449"/>
      <c r="C13449"/>
      <c r="J13449"/>
      <c r="K13449"/>
      <c r="L13449"/>
    </row>
    <row r="13450" spans="2:12" x14ac:dyDescent="0.2">
      <c r="B13450"/>
      <c r="C13450"/>
      <c r="J13450"/>
      <c r="K13450"/>
      <c r="L13450"/>
    </row>
    <row r="13451" spans="2:12" x14ac:dyDescent="0.2">
      <c r="B13451"/>
      <c r="C13451"/>
      <c r="J13451"/>
      <c r="K13451"/>
      <c r="L13451"/>
    </row>
    <row r="13452" spans="2:12" x14ac:dyDescent="0.2">
      <c r="B13452"/>
      <c r="C13452"/>
      <c r="J13452"/>
      <c r="K13452"/>
      <c r="L13452"/>
    </row>
    <row r="13453" spans="2:12" x14ac:dyDescent="0.2">
      <c r="B13453"/>
      <c r="C13453"/>
      <c r="J13453"/>
      <c r="K13453"/>
      <c r="L13453"/>
    </row>
    <row r="13454" spans="2:12" x14ac:dyDescent="0.2">
      <c r="B13454"/>
      <c r="C13454"/>
      <c r="J13454"/>
      <c r="K13454"/>
      <c r="L13454"/>
    </row>
    <row r="13455" spans="2:12" x14ac:dyDescent="0.2">
      <c r="B13455"/>
      <c r="C13455"/>
      <c r="J13455"/>
      <c r="K13455"/>
      <c r="L13455"/>
    </row>
    <row r="13456" spans="2:12" x14ac:dyDescent="0.2">
      <c r="B13456"/>
      <c r="C13456"/>
      <c r="J13456"/>
      <c r="K13456"/>
      <c r="L13456"/>
    </row>
    <row r="13457" spans="2:12" x14ac:dyDescent="0.2">
      <c r="B13457"/>
      <c r="C13457"/>
      <c r="J13457"/>
      <c r="K13457"/>
      <c r="L13457"/>
    </row>
    <row r="13458" spans="2:12" x14ac:dyDescent="0.2">
      <c r="B13458"/>
      <c r="C13458"/>
      <c r="J13458"/>
      <c r="K13458"/>
      <c r="L13458"/>
    </row>
    <row r="13459" spans="2:12" x14ac:dyDescent="0.2">
      <c r="B13459"/>
      <c r="C13459"/>
      <c r="J13459"/>
      <c r="K13459"/>
      <c r="L13459"/>
    </row>
    <row r="13460" spans="2:12" x14ac:dyDescent="0.2">
      <c r="B13460"/>
      <c r="C13460"/>
      <c r="J13460"/>
      <c r="K13460"/>
      <c r="L13460"/>
    </row>
    <row r="13461" spans="2:12" x14ac:dyDescent="0.2">
      <c r="B13461"/>
      <c r="C13461"/>
      <c r="J13461"/>
      <c r="K13461"/>
      <c r="L13461"/>
    </row>
    <row r="13462" spans="2:12" x14ac:dyDescent="0.2">
      <c r="B13462"/>
      <c r="C13462"/>
      <c r="J13462"/>
      <c r="K13462"/>
      <c r="L13462"/>
    </row>
    <row r="13463" spans="2:12" x14ac:dyDescent="0.2">
      <c r="B13463"/>
      <c r="C13463"/>
      <c r="J13463"/>
      <c r="K13463"/>
      <c r="L13463"/>
    </row>
    <row r="13464" spans="2:12" x14ac:dyDescent="0.2">
      <c r="B13464"/>
      <c r="C13464"/>
      <c r="J13464"/>
      <c r="K13464"/>
      <c r="L13464"/>
    </row>
    <row r="13465" spans="2:12" x14ac:dyDescent="0.2">
      <c r="B13465"/>
      <c r="C13465"/>
      <c r="J13465"/>
      <c r="K13465"/>
      <c r="L13465"/>
    </row>
    <row r="13466" spans="2:12" x14ac:dyDescent="0.2">
      <c r="B13466"/>
      <c r="C13466"/>
      <c r="J13466"/>
      <c r="K13466"/>
      <c r="L13466"/>
    </row>
    <row r="13467" spans="2:12" x14ac:dyDescent="0.2">
      <c r="B13467"/>
      <c r="C13467"/>
      <c r="J13467"/>
      <c r="K13467"/>
      <c r="L13467"/>
    </row>
    <row r="13468" spans="2:12" x14ac:dyDescent="0.2">
      <c r="B13468"/>
      <c r="C13468"/>
      <c r="J13468"/>
      <c r="K13468"/>
      <c r="L13468"/>
    </row>
    <row r="13469" spans="2:12" x14ac:dyDescent="0.2">
      <c r="B13469"/>
      <c r="C13469"/>
      <c r="J13469"/>
      <c r="K13469"/>
      <c r="L13469"/>
    </row>
    <row r="13470" spans="2:12" x14ac:dyDescent="0.2">
      <c r="B13470"/>
      <c r="C13470"/>
      <c r="J13470"/>
      <c r="K13470"/>
      <c r="L13470"/>
    </row>
    <row r="13471" spans="2:12" x14ac:dyDescent="0.2">
      <c r="B13471"/>
      <c r="C13471"/>
      <c r="J13471"/>
      <c r="K13471"/>
      <c r="L13471"/>
    </row>
    <row r="13472" spans="2:12" x14ac:dyDescent="0.2">
      <c r="B13472"/>
      <c r="C13472"/>
      <c r="J13472"/>
      <c r="K13472"/>
      <c r="L13472"/>
    </row>
    <row r="13473" spans="2:12" x14ac:dyDescent="0.2">
      <c r="B13473"/>
      <c r="C13473"/>
      <c r="J13473"/>
      <c r="K13473"/>
      <c r="L13473"/>
    </row>
    <row r="13474" spans="2:12" x14ac:dyDescent="0.2">
      <c r="B13474"/>
      <c r="C13474"/>
      <c r="J13474"/>
      <c r="K13474"/>
      <c r="L13474"/>
    </row>
    <row r="13475" spans="2:12" x14ac:dyDescent="0.2">
      <c r="B13475"/>
      <c r="C13475"/>
      <c r="J13475"/>
      <c r="K13475"/>
      <c r="L13475"/>
    </row>
    <row r="13476" spans="2:12" x14ac:dyDescent="0.2">
      <c r="B13476"/>
      <c r="C13476"/>
      <c r="J13476"/>
      <c r="K13476"/>
      <c r="L13476"/>
    </row>
    <row r="13477" spans="2:12" x14ac:dyDescent="0.2">
      <c r="B13477"/>
      <c r="C13477"/>
      <c r="J13477"/>
      <c r="K13477"/>
      <c r="L13477"/>
    </row>
    <row r="13478" spans="2:12" x14ac:dyDescent="0.2">
      <c r="B13478"/>
      <c r="C13478"/>
      <c r="J13478"/>
      <c r="K13478"/>
      <c r="L13478"/>
    </row>
    <row r="13479" spans="2:12" x14ac:dyDescent="0.2">
      <c r="B13479"/>
      <c r="C13479"/>
      <c r="J13479"/>
      <c r="K13479"/>
      <c r="L13479"/>
    </row>
    <row r="13480" spans="2:12" x14ac:dyDescent="0.2">
      <c r="B13480"/>
      <c r="C13480"/>
      <c r="J13480"/>
      <c r="K13480"/>
      <c r="L13480"/>
    </row>
    <row r="13481" spans="2:12" x14ac:dyDescent="0.2">
      <c r="B13481"/>
      <c r="C13481"/>
      <c r="J13481"/>
      <c r="K13481"/>
      <c r="L13481"/>
    </row>
    <row r="13482" spans="2:12" x14ac:dyDescent="0.2">
      <c r="B13482"/>
      <c r="C13482"/>
      <c r="J13482"/>
      <c r="K13482"/>
      <c r="L13482"/>
    </row>
    <row r="13483" spans="2:12" x14ac:dyDescent="0.2">
      <c r="B13483"/>
      <c r="C13483"/>
      <c r="J13483"/>
      <c r="K13483"/>
      <c r="L13483"/>
    </row>
    <row r="13484" spans="2:12" x14ac:dyDescent="0.2">
      <c r="B13484"/>
      <c r="C13484"/>
      <c r="J13484"/>
      <c r="K13484"/>
      <c r="L13484"/>
    </row>
    <row r="13485" spans="2:12" x14ac:dyDescent="0.2">
      <c r="B13485"/>
      <c r="C13485"/>
      <c r="J13485"/>
      <c r="K13485"/>
      <c r="L13485"/>
    </row>
    <row r="13486" spans="2:12" x14ac:dyDescent="0.2">
      <c r="B13486"/>
      <c r="C13486"/>
      <c r="J13486"/>
      <c r="K13486"/>
      <c r="L13486"/>
    </row>
    <row r="13487" spans="2:12" x14ac:dyDescent="0.2">
      <c r="B13487"/>
      <c r="C13487"/>
      <c r="J13487"/>
      <c r="K13487"/>
      <c r="L13487"/>
    </row>
    <row r="13488" spans="2:12" x14ac:dyDescent="0.2">
      <c r="B13488"/>
      <c r="C13488"/>
      <c r="J13488"/>
      <c r="K13488"/>
      <c r="L13488"/>
    </row>
    <row r="13489" spans="2:12" x14ac:dyDescent="0.2">
      <c r="B13489"/>
      <c r="C13489"/>
      <c r="J13489"/>
      <c r="K13489"/>
      <c r="L13489"/>
    </row>
    <row r="13490" spans="2:12" x14ac:dyDescent="0.2">
      <c r="B13490"/>
      <c r="C13490"/>
      <c r="J13490"/>
      <c r="K13490"/>
      <c r="L13490"/>
    </row>
    <row r="13491" spans="2:12" x14ac:dyDescent="0.2">
      <c r="B13491"/>
      <c r="C13491"/>
      <c r="J13491"/>
      <c r="K13491"/>
      <c r="L13491"/>
    </row>
    <row r="13492" spans="2:12" x14ac:dyDescent="0.2">
      <c r="B13492"/>
      <c r="C13492"/>
      <c r="J13492"/>
      <c r="K13492"/>
      <c r="L13492"/>
    </row>
    <row r="13493" spans="2:12" x14ac:dyDescent="0.2">
      <c r="B13493"/>
      <c r="C13493"/>
      <c r="J13493"/>
      <c r="K13493"/>
      <c r="L13493"/>
    </row>
    <row r="13494" spans="2:12" x14ac:dyDescent="0.2">
      <c r="B13494"/>
      <c r="C13494"/>
      <c r="J13494"/>
      <c r="K13494"/>
      <c r="L13494"/>
    </row>
    <row r="13495" spans="2:12" x14ac:dyDescent="0.2">
      <c r="B13495"/>
      <c r="C13495"/>
      <c r="J13495"/>
      <c r="K13495"/>
      <c r="L13495"/>
    </row>
    <row r="13496" spans="2:12" x14ac:dyDescent="0.2">
      <c r="B13496"/>
      <c r="C13496"/>
      <c r="J13496"/>
      <c r="K13496"/>
      <c r="L13496"/>
    </row>
    <row r="13497" spans="2:12" x14ac:dyDescent="0.2">
      <c r="B13497"/>
      <c r="C13497"/>
      <c r="J13497"/>
      <c r="K13497"/>
      <c r="L13497"/>
    </row>
    <row r="13498" spans="2:12" x14ac:dyDescent="0.2">
      <c r="B13498"/>
      <c r="C13498"/>
      <c r="J13498"/>
      <c r="K13498"/>
      <c r="L13498"/>
    </row>
    <row r="13499" spans="2:12" x14ac:dyDescent="0.2">
      <c r="B13499"/>
      <c r="C13499"/>
      <c r="J13499"/>
      <c r="K13499"/>
      <c r="L13499"/>
    </row>
    <row r="13500" spans="2:12" x14ac:dyDescent="0.2">
      <c r="B13500"/>
      <c r="C13500"/>
      <c r="J13500"/>
      <c r="K13500"/>
      <c r="L13500"/>
    </row>
    <row r="13501" spans="2:12" x14ac:dyDescent="0.2">
      <c r="B13501"/>
      <c r="C13501"/>
      <c r="J13501"/>
      <c r="K13501"/>
      <c r="L13501"/>
    </row>
    <row r="13502" spans="2:12" x14ac:dyDescent="0.2">
      <c r="B13502"/>
      <c r="C13502"/>
      <c r="J13502"/>
      <c r="K13502"/>
      <c r="L13502"/>
    </row>
    <row r="13503" spans="2:12" x14ac:dyDescent="0.2">
      <c r="B13503"/>
      <c r="C13503"/>
      <c r="J13503"/>
      <c r="K13503"/>
      <c r="L13503"/>
    </row>
    <row r="13504" spans="2:12" x14ac:dyDescent="0.2">
      <c r="B13504"/>
      <c r="C13504"/>
      <c r="J13504"/>
      <c r="K13504"/>
      <c r="L13504"/>
    </row>
    <row r="13505" spans="2:12" x14ac:dyDescent="0.2">
      <c r="B13505"/>
      <c r="C13505"/>
      <c r="J13505"/>
      <c r="K13505"/>
      <c r="L13505"/>
    </row>
    <row r="13506" spans="2:12" x14ac:dyDescent="0.2">
      <c r="B13506"/>
      <c r="C13506"/>
      <c r="J13506"/>
      <c r="K13506"/>
      <c r="L13506"/>
    </row>
    <row r="13507" spans="2:12" x14ac:dyDescent="0.2">
      <c r="B13507"/>
      <c r="C13507"/>
      <c r="J13507"/>
      <c r="K13507"/>
      <c r="L13507"/>
    </row>
    <row r="13508" spans="2:12" x14ac:dyDescent="0.2">
      <c r="B13508"/>
      <c r="C13508"/>
      <c r="J13508"/>
      <c r="K13508"/>
      <c r="L13508"/>
    </row>
    <row r="13509" spans="2:12" x14ac:dyDescent="0.2">
      <c r="B13509"/>
      <c r="C13509"/>
      <c r="J13509"/>
      <c r="K13509"/>
      <c r="L13509"/>
    </row>
    <row r="13510" spans="2:12" x14ac:dyDescent="0.2">
      <c r="B13510"/>
      <c r="C13510"/>
      <c r="J13510"/>
      <c r="K13510"/>
      <c r="L13510"/>
    </row>
    <row r="13511" spans="2:12" x14ac:dyDescent="0.2">
      <c r="B13511"/>
      <c r="C13511"/>
      <c r="J13511"/>
      <c r="K13511"/>
      <c r="L13511"/>
    </row>
    <row r="13512" spans="2:12" x14ac:dyDescent="0.2">
      <c r="B13512"/>
      <c r="C13512"/>
      <c r="J13512"/>
      <c r="K13512"/>
      <c r="L13512"/>
    </row>
    <row r="13513" spans="2:12" x14ac:dyDescent="0.2">
      <c r="B13513"/>
      <c r="C13513"/>
      <c r="J13513"/>
      <c r="K13513"/>
      <c r="L13513"/>
    </row>
    <row r="13514" spans="2:12" x14ac:dyDescent="0.2">
      <c r="B13514"/>
      <c r="C13514"/>
      <c r="J13514"/>
      <c r="K13514"/>
      <c r="L13514"/>
    </row>
    <row r="13515" spans="2:12" x14ac:dyDescent="0.2">
      <c r="B13515"/>
      <c r="C13515"/>
      <c r="J13515"/>
      <c r="K13515"/>
      <c r="L13515"/>
    </row>
    <row r="13516" spans="2:12" x14ac:dyDescent="0.2">
      <c r="B13516"/>
      <c r="C13516"/>
      <c r="J13516"/>
      <c r="K13516"/>
      <c r="L13516"/>
    </row>
    <row r="13517" spans="2:12" x14ac:dyDescent="0.2">
      <c r="B13517"/>
      <c r="C13517"/>
      <c r="J13517"/>
      <c r="K13517"/>
      <c r="L13517"/>
    </row>
    <row r="13518" spans="2:12" x14ac:dyDescent="0.2">
      <c r="B13518"/>
      <c r="C13518"/>
      <c r="J13518"/>
      <c r="K13518"/>
      <c r="L13518"/>
    </row>
    <row r="13519" spans="2:12" x14ac:dyDescent="0.2">
      <c r="B13519"/>
      <c r="C13519"/>
      <c r="J13519"/>
      <c r="K13519"/>
      <c r="L13519"/>
    </row>
    <row r="13520" spans="2:12" x14ac:dyDescent="0.2">
      <c r="B13520"/>
      <c r="C13520"/>
      <c r="J13520"/>
      <c r="K13520"/>
      <c r="L13520"/>
    </row>
    <row r="13521" spans="2:12" x14ac:dyDescent="0.2">
      <c r="B13521"/>
      <c r="C13521"/>
      <c r="J13521"/>
      <c r="K13521"/>
      <c r="L13521"/>
    </row>
    <row r="13522" spans="2:12" x14ac:dyDescent="0.2">
      <c r="B13522"/>
      <c r="C13522"/>
      <c r="J13522"/>
      <c r="K13522"/>
      <c r="L13522"/>
    </row>
    <row r="13523" spans="2:12" x14ac:dyDescent="0.2">
      <c r="B13523"/>
      <c r="C13523"/>
      <c r="J13523"/>
      <c r="K13523"/>
      <c r="L13523"/>
    </row>
    <row r="13524" spans="2:12" x14ac:dyDescent="0.2">
      <c r="B13524"/>
      <c r="C13524"/>
      <c r="J13524"/>
      <c r="K13524"/>
      <c r="L13524"/>
    </row>
    <row r="13525" spans="2:12" x14ac:dyDescent="0.2">
      <c r="B13525"/>
      <c r="C13525"/>
      <c r="J13525"/>
      <c r="K13525"/>
      <c r="L13525"/>
    </row>
    <row r="13526" spans="2:12" x14ac:dyDescent="0.2">
      <c r="B13526"/>
      <c r="C13526"/>
      <c r="J13526"/>
      <c r="K13526"/>
      <c r="L13526"/>
    </row>
    <row r="13527" spans="2:12" x14ac:dyDescent="0.2">
      <c r="B13527"/>
      <c r="C13527"/>
      <c r="J13527"/>
      <c r="K13527"/>
      <c r="L13527"/>
    </row>
    <row r="13528" spans="2:12" x14ac:dyDescent="0.2">
      <c r="B13528"/>
      <c r="C13528"/>
      <c r="J13528"/>
      <c r="K13528"/>
      <c r="L13528"/>
    </row>
    <row r="13529" spans="2:12" x14ac:dyDescent="0.2">
      <c r="B13529"/>
      <c r="C13529"/>
      <c r="J13529"/>
      <c r="K13529"/>
      <c r="L13529"/>
    </row>
    <row r="13530" spans="2:12" x14ac:dyDescent="0.2">
      <c r="B13530"/>
      <c r="C13530"/>
      <c r="J13530"/>
      <c r="K13530"/>
      <c r="L13530"/>
    </row>
    <row r="13531" spans="2:12" x14ac:dyDescent="0.2">
      <c r="B13531"/>
      <c r="C13531"/>
      <c r="J13531"/>
      <c r="K13531"/>
      <c r="L13531"/>
    </row>
    <row r="13532" spans="2:12" x14ac:dyDescent="0.2">
      <c r="B13532"/>
      <c r="C13532"/>
      <c r="J13532"/>
      <c r="K13532"/>
      <c r="L13532"/>
    </row>
    <row r="13533" spans="2:12" x14ac:dyDescent="0.2">
      <c r="B13533"/>
      <c r="C13533"/>
      <c r="J13533"/>
      <c r="K13533"/>
      <c r="L13533"/>
    </row>
    <row r="13534" spans="2:12" x14ac:dyDescent="0.2">
      <c r="B13534"/>
      <c r="C13534"/>
      <c r="J13534"/>
      <c r="K13534"/>
      <c r="L13534"/>
    </row>
    <row r="13535" spans="2:12" x14ac:dyDescent="0.2">
      <c r="B13535"/>
      <c r="C13535"/>
      <c r="J13535"/>
      <c r="K13535"/>
      <c r="L13535"/>
    </row>
    <row r="13536" spans="2:12" x14ac:dyDescent="0.2">
      <c r="B13536"/>
      <c r="C13536"/>
      <c r="J13536"/>
      <c r="K13536"/>
      <c r="L13536"/>
    </row>
    <row r="13537" spans="2:12" x14ac:dyDescent="0.2">
      <c r="B13537"/>
      <c r="C13537"/>
      <c r="J13537"/>
      <c r="K13537"/>
      <c r="L13537"/>
    </row>
    <row r="13538" spans="2:12" x14ac:dyDescent="0.2">
      <c r="B13538"/>
      <c r="C13538"/>
      <c r="J13538"/>
      <c r="K13538"/>
      <c r="L13538"/>
    </row>
    <row r="13539" spans="2:12" x14ac:dyDescent="0.2">
      <c r="B13539"/>
      <c r="C13539"/>
      <c r="J13539"/>
      <c r="K13539"/>
      <c r="L13539"/>
    </row>
    <row r="13540" spans="2:12" x14ac:dyDescent="0.2">
      <c r="B13540"/>
      <c r="C13540"/>
      <c r="J13540"/>
      <c r="K13540"/>
      <c r="L13540"/>
    </row>
    <row r="13541" spans="2:12" x14ac:dyDescent="0.2">
      <c r="B13541"/>
      <c r="C13541"/>
      <c r="J13541"/>
      <c r="K13541"/>
      <c r="L13541"/>
    </row>
    <row r="13542" spans="2:12" x14ac:dyDescent="0.2">
      <c r="B13542"/>
      <c r="C13542"/>
      <c r="J13542"/>
      <c r="K13542"/>
      <c r="L13542"/>
    </row>
    <row r="13543" spans="2:12" x14ac:dyDescent="0.2">
      <c r="B13543"/>
      <c r="C13543"/>
      <c r="J13543"/>
      <c r="K13543"/>
      <c r="L13543"/>
    </row>
    <row r="13544" spans="2:12" x14ac:dyDescent="0.2">
      <c r="B13544"/>
      <c r="C13544"/>
      <c r="J13544"/>
      <c r="K13544"/>
      <c r="L13544"/>
    </row>
    <row r="13545" spans="2:12" x14ac:dyDescent="0.2">
      <c r="B13545"/>
      <c r="C13545"/>
      <c r="J13545"/>
      <c r="K13545"/>
      <c r="L13545"/>
    </row>
    <row r="13546" spans="2:12" x14ac:dyDescent="0.2">
      <c r="B13546"/>
      <c r="C13546"/>
      <c r="J13546"/>
      <c r="K13546"/>
      <c r="L13546"/>
    </row>
    <row r="13547" spans="2:12" x14ac:dyDescent="0.2">
      <c r="B13547"/>
      <c r="C13547"/>
      <c r="J13547"/>
      <c r="K13547"/>
      <c r="L13547"/>
    </row>
    <row r="13548" spans="2:12" x14ac:dyDescent="0.2">
      <c r="B13548"/>
      <c r="C13548"/>
      <c r="J13548"/>
      <c r="K13548"/>
      <c r="L13548"/>
    </row>
    <row r="13549" spans="2:12" x14ac:dyDescent="0.2">
      <c r="B13549"/>
      <c r="C13549"/>
      <c r="J13549"/>
      <c r="K13549"/>
      <c r="L13549"/>
    </row>
    <row r="13550" spans="2:12" x14ac:dyDescent="0.2">
      <c r="B13550"/>
      <c r="C13550"/>
      <c r="J13550"/>
      <c r="K13550"/>
      <c r="L13550"/>
    </row>
    <row r="13551" spans="2:12" x14ac:dyDescent="0.2">
      <c r="B13551"/>
      <c r="C13551"/>
      <c r="J13551"/>
      <c r="K13551"/>
      <c r="L13551"/>
    </row>
    <row r="13552" spans="2:12" x14ac:dyDescent="0.2">
      <c r="B13552"/>
      <c r="C13552"/>
      <c r="J13552"/>
      <c r="K13552"/>
      <c r="L13552"/>
    </row>
    <row r="13553" spans="2:12" x14ac:dyDescent="0.2">
      <c r="B13553"/>
      <c r="C13553"/>
      <c r="J13553"/>
      <c r="K13553"/>
      <c r="L13553"/>
    </row>
    <row r="13554" spans="2:12" x14ac:dyDescent="0.2">
      <c r="B13554"/>
      <c r="C13554"/>
      <c r="J13554"/>
      <c r="K13554"/>
      <c r="L13554"/>
    </row>
    <row r="13555" spans="2:12" x14ac:dyDescent="0.2">
      <c r="B13555"/>
      <c r="C13555"/>
      <c r="J13555"/>
      <c r="K13555"/>
      <c r="L13555"/>
    </row>
    <row r="13556" spans="2:12" x14ac:dyDescent="0.2">
      <c r="B13556"/>
      <c r="C13556"/>
      <c r="J13556"/>
      <c r="K13556"/>
      <c r="L13556"/>
    </row>
    <row r="13557" spans="2:12" x14ac:dyDescent="0.2">
      <c r="B13557"/>
      <c r="C13557"/>
      <c r="J13557"/>
      <c r="K13557"/>
      <c r="L13557"/>
    </row>
    <row r="13558" spans="2:12" x14ac:dyDescent="0.2">
      <c r="B13558"/>
      <c r="C13558"/>
      <c r="J13558"/>
      <c r="K13558"/>
      <c r="L13558"/>
    </row>
    <row r="13559" spans="2:12" x14ac:dyDescent="0.2">
      <c r="B13559"/>
      <c r="C13559"/>
      <c r="J13559"/>
      <c r="K13559"/>
      <c r="L13559"/>
    </row>
    <row r="13560" spans="2:12" x14ac:dyDescent="0.2">
      <c r="B13560"/>
      <c r="C13560"/>
      <c r="J13560"/>
      <c r="K13560"/>
      <c r="L13560"/>
    </row>
    <row r="13561" spans="2:12" x14ac:dyDescent="0.2">
      <c r="B13561"/>
      <c r="C13561"/>
      <c r="J13561"/>
      <c r="K13561"/>
      <c r="L13561"/>
    </row>
    <row r="13562" spans="2:12" x14ac:dyDescent="0.2">
      <c r="B13562"/>
      <c r="C13562"/>
      <c r="J13562"/>
      <c r="K13562"/>
      <c r="L13562"/>
    </row>
    <row r="13563" spans="2:12" x14ac:dyDescent="0.2">
      <c r="B13563"/>
      <c r="C13563"/>
      <c r="J13563"/>
      <c r="K13563"/>
      <c r="L13563"/>
    </row>
    <row r="13564" spans="2:12" x14ac:dyDescent="0.2">
      <c r="B13564"/>
      <c r="C13564"/>
      <c r="J13564"/>
      <c r="K13564"/>
      <c r="L13564"/>
    </row>
    <row r="13565" spans="2:12" x14ac:dyDescent="0.2">
      <c r="B13565"/>
      <c r="C13565"/>
      <c r="J13565"/>
      <c r="K13565"/>
      <c r="L13565"/>
    </row>
    <row r="13566" spans="2:12" x14ac:dyDescent="0.2">
      <c r="B13566"/>
      <c r="C13566"/>
      <c r="J13566"/>
      <c r="K13566"/>
      <c r="L13566"/>
    </row>
    <row r="13567" spans="2:12" x14ac:dyDescent="0.2">
      <c r="B13567"/>
      <c r="C13567"/>
      <c r="J13567"/>
      <c r="K13567"/>
      <c r="L13567"/>
    </row>
    <row r="13568" spans="2:12" x14ac:dyDescent="0.2">
      <c r="B13568"/>
      <c r="C13568"/>
      <c r="J13568"/>
      <c r="K13568"/>
      <c r="L13568"/>
    </row>
    <row r="13569" spans="2:12" x14ac:dyDescent="0.2">
      <c r="B13569"/>
      <c r="C13569"/>
      <c r="J13569"/>
      <c r="K13569"/>
      <c r="L13569"/>
    </row>
    <row r="13570" spans="2:12" x14ac:dyDescent="0.2">
      <c r="B13570"/>
      <c r="C13570"/>
      <c r="J13570"/>
      <c r="K13570"/>
      <c r="L13570"/>
    </row>
    <row r="13571" spans="2:12" x14ac:dyDescent="0.2">
      <c r="B13571"/>
      <c r="C13571"/>
      <c r="J13571"/>
      <c r="K13571"/>
      <c r="L13571"/>
    </row>
    <row r="13572" spans="2:12" x14ac:dyDescent="0.2">
      <c r="B13572"/>
      <c r="C13572"/>
      <c r="J13572"/>
      <c r="K13572"/>
      <c r="L13572"/>
    </row>
    <row r="13573" spans="2:12" x14ac:dyDescent="0.2">
      <c r="B13573"/>
      <c r="C13573"/>
      <c r="J13573"/>
      <c r="K13573"/>
      <c r="L13573"/>
    </row>
    <row r="13574" spans="2:12" x14ac:dyDescent="0.2">
      <c r="B13574"/>
      <c r="C13574"/>
      <c r="J13574"/>
      <c r="K13574"/>
      <c r="L13574"/>
    </row>
    <row r="13575" spans="2:12" x14ac:dyDescent="0.2">
      <c r="B13575"/>
      <c r="C13575"/>
      <c r="J13575"/>
      <c r="K13575"/>
      <c r="L13575"/>
    </row>
    <row r="13576" spans="2:12" x14ac:dyDescent="0.2">
      <c r="B13576"/>
      <c r="C13576"/>
      <c r="J13576"/>
      <c r="K13576"/>
      <c r="L13576"/>
    </row>
    <row r="13577" spans="2:12" x14ac:dyDescent="0.2">
      <c r="B13577"/>
      <c r="C13577"/>
      <c r="J13577"/>
      <c r="K13577"/>
      <c r="L13577"/>
    </row>
    <row r="13578" spans="2:12" x14ac:dyDescent="0.2">
      <c r="B13578"/>
      <c r="C13578"/>
      <c r="J13578"/>
      <c r="K13578"/>
      <c r="L13578"/>
    </row>
    <row r="13579" spans="2:12" x14ac:dyDescent="0.2">
      <c r="B13579"/>
      <c r="C13579"/>
      <c r="J13579"/>
      <c r="K13579"/>
      <c r="L13579"/>
    </row>
    <row r="13580" spans="2:12" x14ac:dyDescent="0.2">
      <c r="B13580"/>
      <c r="C13580"/>
      <c r="J13580"/>
      <c r="K13580"/>
      <c r="L13580"/>
    </row>
    <row r="13581" spans="2:12" x14ac:dyDescent="0.2">
      <c r="B13581"/>
      <c r="C13581"/>
      <c r="J13581"/>
      <c r="K13581"/>
      <c r="L13581"/>
    </row>
    <row r="13582" spans="2:12" x14ac:dyDescent="0.2">
      <c r="B13582"/>
      <c r="C13582"/>
      <c r="J13582"/>
      <c r="K13582"/>
      <c r="L13582"/>
    </row>
    <row r="13583" spans="2:12" x14ac:dyDescent="0.2">
      <c r="B13583"/>
      <c r="C13583"/>
      <c r="J13583"/>
      <c r="K13583"/>
      <c r="L13583"/>
    </row>
    <row r="13584" spans="2:12" x14ac:dyDescent="0.2">
      <c r="B13584"/>
      <c r="C13584"/>
      <c r="J13584"/>
      <c r="K13584"/>
      <c r="L13584"/>
    </row>
    <row r="13585" spans="2:12" x14ac:dyDescent="0.2">
      <c r="B13585"/>
      <c r="C13585"/>
      <c r="J13585"/>
      <c r="K13585"/>
      <c r="L13585"/>
    </row>
    <row r="13586" spans="2:12" x14ac:dyDescent="0.2">
      <c r="B13586"/>
      <c r="C13586"/>
      <c r="J13586"/>
      <c r="K13586"/>
      <c r="L13586"/>
    </row>
    <row r="13587" spans="2:12" x14ac:dyDescent="0.2">
      <c r="B13587"/>
      <c r="C13587"/>
      <c r="J13587"/>
      <c r="K13587"/>
      <c r="L13587"/>
    </row>
    <row r="13588" spans="2:12" x14ac:dyDescent="0.2">
      <c r="B13588"/>
      <c r="C13588"/>
      <c r="J13588"/>
      <c r="K13588"/>
      <c r="L13588"/>
    </row>
    <row r="13589" spans="2:12" x14ac:dyDescent="0.2">
      <c r="B13589"/>
      <c r="C13589"/>
      <c r="J13589"/>
      <c r="K13589"/>
      <c r="L13589"/>
    </row>
    <row r="13590" spans="2:12" x14ac:dyDescent="0.2">
      <c r="B13590"/>
      <c r="C13590"/>
      <c r="J13590"/>
      <c r="K13590"/>
      <c r="L13590"/>
    </row>
    <row r="13591" spans="2:12" x14ac:dyDescent="0.2">
      <c r="B13591"/>
      <c r="C13591"/>
      <c r="J13591"/>
      <c r="K13591"/>
      <c r="L13591"/>
    </row>
    <row r="13592" spans="2:12" x14ac:dyDescent="0.2">
      <c r="B13592"/>
      <c r="C13592"/>
      <c r="J13592"/>
      <c r="K13592"/>
      <c r="L13592"/>
    </row>
    <row r="13593" spans="2:12" x14ac:dyDescent="0.2">
      <c r="B13593"/>
      <c r="C13593"/>
      <c r="J13593"/>
      <c r="K13593"/>
      <c r="L13593"/>
    </row>
    <row r="13594" spans="2:12" x14ac:dyDescent="0.2">
      <c r="B13594"/>
      <c r="C13594"/>
      <c r="J13594"/>
      <c r="K13594"/>
      <c r="L13594"/>
    </row>
    <row r="13595" spans="2:12" x14ac:dyDescent="0.2">
      <c r="B13595"/>
      <c r="C13595"/>
      <c r="J13595"/>
      <c r="K13595"/>
      <c r="L13595"/>
    </row>
    <row r="13596" spans="2:12" x14ac:dyDescent="0.2">
      <c r="B13596"/>
      <c r="C13596"/>
      <c r="J13596"/>
      <c r="K13596"/>
      <c r="L13596"/>
    </row>
    <row r="13597" spans="2:12" x14ac:dyDescent="0.2">
      <c r="B13597"/>
      <c r="C13597"/>
      <c r="J13597"/>
      <c r="K13597"/>
      <c r="L13597"/>
    </row>
    <row r="13598" spans="2:12" x14ac:dyDescent="0.2">
      <c r="B13598"/>
      <c r="C13598"/>
      <c r="J13598"/>
      <c r="K13598"/>
      <c r="L13598"/>
    </row>
    <row r="13599" spans="2:12" x14ac:dyDescent="0.2">
      <c r="B13599"/>
      <c r="C13599"/>
      <c r="J13599"/>
      <c r="K13599"/>
      <c r="L13599"/>
    </row>
    <row r="13600" spans="2:12" x14ac:dyDescent="0.2">
      <c r="B13600"/>
      <c r="C13600"/>
      <c r="J13600"/>
      <c r="K13600"/>
      <c r="L13600"/>
    </row>
    <row r="13601" spans="2:12" x14ac:dyDescent="0.2">
      <c r="B13601"/>
      <c r="C13601"/>
      <c r="J13601"/>
      <c r="K13601"/>
      <c r="L13601"/>
    </row>
    <row r="13602" spans="2:12" x14ac:dyDescent="0.2">
      <c r="B13602"/>
      <c r="C13602"/>
      <c r="J13602"/>
      <c r="K13602"/>
      <c r="L13602"/>
    </row>
    <row r="13603" spans="2:12" x14ac:dyDescent="0.2">
      <c r="B13603"/>
      <c r="C13603"/>
      <c r="J13603"/>
      <c r="K13603"/>
      <c r="L13603"/>
    </row>
    <row r="13604" spans="2:12" x14ac:dyDescent="0.2">
      <c r="B13604"/>
      <c r="C13604"/>
      <c r="J13604"/>
      <c r="K13604"/>
      <c r="L13604"/>
    </row>
    <row r="13605" spans="2:12" x14ac:dyDescent="0.2">
      <c r="B13605"/>
      <c r="C13605"/>
      <c r="J13605"/>
      <c r="K13605"/>
      <c r="L13605"/>
    </row>
    <row r="13606" spans="2:12" x14ac:dyDescent="0.2">
      <c r="B13606"/>
      <c r="C13606"/>
      <c r="J13606"/>
      <c r="K13606"/>
      <c r="L13606"/>
    </row>
    <row r="13607" spans="2:12" x14ac:dyDescent="0.2">
      <c r="B13607"/>
      <c r="C13607"/>
      <c r="J13607"/>
      <c r="K13607"/>
      <c r="L13607"/>
    </row>
    <row r="13608" spans="2:12" x14ac:dyDescent="0.2">
      <c r="B13608"/>
      <c r="C13608"/>
      <c r="J13608"/>
      <c r="K13608"/>
      <c r="L13608"/>
    </row>
    <row r="13609" spans="2:12" x14ac:dyDescent="0.2">
      <c r="B13609"/>
      <c r="C13609"/>
      <c r="J13609"/>
      <c r="K13609"/>
      <c r="L13609"/>
    </row>
    <row r="13610" spans="2:12" x14ac:dyDescent="0.2">
      <c r="B13610"/>
      <c r="C13610"/>
      <c r="J13610"/>
      <c r="K13610"/>
      <c r="L13610"/>
    </row>
    <row r="13611" spans="2:12" x14ac:dyDescent="0.2">
      <c r="B13611"/>
      <c r="C13611"/>
      <c r="J13611"/>
      <c r="K13611"/>
      <c r="L13611"/>
    </row>
    <row r="13612" spans="2:12" x14ac:dyDescent="0.2">
      <c r="B13612"/>
      <c r="C13612"/>
      <c r="J13612"/>
      <c r="K13612"/>
      <c r="L13612"/>
    </row>
    <row r="13613" spans="2:12" x14ac:dyDescent="0.2">
      <c r="B13613"/>
      <c r="C13613"/>
      <c r="J13613"/>
      <c r="K13613"/>
      <c r="L13613"/>
    </row>
    <row r="13614" spans="2:12" x14ac:dyDescent="0.2">
      <c r="B13614"/>
      <c r="C13614"/>
      <c r="J13614"/>
      <c r="K13614"/>
      <c r="L13614"/>
    </row>
    <row r="13615" spans="2:12" x14ac:dyDescent="0.2">
      <c r="B13615"/>
      <c r="C13615"/>
      <c r="J13615"/>
      <c r="K13615"/>
      <c r="L13615"/>
    </row>
    <row r="13616" spans="2:12" x14ac:dyDescent="0.2">
      <c r="B13616"/>
      <c r="C13616"/>
      <c r="J13616"/>
      <c r="K13616"/>
      <c r="L13616"/>
    </row>
    <row r="13617" spans="2:12" x14ac:dyDescent="0.2">
      <c r="B13617"/>
      <c r="C13617"/>
      <c r="J13617"/>
      <c r="K13617"/>
      <c r="L13617"/>
    </row>
    <row r="13618" spans="2:12" x14ac:dyDescent="0.2">
      <c r="B13618"/>
      <c r="C13618"/>
      <c r="J13618"/>
      <c r="K13618"/>
      <c r="L13618"/>
    </row>
    <row r="13619" spans="2:12" x14ac:dyDescent="0.2">
      <c r="B13619"/>
      <c r="C13619"/>
      <c r="J13619"/>
      <c r="K13619"/>
      <c r="L13619"/>
    </row>
    <row r="13620" spans="2:12" x14ac:dyDescent="0.2">
      <c r="B13620"/>
      <c r="C13620"/>
      <c r="J13620"/>
      <c r="K13620"/>
      <c r="L13620"/>
    </row>
    <row r="13621" spans="2:12" x14ac:dyDescent="0.2">
      <c r="B13621"/>
      <c r="C13621"/>
      <c r="J13621"/>
      <c r="K13621"/>
      <c r="L13621"/>
    </row>
    <row r="13622" spans="2:12" x14ac:dyDescent="0.2">
      <c r="B13622"/>
      <c r="C13622"/>
      <c r="J13622"/>
      <c r="K13622"/>
      <c r="L13622"/>
    </row>
    <row r="13623" spans="2:12" x14ac:dyDescent="0.2">
      <c r="B13623"/>
      <c r="C13623"/>
      <c r="J13623"/>
      <c r="K13623"/>
      <c r="L13623"/>
    </row>
    <row r="13624" spans="2:12" x14ac:dyDescent="0.2">
      <c r="B13624"/>
      <c r="C13624"/>
      <c r="J13624"/>
      <c r="K13624"/>
      <c r="L13624"/>
    </row>
    <row r="13625" spans="2:12" x14ac:dyDescent="0.2">
      <c r="B13625"/>
      <c r="C13625"/>
      <c r="J13625"/>
      <c r="K13625"/>
      <c r="L13625"/>
    </row>
    <row r="13626" spans="2:12" x14ac:dyDescent="0.2">
      <c r="B13626"/>
      <c r="C13626"/>
      <c r="J13626"/>
      <c r="K13626"/>
      <c r="L13626"/>
    </row>
    <row r="13627" spans="2:12" x14ac:dyDescent="0.2">
      <c r="B13627"/>
      <c r="C13627"/>
      <c r="J13627"/>
      <c r="K13627"/>
      <c r="L13627"/>
    </row>
    <row r="13628" spans="2:12" x14ac:dyDescent="0.2">
      <c r="B13628"/>
      <c r="C13628"/>
      <c r="J13628"/>
      <c r="K13628"/>
      <c r="L13628"/>
    </row>
    <row r="13629" spans="2:12" x14ac:dyDescent="0.2">
      <c r="B13629"/>
      <c r="C13629"/>
      <c r="J13629"/>
      <c r="K13629"/>
      <c r="L13629"/>
    </row>
    <row r="13630" spans="2:12" x14ac:dyDescent="0.2">
      <c r="B13630"/>
      <c r="C13630"/>
      <c r="J13630"/>
      <c r="K13630"/>
      <c r="L13630"/>
    </row>
    <row r="13631" spans="2:12" x14ac:dyDescent="0.2">
      <c r="B13631"/>
      <c r="C13631"/>
      <c r="J13631"/>
      <c r="K13631"/>
      <c r="L13631"/>
    </row>
    <row r="13632" spans="2:12" x14ac:dyDescent="0.2">
      <c r="B13632"/>
      <c r="C13632"/>
      <c r="J13632"/>
      <c r="K13632"/>
      <c r="L13632"/>
    </row>
    <row r="13633" spans="2:12" x14ac:dyDescent="0.2">
      <c r="B13633"/>
      <c r="C13633"/>
      <c r="J13633"/>
      <c r="K13633"/>
      <c r="L13633"/>
    </row>
    <row r="13634" spans="2:12" x14ac:dyDescent="0.2">
      <c r="B13634"/>
      <c r="C13634"/>
      <c r="J13634"/>
      <c r="K13634"/>
      <c r="L13634"/>
    </row>
    <row r="13635" spans="2:12" x14ac:dyDescent="0.2">
      <c r="B13635"/>
      <c r="C13635"/>
      <c r="J13635"/>
      <c r="K13635"/>
      <c r="L13635"/>
    </row>
    <row r="13636" spans="2:12" x14ac:dyDescent="0.2">
      <c r="B13636"/>
      <c r="C13636"/>
      <c r="J13636"/>
      <c r="K13636"/>
      <c r="L13636"/>
    </row>
    <row r="13637" spans="2:12" x14ac:dyDescent="0.2">
      <c r="B13637"/>
      <c r="C13637"/>
      <c r="J13637"/>
      <c r="K13637"/>
      <c r="L13637"/>
    </row>
    <row r="13638" spans="2:12" x14ac:dyDescent="0.2">
      <c r="B13638"/>
      <c r="C13638"/>
      <c r="J13638"/>
      <c r="K13638"/>
      <c r="L13638"/>
    </row>
    <row r="13639" spans="2:12" x14ac:dyDescent="0.2">
      <c r="B13639"/>
      <c r="C13639"/>
      <c r="J13639"/>
      <c r="K13639"/>
      <c r="L13639"/>
    </row>
    <row r="13640" spans="2:12" x14ac:dyDescent="0.2">
      <c r="B13640"/>
      <c r="C13640"/>
      <c r="J13640"/>
      <c r="K13640"/>
      <c r="L13640"/>
    </row>
    <row r="13641" spans="2:12" x14ac:dyDescent="0.2">
      <c r="B13641"/>
      <c r="C13641"/>
      <c r="J13641"/>
      <c r="K13641"/>
      <c r="L13641"/>
    </row>
    <row r="13642" spans="2:12" x14ac:dyDescent="0.2">
      <c r="B13642"/>
      <c r="C13642"/>
      <c r="J13642"/>
      <c r="K13642"/>
      <c r="L13642"/>
    </row>
    <row r="13643" spans="2:12" x14ac:dyDescent="0.2">
      <c r="B13643"/>
      <c r="C13643"/>
      <c r="J13643"/>
      <c r="K13643"/>
      <c r="L13643"/>
    </row>
    <row r="13644" spans="2:12" x14ac:dyDescent="0.2">
      <c r="B13644"/>
      <c r="C13644"/>
      <c r="J13644"/>
      <c r="K13644"/>
      <c r="L13644"/>
    </row>
    <row r="13645" spans="2:12" x14ac:dyDescent="0.2">
      <c r="B13645"/>
      <c r="C13645"/>
      <c r="J13645"/>
      <c r="K13645"/>
      <c r="L13645"/>
    </row>
    <row r="13646" spans="2:12" x14ac:dyDescent="0.2">
      <c r="B13646"/>
      <c r="C13646"/>
      <c r="J13646"/>
      <c r="K13646"/>
      <c r="L13646"/>
    </row>
    <row r="13647" spans="2:12" x14ac:dyDescent="0.2">
      <c r="B13647"/>
      <c r="C13647"/>
      <c r="J13647"/>
      <c r="K13647"/>
      <c r="L13647"/>
    </row>
    <row r="13648" spans="2:12" x14ac:dyDescent="0.2">
      <c r="B13648"/>
      <c r="C13648"/>
      <c r="J13648"/>
      <c r="K13648"/>
      <c r="L13648"/>
    </row>
    <row r="13649" spans="2:12" x14ac:dyDescent="0.2">
      <c r="B13649"/>
      <c r="C13649"/>
      <c r="J13649"/>
      <c r="K13649"/>
      <c r="L13649"/>
    </row>
    <row r="13650" spans="2:12" x14ac:dyDescent="0.2">
      <c r="B13650"/>
      <c r="C13650"/>
      <c r="J13650"/>
      <c r="K13650"/>
      <c r="L13650"/>
    </row>
    <row r="13651" spans="2:12" x14ac:dyDescent="0.2">
      <c r="B13651"/>
      <c r="C13651"/>
      <c r="J13651"/>
      <c r="K13651"/>
      <c r="L13651"/>
    </row>
    <row r="13652" spans="2:12" x14ac:dyDescent="0.2">
      <c r="B13652"/>
      <c r="C13652"/>
      <c r="J13652"/>
      <c r="K13652"/>
      <c r="L13652"/>
    </row>
    <row r="13653" spans="2:12" x14ac:dyDescent="0.2">
      <c r="B13653"/>
      <c r="C13653"/>
      <c r="J13653"/>
      <c r="K13653"/>
      <c r="L13653"/>
    </row>
    <row r="13654" spans="2:12" x14ac:dyDescent="0.2">
      <c r="B13654"/>
      <c r="C13654"/>
      <c r="J13654"/>
      <c r="K13654"/>
      <c r="L13654"/>
    </row>
    <row r="13655" spans="2:12" x14ac:dyDescent="0.2">
      <c r="B13655"/>
      <c r="C13655"/>
      <c r="J13655"/>
      <c r="K13655"/>
      <c r="L13655"/>
    </row>
    <row r="13656" spans="2:12" x14ac:dyDescent="0.2">
      <c r="B13656"/>
      <c r="C13656"/>
      <c r="J13656"/>
      <c r="K13656"/>
      <c r="L13656"/>
    </row>
    <row r="13657" spans="2:12" x14ac:dyDescent="0.2">
      <c r="B13657"/>
      <c r="C13657"/>
      <c r="J13657"/>
      <c r="K13657"/>
      <c r="L13657"/>
    </row>
    <row r="13658" spans="2:12" x14ac:dyDescent="0.2">
      <c r="B13658"/>
      <c r="C13658"/>
      <c r="J13658"/>
      <c r="K13658"/>
      <c r="L13658"/>
    </row>
    <row r="13659" spans="2:12" x14ac:dyDescent="0.2">
      <c r="B13659"/>
      <c r="C13659"/>
      <c r="J13659"/>
      <c r="K13659"/>
      <c r="L13659"/>
    </row>
    <row r="13660" spans="2:12" x14ac:dyDescent="0.2">
      <c r="B13660"/>
      <c r="C13660"/>
      <c r="J13660"/>
      <c r="K13660"/>
      <c r="L13660"/>
    </row>
    <row r="13661" spans="2:12" x14ac:dyDescent="0.2">
      <c r="B13661"/>
      <c r="C13661"/>
      <c r="J13661"/>
      <c r="K13661"/>
      <c r="L13661"/>
    </row>
    <row r="13662" spans="2:12" x14ac:dyDescent="0.2">
      <c r="B13662"/>
      <c r="C13662"/>
      <c r="J13662"/>
      <c r="K13662"/>
      <c r="L13662"/>
    </row>
    <row r="13663" spans="2:12" x14ac:dyDescent="0.2">
      <c r="B13663"/>
      <c r="C13663"/>
      <c r="J13663"/>
      <c r="K13663"/>
      <c r="L13663"/>
    </row>
    <row r="13664" spans="2:12" x14ac:dyDescent="0.2">
      <c r="B13664"/>
      <c r="C13664"/>
      <c r="J13664"/>
      <c r="K13664"/>
      <c r="L13664"/>
    </row>
    <row r="13665" spans="2:12" x14ac:dyDescent="0.2">
      <c r="B13665"/>
      <c r="C13665"/>
      <c r="J13665"/>
      <c r="K13665"/>
      <c r="L13665"/>
    </row>
    <row r="13666" spans="2:12" x14ac:dyDescent="0.2">
      <c r="B13666"/>
      <c r="C13666"/>
      <c r="J13666"/>
      <c r="K13666"/>
      <c r="L13666"/>
    </row>
    <row r="13667" spans="2:12" x14ac:dyDescent="0.2">
      <c r="B13667"/>
      <c r="C13667"/>
      <c r="J13667"/>
      <c r="K13667"/>
      <c r="L13667"/>
    </row>
    <row r="13668" spans="2:12" x14ac:dyDescent="0.2">
      <c r="B13668"/>
      <c r="C13668"/>
      <c r="J13668"/>
      <c r="K13668"/>
      <c r="L13668"/>
    </row>
    <row r="13669" spans="2:12" x14ac:dyDescent="0.2">
      <c r="B13669"/>
      <c r="C13669"/>
      <c r="J13669"/>
      <c r="K13669"/>
      <c r="L13669"/>
    </row>
    <row r="13670" spans="2:12" x14ac:dyDescent="0.2">
      <c r="B13670"/>
      <c r="C13670"/>
      <c r="J13670"/>
      <c r="K13670"/>
      <c r="L13670"/>
    </row>
    <row r="13671" spans="2:12" x14ac:dyDescent="0.2">
      <c r="B13671"/>
      <c r="C13671"/>
      <c r="J13671"/>
      <c r="K13671"/>
      <c r="L13671"/>
    </row>
    <row r="13672" spans="2:12" x14ac:dyDescent="0.2">
      <c r="B13672"/>
      <c r="C13672"/>
      <c r="J13672"/>
      <c r="K13672"/>
      <c r="L13672"/>
    </row>
    <row r="13673" spans="2:12" x14ac:dyDescent="0.2">
      <c r="B13673"/>
      <c r="C13673"/>
      <c r="J13673"/>
      <c r="K13673"/>
      <c r="L13673"/>
    </row>
    <row r="13674" spans="2:12" x14ac:dyDescent="0.2">
      <c r="B13674"/>
      <c r="C13674"/>
      <c r="J13674"/>
      <c r="K13674"/>
      <c r="L13674"/>
    </row>
    <row r="13675" spans="2:12" x14ac:dyDescent="0.2">
      <c r="B13675"/>
      <c r="C13675"/>
      <c r="J13675"/>
      <c r="K13675"/>
      <c r="L13675"/>
    </row>
    <row r="13676" spans="2:12" x14ac:dyDescent="0.2">
      <c r="B13676"/>
      <c r="C13676"/>
      <c r="J13676"/>
      <c r="K13676"/>
      <c r="L13676"/>
    </row>
    <row r="13677" spans="2:12" x14ac:dyDescent="0.2">
      <c r="B13677"/>
      <c r="C13677"/>
      <c r="J13677"/>
      <c r="K13677"/>
      <c r="L13677"/>
    </row>
    <row r="13678" spans="2:12" x14ac:dyDescent="0.2">
      <c r="B13678"/>
      <c r="C13678"/>
      <c r="J13678"/>
      <c r="K13678"/>
      <c r="L13678"/>
    </row>
    <row r="13679" spans="2:12" x14ac:dyDescent="0.2">
      <c r="B13679"/>
      <c r="C13679"/>
      <c r="J13679"/>
      <c r="K13679"/>
      <c r="L13679"/>
    </row>
    <row r="13680" spans="2:12" x14ac:dyDescent="0.2">
      <c r="B13680"/>
      <c r="C13680"/>
      <c r="J13680"/>
      <c r="K13680"/>
      <c r="L13680"/>
    </row>
    <row r="13681" spans="2:12" x14ac:dyDescent="0.2">
      <c r="B13681"/>
      <c r="C13681"/>
      <c r="J13681"/>
      <c r="K13681"/>
      <c r="L13681"/>
    </row>
    <row r="13682" spans="2:12" x14ac:dyDescent="0.2">
      <c r="B13682"/>
      <c r="C13682"/>
      <c r="J13682"/>
      <c r="K13682"/>
      <c r="L13682"/>
    </row>
    <row r="13683" spans="2:12" x14ac:dyDescent="0.2">
      <c r="B13683"/>
      <c r="C13683"/>
      <c r="J13683"/>
      <c r="K13683"/>
      <c r="L13683"/>
    </row>
    <row r="13684" spans="2:12" x14ac:dyDescent="0.2">
      <c r="B13684"/>
      <c r="C13684"/>
      <c r="J13684"/>
      <c r="K13684"/>
      <c r="L13684"/>
    </row>
    <row r="13685" spans="2:12" x14ac:dyDescent="0.2">
      <c r="B13685"/>
      <c r="C13685"/>
      <c r="J13685"/>
      <c r="K13685"/>
      <c r="L13685"/>
    </row>
    <row r="13686" spans="2:12" x14ac:dyDescent="0.2">
      <c r="B13686"/>
      <c r="C13686"/>
      <c r="J13686"/>
      <c r="K13686"/>
      <c r="L13686"/>
    </row>
    <row r="13687" spans="2:12" x14ac:dyDescent="0.2">
      <c r="B13687"/>
      <c r="C13687"/>
      <c r="J13687"/>
      <c r="K13687"/>
      <c r="L13687"/>
    </row>
    <row r="13688" spans="2:12" x14ac:dyDescent="0.2">
      <c r="B13688"/>
      <c r="C13688"/>
      <c r="J13688"/>
      <c r="K13688"/>
      <c r="L13688"/>
    </row>
    <row r="13689" spans="2:12" x14ac:dyDescent="0.2">
      <c r="B13689"/>
      <c r="C13689"/>
      <c r="J13689"/>
      <c r="K13689"/>
      <c r="L13689"/>
    </row>
    <row r="13690" spans="2:12" x14ac:dyDescent="0.2">
      <c r="B13690"/>
      <c r="C13690"/>
      <c r="J13690"/>
      <c r="K13690"/>
      <c r="L13690"/>
    </row>
    <row r="13691" spans="2:12" x14ac:dyDescent="0.2">
      <c r="B13691"/>
      <c r="C13691"/>
      <c r="J13691"/>
      <c r="K13691"/>
      <c r="L13691"/>
    </row>
    <row r="13692" spans="2:12" x14ac:dyDescent="0.2">
      <c r="B13692"/>
      <c r="C13692"/>
      <c r="J13692"/>
      <c r="K13692"/>
      <c r="L13692"/>
    </row>
    <row r="13693" spans="2:12" x14ac:dyDescent="0.2">
      <c r="B13693"/>
      <c r="C13693"/>
      <c r="J13693"/>
      <c r="K13693"/>
      <c r="L13693"/>
    </row>
    <row r="13694" spans="2:12" x14ac:dyDescent="0.2">
      <c r="B13694"/>
      <c r="C13694"/>
      <c r="J13694"/>
      <c r="K13694"/>
      <c r="L13694"/>
    </row>
    <row r="13695" spans="2:12" x14ac:dyDescent="0.2">
      <c r="B13695"/>
      <c r="C13695"/>
      <c r="J13695"/>
      <c r="K13695"/>
      <c r="L13695"/>
    </row>
    <row r="13696" spans="2:12" x14ac:dyDescent="0.2">
      <c r="B13696"/>
      <c r="C13696"/>
      <c r="J13696"/>
      <c r="K13696"/>
      <c r="L13696"/>
    </row>
    <row r="13697" spans="2:12" x14ac:dyDescent="0.2">
      <c r="B13697"/>
      <c r="C13697"/>
      <c r="J13697"/>
      <c r="K13697"/>
      <c r="L13697"/>
    </row>
    <row r="13698" spans="2:12" x14ac:dyDescent="0.2">
      <c r="B13698"/>
      <c r="C13698"/>
      <c r="J13698"/>
      <c r="K13698"/>
      <c r="L13698"/>
    </row>
    <row r="13699" spans="2:12" x14ac:dyDescent="0.2">
      <c r="B13699"/>
      <c r="C13699"/>
      <c r="J13699"/>
      <c r="K13699"/>
      <c r="L13699"/>
    </row>
    <row r="13700" spans="2:12" x14ac:dyDescent="0.2">
      <c r="B13700"/>
      <c r="C13700"/>
      <c r="J13700"/>
      <c r="K13700"/>
      <c r="L13700"/>
    </row>
    <row r="13701" spans="2:12" x14ac:dyDescent="0.2">
      <c r="B13701"/>
      <c r="C13701"/>
      <c r="J13701"/>
      <c r="K13701"/>
      <c r="L13701"/>
    </row>
    <row r="13702" spans="2:12" x14ac:dyDescent="0.2">
      <c r="B13702"/>
      <c r="C13702"/>
      <c r="J13702"/>
      <c r="K13702"/>
      <c r="L13702"/>
    </row>
    <row r="13703" spans="2:12" x14ac:dyDescent="0.2">
      <c r="B13703"/>
      <c r="C13703"/>
      <c r="J13703"/>
      <c r="K13703"/>
      <c r="L13703"/>
    </row>
    <row r="13704" spans="2:12" x14ac:dyDescent="0.2">
      <c r="B13704"/>
      <c r="C13704"/>
      <c r="J13704"/>
      <c r="K13704"/>
      <c r="L13704"/>
    </row>
    <row r="13705" spans="2:12" x14ac:dyDescent="0.2">
      <c r="B13705"/>
      <c r="C13705"/>
      <c r="J13705"/>
      <c r="K13705"/>
      <c r="L13705"/>
    </row>
    <row r="13706" spans="2:12" x14ac:dyDescent="0.2">
      <c r="B13706"/>
      <c r="C13706"/>
      <c r="J13706"/>
      <c r="K13706"/>
      <c r="L13706"/>
    </row>
    <row r="13707" spans="2:12" x14ac:dyDescent="0.2">
      <c r="B13707"/>
      <c r="C13707"/>
      <c r="J13707"/>
      <c r="K13707"/>
      <c r="L13707"/>
    </row>
    <row r="13708" spans="2:12" x14ac:dyDescent="0.2">
      <c r="B13708"/>
      <c r="C13708"/>
      <c r="J13708"/>
      <c r="K13708"/>
      <c r="L13708"/>
    </row>
    <row r="13709" spans="2:12" x14ac:dyDescent="0.2">
      <c r="B13709"/>
      <c r="C13709"/>
      <c r="J13709"/>
      <c r="K13709"/>
      <c r="L13709"/>
    </row>
    <row r="13710" spans="2:12" x14ac:dyDescent="0.2">
      <c r="B13710"/>
      <c r="C13710"/>
      <c r="J13710"/>
      <c r="K13710"/>
      <c r="L13710"/>
    </row>
    <row r="13711" spans="2:12" x14ac:dyDescent="0.2">
      <c r="B13711"/>
      <c r="C13711"/>
      <c r="J13711"/>
      <c r="K13711"/>
      <c r="L13711"/>
    </row>
    <row r="13712" spans="2:12" x14ac:dyDescent="0.2">
      <c r="B13712"/>
      <c r="C13712"/>
      <c r="J13712"/>
      <c r="K13712"/>
      <c r="L13712"/>
    </row>
    <row r="13713" spans="2:12" x14ac:dyDescent="0.2">
      <c r="B13713"/>
      <c r="C13713"/>
      <c r="J13713"/>
      <c r="K13713"/>
      <c r="L13713"/>
    </row>
    <row r="13714" spans="2:12" x14ac:dyDescent="0.2">
      <c r="B13714"/>
      <c r="C13714"/>
      <c r="J13714"/>
      <c r="K13714"/>
      <c r="L13714"/>
    </row>
    <row r="13715" spans="2:12" x14ac:dyDescent="0.2">
      <c r="B13715"/>
      <c r="C13715"/>
      <c r="J13715"/>
      <c r="K13715"/>
      <c r="L13715"/>
    </row>
    <row r="13716" spans="2:12" x14ac:dyDescent="0.2">
      <c r="B13716"/>
      <c r="C13716"/>
      <c r="J13716"/>
      <c r="K13716"/>
      <c r="L13716"/>
    </row>
    <row r="13717" spans="2:12" x14ac:dyDescent="0.2">
      <c r="B13717"/>
      <c r="C13717"/>
      <c r="J13717"/>
      <c r="K13717"/>
      <c r="L13717"/>
    </row>
    <row r="13718" spans="2:12" x14ac:dyDescent="0.2">
      <c r="B13718"/>
      <c r="C13718"/>
      <c r="J13718"/>
      <c r="K13718"/>
      <c r="L13718"/>
    </row>
    <row r="13719" spans="2:12" x14ac:dyDescent="0.2">
      <c r="B13719"/>
      <c r="C13719"/>
      <c r="J13719"/>
      <c r="K13719"/>
      <c r="L13719"/>
    </row>
    <row r="13720" spans="2:12" x14ac:dyDescent="0.2">
      <c r="B13720"/>
      <c r="C13720"/>
      <c r="J13720"/>
      <c r="K13720"/>
      <c r="L13720"/>
    </row>
    <row r="13721" spans="2:12" x14ac:dyDescent="0.2">
      <c r="B13721"/>
      <c r="C13721"/>
      <c r="J13721"/>
      <c r="K13721"/>
      <c r="L13721"/>
    </row>
    <row r="13722" spans="2:12" x14ac:dyDescent="0.2">
      <c r="B13722"/>
      <c r="C13722"/>
      <c r="J13722"/>
      <c r="K13722"/>
      <c r="L13722"/>
    </row>
    <row r="13723" spans="2:12" x14ac:dyDescent="0.2">
      <c r="B13723"/>
      <c r="C13723"/>
      <c r="J13723"/>
      <c r="K13723"/>
      <c r="L13723"/>
    </row>
    <row r="13724" spans="2:12" x14ac:dyDescent="0.2">
      <c r="B13724"/>
      <c r="C13724"/>
      <c r="J13724"/>
      <c r="K13724"/>
      <c r="L13724"/>
    </row>
    <row r="13725" spans="2:12" x14ac:dyDescent="0.2">
      <c r="B13725"/>
      <c r="C13725"/>
      <c r="J13725"/>
      <c r="K13725"/>
      <c r="L13725"/>
    </row>
    <row r="13726" spans="2:12" x14ac:dyDescent="0.2">
      <c r="B13726"/>
      <c r="C13726"/>
      <c r="J13726"/>
      <c r="K13726"/>
      <c r="L13726"/>
    </row>
    <row r="13727" spans="2:12" x14ac:dyDescent="0.2">
      <c r="B13727"/>
      <c r="C13727"/>
      <c r="J13727"/>
      <c r="K13727"/>
      <c r="L13727"/>
    </row>
    <row r="13728" spans="2:12" x14ac:dyDescent="0.2">
      <c r="B13728"/>
      <c r="C13728"/>
      <c r="J13728"/>
      <c r="K13728"/>
      <c r="L13728"/>
    </row>
    <row r="13729" spans="2:12" x14ac:dyDescent="0.2">
      <c r="B13729"/>
      <c r="C13729"/>
      <c r="J13729"/>
      <c r="K13729"/>
      <c r="L13729"/>
    </row>
    <row r="13730" spans="2:12" x14ac:dyDescent="0.2">
      <c r="B13730"/>
      <c r="C13730"/>
      <c r="J13730"/>
      <c r="K13730"/>
      <c r="L13730"/>
    </row>
    <row r="13731" spans="2:12" x14ac:dyDescent="0.2">
      <c r="B13731"/>
      <c r="C13731"/>
      <c r="J13731"/>
      <c r="K13731"/>
      <c r="L13731"/>
    </row>
    <row r="13732" spans="2:12" x14ac:dyDescent="0.2">
      <c r="B13732"/>
      <c r="C13732"/>
      <c r="J13732"/>
      <c r="K13732"/>
      <c r="L13732"/>
    </row>
    <row r="13733" spans="2:12" x14ac:dyDescent="0.2">
      <c r="B13733"/>
      <c r="C13733"/>
      <c r="J13733"/>
      <c r="K13733"/>
      <c r="L13733"/>
    </row>
    <row r="13734" spans="2:12" x14ac:dyDescent="0.2">
      <c r="B13734"/>
      <c r="C13734"/>
      <c r="J13734"/>
      <c r="K13734"/>
      <c r="L13734"/>
    </row>
    <row r="13735" spans="2:12" x14ac:dyDescent="0.2">
      <c r="B13735"/>
      <c r="C13735"/>
      <c r="J13735"/>
      <c r="K13735"/>
      <c r="L13735"/>
    </row>
    <row r="13736" spans="2:12" x14ac:dyDescent="0.2">
      <c r="B13736"/>
      <c r="C13736"/>
      <c r="J13736"/>
      <c r="K13736"/>
      <c r="L13736"/>
    </row>
    <row r="13737" spans="2:12" x14ac:dyDescent="0.2">
      <c r="B13737"/>
      <c r="C13737"/>
      <c r="J13737"/>
      <c r="K13737"/>
      <c r="L13737"/>
    </row>
    <row r="13738" spans="2:12" x14ac:dyDescent="0.2">
      <c r="B13738"/>
      <c r="C13738"/>
      <c r="J13738"/>
      <c r="K13738"/>
      <c r="L13738"/>
    </row>
    <row r="13739" spans="2:12" x14ac:dyDescent="0.2">
      <c r="B13739"/>
      <c r="C13739"/>
      <c r="J13739"/>
      <c r="K13739"/>
      <c r="L13739"/>
    </row>
    <row r="13740" spans="2:12" x14ac:dyDescent="0.2">
      <c r="B13740"/>
      <c r="C13740"/>
      <c r="J13740"/>
      <c r="K13740"/>
      <c r="L13740"/>
    </row>
    <row r="13741" spans="2:12" x14ac:dyDescent="0.2">
      <c r="B13741"/>
      <c r="C13741"/>
      <c r="J13741"/>
      <c r="K13741"/>
      <c r="L13741"/>
    </row>
    <row r="13742" spans="2:12" x14ac:dyDescent="0.2">
      <c r="B13742"/>
      <c r="C13742"/>
      <c r="J13742"/>
      <c r="K13742"/>
      <c r="L13742"/>
    </row>
    <row r="13743" spans="2:12" x14ac:dyDescent="0.2">
      <c r="B13743"/>
      <c r="C13743"/>
      <c r="J13743"/>
      <c r="K13743"/>
      <c r="L13743"/>
    </row>
    <row r="13744" spans="2:12" x14ac:dyDescent="0.2">
      <c r="B13744"/>
      <c r="C13744"/>
      <c r="J13744"/>
      <c r="K13744"/>
      <c r="L13744"/>
    </row>
    <row r="13745" spans="2:12" x14ac:dyDescent="0.2">
      <c r="B13745"/>
      <c r="C13745"/>
      <c r="J13745"/>
      <c r="K13745"/>
      <c r="L13745"/>
    </row>
    <row r="13746" spans="2:12" x14ac:dyDescent="0.2">
      <c r="B13746"/>
      <c r="C13746"/>
      <c r="J13746"/>
      <c r="K13746"/>
      <c r="L13746"/>
    </row>
    <row r="13747" spans="2:12" x14ac:dyDescent="0.2">
      <c r="B13747"/>
      <c r="C13747"/>
      <c r="J13747"/>
      <c r="K13747"/>
      <c r="L13747"/>
    </row>
    <row r="13748" spans="2:12" x14ac:dyDescent="0.2">
      <c r="B13748"/>
      <c r="C13748"/>
      <c r="J13748"/>
      <c r="K13748"/>
      <c r="L13748"/>
    </row>
    <row r="13749" spans="2:12" x14ac:dyDescent="0.2">
      <c r="B13749"/>
      <c r="C13749"/>
      <c r="J13749"/>
      <c r="K13749"/>
      <c r="L13749"/>
    </row>
    <row r="13750" spans="2:12" x14ac:dyDescent="0.2">
      <c r="B13750"/>
      <c r="C13750"/>
      <c r="J13750"/>
      <c r="K13750"/>
      <c r="L13750"/>
    </row>
    <row r="13751" spans="2:12" x14ac:dyDescent="0.2">
      <c r="B13751"/>
      <c r="C13751"/>
      <c r="J13751"/>
      <c r="K13751"/>
      <c r="L13751"/>
    </row>
    <row r="13752" spans="2:12" x14ac:dyDescent="0.2">
      <c r="B13752"/>
      <c r="C13752"/>
      <c r="J13752"/>
      <c r="K13752"/>
      <c r="L13752"/>
    </row>
    <row r="13753" spans="2:12" x14ac:dyDescent="0.2">
      <c r="B13753"/>
      <c r="C13753"/>
      <c r="J13753"/>
      <c r="K13753"/>
      <c r="L13753"/>
    </row>
    <row r="13754" spans="2:12" x14ac:dyDescent="0.2">
      <c r="B13754"/>
      <c r="C13754"/>
      <c r="J13754"/>
      <c r="K13754"/>
      <c r="L13754"/>
    </row>
    <row r="13755" spans="2:12" x14ac:dyDescent="0.2">
      <c r="B13755"/>
      <c r="C13755"/>
      <c r="J13755"/>
      <c r="K13755"/>
      <c r="L13755"/>
    </row>
    <row r="13756" spans="2:12" x14ac:dyDescent="0.2">
      <c r="B13756"/>
      <c r="C13756"/>
      <c r="J13756"/>
      <c r="K13756"/>
      <c r="L13756"/>
    </row>
    <row r="13757" spans="2:12" x14ac:dyDescent="0.2">
      <c r="B13757"/>
      <c r="C13757"/>
      <c r="J13757"/>
      <c r="K13757"/>
      <c r="L13757"/>
    </row>
    <row r="13758" spans="2:12" x14ac:dyDescent="0.2">
      <c r="B13758"/>
      <c r="C13758"/>
      <c r="J13758"/>
      <c r="K13758"/>
      <c r="L13758"/>
    </row>
    <row r="13759" spans="2:12" x14ac:dyDescent="0.2">
      <c r="B13759"/>
      <c r="C13759"/>
      <c r="J13759"/>
      <c r="K13759"/>
      <c r="L13759"/>
    </row>
    <row r="13760" spans="2:12" x14ac:dyDescent="0.2">
      <c r="B13760"/>
      <c r="C13760"/>
      <c r="J13760"/>
      <c r="K13760"/>
      <c r="L13760"/>
    </row>
    <row r="13761" spans="2:12" x14ac:dyDescent="0.2">
      <c r="B13761"/>
      <c r="C13761"/>
      <c r="J13761"/>
      <c r="K13761"/>
      <c r="L13761"/>
    </row>
    <row r="13762" spans="2:12" x14ac:dyDescent="0.2">
      <c r="B13762"/>
      <c r="C13762"/>
      <c r="J13762"/>
      <c r="K13762"/>
      <c r="L13762"/>
    </row>
    <row r="13763" spans="2:12" x14ac:dyDescent="0.2">
      <c r="B13763"/>
      <c r="C13763"/>
      <c r="J13763"/>
      <c r="K13763"/>
      <c r="L13763"/>
    </row>
    <row r="13764" spans="2:12" x14ac:dyDescent="0.2">
      <c r="B13764"/>
      <c r="C13764"/>
      <c r="J13764"/>
      <c r="K13764"/>
      <c r="L13764"/>
    </row>
    <row r="13765" spans="2:12" x14ac:dyDescent="0.2">
      <c r="B13765"/>
      <c r="C13765"/>
      <c r="J13765"/>
      <c r="K13765"/>
      <c r="L13765"/>
    </row>
    <row r="13766" spans="2:12" x14ac:dyDescent="0.2">
      <c r="B13766"/>
      <c r="C13766"/>
      <c r="J13766"/>
      <c r="K13766"/>
      <c r="L13766"/>
    </row>
    <row r="13767" spans="2:12" x14ac:dyDescent="0.2">
      <c r="B13767"/>
      <c r="C13767"/>
      <c r="J13767"/>
      <c r="K13767"/>
      <c r="L13767"/>
    </row>
    <row r="13768" spans="2:12" x14ac:dyDescent="0.2">
      <c r="B13768"/>
      <c r="C13768"/>
      <c r="J13768"/>
      <c r="K13768"/>
      <c r="L13768"/>
    </row>
    <row r="13769" spans="2:12" x14ac:dyDescent="0.2">
      <c r="B13769"/>
      <c r="C13769"/>
      <c r="J13769"/>
      <c r="K13769"/>
      <c r="L13769"/>
    </row>
    <row r="13770" spans="2:12" x14ac:dyDescent="0.2">
      <c r="B13770"/>
      <c r="C13770"/>
      <c r="J13770"/>
      <c r="K13770"/>
      <c r="L13770"/>
    </row>
    <row r="13771" spans="2:12" x14ac:dyDescent="0.2">
      <c r="B13771"/>
      <c r="C13771"/>
      <c r="J13771"/>
      <c r="K13771"/>
      <c r="L13771"/>
    </row>
    <row r="13772" spans="2:12" x14ac:dyDescent="0.2">
      <c r="B13772"/>
      <c r="C13772"/>
      <c r="J13772"/>
      <c r="K13772"/>
      <c r="L13772"/>
    </row>
    <row r="13773" spans="2:12" x14ac:dyDescent="0.2">
      <c r="B13773"/>
      <c r="C13773"/>
      <c r="J13773"/>
      <c r="K13773"/>
      <c r="L13773"/>
    </row>
    <row r="13774" spans="2:12" x14ac:dyDescent="0.2">
      <c r="B13774"/>
      <c r="C13774"/>
      <c r="J13774"/>
      <c r="K13774"/>
      <c r="L13774"/>
    </row>
    <row r="13775" spans="2:12" x14ac:dyDescent="0.2">
      <c r="B13775"/>
      <c r="C13775"/>
      <c r="J13775"/>
      <c r="K13775"/>
      <c r="L13775"/>
    </row>
    <row r="13776" spans="2:12" x14ac:dyDescent="0.2">
      <c r="B13776"/>
      <c r="C13776"/>
      <c r="J13776"/>
      <c r="K13776"/>
      <c r="L13776"/>
    </row>
    <row r="13777" spans="2:12" x14ac:dyDescent="0.2">
      <c r="B13777"/>
      <c r="C13777"/>
      <c r="J13777"/>
      <c r="K13777"/>
      <c r="L13777"/>
    </row>
    <row r="13778" spans="2:12" x14ac:dyDescent="0.2">
      <c r="B13778"/>
      <c r="C13778"/>
      <c r="J13778"/>
      <c r="K13778"/>
      <c r="L13778"/>
    </row>
    <row r="13779" spans="2:12" x14ac:dyDescent="0.2">
      <c r="B13779"/>
      <c r="C13779"/>
      <c r="J13779"/>
      <c r="K13779"/>
      <c r="L13779"/>
    </row>
    <row r="13780" spans="2:12" x14ac:dyDescent="0.2">
      <c r="B13780"/>
      <c r="C13780"/>
      <c r="J13780"/>
      <c r="K13780"/>
      <c r="L13780"/>
    </row>
    <row r="13781" spans="2:12" x14ac:dyDescent="0.2">
      <c r="B13781"/>
      <c r="C13781"/>
      <c r="J13781"/>
      <c r="K13781"/>
      <c r="L13781"/>
    </row>
    <row r="13782" spans="2:12" x14ac:dyDescent="0.2">
      <c r="B13782"/>
      <c r="C13782"/>
      <c r="J13782"/>
      <c r="K13782"/>
      <c r="L13782"/>
    </row>
    <row r="13783" spans="2:12" x14ac:dyDescent="0.2">
      <c r="B13783"/>
      <c r="C13783"/>
      <c r="J13783"/>
      <c r="K13783"/>
      <c r="L13783"/>
    </row>
    <row r="13784" spans="2:12" x14ac:dyDescent="0.2">
      <c r="B13784"/>
      <c r="C13784"/>
      <c r="J13784"/>
      <c r="K13784"/>
      <c r="L13784"/>
    </row>
    <row r="13785" spans="2:12" x14ac:dyDescent="0.2">
      <c r="B13785"/>
      <c r="C13785"/>
      <c r="J13785"/>
      <c r="K13785"/>
      <c r="L13785"/>
    </row>
    <row r="13786" spans="2:12" x14ac:dyDescent="0.2">
      <c r="B13786"/>
      <c r="C13786"/>
      <c r="J13786"/>
      <c r="K13786"/>
      <c r="L13786"/>
    </row>
    <row r="13787" spans="2:12" x14ac:dyDescent="0.2">
      <c r="B13787"/>
      <c r="C13787"/>
      <c r="J13787"/>
      <c r="K13787"/>
      <c r="L13787"/>
    </row>
    <row r="13788" spans="2:12" x14ac:dyDescent="0.2">
      <c r="B13788"/>
      <c r="C13788"/>
      <c r="J13788"/>
      <c r="K13788"/>
      <c r="L13788"/>
    </row>
    <row r="13789" spans="2:12" x14ac:dyDescent="0.2">
      <c r="B13789"/>
      <c r="C13789"/>
      <c r="J13789"/>
      <c r="K13789"/>
      <c r="L13789"/>
    </row>
    <row r="13790" spans="2:12" x14ac:dyDescent="0.2">
      <c r="B13790"/>
      <c r="C13790"/>
      <c r="J13790"/>
      <c r="K13790"/>
      <c r="L13790"/>
    </row>
    <row r="13791" spans="2:12" x14ac:dyDescent="0.2">
      <c r="B13791"/>
      <c r="C13791"/>
      <c r="J13791"/>
      <c r="K13791"/>
      <c r="L13791"/>
    </row>
    <row r="13792" spans="2:12" x14ac:dyDescent="0.2">
      <c r="B13792"/>
      <c r="C13792"/>
      <c r="J13792"/>
      <c r="K13792"/>
      <c r="L13792"/>
    </row>
    <row r="13793" spans="2:12" x14ac:dyDescent="0.2">
      <c r="B13793"/>
      <c r="C13793"/>
      <c r="J13793"/>
      <c r="K13793"/>
      <c r="L13793"/>
    </row>
    <row r="13794" spans="2:12" x14ac:dyDescent="0.2">
      <c r="B13794"/>
      <c r="C13794"/>
      <c r="J13794"/>
      <c r="K13794"/>
      <c r="L13794"/>
    </row>
    <row r="13795" spans="2:12" x14ac:dyDescent="0.2">
      <c r="B13795"/>
      <c r="C13795"/>
      <c r="J13795"/>
      <c r="K13795"/>
      <c r="L13795"/>
    </row>
    <row r="13796" spans="2:12" x14ac:dyDescent="0.2">
      <c r="B13796"/>
      <c r="C13796"/>
      <c r="J13796"/>
      <c r="K13796"/>
      <c r="L13796"/>
    </row>
    <row r="13797" spans="2:12" x14ac:dyDescent="0.2">
      <c r="B13797"/>
      <c r="C13797"/>
      <c r="J13797"/>
      <c r="K13797"/>
      <c r="L13797"/>
    </row>
    <row r="13798" spans="2:12" x14ac:dyDescent="0.2">
      <c r="B13798"/>
      <c r="C13798"/>
      <c r="J13798"/>
      <c r="K13798"/>
      <c r="L13798"/>
    </row>
    <row r="13799" spans="2:12" x14ac:dyDescent="0.2">
      <c r="B13799"/>
      <c r="C13799"/>
      <c r="J13799"/>
      <c r="K13799"/>
      <c r="L13799"/>
    </row>
    <row r="13800" spans="2:12" x14ac:dyDescent="0.2">
      <c r="B13800"/>
      <c r="C13800"/>
      <c r="J13800"/>
      <c r="K13800"/>
      <c r="L13800"/>
    </row>
    <row r="13801" spans="2:12" x14ac:dyDescent="0.2">
      <c r="B13801"/>
      <c r="C13801"/>
      <c r="J13801"/>
      <c r="K13801"/>
      <c r="L13801"/>
    </row>
    <row r="13802" spans="2:12" x14ac:dyDescent="0.2">
      <c r="B13802"/>
      <c r="C13802"/>
      <c r="J13802"/>
      <c r="K13802"/>
      <c r="L13802"/>
    </row>
    <row r="13803" spans="2:12" x14ac:dyDescent="0.2">
      <c r="B13803"/>
      <c r="C13803"/>
      <c r="J13803"/>
      <c r="K13803"/>
      <c r="L13803"/>
    </row>
    <row r="13804" spans="2:12" x14ac:dyDescent="0.2">
      <c r="B13804"/>
      <c r="C13804"/>
      <c r="J13804"/>
      <c r="K13804"/>
      <c r="L13804"/>
    </row>
    <row r="13805" spans="2:12" x14ac:dyDescent="0.2">
      <c r="B13805"/>
      <c r="C13805"/>
      <c r="J13805"/>
      <c r="K13805"/>
      <c r="L13805"/>
    </row>
    <row r="13806" spans="2:12" x14ac:dyDescent="0.2">
      <c r="B13806"/>
      <c r="C13806"/>
      <c r="J13806"/>
      <c r="K13806"/>
      <c r="L13806"/>
    </row>
    <row r="13807" spans="2:12" x14ac:dyDescent="0.2">
      <c r="B13807"/>
      <c r="C13807"/>
      <c r="J13807"/>
      <c r="K13807"/>
      <c r="L13807"/>
    </row>
    <row r="13808" spans="2:12" x14ac:dyDescent="0.2">
      <c r="B13808"/>
      <c r="C13808"/>
      <c r="J13808"/>
      <c r="K13808"/>
      <c r="L13808"/>
    </row>
    <row r="13809" spans="2:12" x14ac:dyDescent="0.2">
      <c r="B13809"/>
      <c r="C13809"/>
      <c r="J13809"/>
      <c r="K13809"/>
      <c r="L13809"/>
    </row>
    <row r="13810" spans="2:12" x14ac:dyDescent="0.2">
      <c r="B13810"/>
      <c r="C13810"/>
      <c r="J13810"/>
      <c r="K13810"/>
      <c r="L13810"/>
    </row>
    <row r="13811" spans="2:12" x14ac:dyDescent="0.2">
      <c r="B13811"/>
      <c r="C13811"/>
      <c r="J13811"/>
      <c r="K13811"/>
      <c r="L13811"/>
    </row>
    <row r="13812" spans="2:12" x14ac:dyDescent="0.2">
      <c r="B13812"/>
      <c r="C13812"/>
      <c r="J13812"/>
      <c r="K13812"/>
      <c r="L13812"/>
    </row>
    <row r="13813" spans="2:12" x14ac:dyDescent="0.2">
      <c r="B13813"/>
      <c r="C13813"/>
      <c r="J13813"/>
      <c r="K13813"/>
      <c r="L13813"/>
    </row>
    <row r="13814" spans="2:12" x14ac:dyDescent="0.2">
      <c r="B13814"/>
      <c r="C13814"/>
      <c r="J13814"/>
      <c r="K13814"/>
      <c r="L13814"/>
    </row>
    <row r="13815" spans="2:12" x14ac:dyDescent="0.2">
      <c r="B13815"/>
      <c r="C13815"/>
      <c r="J13815"/>
      <c r="K13815"/>
      <c r="L13815"/>
    </row>
    <row r="13816" spans="2:12" x14ac:dyDescent="0.2">
      <c r="B13816"/>
      <c r="C13816"/>
      <c r="J13816"/>
      <c r="K13816"/>
      <c r="L13816"/>
    </row>
    <row r="13817" spans="2:12" x14ac:dyDescent="0.2">
      <c r="B13817"/>
      <c r="C13817"/>
      <c r="J13817"/>
      <c r="K13817"/>
      <c r="L13817"/>
    </row>
    <row r="13818" spans="2:12" x14ac:dyDescent="0.2">
      <c r="B13818"/>
      <c r="C13818"/>
      <c r="J13818"/>
      <c r="K13818"/>
      <c r="L13818"/>
    </row>
    <row r="13819" spans="2:12" x14ac:dyDescent="0.2">
      <c r="B13819"/>
      <c r="C13819"/>
      <c r="J13819"/>
      <c r="K13819"/>
      <c r="L13819"/>
    </row>
    <row r="13820" spans="2:12" x14ac:dyDescent="0.2">
      <c r="B13820"/>
      <c r="C13820"/>
      <c r="J13820"/>
      <c r="K13820"/>
      <c r="L13820"/>
    </row>
    <row r="13821" spans="2:12" x14ac:dyDescent="0.2">
      <c r="B13821"/>
      <c r="C13821"/>
      <c r="J13821"/>
      <c r="K13821"/>
      <c r="L13821"/>
    </row>
    <row r="13822" spans="2:12" x14ac:dyDescent="0.2">
      <c r="B13822"/>
      <c r="C13822"/>
      <c r="J13822"/>
      <c r="K13822"/>
      <c r="L13822"/>
    </row>
    <row r="13823" spans="2:12" x14ac:dyDescent="0.2">
      <c r="B13823"/>
      <c r="C13823"/>
      <c r="J13823"/>
      <c r="K13823"/>
      <c r="L13823"/>
    </row>
    <row r="13824" spans="2:12" x14ac:dyDescent="0.2">
      <c r="B13824"/>
      <c r="C13824"/>
      <c r="J13824"/>
      <c r="K13824"/>
      <c r="L13824"/>
    </row>
    <row r="13825" spans="2:12" x14ac:dyDescent="0.2">
      <c r="B13825"/>
      <c r="C13825"/>
      <c r="J13825"/>
      <c r="K13825"/>
      <c r="L13825"/>
    </row>
    <row r="13826" spans="2:12" x14ac:dyDescent="0.2">
      <c r="B13826"/>
      <c r="C13826"/>
      <c r="J13826"/>
      <c r="K13826"/>
      <c r="L13826"/>
    </row>
    <row r="13827" spans="2:12" x14ac:dyDescent="0.2">
      <c r="B13827"/>
      <c r="C13827"/>
      <c r="J13827"/>
      <c r="K13827"/>
      <c r="L13827"/>
    </row>
    <row r="13828" spans="2:12" x14ac:dyDescent="0.2">
      <c r="B13828"/>
      <c r="C13828"/>
      <c r="J13828"/>
      <c r="K13828"/>
      <c r="L13828"/>
    </row>
    <row r="13829" spans="2:12" x14ac:dyDescent="0.2">
      <c r="B13829"/>
      <c r="C13829"/>
      <c r="J13829"/>
      <c r="K13829"/>
      <c r="L13829"/>
    </row>
    <row r="13830" spans="2:12" x14ac:dyDescent="0.2">
      <c r="B13830"/>
      <c r="C13830"/>
      <c r="J13830"/>
      <c r="K13830"/>
      <c r="L13830"/>
    </row>
    <row r="13831" spans="2:12" x14ac:dyDescent="0.2">
      <c r="B13831"/>
      <c r="C13831"/>
      <c r="J13831"/>
      <c r="K13831"/>
      <c r="L13831"/>
    </row>
    <row r="13832" spans="2:12" x14ac:dyDescent="0.2">
      <c r="B13832"/>
      <c r="C13832"/>
      <c r="J13832"/>
      <c r="K13832"/>
      <c r="L13832"/>
    </row>
    <row r="13833" spans="2:12" x14ac:dyDescent="0.2">
      <c r="B13833"/>
      <c r="C13833"/>
      <c r="J13833"/>
      <c r="K13833"/>
      <c r="L13833"/>
    </row>
    <row r="13834" spans="2:12" x14ac:dyDescent="0.2">
      <c r="B13834"/>
      <c r="C13834"/>
      <c r="J13834"/>
      <c r="K13834"/>
      <c r="L13834"/>
    </row>
    <row r="13835" spans="2:12" x14ac:dyDescent="0.2">
      <c r="B13835"/>
      <c r="C13835"/>
      <c r="J13835"/>
      <c r="K13835"/>
      <c r="L13835"/>
    </row>
    <row r="13836" spans="2:12" x14ac:dyDescent="0.2">
      <c r="B13836"/>
      <c r="C13836"/>
      <c r="J13836"/>
      <c r="K13836"/>
      <c r="L13836"/>
    </row>
    <row r="13837" spans="2:12" x14ac:dyDescent="0.2">
      <c r="B13837"/>
      <c r="C13837"/>
      <c r="J13837"/>
      <c r="K13837"/>
      <c r="L13837"/>
    </row>
    <row r="13838" spans="2:12" x14ac:dyDescent="0.2">
      <c r="B13838"/>
      <c r="C13838"/>
      <c r="J13838"/>
      <c r="K13838"/>
      <c r="L13838"/>
    </row>
    <row r="13839" spans="2:12" x14ac:dyDescent="0.2">
      <c r="B13839"/>
      <c r="C13839"/>
      <c r="J13839"/>
      <c r="K13839"/>
      <c r="L13839"/>
    </row>
    <row r="13840" spans="2:12" x14ac:dyDescent="0.2">
      <c r="B13840"/>
      <c r="C13840"/>
      <c r="J13840"/>
      <c r="K13840"/>
      <c r="L13840"/>
    </row>
    <row r="13841" spans="2:12" x14ac:dyDescent="0.2">
      <c r="B13841"/>
      <c r="C13841"/>
      <c r="J13841"/>
      <c r="K13841"/>
      <c r="L13841"/>
    </row>
    <row r="13842" spans="2:12" x14ac:dyDescent="0.2">
      <c r="B13842"/>
      <c r="C13842"/>
      <c r="J13842"/>
      <c r="K13842"/>
      <c r="L13842"/>
    </row>
    <row r="13843" spans="2:12" x14ac:dyDescent="0.2">
      <c r="B13843"/>
      <c r="C13843"/>
      <c r="J13843"/>
      <c r="K13843"/>
      <c r="L13843"/>
    </row>
    <row r="13844" spans="2:12" x14ac:dyDescent="0.2">
      <c r="B13844"/>
      <c r="C13844"/>
      <c r="J13844"/>
      <c r="K13844"/>
      <c r="L13844"/>
    </row>
    <row r="13845" spans="2:12" x14ac:dyDescent="0.2">
      <c r="B13845"/>
      <c r="C13845"/>
      <c r="J13845"/>
      <c r="K13845"/>
      <c r="L13845"/>
    </row>
    <row r="13846" spans="2:12" x14ac:dyDescent="0.2">
      <c r="B13846"/>
      <c r="C13846"/>
      <c r="J13846"/>
      <c r="K13846"/>
      <c r="L13846"/>
    </row>
    <row r="13847" spans="2:12" x14ac:dyDescent="0.2">
      <c r="B13847"/>
      <c r="C13847"/>
      <c r="J13847"/>
      <c r="K13847"/>
      <c r="L13847"/>
    </row>
    <row r="13848" spans="2:12" x14ac:dyDescent="0.2">
      <c r="B13848"/>
      <c r="C13848"/>
      <c r="J13848"/>
      <c r="K13848"/>
      <c r="L13848"/>
    </row>
    <row r="13849" spans="2:12" x14ac:dyDescent="0.2">
      <c r="B13849"/>
      <c r="C13849"/>
      <c r="J13849"/>
      <c r="K13849"/>
      <c r="L13849"/>
    </row>
    <row r="13850" spans="2:12" x14ac:dyDescent="0.2">
      <c r="B13850"/>
      <c r="C13850"/>
      <c r="J13850"/>
      <c r="K13850"/>
      <c r="L13850"/>
    </row>
    <row r="13851" spans="2:12" x14ac:dyDescent="0.2">
      <c r="B13851"/>
      <c r="C13851"/>
      <c r="J13851"/>
      <c r="K13851"/>
      <c r="L13851"/>
    </row>
    <row r="13852" spans="2:12" x14ac:dyDescent="0.2">
      <c r="B13852"/>
      <c r="C13852"/>
      <c r="J13852"/>
      <c r="K13852"/>
      <c r="L13852"/>
    </row>
    <row r="13853" spans="2:12" x14ac:dyDescent="0.2">
      <c r="B13853"/>
      <c r="C13853"/>
      <c r="J13853"/>
      <c r="K13853"/>
      <c r="L13853"/>
    </row>
    <row r="13854" spans="2:12" x14ac:dyDescent="0.2">
      <c r="B13854"/>
      <c r="C13854"/>
      <c r="J13854"/>
      <c r="K13854"/>
      <c r="L13854"/>
    </row>
    <row r="13855" spans="2:12" x14ac:dyDescent="0.2">
      <c r="B13855"/>
      <c r="C13855"/>
      <c r="J13855"/>
      <c r="K13855"/>
      <c r="L13855"/>
    </row>
    <row r="13856" spans="2:12" x14ac:dyDescent="0.2">
      <c r="B13856"/>
      <c r="C13856"/>
      <c r="J13856"/>
      <c r="K13856"/>
      <c r="L13856"/>
    </row>
    <row r="13857" spans="2:12" x14ac:dyDescent="0.2">
      <c r="B13857"/>
      <c r="C13857"/>
      <c r="J13857"/>
      <c r="K13857"/>
      <c r="L13857"/>
    </row>
    <row r="13858" spans="2:12" x14ac:dyDescent="0.2">
      <c r="B13858"/>
      <c r="C13858"/>
      <c r="J13858"/>
      <c r="K13858"/>
      <c r="L13858"/>
    </row>
    <row r="13859" spans="2:12" x14ac:dyDescent="0.2">
      <c r="B13859"/>
      <c r="C13859"/>
      <c r="J13859"/>
      <c r="K13859"/>
      <c r="L13859"/>
    </row>
    <row r="13860" spans="2:12" x14ac:dyDescent="0.2">
      <c r="B13860"/>
      <c r="C13860"/>
      <c r="J13860"/>
      <c r="K13860"/>
      <c r="L13860"/>
    </row>
    <row r="13861" spans="2:12" x14ac:dyDescent="0.2">
      <c r="B13861"/>
      <c r="C13861"/>
      <c r="J13861"/>
      <c r="K13861"/>
      <c r="L13861"/>
    </row>
    <row r="13862" spans="2:12" x14ac:dyDescent="0.2">
      <c r="B13862"/>
      <c r="C13862"/>
      <c r="J13862"/>
      <c r="K13862"/>
      <c r="L13862"/>
    </row>
    <row r="13863" spans="2:12" x14ac:dyDescent="0.2">
      <c r="B13863"/>
      <c r="C13863"/>
      <c r="J13863"/>
      <c r="K13863"/>
      <c r="L13863"/>
    </row>
    <row r="13864" spans="2:12" x14ac:dyDescent="0.2">
      <c r="B13864"/>
      <c r="C13864"/>
      <c r="J13864"/>
      <c r="K13864"/>
      <c r="L13864"/>
    </row>
    <row r="13865" spans="2:12" x14ac:dyDescent="0.2">
      <c r="B13865"/>
      <c r="C13865"/>
      <c r="J13865"/>
      <c r="K13865"/>
      <c r="L13865"/>
    </row>
    <row r="13866" spans="2:12" x14ac:dyDescent="0.2">
      <c r="B13866"/>
      <c r="C13866"/>
      <c r="J13866"/>
      <c r="K13866"/>
      <c r="L13866"/>
    </row>
    <row r="13867" spans="2:12" x14ac:dyDescent="0.2">
      <c r="B13867"/>
      <c r="C13867"/>
      <c r="J13867"/>
      <c r="K13867"/>
      <c r="L13867"/>
    </row>
    <row r="13868" spans="2:12" x14ac:dyDescent="0.2">
      <c r="B13868"/>
      <c r="C13868"/>
      <c r="J13868"/>
      <c r="K13868"/>
      <c r="L13868"/>
    </row>
    <row r="13869" spans="2:12" x14ac:dyDescent="0.2">
      <c r="B13869"/>
      <c r="C13869"/>
      <c r="J13869"/>
      <c r="K13869"/>
      <c r="L13869"/>
    </row>
    <row r="13870" spans="2:12" x14ac:dyDescent="0.2">
      <c r="B13870"/>
      <c r="C13870"/>
      <c r="J13870"/>
      <c r="K13870"/>
      <c r="L13870"/>
    </row>
    <row r="13871" spans="2:12" x14ac:dyDescent="0.2">
      <c r="B13871"/>
      <c r="C13871"/>
      <c r="J13871"/>
      <c r="K13871"/>
      <c r="L13871"/>
    </row>
    <row r="13872" spans="2:12" x14ac:dyDescent="0.2">
      <c r="B13872"/>
      <c r="C13872"/>
      <c r="J13872"/>
      <c r="K13872"/>
      <c r="L13872"/>
    </row>
    <row r="13873" spans="2:12" x14ac:dyDescent="0.2">
      <c r="B13873"/>
      <c r="C13873"/>
      <c r="J13873"/>
      <c r="K13873"/>
      <c r="L13873"/>
    </row>
    <row r="13874" spans="2:12" x14ac:dyDescent="0.2">
      <c r="B13874"/>
      <c r="C13874"/>
      <c r="J13874"/>
      <c r="K13874"/>
      <c r="L13874"/>
    </row>
    <row r="13875" spans="2:12" x14ac:dyDescent="0.2">
      <c r="B13875"/>
      <c r="C13875"/>
      <c r="J13875"/>
      <c r="K13875"/>
      <c r="L13875"/>
    </row>
    <row r="13876" spans="2:12" x14ac:dyDescent="0.2">
      <c r="B13876"/>
      <c r="C13876"/>
      <c r="J13876"/>
      <c r="K13876"/>
      <c r="L13876"/>
    </row>
    <row r="13877" spans="2:12" x14ac:dyDescent="0.2">
      <c r="B13877"/>
      <c r="C13877"/>
      <c r="J13877"/>
      <c r="K13877"/>
      <c r="L13877"/>
    </row>
    <row r="13878" spans="2:12" x14ac:dyDescent="0.2">
      <c r="B13878"/>
      <c r="C13878"/>
      <c r="J13878"/>
      <c r="K13878"/>
      <c r="L13878"/>
    </row>
    <row r="13879" spans="2:12" x14ac:dyDescent="0.2">
      <c r="B13879"/>
      <c r="C13879"/>
      <c r="J13879"/>
      <c r="K13879"/>
      <c r="L13879"/>
    </row>
    <row r="13880" spans="2:12" x14ac:dyDescent="0.2">
      <c r="B13880"/>
      <c r="C13880"/>
      <c r="J13880"/>
      <c r="K13880"/>
      <c r="L13880"/>
    </row>
    <row r="13881" spans="2:12" x14ac:dyDescent="0.2">
      <c r="B13881"/>
      <c r="C13881"/>
      <c r="J13881"/>
      <c r="K13881"/>
      <c r="L13881"/>
    </row>
    <row r="13882" spans="2:12" x14ac:dyDescent="0.2">
      <c r="B13882"/>
      <c r="C13882"/>
      <c r="J13882"/>
      <c r="K13882"/>
      <c r="L13882"/>
    </row>
    <row r="13883" spans="2:12" x14ac:dyDescent="0.2">
      <c r="B13883"/>
      <c r="C13883"/>
      <c r="J13883"/>
      <c r="K13883"/>
      <c r="L13883"/>
    </row>
    <row r="13884" spans="2:12" x14ac:dyDescent="0.2">
      <c r="B13884"/>
      <c r="C13884"/>
      <c r="J13884"/>
      <c r="K13884"/>
      <c r="L13884"/>
    </row>
    <row r="13885" spans="2:12" x14ac:dyDescent="0.2">
      <c r="B13885"/>
      <c r="C13885"/>
      <c r="J13885"/>
      <c r="K13885"/>
      <c r="L13885"/>
    </row>
    <row r="13886" spans="2:12" x14ac:dyDescent="0.2">
      <c r="B13886"/>
      <c r="C13886"/>
      <c r="J13886"/>
      <c r="K13886"/>
      <c r="L13886"/>
    </row>
    <row r="13887" spans="2:12" x14ac:dyDescent="0.2">
      <c r="B13887"/>
      <c r="C13887"/>
      <c r="J13887"/>
      <c r="K13887"/>
      <c r="L13887"/>
    </row>
    <row r="13888" spans="2:12" x14ac:dyDescent="0.2">
      <c r="B13888"/>
      <c r="C13888"/>
      <c r="J13888"/>
      <c r="K13888"/>
      <c r="L13888"/>
    </row>
    <row r="13889" spans="2:12" x14ac:dyDescent="0.2">
      <c r="B13889"/>
      <c r="C13889"/>
      <c r="J13889"/>
      <c r="K13889"/>
      <c r="L13889"/>
    </row>
    <row r="13890" spans="2:12" x14ac:dyDescent="0.2">
      <c r="B13890"/>
      <c r="C13890"/>
      <c r="J13890"/>
      <c r="K13890"/>
      <c r="L13890"/>
    </row>
    <row r="13891" spans="2:12" x14ac:dyDescent="0.2">
      <c r="B13891"/>
      <c r="C13891"/>
      <c r="J13891"/>
      <c r="K13891"/>
      <c r="L13891"/>
    </row>
    <row r="13892" spans="2:12" x14ac:dyDescent="0.2">
      <c r="B13892"/>
      <c r="C13892"/>
      <c r="J13892"/>
      <c r="K13892"/>
      <c r="L13892"/>
    </row>
    <row r="13893" spans="2:12" x14ac:dyDescent="0.2">
      <c r="B13893"/>
      <c r="C13893"/>
      <c r="J13893"/>
      <c r="K13893"/>
      <c r="L13893"/>
    </row>
    <row r="13894" spans="2:12" x14ac:dyDescent="0.2">
      <c r="B13894"/>
      <c r="C13894"/>
      <c r="J13894"/>
      <c r="K13894"/>
      <c r="L13894"/>
    </row>
    <row r="13895" spans="2:12" x14ac:dyDescent="0.2">
      <c r="B13895"/>
      <c r="C13895"/>
      <c r="J13895"/>
      <c r="K13895"/>
      <c r="L13895"/>
    </row>
    <row r="13896" spans="2:12" x14ac:dyDescent="0.2">
      <c r="B13896"/>
      <c r="C13896"/>
      <c r="J13896"/>
      <c r="K13896"/>
      <c r="L13896"/>
    </row>
    <row r="13897" spans="2:12" x14ac:dyDescent="0.2">
      <c r="B13897"/>
      <c r="C13897"/>
      <c r="J13897"/>
      <c r="K13897"/>
      <c r="L13897"/>
    </row>
    <row r="13898" spans="2:12" x14ac:dyDescent="0.2">
      <c r="B13898"/>
      <c r="C13898"/>
      <c r="J13898"/>
      <c r="K13898"/>
      <c r="L13898"/>
    </row>
    <row r="13899" spans="2:12" x14ac:dyDescent="0.2">
      <c r="B13899"/>
      <c r="C13899"/>
      <c r="J13899"/>
      <c r="K13899"/>
      <c r="L13899"/>
    </row>
    <row r="13900" spans="2:12" x14ac:dyDescent="0.2">
      <c r="B13900"/>
      <c r="C13900"/>
      <c r="J13900"/>
      <c r="K13900"/>
      <c r="L13900"/>
    </row>
    <row r="13901" spans="2:12" x14ac:dyDescent="0.2">
      <c r="B13901"/>
      <c r="C13901"/>
      <c r="J13901"/>
      <c r="K13901"/>
      <c r="L13901"/>
    </row>
    <row r="13902" spans="2:12" x14ac:dyDescent="0.2">
      <c r="B13902"/>
      <c r="C13902"/>
      <c r="J13902"/>
      <c r="K13902"/>
      <c r="L13902"/>
    </row>
    <row r="13903" spans="2:12" x14ac:dyDescent="0.2">
      <c r="B13903"/>
      <c r="C13903"/>
      <c r="J13903"/>
      <c r="K13903"/>
      <c r="L13903"/>
    </row>
    <row r="13904" spans="2:12" x14ac:dyDescent="0.2">
      <c r="B13904"/>
      <c r="C13904"/>
      <c r="J13904"/>
      <c r="K13904"/>
      <c r="L13904"/>
    </row>
    <row r="13905" spans="2:12" x14ac:dyDescent="0.2">
      <c r="B13905"/>
      <c r="C13905"/>
      <c r="J13905"/>
      <c r="K13905"/>
      <c r="L13905"/>
    </row>
    <row r="13906" spans="2:12" x14ac:dyDescent="0.2">
      <c r="B13906"/>
      <c r="C13906"/>
      <c r="J13906"/>
      <c r="K13906"/>
      <c r="L13906"/>
    </row>
    <row r="13907" spans="2:12" x14ac:dyDescent="0.2">
      <c r="B13907"/>
      <c r="C13907"/>
      <c r="J13907"/>
      <c r="K13907"/>
      <c r="L13907"/>
    </row>
    <row r="13908" spans="2:12" x14ac:dyDescent="0.2">
      <c r="B13908"/>
      <c r="C13908"/>
      <c r="J13908"/>
      <c r="K13908"/>
      <c r="L13908"/>
    </row>
    <row r="13909" spans="2:12" x14ac:dyDescent="0.2">
      <c r="B13909"/>
      <c r="C13909"/>
      <c r="J13909"/>
      <c r="K13909"/>
      <c r="L13909"/>
    </row>
    <row r="13910" spans="2:12" x14ac:dyDescent="0.2">
      <c r="B13910"/>
      <c r="C13910"/>
      <c r="J13910"/>
      <c r="K13910"/>
      <c r="L13910"/>
    </row>
    <row r="13911" spans="2:12" x14ac:dyDescent="0.2">
      <c r="B13911"/>
      <c r="C13911"/>
      <c r="J13911"/>
      <c r="K13911"/>
      <c r="L13911"/>
    </row>
    <row r="13912" spans="2:12" x14ac:dyDescent="0.2">
      <c r="B13912"/>
      <c r="C13912"/>
      <c r="J13912"/>
      <c r="K13912"/>
      <c r="L13912"/>
    </row>
    <row r="13913" spans="2:12" x14ac:dyDescent="0.2">
      <c r="B13913"/>
      <c r="C13913"/>
      <c r="J13913"/>
      <c r="K13913"/>
      <c r="L13913"/>
    </row>
    <row r="13914" spans="2:12" x14ac:dyDescent="0.2">
      <c r="B13914"/>
      <c r="C13914"/>
      <c r="J13914"/>
      <c r="K13914"/>
      <c r="L13914"/>
    </row>
    <row r="13915" spans="2:12" x14ac:dyDescent="0.2">
      <c r="B13915"/>
      <c r="C13915"/>
      <c r="J13915"/>
      <c r="K13915"/>
      <c r="L13915"/>
    </row>
    <row r="13916" spans="2:12" x14ac:dyDescent="0.2">
      <c r="B13916"/>
      <c r="C13916"/>
      <c r="J13916"/>
      <c r="K13916"/>
      <c r="L13916"/>
    </row>
    <row r="13917" spans="2:12" x14ac:dyDescent="0.2">
      <c r="B13917"/>
      <c r="C13917"/>
      <c r="J13917"/>
      <c r="K13917"/>
      <c r="L13917"/>
    </row>
    <row r="13918" spans="2:12" x14ac:dyDescent="0.2">
      <c r="B13918"/>
      <c r="C13918"/>
      <c r="J13918"/>
      <c r="K13918"/>
      <c r="L13918"/>
    </row>
    <row r="13919" spans="2:12" x14ac:dyDescent="0.2">
      <c r="B13919"/>
      <c r="C13919"/>
      <c r="J13919"/>
      <c r="K13919"/>
      <c r="L13919"/>
    </row>
    <row r="13920" spans="2:12" x14ac:dyDescent="0.2">
      <c r="B13920"/>
      <c r="C13920"/>
      <c r="J13920"/>
      <c r="K13920"/>
      <c r="L13920"/>
    </row>
    <row r="13921" spans="2:12" x14ac:dyDescent="0.2">
      <c r="B13921"/>
      <c r="C13921"/>
      <c r="J13921"/>
      <c r="K13921"/>
      <c r="L13921"/>
    </row>
    <row r="13922" spans="2:12" x14ac:dyDescent="0.2">
      <c r="B13922"/>
      <c r="C13922"/>
      <c r="J13922"/>
      <c r="K13922"/>
      <c r="L13922"/>
    </row>
    <row r="13923" spans="2:12" x14ac:dyDescent="0.2">
      <c r="B13923"/>
      <c r="C13923"/>
      <c r="J13923"/>
      <c r="K13923"/>
      <c r="L13923"/>
    </row>
    <row r="13924" spans="2:12" x14ac:dyDescent="0.2">
      <c r="B13924"/>
      <c r="C13924"/>
      <c r="J13924"/>
      <c r="K13924"/>
      <c r="L13924"/>
    </row>
    <row r="13925" spans="2:12" x14ac:dyDescent="0.2">
      <c r="B13925"/>
      <c r="C13925"/>
      <c r="J13925"/>
      <c r="K13925"/>
      <c r="L13925"/>
    </row>
    <row r="13926" spans="2:12" x14ac:dyDescent="0.2">
      <c r="B13926"/>
      <c r="C13926"/>
      <c r="J13926"/>
      <c r="K13926"/>
      <c r="L13926"/>
    </row>
    <row r="13927" spans="2:12" x14ac:dyDescent="0.2">
      <c r="B13927"/>
      <c r="C13927"/>
      <c r="J13927"/>
      <c r="K13927"/>
      <c r="L13927"/>
    </row>
    <row r="13928" spans="2:12" x14ac:dyDescent="0.2">
      <c r="B13928"/>
      <c r="C13928"/>
      <c r="J13928"/>
      <c r="K13928"/>
      <c r="L13928"/>
    </row>
    <row r="13929" spans="2:12" x14ac:dyDescent="0.2">
      <c r="B13929"/>
      <c r="C13929"/>
      <c r="J13929"/>
      <c r="K13929"/>
      <c r="L13929"/>
    </row>
    <row r="13930" spans="2:12" x14ac:dyDescent="0.2">
      <c r="B13930"/>
      <c r="C13930"/>
      <c r="J13930"/>
      <c r="K13930"/>
      <c r="L13930"/>
    </row>
    <row r="13931" spans="2:12" x14ac:dyDescent="0.2">
      <c r="B13931"/>
      <c r="C13931"/>
      <c r="J13931"/>
      <c r="K13931"/>
      <c r="L13931"/>
    </row>
    <row r="13932" spans="2:12" x14ac:dyDescent="0.2">
      <c r="B13932"/>
      <c r="C13932"/>
      <c r="J13932"/>
      <c r="K13932"/>
      <c r="L13932"/>
    </row>
    <row r="13933" spans="2:12" x14ac:dyDescent="0.2">
      <c r="B13933"/>
      <c r="C13933"/>
      <c r="J13933"/>
      <c r="K13933"/>
      <c r="L13933"/>
    </row>
    <row r="13934" spans="2:12" x14ac:dyDescent="0.2">
      <c r="B13934"/>
      <c r="C13934"/>
      <c r="J13934"/>
      <c r="K13934"/>
      <c r="L13934"/>
    </row>
    <row r="13935" spans="2:12" x14ac:dyDescent="0.2">
      <c r="B13935"/>
      <c r="C13935"/>
      <c r="J13935"/>
      <c r="K13935"/>
      <c r="L13935"/>
    </row>
    <row r="13936" spans="2:12" x14ac:dyDescent="0.2">
      <c r="B13936"/>
      <c r="C13936"/>
      <c r="J13936"/>
      <c r="K13936"/>
      <c r="L13936"/>
    </row>
    <row r="13937" spans="2:12" x14ac:dyDescent="0.2">
      <c r="B13937"/>
      <c r="C13937"/>
      <c r="J13937"/>
      <c r="K13937"/>
      <c r="L13937"/>
    </row>
    <row r="13938" spans="2:12" x14ac:dyDescent="0.2">
      <c r="B13938"/>
      <c r="C13938"/>
      <c r="J13938"/>
      <c r="K13938"/>
      <c r="L13938"/>
    </row>
    <row r="13939" spans="2:12" x14ac:dyDescent="0.2">
      <c r="B13939"/>
      <c r="C13939"/>
      <c r="J13939"/>
      <c r="K13939"/>
      <c r="L13939"/>
    </row>
    <row r="13940" spans="2:12" x14ac:dyDescent="0.2">
      <c r="B13940"/>
      <c r="C13940"/>
      <c r="J13940"/>
      <c r="K13940"/>
      <c r="L13940"/>
    </row>
    <row r="13941" spans="2:12" x14ac:dyDescent="0.2">
      <c r="B13941"/>
      <c r="C13941"/>
      <c r="J13941"/>
      <c r="K13941"/>
      <c r="L13941"/>
    </row>
    <row r="13942" spans="2:12" x14ac:dyDescent="0.2">
      <c r="B13942"/>
      <c r="C13942"/>
      <c r="J13942"/>
      <c r="K13942"/>
      <c r="L13942"/>
    </row>
    <row r="13943" spans="2:12" x14ac:dyDescent="0.2">
      <c r="B13943"/>
      <c r="C13943"/>
      <c r="J13943"/>
      <c r="K13943"/>
      <c r="L13943"/>
    </row>
    <row r="13944" spans="2:12" x14ac:dyDescent="0.2">
      <c r="B13944"/>
      <c r="C13944"/>
      <c r="J13944"/>
      <c r="K13944"/>
      <c r="L13944"/>
    </row>
    <row r="13945" spans="2:12" x14ac:dyDescent="0.2">
      <c r="B13945"/>
      <c r="C13945"/>
      <c r="J13945"/>
      <c r="K13945"/>
      <c r="L13945"/>
    </row>
    <row r="13946" spans="2:12" x14ac:dyDescent="0.2">
      <c r="B13946"/>
      <c r="C13946"/>
      <c r="J13946"/>
      <c r="K13946"/>
      <c r="L13946"/>
    </row>
    <row r="13947" spans="2:12" x14ac:dyDescent="0.2">
      <c r="B13947"/>
      <c r="C13947"/>
      <c r="J13947"/>
      <c r="K13947"/>
      <c r="L13947"/>
    </row>
    <row r="13948" spans="2:12" x14ac:dyDescent="0.2">
      <c r="B13948"/>
      <c r="C13948"/>
      <c r="J13948"/>
      <c r="K13948"/>
      <c r="L13948"/>
    </row>
    <row r="13949" spans="2:12" x14ac:dyDescent="0.2">
      <c r="B13949"/>
      <c r="C13949"/>
      <c r="J13949"/>
      <c r="K13949"/>
      <c r="L13949"/>
    </row>
    <row r="13950" spans="2:12" x14ac:dyDescent="0.2">
      <c r="B13950"/>
      <c r="C13950"/>
      <c r="J13950"/>
      <c r="K13950"/>
      <c r="L13950"/>
    </row>
    <row r="13951" spans="2:12" x14ac:dyDescent="0.2">
      <c r="B13951"/>
      <c r="C13951"/>
      <c r="J13951"/>
      <c r="K13951"/>
      <c r="L13951"/>
    </row>
    <row r="13952" spans="2:12" x14ac:dyDescent="0.2">
      <c r="B13952"/>
      <c r="C13952"/>
      <c r="J13952"/>
      <c r="K13952"/>
      <c r="L13952"/>
    </row>
    <row r="13953" spans="2:12" x14ac:dyDescent="0.2">
      <c r="B13953"/>
      <c r="C13953"/>
      <c r="J13953"/>
      <c r="K13953"/>
      <c r="L13953"/>
    </row>
    <row r="13954" spans="2:12" x14ac:dyDescent="0.2">
      <c r="B13954"/>
      <c r="C13954"/>
      <c r="J13954"/>
      <c r="K13954"/>
      <c r="L13954"/>
    </row>
    <row r="13955" spans="2:12" x14ac:dyDescent="0.2">
      <c r="B13955"/>
      <c r="C13955"/>
      <c r="J13955"/>
      <c r="K13955"/>
      <c r="L13955"/>
    </row>
    <row r="13956" spans="2:12" x14ac:dyDescent="0.2">
      <c r="B13956"/>
      <c r="C13956"/>
      <c r="J13956"/>
      <c r="K13956"/>
      <c r="L13956"/>
    </row>
    <row r="13957" spans="2:12" x14ac:dyDescent="0.2">
      <c r="B13957"/>
      <c r="C13957"/>
      <c r="J13957"/>
      <c r="K13957"/>
      <c r="L13957"/>
    </row>
    <row r="13958" spans="2:12" x14ac:dyDescent="0.2">
      <c r="B13958"/>
      <c r="C13958"/>
      <c r="J13958"/>
      <c r="K13958"/>
      <c r="L13958"/>
    </row>
    <row r="13959" spans="2:12" x14ac:dyDescent="0.2">
      <c r="B13959"/>
      <c r="C13959"/>
      <c r="J13959"/>
      <c r="K13959"/>
      <c r="L13959"/>
    </row>
    <row r="13960" spans="2:12" x14ac:dyDescent="0.2">
      <c r="B13960"/>
      <c r="C13960"/>
      <c r="J13960"/>
      <c r="K13960"/>
      <c r="L13960"/>
    </row>
    <row r="13961" spans="2:12" x14ac:dyDescent="0.2">
      <c r="B13961"/>
      <c r="C13961"/>
      <c r="J13961"/>
      <c r="K13961"/>
      <c r="L13961"/>
    </row>
    <row r="13962" spans="2:12" x14ac:dyDescent="0.2">
      <c r="B13962"/>
      <c r="C13962"/>
      <c r="J13962"/>
      <c r="K13962"/>
      <c r="L13962"/>
    </row>
    <row r="13963" spans="2:12" x14ac:dyDescent="0.2">
      <c r="B13963"/>
      <c r="C13963"/>
      <c r="J13963"/>
      <c r="K13963"/>
      <c r="L13963"/>
    </row>
    <row r="13964" spans="2:12" x14ac:dyDescent="0.2">
      <c r="B13964"/>
      <c r="C13964"/>
      <c r="J13964"/>
      <c r="K13964"/>
      <c r="L13964"/>
    </row>
    <row r="13965" spans="2:12" x14ac:dyDescent="0.2">
      <c r="B13965"/>
      <c r="C13965"/>
      <c r="J13965"/>
      <c r="K13965"/>
      <c r="L13965"/>
    </row>
    <row r="13966" spans="2:12" x14ac:dyDescent="0.2">
      <c r="B13966"/>
      <c r="C13966"/>
      <c r="J13966"/>
      <c r="K13966"/>
      <c r="L13966"/>
    </row>
    <row r="13967" spans="2:12" x14ac:dyDescent="0.2">
      <c r="B13967"/>
      <c r="C13967"/>
      <c r="J13967"/>
      <c r="K13967"/>
      <c r="L13967"/>
    </row>
    <row r="13968" spans="2:12" x14ac:dyDescent="0.2">
      <c r="B13968"/>
      <c r="C13968"/>
      <c r="J13968"/>
      <c r="K13968"/>
      <c r="L13968"/>
    </row>
    <row r="13969" spans="2:12" x14ac:dyDescent="0.2">
      <c r="B13969"/>
      <c r="C13969"/>
      <c r="J13969"/>
      <c r="K13969"/>
      <c r="L13969"/>
    </row>
    <row r="13970" spans="2:12" x14ac:dyDescent="0.2">
      <c r="B13970"/>
      <c r="C13970"/>
      <c r="J13970"/>
      <c r="K13970"/>
      <c r="L13970"/>
    </row>
    <row r="13971" spans="2:12" x14ac:dyDescent="0.2">
      <c r="B13971"/>
      <c r="C13971"/>
      <c r="J13971"/>
      <c r="K13971"/>
      <c r="L13971"/>
    </row>
    <row r="13972" spans="2:12" x14ac:dyDescent="0.2">
      <c r="B13972"/>
      <c r="C13972"/>
      <c r="J13972"/>
      <c r="K13972"/>
      <c r="L13972"/>
    </row>
    <row r="13973" spans="2:12" x14ac:dyDescent="0.2">
      <c r="B13973"/>
      <c r="C13973"/>
      <c r="J13973"/>
      <c r="K13973"/>
      <c r="L13973"/>
    </row>
    <row r="13974" spans="2:12" x14ac:dyDescent="0.2">
      <c r="B13974"/>
      <c r="C13974"/>
      <c r="J13974"/>
      <c r="K13974"/>
      <c r="L13974"/>
    </row>
    <row r="13975" spans="2:12" x14ac:dyDescent="0.2">
      <c r="B13975"/>
      <c r="C13975"/>
      <c r="J13975"/>
      <c r="K13975"/>
      <c r="L13975"/>
    </row>
    <row r="13976" spans="2:12" x14ac:dyDescent="0.2">
      <c r="B13976"/>
      <c r="C13976"/>
      <c r="J13976"/>
      <c r="K13976"/>
      <c r="L13976"/>
    </row>
    <row r="13977" spans="2:12" x14ac:dyDescent="0.2">
      <c r="B13977"/>
      <c r="C13977"/>
      <c r="J13977"/>
      <c r="K13977"/>
      <c r="L13977"/>
    </row>
    <row r="13978" spans="2:12" x14ac:dyDescent="0.2">
      <c r="B13978"/>
      <c r="C13978"/>
      <c r="J13978"/>
      <c r="K13978"/>
      <c r="L13978"/>
    </row>
    <row r="13979" spans="2:12" x14ac:dyDescent="0.2">
      <c r="B13979"/>
      <c r="C13979"/>
      <c r="J13979"/>
      <c r="K13979"/>
      <c r="L13979"/>
    </row>
    <row r="13980" spans="2:12" x14ac:dyDescent="0.2">
      <c r="B13980"/>
      <c r="C13980"/>
      <c r="J13980"/>
      <c r="K13980"/>
      <c r="L13980"/>
    </row>
    <row r="13981" spans="2:12" x14ac:dyDescent="0.2">
      <c r="B13981"/>
      <c r="C13981"/>
      <c r="J13981"/>
      <c r="K13981"/>
      <c r="L13981"/>
    </row>
    <row r="13982" spans="2:12" x14ac:dyDescent="0.2">
      <c r="B13982"/>
      <c r="C13982"/>
      <c r="J13982"/>
      <c r="K13982"/>
      <c r="L13982"/>
    </row>
    <row r="13983" spans="2:12" x14ac:dyDescent="0.2">
      <c r="B13983"/>
      <c r="C13983"/>
      <c r="J13983"/>
      <c r="K13983"/>
      <c r="L13983"/>
    </row>
    <row r="13984" spans="2:12" x14ac:dyDescent="0.2">
      <c r="B13984"/>
      <c r="C13984"/>
      <c r="J13984"/>
      <c r="K13984"/>
      <c r="L13984"/>
    </row>
    <row r="13985" spans="2:12" x14ac:dyDescent="0.2">
      <c r="B13985"/>
      <c r="C13985"/>
      <c r="J13985"/>
      <c r="K13985"/>
      <c r="L13985"/>
    </row>
    <row r="13986" spans="2:12" x14ac:dyDescent="0.2">
      <c r="B13986"/>
      <c r="C13986"/>
      <c r="J13986"/>
      <c r="K13986"/>
      <c r="L13986"/>
    </row>
    <row r="13987" spans="2:12" x14ac:dyDescent="0.2">
      <c r="B13987"/>
      <c r="C13987"/>
      <c r="J13987"/>
      <c r="K13987"/>
      <c r="L13987"/>
    </row>
    <row r="13988" spans="2:12" x14ac:dyDescent="0.2">
      <c r="B13988"/>
      <c r="C13988"/>
      <c r="J13988"/>
      <c r="K13988"/>
      <c r="L13988"/>
    </row>
    <row r="13989" spans="2:12" x14ac:dyDescent="0.2">
      <c r="B13989"/>
      <c r="C13989"/>
      <c r="J13989"/>
      <c r="K13989"/>
      <c r="L13989"/>
    </row>
    <row r="13990" spans="2:12" x14ac:dyDescent="0.2">
      <c r="B13990"/>
      <c r="C13990"/>
      <c r="J13990"/>
      <c r="K13990"/>
      <c r="L13990"/>
    </row>
    <row r="13991" spans="2:12" x14ac:dyDescent="0.2">
      <c r="B13991"/>
      <c r="C13991"/>
      <c r="J13991"/>
      <c r="K13991"/>
      <c r="L13991"/>
    </row>
    <row r="13992" spans="2:12" x14ac:dyDescent="0.2">
      <c r="B13992"/>
      <c r="C13992"/>
      <c r="J13992"/>
      <c r="K13992"/>
      <c r="L13992"/>
    </row>
    <row r="13993" spans="2:12" x14ac:dyDescent="0.2">
      <c r="B13993"/>
      <c r="C13993"/>
      <c r="J13993"/>
      <c r="K13993"/>
      <c r="L13993"/>
    </row>
    <row r="13994" spans="2:12" x14ac:dyDescent="0.2">
      <c r="B13994"/>
      <c r="C13994"/>
      <c r="J13994"/>
      <c r="K13994"/>
      <c r="L13994"/>
    </row>
    <row r="13995" spans="2:12" x14ac:dyDescent="0.2">
      <c r="B13995"/>
      <c r="C13995"/>
      <c r="J13995"/>
      <c r="K13995"/>
      <c r="L13995"/>
    </row>
    <row r="13996" spans="2:12" x14ac:dyDescent="0.2">
      <c r="B13996"/>
      <c r="C13996"/>
      <c r="J13996"/>
      <c r="K13996"/>
      <c r="L13996"/>
    </row>
    <row r="13997" spans="2:12" x14ac:dyDescent="0.2">
      <c r="B13997"/>
      <c r="C13997"/>
      <c r="J13997"/>
      <c r="K13997"/>
      <c r="L13997"/>
    </row>
    <row r="13998" spans="2:12" x14ac:dyDescent="0.2">
      <c r="B13998"/>
      <c r="C13998"/>
      <c r="J13998"/>
      <c r="K13998"/>
      <c r="L13998"/>
    </row>
    <row r="13999" spans="2:12" x14ac:dyDescent="0.2">
      <c r="B13999"/>
      <c r="C13999"/>
      <c r="J13999"/>
      <c r="K13999"/>
      <c r="L13999"/>
    </row>
    <row r="14000" spans="2:12" x14ac:dyDescent="0.2">
      <c r="B14000"/>
      <c r="C14000"/>
      <c r="J14000"/>
      <c r="K14000"/>
      <c r="L14000"/>
    </row>
    <row r="14001" spans="2:12" x14ac:dyDescent="0.2">
      <c r="B14001"/>
      <c r="C14001"/>
      <c r="J14001"/>
      <c r="K14001"/>
      <c r="L14001"/>
    </row>
    <row r="14002" spans="2:12" x14ac:dyDescent="0.2">
      <c r="B14002"/>
      <c r="C14002"/>
      <c r="J14002"/>
      <c r="K14002"/>
      <c r="L14002"/>
    </row>
    <row r="14003" spans="2:12" x14ac:dyDescent="0.2">
      <c r="B14003"/>
      <c r="C14003"/>
      <c r="J14003"/>
      <c r="K14003"/>
      <c r="L14003"/>
    </row>
    <row r="14004" spans="2:12" x14ac:dyDescent="0.2">
      <c r="B14004"/>
      <c r="C14004"/>
      <c r="J14004"/>
      <c r="K14004"/>
      <c r="L14004"/>
    </row>
    <row r="14005" spans="2:12" x14ac:dyDescent="0.2">
      <c r="B14005"/>
      <c r="C14005"/>
      <c r="J14005"/>
      <c r="K14005"/>
      <c r="L14005"/>
    </row>
    <row r="14006" spans="2:12" x14ac:dyDescent="0.2">
      <c r="B14006"/>
      <c r="C14006"/>
      <c r="J14006"/>
      <c r="K14006"/>
      <c r="L14006"/>
    </row>
    <row r="14007" spans="2:12" x14ac:dyDescent="0.2">
      <c r="B14007"/>
      <c r="C14007"/>
      <c r="J14007"/>
      <c r="K14007"/>
      <c r="L14007"/>
    </row>
    <row r="14008" spans="2:12" x14ac:dyDescent="0.2">
      <c r="B14008"/>
      <c r="C14008"/>
      <c r="J14008"/>
      <c r="K14008"/>
      <c r="L14008"/>
    </row>
    <row r="14009" spans="2:12" x14ac:dyDescent="0.2">
      <c r="B14009"/>
      <c r="C14009"/>
      <c r="J14009"/>
      <c r="K14009"/>
      <c r="L14009"/>
    </row>
    <row r="14010" spans="2:12" x14ac:dyDescent="0.2">
      <c r="B14010"/>
      <c r="C14010"/>
      <c r="J14010"/>
      <c r="K14010"/>
      <c r="L14010"/>
    </row>
    <row r="14011" spans="2:12" x14ac:dyDescent="0.2">
      <c r="B14011"/>
      <c r="C14011"/>
      <c r="J14011"/>
      <c r="K14011"/>
      <c r="L14011"/>
    </row>
    <row r="14012" spans="2:12" x14ac:dyDescent="0.2">
      <c r="B14012"/>
      <c r="C14012"/>
      <c r="J14012"/>
      <c r="K14012"/>
      <c r="L14012"/>
    </row>
    <row r="14013" spans="2:12" x14ac:dyDescent="0.2">
      <c r="B14013"/>
      <c r="C14013"/>
      <c r="J14013"/>
      <c r="K14013"/>
      <c r="L14013"/>
    </row>
    <row r="14014" spans="2:12" x14ac:dyDescent="0.2">
      <c r="B14014"/>
      <c r="C14014"/>
      <c r="J14014"/>
      <c r="K14014"/>
      <c r="L14014"/>
    </row>
    <row r="14015" spans="2:12" x14ac:dyDescent="0.2">
      <c r="B14015"/>
      <c r="C14015"/>
      <c r="J14015"/>
      <c r="K14015"/>
      <c r="L14015"/>
    </row>
    <row r="14016" spans="2:12" x14ac:dyDescent="0.2">
      <c r="B14016"/>
      <c r="C14016"/>
      <c r="J14016"/>
      <c r="K14016"/>
      <c r="L14016"/>
    </row>
    <row r="14017" spans="2:12" x14ac:dyDescent="0.2">
      <c r="B14017"/>
      <c r="C14017"/>
      <c r="J14017"/>
      <c r="K14017"/>
      <c r="L14017"/>
    </row>
    <row r="14018" spans="2:12" x14ac:dyDescent="0.2">
      <c r="B14018"/>
      <c r="C14018"/>
      <c r="J14018"/>
      <c r="K14018"/>
      <c r="L14018"/>
    </row>
    <row r="14019" spans="2:12" x14ac:dyDescent="0.2">
      <c r="B14019"/>
      <c r="C14019"/>
      <c r="J14019"/>
      <c r="K14019"/>
      <c r="L14019"/>
    </row>
    <row r="14020" spans="2:12" x14ac:dyDescent="0.2">
      <c r="B14020"/>
      <c r="C14020"/>
      <c r="J14020"/>
      <c r="K14020"/>
      <c r="L14020"/>
    </row>
    <row r="14021" spans="2:12" x14ac:dyDescent="0.2">
      <c r="B14021"/>
      <c r="C14021"/>
      <c r="J14021"/>
      <c r="K14021"/>
      <c r="L14021"/>
    </row>
    <row r="14022" spans="2:12" x14ac:dyDescent="0.2">
      <c r="B14022"/>
      <c r="C14022"/>
      <c r="J14022"/>
      <c r="K14022"/>
      <c r="L14022"/>
    </row>
    <row r="14023" spans="2:12" x14ac:dyDescent="0.2">
      <c r="B14023"/>
      <c r="C14023"/>
      <c r="J14023"/>
      <c r="K14023"/>
      <c r="L14023"/>
    </row>
    <row r="14024" spans="2:12" x14ac:dyDescent="0.2">
      <c r="B14024"/>
      <c r="C14024"/>
      <c r="J14024"/>
      <c r="K14024"/>
      <c r="L14024"/>
    </row>
    <row r="14025" spans="2:12" x14ac:dyDescent="0.2">
      <c r="B14025"/>
      <c r="C14025"/>
      <c r="J14025"/>
      <c r="K14025"/>
      <c r="L14025"/>
    </row>
    <row r="14026" spans="2:12" x14ac:dyDescent="0.2">
      <c r="B14026"/>
      <c r="C14026"/>
      <c r="J14026"/>
      <c r="K14026"/>
      <c r="L14026"/>
    </row>
    <row r="14027" spans="2:12" x14ac:dyDescent="0.2">
      <c r="B14027"/>
      <c r="C14027"/>
      <c r="J14027"/>
      <c r="K14027"/>
      <c r="L14027"/>
    </row>
    <row r="14028" spans="2:12" x14ac:dyDescent="0.2">
      <c r="B14028"/>
      <c r="C14028"/>
      <c r="J14028"/>
      <c r="K14028"/>
      <c r="L14028"/>
    </row>
    <row r="14029" spans="2:12" x14ac:dyDescent="0.2">
      <c r="B14029"/>
      <c r="C14029"/>
      <c r="J14029"/>
      <c r="K14029"/>
      <c r="L14029"/>
    </row>
    <row r="14030" spans="2:12" x14ac:dyDescent="0.2">
      <c r="B14030"/>
      <c r="C14030"/>
      <c r="J14030"/>
      <c r="K14030"/>
      <c r="L14030"/>
    </row>
    <row r="14031" spans="2:12" x14ac:dyDescent="0.2">
      <c r="B14031"/>
      <c r="C14031"/>
      <c r="J14031"/>
      <c r="K14031"/>
      <c r="L14031"/>
    </row>
    <row r="14032" spans="2:12" x14ac:dyDescent="0.2">
      <c r="B14032"/>
      <c r="C14032"/>
      <c r="J14032"/>
      <c r="K14032"/>
      <c r="L14032"/>
    </row>
    <row r="14033" spans="2:12" x14ac:dyDescent="0.2">
      <c r="B14033"/>
      <c r="C14033"/>
      <c r="J14033"/>
      <c r="K14033"/>
      <c r="L14033"/>
    </row>
    <row r="14034" spans="2:12" x14ac:dyDescent="0.2">
      <c r="B14034"/>
      <c r="C14034"/>
      <c r="J14034"/>
      <c r="K14034"/>
      <c r="L14034"/>
    </row>
    <row r="14035" spans="2:12" x14ac:dyDescent="0.2">
      <c r="B14035"/>
      <c r="C14035"/>
      <c r="J14035"/>
      <c r="K14035"/>
      <c r="L14035"/>
    </row>
    <row r="14036" spans="2:12" x14ac:dyDescent="0.2">
      <c r="B14036"/>
      <c r="C14036"/>
      <c r="J14036"/>
      <c r="K14036"/>
      <c r="L14036"/>
    </row>
    <row r="14037" spans="2:12" x14ac:dyDescent="0.2">
      <c r="B14037"/>
      <c r="C14037"/>
      <c r="J14037"/>
      <c r="K14037"/>
      <c r="L14037"/>
    </row>
    <row r="14038" spans="2:12" x14ac:dyDescent="0.2">
      <c r="B14038"/>
      <c r="C14038"/>
      <c r="J14038"/>
      <c r="K14038"/>
      <c r="L14038"/>
    </row>
    <row r="14039" spans="2:12" x14ac:dyDescent="0.2">
      <c r="B14039"/>
      <c r="C14039"/>
      <c r="J14039"/>
      <c r="K14039"/>
      <c r="L14039"/>
    </row>
    <row r="14040" spans="2:12" x14ac:dyDescent="0.2">
      <c r="B14040"/>
      <c r="C14040"/>
      <c r="J14040"/>
      <c r="K14040"/>
      <c r="L14040"/>
    </row>
    <row r="14041" spans="2:12" x14ac:dyDescent="0.2">
      <c r="B14041"/>
      <c r="C14041"/>
      <c r="J14041"/>
      <c r="K14041"/>
      <c r="L14041"/>
    </row>
    <row r="14042" spans="2:12" x14ac:dyDescent="0.2">
      <c r="B14042"/>
      <c r="C14042"/>
      <c r="J14042"/>
      <c r="K14042"/>
      <c r="L14042"/>
    </row>
    <row r="14043" spans="2:12" x14ac:dyDescent="0.2">
      <c r="B14043"/>
      <c r="C14043"/>
      <c r="J14043"/>
      <c r="K14043"/>
      <c r="L14043"/>
    </row>
    <row r="14044" spans="2:12" x14ac:dyDescent="0.2">
      <c r="B14044"/>
      <c r="C14044"/>
      <c r="J14044"/>
      <c r="K14044"/>
      <c r="L14044"/>
    </row>
    <row r="14045" spans="2:12" x14ac:dyDescent="0.2">
      <c r="B14045"/>
      <c r="C14045"/>
      <c r="J14045"/>
      <c r="K14045"/>
      <c r="L14045"/>
    </row>
    <row r="14046" spans="2:12" x14ac:dyDescent="0.2">
      <c r="B14046"/>
      <c r="C14046"/>
      <c r="J14046"/>
      <c r="K14046"/>
      <c r="L14046"/>
    </row>
    <row r="14047" spans="2:12" x14ac:dyDescent="0.2">
      <c r="B14047"/>
      <c r="C14047"/>
      <c r="J14047"/>
      <c r="K14047"/>
      <c r="L14047"/>
    </row>
    <row r="14048" spans="2:12" x14ac:dyDescent="0.2">
      <c r="B14048"/>
      <c r="C14048"/>
      <c r="J14048"/>
      <c r="K14048"/>
      <c r="L14048"/>
    </row>
    <row r="14049" spans="2:12" x14ac:dyDescent="0.2">
      <c r="B14049"/>
      <c r="C14049"/>
      <c r="J14049"/>
      <c r="K14049"/>
      <c r="L14049"/>
    </row>
    <row r="14050" spans="2:12" x14ac:dyDescent="0.2">
      <c r="B14050"/>
      <c r="C14050"/>
      <c r="J14050"/>
      <c r="K14050"/>
      <c r="L14050"/>
    </row>
    <row r="14051" spans="2:12" x14ac:dyDescent="0.2">
      <c r="B14051"/>
      <c r="C14051"/>
      <c r="J14051"/>
      <c r="K14051"/>
      <c r="L14051"/>
    </row>
    <row r="14052" spans="2:12" x14ac:dyDescent="0.2">
      <c r="B14052"/>
      <c r="C14052"/>
      <c r="J14052"/>
      <c r="K14052"/>
      <c r="L14052"/>
    </row>
    <row r="14053" spans="2:12" x14ac:dyDescent="0.2">
      <c r="B14053"/>
      <c r="C14053"/>
      <c r="J14053"/>
      <c r="K14053"/>
      <c r="L14053"/>
    </row>
    <row r="14054" spans="2:12" x14ac:dyDescent="0.2">
      <c r="B14054"/>
      <c r="C14054"/>
      <c r="J14054"/>
      <c r="K14054"/>
      <c r="L14054"/>
    </row>
    <row r="14055" spans="2:12" x14ac:dyDescent="0.2">
      <c r="B14055"/>
      <c r="C14055"/>
      <c r="J14055"/>
      <c r="K14055"/>
      <c r="L14055"/>
    </row>
    <row r="14056" spans="2:12" x14ac:dyDescent="0.2">
      <c r="B14056"/>
      <c r="C14056"/>
      <c r="J14056"/>
      <c r="K14056"/>
      <c r="L14056"/>
    </row>
    <row r="14057" spans="2:12" x14ac:dyDescent="0.2">
      <c r="B14057"/>
      <c r="C14057"/>
      <c r="J14057"/>
      <c r="K14057"/>
      <c r="L14057"/>
    </row>
    <row r="14058" spans="2:12" x14ac:dyDescent="0.2">
      <c r="B14058"/>
      <c r="C14058"/>
      <c r="J14058"/>
      <c r="K14058"/>
      <c r="L14058"/>
    </row>
    <row r="14059" spans="2:12" x14ac:dyDescent="0.2">
      <c r="B14059"/>
      <c r="C14059"/>
      <c r="J14059"/>
      <c r="K14059"/>
      <c r="L14059"/>
    </row>
    <row r="14060" spans="2:12" x14ac:dyDescent="0.2">
      <c r="B14060"/>
      <c r="C14060"/>
      <c r="J14060"/>
      <c r="K14060"/>
      <c r="L14060"/>
    </row>
    <row r="14061" spans="2:12" x14ac:dyDescent="0.2">
      <c r="B14061"/>
      <c r="C14061"/>
      <c r="J14061"/>
      <c r="K14061"/>
      <c r="L14061"/>
    </row>
    <row r="14062" spans="2:12" x14ac:dyDescent="0.2">
      <c r="B14062"/>
      <c r="C14062"/>
      <c r="J14062"/>
      <c r="K14062"/>
      <c r="L14062"/>
    </row>
    <row r="14063" spans="2:12" x14ac:dyDescent="0.2">
      <c r="B14063"/>
      <c r="C14063"/>
      <c r="J14063"/>
      <c r="K14063"/>
      <c r="L14063"/>
    </row>
    <row r="14064" spans="2:12" x14ac:dyDescent="0.2">
      <c r="B14064"/>
      <c r="C14064"/>
      <c r="J14064"/>
      <c r="K14064"/>
      <c r="L14064"/>
    </row>
    <row r="14065" spans="2:12" x14ac:dyDescent="0.2">
      <c r="B14065"/>
      <c r="C14065"/>
      <c r="J14065"/>
      <c r="K14065"/>
      <c r="L14065"/>
    </row>
    <row r="14066" spans="2:12" x14ac:dyDescent="0.2">
      <c r="B14066"/>
      <c r="C14066"/>
      <c r="J14066"/>
      <c r="K14066"/>
      <c r="L14066"/>
    </row>
    <row r="14067" spans="2:12" x14ac:dyDescent="0.2">
      <c r="B14067"/>
      <c r="C14067"/>
      <c r="J14067"/>
      <c r="K14067"/>
      <c r="L14067"/>
    </row>
    <row r="14068" spans="2:12" x14ac:dyDescent="0.2">
      <c r="B14068"/>
      <c r="C14068"/>
      <c r="J14068"/>
      <c r="K14068"/>
      <c r="L14068"/>
    </row>
    <row r="14069" spans="2:12" x14ac:dyDescent="0.2">
      <c r="B14069"/>
      <c r="C14069"/>
      <c r="J14069"/>
      <c r="K14069"/>
      <c r="L14069"/>
    </row>
    <row r="14070" spans="2:12" x14ac:dyDescent="0.2">
      <c r="B14070"/>
      <c r="C14070"/>
      <c r="J14070"/>
      <c r="K14070"/>
      <c r="L14070"/>
    </row>
    <row r="14071" spans="2:12" x14ac:dyDescent="0.2">
      <c r="B14071"/>
      <c r="C14071"/>
      <c r="J14071"/>
      <c r="K14071"/>
      <c r="L14071"/>
    </row>
    <row r="14072" spans="2:12" x14ac:dyDescent="0.2">
      <c r="B14072"/>
      <c r="C14072"/>
      <c r="J14072"/>
      <c r="K14072"/>
      <c r="L14072"/>
    </row>
    <row r="14073" spans="2:12" x14ac:dyDescent="0.2">
      <c r="B14073"/>
      <c r="C14073"/>
      <c r="J14073"/>
      <c r="K14073"/>
      <c r="L14073"/>
    </row>
    <row r="14074" spans="2:12" x14ac:dyDescent="0.2">
      <c r="B14074"/>
      <c r="C14074"/>
      <c r="J14074"/>
      <c r="K14074"/>
      <c r="L14074"/>
    </row>
    <row r="14075" spans="2:12" x14ac:dyDescent="0.2">
      <c r="B14075"/>
      <c r="C14075"/>
      <c r="J14075"/>
      <c r="K14075"/>
      <c r="L14075"/>
    </row>
    <row r="14076" spans="2:12" x14ac:dyDescent="0.2">
      <c r="B14076"/>
      <c r="C14076"/>
      <c r="J14076"/>
      <c r="K14076"/>
      <c r="L14076"/>
    </row>
    <row r="14077" spans="2:12" x14ac:dyDescent="0.2">
      <c r="B14077"/>
      <c r="C14077"/>
      <c r="J14077"/>
      <c r="K14077"/>
      <c r="L14077"/>
    </row>
    <row r="14078" spans="2:12" x14ac:dyDescent="0.2">
      <c r="B14078"/>
      <c r="C14078"/>
      <c r="J14078"/>
      <c r="K14078"/>
      <c r="L14078"/>
    </row>
    <row r="14079" spans="2:12" x14ac:dyDescent="0.2">
      <c r="B14079"/>
      <c r="C14079"/>
      <c r="J14079"/>
      <c r="K14079"/>
      <c r="L14079"/>
    </row>
    <row r="14080" spans="2:12" x14ac:dyDescent="0.2">
      <c r="B14080"/>
      <c r="C14080"/>
      <c r="J14080"/>
      <c r="K14080"/>
      <c r="L14080"/>
    </row>
    <row r="14081" spans="2:12" x14ac:dyDescent="0.2">
      <c r="B14081"/>
      <c r="C14081"/>
      <c r="J14081"/>
      <c r="K14081"/>
      <c r="L14081"/>
    </row>
    <row r="14082" spans="2:12" x14ac:dyDescent="0.2">
      <c r="B14082"/>
      <c r="C14082"/>
      <c r="J14082"/>
      <c r="K14082"/>
      <c r="L14082"/>
    </row>
    <row r="14083" spans="2:12" x14ac:dyDescent="0.2">
      <c r="B14083"/>
      <c r="C14083"/>
      <c r="J14083"/>
      <c r="K14083"/>
      <c r="L14083"/>
    </row>
    <row r="14084" spans="2:12" x14ac:dyDescent="0.2">
      <c r="B14084"/>
      <c r="C14084"/>
      <c r="J14084"/>
      <c r="K14084"/>
      <c r="L14084"/>
    </row>
    <row r="14085" spans="2:12" x14ac:dyDescent="0.2">
      <c r="B14085"/>
      <c r="C14085"/>
      <c r="J14085"/>
      <c r="K14085"/>
      <c r="L14085"/>
    </row>
    <row r="14086" spans="2:12" x14ac:dyDescent="0.2">
      <c r="B14086"/>
      <c r="C14086"/>
      <c r="J14086"/>
      <c r="K14086"/>
      <c r="L14086"/>
    </row>
    <row r="14087" spans="2:12" x14ac:dyDescent="0.2">
      <c r="B14087"/>
      <c r="C14087"/>
      <c r="J14087"/>
      <c r="K14087"/>
      <c r="L14087"/>
    </row>
    <row r="14088" spans="2:12" x14ac:dyDescent="0.2">
      <c r="B14088"/>
      <c r="C14088"/>
      <c r="J14088"/>
      <c r="K14088"/>
      <c r="L14088"/>
    </row>
    <row r="14089" spans="2:12" x14ac:dyDescent="0.2">
      <c r="B14089"/>
      <c r="C14089"/>
      <c r="J14089"/>
      <c r="K14089"/>
      <c r="L14089"/>
    </row>
    <row r="14090" spans="2:12" x14ac:dyDescent="0.2">
      <c r="B14090"/>
      <c r="C14090"/>
      <c r="J14090"/>
      <c r="K14090"/>
      <c r="L14090"/>
    </row>
    <row r="14091" spans="2:12" x14ac:dyDescent="0.2">
      <c r="B14091"/>
      <c r="C14091"/>
      <c r="J14091"/>
      <c r="K14091"/>
      <c r="L14091"/>
    </row>
    <row r="14092" spans="2:12" x14ac:dyDescent="0.2">
      <c r="B14092"/>
      <c r="C14092"/>
      <c r="J14092"/>
      <c r="K14092"/>
      <c r="L14092"/>
    </row>
    <row r="14093" spans="2:12" x14ac:dyDescent="0.2">
      <c r="B14093"/>
      <c r="C14093"/>
      <c r="J14093"/>
      <c r="K14093"/>
      <c r="L14093"/>
    </row>
    <row r="14094" spans="2:12" x14ac:dyDescent="0.2">
      <c r="B14094"/>
      <c r="C14094"/>
      <c r="J14094"/>
      <c r="K14094"/>
      <c r="L14094"/>
    </row>
    <row r="14095" spans="2:12" x14ac:dyDescent="0.2">
      <c r="B14095"/>
      <c r="C14095"/>
      <c r="J14095"/>
      <c r="K14095"/>
      <c r="L14095"/>
    </row>
    <row r="14096" spans="2:12" x14ac:dyDescent="0.2">
      <c r="B14096"/>
      <c r="C14096"/>
      <c r="J14096"/>
      <c r="K14096"/>
      <c r="L14096"/>
    </row>
    <row r="14097" spans="2:12" x14ac:dyDescent="0.2">
      <c r="B14097"/>
      <c r="C14097"/>
      <c r="J14097"/>
      <c r="K14097"/>
      <c r="L14097"/>
    </row>
    <row r="14098" spans="2:12" x14ac:dyDescent="0.2">
      <c r="B14098"/>
      <c r="C14098"/>
      <c r="J14098"/>
      <c r="K14098"/>
      <c r="L14098"/>
    </row>
    <row r="14099" spans="2:12" x14ac:dyDescent="0.2">
      <c r="B14099"/>
      <c r="C14099"/>
      <c r="J14099"/>
      <c r="K14099"/>
      <c r="L14099"/>
    </row>
    <row r="14100" spans="2:12" x14ac:dyDescent="0.2">
      <c r="B14100"/>
      <c r="C14100"/>
      <c r="J14100"/>
      <c r="K14100"/>
      <c r="L14100"/>
    </row>
    <row r="14101" spans="2:12" x14ac:dyDescent="0.2">
      <c r="B14101"/>
      <c r="C14101"/>
      <c r="J14101"/>
      <c r="K14101"/>
      <c r="L14101"/>
    </row>
    <row r="14102" spans="2:12" x14ac:dyDescent="0.2">
      <c r="B14102"/>
      <c r="C14102"/>
      <c r="J14102"/>
      <c r="K14102"/>
      <c r="L14102"/>
    </row>
    <row r="14103" spans="2:12" x14ac:dyDescent="0.2">
      <c r="B14103"/>
      <c r="C14103"/>
      <c r="J14103"/>
      <c r="K14103"/>
      <c r="L14103"/>
    </row>
    <row r="14104" spans="2:12" x14ac:dyDescent="0.2">
      <c r="B14104"/>
      <c r="C14104"/>
      <c r="J14104"/>
      <c r="K14104"/>
      <c r="L14104"/>
    </row>
    <row r="14105" spans="2:12" x14ac:dyDescent="0.2">
      <c r="B14105"/>
      <c r="C14105"/>
      <c r="J14105"/>
      <c r="K14105"/>
      <c r="L14105"/>
    </row>
    <row r="14106" spans="2:12" x14ac:dyDescent="0.2">
      <c r="B14106"/>
      <c r="C14106"/>
      <c r="J14106"/>
      <c r="K14106"/>
      <c r="L14106"/>
    </row>
    <row r="14107" spans="2:12" x14ac:dyDescent="0.2">
      <c r="B14107"/>
      <c r="C14107"/>
      <c r="J14107"/>
      <c r="K14107"/>
      <c r="L14107"/>
    </row>
    <row r="14108" spans="2:12" x14ac:dyDescent="0.2">
      <c r="B14108"/>
      <c r="C14108"/>
      <c r="J14108"/>
      <c r="K14108"/>
      <c r="L14108"/>
    </row>
    <row r="14109" spans="2:12" x14ac:dyDescent="0.2">
      <c r="B14109"/>
      <c r="C14109"/>
      <c r="J14109"/>
      <c r="K14109"/>
      <c r="L14109"/>
    </row>
    <row r="14110" spans="2:12" x14ac:dyDescent="0.2">
      <c r="B14110"/>
      <c r="C14110"/>
      <c r="J14110"/>
      <c r="K14110"/>
      <c r="L14110"/>
    </row>
    <row r="14111" spans="2:12" x14ac:dyDescent="0.2">
      <c r="B14111"/>
      <c r="C14111"/>
      <c r="J14111"/>
      <c r="K14111"/>
      <c r="L14111"/>
    </row>
    <row r="14112" spans="2:12" x14ac:dyDescent="0.2">
      <c r="B14112"/>
      <c r="C14112"/>
      <c r="J14112"/>
      <c r="K14112"/>
      <c r="L14112"/>
    </row>
    <row r="14113" spans="2:12" x14ac:dyDescent="0.2">
      <c r="B14113"/>
      <c r="C14113"/>
      <c r="J14113"/>
      <c r="K14113"/>
      <c r="L14113"/>
    </row>
    <row r="14114" spans="2:12" x14ac:dyDescent="0.2">
      <c r="B14114"/>
      <c r="C14114"/>
      <c r="J14114"/>
      <c r="K14114"/>
      <c r="L14114"/>
    </row>
    <row r="14115" spans="2:12" x14ac:dyDescent="0.2">
      <c r="B14115"/>
      <c r="C14115"/>
      <c r="J14115"/>
      <c r="K14115"/>
      <c r="L14115"/>
    </row>
    <row r="14116" spans="2:12" x14ac:dyDescent="0.2">
      <c r="B14116"/>
      <c r="C14116"/>
      <c r="J14116"/>
      <c r="K14116"/>
      <c r="L14116"/>
    </row>
    <row r="14117" spans="2:12" x14ac:dyDescent="0.2">
      <c r="B14117"/>
      <c r="C14117"/>
      <c r="J14117"/>
      <c r="K14117"/>
      <c r="L14117"/>
    </row>
    <row r="14118" spans="2:12" x14ac:dyDescent="0.2">
      <c r="B14118"/>
      <c r="C14118"/>
      <c r="J14118"/>
      <c r="K14118"/>
      <c r="L14118"/>
    </row>
    <row r="14119" spans="2:12" x14ac:dyDescent="0.2">
      <c r="B14119"/>
      <c r="C14119"/>
      <c r="J14119"/>
      <c r="K14119"/>
      <c r="L14119"/>
    </row>
    <row r="14120" spans="2:12" x14ac:dyDescent="0.2">
      <c r="B14120"/>
      <c r="C14120"/>
      <c r="J14120"/>
      <c r="K14120"/>
      <c r="L14120"/>
    </row>
    <row r="14121" spans="2:12" x14ac:dyDescent="0.2">
      <c r="B14121"/>
      <c r="C14121"/>
      <c r="J14121"/>
      <c r="K14121"/>
      <c r="L14121"/>
    </row>
    <row r="14122" spans="2:12" x14ac:dyDescent="0.2">
      <c r="B14122"/>
      <c r="C14122"/>
      <c r="J14122"/>
      <c r="K14122"/>
      <c r="L14122"/>
    </row>
    <row r="14123" spans="2:12" x14ac:dyDescent="0.2">
      <c r="B14123"/>
      <c r="C14123"/>
      <c r="J14123"/>
      <c r="K14123"/>
      <c r="L14123"/>
    </row>
    <row r="14124" spans="2:12" x14ac:dyDescent="0.2">
      <c r="B14124"/>
      <c r="C14124"/>
      <c r="J14124"/>
      <c r="K14124"/>
      <c r="L14124"/>
    </row>
    <row r="14125" spans="2:12" x14ac:dyDescent="0.2">
      <c r="B14125"/>
      <c r="C14125"/>
      <c r="J14125"/>
      <c r="K14125"/>
      <c r="L14125"/>
    </row>
    <row r="14126" spans="2:12" x14ac:dyDescent="0.2">
      <c r="B14126"/>
      <c r="C14126"/>
      <c r="J14126"/>
      <c r="K14126"/>
      <c r="L14126"/>
    </row>
    <row r="14127" spans="2:12" x14ac:dyDescent="0.2">
      <c r="B14127"/>
      <c r="C14127"/>
      <c r="J14127"/>
      <c r="K14127"/>
      <c r="L14127"/>
    </row>
    <row r="14128" spans="2:12" x14ac:dyDescent="0.2">
      <c r="B14128"/>
      <c r="C14128"/>
      <c r="J14128"/>
      <c r="K14128"/>
      <c r="L14128"/>
    </row>
    <row r="14129" spans="2:12" x14ac:dyDescent="0.2">
      <c r="B14129"/>
      <c r="C14129"/>
      <c r="J14129"/>
      <c r="K14129"/>
      <c r="L14129"/>
    </row>
    <row r="14130" spans="2:12" x14ac:dyDescent="0.2">
      <c r="B14130"/>
      <c r="C14130"/>
      <c r="J14130"/>
      <c r="K14130"/>
      <c r="L14130"/>
    </row>
    <row r="14131" spans="2:12" x14ac:dyDescent="0.2">
      <c r="B14131"/>
      <c r="C14131"/>
      <c r="J14131"/>
      <c r="K14131"/>
      <c r="L14131"/>
    </row>
    <row r="14132" spans="2:12" x14ac:dyDescent="0.2">
      <c r="B14132"/>
      <c r="C14132"/>
      <c r="J14132"/>
      <c r="K14132"/>
      <c r="L14132"/>
    </row>
    <row r="14133" spans="2:12" x14ac:dyDescent="0.2">
      <c r="B14133"/>
      <c r="C14133"/>
      <c r="J14133"/>
      <c r="K14133"/>
      <c r="L14133"/>
    </row>
    <row r="14134" spans="2:12" x14ac:dyDescent="0.2">
      <c r="B14134"/>
      <c r="C14134"/>
      <c r="J14134"/>
      <c r="K14134"/>
      <c r="L14134"/>
    </row>
    <row r="14135" spans="2:12" x14ac:dyDescent="0.2">
      <c r="B14135"/>
      <c r="C14135"/>
      <c r="J14135"/>
      <c r="K14135"/>
      <c r="L14135"/>
    </row>
    <row r="14136" spans="2:12" x14ac:dyDescent="0.2">
      <c r="B14136"/>
      <c r="C14136"/>
      <c r="J14136"/>
      <c r="K14136"/>
      <c r="L14136"/>
    </row>
    <row r="14137" spans="2:12" x14ac:dyDescent="0.2">
      <c r="B14137"/>
      <c r="C14137"/>
      <c r="J14137"/>
      <c r="K14137"/>
      <c r="L14137"/>
    </row>
    <row r="14138" spans="2:12" x14ac:dyDescent="0.2">
      <c r="B14138"/>
      <c r="C14138"/>
      <c r="J14138"/>
      <c r="K14138"/>
      <c r="L14138"/>
    </row>
    <row r="14139" spans="2:12" x14ac:dyDescent="0.2">
      <c r="B14139"/>
      <c r="C14139"/>
      <c r="J14139"/>
      <c r="K14139"/>
      <c r="L14139"/>
    </row>
    <row r="14140" spans="2:12" x14ac:dyDescent="0.2">
      <c r="B14140"/>
      <c r="C14140"/>
      <c r="J14140"/>
      <c r="K14140"/>
      <c r="L14140"/>
    </row>
    <row r="14141" spans="2:12" x14ac:dyDescent="0.2">
      <c r="B14141"/>
      <c r="C14141"/>
      <c r="J14141"/>
      <c r="K14141"/>
      <c r="L14141"/>
    </row>
    <row r="14142" spans="2:12" x14ac:dyDescent="0.2">
      <c r="B14142"/>
      <c r="C14142"/>
      <c r="J14142"/>
      <c r="K14142"/>
      <c r="L14142"/>
    </row>
    <row r="14143" spans="2:12" x14ac:dyDescent="0.2">
      <c r="B14143"/>
      <c r="C14143"/>
      <c r="J14143"/>
      <c r="K14143"/>
      <c r="L14143"/>
    </row>
    <row r="14144" spans="2:12" x14ac:dyDescent="0.2">
      <c r="B14144"/>
      <c r="C14144"/>
      <c r="J14144"/>
      <c r="K14144"/>
      <c r="L14144"/>
    </row>
    <row r="14145" spans="2:12" x14ac:dyDescent="0.2">
      <c r="B14145"/>
      <c r="C14145"/>
      <c r="J14145"/>
      <c r="K14145"/>
      <c r="L14145"/>
    </row>
    <row r="14146" spans="2:12" x14ac:dyDescent="0.2">
      <c r="B14146"/>
      <c r="C14146"/>
      <c r="J14146"/>
      <c r="K14146"/>
      <c r="L14146"/>
    </row>
    <row r="14147" spans="2:12" x14ac:dyDescent="0.2">
      <c r="B14147"/>
      <c r="C14147"/>
      <c r="J14147"/>
      <c r="K14147"/>
      <c r="L14147"/>
    </row>
    <row r="14148" spans="2:12" x14ac:dyDescent="0.2">
      <c r="B14148"/>
      <c r="C14148"/>
      <c r="J14148"/>
      <c r="K14148"/>
      <c r="L14148"/>
    </row>
    <row r="14149" spans="2:12" x14ac:dyDescent="0.2">
      <c r="B14149"/>
      <c r="C14149"/>
      <c r="J14149"/>
      <c r="K14149"/>
      <c r="L14149"/>
    </row>
    <row r="14150" spans="2:12" x14ac:dyDescent="0.2">
      <c r="B14150"/>
      <c r="C14150"/>
      <c r="J14150"/>
      <c r="K14150"/>
      <c r="L14150"/>
    </row>
    <row r="14151" spans="2:12" x14ac:dyDescent="0.2">
      <c r="B14151"/>
      <c r="C14151"/>
      <c r="J14151"/>
      <c r="K14151"/>
      <c r="L14151"/>
    </row>
    <row r="14152" spans="2:12" x14ac:dyDescent="0.2">
      <c r="B14152"/>
      <c r="C14152"/>
      <c r="J14152"/>
      <c r="K14152"/>
      <c r="L14152"/>
    </row>
    <row r="14153" spans="2:12" x14ac:dyDescent="0.2">
      <c r="B14153"/>
      <c r="C14153"/>
      <c r="J14153"/>
      <c r="K14153"/>
      <c r="L14153"/>
    </row>
    <row r="14154" spans="2:12" x14ac:dyDescent="0.2">
      <c r="B14154"/>
      <c r="C14154"/>
      <c r="J14154"/>
      <c r="K14154"/>
      <c r="L14154"/>
    </row>
    <row r="14155" spans="2:12" x14ac:dyDescent="0.2">
      <c r="B14155"/>
      <c r="C14155"/>
      <c r="J14155"/>
      <c r="K14155"/>
      <c r="L14155"/>
    </row>
    <row r="14156" spans="2:12" x14ac:dyDescent="0.2">
      <c r="B14156"/>
      <c r="C14156"/>
      <c r="J14156"/>
      <c r="K14156"/>
      <c r="L14156"/>
    </row>
    <row r="14157" spans="2:12" x14ac:dyDescent="0.2">
      <c r="B14157"/>
      <c r="C14157"/>
      <c r="J14157"/>
      <c r="K14157"/>
      <c r="L14157"/>
    </row>
    <row r="14158" spans="2:12" x14ac:dyDescent="0.2">
      <c r="B14158"/>
      <c r="C14158"/>
      <c r="J14158"/>
      <c r="K14158"/>
      <c r="L14158"/>
    </row>
    <row r="14159" spans="2:12" x14ac:dyDescent="0.2">
      <c r="B14159"/>
      <c r="C14159"/>
      <c r="J14159"/>
      <c r="K14159"/>
      <c r="L14159"/>
    </row>
    <row r="14160" spans="2:12" x14ac:dyDescent="0.2">
      <c r="B14160"/>
      <c r="C14160"/>
      <c r="J14160"/>
      <c r="K14160"/>
      <c r="L14160"/>
    </row>
    <row r="14161" spans="2:12" x14ac:dyDescent="0.2">
      <c r="B14161"/>
      <c r="C14161"/>
      <c r="J14161"/>
      <c r="K14161"/>
      <c r="L14161"/>
    </row>
    <row r="14162" spans="2:12" x14ac:dyDescent="0.2">
      <c r="B14162"/>
      <c r="C14162"/>
      <c r="J14162"/>
      <c r="K14162"/>
      <c r="L14162"/>
    </row>
    <row r="14163" spans="2:12" x14ac:dyDescent="0.2">
      <c r="B14163"/>
      <c r="C14163"/>
      <c r="J14163"/>
      <c r="K14163"/>
      <c r="L14163"/>
    </row>
    <row r="14164" spans="2:12" x14ac:dyDescent="0.2">
      <c r="B14164"/>
      <c r="C14164"/>
      <c r="J14164"/>
      <c r="K14164"/>
      <c r="L14164"/>
    </row>
    <row r="14165" spans="2:12" x14ac:dyDescent="0.2">
      <c r="B14165"/>
      <c r="C14165"/>
      <c r="J14165"/>
      <c r="K14165"/>
      <c r="L14165"/>
    </row>
    <row r="14166" spans="2:12" x14ac:dyDescent="0.2">
      <c r="B14166"/>
      <c r="C14166"/>
      <c r="J14166"/>
      <c r="K14166"/>
      <c r="L14166"/>
    </row>
    <row r="14167" spans="2:12" x14ac:dyDescent="0.2">
      <c r="B14167"/>
      <c r="C14167"/>
      <c r="J14167"/>
      <c r="K14167"/>
      <c r="L14167"/>
    </row>
    <row r="14168" spans="2:12" x14ac:dyDescent="0.2">
      <c r="B14168"/>
      <c r="C14168"/>
      <c r="J14168"/>
      <c r="K14168"/>
      <c r="L14168"/>
    </row>
    <row r="14169" spans="2:12" x14ac:dyDescent="0.2">
      <c r="B14169"/>
      <c r="C14169"/>
      <c r="J14169"/>
      <c r="K14169"/>
      <c r="L14169"/>
    </row>
    <row r="14170" spans="2:12" x14ac:dyDescent="0.2">
      <c r="B14170"/>
      <c r="C14170"/>
      <c r="J14170"/>
      <c r="K14170"/>
      <c r="L14170"/>
    </row>
    <row r="14171" spans="2:12" x14ac:dyDescent="0.2">
      <c r="B14171"/>
      <c r="C14171"/>
      <c r="J14171"/>
      <c r="K14171"/>
      <c r="L14171"/>
    </row>
    <row r="14172" spans="2:12" x14ac:dyDescent="0.2">
      <c r="B14172"/>
      <c r="C14172"/>
      <c r="J14172"/>
      <c r="K14172"/>
      <c r="L14172"/>
    </row>
    <row r="14173" spans="2:12" x14ac:dyDescent="0.2">
      <c r="B14173"/>
      <c r="C14173"/>
      <c r="J14173"/>
      <c r="K14173"/>
      <c r="L14173"/>
    </row>
    <row r="14174" spans="2:12" x14ac:dyDescent="0.2">
      <c r="B14174"/>
      <c r="C14174"/>
      <c r="J14174"/>
      <c r="K14174"/>
      <c r="L14174"/>
    </row>
    <row r="14175" spans="2:12" x14ac:dyDescent="0.2">
      <c r="B14175"/>
      <c r="C14175"/>
      <c r="J14175"/>
      <c r="K14175"/>
      <c r="L14175"/>
    </row>
    <row r="14176" spans="2:12" x14ac:dyDescent="0.2">
      <c r="B14176"/>
      <c r="C14176"/>
      <c r="J14176"/>
      <c r="K14176"/>
      <c r="L14176"/>
    </row>
    <row r="14177" spans="2:12" x14ac:dyDescent="0.2">
      <c r="B14177"/>
      <c r="C14177"/>
      <c r="J14177"/>
      <c r="K14177"/>
      <c r="L14177"/>
    </row>
    <row r="14178" spans="2:12" x14ac:dyDescent="0.2">
      <c r="B14178"/>
      <c r="C14178"/>
      <c r="J14178"/>
      <c r="K14178"/>
      <c r="L14178"/>
    </row>
    <row r="14179" spans="2:12" x14ac:dyDescent="0.2">
      <c r="B14179"/>
      <c r="C14179"/>
      <c r="J14179"/>
      <c r="K14179"/>
      <c r="L14179"/>
    </row>
    <row r="14180" spans="2:12" x14ac:dyDescent="0.2">
      <c r="B14180"/>
      <c r="C14180"/>
      <c r="J14180"/>
      <c r="K14180"/>
      <c r="L14180"/>
    </row>
    <row r="14181" spans="2:12" x14ac:dyDescent="0.2">
      <c r="B14181"/>
      <c r="C14181"/>
      <c r="J14181"/>
      <c r="K14181"/>
      <c r="L14181"/>
    </row>
    <row r="14182" spans="2:12" x14ac:dyDescent="0.2">
      <c r="B14182"/>
      <c r="C14182"/>
      <c r="J14182"/>
      <c r="K14182"/>
      <c r="L14182"/>
    </row>
    <row r="14183" spans="2:12" x14ac:dyDescent="0.2">
      <c r="B14183"/>
      <c r="C14183"/>
      <c r="J14183"/>
      <c r="K14183"/>
      <c r="L14183"/>
    </row>
    <row r="14184" spans="2:12" x14ac:dyDescent="0.2">
      <c r="B14184"/>
      <c r="C14184"/>
      <c r="J14184"/>
      <c r="K14184"/>
      <c r="L14184"/>
    </row>
    <row r="14185" spans="2:12" x14ac:dyDescent="0.2">
      <c r="B14185"/>
      <c r="C14185"/>
      <c r="J14185"/>
      <c r="K14185"/>
      <c r="L14185"/>
    </row>
    <row r="14186" spans="2:12" x14ac:dyDescent="0.2">
      <c r="B14186"/>
      <c r="C14186"/>
      <c r="J14186"/>
      <c r="K14186"/>
      <c r="L14186"/>
    </row>
    <row r="14187" spans="2:12" x14ac:dyDescent="0.2">
      <c r="B14187"/>
      <c r="C14187"/>
      <c r="J14187"/>
      <c r="K14187"/>
      <c r="L14187"/>
    </row>
    <row r="14188" spans="2:12" x14ac:dyDescent="0.2">
      <c r="B14188"/>
      <c r="C14188"/>
      <c r="J14188"/>
      <c r="K14188"/>
      <c r="L14188"/>
    </row>
    <row r="14189" spans="2:12" x14ac:dyDescent="0.2">
      <c r="B14189"/>
      <c r="C14189"/>
      <c r="J14189"/>
      <c r="K14189"/>
      <c r="L14189"/>
    </row>
    <row r="14190" spans="2:12" x14ac:dyDescent="0.2">
      <c r="B14190"/>
      <c r="C14190"/>
      <c r="J14190"/>
      <c r="K14190"/>
      <c r="L14190"/>
    </row>
    <row r="14191" spans="2:12" x14ac:dyDescent="0.2">
      <c r="B14191"/>
      <c r="C14191"/>
      <c r="J14191"/>
      <c r="K14191"/>
      <c r="L14191"/>
    </row>
    <row r="14192" spans="2:12" x14ac:dyDescent="0.2">
      <c r="B14192"/>
      <c r="C14192"/>
      <c r="J14192"/>
      <c r="K14192"/>
      <c r="L14192"/>
    </row>
    <row r="14193" spans="2:12" x14ac:dyDescent="0.2">
      <c r="B14193"/>
      <c r="C14193"/>
      <c r="J14193"/>
      <c r="K14193"/>
      <c r="L14193"/>
    </row>
    <row r="14194" spans="2:12" x14ac:dyDescent="0.2">
      <c r="B14194"/>
      <c r="C14194"/>
      <c r="J14194"/>
      <c r="K14194"/>
      <c r="L14194"/>
    </row>
    <row r="14195" spans="2:12" x14ac:dyDescent="0.2">
      <c r="B14195"/>
      <c r="C14195"/>
      <c r="J14195"/>
      <c r="K14195"/>
      <c r="L14195"/>
    </row>
    <row r="14196" spans="2:12" x14ac:dyDescent="0.2">
      <c r="B14196"/>
      <c r="C14196"/>
      <c r="J14196"/>
      <c r="K14196"/>
      <c r="L14196"/>
    </row>
    <row r="14197" spans="2:12" x14ac:dyDescent="0.2">
      <c r="B14197"/>
      <c r="C14197"/>
      <c r="J14197"/>
      <c r="K14197"/>
      <c r="L14197"/>
    </row>
    <row r="14198" spans="2:12" x14ac:dyDescent="0.2">
      <c r="B14198"/>
      <c r="C14198"/>
      <c r="J14198"/>
      <c r="K14198"/>
      <c r="L14198"/>
    </row>
    <row r="14199" spans="2:12" x14ac:dyDescent="0.2">
      <c r="B14199"/>
      <c r="C14199"/>
      <c r="J14199"/>
      <c r="K14199"/>
      <c r="L14199"/>
    </row>
    <row r="14200" spans="2:12" x14ac:dyDescent="0.2">
      <c r="B14200"/>
      <c r="C14200"/>
      <c r="J14200"/>
      <c r="K14200"/>
      <c r="L14200"/>
    </row>
    <row r="14201" spans="2:12" x14ac:dyDescent="0.2">
      <c r="B14201"/>
      <c r="C14201"/>
      <c r="J14201"/>
      <c r="K14201"/>
      <c r="L14201"/>
    </row>
    <row r="14202" spans="2:12" x14ac:dyDescent="0.2">
      <c r="B14202"/>
      <c r="C14202"/>
      <c r="J14202"/>
      <c r="K14202"/>
      <c r="L14202"/>
    </row>
    <row r="14203" spans="2:12" x14ac:dyDescent="0.2">
      <c r="B14203"/>
      <c r="C14203"/>
      <c r="J14203"/>
      <c r="K14203"/>
      <c r="L14203"/>
    </row>
    <row r="14204" spans="2:12" x14ac:dyDescent="0.2">
      <c r="B14204"/>
      <c r="C14204"/>
      <c r="J14204"/>
      <c r="K14204"/>
      <c r="L14204"/>
    </row>
    <row r="14205" spans="2:12" x14ac:dyDescent="0.2">
      <c r="B14205"/>
      <c r="C14205"/>
      <c r="J14205"/>
      <c r="K14205"/>
      <c r="L14205"/>
    </row>
    <row r="14206" spans="2:12" x14ac:dyDescent="0.2">
      <c r="B14206"/>
      <c r="C14206"/>
      <c r="J14206"/>
      <c r="K14206"/>
      <c r="L14206"/>
    </row>
    <row r="14207" spans="2:12" x14ac:dyDescent="0.2">
      <c r="B14207"/>
      <c r="C14207"/>
      <c r="J14207"/>
      <c r="K14207"/>
      <c r="L14207"/>
    </row>
    <row r="14208" spans="2:12" x14ac:dyDescent="0.2">
      <c r="B14208"/>
      <c r="C14208"/>
      <c r="J14208"/>
      <c r="K14208"/>
      <c r="L14208"/>
    </row>
    <row r="14209" spans="2:12" x14ac:dyDescent="0.2">
      <c r="B14209"/>
      <c r="C14209"/>
      <c r="J14209"/>
      <c r="K14209"/>
      <c r="L14209"/>
    </row>
    <row r="14210" spans="2:12" x14ac:dyDescent="0.2">
      <c r="B14210"/>
      <c r="C14210"/>
      <c r="J14210"/>
      <c r="K14210"/>
      <c r="L14210"/>
    </row>
    <row r="14211" spans="2:12" x14ac:dyDescent="0.2">
      <c r="B14211"/>
      <c r="C14211"/>
      <c r="J14211"/>
      <c r="K14211"/>
      <c r="L14211"/>
    </row>
    <row r="14212" spans="2:12" x14ac:dyDescent="0.2">
      <c r="B14212"/>
      <c r="C14212"/>
      <c r="J14212"/>
      <c r="K14212"/>
      <c r="L14212"/>
    </row>
    <row r="14213" spans="2:12" x14ac:dyDescent="0.2">
      <c r="B14213"/>
      <c r="C14213"/>
      <c r="J14213"/>
      <c r="K14213"/>
      <c r="L14213"/>
    </row>
    <row r="14214" spans="2:12" x14ac:dyDescent="0.2">
      <c r="B14214"/>
      <c r="C14214"/>
      <c r="J14214"/>
      <c r="K14214"/>
      <c r="L14214"/>
    </row>
    <row r="14215" spans="2:12" x14ac:dyDescent="0.2">
      <c r="B14215"/>
      <c r="C14215"/>
      <c r="J14215"/>
      <c r="K14215"/>
      <c r="L14215"/>
    </row>
    <row r="14216" spans="2:12" x14ac:dyDescent="0.2">
      <c r="B14216"/>
      <c r="C14216"/>
      <c r="J14216"/>
      <c r="K14216"/>
      <c r="L14216"/>
    </row>
    <row r="14217" spans="2:12" x14ac:dyDescent="0.2">
      <c r="B14217"/>
      <c r="C14217"/>
      <c r="J14217"/>
      <c r="K14217"/>
      <c r="L14217"/>
    </row>
    <row r="14218" spans="2:12" x14ac:dyDescent="0.2">
      <c r="B14218"/>
      <c r="C14218"/>
      <c r="J14218"/>
      <c r="K14218"/>
      <c r="L14218"/>
    </row>
    <row r="14219" spans="2:12" x14ac:dyDescent="0.2">
      <c r="B14219"/>
      <c r="C14219"/>
      <c r="J14219"/>
      <c r="K14219"/>
      <c r="L14219"/>
    </row>
    <row r="14220" spans="2:12" x14ac:dyDescent="0.2">
      <c r="B14220"/>
      <c r="C14220"/>
      <c r="J14220"/>
      <c r="K14220"/>
      <c r="L14220"/>
    </row>
    <row r="14221" spans="2:12" x14ac:dyDescent="0.2">
      <c r="B14221"/>
      <c r="C14221"/>
      <c r="J14221"/>
      <c r="K14221"/>
      <c r="L14221"/>
    </row>
    <row r="14222" spans="2:12" x14ac:dyDescent="0.2">
      <c r="B14222"/>
      <c r="C14222"/>
      <c r="J14222"/>
      <c r="K14222"/>
      <c r="L14222"/>
    </row>
    <row r="14223" spans="2:12" x14ac:dyDescent="0.2">
      <c r="B14223"/>
      <c r="C14223"/>
      <c r="J14223"/>
      <c r="K14223"/>
      <c r="L14223"/>
    </row>
    <row r="14224" spans="2:12" x14ac:dyDescent="0.2">
      <c r="B14224"/>
      <c r="C14224"/>
      <c r="J14224"/>
      <c r="K14224"/>
      <c r="L14224"/>
    </row>
    <row r="14225" spans="2:12" x14ac:dyDescent="0.2">
      <c r="B14225"/>
      <c r="C14225"/>
      <c r="J14225"/>
      <c r="K14225"/>
      <c r="L14225"/>
    </row>
    <row r="14226" spans="2:12" x14ac:dyDescent="0.2">
      <c r="B14226"/>
      <c r="C14226"/>
      <c r="J14226"/>
      <c r="K14226"/>
      <c r="L14226"/>
    </row>
    <row r="14227" spans="2:12" x14ac:dyDescent="0.2">
      <c r="B14227"/>
      <c r="C14227"/>
      <c r="J14227"/>
      <c r="K14227"/>
      <c r="L14227"/>
    </row>
    <row r="14228" spans="2:12" x14ac:dyDescent="0.2">
      <c r="B14228"/>
      <c r="C14228"/>
      <c r="J14228"/>
      <c r="K14228"/>
      <c r="L14228"/>
    </row>
    <row r="14229" spans="2:12" x14ac:dyDescent="0.2">
      <c r="B14229"/>
      <c r="C14229"/>
      <c r="J14229"/>
      <c r="K14229"/>
      <c r="L14229"/>
    </row>
    <row r="14230" spans="2:12" x14ac:dyDescent="0.2">
      <c r="B14230"/>
      <c r="C14230"/>
      <c r="J14230"/>
      <c r="K14230"/>
      <c r="L14230"/>
    </row>
    <row r="14231" spans="2:12" x14ac:dyDescent="0.2">
      <c r="B14231"/>
      <c r="C14231"/>
      <c r="J14231"/>
      <c r="K14231"/>
      <c r="L14231"/>
    </row>
    <row r="14232" spans="2:12" x14ac:dyDescent="0.2">
      <c r="B14232"/>
      <c r="C14232"/>
      <c r="J14232"/>
      <c r="K14232"/>
      <c r="L14232"/>
    </row>
    <row r="14233" spans="2:12" x14ac:dyDescent="0.2">
      <c r="B14233"/>
      <c r="C14233"/>
      <c r="J14233"/>
      <c r="K14233"/>
      <c r="L14233"/>
    </row>
    <row r="14234" spans="2:12" x14ac:dyDescent="0.2">
      <c r="B14234"/>
      <c r="C14234"/>
      <c r="J14234"/>
      <c r="K14234"/>
      <c r="L14234"/>
    </row>
    <row r="14235" spans="2:12" x14ac:dyDescent="0.2">
      <c r="B14235"/>
      <c r="C14235"/>
      <c r="J14235"/>
      <c r="K14235"/>
      <c r="L14235"/>
    </row>
    <row r="14236" spans="2:12" x14ac:dyDescent="0.2">
      <c r="B14236"/>
      <c r="C14236"/>
      <c r="J14236"/>
      <c r="K14236"/>
      <c r="L14236"/>
    </row>
    <row r="14237" spans="2:12" x14ac:dyDescent="0.2">
      <c r="B14237"/>
      <c r="C14237"/>
      <c r="J14237"/>
      <c r="K14237"/>
      <c r="L14237"/>
    </row>
    <row r="14238" spans="2:12" x14ac:dyDescent="0.2">
      <c r="B14238"/>
      <c r="C14238"/>
      <c r="J14238"/>
      <c r="K14238"/>
      <c r="L14238"/>
    </row>
    <row r="14239" spans="2:12" x14ac:dyDescent="0.2">
      <c r="B14239"/>
      <c r="C14239"/>
      <c r="J14239"/>
      <c r="K14239"/>
      <c r="L14239"/>
    </row>
    <row r="14240" spans="2:12" x14ac:dyDescent="0.2">
      <c r="B14240"/>
      <c r="C14240"/>
      <c r="J14240"/>
      <c r="K14240"/>
      <c r="L14240"/>
    </row>
    <row r="14241" spans="2:12" x14ac:dyDescent="0.2">
      <c r="B14241"/>
      <c r="C14241"/>
      <c r="J14241"/>
      <c r="K14241"/>
      <c r="L14241"/>
    </row>
    <row r="14242" spans="2:12" x14ac:dyDescent="0.2">
      <c r="B14242"/>
      <c r="C14242"/>
      <c r="J14242"/>
      <c r="K14242"/>
      <c r="L14242"/>
    </row>
    <row r="14243" spans="2:12" x14ac:dyDescent="0.2">
      <c r="B14243"/>
      <c r="C14243"/>
      <c r="J14243"/>
      <c r="K14243"/>
      <c r="L14243"/>
    </row>
    <row r="14244" spans="2:12" x14ac:dyDescent="0.2">
      <c r="B14244"/>
      <c r="C14244"/>
      <c r="J14244"/>
      <c r="K14244"/>
      <c r="L14244"/>
    </row>
    <row r="14245" spans="2:12" x14ac:dyDescent="0.2">
      <c r="B14245"/>
      <c r="C14245"/>
      <c r="J14245"/>
      <c r="K14245"/>
      <c r="L14245"/>
    </row>
    <row r="14246" spans="2:12" x14ac:dyDescent="0.2">
      <c r="B14246"/>
      <c r="C14246"/>
      <c r="J14246"/>
      <c r="K14246"/>
      <c r="L14246"/>
    </row>
    <row r="14247" spans="2:12" x14ac:dyDescent="0.2">
      <c r="B14247"/>
      <c r="C14247"/>
      <c r="J14247"/>
      <c r="K14247"/>
      <c r="L14247"/>
    </row>
    <row r="14248" spans="2:12" x14ac:dyDescent="0.2">
      <c r="B14248"/>
      <c r="C14248"/>
      <c r="J14248"/>
      <c r="K14248"/>
      <c r="L14248"/>
    </row>
    <row r="14249" spans="2:12" x14ac:dyDescent="0.2">
      <c r="B14249"/>
      <c r="C14249"/>
      <c r="J14249"/>
      <c r="K14249"/>
      <c r="L14249"/>
    </row>
    <row r="14250" spans="2:12" x14ac:dyDescent="0.2">
      <c r="B14250"/>
      <c r="C14250"/>
      <c r="J14250"/>
      <c r="K14250"/>
      <c r="L14250"/>
    </row>
    <row r="14251" spans="2:12" x14ac:dyDescent="0.2">
      <c r="B14251"/>
      <c r="C14251"/>
      <c r="J14251"/>
      <c r="K14251"/>
      <c r="L14251"/>
    </row>
    <row r="14252" spans="2:12" x14ac:dyDescent="0.2">
      <c r="B14252"/>
      <c r="C14252"/>
      <c r="J14252"/>
      <c r="K14252"/>
      <c r="L14252"/>
    </row>
    <row r="14253" spans="2:12" x14ac:dyDescent="0.2">
      <c r="B14253"/>
      <c r="C14253"/>
      <c r="J14253"/>
      <c r="K14253"/>
      <c r="L14253"/>
    </row>
    <row r="14254" spans="2:12" x14ac:dyDescent="0.2">
      <c r="B14254"/>
      <c r="C14254"/>
      <c r="J14254"/>
      <c r="K14254"/>
      <c r="L14254"/>
    </row>
    <row r="14255" spans="2:12" x14ac:dyDescent="0.2">
      <c r="B14255"/>
      <c r="C14255"/>
      <c r="J14255"/>
      <c r="K14255"/>
      <c r="L14255"/>
    </row>
    <row r="14256" spans="2:12" x14ac:dyDescent="0.2">
      <c r="B14256"/>
      <c r="C14256"/>
      <c r="J14256"/>
      <c r="K14256"/>
      <c r="L14256"/>
    </row>
    <row r="14257" spans="2:12" x14ac:dyDescent="0.2">
      <c r="B14257"/>
      <c r="C14257"/>
      <c r="J14257"/>
      <c r="K14257"/>
      <c r="L14257"/>
    </row>
    <row r="14258" spans="2:12" x14ac:dyDescent="0.2">
      <c r="B14258"/>
      <c r="C14258"/>
      <c r="J14258"/>
      <c r="K14258"/>
      <c r="L14258"/>
    </row>
    <row r="14259" spans="2:12" x14ac:dyDescent="0.2">
      <c r="B14259"/>
      <c r="C14259"/>
      <c r="J14259"/>
      <c r="K14259"/>
      <c r="L14259"/>
    </row>
    <row r="14260" spans="2:12" x14ac:dyDescent="0.2">
      <c r="B14260"/>
      <c r="C14260"/>
      <c r="J14260"/>
      <c r="K14260"/>
      <c r="L14260"/>
    </row>
    <row r="14261" spans="2:12" x14ac:dyDescent="0.2">
      <c r="B14261"/>
      <c r="C14261"/>
      <c r="J14261"/>
      <c r="K14261"/>
      <c r="L14261"/>
    </row>
    <row r="14262" spans="2:12" x14ac:dyDescent="0.2">
      <c r="B14262"/>
      <c r="C14262"/>
      <c r="J14262"/>
      <c r="K14262"/>
      <c r="L14262"/>
    </row>
    <row r="14263" spans="2:12" x14ac:dyDescent="0.2">
      <c r="B14263"/>
      <c r="C14263"/>
      <c r="J14263"/>
      <c r="K14263"/>
      <c r="L14263"/>
    </row>
    <row r="14264" spans="2:12" x14ac:dyDescent="0.2">
      <c r="B14264"/>
      <c r="C14264"/>
      <c r="J14264"/>
      <c r="K14264"/>
      <c r="L14264"/>
    </row>
    <row r="14265" spans="2:12" x14ac:dyDescent="0.2">
      <c r="B14265"/>
      <c r="C14265"/>
      <c r="J14265"/>
      <c r="K14265"/>
      <c r="L14265"/>
    </row>
    <row r="14266" spans="2:12" x14ac:dyDescent="0.2">
      <c r="B14266"/>
      <c r="C14266"/>
      <c r="J14266"/>
      <c r="K14266"/>
      <c r="L14266"/>
    </row>
    <row r="14267" spans="2:12" x14ac:dyDescent="0.2">
      <c r="B14267"/>
      <c r="C14267"/>
      <c r="J14267"/>
      <c r="K14267"/>
      <c r="L14267"/>
    </row>
    <row r="14268" spans="2:12" x14ac:dyDescent="0.2">
      <c r="B14268"/>
      <c r="C14268"/>
      <c r="J14268"/>
      <c r="K14268"/>
      <c r="L14268"/>
    </row>
    <row r="14269" spans="2:12" x14ac:dyDescent="0.2">
      <c r="B14269"/>
      <c r="C14269"/>
      <c r="J14269"/>
      <c r="K14269"/>
      <c r="L14269"/>
    </row>
    <row r="14270" spans="2:12" x14ac:dyDescent="0.2">
      <c r="B14270"/>
      <c r="C14270"/>
      <c r="J14270"/>
      <c r="K14270"/>
      <c r="L14270"/>
    </row>
    <row r="14271" spans="2:12" x14ac:dyDescent="0.2">
      <c r="B14271"/>
      <c r="C14271"/>
      <c r="J14271"/>
      <c r="K14271"/>
      <c r="L14271"/>
    </row>
    <row r="14272" spans="2:12" x14ac:dyDescent="0.2">
      <c r="B14272"/>
      <c r="C14272"/>
      <c r="J14272"/>
      <c r="K14272"/>
      <c r="L14272"/>
    </row>
    <row r="14273" spans="2:12" x14ac:dyDescent="0.2">
      <c r="B14273"/>
      <c r="C14273"/>
      <c r="J14273"/>
      <c r="K14273"/>
      <c r="L14273"/>
    </row>
    <row r="14274" spans="2:12" x14ac:dyDescent="0.2">
      <c r="B14274"/>
      <c r="C14274"/>
      <c r="J14274"/>
      <c r="K14274"/>
      <c r="L14274"/>
    </row>
    <row r="14275" spans="2:12" x14ac:dyDescent="0.2">
      <c r="B14275"/>
      <c r="C14275"/>
      <c r="J14275"/>
      <c r="K14275"/>
      <c r="L14275"/>
    </row>
    <row r="14276" spans="2:12" x14ac:dyDescent="0.2">
      <c r="B14276"/>
      <c r="C14276"/>
      <c r="J14276"/>
      <c r="K14276"/>
      <c r="L14276"/>
    </row>
    <row r="14277" spans="2:12" x14ac:dyDescent="0.2">
      <c r="B14277"/>
      <c r="C14277"/>
      <c r="J14277"/>
      <c r="K14277"/>
      <c r="L14277"/>
    </row>
    <row r="14278" spans="2:12" x14ac:dyDescent="0.2">
      <c r="B14278"/>
      <c r="C14278"/>
      <c r="J14278"/>
      <c r="K14278"/>
      <c r="L14278"/>
    </row>
    <row r="14279" spans="2:12" x14ac:dyDescent="0.2">
      <c r="B14279"/>
      <c r="C14279"/>
      <c r="J14279"/>
      <c r="K14279"/>
      <c r="L14279"/>
    </row>
    <row r="14280" spans="2:12" x14ac:dyDescent="0.2">
      <c r="B14280"/>
      <c r="C14280"/>
      <c r="J14280"/>
      <c r="K14280"/>
      <c r="L14280"/>
    </row>
    <row r="14281" spans="2:12" x14ac:dyDescent="0.2">
      <c r="B14281"/>
      <c r="C14281"/>
      <c r="J14281"/>
      <c r="K14281"/>
      <c r="L14281"/>
    </row>
    <row r="14282" spans="2:12" x14ac:dyDescent="0.2">
      <c r="B14282"/>
      <c r="C14282"/>
      <c r="J14282"/>
      <c r="K14282"/>
      <c r="L14282"/>
    </row>
    <row r="14283" spans="2:12" x14ac:dyDescent="0.2">
      <c r="B14283"/>
      <c r="C14283"/>
      <c r="J14283"/>
      <c r="K14283"/>
      <c r="L14283"/>
    </row>
    <row r="14284" spans="2:12" x14ac:dyDescent="0.2">
      <c r="B14284"/>
      <c r="C14284"/>
      <c r="J14284"/>
      <c r="K14284"/>
      <c r="L14284"/>
    </row>
    <row r="14285" spans="2:12" x14ac:dyDescent="0.2">
      <c r="B14285"/>
      <c r="C14285"/>
      <c r="J14285"/>
      <c r="K14285"/>
      <c r="L14285"/>
    </row>
    <row r="14286" spans="2:12" x14ac:dyDescent="0.2">
      <c r="B14286"/>
      <c r="C14286"/>
      <c r="J14286"/>
      <c r="K14286"/>
      <c r="L14286"/>
    </row>
    <row r="14287" spans="2:12" x14ac:dyDescent="0.2">
      <c r="B14287"/>
      <c r="C14287"/>
      <c r="J14287"/>
      <c r="K14287"/>
      <c r="L14287"/>
    </row>
    <row r="14288" spans="2:12" x14ac:dyDescent="0.2">
      <c r="B14288"/>
      <c r="C14288"/>
      <c r="J14288"/>
      <c r="K14288"/>
      <c r="L14288"/>
    </row>
    <row r="14289" spans="2:12" x14ac:dyDescent="0.2">
      <c r="B14289"/>
      <c r="C14289"/>
      <c r="J14289"/>
      <c r="K14289"/>
      <c r="L14289"/>
    </row>
    <row r="14290" spans="2:12" x14ac:dyDescent="0.2">
      <c r="B14290"/>
      <c r="C14290"/>
      <c r="J14290"/>
      <c r="K14290"/>
      <c r="L14290"/>
    </row>
    <row r="14291" spans="2:12" x14ac:dyDescent="0.2">
      <c r="B14291"/>
      <c r="C14291"/>
      <c r="J14291"/>
      <c r="K14291"/>
      <c r="L14291"/>
    </row>
    <row r="14292" spans="2:12" x14ac:dyDescent="0.2">
      <c r="B14292"/>
      <c r="C14292"/>
      <c r="J14292"/>
      <c r="K14292"/>
      <c r="L14292"/>
    </row>
    <row r="14293" spans="2:12" x14ac:dyDescent="0.2">
      <c r="B14293"/>
      <c r="C14293"/>
      <c r="J14293"/>
      <c r="K14293"/>
      <c r="L14293"/>
    </row>
    <row r="14294" spans="2:12" x14ac:dyDescent="0.2">
      <c r="B14294"/>
      <c r="C14294"/>
      <c r="J14294"/>
      <c r="K14294"/>
      <c r="L14294"/>
    </row>
    <row r="14295" spans="2:12" x14ac:dyDescent="0.2">
      <c r="B14295"/>
      <c r="C14295"/>
      <c r="J14295"/>
      <c r="K14295"/>
      <c r="L14295"/>
    </row>
    <row r="14296" spans="2:12" x14ac:dyDescent="0.2">
      <c r="B14296"/>
      <c r="C14296"/>
      <c r="J14296"/>
      <c r="K14296"/>
      <c r="L14296"/>
    </row>
    <row r="14297" spans="2:12" x14ac:dyDescent="0.2">
      <c r="B14297"/>
      <c r="C14297"/>
      <c r="J14297"/>
      <c r="K14297"/>
      <c r="L14297"/>
    </row>
    <row r="14298" spans="2:12" x14ac:dyDescent="0.2">
      <c r="B14298"/>
      <c r="C14298"/>
      <c r="J14298"/>
      <c r="K14298"/>
      <c r="L14298"/>
    </row>
    <row r="14299" spans="2:12" x14ac:dyDescent="0.2">
      <c r="B14299"/>
      <c r="C14299"/>
      <c r="J14299"/>
      <c r="K14299"/>
      <c r="L14299"/>
    </row>
    <row r="14300" spans="2:12" x14ac:dyDescent="0.2">
      <c r="B14300"/>
      <c r="C14300"/>
      <c r="J14300"/>
      <c r="K14300"/>
      <c r="L14300"/>
    </row>
    <row r="14301" spans="2:12" x14ac:dyDescent="0.2">
      <c r="B14301"/>
      <c r="C14301"/>
      <c r="J14301"/>
      <c r="K14301"/>
      <c r="L14301"/>
    </row>
    <row r="14302" spans="2:12" x14ac:dyDescent="0.2">
      <c r="B14302"/>
      <c r="C14302"/>
      <c r="J14302"/>
      <c r="K14302"/>
      <c r="L14302"/>
    </row>
    <row r="14303" spans="2:12" x14ac:dyDescent="0.2">
      <c r="B14303"/>
      <c r="C14303"/>
      <c r="J14303"/>
      <c r="K14303"/>
      <c r="L14303"/>
    </row>
    <row r="14304" spans="2:12" x14ac:dyDescent="0.2">
      <c r="B14304"/>
      <c r="C14304"/>
      <c r="J14304"/>
      <c r="K14304"/>
      <c r="L14304"/>
    </row>
    <row r="14305" spans="2:12" x14ac:dyDescent="0.2">
      <c r="B14305"/>
      <c r="C14305"/>
      <c r="J14305"/>
      <c r="K14305"/>
      <c r="L14305"/>
    </row>
    <row r="14306" spans="2:12" x14ac:dyDescent="0.2">
      <c r="B14306"/>
      <c r="C14306"/>
      <c r="J14306"/>
      <c r="K14306"/>
      <c r="L14306"/>
    </row>
    <row r="14307" spans="2:12" x14ac:dyDescent="0.2">
      <c r="B14307"/>
      <c r="C14307"/>
      <c r="J14307"/>
      <c r="K14307"/>
      <c r="L14307"/>
    </row>
    <row r="14308" spans="2:12" x14ac:dyDescent="0.2">
      <c r="B14308"/>
      <c r="C14308"/>
      <c r="J14308"/>
      <c r="K14308"/>
      <c r="L14308"/>
    </row>
    <row r="14309" spans="2:12" x14ac:dyDescent="0.2">
      <c r="B14309"/>
      <c r="C14309"/>
      <c r="J14309"/>
      <c r="K14309"/>
      <c r="L14309"/>
    </row>
    <row r="14310" spans="2:12" x14ac:dyDescent="0.2">
      <c r="B14310"/>
      <c r="C14310"/>
      <c r="J14310"/>
      <c r="K14310"/>
      <c r="L14310"/>
    </row>
    <row r="14311" spans="2:12" x14ac:dyDescent="0.2">
      <c r="B14311"/>
      <c r="C14311"/>
      <c r="J14311"/>
      <c r="K14311"/>
      <c r="L14311"/>
    </row>
    <row r="14312" spans="2:12" x14ac:dyDescent="0.2">
      <c r="B14312"/>
      <c r="C14312"/>
      <c r="J14312"/>
      <c r="K14312"/>
      <c r="L14312"/>
    </row>
    <row r="14313" spans="2:12" x14ac:dyDescent="0.2">
      <c r="B14313"/>
      <c r="C14313"/>
      <c r="J14313"/>
      <c r="K14313"/>
      <c r="L14313"/>
    </row>
    <row r="14314" spans="2:12" x14ac:dyDescent="0.2">
      <c r="B14314"/>
      <c r="C14314"/>
      <c r="J14314"/>
      <c r="K14314"/>
      <c r="L14314"/>
    </row>
    <row r="14315" spans="2:12" x14ac:dyDescent="0.2">
      <c r="B14315"/>
      <c r="C14315"/>
      <c r="J14315"/>
      <c r="K14315"/>
      <c r="L14315"/>
    </row>
    <row r="14316" spans="2:12" x14ac:dyDescent="0.2">
      <c r="B14316"/>
      <c r="C14316"/>
      <c r="J14316"/>
      <c r="K14316"/>
      <c r="L14316"/>
    </row>
    <row r="14317" spans="2:12" x14ac:dyDescent="0.2">
      <c r="B14317"/>
      <c r="C14317"/>
      <c r="J14317"/>
      <c r="K14317"/>
      <c r="L14317"/>
    </row>
    <row r="14318" spans="2:12" x14ac:dyDescent="0.2">
      <c r="B14318"/>
      <c r="C14318"/>
      <c r="J14318"/>
      <c r="K14318"/>
      <c r="L14318"/>
    </row>
    <row r="14319" spans="2:12" x14ac:dyDescent="0.2">
      <c r="B14319"/>
      <c r="C14319"/>
      <c r="J14319"/>
      <c r="K14319"/>
      <c r="L14319"/>
    </row>
    <row r="14320" spans="2:12" x14ac:dyDescent="0.2">
      <c r="B14320"/>
      <c r="C14320"/>
      <c r="J14320"/>
      <c r="K14320"/>
      <c r="L14320"/>
    </row>
    <row r="14321" spans="2:12" x14ac:dyDescent="0.2">
      <c r="B14321"/>
      <c r="C14321"/>
      <c r="J14321"/>
      <c r="K14321"/>
      <c r="L14321"/>
    </row>
    <row r="14322" spans="2:12" x14ac:dyDescent="0.2">
      <c r="B14322"/>
      <c r="C14322"/>
      <c r="J14322"/>
      <c r="K14322"/>
      <c r="L14322"/>
    </row>
    <row r="14323" spans="2:12" x14ac:dyDescent="0.2">
      <c r="B14323"/>
      <c r="C14323"/>
      <c r="J14323"/>
      <c r="K14323"/>
      <c r="L14323"/>
    </row>
    <row r="14324" spans="2:12" x14ac:dyDescent="0.2">
      <c r="B14324"/>
      <c r="C14324"/>
      <c r="J14324"/>
      <c r="K14324"/>
      <c r="L14324"/>
    </row>
    <row r="14325" spans="2:12" x14ac:dyDescent="0.2">
      <c r="B14325"/>
      <c r="C14325"/>
      <c r="J14325"/>
      <c r="K14325"/>
      <c r="L14325"/>
    </row>
    <row r="14326" spans="2:12" x14ac:dyDescent="0.2">
      <c r="B14326"/>
      <c r="C14326"/>
      <c r="J14326"/>
      <c r="K14326"/>
      <c r="L14326"/>
    </row>
    <row r="14327" spans="2:12" x14ac:dyDescent="0.2">
      <c r="B14327"/>
      <c r="C14327"/>
      <c r="J14327"/>
      <c r="K14327"/>
      <c r="L14327"/>
    </row>
    <row r="14328" spans="2:12" x14ac:dyDescent="0.2">
      <c r="B14328"/>
      <c r="C14328"/>
      <c r="J14328"/>
      <c r="K14328"/>
      <c r="L14328"/>
    </row>
    <row r="14329" spans="2:12" x14ac:dyDescent="0.2">
      <c r="B14329"/>
      <c r="C14329"/>
      <c r="J14329"/>
      <c r="K14329"/>
      <c r="L14329"/>
    </row>
    <row r="14330" spans="2:12" x14ac:dyDescent="0.2">
      <c r="B14330"/>
      <c r="C14330"/>
      <c r="J14330"/>
      <c r="K14330"/>
      <c r="L14330"/>
    </row>
    <row r="14331" spans="2:12" x14ac:dyDescent="0.2">
      <c r="B14331"/>
      <c r="C14331"/>
      <c r="J14331"/>
      <c r="K14331"/>
      <c r="L14331"/>
    </row>
    <row r="14332" spans="2:12" x14ac:dyDescent="0.2">
      <c r="B14332"/>
      <c r="C14332"/>
      <c r="J14332"/>
      <c r="K14332"/>
      <c r="L14332"/>
    </row>
    <row r="14333" spans="2:12" x14ac:dyDescent="0.2">
      <c r="B14333"/>
      <c r="C14333"/>
      <c r="J14333"/>
      <c r="K14333"/>
      <c r="L14333"/>
    </row>
    <row r="14334" spans="2:12" x14ac:dyDescent="0.2">
      <c r="B14334"/>
      <c r="C14334"/>
      <c r="J14334"/>
      <c r="K14334"/>
      <c r="L14334"/>
    </row>
    <row r="14335" spans="2:12" x14ac:dyDescent="0.2">
      <c r="B14335"/>
      <c r="C14335"/>
      <c r="J14335"/>
      <c r="K14335"/>
      <c r="L14335"/>
    </row>
    <row r="14336" spans="2:12" x14ac:dyDescent="0.2">
      <c r="B14336"/>
      <c r="C14336"/>
      <c r="J14336"/>
      <c r="K14336"/>
      <c r="L14336"/>
    </row>
    <row r="14337" spans="2:12" x14ac:dyDescent="0.2">
      <c r="B14337"/>
      <c r="C14337"/>
      <c r="J14337"/>
      <c r="K14337"/>
      <c r="L14337"/>
    </row>
    <row r="14338" spans="2:12" x14ac:dyDescent="0.2">
      <c r="B14338"/>
      <c r="C14338"/>
      <c r="J14338"/>
      <c r="K14338"/>
      <c r="L14338"/>
    </row>
    <row r="14339" spans="2:12" x14ac:dyDescent="0.2">
      <c r="B14339"/>
      <c r="C14339"/>
      <c r="J14339"/>
      <c r="K14339"/>
      <c r="L14339"/>
    </row>
    <row r="14340" spans="2:12" x14ac:dyDescent="0.2">
      <c r="B14340"/>
      <c r="C14340"/>
      <c r="J14340"/>
      <c r="K14340"/>
      <c r="L14340"/>
    </row>
    <row r="14341" spans="2:12" x14ac:dyDescent="0.2">
      <c r="B14341"/>
      <c r="C14341"/>
      <c r="J14341"/>
      <c r="K14341"/>
      <c r="L14341"/>
    </row>
    <row r="14342" spans="2:12" x14ac:dyDescent="0.2">
      <c r="B14342"/>
      <c r="C14342"/>
      <c r="J14342"/>
      <c r="K14342"/>
      <c r="L14342"/>
    </row>
    <row r="14343" spans="2:12" x14ac:dyDescent="0.2">
      <c r="B14343"/>
      <c r="C14343"/>
      <c r="J14343"/>
      <c r="K14343"/>
      <c r="L14343"/>
    </row>
    <row r="14344" spans="2:12" x14ac:dyDescent="0.2">
      <c r="B14344"/>
      <c r="C14344"/>
      <c r="J14344"/>
      <c r="K14344"/>
      <c r="L14344"/>
    </row>
    <row r="14345" spans="2:12" x14ac:dyDescent="0.2">
      <c r="B14345"/>
      <c r="C14345"/>
      <c r="J14345"/>
      <c r="K14345"/>
      <c r="L14345"/>
    </row>
    <row r="14346" spans="2:12" x14ac:dyDescent="0.2">
      <c r="B14346"/>
      <c r="C14346"/>
      <c r="J14346"/>
      <c r="K14346"/>
      <c r="L14346"/>
    </row>
    <row r="14347" spans="2:12" x14ac:dyDescent="0.2">
      <c r="B14347"/>
      <c r="C14347"/>
      <c r="J14347"/>
      <c r="K14347"/>
      <c r="L14347"/>
    </row>
    <row r="14348" spans="2:12" x14ac:dyDescent="0.2">
      <c r="B14348"/>
      <c r="C14348"/>
      <c r="J14348"/>
      <c r="K14348"/>
      <c r="L14348"/>
    </row>
    <row r="14349" spans="2:12" x14ac:dyDescent="0.2">
      <c r="B14349"/>
      <c r="C14349"/>
      <c r="J14349"/>
      <c r="K14349"/>
      <c r="L14349"/>
    </row>
    <row r="14350" spans="2:12" x14ac:dyDescent="0.2">
      <c r="B14350"/>
      <c r="C14350"/>
      <c r="J14350"/>
      <c r="K14350"/>
      <c r="L14350"/>
    </row>
    <row r="14351" spans="2:12" x14ac:dyDescent="0.2">
      <c r="B14351"/>
      <c r="C14351"/>
      <c r="J14351"/>
      <c r="K14351"/>
      <c r="L14351"/>
    </row>
    <row r="14352" spans="2:12" x14ac:dyDescent="0.2">
      <c r="B14352"/>
      <c r="C14352"/>
      <c r="J14352"/>
      <c r="K14352"/>
      <c r="L14352"/>
    </row>
    <row r="14353" spans="2:12" x14ac:dyDescent="0.2">
      <c r="B14353"/>
      <c r="C14353"/>
      <c r="J14353"/>
      <c r="K14353"/>
      <c r="L14353"/>
    </row>
    <row r="14354" spans="2:12" x14ac:dyDescent="0.2">
      <c r="B14354"/>
      <c r="C14354"/>
      <c r="J14354"/>
      <c r="K14354"/>
      <c r="L14354"/>
    </row>
    <row r="14355" spans="2:12" x14ac:dyDescent="0.2">
      <c r="B14355"/>
      <c r="C14355"/>
      <c r="J14355"/>
      <c r="K14355"/>
      <c r="L14355"/>
    </row>
    <row r="14356" spans="2:12" x14ac:dyDescent="0.2">
      <c r="B14356"/>
      <c r="C14356"/>
      <c r="J14356"/>
      <c r="K14356"/>
      <c r="L14356"/>
    </row>
    <row r="14357" spans="2:12" x14ac:dyDescent="0.2">
      <c r="B14357"/>
      <c r="C14357"/>
      <c r="J14357"/>
      <c r="K14357"/>
      <c r="L14357"/>
    </row>
    <row r="14358" spans="2:12" x14ac:dyDescent="0.2">
      <c r="B14358"/>
      <c r="C14358"/>
      <c r="J14358"/>
      <c r="K14358"/>
      <c r="L14358"/>
    </row>
    <row r="14359" spans="2:12" x14ac:dyDescent="0.2">
      <c r="B14359"/>
      <c r="C14359"/>
      <c r="J14359"/>
      <c r="K14359"/>
      <c r="L14359"/>
    </row>
    <row r="14360" spans="2:12" x14ac:dyDescent="0.2">
      <c r="B14360"/>
      <c r="C14360"/>
      <c r="J14360"/>
      <c r="K14360"/>
      <c r="L14360"/>
    </row>
    <row r="14361" spans="2:12" x14ac:dyDescent="0.2">
      <c r="B14361"/>
      <c r="C14361"/>
      <c r="J14361"/>
      <c r="K14361"/>
      <c r="L14361"/>
    </row>
    <row r="14362" spans="2:12" x14ac:dyDescent="0.2">
      <c r="B14362"/>
      <c r="C14362"/>
      <c r="J14362"/>
      <c r="K14362"/>
      <c r="L14362"/>
    </row>
    <row r="14363" spans="2:12" x14ac:dyDescent="0.2">
      <c r="B14363"/>
      <c r="C14363"/>
      <c r="J14363"/>
      <c r="K14363"/>
      <c r="L14363"/>
    </row>
    <row r="14364" spans="2:12" x14ac:dyDescent="0.2">
      <c r="B14364"/>
      <c r="C14364"/>
      <c r="J14364"/>
      <c r="K14364"/>
      <c r="L14364"/>
    </row>
    <row r="14365" spans="2:12" x14ac:dyDescent="0.2">
      <c r="B14365"/>
      <c r="C14365"/>
      <c r="J14365"/>
      <c r="K14365"/>
      <c r="L14365"/>
    </row>
    <row r="14366" spans="2:12" x14ac:dyDescent="0.2">
      <c r="B14366"/>
      <c r="C14366"/>
      <c r="J14366"/>
      <c r="K14366"/>
      <c r="L14366"/>
    </row>
    <row r="14367" spans="2:12" x14ac:dyDescent="0.2">
      <c r="B14367"/>
      <c r="C14367"/>
      <c r="J14367"/>
      <c r="K14367"/>
      <c r="L14367"/>
    </row>
    <row r="14368" spans="2:12" x14ac:dyDescent="0.2">
      <c r="B14368"/>
      <c r="C14368"/>
      <c r="J14368"/>
      <c r="K14368"/>
      <c r="L14368"/>
    </row>
    <row r="14369" spans="2:12" x14ac:dyDescent="0.2">
      <c r="B14369"/>
      <c r="C14369"/>
      <c r="J14369"/>
      <c r="K14369"/>
      <c r="L14369"/>
    </row>
    <row r="14370" spans="2:12" x14ac:dyDescent="0.2">
      <c r="B14370"/>
      <c r="C14370"/>
      <c r="J14370"/>
      <c r="K14370"/>
      <c r="L14370"/>
    </row>
    <row r="14371" spans="2:12" x14ac:dyDescent="0.2">
      <c r="B14371"/>
      <c r="C14371"/>
      <c r="J14371"/>
      <c r="K14371"/>
      <c r="L14371"/>
    </row>
    <row r="14372" spans="2:12" x14ac:dyDescent="0.2">
      <c r="B14372"/>
      <c r="C14372"/>
      <c r="J14372"/>
      <c r="K14372"/>
      <c r="L14372"/>
    </row>
    <row r="14373" spans="2:12" x14ac:dyDescent="0.2">
      <c r="B14373"/>
      <c r="C14373"/>
      <c r="J14373"/>
      <c r="K14373"/>
      <c r="L14373"/>
    </row>
    <row r="14374" spans="2:12" x14ac:dyDescent="0.2">
      <c r="B14374"/>
      <c r="C14374"/>
      <c r="J14374"/>
      <c r="K14374"/>
      <c r="L14374"/>
    </row>
    <row r="14375" spans="2:12" x14ac:dyDescent="0.2">
      <c r="B14375"/>
      <c r="C14375"/>
      <c r="J14375"/>
      <c r="K14375"/>
      <c r="L14375"/>
    </row>
    <row r="14376" spans="2:12" x14ac:dyDescent="0.2">
      <c r="B14376"/>
      <c r="C14376"/>
      <c r="J14376"/>
      <c r="K14376"/>
      <c r="L14376"/>
    </row>
    <row r="14377" spans="2:12" x14ac:dyDescent="0.2">
      <c r="B14377"/>
      <c r="C14377"/>
      <c r="J14377"/>
      <c r="K14377"/>
      <c r="L14377"/>
    </row>
    <row r="14378" spans="2:12" x14ac:dyDescent="0.2">
      <c r="B14378"/>
      <c r="C14378"/>
      <c r="J14378"/>
      <c r="K14378"/>
      <c r="L14378"/>
    </row>
    <row r="14379" spans="2:12" x14ac:dyDescent="0.2">
      <c r="B14379"/>
      <c r="C14379"/>
      <c r="J14379"/>
      <c r="K14379"/>
      <c r="L14379"/>
    </row>
    <row r="14380" spans="2:12" x14ac:dyDescent="0.2">
      <c r="B14380"/>
      <c r="C14380"/>
      <c r="J14380"/>
      <c r="K14380"/>
      <c r="L14380"/>
    </row>
    <row r="14381" spans="2:12" x14ac:dyDescent="0.2">
      <c r="B14381"/>
      <c r="C14381"/>
      <c r="J14381"/>
      <c r="K14381"/>
      <c r="L14381"/>
    </row>
    <row r="14382" spans="2:12" x14ac:dyDescent="0.2">
      <c r="B14382"/>
      <c r="C14382"/>
      <c r="J14382"/>
      <c r="K14382"/>
      <c r="L14382"/>
    </row>
    <row r="14383" spans="2:12" x14ac:dyDescent="0.2">
      <c r="B14383"/>
      <c r="C14383"/>
      <c r="J14383"/>
      <c r="K14383"/>
      <c r="L14383"/>
    </row>
    <row r="14384" spans="2:12" x14ac:dyDescent="0.2">
      <c r="B14384"/>
      <c r="C14384"/>
      <c r="J14384"/>
      <c r="K14384"/>
      <c r="L14384"/>
    </row>
    <row r="14385" spans="2:12" x14ac:dyDescent="0.2">
      <c r="B14385"/>
      <c r="C14385"/>
      <c r="J14385"/>
      <c r="K14385"/>
      <c r="L14385"/>
    </row>
    <row r="14386" spans="2:12" x14ac:dyDescent="0.2">
      <c r="B14386"/>
      <c r="C14386"/>
      <c r="J14386"/>
      <c r="K14386"/>
      <c r="L14386"/>
    </row>
    <row r="14387" spans="2:12" x14ac:dyDescent="0.2">
      <c r="B14387"/>
      <c r="C14387"/>
      <c r="J14387"/>
      <c r="K14387"/>
      <c r="L14387"/>
    </row>
    <row r="14388" spans="2:12" x14ac:dyDescent="0.2">
      <c r="B14388"/>
      <c r="C14388"/>
      <c r="J14388"/>
      <c r="K14388"/>
      <c r="L14388"/>
    </row>
    <row r="14389" spans="2:12" x14ac:dyDescent="0.2">
      <c r="B14389"/>
      <c r="C14389"/>
      <c r="J14389"/>
      <c r="K14389"/>
      <c r="L14389"/>
    </row>
    <row r="14390" spans="2:12" x14ac:dyDescent="0.2">
      <c r="B14390"/>
      <c r="C14390"/>
      <c r="J14390"/>
      <c r="K14390"/>
      <c r="L14390"/>
    </row>
    <row r="14391" spans="2:12" x14ac:dyDescent="0.2">
      <c r="B14391"/>
      <c r="C14391"/>
      <c r="J14391"/>
      <c r="K14391"/>
      <c r="L14391"/>
    </row>
    <row r="14392" spans="2:12" x14ac:dyDescent="0.2">
      <c r="B14392"/>
      <c r="C14392"/>
      <c r="J14392"/>
      <c r="K14392"/>
      <c r="L14392"/>
    </row>
    <row r="14393" spans="2:12" x14ac:dyDescent="0.2">
      <c r="B14393"/>
      <c r="C14393"/>
      <c r="J14393"/>
      <c r="K14393"/>
      <c r="L14393"/>
    </row>
    <row r="14394" spans="2:12" x14ac:dyDescent="0.2">
      <c r="B14394"/>
      <c r="C14394"/>
      <c r="J14394"/>
      <c r="K14394"/>
      <c r="L14394"/>
    </row>
    <row r="14395" spans="2:12" x14ac:dyDescent="0.2">
      <c r="B14395"/>
      <c r="C14395"/>
      <c r="J14395"/>
      <c r="K14395"/>
      <c r="L14395"/>
    </row>
    <row r="14396" spans="2:12" x14ac:dyDescent="0.2">
      <c r="B14396"/>
      <c r="C14396"/>
      <c r="J14396"/>
      <c r="K14396"/>
      <c r="L14396"/>
    </row>
    <row r="14397" spans="2:12" x14ac:dyDescent="0.2">
      <c r="B14397"/>
      <c r="C14397"/>
      <c r="J14397"/>
      <c r="K14397"/>
      <c r="L14397"/>
    </row>
    <row r="14398" spans="2:12" x14ac:dyDescent="0.2">
      <c r="B14398"/>
      <c r="C14398"/>
      <c r="J14398"/>
      <c r="K14398"/>
      <c r="L14398"/>
    </row>
    <row r="14399" spans="2:12" x14ac:dyDescent="0.2">
      <c r="B14399"/>
      <c r="C14399"/>
      <c r="J14399"/>
      <c r="K14399"/>
      <c r="L14399"/>
    </row>
    <row r="14400" spans="2:12" x14ac:dyDescent="0.2">
      <c r="B14400"/>
      <c r="C14400"/>
      <c r="J14400"/>
      <c r="K14400"/>
      <c r="L14400"/>
    </row>
    <row r="14401" spans="2:12" x14ac:dyDescent="0.2">
      <c r="B14401"/>
      <c r="C14401"/>
      <c r="J14401"/>
      <c r="K14401"/>
      <c r="L14401"/>
    </row>
    <row r="14402" spans="2:12" x14ac:dyDescent="0.2">
      <c r="B14402"/>
      <c r="C14402"/>
      <c r="J14402"/>
      <c r="K14402"/>
      <c r="L14402"/>
    </row>
    <row r="14403" spans="2:12" x14ac:dyDescent="0.2">
      <c r="B14403"/>
      <c r="C14403"/>
      <c r="J14403"/>
      <c r="K14403"/>
      <c r="L14403"/>
    </row>
    <row r="14404" spans="2:12" x14ac:dyDescent="0.2">
      <c r="B14404"/>
      <c r="C14404"/>
      <c r="J14404"/>
      <c r="K14404"/>
      <c r="L14404"/>
    </row>
    <row r="14405" spans="2:12" x14ac:dyDescent="0.2">
      <c r="B14405"/>
      <c r="C14405"/>
      <c r="J14405"/>
      <c r="K14405"/>
      <c r="L14405"/>
    </row>
    <row r="14406" spans="2:12" x14ac:dyDescent="0.2">
      <c r="B14406"/>
      <c r="C14406"/>
      <c r="J14406"/>
      <c r="K14406"/>
      <c r="L14406"/>
    </row>
    <row r="14407" spans="2:12" x14ac:dyDescent="0.2">
      <c r="B14407"/>
      <c r="C14407"/>
      <c r="J14407"/>
      <c r="K14407"/>
      <c r="L14407"/>
    </row>
    <row r="14408" spans="2:12" x14ac:dyDescent="0.2">
      <c r="B14408"/>
      <c r="C14408"/>
      <c r="J14408"/>
      <c r="K14408"/>
      <c r="L14408"/>
    </row>
    <row r="14409" spans="2:12" x14ac:dyDescent="0.2">
      <c r="B14409"/>
      <c r="C14409"/>
      <c r="J14409"/>
      <c r="K14409"/>
      <c r="L14409"/>
    </row>
    <row r="14410" spans="2:12" x14ac:dyDescent="0.2">
      <c r="B14410"/>
      <c r="C14410"/>
      <c r="J14410"/>
      <c r="K14410"/>
      <c r="L14410"/>
    </row>
    <row r="14411" spans="2:12" x14ac:dyDescent="0.2">
      <c r="B14411"/>
      <c r="C14411"/>
      <c r="J14411"/>
      <c r="K14411"/>
      <c r="L14411"/>
    </row>
    <row r="14412" spans="2:12" x14ac:dyDescent="0.2">
      <c r="B14412"/>
      <c r="C14412"/>
      <c r="J14412"/>
      <c r="K14412"/>
      <c r="L14412"/>
    </row>
    <row r="14413" spans="2:12" x14ac:dyDescent="0.2">
      <c r="B14413"/>
      <c r="C14413"/>
      <c r="J14413"/>
      <c r="K14413"/>
      <c r="L14413"/>
    </row>
    <row r="14414" spans="2:12" x14ac:dyDescent="0.2">
      <c r="B14414"/>
      <c r="C14414"/>
      <c r="J14414"/>
      <c r="K14414"/>
      <c r="L14414"/>
    </row>
    <row r="14415" spans="2:12" x14ac:dyDescent="0.2">
      <c r="B14415"/>
      <c r="C14415"/>
      <c r="J14415"/>
      <c r="K14415"/>
      <c r="L14415"/>
    </row>
    <row r="14416" spans="2:12" x14ac:dyDescent="0.2">
      <c r="B14416"/>
      <c r="C14416"/>
      <c r="J14416"/>
      <c r="K14416"/>
      <c r="L14416"/>
    </row>
    <row r="14417" spans="2:12" x14ac:dyDescent="0.2">
      <c r="B14417"/>
      <c r="C14417"/>
      <c r="J14417"/>
      <c r="K14417"/>
      <c r="L14417"/>
    </row>
    <row r="14418" spans="2:12" x14ac:dyDescent="0.2">
      <c r="B14418"/>
      <c r="C14418"/>
      <c r="J14418"/>
      <c r="K14418"/>
      <c r="L14418"/>
    </row>
    <row r="14419" spans="2:12" x14ac:dyDescent="0.2">
      <c r="B14419"/>
      <c r="C14419"/>
      <c r="J14419"/>
      <c r="K14419"/>
      <c r="L14419"/>
    </row>
    <row r="14420" spans="2:12" x14ac:dyDescent="0.2">
      <c r="B14420"/>
      <c r="C14420"/>
      <c r="J14420"/>
      <c r="K14420"/>
      <c r="L14420"/>
    </row>
    <row r="14421" spans="2:12" x14ac:dyDescent="0.2">
      <c r="B14421"/>
      <c r="C14421"/>
      <c r="J14421"/>
      <c r="K14421"/>
      <c r="L14421"/>
    </row>
    <row r="14422" spans="2:12" x14ac:dyDescent="0.2">
      <c r="B14422"/>
      <c r="C14422"/>
      <c r="J14422"/>
      <c r="K14422"/>
      <c r="L14422"/>
    </row>
    <row r="14423" spans="2:12" x14ac:dyDescent="0.2">
      <c r="B14423"/>
      <c r="C14423"/>
      <c r="J14423"/>
      <c r="K14423"/>
      <c r="L14423"/>
    </row>
    <row r="14424" spans="2:12" x14ac:dyDescent="0.2">
      <c r="B14424"/>
      <c r="C14424"/>
      <c r="J14424"/>
      <c r="K14424"/>
      <c r="L14424"/>
    </row>
    <row r="14425" spans="2:12" x14ac:dyDescent="0.2">
      <c r="B14425"/>
      <c r="C14425"/>
      <c r="J14425"/>
      <c r="K14425"/>
      <c r="L14425"/>
    </row>
    <row r="14426" spans="2:12" x14ac:dyDescent="0.2">
      <c r="B14426"/>
      <c r="C14426"/>
      <c r="J14426"/>
      <c r="K14426"/>
      <c r="L14426"/>
    </row>
    <row r="14427" spans="2:12" x14ac:dyDescent="0.2">
      <c r="B14427"/>
      <c r="C14427"/>
      <c r="J14427"/>
      <c r="K14427"/>
      <c r="L14427"/>
    </row>
    <row r="14428" spans="2:12" x14ac:dyDescent="0.2">
      <c r="B14428"/>
      <c r="C14428"/>
      <c r="J14428"/>
      <c r="K14428"/>
      <c r="L14428"/>
    </row>
    <row r="14429" spans="2:12" x14ac:dyDescent="0.2">
      <c r="B14429"/>
      <c r="C14429"/>
      <c r="J14429"/>
      <c r="K14429"/>
      <c r="L14429"/>
    </row>
    <row r="14430" spans="2:12" x14ac:dyDescent="0.2">
      <c r="B14430"/>
      <c r="C14430"/>
      <c r="J14430"/>
      <c r="K14430"/>
      <c r="L14430"/>
    </row>
    <row r="14431" spans="2:12" x14ac:dyDescent="0.2">
      <c r="B14431"/>
      <c r="C14431"/>
      <c r="J14431"/>
      <c r="K14431"/>
      <c r="L14431"/>
    </row>
    <row r="14432" spans="2:12" x14ac:dyDescent="0.2">
      <c r="B14432"/>
      <c r="C14432"/>
      <c r="J14432"/>
      <c r="K14432"/>
      <c r="L14432"/>
    </row>
    <row r="14433" spans="2:12" x14ac:dyDescent="0.2">
      <c r="B14433"/>
      <c r="C14433"/>
      <c r="J14433"/>
      <c r="K14433"/>
      <c r="L14433"/>
    </row>
    <row r="14434" spans="2:12" x14ac:dyDescent="0.2">
      <c r="B14434"/>
      <c r="C14434"/>
      <c r="J14434"/>
      <c r="K14434"/>
      <c r="L14434"/>
    </row>
    <row r="14435" spans="2:12" x14ac:dyDescent="0.2">
      <c r="B14435"/>
      <c r="C14435"/>
      <c r="J14435"/>
      <c r="K14435"/>
      <c r="L14435"/>
    </row>
    <row r="14436" spans="2:12" x14ac:dyDescent="0.2">
      <c r="B14436"/>
      <c r="C14436"/>
      <c r="J14436"/>
      <c r="K14436"/>
      <c r="L14436"/>
    </row>
    <row r="14437" spans="2:12" x14ac:dyDescent="0.2">
      <c r="B14437"/>
      <c r="C14437"/>
      <c r="J14437"/>
      <c r="K14437"/>
      <c r="L14437"/>
    </row>
    <row r="14438" spans="2:12" x14ac:dyDescent="0.2">
      <c r="B14438"/>
      <c r="C14438"/>
      <c r="J14438"/>
      <c r="K14438"/>
      <c r="L14438"/>
    </row>
    <row r="14439" spans="2:12" x14ac:dyDescent="0.2">
      <c r="B14439"/>
      <c r="C14439"/>
      <c r="J14439"/>
      <c r="K14439"/>
      <c r="L14439"/>
    </row>
    <row r="14440" spans="2:12" x14ac:dyDescent="0.2">
      <c r="B14440"/>
      <c r="C14440"/>
      <c r="J14440"/>
      <c r="K14440"/>
      <c r="L14440"/>
    </row>
    <row r="14441" spans="2:12" x14ac:dyDescent="0.2">
      <c r="B14441"/>
      <c r="C14441"/>
      <c r="J14441"/>
      <c r="K14441"/>
      <c r="L14441"/>
    </row>
    <row r="14442" spans="2:12" x14ac:dyDescent="0.2">
      <c r="B14442"/>
      <c r="C14442"/>
      <c r="J14442"/>
      <c r="K14442"/>
      <c r="L14442"/>
    </row>
    <row r="14443" spans="2:12" x14ac:dyDescent="0.2">
      <c r="B14443"/>
      <c r="C14443"/>
      <c r="J14443"/>
      <c r="K14443"/>
      <c r="L14443"/>
    </row>
    <row r="14444" spans="2:12" x14ac:dyDescent="0.2">
      <c r="B14444"/>
      <c r="C14444"/>
      <c r="J14444"/>
      <c r="K14444"/>
      <c r="L14444"/>
    </row>
    <row r="14445" spans="2:12" x14ac:dyDescent="0.2">
      <c r="B14445"/>
      <c r="C14445"/>
      <c r="J14445"/>
      <c r="K14445"/>
      <c r="L14445"/>
    </row>
    <row r="14446" spans="2:12" x14ac:dyDescent="0.2">
      <c r="B14446"/>
      <c r="C14446"/>
      <c r="J14446"/>
      <c r="K14446"/>
      <c r="L14446"/>
    </row>
    <row r="14447" spans="2:12" x14ac:dyDescent="0.2">
      <c r="B14447"/>
      <c r="C14447"/>
      <c r="J14447"/>
      <c r="K14447"/>
      <c r="L14447"/>
    </row>
    <row r="14448" spans="2:12" x14ac:dyDescent="0.2">
      <c r="B14448"/>
      <c r="C14448"/>
      <c r="J14448"/>
      <c r="K14448"/>
      <c r="L14448"/>
    </row>
    <row r="14449" spans="2:12" x14ac:dyDescent="0.2">
      <c r="B14449"/>
      <c r="C14449"/>
      <c r="J14449"/>
      <c r="K14449"/>
      <c r="L14449"/>
    </row>
    <row r="14450" spans="2:12" x14ac:dyDescent="0.2">
      <c r="B14450"/>
      <c r="C14450"/>
      <c r="J14450"/>
      <c r="K14450"/>
      <c r="L14450"/>
    </row>
    <row r="14451" spans="2:12" x14ac:dyDescent="0.2">
      <c r="B14451"/>
      <c r="C14451"/>
      <c r="J14451"/>
      <c r="K14451"/>
      <c r="L14451"/>
    </row>
    <row r="14452" spans="2:12" x14ac:dyDescent="0.2">
      <c r="B14452"/>
      <c r="C14452"/>
      <c r="J14452"/>
      <c r="K14452"/>
      <c r="L14452"/>
    </row>
    <row r="14453" spans="2:12" x14ac:dyDescent="0.2">
      <c r="B14453"/>
      <c r="C14453"/>
      <c r="J14453"/>
      <c r="K14453"/>
      <c r="L14453"/>
    </row>
    <row r="14454" spans="2:12" x14ac:dyDescent="0.2">
      <c r="B14454"/>
      <c r="C14454"/>
      <c r="J14454"/>
      <c r="K14454"/>
      <c r="L14454"/>
    </row>
    <row r="14455" spans="2:12" x14ac:dyDescent="0.2">
      <c r="B14455"/>
      <c r="C14455"/>
      <c r="J14455"/>
      <c r="K14455"/>
      <c r="L14455"/>
    </row>
    <row r="14456" spans="2:12" x14ac:dyDescent="0.2">
      <c r="B14456"/>
      <c r="C14456"/>
      <c r="J14456"/>
      <c r="K14456"/>
      <c r="L14456"/>
    </row>
    <row r="14457" spans="2:12" x14ac:dyDescent="0.2">
      <c r="B14457"/>
      <c r="C14457"/>
      <c r="J14457"/>
      <c r="K14457"/>
      <c r="L14457"/>
    </row>
    <row r="14458" spans="2:12" x14ac:dyDescent="0.2">
      <c r="B14458"/>
      <c r="C14458"/>
      <c r="J14458"/>
      <c r="K14458"/>
      <c r="L14458"/>
    </row>
    <row r="14459" spans="2:12" x14ac:dyDescent="0.2">
      <c r="B14459"/>
      <c r="C14459"/>
      <c r="J14459"/>
      <c r="K14459"/>
      <c r="L14459"/>
    </row>
    <row r="14460" spans="2:12" x14ac:dyDescent="0.2">
      <c r="B14460"/>
      <c r="C14460"/>
      <c r="J14460"/>
      <c r="K14460"/>
      <c r="L14460"/>
    </row>
    <row r="14461" spans="2:12" x14ac:dyDescent="0.2">
      <c r="B14461"/>
      <c r="C14461"/>
      <c r="J14461"/>
      <c r="K14461"/>
      <c r="L14461"/>
    </row>
    <row r="14462" spans="2:12" x14ac:dyDescent="0.2">
      <c r="B14462"/>
      <c r="C14462"/>
      <c r="J14462"/>
      <c r="K14462"/>
      <c r="L14462"/>
    </row>
    <row r="14463" spans="2:12" x14ac:dyDescent="0.2">
      <c r="B14463"/>
      <c r="C14463"/>
      <c r="J14463"/>
      <c r="K14463"/>
      <c r="L14463"/>
    </row>
    <row r="14464" spans="2:12" x14ac:dyDescent="0.2">
      <c r="B14464"/>
      <c r="C14464"/>
      <c r="J14464"/>
      <c r="K14464"/>
      <c r="L14464"/>
    </row>
    <row r="14465" spans="2:12" x14ac:dyDescent="0.2">
      <c r="B14465"/>
      <c r="C14465"/>
      <c r="J14465"/>
      <c r="K14465"/>
      <c r="L14465"/>
    </row>
    <row r="14466" spans="2:12" x14ac:dyDescent="0.2">
      <c r="B14466"/>
      <c r="C14466"/>
      <c r="J14466"/>
      <c r="K14466"/>
      <c r="L14466"/>
    </row>
    <row r="14467" spans="2:12" x14ac:dyDescent="0.2">
      <c r="B14467"/>
      <c r="C14467"/>
      <c r="J14467"/>
      <c r="K14467"/>
      <c r="L14467"/>
    </row>
    <row r="14468" spans="2:12" x14ac:dyDescent="0.2">
      <c r="B14468"/>
      <c r="C14468"/>
      <c r="J14468"/>
      <c r="K14468"/>
      <c r="L14468"/>
    </row>
    <row r="14469" spans="2:12" x14ac:dyDescent="0.2">
      <c r="B14469"/>
      <c r="C14469"/>
      <c r="J14469"/>
      <c r="K14469"/>
      <c r="L14469"/>
    </row>
    <row r="14470" spans="2:12" x14ac:dyDescent="0.2">
      <c r="B14470"/>
      <c r="C14470"/>
      <c r="J14470"/>
      <c r="K14470"/>
      <c r="L14470"/>
    </row>
    <row r="14471" spans="2:12" x14ac:dyDescent="0.2">
      <c r="B14471"/>
      <c r="C14471"/>
      <c r="J14471"/>
      <c r="K14471"/>
      <c r="L14471"/>
    </row>
    <row r="14472" spans="2:12" x14ac:dyDescent="0.2">
      <c r="B14472"/>
      <c r="C14472"/>
      <c r="J14472"/>
      <c r="K14472"/>
      <c r="L14472"/>
    </row>
    <row r="14473" spans="2:12" x14ac:dyDescent="0.2">
      <c r="B14473"/>
      <c r="C14473"/>
      <c r="J14473"/>
      <c r="K14473"/>
      <c r="L14473"/>
    </row>
    <row r="14474" spans="2:12" x14ac:dyDescent="0.2">
      <c r="B14474"/>
      <c r="C14474"/>
      <c r="J14474"/>
      <c r="K14474"/>
      <c r="L14474"/>
    </row>
    <row r="14475" spans="2:12" x14ac:dyDescent="0.2">
      <c r="B14475"/>
      <c r="C14475"/>
      <c r="J14475"/>
      <c r="K14475"/>
      <c r="L14475"/>
    </row>
    <row r="14476" spans="2:12" x14ac:dyDescent="0.2">
      <c r="B14476"/>
      <c r="C14476"/>
      <c r="J14476"/>
      <c r="K14476"/>
      <c r="L14476"/>
    </row>
    <row r="14477" spans="2:12" x14ac:dyDescent="0.2">
      <c r="B14477"/>
      <c r="C14477"/>
      <c r="J14477"/>
      <c r="K14477"/>
      <c r="L14477"/>
    </row>
    <row r="14478" spans="2:12" x14ac:dyDescent="0.2">
      <c r="B14478"/>
      <c r="C14478"/>
      <c r="J14478"/>
      <c r="K14478"/>
      <c r="L14478"/>
    </row>
    <row r="14479" spans="2:12" x14ac:dyDescent="0.2">
      <c r="B14479"/>
      <c r="C14479"/>
      <c r="J14479"/>
      <c r="K14479"/>
      <c r="L14479"/>
    </row>
    <row r="14480" spans="2:12" x14ac:dyDescent="0.2">
      <c r="B14480"/>
      <c r="C14480"/>
      <c r="J14480"/>
      <c r="K14480"/>
      <c r="L14480"/>
    </row>
    <row r="14481" spans="2:12" x14ac:dyDescent="0.2">
      <c r="B14481"/>
      <c r="C14481"/>
      <c r="J14481"/>
      <c r="K14481"/>
      <c r="L14481"/>
    </row>
    <row r="14482" spans="2:12" x14ac:dyDescent="0.2">
      <c r="B14482"/>
      <c r="C14482"/>
      <c r="J14482"/>
      <c r="K14482"/>
      <c r="L14482"/>
    </row>
    <row r="14483" spans="2:12" x14ac:dyDescent="0.2">
      <c r="B14483"/>
      <c r="C14483"/>
      <c r="J14483"/>
      <c r="K14483"/>
      <c r="L14483"/>
    </row>
    <row r="14484" spans="2:12" x14ac:dyDescent="0.2">
      <c r="B14484"/>
      <c r="C14484"/>
      <c r="J14484"/>
      <c r="K14484"/>
      <c r="L14484"/>
    </row>
    <row r="14485" spans="2:12" x14ac:dyDescent="0.2">
      <c r="B14485"/>
      <c r="C14485"/>
      <c r="J14485"/>
      <c r="K14485"/>
      <c r="L14485"/>
    </row>
    <row r="14486" spans="2:12" x14ac:dyDescent="0.2">
      <c r="B14486"/>
      <c r="C14486"/>
      <c r="J14486"/>
      <c r="K14486"/>
      <c r="L14486"/>
    </row>
    <row r="14487" spans="2:12" x14ac:dyDescent="0.2">
      <c r="B14487"/>
      <c r="C14487"/>
      <c r="J14487"/>
      <c r="K14487"/>
      <c r="L14487"/>
    </row>
    <row r="14488" spans="2:12" x14ac:dyDescent="0.2">
      <c r="B14488"/>
      <c r="C14488"/>
      <c r="J14488"/>
      <c r="K14488"/>
      <c r="L14488"/>
    </row>
    <row r="14489" spans="2:12" x14ac:dyDescent="0.2">
      <c r="B14489"/>
      <c r="C14489"/>
      <c r="J14489"/>
      <c r="K14489"/>
      <c r="L14489"/>
    </row>
    <row r="14490" spans="2:12" x14ac:dyDescent="0.2">
      <c r="B14490"/>
      <c r="C14490"/>
      <c r="J14490"/>
      <c r="K14490"/>
      <c r="L14490"/>
    </row>
    <row r="14491" spans="2:12" x14ac:dyDescent="0.2">
      <c r="B14491"/>
      <c r="C14491"/>
      <c r="J14491"/>
      <c r="K14491"/>
      <c r="L14491"/>
    </row>
    <row r="14492" spans="2:12" x14ac:dyDescent="0.2">
      <c r="B14492"/>
      <c r="C14492"/>
      <c r="J14492"/>
      <c r="K14492"/>
      <c r="L14492"/>
    </row>
    <row r="14493" spans="2:12" x14ac:dyDescent="0.2">
      <c r="B14493"/>
      <c r="C14493"/>
      <c r="J14493"/>
      <c r="K14493"/>
      <c r="L14493"/>
    </row>
    <row r="14494" spans="2:12" x14ac:dyDescent="0.2">
      <c r="B14494"/>
      <c r="C14494"/>
      <c r="J14494"/>
      <c r="K14494"/>
      <c r="L14494"/>
    </row>
    <row r="14495" spans="2:12" x14ac:dyDescent="0.2">
      <c r="B14495"/>
      <c r="C14495"/>
      <c r="J14495"/>
      <c r="K14495"/>
      <c r="L14495"/>
    </row>
    <row r="14496" spans="2:12" x14ac:dyDescent="0.2">
      <c r="B14496"/>
      <c r="C14496"/>
      <c r="J14496"/>
      <c r="K14496"/>
      <c r="L14496"/>
    </row>
    <row r="14497" spans="2:12" x14ac:dyDescent="0.2">
      <c r="B14497"/>
      <c r="C14497"/>
      <c r="J14497"/>
      <c r="K14497"/>
      <c r="L14497"/>
    </row>
    <row r="14498" spans="2:12" x14ac:dyDescent="0.2">
      <c r="B14498"/>
      <c r="C14498"/>
      <c r="J14498"/>
      <c r="K14498"/>
      <c r="L14498"/>
    </row>
    <row r="14499" spans="2:12" x14ac:dyDescent="0.2">
      <c r="B14499"/>
      <c r="C14499"/>
      <c r="J14499"/>
      <c r="K14499"/>
      <c r="L14499"/>
    </row>
    <row r="14500" spans="2:12" x14ac:dyDescent="0.2">
      <c r="B14500"/>
      <c r="C14500"/>
      <c r="J14500"/>
      <c r="K14500"/>
      <c r="L14500"/>
    </row>
    <row r="14501" spans="2:12" x14ac:dyDescent="0.2">
      <c r="B14501"/>
      <c r="C14501"/>
      <c r="J14501"/>
      <c r="K14501"/>
      <c r="L14501"/>
    </row>
    <row r="14502" spans="2:12" x14ac:dyDescent="0.2">
      <c r="B14502"/>
      <c r="C14502"/>
      <c r="J14502"/>
      <c r="K14502"/>
      <c r="L14502"/>
    </row>
    <row r="14503" spans="2:12" x14ac:dyDescent="0.2">
      <c r="B14503"/>
      <c r="C14503"/>
      <c r="J14503"/>
      <c r="K14503"/>
      <c r="L14503"/>
    </row>
    <row r="14504" spans="2:12" x14ac:dyDescent="0.2">
      <c r="B14504"/>
      <c r="C14504"/>
      <c r="J14504"/>
      <c r="K14504"/>
      <c r="L14504"/>
    </row>
    <row r="14505" spans="2:12" x14ac:dyDescent="0.2">
      <c r="B14505"/>
      <c r="C14505"/>
      <c r="J14505"/>
      <c r="K14505"/>
      <c r="L14505"/>
    </row>
    <row r="14506" spans="2:12" x14ac:dyDescent="0.2">
      <c r="B14506"/>
      <c r="C14506"/>
      <c r="J14506"/>
      <c r="K14506"/>
      <c r="L14506"/>
    </row>
    <row r="14507" spans="2:12" x14ac:dyDescent="0.2">
      <c r="B14507"/>
      <c r="C14507"/>
      <c r="J14507"/>
      <c r="K14507"/>
      <c r="L14507"/>
    </row>
    <row r="14508" spans="2:12" x14ac:dyDescent="0.2">
      <c r="B14508"/>
      <c r="C14508"/>
      <c r="J14508"/>
      <c r="K14508"/>
      <c r="L14508"/>
    </row>
    <row r="14509" spans="2:12" x14ac:dyDescent="0.2">
      <c r="B14509"/>
      <c r="C14509"/>
      <c r="J14509"/>
      <c r="K14509"/>
      <c r="L14509"/>
    </row>
    <row r="14510" spans="2:12" x14ac:dyDescent="0.2">
      <c r="B14510"/>
      <c r="C14510"/>
      <c r="J14510"/>
      <c r="K14510"/>
      <c r="L14510"/>
    </row>
    <row r="14511" spans="2:12" x14ac:dyDescent="0.2">
      <c r="B14511"/>
      <c r="C14511"/>
      <c r="J14511"/>
      <c r="K14511"/>
      <c r="L14511"/>
    </row>
    <row r="14512" spans="2:12" x14ac:dyDescent="0.2">
      <c r="B14512"/>
      <c r="C14512"/>
      <c r="J14512"/>
      <c r="K14512"/>
      <c r="L14512"/>
    </row>
    <row r="14513" spans="2:12" x14ac:dyDescent="0.2">
      <c r="B14513"/>
      <c r="C14513"/>
      <c r="J14513"/>
      <c r="K14513"/>
      <c r="L14513"/>
    </row>
    <row r="14514" spans="2:12" x14ac:dyDescent="0.2">
      <c r="B14514"/>
      <c r="C14514"/>
      <c r="J14514"/>
      <c r="K14514"/>
      <c r="L14514"/>
    </row>
    <row r="14515" spans="2:12" x14ac:dyDescent="0.2">
      <c r="B14515"/>
      <c r="C14515"/>
      <c r="J14515"/>
      <c r="K14515"/>
      <c r="L14515"/>
    </row>
    <row r="14516" spans="2:12" x14ac:dyDescent="0.2">
      <c r="B14516"/>
      <c r="C14516"/>
      <c r="J14516"/>
      <c r="K14516"/>
      <c r="L14516"/>
    </row>
    <row r="14517" spans="2:12" x14ac:dyDescent="0.2">
      <c r="B14517"/>
      <c r="C14517"/>
      <c r="J14517"/>
      <c r="K14517"/>
      <c r="L14517"/>
    </row>
    <row r="14518" spans="2:12" x14ac:dyDescent="0.2">
      <c r="B14518"/>
      <c r="C14518"/>
      <c r="J14518"/>
      <c r="K14518"/>
      <c r="L14518"/>
    </row>
    <row r="14519" spans="2:12" x14ac:dyDescent="0.2">
      <c r="B14519"/>
      <c r="C14519"/>
      <c r="J14519"/>
      <c r="K14519"/>
      <c r="L14519"/>
    </row>
    <row r="14520" spans="2:12" x14ac:dyDescent="0.2">
      <c r="B14520"/>
      <c r="C14520"/>
      <c r="J14520"/>
      <c r="K14520"/>
      <c r="L14520"/>
    </row>
    <row r="14521" spans="2:12" x14ac:dyDescent="0.2">
      <c r="B14521"/>
      <c r="C14521"/>
      <c r="J14521"/>
      <c r="K14521"/>
      <c r="L14521"/>
    </row>
    <row r="14522" spans="2:12" x14ac:dyDescent="0.2">
      <c r="B14522"/>
      <c r="C14522"/>
      <c r="J14522"/>
      <c r="K14522"/>
      <c r="L14522"/>
    </row>
    <row r="14523" spans="2:12" x14ac:dyDescent="0.2">
      <c r="B14523"/>
      <c r="C14523"/>
      <c r="J14523"/>
      <c r="K14523"/>
      <c r="L14523"/>
    </row>
    <row r="14524" spans="2:12" x14ac:dyDescent="0.2">
      <c r="B14524"/>
      <c r="C14524"/>
      <c r="J14524"/>
      <c r="K14524"/>
      <c r="L14524"/>
    </row>
    <row r="14525" spans="2:12" x14ac:dyDescent="0.2">
      <c r="B14525"/>
      <c r="C14525"/>
      <c r="J14525"/>
      <c r="K14525"/>
      <c r="L14525"/>
    </row>
    <row r="14526" spans="2:12" x14ac:dyDescent="0.2">
      <c r="B14526"/>
      <c r="C14526"/>
      <c r="J14526"/>
      <c r="K14526"/>
      <c r="L14526"/>
    </row>
    <row r="14527" spans="2:12" x14ac:dyDescent="0.2">
      <c r="B14527"/>
      <c r="C14527"/>
      <c r="J14527"/>
      <c r="K14527"/>
      <c r="L14527"/>
    </row>
    <row r="14528" spans="2:12" x14ac:dyDescent="0.2">
      <c r="B14528"/>
      <c r="C14528"/>
      <c r="J14528"/>
      <c r="K14528"/>
      <c r="L14528"/>
    </row>
    <row r="14529" spans="2:12" x14ac:dyDescent="0.2">
      <c r="B14529"/>
      <c r="C14529"/>
      <c r="J14529"/>
      <c r="K14529"/>
      <c r="L14529"/>
    </row>
    <row r="14530" spans="2:12" x14ac:dyDescent="0.2">
      <c r="B14530"/>
      <c r="C14530"/>
      <c r="J14530"/>
      <c r="K14530"/>
      <c r="L14530"/>
    </row>
    <row r="14531" spans="2:12" x14ac:dyDescent="0.2">
      <c r="B14531"/>
      <c r="C14531"/>
      <c r="J14531"/>
      <c r="K14531"/>
      <c r="L14531"/>
    </row>
    <row r="14532" spans="2:12" x14ac:dyDescent="0.2">
      <c r="B14532"/>
      <c r="C14532"/>
      <c r="J14532"/>
      <c r="K14532"/>
      <c r="L14532"/>
    </row>
    <row r="14533" spans="2:12" x14ac:dyDescent="0.2">
      <c r="B14533"/>
      <c r="C14533"/>
      <c r="J14533"/>
      <c r="K14533"/>
      <c r="L14533"/>
    </row>
    <row r="14534" spans="2:12" x14ac:dyDescent="0.2">
      <c r="B14534"/>
      <c r="C14534"/>
      <c r="J14534"/>
      <c r="K14534"/>
      <c r="L14534"/>
    </row>
    <row r="14535" spans="2:12" x14ac:dyDescent="0.2">
      <c r="B14535"/>
      <c r="C14535"/>
      <c r="J14535"/>
      <c r="K14535"/>
      <c r="L14535"/>
    </row>
    <row r="14536" spans="2:12" x14ac:dyDescent="0.2">
      <c r="B14536"/>
      <c r="C14536"/>
      <c r="J14536"/>
      <c r="K14536"/>
      <c r="L14536"/>
    </row>
    <row r="14537" spans="2:12" x14ac:dyDescent="0.2">
      <c r="B14537"/>
      <c r="C14537"/>
      <c r="J14537"/>
      <c r="K14537"/>
      <c r="L14537"/>
    </row>
    <row r="14538" spans="2:12" x14ac:dyDescent="0.2">
      <c r="B14538"/>
      <c r="C14538"/>
      <c r="J14538"/>
      <c r="K14538"/>
      <c r="L14538"/>
    </row>
    <row r="14539" spans="2:12" x14ac:dyDescent="0.2">
      <c r="B14539"/>
      <c r="C14539"/>
      <c r="J14539"/>
      <c r="K14539"/>
      <c r="L14539"/>
    </row>
    <row r="14540" spans="2:12" x14ac:dyDescent="0.2">
      <c r="B14540"/>
      <c r="C14540"/>
      <c r="J14540"/>
      <c r="K14540"/>
      <c r="L14540"/>
    </row>
    <row r="14541" spans="2:12" x14ac:dyDescent="0.2">
      <c r="B14541"/>
      <c r="C14541"/>
      <c r="J14541"/>
      <c r="K14541"/>
      <c r="L14541"/>
    </row>
    <row r="14542" spans="2:12" x14ac:dyDescent="0.2">
      <c r="B14542"/>
      <c r="C14542"/>
      <c r="J14542"/>
      <c r="K14542"/>
      <c r="L14542"/>
    </row>
    <row r="14543" spans="2:12" x14ac:dyDescent="0.2">
      <c r="B14543"/>
      <c r="C14543"/>
      <c r="J14543"/>
      <c r="K14543"/>
      <c r="L14543"/>
    </row>
    <row r="14544" spans="2:12" x14ac:dyDescent="0.2">
      <c r="B14544"/>
      <c r="C14544"/>
      <c r="J14544"/>
      <c r="K14544"/>
      <c r="L14544"/>
    </row>
    <row r="14545" spans="2:12" x14ac:dyDescent="0.2">
      <c r="B14545"/>
      <c r="C14545"/>
      <c r="J14545"/>
      <c r="K14545"/>
      <c r="L14545"/>
    </row>
    <row r="14546" spans="2:12" x14ac:dyDescent="0.2">
      <c r="B14546"/>
      <c r="C14546"/>
      <c r="J14546"/>
      <c r="K14546"/>
      <c r="L14546"/>
    </row>
    <row r="14547" spans="2:12" x14ac:dyDescent="0.2">
      <c r="B14547"/>
      <c r="C14547"/>
      <c r="J14547"/>
      <c r="K14547"/>
      <c r="L14547"/>
    </row>
    <row r="14548" spans="2:12" x14ac:dyDescent="0.2">
      <c r="B14548"/>
      <c r="C14548"/>
      <c r="J14548"/>
      <c r="K14548"/>
      <c r="L14548"/>
    </row>
    <row r="14549" spans="2:12" x14ac:dyDescent="0.2">
      <c r="B14549"/>
      <c r="C14549"/>
      <c r="J14549"/>
      <c r="K14549"/>
      <c r="L14549"/>
    </row>
    <row r="14550" spans="2:12" x14ac:dyDescent="0.2">
      <c r="B14550"/>
      <c r="C14550"/>
      <c r="J14550"/>
      <c r="K14550"/>
      <c r="L14550"/>
    </row>
    <row r="14551" spans="2:12" x14ac:dyDescent="0.2">
      <c r="B14551"/>
      <c r="C14551"/>
      <c r="J14551"/>
      <c r="K14551"/>
      <c r="L14551"/>
    </row>
    <row r="14552" spans="2:12" x14ac:dyDescent="0.2">
      <c r="B14552"/>
      <c r="C14552"/>
      <c r="J14552"/>
      <c r="K14552"/>
      <c r="L14552"/>
    </row>
    <row r="14553" spans="2:12" x14ac:dyDescent="0.2">
      <c r="B14553"/>
      <c r="C14553"/>
      <c r="J14553"/>
      <c r="K14553"/>
      <c r="L14553"/>
    </row>
    <row r="14554" spans="2:12" x14ac:dyDescent="0.2">
      <c r="B14554"/>
      <c r="C14554"/>
      <c r="J14554"/>
      <c r="K14554"/>
      <c r="L14554"/>
    </row>
    <row r="14555" spans="2:12" x14ac:dyDescent="0.2">
      <c r="B14555"/>
      <c r="C14555"/>
      <c r="J14555"/>
      <c r="K14555"/>
      <c r="L14555"/>
    </row>
    <row r="14556" spans="2:12" x14ac:dyDescent="0.2">
      <c r="B14556"/>
      <c r="C14556"/>
      <c r="J14556"/>
      <c r="K14556"/>
      <c r="L14556"/>
    </row>
    <row r="14557" spans="2:12" x14ac:dyDescent="0.2">
      <c r="B14557"/>
      <c r="C14557"/>
      <c r="J14557"/>
      <c r="K14557"/>
      <c r="L14557"/>
    </row>
    <row r="14558" spans="2:12" x14ac:dyDescent="0.2">
      <c r="B14558"/>
      <c r="C14558"/>
      <c r="J14558"/>
      <c r="K14558"/>
      <c r="L14558"/>
    </row>
    <row r="14559" spans="2:12" x14ac:dyDescent="0.2">
      <c r="B14559"/>
      <c r="C14559"/>
      <c r="J14559"/>
      <c r="K14559"/>
      <c r="L14559"/>
    </row>
    <row r="14560" spans="2:12" x14ac:dyDescent="0.2">
      <c r="B14560"/>
      <c r="C14560"/>
      <c r="J14560"/>
      <c r="K14560"/>
      <c r="L14560"/>
    </row>
    <row r="14561" spans="2:12" x14ac:dyDescent="0.2">
      <c r="B14561"/>
      <c r="C14561"/>
      <c r="J14561"/>
      <c r="K14561"/>
      <c r="L14561"/>
    </row>
    <row r="14562" spans="2:12" x14ac:dyDescent="0.2">
      <c r="B14562"/>
      <c r="C14562"/>
      <c r="J14562"/>
      <c r="K14562"/>
      <c r="L14562"/>
    </row>
    <row r="14563" spans="2:12" x14ac:dyDescent="0.2">
      <c r="B14563"/>
      <c r="C14563"/>
      <c r="J14563"/>
      <c r="K14563"/>
      <c r="L14563"/>
    </row>
    <row r="14564" spans="2:12" x14ac:dyDescent="0.2">
      <c r="B14564"/>
      <c r="C14564"/>
      <c r="J14564"/>
      <c r="K14564"/>
      <c r="L14564"/>
    </row>
    <row r="14565" spans="2:12" x14ac:dyDescent="0.2">
      <c r="B14565"/>
      <c r="C14565"/>
      <c r="J14565"/>
      <c r="K14565"/>
      <c r="L14565"/>
    </row>
    <row r="14566" spans="2:12" x14ac:dyDescent="0.2">
      <c r="B14566"/>
      <c r="C14566"/>
      <c r="J14566"/>
      <c r="K14566"/>
      <c r="L14566"/>
    </row>
    <row r="14567" spans="2:12" x14ac:dyDescent="0.2">
      <c r="B14567"/>
      <c r="C14567"/>
      <c r="J14567"/>
      <c r="K14567"/>
      <c r="L14567"/>
    </row>
    <row r="14568" spans="2:12" x14ac:dyDescent="0.2">
      <c r="B14568"/>
      <c r="C14568"/>
      <c r="J14568"/>
      <c r="K14568"/>
      <c r="L14568"/>
    </row>
    <row r="14569" spans="2:12" x14ac:dyDescent="0.2">
      <c r="B14569"/>
      <c r="C14569"/>
      <c r="J14569"/>
      <c r="K14569"/>
      <c r="L14569"/>
    </row>
    <row r="14570" spans="2:12" x14ac:dyDescent="0.2">
      <c r="B14570"/>
      <c r="C14570"/>
      <c r="J14570"/>
      <c r="K14570"/>
      <c r="L14570"/>
    </row>
    <row r="14571" spans="2:12" x14ac:dyDescent="0.2">
      <c r="B14571"/>
      <c r="C14571"/>
      <c r="J14571"/>
      <c r="K14571"/>
      <c r="L14571"/>
    </row>
    <row r="14572" spans="2:12" x14ac:dyDescent="0.2">
      <c r="B14572"/>
      <c r="C14572"/>
      <c r="J14572"/>
      <c r="K14572"/>
      <c r="L14572"/>
    </row>
    <row r="14573" spans="2:12" x14ac:dyDescent="0.2">
      <c r="B14573"/>
      <c r="C14573"/>
      <c r="J14573"/>
      <c r="K14573"/>
      <c r="L14573"/>
    </row>
    <row r="14574" spans="2:12" x14ac:dyDescent="0.2">
      <c r="B14574"/>
      <c r="C14574"/>
      <c r="J14574"/>
      <c r="K14574"/>
      <c r="L14574"/>
    </row>
    <row r="14575" spans="2:12" x14ac:dyDescent="0.2">
      <c r="B14575"/>
      <c r="C14575"/>
      <c r="J14575"/>
      <c r="K14575"/>
      <c r="L14575"/>
    </row>
    <row r="14576" spans="2:12" x14ac:dyDescent="0.2">
      <c r="B14576"/>
      <c r="C14576"/>
      <c r="J14576"/>
      <c r="K14576"/>
      <c r="L14576"/>
    </row>
    <row r="14577" spans="2:12" x14ac:dyDescent="0.2">
      <c r="B14577"/>
      <c r="C14577"/>
      <c r="J14577"/>
      <c r="K14577"/>
      <c r="L14577"/>
    </row>
    <row r="14578" spans="2:12" x14ac:dyDescent="0.2">
      <c r="B14578"/>
      <c r="C14578"/>
      <c r="J14578"/>
      <c r="K14578"/>
      <c r="L14578"/>
    </row>
    <row r="14579" spans="2:12" x14ac:dyDescent="0.2">
      <c r="B14579"/>
      <c r="C14579"/>
      <c r="J14579"/>
      <c r="K14579"/>
      <c r="L14579"/>
    </row>
    <row r="14580" spans="2:12" x14ac:dyDescent="0.2">
      <c r="B14580"/>
      <c r="C14580"/>
      <c r="J14580"/>
      <c r="K14580"/>
      <c r="L14580"/>
    </row>
    <row r="14581" spans="2:12" x14ac:dyDescent="0.2">
      <c r="B14581"/>
      <c r="C14581"/>
      <c r="J14581"/>
      <c r="K14581"/>
      <c r="L14581"/>
    </row>
    <row r="14582" spans="2:12" x14ac:dyDescent="0.2">
      <c r="B14582"/>
      <c r="C14582"/>
      <c r="J14582"/>
      <c r="K14582"/>
      <c r="L14582"/>
    </row>
    <row r="14583" spans="2:12" x14ac:dyDescent="0.2">
      <c r="B14583"/>
      <c r="C14583"/>
      <c r="J14583"/>
      <c r="K14583"/>
      <c r="L14583"/>
    </row>
    <row r="14584" spans="2:12" x14ac:dyDescent="0.2">
      <c r="B14584"/>
      <c r="C14584"/>
      <c r="J14584"/>
      <c r="K14584"/>
      <c r="L14584"/>
    </row>
    <row r="14585" spans="2:12" x14ac:dyDescent="0.2">
      <c r="B14585"/>
      <c r="C14585"/>
      <c r="J14585"/>
      <c r="K14585"/>
      <c r="L14585"/>
    </row>
    <row r="14586" spans="2:12" x14ac:dyDescent="0.2">
      <c r="B14586"/>
      <c r="C14586"/>
      <c r="J14586"/>
      <c r="K14586"/>
      <c r="L14586"/>
    </row>
    <row r="14587" spans="2:12" x14ac:dyDescent="0.2">
      <c r="B14587"/>
      <c r="C14587"/>
      <c r="J14587"/>
      <c r="K14587"/>
      <c r="L14587"/>
    </row>
    <row r="14588" spans="2:12" x14ac:dyDescent="0.2">
      <c r="B14588"/>
      <c r="C14588"/>
      <c r="J14588"/>
      <c r="K14588"/>
      <c r="L14588"/>
    </row>
    <row r="14589" spans="2:12" x14ac:dyDescent="0.2">
      <c r="B14589"/>
      <c r="C14589"/>
      <c r="J14589"/>
      <c r="K14589"/>
      <c r="L14589"/>
    </row>
    <row r="14590" spans="2:12" x14ac:dyDescent="0.2">
      <c r="B14590"/>
      <c r="C14590"/>
      <c r="J14590"/>
      <c r="K14590"/>
      <c r="L14590"/>
    </row>
    <row r="14591" spans="2:12" x14ac:dyDescent="0.2">
      <c r="B14591"/>
      <c r="C14591"/>
      <c r="J14591"/>
      <c r="K14591"/>
      <c r="L14591"/>
    </row>
    <row r="14592" spans="2:12" x14ac:dyDescent="0.2">
      <c r="B14592"/>
      <c r="C14592"/>
      <c r="J14592"/>
      <c r="K14592"/>
      <c r="L14592"/>
    </row>
    <row r="14593" spans="2:12" x14ac:dyDescent="0.2">
      <c r="B14593"/>
      <c r="C14593"/>
      <c r="J14593"/>
      <c r="K14593"/>
      <c r="L14593"/>
    </row>
    <row r="14594" spans="2:12" x14ac:dyDescent="0.2">
      <c r="B14594"/>
      <c r="C14594"/>
      <c r="J14594"/>
      <c r="K14594"/>
      <c r="L14594"/>
    </row>
    <row r="14595" spans="2:12" x14ac:dyDescent="0.2">
      <c r="B14595"/>
      <c r="C14595"/>
      <c r="J14595"/>
      <c r="K14595"/>
      <c r="L14595"/>
    </row>
    <row r="14596" spans="2:12" x14ac:dyDescent="0.2">
      <c r="B14596"/>
      <c r="C14596"/>
      <c r="J14596"/>
      <c r="K14596"/>
      <c r="L14596"/>
    </row>
    <row r="14597" spans="2:12" x14ac:dyDescent="0.2">
      <c r="B14597"/>
      <c r="C14597"/>
      <c r="J14597"/>
      <c r="K14597"/>
      <c r="L14597"/>
    </row>
    <row r="14598" spans="2:12" x14ac:dyDescent="0.2">
      <c r="B14598"/>
      <c r="C14598"/>
      <c r="J14598"/>
      <c r="K14598"/>
      <c r="L14598"/>
    </row>
    <row r="14599" spans="2:12" x14ac:dyDescent="0.2">
      <c r="B14599"/>
      <c r="C14599"/>
      <c r="J14599"/>
      <c r="K14599"/>
      <c r="L14599"/>
    </row>
    <row r="14600" spans="2:12" x14ac:dyDescent="0.2">
      <c r="B14600"/>
      <c r="C14600"/>
      <c r="J14600"/>
      <c r="K14600"/>
      <c r="L14600"/>
    </row>
    <row r="14601" spans="2:12" x14ac:dyDescent="0.2">
      <c r="B14601"/>
      <c r="C14601"/>
      <c r="J14601"/>
      <c r="K14601"/>
      <c r="L14601"/>
    </row>
    <row r="14602" spans="2:12" x14ac:dyDescent="0.2">
      <c r="B14602"/>
      <c r="C14602"/>
      <c r="J14602"/>
      <c r="K14602"/>
      <c r="L14602"/>
    </row>
    <row r="14603" spans="2:12" x14ac:dyDescent="0.2">
      <c r="B14603"/>
      <c r="C14603"/>
      <c r="J14603"/>
      <c r="K14603"/>
      <c r="L14603"/>
    </row>
    <row r="14604" spans="2:12" x14ac:dyDescent="0.2">
      <c r="B14604"/>
      <c r="C14604"/>
      <c r="J14604"/>
      <c r="K14604"/>
      <c r="L14604"/>
    </row>
    <row r="14605" spans="2:12" x14ac:dyDescent="0.2">
      <c r="B14605"/>
      <c r="C14605"/>
      <c r="J14605"/>
      <c r="K14605"/>
      <c r="L14605"/>
    </row>
    <row r="14606" spans="2:12" x14ac:dyDescent="0.2">
      <c r="B14606"/>
      <c r="C14606"/>
      <c r="J14606"/>
      <c r="K14606"/>
      <c r="L14606"/>
    </row>
    <row r="14607" spans="2:12" x14ac:dyDescent="0.2">
      <c r="B14607"/>
      <c r="C14607"/>
      <c r="J14607"/>
      <c r="K14607"/>
      <c r="L14607"/>
    </row>
    <row r="14608" spans="2:12" x14ac:dyDescent="0.2">
      <c r="B14608"/>
      <c r="C14608"/>
      <c r="J14608"/>
      <c r="K14608"/>
      <c r="L14608"/>
    </row>
    <row r="14609" spans="2:12" x14ac:dyDescent="0.2">
      <c r="B14609"/>
      <c r="C14609"/>
      <c r="J14609"/>
      <c r="K14609"/>
      <c r="L14609"/>
    </row>
    <row r="14610" spans="2:12" x14ac:dyDescent="0.2">
      <c r="B14610"/>
      <c r="C14610"/>
      <c r="J14610"/>
      <c r="K14610"/>
      <c r="L14610"/>
    </row>
    <row r="14611" spans="2:12" x14ac:dyDescent="0.2">
      <c r="B14611"/>
      <c r="C14611"/>
      <c r="J14611"/>
      <c r="K14611"/>
      <c r="L14611"/>
    </row>
    <row r="14612" spans="2:12" x14ac:dyDescent="0.2">
      <c r="B14612"/>
      <c r="C14612"/>
      <c r="J14612"/>
      <c r="K14612"/>
      <c r="L14612"/>
    </row>
    <row r="14613" spans="2:12" x14ac:dyDescent="0.2">
      <c r="B14613"/>
      <c r="C14613"/>
      <c r="J14613"/>
      <c r="K14613"/>
      <c r="L14613"/>
    </row>
    <row r="14614" spans="2:12" x14ac:dyDescent="0.2">
      <c r="B14614"/>
      <c r="C14614"/>
      <c r="J14614"/>
      <c r="K14614"/>
      <c r="L14614"/>
    </row>
    <row r="14615" spans="2:12" x14ac:dyDescent="0.2">
      <c r="B14615"/>
      <c r="C14615"/>
      <c r="J14615"/>
      <c r="K14615"/>
      <c r="L14615"/>
    </row>
    <row r="14616" spans="2:12" x14ac:dyDescent="0.2">
      <c r="B14616"/>
      <c r="C14616"/>
      <c r="J14616"/>
      <c r="K14616"/>
      <c r="L14616"/>
    </row>
    <row r="14617" spans="2:12" x14ac:dyDescent="0.2">
      <c r="B14617"/>
      <c r="C14617"/>
      <c r="J14617"/>
      <c r="K14617"/>
      <c r="L14617"/>
    </row>
    <row r="14618" spans="2:12" x14ac:dyDescent="0.2">
      <c r="B14618"/>
      <c r="C14618"/>
      <c r="J14618"/>
      <c r="K14618"/>
      <c r="L14618"/>
    </row>
    <row r="14619" spans="2:12" x14ac:dyDescent="0.2">
      <c r="B14619"/>
      <c r="C14619"/>
      <c r="J14619"/>
      <c r="K14619"/>
      <c r="L14619"/>
    </row>
    <row r="14620" spans="2:12" x14ac:dyDescent="0.2">
      <c r="B14620"/>
      <c r="C14620"/>
      <c r="J14620"/>
      <c r="K14620"/>
      <c r="L14620"/>
    </row>
    <row r="14621" spans="2:12" x14ac:dyDescent="0.2">
      <c r="B14621"/>
      <c r="C14621"/>
      <c r="J14621"/>
      <c r="K14621"/>
      <c r="L14621"/>
    </row>
    <row r="14622" spans="2:12" x14ac:dyDescent="0.2">
      <c r="B14622"/>
      <c r="C14622"/>
      <c r="J14622"/>
      <c r="K14622"/>
      <c r="L14622"/>
    </row>
    <row r="14623" spans="2:12" x14ac:dyDescent="0.2">
      <c r="B14623"/>
      <c r="C14623"/>
      <c r="J14623"/>
      <c r="K14623"/>
      <c r="L14623"/>
    </row>
    <row r="14624" spans="2:12" x14ac:dyDescent="0.2">
      <c r="B14624"/>
      <c r="C14624"/>
      <c r="J14624"/>
      <c r="K14624"/>
      <c r="L14624"/>
    </row>
    <row r="14625" spans="2:12" x14ac:dyDescent="0.2">
      <c r="B14625"/>
      <c r="C14625"/>
      <c r="J14625"/>
      <c r="K14625"/>
      <c r="L14625"/>
    </row>
    <row r="14626" spans="2:12" x14ac:dyDescent="0.2">
      <c r="B14626"/>
      <c r="C14626"/>
      <c r="J14626"/>
      <c r="K14626"/>
      <c r="L14626"/>
    </row>
    <row r="14627" spans="2:12" x14ac:dyDescent="0.2">
      <c r="B14627"/>
      <c r="C14627"/>
      <c r="J14627"/>
      <c r="K14627"/>
      <c r="L14627"/>
    </row>
    <row r="14628" spans="2:12" x14ac:dyDescent="0.2">
      <c r="B14628"/>
      <c r="C14628"/>
      <c r="J14628"/>
      <c r="K14628"/>
      <c r="L14628"/>
    </row>
    <row r="14629" spans="2:12" x14ac:dyDescent="0.2">
      <c r="B14629"/>
      <c r="C14629"/>
      <c r="J14629"/>
      <c r="K14629"/>
      <c r="L14629"/>
    </row>
    <row r="14630" spans="2:12" x14ac:dyDescent="0.2">
      <c r="B14630"/>
      <c r="C14630"/>
      <c r="J14630"/>
      <c r="K14630"/>
      <c r="L14630"/>
    </row>
    <row r="14631" spans="2:12" x14ac:dyDescent="0.2">
      <c r="B14631"/>
      <c r="C14631"/>
      <c r="J14631"/>
      <c r="K14631"/>
      <c r="L14631"/>
    </row>
    <row r="14632" spans="2:12" x14ac:dyDescent="0.2">
      <c r="B14632"/>
      <c r="C14632"/>
      <c r="J14632"/>
      <c r="K14632"/>
      <c r="L14632"/>
    </row>
    <row r="14633" spans="2:12" x14ac:dyDescent="0.2">
      <c r="B14633"/>
      <c r="C14633"/>
      <c r="J14633"/>
      <c r="K14633"/>
      <c r="L14633"/>
    </row>
    <row r="14634" spans="2:12" x14ac:dyDescent="0.2">
      <c r="B14634"/>
      <c r="C14634"/>
      <c r="J14634"/>
      <c r="K14634"/>
      <c r="L14634"/>
    </row>
    <row r="14635" spans="2:12" x14ac:dyDescent="0.2">
      <c r="B14635"/>
      <c r="C14635"/>
      <c r="J14635"/>
      <c r="K14635"/>
      <c r="L14635"/>
    </row>
    <row r="14636" spans="2:12" x14ac:dyDescent="0.2">
      <c r="B14636"/>
      <c r="C14636"/>
      <c r="J14636"/>
      <c r="K14636"/>
      <c r="L14636"/>
    </row>
    <row r="14637" spans="2:12" x14ac:dyDescent="0.2">
      <c r="B14637"/>
      <c r="C14637"/>
      <c r="J14637"/>
      <c r="K14637"/>
      <c r="L14637"/>
    </row>
    <row r="14638" spans="2:12" x14ac:dyDescent="0.2">
      <c r="B14638"/>
      <c r="C14638"/>
      <c r="J14638"/>
      <c r="K14638"/>
      <c r="L14638"/>
    </row>
    <row r="14639" spans="2:12" x14ac:dyDescent="0.2">
      <c r="B14639"/>
      <c r="C14639"/>
      <c r="J14639"/>
      <c r="K14639"/>
      <c r="L14639"/>
    </row>
    <row r="14640" spans="2:12" x14ac:dyDescent="0.2">
      <c r="B14640"/>
      <c r="C14640"/>
      <c r="J14640"/>
      <c r="K14640"/>
      <c r="L14640"/>
    </row>
    <row r="14641" spans="2:12" x14ac:dyDescent="0.2">
      <c r="B14641"/>
      <c r="C14641"/>
      <c r="J14641"/>
      <c r="K14641"/>
      <c r="L14641"/>
    </row>
    <row r="14642" spans="2:12" x14ac:dyDescent="0.2">
      <c r="B14642"/>
      <c r="C14642"/>
      <c r="J14642"/>
      <c r="K14642"/>
      <c r="L14642"/>
    </row>
    <row r="14643" spans="2:12" x14ac:dyDescent="0.2">
      <c r="B14643"/>
      <c r="C14643"/>
      <c r="J14643"/>
      <c r="K14643"/>
      <c r="L14643"/>
    </row>
    <row r="14644" spans="2:12" x14ac:dyDescent="0.2">
      <c r="B14644"/>
      <c r="C14644"/>
      <c r="J14644"/>
      <c r="K14644"/>
      <c r="L14644"/>
    </row>
    <row r="14645" spans="2:12" x14ac:dyDescent="0.2">
      <c r="B14645"/>
      <c r="C14645"/>
      <c r="J14645"/>
      <c r="K14645"/>
      <c r="L14645"/>
    </row>
    <row r="14646" spans="2:12" x14ac:dyDescent="0.2">
      <c r="B14646"/>
      <c r="C14646"/>
      <c r="J14646"/>
      <c r="K14646"/>
      <c r="L14646"/>
    </row>
    <row r="14647" spans="2:12" x14ac:dyDescent="0.2">
      <c r="B14647"/>
      <c r="C14647"/>
      <c r="J14647"/>
      <c r="K14647"/>
      <c r="L14647"/>
    </row>
    <row r="14648" spans="2:12" x14ac:dyDescent="0.2">
      <c r="B14648"/>
      <c r="C14648"/>
      <c r="J14648"/>
      <c r="K14648"/>
      <c r="L14648"/>
    </row>
    <row r="14649" spans="2:12" x14ac:dyDescent="0.2">
      <c r="B14649"/>
      <c r="C14649"/>
      <c r="J14649"/>
      <c r="K14649"/>
      <c r="L14649"/>
    </row>
    <row r="14650" spans="2:12" x14ac:dyDescent="0.2">
      <c r="B14650"/>
      <c r="C14650"/>
      <c r="J14650"/>
      <c r="K14650"/>
      <c r="L14650"/>
    </row>
    <row r="14651" spans="2:12" x14ac:dyDescent="0.2">
      <c r="B14651"/>
      <c r="C14651"/>
      <c r="J14651"/>
      <c r="K14651"/>
      <c r="L14651"/>
    </row>
    <row r="14652" spans="2:12" x14ac:dyDescent="0.2">
      <c r="B14652"/>
      <c r="C14652"/>
      <c r="J14652"/>
      <c r="K14652"/>
      <c r="L14652"/>
    </row>
    <row r="14653" spans="2:12" x14ac:dyDescent="0.2">
      <c r="B14653"/>
      <c r="C14653"/>
      <c r="J14653"/>
      <c r="K14653"/>
      <c r="L14653"/>
    </row>
    <row r="14654" spans="2:12" x14ac:dyDescent="0.2">
      <c r="B14654"/>
      <c r="C14654"/>
      <c r="J14654"/>
      <c r="K14654"/>
      <c r="L14654"/>
    </row>
    <row r="14655" spans="2:12" x14ac:dyDescent="0.2">
      <c r="B14655"/>
      <c r="C14655"/>
      <c r="J14655"/>
      <c r="K14655"/>
      <c r="L14655"/>
    </row>
    <row r="14656" spans="2:12" x14ac:dyDescent="0.2">
      <c r="B14656"/>
      <c r="C14656"/>
      <c r="J14656"/>
      <c r="K14656"/>
      <c r="L14656"/>
    </row>
    <row r="14657" spans="2:12" x14ac:dyDescent="0.2">
      <c r="B14657"/>
      <c r="C14657"/>
      <c r="J14657"/>
      <c r="K14657"/>
      <c r="L14657"/>
    </row>
    <row r="14658" spans="2:12" x14ac:dyDescent="0.2">
      <c r="B14658"/>
      <c r="C14658"/>
      <c r="J14658"/>
      <c r="K14658"/>
      <c r="L14658"/>
    </row>
    <row r="14659" spans="2:12" x14ac:dyDescent="0.2">
      <c r="B14659"/>
      <c r="C14659"/>
      <c r="J14659"/>
      <c r="K14659"/>
      <c r="L14659"/>
    </row>
    <row r="14660" spans="2:12" x14ac:dyDescent="0.2">
      <c r="B14660"/>
      <c r="C14660"/>
      <c r="J14660"/>
      <c r="K14660"/>
      <c r="L14660"/>
    </row>
    <row r="14661" spans="2:12" x14ac:dyDescent="0.2">
      <c r="B14661"/>
      <c r="C14661"/>
      <c r="J14661"/>
      <c r="K14661"/>
      <c r="L14661"/>
    </row>
    <row r="14662" spans="2:12" x14ac:dyDescent="0.2">
      <c r="B14662"/>
      <c r="C14662"/>
      <c r="J14662"/>
      <c r="K14662"/>
      <c r="L14662"/>
    </row>
    <row r="14663" spans="2:12" x14ac:dyDescent="0.2">
      <c r="B14663"/>
      <c r="C14663"/>
      <c r="J14663"/>
      <c r="K14663"/>
      <c r="L14663"/>
    </row>
    <row r="14664" spans="2:12" x14ac:dyDescent="0.2">
      <c r="B14664"/>
      <c r="C14664"/>
      <c r="J14664"/>
      <c r="K14664"/>
      <c r="L14664"/>
    </row>
    <row r="14665" spans="2:12" x14ac:dyDescent="0.2">
      <c r="B14665"/>
      <c r="C14665"/>
      <c r="J14665"/>
      <c r="K14665"/>
      <c r="L14665"/>
    </row>
    <row r="14666" spans="2:12" x14ac:dyDescent="0.2">
      <c r="B14666"/>
      <c r="C14666"/>
      <c r="J14666"/>
      <c r="K14666"/>
      <c r="L14666"/>
    </row>
    <row r="14667" spans="2:12" x14ac:dyDescent="0.2">
      <c r="B14667"/>
      <c r="C14667"/>
      <c r="J14667"/>
      <c r="K14667"/>
      <c r="L14667"/>
    </row>
    <row r="14668" spans="2:12" x14ac:dyDescent="0.2">
      <c r="B14668"/>
      <c r="C14668"/>
      <c r="J14668"/>
      <c r="K14668"/>
      <c r="L14668"/>
    </row>
    <row r="14669" spans="2:12" x14ac:dyDescent="0.2">
      <c r="B14669"/>
      <c r="C14669"/>
      <c r="J14669"/>
      <c r="K14669"/>
      <c r="L14669"/>
    </row>
    <row r="14670" spans="2:12" x14ac:dyDescent="0.2">
      <c r="B14670"/>
      <c r="C14670"/>
      <c r="J14670"/>
      <c r="K14670"/>
      <c r="L14670"/>
    </row>
    <row r="14671" spans="2:12" x14ac:dyDescent="0.2">
      <c r="B14671"/>
      <c r="C14671"/>
      <c r="J14671"/>
      <c r="K14671"/>
      <c r="L14671"/>
    </row>
    <row r="14672" spans="2:12" x14ac:dyDescent="0.2">
      <c r="B14672"/>
      <c r="C14672"/>
      <c r="J14672"/>
      <c r="K14672"/>
      <c r="L14672"/>
    </row>
    <row r="14673" spans="2:12" x14ac:dyDescent="0.2">
      <c r="B14673"/>
      <c r="C14673"/>
      <c r="J14673"/>
      <c r="K14673"/>
      <c r="L14673"/>
    </row>
    <row r="14674" spans="2:12" x14ac:dyDescent="0.2">
      <c r="B14674"/>
      <c r="C14674"/>
      <c r="J14674"/>
      <c r="K14674"/>
      <c r="L14674"/>
    </row>
    <row r="14675" spans="2:12" x14ac:dyDescent="0.2">
      <c r="B14675"/>
      <c r="C14675"/>
      <c r="J14675"/>
      <c r="K14675"/>
      <c r="L14675"/>
    </row>
    <row r="14676" spans="2:12" x14ac:dyDescent="0.2">
      <c r="B14676"/>
      <c r="C14676"/>
      <c r="J14676"/>
      <c r="K14676"/>
      <c r="L14676"/>
    </row>
    <row r="14677" spans="2:12" x14ac:dyDescent="0.2">
      <c r="B14677"/>
      <c r="C14677"/>
      <c r="J14677"/>
      <c r="K14677"/>
      <c r="L14677"/>
    </row>
    <row r="14678" spans="2:12" x14ac:dyDescent="0.2">
      <c r="B14678"/>
      <c r="C14678"/>
      <c r="J14678"/>
      <c r="K14678"/>
      <c r="L14678"/>
    </row>
    <row r="14679" spans="2:12" x14ac:dyDescent="0.2">
      <c r="B14679"/>
      <c r="C14679"/>
      <c r="J14679"/>
      <c r="K14679"/>
      <c r="L14679"/>
    </row>
    <row r="14680" spans="2:12" x14ac:dyDescent="0.2">
      <c r="B14680"/>
      <c r="C14680"/>
      <c r="J14680"/>
      <c r="K14680"/>
      <c r="L14680"/>
    </row>
    <row r="14681" spans="2:12" x14ac:dyDescent="0.2">
      <c r="B14681"/>
      <c r="C14681"/>
      <c r="J14681"/>
      <c r="K14681"/>
      <c r="L14681"/>
    </row>
    <row r="14682" spans="2:12" x14ac:dyDescent="0.2">
      <c r="B14682"/>
      <c r="C14682"/>
      <c r="J14682"/>
      <c r="K14682"/>
      <c r="L14682"/>
    </row>
    <row r="14683" spans="2:12" x14ac:dyDescent="0.2">
      <c r="B14683"/>
      <c r="C14683"/>
      <c r="J14683"/>
      <c r="K14683"/>
      <c r="L14683"/>
    </row>
    <row r="14684" spans="2:12" x14ac:dyDescent="0.2">
      <c r="B14684"/>
      <c r="C14684"/>
      <c r="J14684"/>
      <c r="K14684"/>
      <c r="L14684"/>
    </row>
    <row r="14685" spans="2:12" x14ac:dyDescent="0.2">
      <c r="B14685"/>
      <c r="C14685"/>
      <c r="J14685"/>
      <c r="K14685"/>
      <c r="L14685"/>
    </row>
    <row r="14686" spans="2:12" x14ac:dyDescent="0.2">
      <c r="B14686"/>
      <c r="C14686"/>
      <c r="J14686"/>
      <c r="K14686"/>
      <c r="L14686"/>
    </row>
    <row r="14687" spans="2:12" x14ac:dyDescent="0.2">
      <c r="B14687"/>
      <c r="C14687"/>
      <c r="J14687"/>
      <c r="K14687"/>
      <c r="L14687"/>
    </row>
    <row r="14688" spans="2:12" x14ac:dyDescent="0.2">
      <c r="B14688"/>
      <c r="C14688"/>
      <c r="J14688"/>
      <c r="K14688"/>
      <c r="L14688"/>
    </row>
    <row r="14689" spans="2:12" x14ac:dyDescent="0.2">
      <c r="B14689"/>
      <c r="C14689"/>
      <c r="J14689"/>
      <c r="K14689"/>
      <c r="L14689"/>
    </row>
    <row r="14690" spans="2:12" x14ac:dyDescent="0.2">
      <c r="B14690"/>
      <c r="C14690"/>
      <c r="J14690"/>
      <c r="K14690"/>
      <c r="L14690"/>
    </row>
    <row r="14691" spans="2:12" x14ac:dyDescent="0.2">
      <c r="B14691"/>
      <c r="C14691"/>
      <c r="J14691"/>
      <c r="K14691"/>
      <c r="L14691"/>
    </row>
    <row r="14692" spans="2:12" x14ac:dyDescent="0.2">
      <c r="B14692"/>
      <c r="C14692"/>
      <c r="J14692"/>
      <c r="K14692"/>
      <c r="L14692"/>
    </row>
    <row r="14693" spans="2:12" x14ac:dyDescent="0.2">
      <c r="B14693"/>
      <c r="C14693"/>
      <c r="J14693"/>
      <c r="K14693"/>
      <c r="L14693"/>
    </row>
    <row r="14694" spans="2:12" x14ac:dyDescent="0.2">
      <c r="B14694"/>
      <c r="C14694"/>
      <c r="J14694"/>
      <c r="K14694"/>
      <c r="L14694"/>
    </row>
    <row r="14695" spans="2:12" x14ac:dyDescent="0.2">
      <c r="B14695"/>
      <c r="C14695"/>
      <c r="J14695"/>
      <c r="K14695"/>
      <c r="L14695"/>
    </row>
    <row r="14696" spans="2:12" x14ac:dyDescent="0.2">
      <c r="B14696"/>
      <c r="C14696"/>
      <c r="J14696"/>
      <c r="K14696"/>
      <c r="L14696"/>
    </row>
    <row r="14697" spans="2:12" x14ac:dyDescent="0.2">
      <c r="B14697"/>
      <c r="C14697"/>
      <c r="J14697"/>
      <c r="K14697"/>
      <c r="L14697"/>
    </row>
    <row r="14698" spans="2:12" x14ac:dyDescent="0.2">
      <c r="B14698"/>
      <c r="C14698"/>
      <c r="J14698"/>
      <c r="K14698"/>
      <c r="L14698"/>
    </row>
    <row r="14699" spans="2:12" x14ac:dyDescent="0.2">
      <c r="B14699"/>
      <c r="C14699"/>
      <c r="J14699"/>
      <c r="K14699"/>
      <c r="L14699"/>
    </row>
    <row r="14700" spans="2:12" x14ac:dyDescent="0.2">
      <c r="B14700"/>
      <c r="C14700"/>
      <c r="J14700"/>
      <c r="K14700"/>
      <c r="L14700"/>
    </row>
    <row r="14701" spans="2:12" x14ac:dyDescent="0.2">
      <c r="B14701"/>
      <c r="C14701"/>
      <c r="J14701"/>
      <c r="K14701"/>
      <c r="L14701"/>
    </row>
    <row r="14702" spans="2:12" x14ac:dyDescent="0.2">
      <c r="B14702"/>
      <c r="C14702"/>
      <c r="J14702"/>
      <c r="K14702"/>
      <c r="L14702"/>
    </row>
    <row r="14703" spans="2:12" x14ac:dyDescent="0.2">
      <c r="B14703"/>
      <c r="C14703"/>
      <c r="J14703"/>
      <c r="K14703"/>
      <c r="L14703"/>
    </row>
    <row r="14704" spans="2:12" x14ac:dyDescent="0.2">
      <c r="B14704"/>
      <c r="C14704"/>
      <c r="J14704"/>
      <c r="K14704"/>
      <c r="L14704"/>
    </row>
    <row r="14705" spans="2:12" x14ac:dyDescent="0.2">
      <c r="B14705"/>
      <c r="C14705"/>
      <c r="J14705"/>
      <c r="K14705"/>
      <c r="L14705"/>
    </row>
    <row r="14706" spans="2:12" x14ac:dyDescent="0.2">
      <c r="B14706"/>
      <c r="C14706"/>
      <c r="J14706"/>
      <c r="K14706"/>
      <c r="L14706"/>
    </row>
    <row r="14707" spans="2:12" x14ac:dyDescent="0.2">
      <c r="B14707"/>
      <c r="C14707"/>
      <c r="J14707"/>
      <c r="K14707"/>
      <c r="L14707"/>
    </row>
    <row r="14708" spans="2:12" x14ac:dyDescent="0.2">
      <c r="B14708"/>
      <c r="C14708"/>
      <c r="J14708"/>
      <c r="K14708"/>
      <c r="L14708"/>
    </row>
    <row r="14709" spans="2:12" x14ac:dyDescent="0.2">
      <c r="B14709"/>
      <c r="C14709"/>
      <c r="J14709"/>
      <c r="K14709"/>
      <c r="L14709"/>
    </row>
    <row r="14710" spans="2:12" x14ac:dyDescent="0.2">
      <c r="B14710"/>
      <c r="C14710"/>
      <c r="J14710"/>
      <c r="K14710"/>
      <c r="L14710"/>
    </row>
    <row r="14711" spans="2:12" x14ac:dyDescent="0.2">
      <c r="B14711"/>
      <c r="C14711"/>
      <c r="J14711"/>
      <c r="K14711"/>
      <c r="L14711"/>
    </row>
    <row r="14712" spans="2:12" x14ac:dyDescent="0.2">
      <c r="B14712"/>
      <c r="C14712"/>
      <c r="J14712"/>
      <c r="K14712"/>
      <c r="L14712"/>
    </row>
    <row r="14713" spans="2:12" x14ac:dyDescent="0.2">
      <c r="B14713"/>
      <c r="C14713"/>
      <c r="J14713"/>
      <c r="K14713"/>
      <c r="L14713"/>
    </row>
    <row r="14714" spans="2:12" x14ac:dyDescent="0.2">
      <c r="B14714"/>
      <c r="C14714"/>
      <c r="J14714"/>
      <c r="K14714"/>
      <c r="L14714"/>
    </row>
    <row r="14715" spans="2:12" x14ac:dyDescent="0.2">
      <c r="B14715"/>
      <c r="C14715"/>
      <c r="J14715"/>
      <c r="K14715"/>
      <c r="L14715"/>
    </row>
    <row r="14716" spans="2:12" x14ac:dyDescent="0.2">
      <c r="B14716"/>
      <c r="C14716"/>
      <c r="J14716"/>
      <c r="K14716"/>
      <c r="L14716"/>
    </row>
    <row r="14717" spans="2:12" x14ac:dyDescent="0.2">
      <c r="B14717"/>
      <c r="C14717"/>
      <c r="J14717"/>
      <c r="K14717"/>
      <c r="L14717"/>
    </row>
    <row r="14718" spans="2:12" x14ac:dyDescent="0.2">
      <c r="B14718"/>
      <c r="C14718"/>
      <c r="J14718"/>
      <c r="K14718"/>
      <c r="L14718"/>
    </row>
    <row r="14719" spans="2:12" x14ac:dyDescent="0.2">
      <c r="B14719"/>
      <c r="C14719"/>
      <c r="J14719"/>
      <c r="K14719"/>
      <c r="L14719"/>
    </row>
    <row r="14720" spans="2:12" x14ac:dyDescent="0.2">
      <c r="B14720"/>
      <c r="C14720"/>
      <c r="J14720"/>
      <c r="K14720"/>
      <c r="L14720"/>
    </row>
    <row r="14721" spans="2:12" x14ac:dyDescent="0.2">
      <c r="B14721"/>
      <c r="C14721"/>
      <c r="J14721"/>
      <c r="K14721"/>
      <c r="L14721"/>
    </row>
    <row r="14722" spans="2:12" x14ac:dyDescent="0.2">
      <c r="B14722"/>
      <c r="C14722"/>
      <c r="J14722"/>
      <c r="K14722"/>
      <c r="L14722"/>
    </row>
    <row r="14723" spans="2:12" x14ac:dyDescent="0.2">
      <c r="B14723"/>
      <c r="C14723"/>
      <c r="J14723"/>
      <c r="K14723"/>
      <c r="L14723"/>
    </row>
    <row r="14724" spans="2:12" x14ac:dyDescent="0.2">
      <c r="B14724"/>
      <c r="C14724"/>
      <c r="J14724"/>
      <c r="K14724"/>
      <c r="L14724"/>
    </row>
    <row r="14725" spans="2:12" x14ac:dyDescent="0.2">
      <c r="B14725"/>
      <c r="C14725"/>
      <c r="J14725"/>
      <c r="K14725"/>
      <c r="L14725"/>
    </row>
    <row r="14726" spans="2:12" x14ac:dyDescent="0.2">
      <c r="B14726"/>
      <c r="C14726"/>
      <c r="J14726"/>
      <c r="K14726"/>
      <c r="L14726"/>
    </row>
    <row r="14727" spans="2:12" x14ac:dyDescent="0.2">
      <c r="B14727"/>
      <c r="C14727"/>
      <c r="J14727"/>
      <c r="K14727"/>
      <c r="L14727"/>
    </row>
    <row r="14728" spans="2:12" x14ac:dyDescent="0.2">
      <c r="B14728"/>
      <c r="C14728"/>
      <c r="J14728"/>
      <c r="K14728"/>
      <c r="L14728"/>
    </row>
    <row r="14729" spans="2:12" x14ac:dyDescent="0.2">
      <c r="B14729"/>
      <c r="C14729"/>
      <c r="J14729"/>
      <c r="K14729"/>
      <c r="L14729"/>
    </row>
    <row r="14730" spans="2:12" x14ac:dyDescent="0.2">
      <c r="B14730"/>
      <c r="C14730"/>
      <c r="J14730"/>
      <c r="K14730"/>
      <c r="L14730"/>
    </row>
    <row r="14731" spans="2:12" x14ac:dyDescent="0.2">
      <c r="B14731"/>
      <c r="C14731"/>
      <c r="J14731"/>
      <c r="K14731"/>
      <c r="L14731"/>
    </row>
    <row r="14732" spans="2:12" x14ac:dyDescent="0.2">
      <c r="B14732"/>
      <c r="C14732"/>
      <c r="J14732"/>
      <c r="K14732"/>
      <c r="L14732"/>
    </row>
    <row r="14733" spans="2:12" x14ac:dyDescent="0.2">
      <c r="B14733"/>
      <c r="C14733"/>
      <c r="J14733"/>
      <c r="K14733"/>
      <c r="L14733"/>
    </row>
    <row r="14734" spans="2:12" x14ac:dyDescent="0.2">
      <c r="B14734"/>
      <c r="C14734"/>
      <c r="J14734"/>
      <c r="K14734"/>
      <c r="L14734"/>
    </row>
    <row r="14735" spans="2:12" x14ac:dyDescent="0.2">
      <c r="B14735"/>
      <c r="C14735"/>
      <c r="J14735"/>
      <c r="K14735"/>
      <c r="L14735"/>
    </row>
    <row r="14736" spans="2:12" x14ac:dyDescent="0.2">
      <c r="B14736"/>
      <c r="C14736"/>
      <c r="J14736"/>
      <c r="K14736"/>
      <c r="L14736"/>
    </row>
    <row r="14737" spans="2:12" x14ac:dyDescent="0.2">
      <c r="B14737"/>
      <c r="C14737"/>
      <c r="J14737"/>
      <c r="K14737"/>
      <c r="L14737"/>
    </row>
    <row r="14738" spans="2:12" x14ac:dyDescent="0.2">
      <c r="B14738"/>
      <c r="C14738"/>
      <c r="J14738"/>
      <c r="K14738"/>
      <c r="L14738"/>
    </row>
    <row r="14739" spans="2:12" x14ac:dyDescent="0.2">
      <c r="B14739"/>
      <c r="C14739"/>
      <c r="J14739"/>
      <c r="K14739"/>
      <c r="L14739"/>
    </row>
    <row r="14740" spans="2:12" x14ac:dyDescent="0.2">
      <c r="B14740"/>
      <c r="C14740"/>
      <c r="J14740"/>
      <c r="K14740"/>
      <c r="L14740"/>
    </row>
    <row r="14741" spans="2:12" x14ac:dyDescent="0.2">
      <c r="B14741"/>
      <c r="C14741"/>
      <c r="J14741"/>
      <c r="K14741"/>
      <c r="L14741"/>
    </row>
    <row r="14742" spans="2:12" x14ac:dyDescent="0.2">
      <c r="B14742"/>
      <c r="C14742"/>
      <c r="J14742"/>
      <c r="K14742"/>
      <c r="L14742"/>
    </row>
    <row r="14743" spans="2:12" x14ac:dyDescent="0.2">
      <c r="B14743"/>
      <c r="C14743"/>
      <c r="J14743"/>
      <c r="K14743"/>
      <c r="L14743"/>
    </row>
    <row r="14744" spans="2:12" x14ac:dyDescent="0.2">
      <c r="B14744"/>
      <c r="C14744"/>
      <c r="J14744"/>
      <c r="K14744"/>
      <c r="L14744"/>
    </row>
    <row r="14745" spans="2:12" x14ac:dyDescent="0.2">
      <c r="B14745"/>
      <c r="C14745"/>
      <c r="J14745"/>
      <c r="K14745"/>
      <c r="L14745"/>
    </row>
    <row r="14746" spans="2:12" x14ac:dyDescent="0.2">
      <c r="B14746"/>
      <c r="C14746"/>
      <c r="J14746"/>
      <c r="K14746"/>
      <c r="L14746"/>
    </row>
    <row r="14747" spans="2:12" x14ac:dyDescent="0.2">
      <c r="B14747"/>
      <c r="C14747"/>
      <c r="J14747"/>
      <c r="K14747"/>
      <c r="L14747"/>
    </row>
    <row r="14748" spans="2:12" x14ac:dyDescent="0.2">
      <c r="B14748"/>
      <c r="C14748"/>
      <c r="J14748"/>
      <c r="K14748"/>
      <c r="L14748"/>
    </row>
    <row r="14749" spans="2:12" x14ac:dyDescent="0.2">
      <c r="B14749"/>
      <c r="C14749"/>
      <c r="J14749"/>
      <c r="K14749"/>
      <c r="L14749"/>
    </row>
    <row r="14750" spans="2:12" x14ac:dyDescent="0.2">
      <c r="B14750"/>
      <c r="C14750"/>
      <c r="J14750"/>
      <c r="K14750"/>
      <c r="L14750"/>
    </row>
    <row r="14751" spans="2:12" x14ac:dyDescent="0.2">
      <c r="B14751"/>
      <c r="C14751"/>
      <c r="J14751"/>
      <c r="K14751"/>
      <c r="L14751"/>
    </row>
    <row r="14752" spans="2:12" x14ac:dyDescent="0.2">
      <c r="B14752"/>
      <c r="C14752"/>
      <c r="J14752"/>
      <c r="K14752"/>
      <c r="L14752"/>
    </row>
    <row r="14753" spans="2:12" x14ac:dyDescent="0.2">
      <c r="B14753"/>
      <c r="C14753"/>
      <c r="J14753"/>
      <c r="K14753"/>
      <c r="L14753"/>
    </row>
    <row r="14754" spans="2:12" x14ac:dyDescent="0.2">
      <c r="B14754"/>
      <c r="C14754"/>
      <c r="J14754"/>
      <c r="K14754"/>
      <c r="L14754"/>
    </row>
    <row r="14755" spans="2:12" x14ac:dyDescent="0.2">
      <c r="B14755"/>
      <c r="C14755"/>
      <c r="J14755"/>
      <c r="K14755"/>
      <c r="L14755"/>
    </row>
    <row r="14756" spans="2:12" x14ac:dyDescent="0.2">
      <c r="B14756"/>
      <c r="C14756"/>
      <c r="J14756"/>
      <c r="K14756"/>
      <c r="L14756"/>
    </row>
    <row r="14757" spans="2:12" x14ac:dyDescent="0.2">
      <c r="B14757"/>
      <c r="C14757"/>
      <c r="J14757"/>
      <c r="K14757"/>
      <c r="L14757"/>
    </row>
    <row r="14758" spans="2:12" x14ac:dyDescent="0.2">
      <c r="B14758"/>
      <c r="C14758"/>
      <c r="J14758"/>
      <c r="K14758"/>
      <c r="L14758"/>
    </row>
    <row r="14759" spans="2:12" x14ac:dyDescent="0.2">
      <c r="B14759"/>
      <c r="C14759"/>
      <c r="J14759"/>
      <c r="K14759"/>
      <c r="L14759"/>
    </row>
    <row r="14760" spans="2:12" x14ac:dyDescent="0.2">
      <c r="B14760"/>
      <c r="C14760"/>
      <c r="J14760"/>
      <c r="K14760"/>
      <c r="L14760"/>
    </row>
    <row r="14761" spans="2:12" x14ac:dyDescent="0.2">
      <c r="B14761"/>
      <c r="C14761"/>
      <c r="J14761"/>
      <c r="K14761"/>
      <c r="L14761"/>
    </row>
    <row r="14762" spans="2:12" x14ac:dyDescent="0.2">
      <c r="B14762"/>
      <c r="C14762"/>
      <c r="J14762"/>
      <c r="K14762"/>
      <c r="L14762"/>
    </row>
    <row r="14763" spans="2:12" x14ac:dyDescent="0.2">
      <c r="B14763"/>
      <c r="C14763"/>
      <c r="J14763"/>
      <c r="K14763"/>
      <c r="L14763"/>
    </row>
    <row r="14764" spans="2:12" x14ac:dyDescent="0.2">
      <c r="B14764"/>
      <c r="C14764"/>
      <c r="J14764"/>
      <c r="K14764"/>
      <c r="L14764"/>
    </row>
    <row r="14765" spans="2:12" x14ac:dyDescent="0.2">
      <c r="B14765"/>
      <c r="C14765"/>
      <c r="J14765"/>
      <c r="K14765"/>
      <c r="L14765"/>
    </row>
    <row r="14766" spans="2:12" x14ac:dyDescent="0.2">
      <c r="B14766"/>
      <c r="C14766"/>
      <c r="J14766"/>
      <c r="K14766"/>
      <c r="L14766"/>
    </row>
    <row r="14767" spans="2:12" x14ac:dyDescent="0.2">
      <c r="B14767"/>
      <c r="C14767"/>
      <c r="J14767"/>
      <c r="K14767"/>
      <c r="L14767"/>
    </row>
    <row r="14768" spans="2:12" x14ac:dyDescent="0.2">
      <c r="B14768"/>
      <c r="C14768"/>
      <c r="J14768"/>
      <c r="K14768"/>
      <c r="L14768"/>
    </row>
    <row r="14769" spans="2:12" x14ac:dyDescent="0.2">
      <c r="B14769"/>
      <c r="C14769"/>
      <c r="J14769"/>
      <c r="K14769"/>
      <c r="L14769"/>
    </row>
    <row r="14770" spans="2:12" x14ac:dyDescent="0.2">
      <c r="B14770"/>
      <c r="C14770"/>
      <c r="J14770"/>
      <c r="K14770"/>
      <c r="L14770"/>
    </row>
    <row r="14771" spans="2:12" x14ac:dyDescent="0.2">
      <c r="B14771"/>
      <c r="C14771"/>
      <c r="J14771"/>
      <c r="K14771"/>
      <c r="L14771"/>
    </row>
    <row r="14772" spans="2:12" x14ac:dyDescent="0.2">
      <c r="B14772"/>
      <c r="C14772"/>
      <c r="J14772"/>
      <c r="K14772"/>
      <c r="L14772"/>
    </row>
    <row r="14773" spans="2:12" x14ac:dyDescent="0.2">
      <c r="B14773"/>
      <c r="C14773"/>
      <c r="J14773"/>
      <c r="K14773"/>
      <c r="L14773"/>
    </row>
    <row r="14774" spans="2:12" x14ac:dyDescent="0.2">
      <c r="B14774"/>
      <c r="C14774"/>
      <c r="J14774"/>
      <c r="K14774"/>
      <c r="L14774"/>
    </row>
    <row r="14775" spans="2:12" x14ac:dyDescent="0.2">
      <c r="B14775"/>
      <c r="C14775"/>
      <c r="J14775"/>
      <c r="K14775"/>
      <c r="L14775"/>
    </row>
    <row r="14776" spans="2:12" x14ac:dyDescent="0.2">
      <c r="B14776"/>
      <c r="C14776"/>
      <c r="J14776"/>
      <c r="K14776"/>
      <c r="L14776"/>
    </row>
    <row r="14777" spans="2:12" x14ac:dyDescent="0.2">
      <c r="B14777"/>
      <c r="C14777"/>
      <c r="J14777"/>
      <c r="K14777"/>
      <c r="L14777"/>
    </row>
    <row r="14778" spans="2:12" x14ac:dyDescent="0.2">
      <c r="B14778"/>
      <c r="C14778"/>
      <c r="J14778"/>
      <c r="K14778"/>
      <c r="L14778"/>
    </row>
    <row r="14779" spans="2:12" x14ac:dyDescent="0.2">
      <c r="B14779"/>
      <c r="C14779"/>
      <c r="J14779"/>
      <c r="K14779"/>
      <c r="L14779"/>
    </row>
    <row r="14780" spans="2:12" x14ac:dyDescent="0.2">
      <c r="B14780"/>
      <c r="C14780"/>
      <c r="J14780"/>
      <c r="K14780"/>
      <c r="L14780"/>
    </row>
    <row r="14781" spans="2:12" x14ac:dyDescent="0.2">
      <c r="B14781"/>
      <c r="C14781"/>
      <c r="J14781"/>
      <c r="K14781"/>
      <c r="L14781"/>
    </row>
    <row r="14782" spans="2:12" x14ac:dyDescent="0.2">
      <c r="B14782"/>
      <c r="C14782"/>
      <c r="J14782"/>
      <c r="K14782"/>
      <c r="L14782"/>
    </row>
    <row r="14783" spans="2:12" x14ac:dyDescent="0.2">
      <c r="B14783"/>
      <c r="C14783"/>
      <c r="J14783"/>
      <c r="K14783"/>
      <c r="L14783"/>
    </row>
    <row r="14784" spans="2:12" x14ac:dyDescent="0.2">
      <c r="B14784"/>
      <c r="C14784"/>
      <c r="J14784"/>
      <c r="K14784"/>
      <c r="L14784"/>
    </row>
    <row r="14785" spans="2:12" x14ac:dyDescent="0.2">
      <c r="B14785"/>
      <c r="C14785"/>
      <c r="J14785"/>
      <c r="K14785"/>
      <c r="L14785"/>
    </row>
    <row r="14786" spans="2:12" x14ac:dyDescent="0.2">
      <c r="B14786"/>
      <c r="C14786"/>
      <c r="J14786"/>
      <c r="K14786"/>
      <c r="L14786"/>
    </row>
    <row r="14787" spans="2:12" x14ac:dyDescent="0.2">
      <c r="B14787"/>
      <c r="C14787"/>
      <c r="J14787"/>
      <c r="K14787"/>
      <c r="L14787"/>
    </row>
    <row r="14788" spans="2:12" x14ac:dyDescent="0.2">
      <c r="B14788"/>
      <c r="C14788"/>
      <c r="J14788"/>
      <c r="K14788"/>
      <c r="L14788"/>
    </row>
    <row r="14789" spans="2:12" x14ac:dyDescent="0.2">
      <c r="B14789"/>
      <c r="C14789"/>
      <c r="J14789"/>
      <c r="K14789"/>
      <c r="L14789"/>
    </row>
    <row r="14790" spans="2:12" x14ac:dyDescent="0.2">
      <c r="B14790"/>
      <c r="C14790"/>
      <c r="J14790"/>
      <c r="K14790"/>
      <c r="L14790"/>
    </row>
    <row r="14791" spans="2:12" x14ac:dyDescent="0.2">
      <c r="B14791"/>
      <c r="C14791"/>
      <c r="J14791"/>
      <c r="K14791"/>
      <c r="L14791"/>
    </row>
    <row r="14792" spans="2:12" x14ac:dyDescent="0.2">
      <c r="B14792"/>
      <c r="C14792"/>
      <c r="J14792"/>
      <c r="K14792"/>
      <c r="L14792"/>
    </row>
    <row r="14793" spans="2:12" x14ac:dyDescent="0.2">
      <c r="B14793"/>
      <c r="C14793"/>
      <c r="J14793"/>
      <c r="K14793"/>
      <c r="L14793"/>
    </row>
    <row r="14794" spans="2:12" x14ac:dyDescent="0.2">
      <c r="B14794"/>
      <c r="C14794"/>
      <c r="J14794"/>
      <c r="K14794"/>
      <c r="L14794"/>
    </row>
    <row r="14795" spans="2:12" x14ac:dyDescent="0.2">
      <c r="B14795"/>
      <c r="C14795"/>
      <c r="J14795"/>
      <c r="K14795"/>
      <c r="L14795"/>
    </row>
    <row r="14796" spans="2:12" x14ac:dyDescent="0.2">
      <c r="B14796"/>
      <c r="C14796"/>
      <c r="J14796"/>
      <c r="K14796"/>
      <c r="L14796"/>
    </row>
    <row r="14797" spans="2:12" x14ac:dyDescent="0.2">
      <c r="B14797"/>
      <c r="C14797"/>
      <c r="J14797"/>
      <c r="K14797"/>
      <c r="L14797"/>
    </row>
    <row r="14798" spans="2:12" x14ac:dyDescent="0.2">
      <c r="B14798"/>
      <c r="C14798"/>
      <c r="J14798"/>
      <c r="K14798"/>
      <c r="L14798"/>
    </row>
    <row r="14799" spans="2:12" x14ac:dyDescent="0.2">
      <c r="B14799"/>
      <c r="C14799"/>
      <c r="J14799"/>
      <c r="K14799"/>
      <c r="L14799"/>
    </row>
    <row r="14800" spans="2:12" x14ac:dyDescent="0.2">
      <c r="B14800"/>
      <c r="C14800"/>
      <c r="J14800"/>
      <c r="K14800"/>
      <c r="L14800"/>
    </row>
    <row r="14801" spans="2:12" x14ac:dyDescent="0.2">
      <c r="B14801"/>
      <c r="C14801"/>
      <c r="J14801"/>
      <c r="K14801"/>
      <c r="L14801"/>
    </row>
    <row r="14802" spans="2:12" x14ac:dyDescent="0.2">
      <c r="B14802"/>
      <c r="C14802"/>
      <c r="J14802"/>
      <c r="K14802"/>
      <c r="L14802"/>
    </row>
    <row r="14803" spans="2:12" x14ac:dyDescent="0.2">
      <c r="B14803"/>
      <c r="C14803"/>
      <c r="J14803"/>
      <c r="K14803"/>
      <c r="L14803"/>
    </row>
    <row r="14804" spans="2:12" x14ac:dyDescent="0.2">
      <c r="B14804"/>
      <c r="C14804"/>
      <c r="J14804"/>
      <c r="K14804"/>
      <c r="L14804"/>
    </row>
    <row r="14805" spans="2:12" x14ac:dyDescent="0.2">
      <c r="B14805"/>
      <c r="C14805"/>
      <c r="J14805"/>
      <c r="K14805"/>
      <c r="L14805"/>
    </row>
    <row r="14806" spans="2:12" x14ac:dyDescent="0.2">
      <c r="B14806"/>
      <c r="C14806"/>
      <c r="J14806"/>
      <c r="K14806"/>
      <c r="L14806"/>
    </row>
    <row r="14807" spans="2:12" x14ac:dyDescent="0.2">
      <c r="B14807"/>
      <c r="C14807"/>
      <c r="J14807"/>
      <c r="K14807"/>
      <c r="L14807"/>
    </row>
    <row r="14808" spans="2:12" x14ac:dyDescent="0.2">
      <c r="B14808"/>
      <c r="C14808"/>
      <c r="J14808"/>
      <c r="K14808"/>
      <c r="L14808"/>
    </row>
    <row r="14809" spans="2:12" x14ac:dyDescent="0.2">
      <c r="B14809"/>
      <c r="C14809"/>
      <c r="J14809"/>
      <c r="K14809"/>
      <c r="L14809"/>
    </row>
    <row r="14810" spans="2:12" x14ac:dyDescent="0.2">
      <c r="B14810"/>
      <c r="C14810"/>
      <c r="J14810"/>
      <c r="K14810"/>
      <c r="L14810"/>
    </row>
    <row r="14811" spans="2:12" x14ac:dyDescent="0.2">
      <c r="B14811"/>
      <c r="C14811"/>
      <c r="J14811"/>
      <c r="K14811"/>
      <c r="L14811"/>
    </row>
    <row r="14812" spans="2:12" x14ac:dyDescent="0.2">
      <c r="B14812"/>
      <c r="C14812"/>
      <c r="J14812"/>
      <c r="K14812"/>
      <c r="L14812"/>
    </row>
    <row r="14813" spans="2:12" x14ac:dyDescent="0.2">
      <c r="B14813"/>
      <c r="C14813"/>
      <c r="J14813"/>
      <c r="K14813"/>
      <c r="L14813"/>
    </row>
    <row r="14814" spans="2:12" x14ac:dyDescent="0.2">
      <c r="B14814"/>
      <c r="C14814"/>
      <c r="J14814"/>
      <c r="K14814"/>
      <c r="L14814"/>
    </row>
    <row r="14815" spans="2:12" x14ac:dyDescent="0.2">
      <c r="B14815"/>
      <c r="C14815"/>
      <c r="J14815"/>
      <c r="K14815"/>
      <c r="L14815"/>
    </row>
    <row r="14816" spans="2:12" x14ac:dyDescent="0.2">
      <c r="B14816"/>
      <c r="C14816"/>
      <c r="J14816"/>
      <c r="K14816"/>
      <c r="L14816"/>
    </row>
    <row r="14817" spans="2:12" x14ac:dyDescent="0.2">
      <c r="B14817"/>
      <c r="C14817"/>
      <c r="J14817"/>
      <c r="K14817"/>
      <c r="L14817"/>
    </row>
    <row r="14818" spans="2:12" x14ac:dyDescent="0.2">
      <c r="B14818"/>
      <c r="C14818"/>
      <c r="J14818"/>
      <c r="K14818"/>
      <c r="L14818"/>
    </row>
    <row r="14819" spans="2:12" x14ac:dyDescent="0.2">
      <c r="B14819"/>
      <c r="C14819"/>
      <c r="J14819"/>
      <c r="K14819"/>
      <c r="L14819"/>
    </row>
    <row r="14820" spans="2:12" x14ac:dyDescent="0.2">
      <c r="B14820"/>
      <c r="C14820"/>
      <c r="J14820"/>
      <c r="K14820"/>
      <c r="L14820"/>
    </row>
    <row r="14821" spans="2:12" x14ac:dyDescent="0.2">
      <c r="B14821"/>
      <c r="C14821"/>
      <c r="J14821"/>
      <c r="K14821"/>
      <c r="L14821"/>
    </row>
    <row r="14822" spans="2:12" x14ac:dyDescent="0.2">
      <c r="B14822"/>
      <c r="C14822"/>
      <c r="J14822"/>
      <c r="K14822"/>
      <c r="L14822"/>
    </row>
    <row r="14823" spans="2:12" x14ac:dyDescent="0.2">
      <c r="B14823"/>
      <c r="C14823"/>
      <c r="J14823"/>
      <c r="K14823"/>
      <c r="L14823"/>
    </row>
    <row r="14824" spans="2:12" x14ac:dyDescent="0.2">
      <c r="B14824"/>
      <c r="C14824"/>
      <c r="J14824"/>
      <c r="K14824"/>
      <c r="L14824"/>
    </row>
    <row r="14825" spans="2:12" x14ac:dyDescent="0.2">
      <c r="B14825"/>
      <c r="C14825"/>
      <c r="J14825"/>
      <c r="K14825"/>
      <c r="L14825"/>
    </row>
    <row r="14826" spans="2:12" x14ac:dyDescent="0.2">
      <c r="B14826"/>
      <c r="C14826"/>
      <c r="J14826"/>
      <c r="K14826"/>
      <c r="L14826"/>
    </row>
    <row r="14827" spans="2:12" x14ac:dyDescent="0.2">
      <c r="B14827"/>
      <c r="C14827"/>
      <c r="J14827"/>
      <c r="K14827"/>
      <c r="L14827"/>
    </row>
    <row r="14828" spans="2:12" x14ac:dyDescent="0.2">
      <c r="B14828"/>
      <c r="C14828"/>
      <c r="J14828"/>
      <c r="K14828"/>
      <c r="L14828"/>
    </row>
    <row r="14829" spans="2:12" x14ac:dyDescent="0.2">
      <c r="B14829"/>
      <c r="C14829"/>
      <c r="J14829"/>
      <c r="K14829"/>
      <c r="L14829"/>
    </row>
    <row r="14830" spans="2:12" x14ac:dyDescent="0.2">
      <c r="B14830"/>
      <c r="C14830"/>
      <c r="J14830"/>
      <c r="K14830"/>
      <c r="L14830"/>
    </row>
    <row r="14831" spans="2:12" x14ac:dyDescent="0.2">
      <c r="B14831"/>
      <c r="C14831"/>
      <c r="J14831"/>
      <c r="K14831"/>
      <c r="L14831"/>
    </row>
    <row r="14832" spans="2:12" x14ac:dyDescent="0.2">
      <c r="B14832"/>
      <c r="C14832"/>
      <c r="J14832"/>
      <c r="K14832"/>
      <c r="L14832"/>
    </row>
    <row r="14833" spans="2:12" x14ac:dyDescent="0.2">
      <c r="B14833"/>
      <c r="C14833"/>
      <c r="J14833"/>
      <c r="K14833"/>
      <c r="L14833"/>
    </row>
    <row r="14834" spans="2:12" x14ac:dyDescent="0.2">
      <c r="B14834"/>
      <c r="C14834"/>
      <c r="J14834"/>
      <c r="K14834"/>
      <c r="L14834"/>
    </row>
    <row r="14835" spans="2:12" x14ac:dyDescent="0.2">
      <c r="B14835"/>
      <c r="C14835"/>
      <c r="J14835"/>
      <c r="K14835"/>
      <c r="L14835"/>
    </row>
    <row r="14836" spans="2:12" x14ac:dyDescent="0.2">
      <c r="B14836"/>
      <c r="C14836"/>
      <c r="J14836"/>
      <c r="K14836"/>
      <c r="L14836"/>
    </row>
    <row r="14837" spans="2:12" x14ac:dyDescent="0.2">
      <c r="B14837"/>
      <c r="C14837"/>
      <c r="J14837"/>
      <c r="K14837"/>
      <c r="L14837"/>
    </row>
    <row r="14838" spans="2:12" x14ac:dyDescent="0.2">
      <c r="B14838"/>
      <c r="C14838"/>
      <c r="J14838"/>
      <c r="K14838"/>
      <c r="L14838"/>
    </row>
    <row r="14839" spans="2:12" x14ac:dyDescent="0.2">
      <c r="B14839"/>
      <c r="C14839"/>
      <c r="J14839"/>
      <c r="K14839"/>
      <c r="L14839"/>
    </row>
    <row r="14840" spans="2:12" x14ac:dyDescent="0.2">
      <c r="B14840"/>
      <c r="C14840"/>
      <c r="J14840"/>
      <c r="K14840"/>
      <c r="L14840"/>
    </row>
    <row r="14841" spans="2:12" x14ac:dyDescent="0.2">
      <c r="B14841"/>
      <c r="C14841"/>
      <c r="J14841"/>
      <c r="K14841"/>
      <c r="L14841"/>
    </row>
    <row r="14842" spans="2:12" x14ac:dyDescent="0.2">
      <c r="B14842"/>
      <c r="C14842"/>
      <c r="J14842"/>
      <c r="K14842"/>
      <c r="L14842"/>
    </row>
    <row r="14843" spans="2:12" x14ac:dyDescent="0.2">
      <c r="B14843"/>
      <c r="C14843"/>
      <c r="J14843"/>
      <c r="K14843"/>
      <c r="L14843"/>
    </row>
    <row r="14844" spans="2:12" x14ac:dyDescent="0.2">
      <c r="B14844"/>
      <c r="C14844"/>
      <c r="J14844"/>
      <c r="K14844"/>
      <c r="L14844"/>
    </row>
    <row r="14845" spans="2:12" x14ac:dyDescent="0.2">
      <c r="B14845"/>
      <c r="C14845"/>
      <c r="J14845"/>
      <c r="K14845"/>
      <c r="L14845"/>
    </row>
    <row r="14846" spans="2:12" x14ac:dyDescent="0.2">
      <c r="B14846"/>
      <c r="C14846"/>
      <c r="J14846"/>
      <c r="K14846"/>
      <c r="L14846"/>
    </row>
    <row r="14847" spans="2:12" x14ac:dyDescent="0.2">
      <c r="B14847"/>
      <c r="C14847"/>
      <c r="J14847"/>
      <c r="K14847"/>
      <c r="L14847"/>
    </row>
    <row r="14848" spans="2:12" x14ac:dyDescent="0.2">
      <c r="B14848"/>
      <c r="C14848"/>
      <c r="J14848"/>
      <c r="K14848"/>
      <c r="L14848"/>
    </row>
    <row r="14849" spans="2:12" x14ac:dyDescent="0.2">
      <c r="B14849"/>
      <c r="C14849"/>
      <c r="J14849"/>
      <c r="K14849"/>
      <c r="L14849"/>
    </row>
    <row r="14850" spans="2:12" x14ac:dyDescent="0.2">
      <c r="B14850"/>
      <c r="C14850"/>
      <c r="J14850"/>
      <c r="K14850"/>
      <c r="L14850"/>
    </row>
    <row r="14851" spans="2:12" x14ac:dyDescent="0.2">
      <c r="B14851"/>
      <c r="C14851"/>
      <c r="J14851"/>
      <c r="K14851"/>
      <c r="L14851"/>
    </row>
    <row r="14852" spans="2:12" x14ac:dyDescent="0.2">
      <c r="B14852"/>
      <c r="C14852"/>
      <c r="J14852"/>
      <c r="K14852"/>
      <c r="L14852"/>
    </row>
    <row r="14853" spans="2:12" x14ac:dyDescent="0.2">
      <c r="B14853"/>
      <c r="C14853"/>
      <c r="J14853"/>
      <c r="K14853"/>
      <c r="L14853"/>
    </row>
    <row r="14854" spans="2:12" x14ac:dyDescent="0.2">
      <c r="B14854"/>
      <c r="C14854"/>
      <c r="J14854"/>
      <c r="K14854"/>
      <c r="L14854"/>
    </row>
    <row r="14855" spans="2:12" x14ac:dyDescent="0.2">
      <c r="B14855"/>
      <c r="C14855"/>
      <c r="J14855"/>
      <c r="K14855"/>
      <c r="L14855"/>
    </row>
    <row r="14856" spans="2:12" x14ac:dyDescent="0.2">
      <c r="B14856"/>
      <c r="C14856"/>
      <c r="J14856"/>
      <c r="K14856"/>
      <c r="L14856"/>
    </row>
    <row r="14857" spans="2:12" x14ac:dyDescent="0.2">
      <c r="B14857"/>
      <c r="C14857"/>
      <c r="J14857"/>
      <c r="K14857"/>
      <c r="L14857"/>
    </row>
    <row r="14858" spans="2:12" x14ac:dyDescent="0.2">
      <c r="B14858"/>
      <c r="C14858"/>
      <c r="J14858"/>
      <c r="K14858"/>
      <c r="L14858"/>
    </row>
    <row r="14859" spans="2:12" x14ac:dyDescent="0.2">
      <c r="B14859"/>
      <c r="C14859"/>
      <c r="J14859"/>
      <c r="K14859"/>
      <c r="L14859"/>
    </row>
    <row r="14860" spans="2:12" x14ac:dyDescent="0.2">
      <c r="B14860"/>
      <c r="C14860"/>
      <c r="J14860"/>
      <c r="K14860"/>
      <c r="L14860"/>
    </row>
    <row r="14861" spans="2:12" x14ac:dyDescent="0.2">
      <c r="B14861"/>
      <c r="C14861"/>
      <c r="J14861"/>
      <c r="K14861"/>
      <c r="L14861"/>
    </row>
    <row r="14862" spans="2:12" x14ac:dyDescent="0.2">
      <c r="B14862"/>
      <c r="C14862"/>
      <c r="J14862"/>
      <c r="K14862"/>
      <c r="L14862"/>
    </row>
    <row r="14863" spans="2:12" x14ac:dyDescent="0.2">
      <c r="B14863"/>
      <c r="C14863"/>
      <c r="J14863"/>
      <c r="K14863"/>
      <c r="L14863"/>
    </row>
    <row r="14864" spans="2:12" x14ac:dyDescent="0.2">
      <c r="B14864"/>
      <c r="C14864"/>
      <c r="J14864"/>
      <c r="K14864"/>
      <c r="L14864"/>
    </row>
    <row r="14865" spans="2:12" x14ac:dyDescent="0.2">
      <c r="B14865"/>
      <c r="C14865"/>
      <c r="J14865"/>
      <c r="K14865"/>
      <c r="L14865"/>
    </row>
    <row r="14866" spans="2:12" x14ac:dyDescent="0.2">
      <c r="B14866"/>
      <c r="C14866"/>
      <c r="J14866"/>
      <c r="K14866"/>
      <c r="L14866"/>
    </row>
    <row r="14867" spans="2:12" x14ac:dyDescent="0.2">
      <c r="B14867"/>
      <c r="C14867"/>
      <c r="J14867"/>
      <c r="K14867"/>
      <c r="L14867"/>
    </row>
    <row r="14868" spans="2:12" x14ac:dyDescent="0.2">
      <c r="B14868"/>
      <c r="C14868"/>
      <c r="J14868"/>
      <c r="K14868"/>
      <c r="L14868"/>
    </row>
    <row r="14869" spans="2:12" x14ac:dyDescent="0.2">
      <c r="B14869"/>
      <c r="C14869"/>
      <c r="J14869"/>
      <c r="K14869"/>
      <c r="L14869"/>
    </row>
    <row r="14870" spans="2:12" x14ac:dyDescent="0.2">
      <c r="B14870"/>
      <c r="C14870"/>
      <c r="J14870"/>
      <c r="K14870"/>
      <c r="L14870"/>
    </row>
    <row r="14871" spans="2:12" x14ac:dyDescent="0.2">
      <c r="B14871"/>
      <c r="C14871"/>
      <c r="J14871"/>
      <c r="K14871"/>
      <c r="L14871"/>
    </row>
    <row r="14872" spans="2:12" x14ac:dyDescent="0.2">
      <c r="B14872"/>
      <c r="C14872"/>
      <c r="J14872"/>
      <c r="K14872"/>
      <c r="L14872"/>
    </row>
    <row r="14873" spans="2:12" x14ac:dyDescent="0.2">
      <c r="B14873"/>
      <c r="C14873"/>
      <c r="J14873"/>
      <c r="K14873"/>
      <c r="L14873"/>
    </row>
    <row r="14874" spans="2:12" x14ac:dyDescent="0.2">
      <c r="B14874"/>
      <c r="C14874"/>
      <c r="J14874"/>
      <c r="K14874"/>
      <c r="L14874"/>
    </row>
    <row r="14875" spans="2:12" x14ac:dyDescent="0.2">
      <c r="B14875"/>
      <c r="C14875"/>
      <c r="J14875"/>
      <c r="K14875"/>
      <c r="L14875"/>
    </row>
    <row r="14876" spans="2:12" x14ac:dyDescent="0.2">
      <c r="B14876"/>
      <c r="C14876"/>
      <c r="J14876"/>
      <c r="K14876"/>
      <c r="L14876"/>
    </row>
    <row r="14877" spans="2:12" x14ac:dyDescent="0.2">
      <c r="B14877"/>
      <c r="C14877"/>
      <c r="J14877"/>
      <c r="K14877"/>
      <c r="L14877"/>
    </row>
    <row r="14878" spans="2:12" x14ac:dyDescent="0.2">
      <c r="B14878"/>
      <c r="C14878"/>
      <c r="J14878"/>
      <c r="K14878"/>
      <c r="L14878"/>
    </row>
    <row r="14879" spans="2:12" x14ac:dyDescent="0.2">
      <c r="B14879"/>
      <c r="C14879"/>
      <c r="J14879"/>
      <c r="K14879"/>
      <c r="L14879"/>
    </row>
    <row r="14880" spans="2:12" x14ac:dyDescent="0.2">
      <c r="B14880"/>
      <c r="C14880"/>
      <c r="J14880"/>
      <c r="K14880"/>
      <c r="L14880"/>
    </row>
    <row r="14881" spans="2:12" x14ac:dyDescent="0.2">
      <c r="B14881"/>
      <c r="C14881"/>
      <c r="J14881"/>
      <c r="K14881"/>
      <c r="L14881"/>
    </row>
    <row r="14882" spans="2:12" x14ac:dyDescent="0.2">
      <c r="B14882"/>
      <c r="C14882"/>
      <c r="J14882"/>
      <c r="K14882"/>
      <c r="L14882"/>
    </row>
    <row r="14883" spans="2:12" x14ac:dyDescent="0.2">
      <c r="B14883"/>
      <c r="C14883"/>
      <c r="J14883"/>
      <c r="K14883"/>
      <c r="L14883"/>
    </row>
    <row r="14884" spans="2:12" x14ac:dyDescent="0.2">
      <c r="B14884"/>
      <c r="C14884"/>
      <c r="J14884"/>
      <c r="K14884"/>
      <c r="L14884"/>
    </row>
    <row r="14885" spans="2:12" x14ac:dyDescent="0.2">
      <c r="B14885"/>
      <c r="C14885"/>
      <c r="J14885"/>
      <c r="K14885"/>
      <c r="L14885"/>
    </row>
    <row r="14886" spans="2:12" x14ac:dyDescent="0.2">
      <c r="B14886"/>
      <c r="C14886"/>
      <c r="J14886"/>
      <c r="K14886"/>
      <c r="L14886"/>
    </row>
    <row r="14887" spans="2:12" x14ac:dyDescent="0.2">
      <c r="B14887"/>
      <c r="C14887"/>
      <c r="J14887"/>
      <c r="K14887"/>
      <c r="L14887"/>
    </row>
    <row r="14888" spans="2:12" x14ac:dyDescent="0.2">
      <c r="B14888"/>
      <c r="C14888"/>
      <c r="J14888"/>
      <c r="K14888"/>
      <c r="L14888"/>
    </row>
    <row r="14889" spans="2:12" x14ac:dyDescent="0.2">
      <c r="B14889"/>
      <c r="C14889"/>
      <c r="J14889"/>
      <c r="K14889"/>
      <c r="L14889"/>
    </row>
    <row r="14890" spans="2:12" x14ac:dyDescent="0.2">
      <c r="B14890"/>
      <c r="C14890"/>
      <c r="J14890"/>
      <c r="K14890"/>
      <c r="L14890"/>
    </row>
    <row r="14891" spans="2:12" x14ac:dyDescent="0.2">
      <c r="B14891"/>
      <c r="C14891"/>
      <c r="J14891"/>
      <c r="K14891"/>
      <c r="L14891"/>
    </row>
    <row r="14892" spans="2:12" x14ac:dyDescent="0.2">
      <c r="B14892"/>
      <c r="C14892"/>
      <c r="J14892"/>
      <c r="K14892"/>
      <c r="L14892"/>
    </row>
    <row r="14893" spans="2:12" x14ac:dyDescent="0.2">
      <c r="B14893"/>
      <c r="C14893"/>
      <c r="J14893"/>
      <c r="K14893"/>
      <c r="L14893"/>
    </row>
    <row r="14894" spans="2:12" x14ac:dyDescent="0.2">
      <c r="B14894"/>
      <c r="C14894"/>
      <c r="J14894"/>
      <c r="K14894"/>
      <c r="L14894"/>
    </row>
    <row r="14895" spans="2:12" x14ac:dyDescent="0.2">
      <c r="B14895"/>
      <c r="C14895"/>
      <c r="J14895"/>
      <c r="K14895"/>
      <c r="L14895"/>
    </row>
    <row r="14896" spans="2:12" x14ac:dyDescent="0.2">
      <c r="B14896"/>
      <c r="C14896"/>
      <c r="J14896"/>
      <c r="K14896"/>
      <c r="L14896"/>
    </row>
    <row r="14897" spans="2:12" x14ac:dyDescent="0.2">
      <c r="B14897"/>
      <c r="C14897"/>
      <c r="J14897"/>
      <c r="K14897"/>
      <c r="L14897"/>
    </row>
    <row r="14898" spans="2:12" x14ac:dyDescent="0.2">
      <c r="B14898"/>
      <c r="C14898"/>
      <c r="J14898"/>
      <c r="K14898"/>
      <c r="L14898"/>
    </row>
    <row r="14899" spans="2:12" x14ac:dyDescent="0.2">
      <c r="B14899"/>
      <c r="C14899"/>
      <c r="J14899"/>
      <c r="K14899"/>
      <c r="L14899"/>
    </row>
    <row r="14900" spans="2:12" x14ac:dyDescent="0.2">
      <c r="B14900"/>
      <c r="C14900"/>
      <c r="J14900"/>
      <c r="K14900"/>
      <c r="L14900"/>
    </row>
    <row r="14901" spans="2:12" x14ac:dyDescent="0.2">
      <c r="B14901"/>
      <c r="C14901"/>
      <c r="J14901"/>
      <c r="K14901"/>
      <c r="L14901"/>
    </row>
    <row r="14902" spans="2:12" x14ac:dyDescent="0.2">
      <c r="B14902"/>
      <c r="C14902"/>
      <c r="J14902"/>
      <c r="K14902"/>
      <c r="L14902"/>
    </row>
    <row r="14903" spans="2:12" x14ac:dyDescent="0.2">
      <c r="B14903"/>
      <c r="C14903"/>
      <c r="J14903"/>
      <c r="K14903"/>
      <c r="L14903"/>
    </row>
    <row r="14904" spans="2:12" x14ac:dyDescent="0.2">
      <c r="B14904"/>
      <c r="C14904"/>
      <c r="J14904"/>
      <c r="K14904"/>
      <c r="L14904"/>
    </row>
    <row r="14905" spans="2:12" x14ac:dyDescent="0.2">
      <c r="B14905"/>
      <c r="C14905"/>
      <c r="J14905"/>
      <c r="K14905"/>
      <c r="L14905"/>
    </row>
    <row r="14906" spans="2:12" x14ac:dyDescent="0.2">
      <c r="B14906"/>
      <c r="C14906"/>
      <c r="J14906"/>
      <c r="K14906"/>
      <c r="L14906"/>
    </row>
    <row r="14907" spans="2:12" x14ac:dyDescent="0.2">
      <c r="B14907"/>
      <c r="C14907"/>
      <c r="J14907"/>
      <c r="K14907"/>
      <c r="L14907"/>
    </row>
    <row r="14908" spans="2:12" x14ac:dyDescent="0.2">
      <c r="B14908"/>
      <c r="C14908"/>
      <c r="J14908"/>
      <c r="K14908"/>
      <c r="L14908"/>
    </row>
    <row r="14909" spans="2:12" x14ac:dyDescent="0.2">
      <c r="B14909"/>
      <c r="C14909"/>
      <c r="J14909"/>
      <c r="K14909"/>
      <c r="L14909"/>
    </row>
    <row r="14910" spans="2:12" x14ac:dyDescent="0.2">
      <c r="B14910"/>
      <c r="C14910"/>
      <c r="J14910"/>
      <c r="K14910"/>
      <c r="L14910"/>
    </row>
    <row r="14911" spans="2:12" x14ac:dyDescent="0.2">
      <c r="B14911"/>
      <c r="C14911"/>
      <c r="J14911"/>
      <c r="K14911"/>
      <c r="L14911"/>
    </row>
    <row r="14912" spans="2:12" x14ac:dyDescent="0.2">
      <c r="B14912"/>
      <c r="C14912"/>
      <c r="J14912"/>
      <c r="K14912"/>
      <c r="L14912"/>
    </row>
    <row r="14913" spans="2:12" x14ac:dyDescent="0.2">
      <c r="B14913"/>
      <c r="C14913"/>
      <c r="J14913"/>
      <c r="K14913"/>
      <c r="L14913"/>
    </row>
    <row r="14914" spans="2:12" x14ac:dyDescent="0.2">
      <c r="B14914"/>
      <c r="C14914"/>
      <c r="J14914"/>
      <c r="K14914"/>
      <c r="L14914"/>
    </row>
    <row r="14915" spans="2:12" x14ac:dyDescent="0.2">
      <c r="B14915"/>
      <c r="C14915"/>
      <c r="J14915"/>
      <c r="K14915"/>
      <c r="L14915"/>
    </row>
    <row r="14916" spans="2:12" x14ac:dyDescent="0.2">
      <c r="B14916"/>
      <c r="C14916"/>
      <c r="J14916"/>
      <c r="K14916"/>
      <c r="L14916"/>
    </row>
    <row r="14917" spans="2:12" x14ac:dyDescent="0.2">
      <c r="B14917"/>
      <c r="C14917"/>
      <c r="J14917"/>
      <c r="K14917"/>
      <c r="L14917"/>
    </row>
    <row r="14918" spans="2:12" x14ac:dyDescent="0.2">
      <c r="B14918"/>
      <c r="C14918"/>
      <c r="J14918"/>
      <c r="K14918"/>
      <c r="L14918"/>
    </row>
    <row r="14919" spans="2:12" x14ac:dyDescent="0.2">
      <c r="B14919"/>
      <c r="C14919"/>
      <c r="J14919"/>
      <c r="K14919"/>
      <c r="L14919"/>
    </row>
    <row r="14920" spans="2:12" x14ac:dyDescent="0.2">
      <c r="B14920"/>
      <c r="C14920"/>
      <c r="J14920"/>
      <c r="K14920"/>
      <c r="L14920"/>
    </row>
    <row r="14921" spans="2:12" x14ac:dyDescent="0.2">
      <c r="B14921"/>
      <c r="C14921"/>
      <c r="J14921"/>
      <c r="K14921"/>
      <c r="L14921"/>
    </row>
    <row r="14922" spans="2:12" x14ac:dyDescent="0.2">
      <c r="B14922"/>
      <c r="C14922"/>
      <c r="J14922"/>
      <c r="K14922"/>
      <c r="L14922"/>
    </row>
    <row r="14923" spans="2:12" x14ac:dyDescent="0.2">
      <c r="B14923"/>
      <c r="C14923"/>
      <c r="J14923"/>
      <c r="K14923"/>
      <c r="L14923"/>
    </row>
    <row r="14924" spans="2:12" x14ac:dyDescent="0.2">
      <c r="B14924"/>
      <c r="C14924"/>
      <c r="J14924"/>
      <c r="K14924"/>
      <c r="L14924"/>
    </row>
    <row r="14925" spans="2:12" x14ac:dyDescent="0.2">
      <c r="B14925"/>
      <c r="C14925"/>
      <c r="J14925"/>
      <c r="K14925"/>
      <c r="L14925"/>
    </row>
    <row r="14926" spans="2:12" x14ac:dyDescent="0.2">
      <c r="B14926"/>
      <c r="C14926"/>
      <c r="J14926"/>
      <c r="K14926"/>
      <c r="L14926"/>
    </row>
    <row r="14927" spans="2:12" x14ac:dyDescent="0.2">
      <c r="B14927"/>
      <c r="C14927"/>
      <c r="J14927"/>
      <c r="K14927"/>
      <c r="L14927"/>
    </row>
    <row r="14928" spans="2:12" x14ac:dyDescent="0.2">
      <c r="B14928"/>
      <c r="C14928"/>
      <c r="J14928"/>
      <c r="K14928"/>
      <c r="L14928"/>
    </row>
    <row r="14929" spans="2:12" x14ac:dyDescent="0.2">
      <c r="B14929"/>
      <c r="C14929"/>
      <c r="J14929"/>
      <c r="K14929"/>
      <c r="L14929"/>
    </row>
    <row r="14930" spans="2:12" x14ac:dyDescent="0.2">
      <c r="B14930"/>
      <c r="C14930"/>
      <c r="J14930"/>
      <c r="K14930"/>
      <c r="L14930"/>
    </row>
    <row r="14931" spans="2:12" x14ac:dyDescent="0.2">
      <c r="B14931"/>
      <c r="C14931"/>
      <c r="J14931"/>
      <c r="K14931"/>
      <c r="L14931"/>
    </row>
    <row r="14932" spans="2:12" x14ac:dyDescent="0.2">
      <c r="B14932"/>
      <c r="C14932"/>
      <c r="J14932"/>
      <c r="K14932"/>
      <c r="L14932"/>
    </row>
    <row r="14933" spans="2:12" x14ac:dyDescent="0.2">
      <c r="B14933"/>
      <c r="C14933"/>
      <c r="J14933"/>
      <c r="K14933"/>
      <c r="L14933"/>
    </row>
    <row r="14934" spans="2:12" x14ac:dyDescent="0.2">
      <c r="B14934"/>
      <c r="C14934"/>
      <c r="J14934"/>
      <c r="K14934"/>
      <c r="L14934"/>
    </row>
    <row r="14935" spans="2:12" x14ac:dyDescent="0.2">
      <c r="B14935"/>
      <c r="C14935"/>
      <c r="J14935"/>
      <c r="K14935"/>
      <c r="L14935"/>
    </row>
    <row r="14936" spans="2:12" x14ac:dyDescent="0.2">
      <c r="B14936"/>
      <c r="C14936"/>
      <c r="J14936"/>
      <c r="K14936"/>
      <c r="L14936"/>
    </row>
    <row r="14937" spans="2:12" x14ac:dyDescent="0.2">
      <c r="B14937"/>
      <c r="C14937"/>
      <c r="J14937"/>
      <c r="K14937"/>
      <c r="L14937"/>
    </row>
    <row r="14938" spans="2:12" x14ac:dyDescent="0.2">
      <c r="B14938"/>
      <c r="C14938"/>
      <c r="J14938"/>
      <c r="K14938"/>
      <c r="L14938"/>
    </row>
    <row r="14939" spans="2:12" x14ac:dyDescent="0.2">
      <c r="B14939"/>
      <c r="C14939"/>
      <c r="J14939"/>
      <c r="K14939"/>
      <c r="L14939"/>
    </row>
    <row r="14940" spans="2:12" x14ac:dyDescent="0.2">
      <c r="B14940"/>
      <c r="C14940"/>
      <c r="J14940"/>
      <c r="K14940"/>
      <c r="L14940"/>
    </row>
    <row r="14941" spans="2:12" x14ac:dyDescent="0.2">
      <c r="B14941"/>
      <c r="C14941"/>
      <c r="J14941"/>
      <c r="K14941"/>
      <c r="L14941"/>
    </row>
    <row r="14942" spans="2:12" x14ac:dyDescent="0.2">
      <c r="B14942"/>
      <c r="C14942"/>
      <c r="J14942"/>
      <c r="K14942"/>
      <c r="L14942"/>
    </row>
    <row r="14943" spans="2:12" x14ac:dyDescent="0.2">
      <c r="B14943"/>
      <c r="C14943"/>
      <c r="J14943"/>
      <c r="K14943"/>
      <c r="L14943"/>
    </row>
    <row r="14944" spans="2:12" x14ac:dyDescent="0.2">
      <c r="B14944"/>
      <c r="C14944"/>
      <c r="J14944"/>
      <c r="K14944"/>
      <c r="L14944"/>
    </row>
    <row r="14945" spans="2:12" x14ac:dyDescent="0.2">
      <c r="B14945"/>
      <c r="C14945"/>
      <c r="J14945"/>
      <c r="K14945"/>
      <c r="L14945"/>
    </row>
    <row r="14946" spans="2:12" x14ac:dyDescent="0.2">
      <c r="B14946"/>
      <c r="C14946"/>
      <c r="J14946"/>
      <c r="K14946"/>
      <c r="L14946"/>
    </row>
    <row r="14947" spans="2:12" x14ac:dyDescent="0.2">
      <c r="B14947"/>
      <c r="C14947"/>
      <c r="J14947"/>
      <c r="K14947"/>
      <c r="L14947"/>
    </row>
    <row r="14948" spans="2:12" x14ac:dyDescent="0.2">
      <c r="B14948"/>
      <c r="C14948"/>
      <c r="J14948"/>
      <c r="K14948"/>
      <c r="L14948"/>
    </row>
    <row r="14949" spans="2:12" x14ac:dyDescent="0.2">
      <c r="B14949"/>
      <c r="C14949"/>
      <c r="J14949"/>
      <c r="K14949"/>
      <c r="L14949"/>
    </row>
    <row r="14950" spans="2:12" x14ac:dyDescent="0.2">
      <c r="B14950"/>
      <c r="C14950"/>
      <c r="J14950"/>
      <c r="K14950"/>
      <c r="L14950"/>
    </row>
    <row r="14951" spans="2:12" x14ac:dyDescent="0.2">
      <c r="B14951"/>
      <c r="C14951"/>
      <c r="J14951"/>
      <c r="K14951"/>
      <c r="L14951"/>
    </row>
    <row r="14952" spans="2:12" x14ac:dyDescent="0.2">
      <c r="B14952"/>
      <c r="C14952"/>
      <c r="J14952"/>
      <c r="K14952"/>
      <c r="L14952"/>
    </row>
    <row r="14953" spans="2:12" x14ac:dyDescent="0.2">
      <c r="B14953"/>
      <c r="C14953"/>
      <c r="J14953"/>
      <c r="K14953"/>
      <c r="L14953"/>
    </row>
    <row r="14954" spans="2:12" x14ac:dyDescent="0.2">
      <c r="B14954"/>
      <c r="C14954"/>
      <c r="J14954"/>
      <c r="K14954"/>
      <c r="L14954"/>
    </row>
    <row r="14955" spans="2:12" x14ac:dyDescent="0.2">
      <c r="B14955"/>
      <c r="C14955"/>
      <c r="J14955"/>
      <c r="K14955"/>
      <c r="L14955"/>
    </row>
    <row r="14956" spans="2:12" x14ac:dyDescent="0.2">
      <c r="B14956"/>
      <c r="C14956"/>
      <c r="J14956"/>
      <c r="K14956"/>
      <c r="L14956"/>
    </row>
    <row r="14957" spans="2:12" x14ac:dyDescent="0.2">
      <c r="B14957"/>
      <c r="C14957"/>
      <c r="J14957"/>
      <c r="K14957"/>
      <c r="L14957"/>
    </row>
    <row r="14958" spans="2:12" x14ac:dyDescent="0.2">
      <c r="B14958"/>
      <c r="C14958"/>
      <c r="J14958"/>
      <c r="K14958"/>
      <c r="L14958"/>
    </row>
    <row r="14959" spans="2:12" x14ac:dyDescent="0.2">
      <c r="B14959"/>
      <c r="C14959"/>
      <c r="J14959"/>
      <c r="K14959"/>
      <c r="L14959"/>
    </row>
    <row r="14960" spans="2:12" x14ac:dyDescent="0.2">
      <c r="B14960"/>
      <c r="C14960"/>
      <c r="J14960"/>
      <c r="K14960"/>
      <c r="L14960"/>
    </row>
    <row r="14961" spans="2:12" x14ac:dyDescent="0.2">
      <c r="B14961"/>
      <c r="C14961"/>
      <c r="J14961"/>
      <c r="K14961"/>
      <c r="L14961"/>
    </row>
    <row r="14962" spans="2:12" x14ac:dyDescent="0.2">
      <c r="B14962"/>
      <c r="C14962"/>
      <c r="J14962"/>
      <c r="K14962"/>
      <c r="L14962"/>
    </row>
    <row r="14963" spans="2:12" x14ac:dyDescent="0.2">
      <c r="B14963"/>
      <c r="C14963"/>
      <c r="J14963"/>
      <c r="K14963"/>
      <c r="L14963"/>
    </row>
    <row r="14964" spans="2:12" x14ac:dyDescent="0.2">
      <c r="B14964"/>
      <c r="C14964"/>
      <c r="J14964"/>
      <c r="K14964"/>
      <c r="L14964"/>
    </row>
    <row r="14965" spans="2:12" x14ac:dyDescent="0.2">
      <c r="B14965"/>
      <c r="C14965"/>
      <c r="J14965"/>
      <c r="K14965"/>
      <c r="L14965"/>
    </row>
    <row r="14966" spans="2:12" x14ac:dyDescent="0.2">
      <c r="B14966"/>
      <c r="C14966"/>
      <c r="J14966"/>
      <c r="K14966"/>
      <c r="L14966"/>
    </row>
    <row r="14967" spans="2:12" x14ac:dyDescent="0.2">
      <c r="B14967"/>
      <c r="C14967"/>
      <c r="J14967"/>
      <c r="K14967"/>
      <c r="L14967"/>
    </row>
    <row r="14968" spans="2:12" x14ac:dyDescent="0.2">
      <c r="B14968"/>
      <c r="C14968"/>
      <c r="J14968"/>
      <c r="K14968"/>
      <c r="L14968"/>
    </row>
    <row r="14969" spans="2:12" x14ac:dyDescent="0.2">
      <c r="B14969"/>
      <c r="C14969"/>
      <c r="J14969"/>
      <c r="K14969"/>
      <c r="L14969"/>
    </row>
    <row r="14970" spans="2:12" x14ac:dyDescent="0.2">
      <c r="B14970"/>
      <c r="C14970"/>
      <c r="J14970"/>
      <c r="K14970"/>
      <c r="L14970"/>
    </row>
    <row r="14971" spans="2:12" x14ac:dyDescent="0.2">
      <c r="B14971"/>
      <c r="C14971"/>
      <c r="J14971"/>
      <c r="K14971"/>
      <c r="L14971"/>
    </row>
    <row r="14972" spans="2:12" x14ac:dyDescent="0.2">
      <c r="B14972"/>
      <c r="C14972"/>
      <c r="J14972"/>
      <c r="K14972"/>
      <c r="L14972"/>
    </row>
    <row r="14973" spans="2:12" x14ac:dyDescent="0.2">
      <c r="B14973"/>
      <c r="C14973"/>
      <c r="J14973"/>
      <c r="K14973"/>
      <c r="L14973"/>
    </row>
    <row r="14974" spans="2:12" x14ac:dyDescent="0.2">
      <c r="B14974"/>
      <c r="C14974"/>
      <c r="J14974"/>
      <c r="K14974"/>
      <c r="L14974"/>
    </row>
    <row r="14975" spans="2:12" x14ac:dyDescent="0.2">
      <c r="B14975"/>
      <c r="C14975"/>
      <c r="J14975"/>
      <c r="K14975"/>
      <c r="L14975"/>
    </row>
    <row r="14976" spans="2:12" x14ac:dyDescent="0.2">
      <c r="B14976"/>
      <c r="C14976"/>
      <c r="J14976"/>
      <c r="K14976"/>
      <c r="L14976"/>
    </row>
    <row r="14977" spans="2:12" x14ac:dyDescent="0.2">
      <c r="B14977"/>
      <c r="C14977"/>
      <c r="J14977"/>
      <c r="K14977"/>
      <c r="L14977"/>
    </row>
    <row r="14978" spans="2:12" x14ac:dyDescent="0.2">
      <c r="B14978"/>
      <c r="C14978"/>
      <c r="J14978"/>
      <c r="K14978"/>
      <c r="L14978"/>
    </row>
    <row r="14979" spans="2:12" x14ac:dyDescent="0.2">
      <c r="B14979"/>
      <c r="C14979"/>
      <c r="J14979"/>
      <c r="K14979"/>
      <c r="L14979"/>
    </row>
    <row r="14980" spans="2:12" x14ac:dyDescent="0.2">
      <c r="B14980"/>
      <c r="C14980"/>
      <c r="J14980"/>
      <c r="K14980"/>
      <c r="L14980"/>
    </row>
    <row r="14981" spans="2:12" x14ac:dyDescent="0.2">
      <c r="B14981"/>
      <c r="C14981"/>
      <c r="J14981"/>
      <c r="K14981"/>
      <c r="L14981"/>
    </row>
    <row r="14982" spans="2:12" x14ac:dyDescent="0.2">
      <c r="B14982"/>
      <c r="C14982"/>
      <c r="J14982"/>
      <c r="K14982"/>
      <c r="L14982"/>
    </row>
    <row r="14983" spans="2:12" x14ac:dyDescent="0.2">
      <c r="B14983"/>
      <c r="C14983"/>
      <c r="J14983"/>
      <c r="K14983"/>
      <c r="L14983"/>
    </row>
    <row r="14984" spans="2:12" x14ac:dyDescent="0.2">
      <c r="B14984"/>
      <c r="C14984"/>
      <c r="J14984"/>
      <c r="K14984"/>
      <c r="L14984"/>
    </row>
    <row r="14985" spans="2:12" x14ac:dyDescent="0.2">
      <c r="B14985"/>
      <c r="C14985"/>
      <c r="J14985"/>
      <c r="K14985"/>
      <c r="L14985"/>
    </row>
    <row r="14986" spans="2:12" x14ac:dyDescent="0.2">
      <c r="B14986"/>
      <c r="C14986"/>
      <c r="J14986"/>
      <c r="K14986"/>
      <c r="L14986"/>
    </row>
    <row r="14987" spans="2:12" x14ac:dyDescent="0.2">
      <c r="B14987"/>
      <c r="C14987"/>
      <c r="J14987"/>
      <c r="K14987"/>
      <c r="L14987"/>
    </row>
    <row r="14988" spans="2:12" x14ac:dyDescent="0.2">
      <c r="B14988"/>
      <c r="C14988"/>
      <c r="J14988"/>
      <c r="K14988"/>
      <c r="L14988"/>
    </row>
    <row r="14989" spans="2:12" x14ac:dyDescent="0.2">
      <c r="B14989"/>
      <c r="C14989"/>
      <c r="J14989"/>
      <c r="K14989"/>
      <c r="L14989"/>
    </row>
    <row r="14990" spans="2:12" x14ac:dyDescent="0.2">
      <c r="B14990"/>
      <c r="C14990"/>
      <c r="J14990"/>
      <c r="K14990"/>
      <c r="L14990"/>
    </row>
    <row r="14991" spans="2:12" x14ac:dyDescent="0.2">
      <c r="B14991"/>
      <c r="C14991"/>
      <c r="J14991"/>
      <c r="K14991"/>
      <c r="L14991"/>
    </row>
    <row r="14992" spans="2:12" x14ac:dyDescent="0.2">
      <c r="B14992"/>
      <c r="C14992"/>
      <c r="J14992"/>
      <c r="K14992"/>
      <c r="L14992"/>
    </row>
    <row r="14993" spans="2:12" x14ac:dyDescent="0.2">
      <c r="B14993"/>
      <c r="C14993"/>
      <c r="J14993"/>
      <c r="K14993"/>
      <c r="L14993"/>
    </row>
    <row r="14994" spans="2:12" x14ac:dyDescent="0.2">
      <c r="B14994"/>
      <c r="C14994"/>
      <c r="J14994"/>
      <c r="K14994"/>
      <c r="L14994"/>
    </row>
    <row r="14995" spans="2:12" x14ac:dyDescent="0.2">
      <c r="B14995"/>
      <c r="C14995"/>
      <c r="J14995"/>
      <c r="K14995"/>
      <c r="L14995"/>
    </row>
    <row r="14996" spans="2:12" x14ac:dyDescent="0.2">
      <c r="B14996"/>
      <c r="C14996"/>
      <c r="J14996"/>
      <c r="K14996"/>
      <c r="L14996"/>
    </row>
    <row r="14997" spans="2:12" x14ac:dyDescent="0.2">
      <c r="B14997"/>
      <c r="C14997"/>
      <c r="J14997"/>
      <c r="K14997"/>
      <c r="L14997"/>
    </row>
    <row r="14998" spans="2:12" x14ac:dyDescent="0.2">
      <c r="B14998"/>
      <c r="C14998"/>
      <c r="J14998"/>
      <c r="K14998"/>
      <c r="L14998"/>
    </row>
    <row r="14999" spans="2:12" x14ac:dyDescent="0.2">
      <c r="B14999"/>
      <c r="C14999"/>
      <c r="J14999"/>
      <c r="K14999"/>
      <c r="L14999"/>
    </row>
    <row r="15000" spans="2:12" x14ac:dyDescent="0.2">
      <c r="B15000"/>
      <c r="C15000"/>
      <c r="J15000"/>
      <c r="K15000"/>
      <c r="L15000"/>
    </row>
    <row r="15001" spans="2:12" x14ac:dyDescent="0.2">
      <c r="B15001"/>
      <c r="C15001"/>
      <c r="J15001"/>
      <c r="K15001"/>
      <c r="L15001"/>
    </row>
    <row r="15002" spans="2:12" x14ac:dyDescent="0.2">
      <c r="B15002"/>
      <c r="C15002"/>
      <c r="J15002"/>
      <c r="K15002"/>
      <c r="L15002"/>
    </row>
    <row r="15003" spans="2:12" x14ac:dyDescent="0.2">
      <c r="B15003"/>
      <c r="C15003"/>
      <c r="J15003"/>
      <c r="K15003"/>
      <c r="L15003"/>
    </row>
    <row r="15004" spans="2:12" x14ac:dyDescent="0.2">
      <c r="B15004"/>
      <c r="C15004"/>
      <c r="J15004"/>
      <c r="K15004"/>
      <c r="L15004"/>
    </row>
    <row r="15005" spans="2:12" x14ac:dyDescent="0.2">
      <c r="B15005"/>
      <c r="C15005"/>
      <c r="J15005"/>
      <c r="K15005"/>
      <c r="L15005"/>
    </row>
    <row r="15006" spans="2:12" x14ac:dyDescent="0.2">
      <c r="B15006"/>
      <c r="C15006"/>
      <c r="J15006"/>
      <c r="K15006"/>
      <c r="L15006"/>
    </row>
    <row r="15007" spans="2:12" x14ac:dyDescent="0.2">
      <c r="B15007"/>
      <c r="C15007"/>
      <c r="J15007"/>
      <c r="K15007"/>
      <c r="L15007"/>
    </row>
    <row r="15008" spans="2:12" x14ac:dyDescent="0.2">
      <c r="B15008"/>
      <c r="C15008"/>
      <c r="J15008"/>
      <c r="K15008"/>
      <c r="L15008"/>
    </row>
    <row r="15009" spans="2:12" x14ac:dyDescent="0.2">
      <c r="B15009"/>
      <c r="C15009"/>
      <c r="J15009"/>
      <c r="K15009"/>
      <c r="L15009"/>
    </row>
    <row r="15010" spans="2:12" x14ac:dyDescent="0.2">
      <c r="B15010"/>
      <c r="C15010"/>
      <c r="J15010"/>
      <c r="K15010"/>
      <c r="L15010"/>
    </row>
    <row r="15011" spans="2:12" x14ac:dyDescent="0.2">
      <c r="B15011"/>
      <c r="C15011"/>
      <c r="J15011"/>
      <c r="K15011"/>
      <c r="L15011"/>
    </row>
    <row r="15012" spans="2:12" x14ac:dyDescent="0.2">
      <c r="B15012"/>
      <c r="C15012"/>
      <c r="J15012"/>
      <c r="K15012"/>
      <c r="L15012"/>
    </row>
    <row r="15013" spans="2:12" x14ac:dyDescent="0.2">
      <c r="B15013"/>
      <c r="C15013"/>
      <c r="J15013"/>
      <c r="K15013"/>
      <c r="L15013"/>
    </row>
    <row r="15014" spans="2:12" x14ac:dyDescent="0.2">
      <c r="B15014"/>
      <c r="C15014"/>
      <c r="J15014"/>
      <c r="K15014"/>
      <c r="L15014"/>
    </row>
    <row r="15015" spans="2:12" x14ac:dyDescent="0.2">
      <c r="B15015"/>
      <c r="C15015"/>
      <c r="J15015"/>
      <c r="K15015"/>
      <c r="L15015"/>
    </row>
    <row r="15016" spans="2:12" x14ac:dyDescent="0.2">
      <c r="B15016"/>
      <c r="C15016"/>
      <c r="J15016"/>
      <c r="K15016"/>
      <c r="L15016"/>
    </row>
    <row r="15017" spans="2:12" x14ac:dyDescent="0.2">
      <c r="B15017"/>
      <c r="C15017"/>
      <c r="J15017"/>
      <c r="K15017"/>
      <c r="L15017"/>
    </row>
    <row r="15018" spans="2:12" x14ac:dyDescent="0.2">
      <c r="B15018"/>
      <c r="C15018"/>
      <c r="J15018"/>
      <c r="K15018"/>
      <c r="L15018"/>
    </row>
    <row r="15019" spans="2:12" x14ac:dyDescent="0.2">
      <c r="B15019"/>
      <c r="C15019"/>
      <c r="J15019"/>
      <c r="K15019"/>
      <c r="L15019"/>
    </row>
    <row r="15020" spans="2:12" x14ac:dyDescent="0.2">
      <c r="B15020"/>
      <c r="C15020"/>
      <c r="J15020"/>
      <c r="K15020"/>
      <c r="L15020"/>
    </row>
    <row r="15021" spans="2:12" x14ac:dyDescent="0.2">
      <c r="B15021"/>
      <c r="C15021"/>
      <c r="J15021"/>
      <c r="K15021"/>
      <c r="L15021"/>
    </row>
    <row r="15022" spans="2:12" x14ac:dyDescent="0.2">
      <c r="B15022"/>
      <c r="C15022"/>
      <c r="J15022"/>
      <c r="K15022"/>
      <c r="L15022"/>
    </row>
    <row r="15023" spans="2:12" x14ac:dyDescent="0.2">
      <c r="B15023"/>
      <c r="C15023"/>
      <c r="J15023"/>
      <c r="K15023"/>
      <c r="L15023"/>
    </row>
    <row r="15024" spans="2:12" x14ac:dyDescent="0.2">
      <c r="B15024"/>
      <c r="C15024"/>
      <c r="J15024"/>
      <c r="K15024"/>
      <c r="L15024"/>
    </row>
    <row r="15025" spans="2:12" x14ac:dyDescent="0.2">
      <c r="B15025"/>
      <c r="C15025"/>
      <c r="J15025"/>
      <c r="K15025"/>
      <c r="L15025"/>
    </row>
    <row r="15026" spans="2:12" x14ac:dyDescent="0.2">
      <c r="B15026"/>
      <c r="C15026"/>
      <c r="J15026"/>
      <c r="K15026"/>
      <c r="L15026"/>
    </row>
    <row r="15027" spans="2:12" x14ac:dyDescent="0.2">
      <c r="B15027"/>
      <c r="C15027"/>
      <c r="J15027"/>
      <c r="K15027"/>
      <c r="L15027"/>
    </row>
    <row r="15028" spans="2:12" x14ac:dyDescent="0.2">
      <c r="B15028"/>
      <c r="C15028"/>
      <c r="J15028"/>
      <c r="K15028"/>
      <c r="L15028"/>
    </row>
    <row r="15029" spans="2:12" x14ac:dyDescent="0.2">
      <c r="B15029"/>
      <c r="C15029"/>
      <c r="J15029"/>
      <c r="K15029"/>
      <c r="L15029"/>
    </row>
    <row r="15030" spans="2:12" x14ac:dyDescent="0.2">
      <c r="B15030"/>
      <c r="C15030"/>
      <c r="J15030"/>
      <c r="K15030"/>
      <c r="L15030"/>
    </row>
    <row r="15031" spans="2:12" x14ac:dyDescent="0.2">
      <c r="B15031"/>
      <c r="C15031"/>
      <c r="J15031"/>
      <c r="K15031"/>
      <c r="L15031"/>
    </row>
    <row r="15032" spans="2:12" x14ac:dyDescent="0.2">
      <c r="B15032"/>
      <c r="C15032"/>
      <c r="J15032"/>
      <c r="K15032"/>
      <c r="L15032"/>
    </row>
    <row r="15033" spans="2:12" x14ac:dyDescent="0.2">
      <c r="B15033"/>
      <c r="C15033"/>
      <c r="J15033"/>
      <c r="K15033"/>
      <c r="L15033"/>
    </row>
    <row r="15034" spans="2:12" x14ac:dyDescent="0.2">
      <c r="B15034"/>
      <c r="C15034"/>
      <c r="J15034"/>
      <c r="K15034"/>
      <c r="L15034"/>
    </row>
    <row r="15035" spans="2:12" x14ac:dyDescent="0.2">
      <c r="B15035"/>
      <c r="C15035"/>
      <c r="J15035"/>
      <c r="K15035"/>
      <c r="L15035"/>
    </row>
    <row r="15036" spans="2:12" x14ac:dyDescent="0.2">
      <c r="B15036"/>
      <c r="C15036"/>
      <c r="J15036"/>
      <c r="K15036"/>
      <c r="L15036"/>
    </row>
    <row r="15037" spans="2:12" x14ac:dyDescent="0.2">
      <c r="B15037"/>
      <c r="C15037"/>
      <c r="J15037"/>
      <c r="K15037"/>
      <c r="L15037"/>
    </row>
    <row r="15038" spans="2:12" x14ac:dyDescent="0.2">
      <c r="B15038"/>
      <c r="C15038"/>
      <c r="J15038"/>
      <c r="K15038"/>
      <c r="L15038"/>
    </row>
    <row r="15039" spans="2:12" x14ac:dyDescent="0.2">
      <c r="B15039"/>
      <c r="C15039"/>
      <c r="J15039"/>
      <c r="K15039"/>
      <c r="L15039"/>
    </row>
    <row r="15040" spans="2:12" x14ac:dyDescent="0.2">
      <c r="B15040"/>
      <c r="C15040"/>
      <c r="J15040"/>
      <c r="K15040"/>
      <c r="L15040"/>
    </row>
    <row r="15041" spans="2:12" x14ac:dyDescent="0.2">
      <c r="B15041"/>
      <c r="C15041"/>
      <c r="J15041"/>
      <c r="K15041"/>
      <c r="L15041"/>
    </row>
    <row r="15042" spans="2:12" x14ac:dyDescent="0.2">
      <c r="B15042"/>
      <c r="C15042"/>
      <c r="J15042"/>
      <c r="K15042"/>
      <c r="L15042"/>
    </row>
    <row r="15043" spans="2:12" x14ac:dyDescent="0.2">
      <c r="B15043"/>
      <c r="C15043"/>
      <c r="J15043"/>
      <c r="K15043"/>
      <c r="L15043"/>
    </row>
    <row r="15044" spans="2:12" x14ac:dyDescent="0.2">
      <c r="B15044"/>
      <c r="C15044"/>
      <c r="J15044"/>
      <c r="K15044"/>
      <c r="L15044"/>
    </row>
    <row r="15045" spans="2:12" x14ac:dyDescent="0.2">
      <c r="B15045"/>
      <c r="C15045"/>
      <c r="J15045"/>
      <c r="K15045"/>
      <c r="L15045"/>
    </row>
    <row r="15046" spans="2:12" x14ac:dyDescent="0.2">
      <c r="B15046"/>
      <c r="C15046"/>
      <c r="J15046"/>
      <c r="K15046"/>
      <c r="L15046"/>
    </row>
    <row r="15047" spans="2:12" x14ac:dyDescent="0.2">
      <c r="B15047"/>
      <c r="C15047"/>
      <c r="J15047"/>
      <c r="K15047"/>
      <c r="L15047"/>
    </row>
    <row r="15048" spans="2:12" x14ac:dyDescent="0.2">
      <c r="B15048"/>
      <c r="C15048"/>
      <c r="J15048"/>
      <c r="K15048"/>
      <c r="L15048"/>
    </row>
    <row r="15049" spans="2:12" x14ac:dyDescent="0.2">
      <c r="B15049"/>
      <c r="C15049"/>
      <c r="J15049"/>
      <c r="K15049"/>
      <c r="L15049"/>
    </row>
    <row r="15050" spans="2:12" x14ac:dyDescent="0.2">
      <c r="B15050"/>
      <c r="C15050"/>
      <c r="J15050"/>
      <c r="K15050"/>
      <c r="L15050"/>
    </row>
    <row r="15051" spans="2:12" x14ac:dyDescent="0.2">
      <c r="B15051"/>
      <c r="C15051"/>
      <c r="J15051"/>
      <c r="K15051"/>
      <c r="L15051"/>
    </row>
    <row r="15052" spans="2:12" x14ac:dyDescent="0.2">
      <c r="B15052"/>
      <c r="C15052"/>
      <c r="J15052"/>
      <c r="K15052"/>
      <c r="L15052"/>
    </row>
    <row r="15053" spans="2:12" x14ac:dyDescent="0.2">
      <c r="B15053"/>
      <c r="C15053"/>
      <c r="J15053"/>
      <c r="K15053"/>
      <c r="L15053"/>
    </row>
    <row r="15054" spans="2:12" x14ac:dyDescent="0.2">
      <c r="B15054"/>
      <c r="C15054"/>
      <c r="J15054"/>
      <c r="K15054"/>
      <c r="L15054"/>
    </row>
    <row r="15055" spans="2:12" x14ac:dyDescent="0.2">
      <c r="B15055"/>
      <c r="C15055"/>
      <c r="J15055"/>
      <c r="K15055"/>
      <c r="L15055"/>
    </row>
    <row r="15056" spans="2:12" x14ac:dyDescent="0.2">
      <c r="B15056"/>
      <c r="C15056"/>
      <c r="J15056"/>
      <c r="K15056"/>
      <c r="L15056"/>
    </row>
    <row r="15057" spans="2:12" x14ac:dyDescent="0.2">
      <c r="B15057"/>
      <c r="C15057"/>
      <c r="J15057"/>
      <c r="K15057"/>
      <c r="L15057"/>
    </row>
    <row r="15058" spans="2:12" x14ac:dyDescent="0.2">
      <c r="B15058"/>
      <c r="C15058"/>
      <c r="J15058"/>
      <c r="K15058"/>
      <c r="L15058"/>
    </row>
    <row r="15059" spans="2:12" x14ac:dyDescent="0.2">
      <c r="B15059"/>
      <c r="C15059"/>
      <c r="J15059"/>
      <c r="K15059"/>
      <c r="L15059"/>
    </row>
    <row r="15060" spans="2:12" x14ac:dyDescent="0.2">
      <c r="B15060"/>
      <c r="C15060"/>
      <c r="J15060"/>
      <c r="K15060"/>
      <c r="L15060"/>
    </row>
    <row r="15061" spans="2:12" x14ac:dyDescent="0.2">
      <c r="B15061"/>
      <c r="C15061"/>
      <c r="J15061"/>
      <c r="K15061"/>
      <c r="L15061"/>
    </row>
    <row r="15062" spans="2:12" x14ac:dyDescent="0.2">
      <c r="B15062"/>
      <c r="C15062"/>
      <c r="J15062"/>
      <c r="K15062"/>
      <c r="L15062"/>
    </row>
    <row r="15063" spans="2:12" x14ac:dyDescent="0.2">
      <c r="B15063"/>
      <c r="C15063"/>
      <c r="J15063"/>
      <c r="K15063"/>
      <c r="L15063"/>
    </row>
    <row r="15064" spans="2:12" x14ac:dyDescent="0.2">
      <c r="B15064"/>
      <c r="C15064"/>
      <c r="J15064"/>
      <c r="K15064"/>
      <c r="L15064"/>
    </row>
    <row r="15065" spans="2:12" x14ac:dyDescent="0.2">
      <c r="B15065"/>
      <c r="C15065"/>
      <c r="J15065"/>
      <c r="K15065"/>
      <c r="L15065"/>
    </row>
    <row r="15066" spans="2:12" x14ac:dyDescent="0.2">
      <c r="B15066"/>
      <c r="C15066"/>
      <c r="J15066"/>
      <c r="K15066"/>
      <c r="L15066"/>
    </row>
    <row r="15067" spans="2:12" x14ac:dyDescent="0.2">
      <c r="B15067"/>
      <c r="C15067"/>
      <c r="J15067"/>
      <c r="K15067"/>
      <c r="L15067"/>
    </row>
    <row r="15068" spans="2:12" x14ac:dyDescent="0.2">
      <c r="B15068"/>
      <c r="C15068"/>
      <c r="J15068"/>
      <c r="K15068"/>
      <c r="L15068"/>
    </row>
    <row r="15069" spans="2:12" x14ac:dyDescent="0.2">
      <c r="B15069"/>
      <c r="C15069"/>
      <c r="J15069"/>
      <c r="K15069"/>
      <c r="L15069"/>
    </row>
    <row r="15070" spans="2:12" x14ac:dyDescent="0.2">
      <c r="B15070"/>
      <c r="C15070"/>
      <c r="J15070"/>
      <c r="K15070"/>
      <c r="L15070"/>
    </row>
    <row r="15071" spans="2:12" x14ac:dyDescent="0.2">
      <c r="B15071"/>
      <c r="C15071"/>
      <c r="J15071"/>
      <c r="K15071"/>
      <c r="L15071"/>
    </row>
    <row r="15072" spans="2:12" x14ac:dyDescent="0.2">
      <c r="B15072"/>
      <c r="C15072"/>
      <c r="J15072"/>
      <c r="K15072"/>
      <c r="L15072"/>
    </row>
    <row r="15073" spans="2:12" x14ac:dyDescent="0.2">
      <c r="B15073"/>
      <c r="C15073"/>
      <c r="J15073"/>
      <c r="K15073"/>
      <c r="L15073"/>
    </row>
    <row r="15074" spans="2:12" x14ac:dyDescent="0.2">
      <c r="B15074"/>
      <c r="C15074"/>
      <c r="J15074"/>
      <c r="K15074"/>
      <c r="L15074"/>
    </row>
    <row r="15075" spans="2:12" x14ac:dyDescent="0.2">
      <c r="B15075"/>
      <c r="C15075"/>
      <c r="J15075"/>
      <c r="K15075"/>
      <c r="L15075"/>
    </row>
    <row r="15076" spans="2:12" x14ac:dyDescent="0.2">
      <c r="B15076"/>
      <c r="C15076"/>
      <c r="J15076"/>
      <c r="K15076"/>
      <c r="L15076"/>
    </row>
    <row r="15077" spans="2:12" x14ac:dyDescent="0.2">
      <c r="B15077"/>
      <c r="C15077"/>
      <c r="J15077"/>
      <c r="K15077"/>
      <c r="L15077"/>
    </row>
    <row r="15078" spans="2:12" x14ac:dyDescent="0.2">
      <c r="B15078"/>
      <c r="C15078"/>
      <c r="J15078"/>
      <c r="K15078"/>
      <c r="L15078"/>
    </row>
    <row r="15079" spans="2:12" x14ac:dyDescent="0.2">
      <c r="B15079"/>
      <c r="C15079"/>
      <c r="J15079"/>
      <c r="K15079"/>
      <c r="L15079"/>
    </row>
    <row r="15080" spans="2:12" x14ac:dyDescent="0.2">
      <c r="B15080"/>
      <c r="C15080"/>
      <c r="J15080"/>
      <c r="K15080"/>
      <c r="L15080"/>
    </row>
    <row r="15081" spans="2:12" x14ac:dyDescent="0.2">
      <c r="B15081"/>
      <c r="C15081"/>
      <c r="J15081"/>
      <c r="K15081"/>
      <c r="L15081"/>
    </row>
    <row r="15082" spans="2:12" x14ac:dyDescent="0.2">
      <c r="B15082"/>
      <c r="C15082"/>
      <c r="J15082"/>
      <c r="K15082"/>
      <c r="L15082"/>
    </row>
    <row r="15083" spans="2:12" x14ac:dyDescent="0.2">
      <c r="B15083"/>
      <c r="C15083"/>
      <c r="J15083"/>
      <c r="K15083"/>
      <c r="L15083"/>
    </row>
    <row r="15084" spans="2:12" x14ac:dyDescent="0.2">
      <c r="B15084"/>
      <c r="C15084"/>
      <c r="J15084"/>
      <c r="K15084"/>
      <c r="L15084"/>
    </row>
    <row r="15085" spans="2:12" x14ac:dyDescent="0.2">
      <c r="B15085"/>
      <c r="C15085"/>
      <c r="J15085"/>
      <c r="K15085"/>
      <c r="L15085"/>
    </row>
    <row r="15086" spans="2:12" x14ac:dyDescent="0.2">
      <c r="B15086"/>
      <c r="C15086"/>
      <c r="J15086"/>
      <c r="K15086"/>
      <c r="L15086"/>
    </row>
    <row r="15087" spans="2:12" x14ac:dyDescent="0.2">
      <c r="B15087"/>
      <c r="C15087"/>
      <c r="J15087"/>
      <c r="K15087"/>
      <c r="L15087"/>
    </row>
    <row r="15088" spans="2:12" x14ac:dyDescent="0.2">
      <c r="B15088"/>
      <c r="C15088"/>
      <c r="J15088"/>
      <c r="K15088"/>
      <c r="L15088"/>
    </row>
    <row r="15089" spans="2:12" x14ac:dyDescent="0.2">
      <c r="B15089"/>
      <c r="C15089"/>
      <c r="J15089"/>
      <c r="K15089"/>
      <c r="L15089"/>
    </row>
    <row r="15090" spans="2:12" x14ac:dyDescent="0.2">
      <c r="B15090"/>
      <c r="C15090"/>
      <c r="J15090"/>
      <c r="K15090"/>
      <c r="L15090"/>
    </row>
    <row r="15091" spans="2:12" x14ac:dyDescent="0.2">
      <c r="B15091"/>
      <c r="C15091"/>
      <c r="J15091"/>
      <c r="K15091"/>
      <c r="L15091"/>
    </row>
    <row r="15092" spans="2:12" x14ac:dyDescent="0.2">
      <c r="B15092"/>
      <c r="C15092"/>
      <c r="J15092"/>
      <c r="K15092"/>
      <c r="L15092"/>
    </row>
    <row r="15093" spans="2:12" x14ac:dyDescent="0.2">
      <c r="B15093"/>
      <c r="C15093"/>
      <c r="J15093"/>
      <c r="K15093"/>
      <c r="L15093"/>
    </row>
    <row r="15094" spans="2:12" x14ac:dyDescent="0.2">
      <c r="B15094"/>
      <c r="C15094"/>
      <c r="J15094"/>
      <c r="K15094"/>
      <c r="L15094"/>
    </row>
    <row r="15095" spans="2:12" x14ac:dyDescent="0.2">
      <c r="B15095"/>
      <c r="C15095"/>
      <c r="J15095"/>
      <c r="K15095"/>
      <c r="L15095"/>
    </row>
    <row r="15096" spans="2:12" x14ac:dyDescent="0.2">
      <c r="B15096"/>
      <c r="C15096"/>
      <c r="J15096"/>
      <c r="K15096"/>
      <c r="L15096"/>
    </row>
    <row r="15097" spans="2:12" x14ac:dyDescent="0.2">
      <c r="B15097"/>
      <c r="C15097"/>
      <c r="J15097"/>
      <c r="K15097"/>
      <c r="L15097"/>
    </row>
    <row r="15098" spans="2:12" x14ac:dyDescent="0.2">
      <c r="B15098"/>
      <c r="C15098"/>
      <c r="J15098"/>
      <c r="K15098"/>
      <c r="L15098"/>
    </row>
    <row r="15099" spans="2:12" x14ac:dyDescent="0.2">
      <c r="B15099"/>
      <c r="C15099"/>
      <c r="J15099"/>
      <c r="K15099"/>
      <c r="L15099"/>
    </row>
    <row r="15100" spans="2:12" x14ac:dyDescent="0.2">
      <c r="B15100"/>
      <c r="C15100"/>
      <c r="J15100"/>
      <c r="K15100"/>
      <c r="L15100"/>
    </row>
    <row r="15101" spans="2:12" x14ac:dyDescent="0.2">
      <c r="B15101"/>
      <c r="C15101"/>
      <c r="J15101"/>
      <c r="K15101"/>
      <c r="L15101"/>
    </row>
    <row r="15102" spans="2:12" x14ac:dyDescent="0.2">
      <c r="B15102"/>
      <c r="C15102"/>
      <c r="J15102"/>
      <c r="K15102"/>
      <c r="L15102"/>
    </row>
    <row r="15103" spans="2:12" x14ac:dyDescent="0.2">
      <c r="B15103"/>
      <c r="C15103"/>
      <c r="J15103"/>
      <c r="K15103"/>
      <c r="L15103"/>
    </row>
    <row r="15104" spans="2:12" x14ac:dyDescent="0.2">
      <c r="B15104"/>
      <c r="C15104"/>
      <c r="J15104"/>
      <c r="K15104"/>
      <c r="L15104"/>
    </row>
    <row r="15105" spans="2:12" x14ac:dyDescent="0.2">
      <c r="B15105"/>
      <c r="C15105"/>
      <c r="J15105"/>
      <c r="K15105"/>
      <c r="L15105"/>
    </row>
    <row r="15106" spans="2:12" x14ac:dyDescent="0.2">
      <c r="B15106"/>
      <c r="C15106"/>
      <c r="J15106"/>
      <c r="K15106"/>
      <c r="L15106"/>
    </row>
    <row r="15107" spans="2:12" x14ac:dyDescent="0.2">
      <c r="B15107"/>
      <c r="C15107"/>
      <c r="J15107"/>
      <c r="K15107"/>
      <c r="L15107"/>
    </row>
    <row r="15108" spans="2:12" x14ac:dyDescent="0.2">
      <c r="B15108"/>
      <c r="C15108"/>
      <c r="J15108"/>
      <c r="K15108"/>
      <c r="L15108"/>
    </row>
    <row r="15109" spans="2:12" x14ac:dyDescent="0.2">
      <c r="B15109"/>
      <c r="C15109"/>
      <c r="J15109"/>
      <c r="K15109"/>
      <c r="L15109"/>
    </row>
    <row r="15110" spans="2:12" x14ac:dyDescent="0.2">
      <c r="B15110"/>
      <c r="C15110"/>
      <c r="J15110"/>
      <c r="K15110"/>
      <c r="L15110"/>
    </row>
    <row r="15111" spans="2:12" x14ac:dyDescent="0.2">
      <c r="B15111"/>
      <c r="C15111"/>
      <c r="J15111"/>
      <c r="K15111"/>
      <c r="L15111"/>
    </row>
    <row r="15112" spans="2:12" x14ac:dyDescent="0.2">
      <c r="B15112"/>
      <c r="C15112"/>
      <c r="J15112"/>
      <c r="K15112"/>
      <c r="L15112"/>
    </row>
    <row r="15113" spans="2:12" x14ac:dyDescent="0.2">
      <c r="B15113"/>
      <c r="C15113"/>
      <c r="J15113"/>
      <c r="K15113"/>
      <c r="L15113"/>
    </row>
    <row r="15114" spans="2:12" x14ac:dyDescent="0.2">
      <c r="B15114"/>
      <c r="C15114"/>
      <c r="J15114"/>
      <c r="K15114"/>
      <c r="L15114"/>
    </row>
    <row r="15115" spans="2:12" x14ac:dyDescent="0.2">
      <c r="B15115"/>
      <c r="C15115"/>
      <c r="J15115"/>
      <c r="K15115"/>
      <c r="L15115"/>
    </row>
    <row r="15116" spans="2:12" x14ac:dyDescent="0.2">
      <c r="B15116"/>
      <c r="C15116"/>
      <c r="J15116"/>
      <c r="K15116"/>
      <c r="L15116"/>
    </row>
    <row r="15117" spans="2:12" x14ac:dyDescent="0.2">
      <c r="B15117"/>
      <c r="C15117"/>
      <c r="J15117"/>
      <c r="K15117"/>
      <c r="L15117"/>
    </row>
    <row r="15118" spans="2:12" x14ac:dyDescent="0.2">
      <c r="B15118"/>
      <c r="C15118"/>
      <c r="J15118"/>
      <c r="K15118"/>
      <c r="L15118"/>
    </row>
    <row r="15119" spans="2:12" x14ac:dyDescent="0.2">
      <c r="B15119"/>
      <c r="C15119"/>
      <c r="J15119"/>
      <c r="K15119"/>
      <c r="L15119"/>
    </row>
    <row r="15120" spans="2:12" x14ac:dyDescent="0.2">
      <c r="B15120"/>
      <c r="C15120"/>
      <c r="J15120"/>
      <c r="K15120"/>
      <c r="L15120"/>
    </row>
    <row r="15121" spans="2:12" x14ac:dyDescent="0.2">
      <c r="B15121"/>
      <c r="C15121"/>
      <c r="J15121"/>
      <c r="K15121"/>
      <c r="L15121"/>
    </row>
    <row r="15122" spans="2:12" x14ac:dyDescent="0.2">
      <c r="B15122"/>
      <c r="C15122"/>
      <c r="J15122"/>
      <c r="K15122"/>
      <c r="L15122"/>
    </row>
    <row r="15123" spans="2:12" x14ac:dyDescent="0.2">
      <c r="B15123"/>
      <c r="C15123"/>
      <c r="J15123"/>
      <c r="K15123"/>
      <c r="L15123"/>
    </row>
    <row r="15124" spans="2:12" x14ac:dyDescent="0.2">
      <c r="B15124"/>
      <c r="C15124"/>
      <c r="J15124"/>
      <c r="K15124"/>
      <c r="L15124"/>
    </row>
    <row r="15125" spans="2:12" x14ac:dyDescent="0.2">
      <c r="B15125"/>
      <c r="C15125"/>
      <c r="J15125"/>
      <c r="K15125"/>
      <c r="L15125"/>
    </row>
    <row r="15126" spans="2:12" x14ac:dyDescent="0.2">
      <c r="B15126"/>
      <c r="C15126"/>
      <c r="J15126"/>
      <c r="K15126"/>
      <c r="L15126"/>
    </row>
    <row r="15127" spans="2:12" x14ac:dyDescent="0.2">
      <c r="B15127"/>
      <c r="C15127"/>
      <c r="J15127"/>
      <c r="K15127"/>
      <c r="L15127"/>
    </row>
    <row r="15128" spans="2:12" x14ac:dyDescent="0.2">
      <c r="B15128"/>
      <c r="C15128"/>
      <c r="J15128"/>
      <c r="K15128"/>
      <c r="L15128"/>
    </row>
    <row r="15129" spans="2:12" x14ac:dyDescent="0.2">
      <c r="B15129"/>
      <c r="C15129"/>
      <c r="J15129"/>
      <c r="K15129"/>
      <c r="L15129"/>
    </row>
    <row r="15130" spans="2:12" x14ac:dyDescent="0.2">
      <c r="B15130"/>
      <c r="C15130"/>
      <c r="J15130"/>
      <c r="K15130"/>
      <c r="L15130"/>
    </row>
    <row r="15131" spans="2:12" x14ac:dyDescent="0.2">
      <c r="B15131"/>
      <c r="C15131"/>
      <c r="J15131"/>
      <c r="K15131"/>
      <c r="L15131"/>
    </row>
    <row r="15132" spans="2:12" x14ac:dyDescent="0.2">
      <c r="B15132"/>
      <c r="C15132"/>
      <c r="J15132"/>
      <c r="K15132"/>
      <c r="L15132"/>
    </row>
    <row r="15133" spans="2:12" x14ac:dyDescent="0.2">
      <c r="B15133"/>
      <c r="C15133"/>
      <c r="J15133"/>
      <c r="K15133"/>
      <c r="L15133"/>
    </row>
    <row r="15134" spans="2:12" x14ac:dyDescent="0.2">
      <c r="B15134"/>
      <c r="C15134"/>
      <c r="J15134"/>
      <c r="K15134"/>
      <c r="L15134"/>
    </row>
    <row r="15135" spans="2:12" x14ac:dyDescent="0.2">
      <c r="B15135"/>
      <c r="C15135"/>
      <c r="J15135"/>
      <c r="K15135"/>
      <c r="L15135"/>
    </row>
    <row r="15136" spans="2:12" x14ac:dyDescent="0.2">
      <c r="B15136"/>
      <c r="C15136"/>
      <c r="J15136"/>
      <c r="K15136"/>
      <c r="L15136"/>
    </row>
    <row r="15137" spans="2:12" x14ac:dyDescent="0.2">
      <c r="B15137"/>
      <c r="C15137"/>
      <c r="J15137"/>
      <c r="K15137"/>
      <c r="L15137"/>
    </row>
    <row r="15138" spans="2:12" x14ac:dyDescent="0.2">
      <c r="B15138"/>
      <c r="C15138"/>
      <c r="J15138"/>
      <c r="K15138"/>
      <c r="L15138"/>
    </row>
    <row r="15139" spans="2:12" x14ac:dyDescent="0.2">
      <c r="B15139"/>
      <c r="C15139"/>
      <c r="J15139"/>
      <c r="K15139"/>
      <c r="L15139"/>
    </row>
    <row r="15140" spans="2:12" x14ac:dyDescent="0.2">
      <c r="B15140"/>
      <c r="C15140"/>
      <c r="J15140"/>
      <c r="K15140"/>
      <c r="L15140"/>
    </row>
    <row r="15141" spans="2:12" x14ac:dyDescent="0.2">
      <c r="B15141"/>
      <c r="C15141"/>
      <c r="J15141"/>
      <c r="K15141"/>
      <c r="L15141"/>
    </row>
    <row r="15142" spans="2:12" x14ac:dyDescent="0.2">
      <c r="B15142"/>
      <c r="C15142"/>
      <c r="J15142"/>
      <c r="K15142"/>
      <c r="L15142"/>
    </row>
    <row r="15143" spans="2:12" x14ac:dyDescent="0.2">
      <c r="B15143"/>
      <c r="C15143"/>
      <c r="J15143"/>
      <c r="K15143"/>
      <c r="L15143"/>
    </row>
    <row r="15144" spans="2:12" x14ac:dyDescent="0.2">
      <c r="B15144"/>
      <c r="C15144"/>
      <c r="J15144"/>
      <c r="K15144"/>
      <c r="L15144"/>
    </row>
    <row r="15145" spans="2:12" x14ac:dyDescent="0.2">
      <c r="B15145"/>
      <c r="C15145"/>
      <c r="J15145"/>
      <c r="K15145"/>
      <c r="L15145"/>
    </row>
    <row r="15146" spans="2:12" x14ac:dyDescent="0.2">
      <c r="B15146"/>
      <c r="C15146"/>
      <c r="J15146"/>
      <c r="K15146"/>
      <c r="L15146"/>
    </row>
    <row r="15147" spans="2:12" x14ac:dyDescent="0.2">
      <c r="B15147"/>
      <c r="C15147"/>
      <c r="J15147"/>
      <c r="K15147"/>
      <c r="L15147"/>
    </row>
    <row r="15148" spans="2:12" x14ac:dyDescent="0.2">
      <c r="B15148"/>
      <c r="C15148"/>
      <c r="J15148"/>
      <c r="K15148"/>
      <c r="L15148"/>
    </row>
    <row r="15149" spans="2:12" x14ac:dyDescent="0.2">
      <c r="B15149"/>
      <c r="C15149"/>
      <c r="J15149"/>
      <c r="K15149"/>
      <c r="L15149"/>
    </row>
    <row r="15150" spans="2:12" x14ac:dyDescent="0.2">
      <c r="B15150"/>
      <c r="C15150"/>
      <c r="J15150"/>
      <c r="K15150"/>
      <c r="L15150"/>
    </row>
    <row r="15151" spans="2:12" x14ac:dyDescent="0.2">
      <c r="B15151"/>
      <c r="C15151"/>
      <c r="J15151"/>
      <c r="K15151"/>
      <c r="L15151"/>
    </row>
    <row r="15152" spans="2:12" x14ac:dyDescent="0.2">
      <c r="B15152"/>
      <c r="C15152"/>
      <c r="J15152"/>
      <c r="K15152"/>
      <c r="L15152"/>
    </row>
    <row r="15153" spans="2:12" x14ac:dyDescent="0.2">
      <c r="B15153"/>
      <c r="C15153"/>
      <c r="J15153"/>
      <c r="K15153"/>
      <c r="L15153"/>
    </row>
    <row r="15154" spans="2:12" x14ac:dyDescent="0.2">
      <c r="B15154"/>
      <c r="C15154"/>
      <c r="J15154"/>
      <c r="K15154"/>
      <c r="L15154"/>
    </row>
    <row r="15155" spans="2:12" x14ac:dyDescent="0.2">
      <c r="B15155"/>
      <c r="C15155"/>
      <c r="J15155"/>
      <c r="K15155"/>
      <c r="L15155"/>
    </row>
    <row r="15156" spans="2:12" x14ac:dyDescent="0.2">
      <c r="B15156"/>
      <c r="C15156"/>
      <c r="J15156"/>
      <c r="K15156"/>
      <c r="L15156"/>
    </row>
    <row r="15157" spans="2:12" x14ac:dyDescent="0.2">
      <c r="B15157"/>
      <c r="C15157"/>
      <c r="J15157"/>
      <c r="K15157"/>
      <c r="L15157"/>
    </row>
    <row r="15158" spans="2:12" x14ac:dyDescent="0.2">
      <c r="B15158"/>
      <c r="C15158"/>
      <c r="J15158"/>
      <c r="K15158"/>
      <c r="L15158"/>
    </row>
    <row r="15159" spans="2:12" x14ac:dyDescent="0.2">
      <c r="B15159"/>
      <c r="C15159"/>
      <c r="J15159"/>
      <c r="K15159"/>
      <c r="L15159"/>
    </row>
    <row r="15160" spans="2:12" x14ac:dyDescent="0.2">
      <c r="B15160"/>
      <c r="C15160"/>
      <c r="J15160"/>
      <c r="K15160"/>
      <c r="L15160"/>
    </row>
    <row r="15161" spans="2:12" x14ac:dyDescent="0.2">
      <c r="B15161"/>
      <c r="C15161"/>
      <c r="J15161"/>
      <c r="K15161"/>
      <c r="L15161"/>
    </row>
    <row r="15162" spans="2:12" x14ac:dyDescent="0.2">
      <c r="B15162"/>
      <c r="C15162"/>
      <c r="J15162"/>
      <c r="K15162"/>
      <c r="L15162"/>
    </row>
    <row r="15163" spans="2:12" x14ac:dyDescent="0.2">
      <c r="B15163"/>
      <c r="C15163"/>
      <c r="J15163"/>
      <c r="K15163"/>
      <c r="L15163"/>
    </row>
    <row r="15164" spans="2:12" x14ac:dyDescent="0.2">
      <c r="B15164"/>
      <c r="C15164"/>
      <c r="J15164"/>
      <c r="K15164"/>
      <c r="L15164"/>
    </row>
    <row r="15165" spans="2:12" x14ac:dyDescent="0.2">
      <c r="B15165"/>
      <c r="C15165"/>
      <c r="J15165"/>
      <c r="K15165"/>
      <c r="L15165"/>
    </row>
    <row r="15166" spans="2:12" x14ac:dyDescent="0.2">
      <c r="B15166"/>
      <c r="C15166"/>
      <c r="J15166"/>
      <c r="K15166"/>
      <c r="L15166"/>
    </row>
    <row r="15167" spans="2:12" x14ac:dyDescent="0.2">
      <c r="B15167"/>
      <c r="C15167"/>
      <c r="J15167"/>
      <c r="K15167"/>
      <c r="L15167"/>
    </row>
    <row r="15168" spans="2:12" x14ac:dyDescent="0.2">
      <c r="B15168"/>
      <c r="C15168"/>
      <c r="J15168"/>
      <c r="K15168"/>
      <c r="L15168"/>
    </row>
    <row r="15169" spans="2:12" x14ac:dyDescent="0.2">
      <c r="B15169"/>
      <c r="C15169"/>
      <c r="J15169"/>
      <c r="K15169"/>
      <c r="L15169"/>
    </row>
    <row r="15170" spans="2:12" x14ac:dyDescent="0.2">
      <c r="B15170"/>
      <c r="C15170"/>
      <c r="J15170"/>
      <c r="K15170"/>
      <c r="L15170"/>
    </row>
    <row r="15171" spans="2:12" x14ac:dyDescent="0.2">
      <c r="B15171"/>
      <c r="C15171"/>
      <c r="J15171"/>
      <c r="K15171"/>
      <c r="L15171"/>
    </row>
    <row r="15172" spans="2:12" x14ac:dyDescent="0.2">
      <c r="B15172"/>
      <c r="C15172"/>
      <c r="J15172"/>
      <c r="K15172"/>
      <c r="L15172"/>
    </row>
    <row r="15173" spans="2:12" x14ac:dyDescent="0.2">
      <c r="B15173"/>
      <c r="C15173"/>
      <c r="J15173"/>
      <c r="K15173"/>
      <c r="L15173"/>
    </row>
    <row r="15174" spans="2:12" x14ac:dyDescent="0.2">
      <c r="B15174"/>
      <c r="C15174"/>
      <c r="J15174"/>
      <c r="K15174"/>
      <c r="L15174"/>
    </row>
    <row r="15175" spans="2:12" x14ac:dyDescent="0.2">
      <c r="B15175"/>
      <c r="C15175"/>
      <c r="J15175"/>
      <c r="K15175"/>
      <c r="L15175"/>
    </row>
    <row r="15176" spans="2:12" x14ac:dyDescent="0.2">
      <c r="B15176"/>
      <c r="C15176"/>
      <c r="J15176"/>
      <c r="K15176"/>
      <c r="L15176"/>
    </row>
    <row r="15177" spans="2:12" x14ac:dyDescent="0.2">
      <c r="B15177"/>
      <c r="C15177"/>
      <c r="J15177"/>
      <c r="K15177"/>
      <c r="L15177"/>
    </row>
    <row r="15178" spans="2:12" x14ac:dyDescent="0.2">
      <c r="B15178"/>
      <c r="C15178"/>
      <c r="J15178"/>
      <c r="K15178"/>
      <c r="L15178"/>
    </row>
    <row r="15179" spans="2:12" x14ac:dyDescent="0.2">
      <c r="B15179"/>
      <c r="C15179"/>
      <c r="J15179"/>
      <c r="K15179"/>
      <c r="L15179"/>
    </row>
    <row r="15180" spans="2:12" x14ac:dyDescent="0.2">
      <c r="B15180"/>
      <c r="C15180"/>
      <c r="J15180"/>
      <c r="K15180"/>
      <c r="L15180"/>
    </row>
    <row r="15181" spans="2:12" x14ac:dyDescent="0.2">
      <c r="B15181"/>
      <c r="C15181"/>
      <c r="J15181"/>
      <c r="K15181"/>
      <c r="L15181"/>
    </row>
    <row r="15182" spans="2:12" x14ac:dyDescent="0.2">
      <c r="B15182"/>
      <c r="C15182"/>
      <c r="J15182"/>
      <c r="K15182"/>
      <c r="L15182"/>
    </row>
    <row r="15183" spans="2:12" x14ac:dyDescent="0.2">
      <c r="B15183"/>
      <c r="C15183"/>
      <c r="J15183"/>
      <c r="K15183"/>
      <c r="L15183"/>
    </row>
    <row r="15184" spans="2:12" x14ac:dyDescent="0.2">
      <c r="B15184"/>
      <c r="C15184"/>
      <c r="J15184"/>
      <c r="K15184"/>
      <c r="L15184"/>
    </row>
    <row r="15185" spans="2:12" x14ac:dyDescent="0.2">
      <c r="B15185"/>
      <c r="C15185"/>
      <c r="J15185"/>
      <c r="K15185"/>
      <c r="L15185"/>
    </row>
    <row r="15186" spans="2:12" x14ac:dyDescent="0.2">
      <c r="B15186"/>
      <c r="C15186"/>
      <c r="J15186"/>
      <c r="K15186"/>
      <c r="L15186"/>
    </row>
    <row r="15187" spans="2:12" x14ac:dyDescent="0.2">
      <c r="B15187"/>
      <c r="C15187"/>
      <c r="J15187"/>
      <c r="K15187"/>
      <c r="L15187"/>
    </row>
    <row r="15188" spans="2:12" x14ac:dyDescent="0.2">
      <c r="B15188"/>
      <c r="C15188"/>
      <c r="J15188"/>
      <c r="K15188"/>
      <c r="L15188"/>
    </row>
    <row r="15189" spans="2:12" x14ac:dyDescent="0.2">
      <c r="B15189"/>
      <c r="C15189"/>
      <c r="J15189"/>
      <c r="K15189"/>
      <c r="L15189"/>
    </row>
    <row r="15190" spans="2:12" x14ac:dyDescent="0.2">
      <c r="B15190"/>
      <c r="C15190"/>
      <c r="J15190"/>
      <c r="K15190"/>
      <c r="L15190"/>
    </row>
    <row r="15191" spans="2:12" x14ac:dyDescent="0.2">
      <c r="B15191"/>
      <c r="C15191"/>
      <c r="J15191"/>
      <c r="K15191"/>
      <c r="L15191"/>
    </row>
    <row r="15192" spans="2:12" x14ac:dyDescent="0.2">
      <c r="B15192"/>
      <c r="C15192"/>
      <c r="J15192"/>
      <c r="K15192"/>
      <c r="L15192"/>
    </row>
    <row r="15193" spans="2:12" x14ac:dyDescent="0.2">
      <c r="B15193"/>
      <c r="C15193"/>
      <c r="J15193"/>
      <c r="K15193"/>
      <c r="L15193"/>
    </row>
    <row r="15194" spans="2:12" x14ac:dyDescent="0.2">
      <c r="B15194"/>
      <c r="C15194"/>
      <c r="J15194"/>
      <c r="K15194"/>
      <c r="L15194"/>
    </row>
    <row r="15195" spans="2:12" x14ac:dyDescent="0.2">
      <c r="B15195"/>
      <c r="C15195"/>
      <c r="J15195"/>
      <c r="K15195"/>
      <c r="L15195"/>
    </row>
    <row r="15196" spans="2:12" x14ac:dyDescent="0.2">
      <c r="B15196"/>
      <c r="C15196"/>
      <c r="J15196"/>
      <c r="K15196"/>
      <c r="L15196"/>
    </row>
    <row r="15197" spans="2:12" x14ac:dyDescent="0.2">
      <c r="B15197"/>
      <c r="C15197"/>
      <c r="J15197"/>
      <c r="K15197"/>
      <c r="L15197"/>
    </row>
    <row r="15198" spans="2:12" x14ac:dyDescent="0.2">
      <c r="B15198"/>
      <c r="C15198"/>
      <c r="J15198"/>
      <c r="K15198"/>
      <c r="L15198"/>
    </row>
    <row r="15199" spans="2:12" x14ac:dyDescent="0.2">
      <c r="B15199"/>
      <c r="C15199"/>
      <c r="J15199"/>
      <c r="K15199"/>
      <c r="L15199"/>
    </row>
    <row r="15200" spans="2:12" x14ac:dyDescent="0.2">
      <c r="B15200"/>
      <c r="C15200"/>
      <c r="J15200"/>
      <c r="K15200"/>
      <c r="L15200"/>
    </row>
    <row r="15201" spans="2:12" x14ac:dyDescent="0.2">
      <c r="B15201"/>
      <c r="C15201"/>
      <c r="J15201"/>
      <c r="K15201"/>
      <c r="L15201"/>
    </row>
    <row r="15202" spans="2:12" x14ac:dyDescent="0.2">
      <c r="B15202"/>
      <c r="C15202"/>
      <c r="J15202"/>
      <c r="K15202"/>
      <c r="L15202"/>
    </row>
    <row r="15203" spans="2:12" x14ac:dyDescent="0.2">
      <c r="B15203"/>
      <c r="C15203"/>
      <c r="J15203"/>
      <c r="K15203"/>
      <c r="L15203"/>
    </row>
    <row r="15204" spans="2:12" x14ac:dyDescent="0.2">
      <c r="B15204"/>
      <c r="C15204"/>
      <c r="J15204"/>
      <c r="K15204"/>
      <c r="L15204"/>
    </row>
    <row r="15205" spans="2:12" x14ac:dyDescent="0.2">
      <c r="B15205"/>
      <c r="C15205"/>
      <c r="J15205"/>
      <c r="K15205"/>
      <c r="L15205"/>
    </row>
    <row r="15206" spans="2:12" x14ac:dyDescent="0.2">
      <c r="B15206"/>
      <c r="C15206"/>
      <c r="J15206"/>
      <c r="K15206"/>
      <c r="L15206"/>
    </row>
    <row r="15207" spans="2:12" x14ac:dyDescent="0.2">
      <c r="B15207"/>
      <c r="C15207"/>
      <c r="J15207"/>
      <c r="K15207"/>
      <c r="L15207"/>
    </row>
    <row r="15208" spans="2:12" x14ac:dyDescent="0.2">
      <c r="B15208"/>
      <c r="C15208"/>
      <c r="J15208"/>
      <c r="K15208"/>
      <c r="L15208"/>
    </row>
    <row r="15209" spans="2:12" x14ac:dyDescent="0.2">
      <c r="B15209"/>
      <c r="C15209"/>
      <c r="J15209"/>
      <c r="K15209"/>
      <c r="L15209"/>
    </row>
    <row r="15210" spans="2:12" x14ac:dyDescent="0.2">
      <c r="B15210"/>
      <c r="C15210"/>
      <c r="J15210"/>
      <c r="K15210"/>
      <c r="L15210"/>
    </row>
    <row r="15211" spans="2:12" x14ac:dyDescent="0.2">
      <c r="B15211"/>
      <c r="C15211"/>
      <c r="J15211"/>
      <c r="K15211"/>
      <c r="L15211"/>
    </row>
    <row r="15212" spans="2:12" x14ac:dyDescent="0.2">
      <c r="B15212"/>
      <c r="C15212"/>
      <c r="J15212"/>
      <c r="K15212"/>
      <c r="L15212"/>
    </row>
    <row r="15213" spans="2:12" x14ac:dyDescent="0.2">
      <c r="B15213"/>
      <c r="C15213"/>
      <c r="J15213"/>
      <c r="K15213"/>
      <c r="L15213"/>
    </row>
    <row r="15214" spans="2:12" x14ac:dyDescent="0.2">
      <c r="B15214"/>
      <c r="C15214"/>
      <c r="J15214"/>
      <c r="K15214"/>
      <c r="L15214"/>
    </row>
    <row r="15215" spans="2:12" x14ac:dyDescent="0.2">
      <c r="B15215"/>
      <c r="C15215"/>
      <c r="J15215"/>
      <c r="K15215"/>
      <c r="L15215"/>
    </row>
    <row r="15216" spans="2:12" x14ac:dyDescent="0.2">
      <c r="B15216"/>
      <c r="C15216"/>
      <c r="J15216"/>
      <c r="K15216"/>
      <c r="L15216"/>
    </row>
    <row r="15217" spans="2:12" x14ac:dyDescent="0.2">
      <c r="B15217"/>
      <c r="C15217"/>
      <c r="J15217"/>
      <c r="K15217"/>
      <c r="L15217"/>
    </row>
    <row r="15218" spans="2:12" x14ac:dyDescent="0.2">
      <c r="B15218"/>
      <c r="C15218"/>
      <c r="J15218"/>
      <c r="K15218"/>
      <c r="L15218"/>
    </row>
    <row r="15219" spans="2:12" x14ac:dyDescent="0.2">
      <c r="B15219"/>
      <c r="C15219"/>
      <c r="J15219"/>
      <c r="K15219"/>
      <c r="L15219"/>
    </row>
    <row r="15220" spans="2:12" x14ac:dyDescent="0.2">
      <c r="B15220"/>
      <c r="C15220"/>
      <c r="J15220"/>
      <c r="K15220"/>
      <c r="L15220"/>
    </row>
    <row r="15221" spans="2:12" x14ac:dyDescent="0.2">
      <c r="B15221"/>
      <c r="C15221"/>
      <c r="J15221"/>
      <c r="K15221"/>
      <c r="L15221"/>
    </row>
    <row r="15222" spans="2:12" x14ac:dyDescent="0.2">
      <c r="B15222"/>
      <c r="C15222"/>
      <c r="J15222"/>
      <c r="K15222"/>
      <c r="L15222"/>
    </row>
    <row r="15223" spans="2:12" x14ac:dyDescent="0.2">
      <c r="B15223"/>
      <c r="C15223"/>
      <c r="J15223"/>
      <c r="K15223"/>
      <c r="L15223"/>
    </row>
    <row r="15224" spans="2:12" x14ac:dyDescent="0.2">
      <c r="B15224"/>
      <c r="C15224"/>
      <c r="J15224"/>
      <c r="K15224"/>
      <c r="L15224"/>
    </row>
    <row r="15225" spans="2:12" x14ac:dyDescent="0.2">
      <c r="B15225"/>
      <c r="C15225"/>
      <c r="J15225"/>
      <c r="K15225"/>
      <c r="L15225"/>
    </row>
    <row r="15226" spans="2:12" x14ac:dyDescent="0.2">
      <c r="B15226"/>
      <c r="C15226"/>
      <c r="J15226"/>
      <c r="K15226"/>
      <c r="L15226"/>
    </row>
    <row r="15227" spans="2:12" x14ac:dyDescent="0.2">
      <c r="B15227"/>
      <c r="C15227"/>
      <c r="J15227"/>
      <c r="K15227"/>
      <c r="L15227"/>
    </row>
    <row r="15228" spans="2:12" x14ac:dyDescent="0.2">
      <c r="B15228"/>
      <c r="C15228"/>
      <c r="J15228"/>
      <c r="K15228"/>
      <c r="L15228"/>
    </row>
    <row r="15229" spans="2:12" x14ac:dyDescent="0.2">
      <c r="B15229"/>
      <c r="C15229"/>
      <c r="J15229"/>
      <c r="K15229"/>
      <c r="L15229"/>
    </row>
    <row r="15230" spans="2:12" x14ac:dyDescent="0.2">
      <c r="B15230"/>
      <c r="C15230"/>
      <c r="J15230"/>
      <c r="K15230"/>
      <c r="L15230"/>
    </row>
    <row r="15231" spans="2:12" x14ac:dyDescent="0.2">
      <c r="B15231"/>
      <c r="C15231"/>
      <c r="J15231"/>
      <c r="K15231"/>
      <c r="L15231"/>
    </row>
    <row r="15232" spans="2:12" x14ac:dyDescent="0.2">
      <c r="B15232"/>
      <c r="C15232"/>
      <c r="J15232"/>
      <c r="K15232"/>
      <c r="L15232"/>
    </row>
    <row r="15233" spans="2:12" x14ac:dyDescent="0.2">
      <c r="B15233"/>
      <c r="C15233"/>
      <c r="J15233"/>
      <c r="K15233"/>
      <c r="L15233"/>
    </row>
    <row r="15234" spans="2:12" x14ac:dyDescent="0.2">
      <c r="B15234"/>
      <c r="C15234"/>
      <c r="J15234"/>
      <c r="K15234"/>
      <c r="L15234"/>
    </row>
    <row r="15235" spans="2:12" x14ac:dyDescent="0.2">
      <c r="B15235"/>
      <c r="C15235"/>
      <c r="J15235"/>
      <c r="K15235"/>
      <c r="L15235"/>
    </row>
    <row r="15236" spans="2:12" x14ac:dyDescent="0.2">
      <c r="B15236"/>
      <c r="C15236"/>
      <c r="J15236"/>
      <c r="K15236"/>
      <c r="L15236"/>
    </row>
    <row r="15237" spans="2:12" x14ac:dyDescent="0.2">
      <c r="B15237"/>
      <c r="C15237"/>
      <c r="J15237"/>
      <c r="K15237"/>
      <c r="L15237"/>
    </row>
    <row r="15238" spans="2:12" x14ac:dyDescent="0.2">
      <c r="B15238"/>
      <c r="C15238"/>
      <c r="J15238"/>
      <c r="K15238"/>
      <c r="L15238"/>
    </row>
    <row r="15239" spans="2:12" x14ac:dyDescent="0.2">
      <c r="B15239"/>
      <c r="C15239"/>
      <c r="J15239"/>
      <c r="K15239"/>
      <c r="L15239"/>
    </row>
    <row r="15240" spans="2:12" x14ac:dyDescent="0.2">
      <c r="B15240"/>
      <c r="C15240"/>
      <c r="J15240"/>
      <c r="K15240"/>
      <c r="L15240"/>
    </row>
    <row r="15241" spans="2:12" x14ac:dyDescent="0.2">
      <c r="B15241"/>
      <c r="C15241"/>
      <c r="J15241"/>
      <c r="K15241"/>
      <c r="L15241"/>
    </row>
    <row r="15242" spans="2:12" x14ac:dyDescent="0.2">
      <c r="B15242"/>
      <c r="C15242"/>
      <c r="J15242"/>
      <c r="K15242"/>
      <c r="L15242"/>
    </row>
    <row r="15243" spans="2:12" x14ac:dyDescent="0.2">
      <c r="B15243"/>
      <c r="C15243"/>
      <c r="J15243"/>
      <c r="K15243"/>
      <c r="L15243"/>
    </row>
    <row r="15244" spans="2:12" x14ac:dyDescent="0.2">
      <c r="B15244"/>
      <c r="C15244"/>
      <c r="J15244"/>
      <c r="K15244"/>
      <c r="L15244"/>
    </row>
    <row r="15245" spans="2:12" x14ac:dyDescent="0.2">
      <c r="B15245"/>
      <c r="C15245"/>
      <c r="J15245"/>
      <c r="K15245"/>
      <c r="L15245"/>
    </row>
    <row r="15246" spans="2:12" x14ac:dyDescent="0.2">
      <c r="B15246"/>
      <c r="C15246"/>
      <c r="J15246"/>
      <c r="K15246"/>
      <c r="L15246"/>
    </row>
    <row r="15247" spans="2:12" x14ac:dyDescent="0.2">
      <c r="B15247"/>
      <c r="C15247"/>
      <c r="J15247"/>
      <c r="K15247"/>
      <c r="L15247"/>
    </row>
    <row r="15248" spans="2:12" x14ac:dyDescent="0.2">
      <c r="B15248"/>
      <c r="C15248"/>
      <c r="J15248"/>
      <c r="K15248"/>
      <c r="L15248"/>
    </row>
    <row r="15249" spans="2:12" x14ac:dyDescent="0.2">
      <c r="B15249"/>
      <c r="C15249"/>
      <c r="J15249"/>
      <c r="K15249"/>
      <c r="L15249"/>
    </row>
    <row r="15250" spans="2:12" x14ac:dyDescent="0.2">
      <c r="B15250"/>
      <c r="C15250"/>
      <c r="J15250"/>
      <c r="K15250"/>
      <c r="L15250"/>
    </row>
    <row r="15251" spans="2:12" x14ac:dyDescent="0.2">
      <c r="B15251"/>
      <c r="C15251"/>
      <c r="J15251"/>
      <c r="K15251"/>
      <c r="L15251"/>
    </row>
    <row r="15252" spans="2:12" x14ac:dyDescent="0.2">
      <c r="B15252"/>
      <c r="C15252"/>
      <c r="J15252"/>
      <c r="K15252"/>
      <c r="L15252"/>
    </row>
    <row r="15253" spans="2:12" x14ac:dyDescent="0.2">
      <c r="B15253"/>
      <c r="C15253"/>
      <c r="J15253"/>
      <c r="K15253"/>
      <c r="L15253"/>
    </row>
    <row r="15254" spans="2:12" x14ac:dyDescent="0.2">
      <c r="B15254"/>
      <c r="C15254"/>
      <c r="J15254"/>
      <c r="K15254"/>
      <c r="L15254"/>
    </row>
    <row r="15255" spans="2:12" x14ac:dyDescent="0.2">
      <c r="B15255"/>
      <c r="C15255"/>
      <c r="J15255"/>
      <c r="K15255"/>
      <c r="L15255"/>
    </row>
    <row r="15256" spans="2:12" x14ac:dyDescent="0.2">
      <c r="B15256"/>
      <c r="C15256"/>
      <c r="J15256"/>
      <c r="K15256"/>
      <c r="L15256"/>
    </row>
    <row r="15257" spans="2:12" x14ac:dyDescent="0.2">
      <c r="B15257"/>
      <c r="C15257"/>
      <c r="J15257"/>
      <c r="K15257"/>
      <c r="L15257"/>
    </row>
    <row r="15258" spans="2:12" x14ac:dyDescent="0.2">
      <c r="B15258"/>
      <c r="C15258"/>
      <c r="J15258"/>
      <c r="K15258"/>
      <c r="L15258"/>
    </row>
    <row r="15259" spans="2:12" x14ac:dyDescent="0.2">
      <c r="B15259"/>
      <c r="C15259"/>
      <c r="J15259"/>
      <c r="K15259"/>
      <c r="L15259"/>
    </row>
    <row r="15260" spans="2:12" x14ac:dyDescent="0.2">
      <c r="B15260"/>
      <c r="C15260"/>
      <c r="J15260"/>
      <c r="K15260"/>
      <c r="L15260"/>
    </row>
    <row r="15261" spans="2:12" x14ac:dyDescent="0.2">
      <c r="B15261"/>
      <c r="C15261"/>
      <c r="J15261"/>
      <c r="K15261"/>
      <c r="L15261"/>
    </row>
    <row r="15262" spans="2:12" x14ac:dyDescent="0.2">
      <c r="B15262"/>
      <c r="C15262"/>
      <c r="J15262"/>
      <c r="K15262"/>
      <c r="L15262"/>
    </row>
    <row r="15263" spans="2:12" x14ac:dyDescent="0.2">
      <c r="B15263"/>
      <c r="C15263"/>
      <c r="J15263"/>
      <c r="K15263"/>
      <c r="L15263"/>
    </row>
    <row r="15264" spans="2:12" x14ac:dyDescent="0.2">
      <c r="B15264"/>
      <c r="C15264"/>
      <c r="J15264"/>
      <c r="K15264"/>
      <c r="L15264"/>
    </row>
    <row r="15265" spans="2:12" x14ac:dyDescent="0.2">
      <c r="B15265"/>
      <c r="C15265"/>
      <c r="J15265"/>
      <c r="K15265"/>
      <c r="L15265"/>
    </row>
    <row r="15266" spans="2:12" x14ac:dyDescent="0.2">
      <c r="B15266"/>
      <c r="C15266"/>
      <c r="J15266"/>
      <c r="K15266"/>
      <c r="L15266"/>
    </row>
    <row r="15267" spans="2:12" x14ac:dyDescent="0.2">
      <c r="B15267"/>
      <c r="C15267"/>
      <c r="J15267"/>
      <c r="K15267"/>
      <c r="L15267"/>
    </row>
    <row r="15268" spans="2:12" x14ac:dyDescent="0.2">
      <c r="B15268"/>
      <c r="C15268"/>
      <c r="J15268"/>
      <c r="K15268"/>
      <c r="L15268"/>
    </row>
    <row r="15269" spans="2:12" x14ac:dyDescent="0.2">
      <c r="B15269"/>
      <c r="C15269"/>
      <c r="J15269"/>
      <c r="K15269"/>
      <c r="L15269"/>
    </row>
    <row r="15270" spans="2:12" x14ac:dyDescent="0.2">
      <c r="B15270"/>
      <c r="C15270"/>
      <c r="J15270"/>
      <c r="K15270"/>
      <c r="L15270"/>
    </row>
    <row r="15271" spans="2:12" x14ac:dyDescent="0.2">
      <c r="B15271"/>
      <c r="C15271"/>
      <c r="J15271"/>
      <c r="K15271"/>
      <c r="L15271"/>
    </row>
    <row r="15272" spans="2:12" x14ac:dyDescent="0.2">
      <c r="B15272"/>
      <c r="C15272"/>
      <c r="J15272"/>
      <c r="K15272"/>
      <c r="L15272"/>
    </row>
    <row r="15273" spans="2:12" x14ac:dyDescent="0.2">
      <c r="B15273"/>
      <c r="C15273"/>
      <c r="J15273"/>
      <c r="K15273"/>
      <c r="L15273"/>
    </row>
    <row r="15274" spans="2:12" x14ac:dyDescent="0.2">
      <c r="B15274"/>
      <c r="C15274"/>
      <c r="J15274"/>
      <c r="K15274"/>
      <c r="L15274"/>
    </row>
    <row r="15275" spans="2:12" x14ac:dyDescent="0.2">
      <c r="B15275"/>
      <c r="C15275"/>
      <c r="J15275"/>
      <c r="K15275"/>
      <c r="L15275"/>
    </row>
    <row r="15276" spans="2:12" x14ac:dyDescent="0.2">
      <c r="B15276"/>
      <c r="C15276"/>
      <c r="J15276"/>
      <c r="K15276"/>
      <c r="L15276"/>
    </row>
    <row r="15277" spans="2:12" x14ac:dyDescent="0.2">
      <c r="B15277"/>
      <c r="C15277"/>
      <c r="J15277"/>
      <c r="K15277"/>
      <c r="L15277"/>
    </row>
    <row r="15278" spans="2:12" x14ac:dyDescent="0.2">
      <c r="B15278"/>
      <c r="C15278"/>
      <c r="J15278"/>
      <c r="K15278"/>
      <c r="L15278"/>
    </row>
    <row r="15279" spans="2:12" x14ac:dyDescent="0.2">
      <c r="B15279"/>
      <c r="C15279"/>
      <c r="J15279"/>
      <c r="K15279"/>
      <c r="L15279"/>
    </row>
    <row r="15280" spans="2:12" x14ac:dyDescent="0.2">
      <c r="B15280"/>
      <c r="C15280"/>
      <c r="J15280"/>
      <c r="K15280"/>
      <c r="L15280"/>
    </row>
    <row r="15281" spans="2:12" x14ac:dyDescent="0.2">
      <c r="B15281"/>
      <c r="C15281"/>
      <c r="J15281"/>
      <c r="K15281"/>
      <c r="L15281"/>
    </row>
    <row r="15282" spans="2:12" x14ac:dyDescent="0.2">
      <c r="B15282"/>
      <c r="C15282"/>
      <c r="J15282"/>
      <c r="K15282"/>
      <c r="L15282"/>
    </row>
    <row r="15283" spans="2:12" x14ac:dyDescent="0.2">
      <c r="B15283"/>
      <c r="C15283"/>
      <c r="J15283"/>
      <c r="K15283"/>
      <c r="L15283"/>
    </row>
    <row r="15284" spans="2:12" x14ac:dyDescent="0.2">
      <c r="B15284"/>
      <c r="C15284"/>
      <c r="J15284"/>
      <c r="K15284"/>
      <c r="L15284"/>
    </row>
    <row r="15285" spans="2:12" x14ac:dyDescent="0.2">
      <c r="B15285"/>
      <c r="C15285"/>
      <c r="J15285"/>
      <c r="K15285"/>
      <c r="L15285"/>
    </row>
    <row r="15286" spans="2:12" x14ac:dyDescent="0.2">
      <c r="B15286"/>
      <c r="C15286"/>
      <c r="J15286"/>
      <c r="K15286"/>
      <c r="L15286"/>
    </row>
    <row r="15287" spans="2:12" x14ac:dyDescent="0.2">
      <c r="B15287"/>
      <c r="C15287"/>
      <c r="J15287"/>
      <c r="K15287"/>
      <c r="L15287"/>
    </row>
    <row r="15288" spans="2:12" x14ac:dyDescent="0.2">
      <c r="B15288"/>
      <c r="C15288"/>
      <c r="J15288"/>
      <c r="K15288"/>
      <c r="L15288"/>
    </row>
    <row r="15289" spans="2:12" x14ac:dyDescent="0.2">
      <c r="B15289"/>
      <c r="C15289"/>
      <c r="J15289"/>
      <c r="K15289"/>
      <c r="L15289"/>
    </row>
    <row r="15290" spans="2:12" x14ac:dyDescent="0.2">
      <c r="B15290"/>
      <c r="C15290"/>
      <c r="J15290"/>
      <c r="K15290"/>
      <c r="L15290"/>
    </row>
    <row r="15291" spans="2:12" x14ac:dyDescent="0.2">
      <c r="B15291"/>
      <c r="C15291"/>
      <c r="J15291"/>
      <c r="K15291"/>
      <c r="L15291"/>
    </row>
    <row r="15292" spans="2:12" x14ac:dyDescent="0.2">
      <c r="B15292"/>
      <c r="C15292"/>
      <c r="J15292"/>
      <c r="K15292"/>
      <c r="L15292"/>
    </row>
    <row r="15293" spans="2:12" x14ac:dyDescent="0.2">
      <c r="B15293"/>
      <c r="C15293"/>
      <c r="J15293"/>
      <c r="K15293"/>
      <c r="L15293"/>
    </row>
    <row r="15294" spans="2:12" x14ac:dyDescent="0.2">
      <c r="B15294"/>
      <c r="C15294"/>
      <c r="J15294"/>
      <c r="K15294"/>
      <c r="L15294"/>
    </row>
    <row r="15295" spans="2:12" x14ac:dyDescent="0.2">
      <c r="B15295"/>
      <c r="C15295"/>
      <c r="J15295"/>
      <c r="K15295"/>
      <c r="L15295"/>
    </row>
    <row r="15296" spans="2:12" x14ac:dyDescent="0.2">
      <c r="B15296"/>
      <c r="C15296"/>
      <c r="J15296"/>
      <c r="K15296"/>
      <c r="L15296"/>
    </row>
    <row r="15297" spans="2:12" x14ac:dyDescent="0.2">
      <c r="B15297"/>
      <c r="C15297"/>
      <c r="J15297"/>
      <c r="K15297"/>
      <c r="L15297"/>
    </row>
    <row r="15298" spans="2:12" x14ac:dyDescent="0.2">
      <c r="B15298"/>
      <c r="C15298"/>
      <c r="J15298"/>
      <c r="K15298"/>
      <c r="L15298"/>
    </row>
    <row r="15299" spans="2:12" x14ac:dyDescent="0.2">
      <c r="B15299"/>
      <c r="C15299"/>
      <c r="J15299"/>
      <c r="K15299"/>
      <c r="L15299"/>
    </row>
    <row r="15300" spans="2:12" x14ac:dyDescent="0.2">
      <c r="B15300"/>
      <c r="C15300"/>
      <c r="J15300"/>
      <c r="K15300"/>
      <c r="L15300"/>
    </row>
    <row r="15301" spans="2:12" x14ac:dyDescent="0.2">
      <c r="B15301"/>
      <c r="C15301"/>
      <c r="J15301"/>
      <c r="K15301"/>
      <c r="L15301"/>
    </row>
    <row r="15302" spans="2:12" x14ac:dyDescent="0.2">
      <c r="B15302"/>
      <c r="C15302"/>
      <c r="J15302"/>
      <c r="K15302"/>
      <c r="L15302"/>
    </row>
    <row r="15303" spans="2:12" x14ac:dyDescent="0.2">
      <c r="B15303"/>
      <c r="C15303"/>
      <c r="J15303"/>
      <c r="K15303"/>
      <c r="L15303"/>
    </row>
    <row r="15304" spans="2:12" x14ac:dyDescent="0.2">
      <c r="B15304"/>
      <c r="C15304"/>
      <c r="J15304"/>
      <c r="K15304"/>
      <c r="L15304"/>
    </row>
    <row r="15305" spans="2:12" x14ac:dyDescent="0.2">
      <c r="B15305"/>
      <c r="C15305"/>
      <c r="J15305"/>
      <c r="K15305"/>
      <c r="L15305"/>
    </row>
    <row r="15306" spans="2:12" x14ac:dyDescent="0.2">
      <c r="B15306"/>
      <c r="C15306"/>
      <c r="J15306"/>
      <c r="K15306"/>
      <c r="L15306"/>
    </row>
    <row r="15307" spans="2:12" x14ac:dyDescent="0.2">
      <c r="B15307"/>
      <c r="C15307"/>
      <c r="J15307"/>
      <c r="K15307"/>
      <c r="L15307"/>
    </row>
    <row r="15308" spans="2:12" x14ac:dyDescent="0.2">
      <c r="B15308"/>
      <c r="C15308"/>
      <c r="J15308"/>
      <c r="K15308"/>
      <c r="L15308"/>
    </row>
    <row r="15309" spans="2:12" x14ac:dyDescent="0.2">
      <c r="B15309"/>
      <c r="C15309"/>
      <c r="J15309"/>
      <c r="K15309"/>
      <c r="L15309"/>
    </row>
    <row r="15310" spans="2:12" x14ac:dyDescent="0.2">
      <c r="B15310"/>
      <c r="C15310"/>
      <c r="J15310"/>
      <c r="K15310"/>
      <c r="L15310"/>
    </row>
    <row r="15311" spans="2:12" x14ac:dyDescent="0.2">
      <c r="B15311"/>
      <c r="C15311"/>
      <c r="J15311"/>
      <c r="K15311"/>
      <c r="L15311"/>
    </row>
    <row r="15312" spans="2:12" x14ac:dyDescent="0.2">
      <c r="B15312"/>
      <c r="C15312"/>
      <c r="J15312"/>
      <c r="K15312"/>
      <c r="L15312"/>
    </row>
    <row r="15313" spans="2:12" x14ac:dyDescent="0.2">
      <c r="B15313"/>
      <c r="C15313"/>
      <c r="J15313"/>
      <c r="K15313"/>
      <c r="L15313"/>
    </row>
    <row r="15314" spans="2:12" x14ac:dyDescent="0.2">
      <c r="B15314"/>
      <c r="C15314"/>
      <c r="J15314"/>
      <c r="K15314"/>
      <c r="L15314"/>
    </row>
    <row r="15315" spans="2:12" x14ac:dyDescent="0.2">
      <c r="B15315"/>
      <c r="C15315"/>
      <c r="J15315"/>
      <c r="K15315"/>
      <c r="L15315"/>
    </row>
    <row r="15316" spans="2:12" x14ac:dyDescent="0.2">
      <c r="B15316"/>
      <c r="C15316"/>
      <c r="J15316"/>
      <c r="K15316"/>
      <c r="L15316"/>
    </row>
    <row r="15317" spans="2:12" x14ac:dyDescent="0.2">
      <c r="B15317"/>
      <c r="C15317"/>
      <c r="J15317"/>
      <c r="K15317"/>
      <c r="L15317"/>
    </row>
    <row r="15318" spans="2:12" x14ac:dyDescent="0.2">
      <c r="B15318"/>
      <c r="C15318"/>
      <c r="J15318"/>
      <c r="K15318"/>
      <c r="L15318"/>
    </row>
    <row r="15319" spans="2:12" x14ac:dyDescent="0.2">
      <c r="B15319"/>
      <c r="C15319"/>
      <c r="J15319"/>
      <c r="K15319"/>
      <c r="L15319"/>
    </row>
    <row r="15320" spans="2:12" x14ac:dyDescent="0.2">
      <c r="B15320"/>
      <c r="C15320"/>
      <c r="J15320"/>
      <c r="K15320"/>
      <c r="L15320"/>
    </row>
    <row r="15321" spans="2:12" x14ac:dyDescent="0.2">
      <c r="B15321"/>
      <c r="C15321"/>
      <c r="J15321"/>
      <c r="K15321"/>
      <c r="L15321"/>
    </row>
    <row r="15322" spans="2:12" x14ac:dyDescent="0.2">
      <c r="B15322"/>
      <c r="C15322"/>
      <c r="J15322"/>
      <c r="K15322"/>
      <c r="L15322"/>
    </row>
    <row r="15323" spans="2:12" x14ac:dyDescent="0.2">
      <c r="B15323"/>
      <c r="C15323"/>
      <c r="J15323"/>
      <c r="K15323"/>
      <c r="L15323"/>
    </row>
    <row r="15324" spans="2:12" x14ac:dyDescent="0.2">
      <c r="B15324"/>
      <c r="C15324"/>
      <c r="J15324"/>
      <c r="K15324"/>
      <c r="L15324"/>
    </row>
    <row r="15325" spans="2:12" x14ac:dyDescent="0.2">
      <c r="B15325"/>
      <c r="C15325"/>
      <c r="J15325"/>
      <c r="K15325"/>
      <c r="L15325"/>
    </row>
    <row r="15326" spans="2:12" x14ac:dyDescent="0.2">
      <c r="B15326"/>
      <c r="C15326"/>
      <c r="J15326"/>
      <c r="K15326"/>
      <c r="L15326"/>
    </row>
    <row r="15327" spans="2:12" x14ac:dyDescent="0.2">
      <c r="B15327"/>
      <c r="C15327"/>
      <c r="J15327"/>
      <c r="K15327"/>
      <c r="L15327"/>
    </row>
    <row r="15328" spans="2:12" x14ac:dyDescent="0.2">
      <c r="B15328"/>
      <c r="C15328"/>
      <c r="J15328"/>
      <c r="K15328"/>
      <c r="L15328"/>
    </row>
    <row r="15329" spans="2:12" x14ac:dyDescent="0.2">
      <c r="B15329"/>
      <c r="C15329"/>
      <c r="J15329"/>
      <c r="K15329"/>
      <c r="L15329"/>
    </row>
    <row r="15330" spans="2:12" x14ac:dyDescent="0.2">
      <c r="B15330"/>
      <c r="C15330"/>
      <c r="J15330"/>
      <c r="K15330"/>
      <c r="L15330"/>
    </row>
    <row r="15331" spans="2:12" x14ac:dyDescent="0.2">
      <c r="B15331"/>
      <c r="C15331"/>
      <c r="J15331"/>
      <c r="K15331"/>
      <c r="L15331"/>
    </row>
    <row r="15332" spans="2:12" x14ac:dyDescent="0.2">
      <c r="B15332"/>
      <c r="C15332"/>
      <c r="J15332"/>
      <c r="K15332"/>
      <c r="L15332"/>
    </row>
    <row r="15333" spans="2:12" x14ac:dyDescent="0.2">
      <c r="B15333"/>
      <c r="C15333"/>
      <c r="J15333"/>
      <c r="K15333"/>
      <c r="L15333"/>
    </row>
    <row r="15334" spans="2:12" x14ac:dyDescent="0.2">
      <c r="B15334"/>
      <c r="C15334"/>
      <c r="J15334"/>
      <c r="K15334"/>
      <c r="L15334"/>
    </row>
    <row r="15335" spans="2:12" x14ac:dyDescent="0.2">
      <c r="B15335"/>
      <c r="C15335"/>
      <c r="J15335"/>
      <c r="K15335"/>
      <c r="L15335"/>
    </row>
    <row r="15336" spans="2:12" x14ac:dyDescent="0.2">
      <c r="B15336"/>
      <c r="C15336"/>
      <c r="J15336"/>
      <c r="K15336"/>
      <c r="L15336"/>
    </row>
    <row r="15337" spans="2:12" x14ac:dyDescent="0.2">
      <c r="B15337"/>
      <c r="C15337"/>
      <c r="J15337"/>
      <c r="K15337"/>
      <c r="L15337"/>
    </row>
    <row r="15338" spans="2:12" x14ac:dyDescent="0.2">
      <c r="B15338"/>
      <c r="C15338"/>
      <c r="J15338"/>
      <c r="K15338"/>
      <c r="L15338"/>
    </row>
    <row r="15339" spans="2:12" x14ac:dyDescent="0.2">
      <c r="B15339"/>
      <c r="C15339"/>
      <c r="J15339"/>
      <c r="K15339"/>
      <c r="L15339"/>
    </row>
    <row r="15340" spans="2:12" x14ac:dyDescent="0.2">
      <c r="B15340"/>
      <c r="C15340"/>
      <c r="J15340"/>
      <c r="K15340"/>
      <c r="L15340"/>
    </row>
    <row r="15341" spans="2:12" x14ac:dyDescent="0.2">
      <c r="B15341"/>
      <c r="C15341"/>
      <c r="J15341"/>
      <c r="K15341"/>
      <c r="L15341"/>
    </row>
    <row r="15342" spans="2:12" x14ac:dyDescent="0.2">
      <c r="B15342"/>
      <c r="C15342"/>
      <c r="J15342"/>
      <c r="K15342"/>
      <c r="L15342"/>
    </row>
    <row r="15343" spans="2:12" x14ac:dyDescent="0.2">
      <c r="B15343"/>
      <c r="C15343"/>
      <c r="J15343"/>
      <c r="K15343"/>
      <c r="L15343"/>
    </row>
    <row r="15344" spans="2:12" x14ac:dyDescent="0.2">
      <c r="B15344"/>
      <c r="C15344"/>
      <c r="J15344"/>
      <c r="K15344"/>
      <c r="L15344"/>
    </row>
    <row r="15345" spans="2:12" x14ac:dyDescent="0.2">
      <c r="B15345"/>
      <c r="C15345"/>
      <c r="J15345"/>
      <c r="K15345"/>
      <c r="L15345"/>
    </row>
    <row r="15346" spans="2:12" x14ac:dyDescent="0.2">
      <c r="B15346"/>
      <c r="C15346"/>
      <c r="J15346"/>
      <c r="K15346"/>
      <c r="L15346"/>
    </row>
    <row r="15347" spans="2:12" x14ac:dyDescent="0.2">
      <c r="B15347"/>
      <c r="C15347"/>
      <c r="J15347"/>
      <c r="K15347"/>
      <c r="L15347"/>
    </row>
    <row r="15348" spans="2:12" x14ac:dyDescent="0.2">
      <c r="B15348"/>
      <c r="C15348"/>
      <c r="J15348"/>
      <c r="K15348"/>
      <c r="L15348"/>
    </row>
    <row r="15349" spans="2:12" x14ac:dyDescent="0.2">
      <c r="B15349"/>
      <c r="C15349"/>
      <c r="J15349"/>
      <c r="K15349"/>
      <c r="L15349"/>
    </row>
    <row r="15350" spans="2:12" x14ac:dyDescent="0.2">
      <c r="B15350"/>
      <c r="C15350"/>
      <c r="J15350"/>
      <c r="K15350"/>
      <c r="L15350"/>
    </row>
    <row r="15351" spans="2:12" x14ac:dyDescent="0.2">
      <c r="B15351"/>
      <c r="C15351"/>
      <c r="J15351"/>
      <c r="K15351"/>
      <c r="L15351"/>
    </row>
    <row r="15352" spans="2:12" x14ac:dyDescent="0.2">
      <c r="B15352"/>
      <c r="C15352"/>
      <c r="J15352"/>
      <c r="K15352"/>
      <c r="L15352"/>
    </row>
    <row r="15353" spans="2:12" x14ac:dyDescent="0.2">
      <c r="B15353"/>
      <c r="C15353"/>
      <c r="J15353"/>
      <c r="K15353"/>
      <c r="L15353"/>
    </row>
    <row r="15354" spans="2:12" x14ac:dyDescent="0.2">
      <c r="B15354"/>
      <c r="C15354"/>
      <c r="J15354"/>
      <c r="K15354"/>
      <c r="L15354"/>
    </row>
    <row r="15355" spans="2:12" x14ac:dyDescent="0.2">
      <c r="B15355"/>
      <c r="C15355"/>
      <c r="J15355"/>
      <c r="K15355"/>
      <c r="L15355"/>
    </row>
    <row r="15356" spans="2:12" x14ac:dyDescent="0.2">
      <c r="B15356"/>
      <c r="C15356"/>
      <c r="J15356"/>
      <c r="K15356"/>
      <c r="L15356"/>
    </row>
    <row r="15357" spans="2:12" x14ac:dyDescent="0.2">
      <c r="B15357"/>
      <c r="C15357"/>
      <c r="J15357"/>
      <c r="K15357"/>
      <c r="L15357"/>
    </row>
    <row r="15358" spans="2:12" x14ac:dyDescent="0.2">
      <c r="B15358"/>
      <c r="C15358"/>
      <c r="J15358"/>
      <c r="K15358"/>
      <c r="L15358"/>
    </row>
    <row r="15359" spans="2:12" x14ac:dyDescent="0.2">
      <c r="B15359"/>
      <c r="C15359"/>
      <c r="J15359"/>
      <c r="K15359"/>
      <c r="L15359"/>
    </row>
    <row r="15360" spans="2:12" x14ac:dyDescent="0.2">
      <c r="B15360"/>
      <c r="C15360"/>
      <c r="J15360"/>
      <c r="K15360"/>
      <c r="L15360"/>
    </row>
    <row r="15361" spans="2:12" x14ac:dyDescent="0.2">
      <c r="B15361"/>
      <c r="C15361"/>
      <c r="J15361"/>
      <c r="K15361"/>
      <c r="L15361"/>
    </row>
    <row r="15362" spans="2:12" x14ac:dyDescent="0.2">
      <c r="B15362"/>
      <c r="C15362"/>
      <c r="J15362"/>
      <c r="K15362"/>
      <c r="L15362"/>
    </row>
    <row r="15363" spans="2:12" x14ac:dyDescent="0.2">
      <c r="B15363"/>
      <c r="C15363"/>
      <c r="J15363"/>
      <c r="K15363"/>
      <c r="L15363"/>
    </row>
    <row r="15364" spans="2:12" x14ac:dyDescent="0.2">
      <c r="B15364"/>
      <c r="C15364"/>
      <c r="J15364"/>
      <c r="K15364"/>
      <c r="L15364"/>
    </row>
    <row r="15365" spans="2:12" x14ac:dyDescent="0.2">
      <c r="B15365"/>
      <c r="C15365"/>
      <c r="J15365"/>
      <c r="K15365"/>
      <c r="L15365"/>
    </row>
    <row r="15366" spans="2:12" x14ac:dyDescent="0.2">
      <c r="B15366"/>
      <c r="C15366"/>
      <c r="J15366"/>
      <c r="K15366"/>
      <c r="L15366"/>
    </row>
    <row r="15367" spans="2:12" x14ac:dyDescent="0.2">
      <c r="B15367"/>
      <c r="C15367"/>
      <c r="J15367"/>
      <c r="K15367"/>
      <c r="L15367"/>
    </row>
    <row r="15368" spans="2:12" x14ac:dyDescent="0.2">
      <c r="B15368"/>
      <c r="C15368"/>
      <c r="J15368"/>
      <c r="K15368"/>
      <c r="L15368"/>
    </row>
    <row r="15369" spans="2:12" x14ac:dyDescent="0.2">
      <c r="B15369"/>
      <c r="C15369"/>
      <c r="J15369"/>
      <c r="K15369"/>
      <c r="L15369"/>
    </row>
    <row r="15370" spans="2:12" x14ac:dyDescent="0.2">
      <c r="B15370"/>
      <c r="C15370"/>
      <c r="J15370"/>
      <c r="K15370"/>
      <c r="L15370"/>
    </row>
    <row r="15371" spans="2:12" x14ac:dyDescent="0.2">
      <c r="B15371"/>
      <c r="C15371"/>
      <c r="J15371"/>
      <c r="K15371"/>
      <c r="L15371"/>
    </row>
    <row r="15372" spans="2:12" x14ac:dyDescent="0.2">
      <c r="B15372"/>
      <c r="C15372"/>
      <c r="J15372"/>
      <c r="K15372"/>
      <c r="L15372"/>
    </row>
    <row r="15373" spans="2:12" x14ac:dyDescent="0.2">
      <c r="B15373"/>
      <c r="C15373"/>
      <c r="J15373"/>
      <c r="K15373"/>
      <c r="L15373"/>
    </row>
    <row r="15374" spans="2:12" x14ac:dyDescent="0.2">
      <c r="B15374"/>
      <c r="C15374"/>
      <c r="J15374"/>
      <c r="K15374"/>
      <c r="L15374"/>
    </row>
    <row r="15375" spans="2:12" x14ac:dyDescent="0.2">
      <c r="B15375"/>
      <c r="C15375"/>
      <c r="J15375"/>
      <c r="K15375"/>
      <c r="L15375"/>
    </row>
    <row r="15376" spans="2:12" x14ac:dyDescent="0.2">
      <c r="B15376"/>
      <c r="C15376"/>
      <c r="J15376"/>
      <c r="K15376"/>
      <c r="L15376"/>
    </row>
    <row r="15377" spans="2:12" x14ac:dyDescent="0.2">
      <c r="B15377"/>
      <c r="C15377"/>
      <c r="J15377"/>
      <c r="K15377"/>
      <c r="L15377"/>
    </row>
    <row r="15378" spans="2:12" x14ac:dyDescent="0.2">
      <c r="B15378"/>
      <c r="C15378"/>
      <c r="J15378"/>
      <c r="K15378"/>
      <c r="L15378"/>
    </row>
    <row r="15379" spans="2:12" x14ac:dyDescent="0.2">
      <c r="B15379"/>
      <c r="C15379"/>
      <c r="J15379"/>
      <c r="K15379"/>
      <c r="L15379"/>
    </row>
    <row r="15380" spans="2:12" x14ac:dyDescent="0.2">
      <c r="B15380"/>
      <c r="C15380"/>
      <c r="J15380"/>
      <c r="K15380"/>
      <c r="L15380"/>
    </row>
    <row r="15381" spans="2:12" x14ac:dyDescent="0.2">
      <c r="B15381"/>
      <c r="C15381"/>
      <c r="J15381"/>
      <c r="K15381"/>
      <c r="L15381"/>
    </row>
    <row r="15382" spans="2:12" x14ac:dyDescent="0.2">
      <c r="B15382"/>
      <c r="C15382"/>
      <c r="J15382"/>
      <c r="K15382"/>
      <c r="L15382"/>
    </row>
    <row r="15383" spans="2:12" x14ac:dyDescent="0.2">
      <c r="B15383"/>
      <c r="C15383"/>
      <c r="J15383"/>
      <c r="K15383"/>
      <c r="L15383"/>
    </row>
    <row r="15384" spans="2:12" x14ac:dyDescent="0.2">
      <c r="B15384"/>
      <c r="C15384"/>
      <c r="J15384"/>
      <c r="K15384"/>
      <c r="L15384"/>
    </row>
    <row r="15385" spans="2:12" x14ac:dyDescent="0.2">
      <c r="B15385"/>
      <c r="C15385"/>
      <c r="J15385"/>
      <c r="K15385"/>
      <c r="L15385"/>
    </row>
    <row r="15386" spans="2:12" x14ac:dyDescent="0.2">
      <c r="B15386"/>
      <c r="C15386"/>
      <c r="J15386"/>
      <c r="K15386"/>
      <c r="L15386"/>
    </row>
    <row r="15387" spans="2:12" x14ac:dyDescent="0.2">
      <c r="B15387"/>
      <c r="C15387"/>
      <c r="J15387"/>
      <c r="K15387"/>
      <c r="L15387"/>
    </row>
    <row r="15388" spans="2:12" x14ac:dyDescent="0.2">
      <c r="B15388"/>
      <c r="C15388"/>
      <c r="J15388"/>
      <c r="K15388"/>
      <c r="L15388"/>
    </row>
    <row r="15389" spans="2:12" x14ac:dyDescent="0.2">
      <c r="B15389"/>
      <c r="C15389"/>
      <c r="J15389"/>
      <c r="K15389"/>
      <c r="L15389"/>
    </row>
    <row r="15390" spans="2:12" x14ac:dyDescent="0.2">
      <c r="B15390"/>
      <c r="C15390"/>
      <c r="J15390"/>
      <c r="K15390"/>
      <c r="L15390"/>
    </row>
    <row r="15391" spans="2:12" x14ac:dyDescent="0.2">
      <c r="B15391"/>
      <c r="C15391"/>
      <c r="J15391"/>
      <c r="K15391"/>
      <c r="L15391"/>
    </row>
    <row r="15392" spans="2:12" x14ac:dyDescent="0.2">
      <c r="B15392"/>
      <c r="C15392"/>
      <c r="J15392"/>
      <c r="K15392"/>
      <c r="L15392"/>
    </row>
    <row r="15393" spans="2:12" x14ac:dyDescent="0.2">
      <c r="B15393"/>
      <c r="C15393"/>
      <c r="J15393"/>
      <c r="K15393"/>
      <c r="L15393"/>
    </row>
    <row r="15394" spans="2:12" x14ac:dyDescent="0.2">
      <c r="B15394"/>
      <c r="C15394"/>
      <c r="J15394"/>
      <c r="K15394"/>
      <c r="L15394"/>
    </row>
    <row r="15395" spans="2:12" x14ac:dyDescent="0.2">
      <c r="B15395"/>
      <c r="C15395"/>
      <c r="J15395"/>
      <c r="K15395"/>
      <c r="L15395"/>
    </row>
    <row r="15396" spans="2:12" x14ac:dyDescent="0.2">
      <c r="B15396"/>
      <c r="C15396"/>
      <c r="J15396"/>
      <c r="K15396"/>
      <c r="L15396"/>
    </row>
    <row r="15397" spans="2:12" x14ac:dyDescent="0.2">
      <c r="B15397"/>
      <c r="C15397"/>
      <c r="J15397"/>
      <c r="K15397"/>
      <c r="L15397"/>
    </row>
    <row r="15398" spans="2:12" x14ac:dyDescent="0.2">
      <c r="B15398"/>
      <c r="C15398"/>
      <c r="J15398"/>
      <c r="K15398"/>
      <c r="L15398"/>
    </row>
    <row r="15399" spans="2:12" x14ac:dyDescent="0.2">
      <c r="B15399"/>
      <c r="C15399"/>
      <c r="J15399"/>
      <c r="K15399"/>
      <c r="L15399"/>
    </row>
    <row r="15400" spans="2:12" x14ac:dyDescent="0.2">
      <c r="B15400"/>
      <c r="C15400"/>
      <c r="J15400"/>
      <c r="K15400"/>
      <c r="L15400"/>
    </row>
    <row r="15401" spans="2:12" x14ac:dyDescent="0.2">
      <c r="B15401"/>
      <c r="C15401"/>
      <c r="J15401"/>
      <c r="K15401"/>
      <c r="L15401"/>
    </row>
    <row r="15402" spans="2:12" x14ac:dyDescent="0.2">
      <c r="B15402"/>
      <c r="C15402"/>
      <c r="J15402"/>
      <c r="K15402"/>
      <c r="L15402"/>
    </row>
    <row r="15403" spans="2:12" x14ac:dyDescent="0.2">
      <c r="B15403"/>
      <c r="C15403"/>
      <c r="J15403"/>
      <c r="K15403"/>
      <c r="L15403"/>
    </row>
    <row r="15404" spans="2:12" x14ac:dyDescent="0.2">
      <c r="B15404"/>
      <c r="C15404"/>
      <c r="J15404"/>
      <c r="K15404"/>
      <c r="L15404"/>
    </row>
    <row r="15405" spans="2:12" x14ac:dyDescent="0.2">
      <c r="B15405"/>
      <c r="C15405"/>
      <c r="J15405"/>
      <c r="K15405"/>
      <c r="L15405"/>
    </row>
    <row r="15406" spans="2:12" x14ac:dyDescent="0.2">
      <c r="B15406"/>
      <c r="C15406"/>
      <c r="J15406"/>
      <c r="K15406"/>
      <c r="L15406"/>
    </row>
    <row r="15407" spans="2:12" x14ac:dyDescent="0.2">
      <c r="B15407"/>
      <c r="C15407"/>
      <c r="J15407"/>
      <c r="K15407"/>
      <c r="L15407"/>
    </row>
    <row r="15408" spans="2:12" x14ac:dyDescent="0.2">
      <c r="B15408"/>
      <c r="C15408"/>
      <c r="J15408"/>
      <c r="K15408"/>
      <c r="L15408"/>
    </row>
    <row r="15409" spans="2:12" x14ac:dyDescent="0.2">
      <c r="B15409"/>
      <c r="C15409"/>
      <c r="J15409"/>
      <c r="K15409"/>
      <c r="L15409"/>
    </row>
    <row r="15410" spans="2:12" x14ac:dyDescent="0.2">
      <c r="B15410"/>
      <c r="C15410"/>
      <c r="J15410"/>
      <c r="K15410"/>
      <c r="L15410"/>
    </row>
    <row r="15411" spans="2:12" x14ac:dyDescent="0.2">
      <c r="B15411"/>
      <c r="C15411"/>
      <c r="J15411"/>
      <c r="K15411"/>
      <c r="L15411"/>
    </row>
    <row r="15412" spans="2:12" x14ac:dyDescent="0.2">
      <c r="B15412"/>
      <c r="C15412"/>
      <c r="J15412"/>
      <c r="K15412"/>
      <c r="L15412"/>
    </row>
    <row r="15413" spans="2:12" x14ac:dyDescent="0.2">
      <c r="B15413"/>
      <c r="C15413"/>
      <c r="J15413"/>
      <c r="K15413"/>
      <c r="L15413"/>
    </row>
    <row r="15414" spans="2:12" x14ac:dyDescent="0.2">
      <c r="B15414"/>
      <c r="C15414"/>
      <c r="J15414"/>
      <c r="K15414"/>
      <c r="L15414"/>
    </row>
    <row r="15415" spans="2:12" x14ac:dyDescent="0.2">
      <c r="B15415"/>
      <c r="C15415"/>
      <c r="J15415"/>
      <c r="K15415"/>
      <c r="L15415"/>
    </row>
    <row r="15416" spans="2:12" x14ac:dyDescent="0.2">
      <c r="B15416"/>
      <c r="C15416"/>
      <c r="J15416"/>
      <c r="K15416"/>
      <c r="L15416"/>
    </row>
    <row r="15417" spans="2:12" x14ac:dyDescent="0.2">
      <c r="B15417"/>
      <c r="C15417"/>
      <c r="J15417"/>
      <c r="K15417"/>
      <c r="L15417"/>
    </row>
    <row r="15418" spans="2:12" x14ac:dyDescent="0.2">
      <c r="B15418"/>
      <c r="C15418"/>
      <c r="J15418"/>
      <c r="K15418"/>
      <c r="L15418"/>
    </row>
    <row r="15419" spans="2:12" x14ac:dyDescent="0.2">
      <c r="B15419"/>
      <c r="C15419"/>
      <c r="J15419"/>
      <c r="K15419"/>
      <c r="L15419"/>
    </row>
    <row r="15420" spans="2:12" x14ac:dyDescent="0.2">
      <c r="B15420"/>
      <c r="C15420"/>
      <c r="J15420"/>
      <c r="K15420"/>
      <c r="L15420"/>
    </row>
    <row r="15421" spans="2:12" x14ac:dyDescent="0.2">
      <c r="B15421"/>
      <c r="C15421"/>
      <c r="J15421"/>
      <c r="K15421"/>
      <c r="L15421"/>
    </row>
    <row r="15422" spans="2:12" x14ac:dyDescent="0.2">
      <c r="B15422"/>
      <c r="C15422"/>
      <c r="J15422"/>
      <c r="K15422"/>
      <c r="L15422"/>
    </row>
    <row r="15423" spans="2:12" x14ac:dyDescent="0.2">
      <c r="B15423"/>
      <c r="C15423"/>
      <c r="J15423"/>
      <c r="K15423"/>
      <c r="L15423"/>
    </row>
    <row r="15424" spans="2:12" x14ac:dyDescent="0.2">
      <c r="B15424"/>
      <c r="C15424"/>
      <c r="J15424"/>
      <c r="K15424"/>
      <c r="L15424"/>
    </row>
    <row r="15425" spans="2:12" x14ac:dyDescent="0.2">
      <c r="B15425"/>
      <c r="C15425"/>
      <c r="J15425"/>
      <c r="K15425"/>
      <c r="L15425"/>
    </row>
    <row r="15426" spans="2:12" x14ac:dyDescent="0.2">
      <c r="B15426"/>
      <c r="C15426"/>
      <c r="J15426"/>
      <c r="K15426"/>
      <c r="L15426"/>
    </row>
    <row r="15427" spans="2:12" x14ac:dyDescent="0.2">
      <c r="B15427"/>
      <c r="C15427"/>
      <c r="J15427"/>
      <c r="K15427"/>
      <c r="L15427"/>
    </row>
    <row r="15428" spans="2:12" x14ac:dyDescent="0.2">
      <c r="B15428"/>
      <c r="C15428"/>
      <c r="J15428"/>
      <c r="K15428"/>
      <c r="L15428"/>
    </row>
    <row r="15429" spans="2:12" x14ac:dyDescent="0.2">
      <c r="B15429"/>
      <c r="C15429"/>
      <c r="J15429"/>
      <c r="K15429"/>
      <c r="L15429"/>
    </row>
    <row r="15430" spans="2:12" x14ac:dyDescent="0.2">
      <c r="B15430"/>
      <c r="C15430"/>
      <c r="J15430"/>
      <c r="K15430"/>
      <c r="L15430"/>
    </row>
    <row r="15431" spans="2:12" x14ac:dyDescent="0.2">
      <c r="B15431"/>
      <c r="C15431"/>
      <c r="J15431"/>
      <c r="K15431"/>
      <c r="L15431"/>
    </row>
    <row r="15432" spans="2:12" x14ac:dyDescent="0.2">
      <c r="B15432"/>
      <c r="C15432"/>
      <c r="J15432"/>
      <c r="K15432"/>
      <c r="L15432"/>
    </row>
    <row r="15433" spans="2:12" x14ac:dyDescent="0.2">
      <c r="B15433"/>
      <c r="C15433"/>
      <c r="J15433"/>
      <c r="K15433"/>
      <c r="L15433"/>
    </row>
    <row r="15434" spans="2:12" x14ac:dyDescent="0.2">
      <c r="B15434"/>
      <c r="C15434"/>
      <c r="J15434"/>
      <c r="K15434"/>
      <c r="L15434"/>
    </row>
    <row r="15435" spans="2:12" x14ac:dyDescent="0.2">
      <c r="B15435"/>
      <c r="C15435"/>
      <c r="J15435"/>
      <c r="K15435"/>
      <c r="L15435"/>
    </row>
    <row r="15436" spans="2:12" x14ac:dyDescent="0.2">
      <c r="B15436"/>
      <c r="C15436"/>
      <c r="J15436"/>
      <c r="K15436"/>
      <c r="L15436"/>
    </row>
    <row r="15437" spans="2:12" x14ac:dyDescent="0.2">
      <c r="B15437"/>
      <c r="C15437"/>
      <c r="J15437"/>
      <c r="K15437"/>
      <c r="L15437"/>
    </row>
    <row r="15438" spans="2:12" x14ac:dyDescent="0.2">
      <c r="B15438"/>
      <c r="C15438"/>
      <c r="J15438"/>
      <c r="K15438"/>
      <c r="L15438"/>
    </row>
    <row r="15439" spans="2:12" x14ac:dyDescent="0.2">
      <c r="B15439"/>
      <c r="C15439"/>
      <c r="J15439"/>
      <c r="K15439"/>
      <c r="L15439"/>
    </row>
    <row r="15440" spans="2:12" x14ac:dyDescent="0.2">
      <c r="B15440"/>
      <c r="C15440"/>
      <c r="J15440"/>
      <c r="K15440"/>
      <c r="L15440"/>
    </row>
    <row r="15441" spans="2:12" x14ac:dyDescent="0.2">
      <c r="B15441"/>
      <c r="C15441"/>
      <c r="J15441"/>
      <c r="K15441"/>
      <c r="L15441"/>
    </row>
    <row r="15442" spans="2:12" x14ac:dyDescent="0.2">
      <c r="B15442"/>
      <c r="C15442"/>
      <c r="J15442"/>
      <c r="K15442"/>
      <c r="L15442"/>
    </row>
    <row r="15443" spans="2:12" x14ac:dyDescent="0.2">
      <c r="B15443"/>
      <c r="C15443"/>
      <c r="J15443"/>
      <c r="K15443"/>
      <c r="L15443"/>
    </row>
    <row r="15444" spans="2:12" x14ac:dyDescent="0.2">
      <c r="B15444"/>
      <c r="C15444"/>
      <c r="J15444"/>
      <c r="K15444"/>
      <c r="L15444"/>
    </row>
    <row r="15445" spans="2:12" x14ac:dyDescent="0.2">
      <c r="B15445"/>
      <c r="C15445"/>
      <c r="J15445"/>
      <c r="K15445"/>
      <c r="L15445"/>
    </row>
    <row r="15446" spans="2:12" x14ac:dyDescent="0.2">
      <c r="B15446"/>
      <c r="C15446"/>
      <c r="J15446"/>
      <c r="K15446"/>
      <c r="L15446"/>
    </row>
    <row r="15447" spans="2:12" x14ac:dyDescent="0.2">
      <c r="B15447"/>
      <c r="C15447"/>
      <c r="J15447"/>
      <c r="K15447"/>
      <c r="L15447"/>
    </row>
    <row r="15448" spans="2:12" x14ac:dyDescent="0.2">
      <c r="B15448"/>
      <c r="C15448"/>
      <c r="J15448"/>
      <c r="K15448"/>
      <c r="L15448"/>
    </row>
    <row r="15449" spans="2:12" x14ac:dyDescent="0.2">
      <c r="B15449"/>
      <c r="C15449"/>
      <c r="J15449"/>
      <c r="K15449"/>
      <c r="L15449"/>
    </row>
    <row r="15450" spans="2:12" x14ac:dyDescent="0.2">
      <c r="B15450"/>
      <c r="C15450"/>
      <c r="J15450"/>
      <c r="K15450"/>
      <c r="L15450"/>
    </row>
    <row r="15451" spans="2:12" x14ac:dyDescent="0.2">
      <c r="B15451"/>
      <c r="C15451"/>
      <c r="J15451"/>
      <c r="K15451"/>
      <c r="L15451"/>
    </row>
    <row r="15452" spans="2:12" x14ac:dyDescent="0.2">
      <c r="B15452"/>
      <c r="C15452"/>
      <c r="J15452"/>
      <c r="K15452"/>
      <c r="L15452"/>
    </row>
    <row r="15453" spans="2:12" x14ac:dyDescent="0.2">
      <c r="B15453"/>
      <c r="C15453"/>
      <c r="J15453"/>
      <c r="K15453"/>
      <c r="L15453"/>
    </row>
    <row r="15454" spans="2:12" x14ac:dyDescent="0.2">
      <c r="B15454"/>
      <c r="C15454"/>
      <c r="J15454"/>
      <c r="K15454"/>
      <c r="L15454"/>
    </row>
    <row r="15455" spans="2:12" x14ac:dyDescent="0.2">
      <c r="B15455"/>
      <c r="C15455"/>
      <c r="J15455"/>
      <c r="K15455"/>
      <c r="L15455"/>
    </row>
    <row r="15456" spans="2:12" x14ac:dyDescent="0.2">
      <c r="B15456"/>
      <c r="C15456"/>
      <c r="J15456"/>
      <c r="K15456"/>
      <c r="L15456"/>
    </row>
    <row r="15457" spans="2:12" x14ac:dyDescent="0.2">
      <c r="B15457"/>
      <c r="C15457"/>
      <c r="J15457"/>
      <c r="K15457"/>
      <c r="L15457"/>
    </row>
    <row r="15458" spans="2:12" x14ac:dyDescent="0.2">
      <c r="B15458"/>
      <c r="C15458"/>
      <c r="J15458"/>
      <c r="K15458"/>
      <c r="L15458"/>
    </row>
    <row r="15459" spans="2:12" x14ac:dyDescent="0.2">
      <c r="B15459"/>
      <c r="C15459"/>
      <c r="J15459"/>
      <c r="K15459"/>
      <c r="L15459"/>
    </row>
    <row r="15460" spans="2:12" x14ac:dyDescent="0.2">
      <c r="B15460"/>
      <c r="C15460"/>
      <c r="J15460"/>
      <c r="K15460"/>
      <c r="L15460"/>
    </row>
    <row r="15461" spans="2:12" x14ac:dyDescent="0.2">
      <c r="B15461"/>
      <c r="C15461"/>
      <c r="J15461"/>
      <c r="K15461"/>
      <c r="L15461"/>
    </row>
    <row r="15462" spans="2:12" x14ac:dyDescent="0.2">
      <c r="B15462"/>
      <c r="C15462"/>
      <c r="J15462"/>
      <c r="K15462"/>
      <c r="L15462"/>
    </row>
    <row r="15463" spans="2:12" x14ac:dyDescent="0.2">
      <c r="B15463"/>
      <c r="C15463"/>
      <c r="J15463"/>
      <c r="K15463"/>
      <c r="L15463"/>
    </row>
    <row r="15464" spans="2:12" x14ac:dyDescent="0.2">
      <c r="B15464"/>
      <c r="C15464"/>
      <c r="J15464"/>
      <c r="K15464"/>
      <c r="L15464"/>
    </row>
    <row r="15465" spans="2:12" x14ac:dyDescent="0.2">
      <c r="B15465"/>
      <c r="C15465"/>
      <c r="J15465"/>
      <c r="K15465"/>
      <c r="L15465"/>
    </row>
    <row r="15466" spans="2:12" x14ac:dyDescent="0.2">
      <c r="B15466"/>
      <c r="C15466"/>
      <c r="J15466"/>
      <c r="K15466"/>
      <c r="L15466"/>
    </row>
    <row r="15467" spans="2:12" x14ac:dyDescent="0.2">
      <c r="B15467"/>
      <c r="C15467"/>
      <c r="J15467"/>
      <c r="K15467"/>
      <c r="L15467"/>
    </row>
    <row r="15468" spans="2:12" x14ac:dyDescent="0.2">
      <c r="B15468"/>
      <c r="C15468"/>
      <c r="J15468"/>
      <c r="K15468"/>
      <c r="L15468"/>
    </row>
    <row r="15469" spans="2:12" x14ac:dyDescent="0.2">
      <c r="B15469"/>
      <c r="C15469"/>
      <c r="J15469"/>
      <c r="K15469"/>
      <c r="L15469"/>
    </row>
    <row r="15470" spans="2:12" x14ac:dyDescent="0.2">
      <c r="B15470"/>
      <c r="C15470"/>
      <c r="J15470"/>
      <c r="K15470"/>
      <c r="L15470"/>
    </row>
    <row r="15471" spans="2:12" x14ac:dyDescent="0.2">
      <c r="B15471"/>
      <c r="C15471"/>
      <c r="J15471"/>
      <c r="K15471"/>
      <c r="L15471"/>
    </row>
    <row r="15472" spans="2:12" x14ac:dyDescent="0.2">
      <c r="B15472"/>
      <c r="C15472"/>
      <c r="J15472"/>
      <c r="K15472"/>
      <c r="L15472"/>
    </row>
    <row r="15473" spans="2:12" x14ac:dyDescent="0.2">
      <c r="B15473"/>
      <c r="C15473"/>
      <c r="J15473"/>
      <c r="K15473"/>
      <c r="L15473"/>
    </row>
    <row r="15474" spans="2:12" x14ac:dyDescent="0.2">
      <c r="B15474"/>
      <c r="C15474"/>
      <c r="J15474"/>
      <c r="K15474"/>
      <c r="L15474"/>
    </row>
    <row r="15475" spans="2:12" x14ac:dyDescent="0.2">
      <c r="B15475"/>
      <c r="C15475"/>
      <c r="J15475"/>
      <c r="K15475"/>
      <c r="L15475"/>
    </row>
    <row r="15476" spans="2:12" x14ac:dyDescent="0.2">
      <c r="B15476"/>
      <c r="C15476"/>
      <c r="J15476"/>
      <c r="K15476"/>
      <c r="L15476"/>
    </row>
    <row r="15477" spans="2:12" x14ac:dyDescent="0.2">
      <c r="B15477"/>
      <c r="C15477"/>
      <c r="J15477"/>
      <c r="K15477"/>
      <c r="L15477"/>
    </row>
    <row r="15478" spans="2:12" x14ac:dyDescent="0.2">
      <c r="B15478"/>
      <c r="C15478"/>
      <c r="J15478"/>
      <c r="K15478"/>
      <c r="L15478"/>
    </row>
    <row r="15479" spans="2:12" x14ac:dyDescent="0.2">
      <c r="B15479"/>
      <c r="C15479"/>
      <c r="J15479"/>
      <c r="K15479"/>
      <c r="L15479"/>
    </row>
    <row r="15480" spans="2:12" x14ac:dyDescent="0.2">
      <c r="B15480"/>
      <c r="C15480"/>
      <c r="J15480"/>
      <c r="K15480"/>
      <c r="L15480"/>
    </row>
    <row r="15481" spans="2:12" x14ac:dyDescent="0.2">
      <c r="B15481"/>
      <c r="C15481"/>
      <c r="J15481"/>
      <c r="K15481"/>
      <c r="L15481"/>
    </row>
    <row r="15482" spans="2:12" x14ac:dyDescent="0.2">
      <c r="B15482"/>
      <c r="C15482"/>
      <c r="J15482"/>
      <c r="K15482"/>
      <c r="L15482"/>
    </row>
    <row r="15483" spans="2:12" x14ac:dyDescent="0.2">
      <c r="B15483"/>
      <c r="C15483"/>
      <c r="J15483"/>
      <c r="K15483"/>
      <c r="L15483"/>
    </row>
    <row r="15484" spans="2:12" x14ac:dyDescent="0.2">
      <c r="B15484"/>
      <c r="C15484"/>
      <c r="J15484"/>
      <c r="K15484"/>
      <c r="L15484"/>
    </row>
    <row r="15485" spans="2:12" x14ac:dyDescent="0.2">
      <c r="B15485"/>
      <c r="C15485"/>
      <c r="J15485"/>
      <c r="K15485"/>
      <c r="L15485"/>
    </row>
    <row r="15486" spans="2:12" x14ac:dyDescent="0.2">
      <c r="B15486"/>
      <c r="C15486"/>
      <c r="J15486"/>
      <c r="K15486"/>
      <c r="L15486"/>
    </row>
    <row r="15487" spans="2:12" x14ac:dyDescent="0.2">
      <c r="B15487"/>
      <c r="C15487"/>
      <c r="J15487"/>
      <c r="K15487"/>
      <c r="L15487"/>
    </row>
    <row r="15488" spans="2:12" x14ac:dyDescent="0.2">
      <c r="B15488"/>
      <c r="C15488"/>
      <c r="J15488"/>
      <c r="K15488"/>
      <c r="L15488"/>
    </row>
    <row r="15489" spans="2:12" x14ac:dyDescent="0.2">
      <c r="B15489"/>
      <c r="C15489"/>
      <c r="J15489"/>
      <c r="K15489"/>
      <c r="L15489"/>
    </row>
    <row r="15490" spans="2:12" x14ac:dyDescent="0.2">
      <c r="B15490"/>
      <c r="C15490"/>
      <c r="J15490"/>
      <c r="K15490"/>
      <c r="L15490"/>
    </row>
    <row r="15491" spans="2:12" x14ac:dyDescent="0.2">
      <c r="B15491"/>
      <c r="C15491"/>
      <c r="J15491"/>
      <c r="K15491"/>
      <c r="L15491"/>
    </row>
    <row r="15492" spans="2:12" x14ac:dyDescent="0.2">
      <c r="B15492"/>
      <c r="C15492"/>
      <c r="J15492"/>
      <c r="K15492"/>
      <c r="L15492"/>
    </row>
    <row r="15493" spans="2:12" x14ac:dyDescent="0.2">
      <c r="B15493"/>
      <c r="C15493"/>
      <c r="J15493"/>
      <c r="K15493"/>
      <c r="L15493"/>
    </row>
    <row r="15494" spans="2:12" x14ac:dyDescent="0.2">
      <c r="B15494"/>
      <c r="C15494"/>
      <c r="J15494"/>
      <c r="K15494"/>
      <c r="L15494"/>
    </row>
    <row r="15495" spans="2:12" x14ac:dyDescent="0.2">
      <c r="B15495"/>
      <c r="C15495"/>
      <c r="J15495"/>
      <c r="K15495"/>
      <c r="L15495"/>
    </row>
    <row r="15496" spans="2:12" x14ac:dyDescent="0.2">
      <c r="B15496"/>
      <c r="C15496"/>
      <c r="J15496"/>
      <c r="K15496"/>
      <c r="L15496"/>
    </row>
    <row r="15497" spans="2:12" x14ac:dyDescent="0.2">
      <c r="B15497"/>
      <c r="C15497"/>
      <c r="J15497"/>
      <c r="K15497"/>
      <c r="L15497"/>
    </row>
    <row r="15498" spans="2:12" x14ac:dyDescent="0.2">
      <c r="B15498"/>
      <c r="C15498"/>
      <c r="J15498"/>
      <c r="K15498"/>
      <c r="L15498"/>
    </row>
    <row r="15499" spans="2:12" x14ac:dyDescent="0.2">
      <c r="B15499"/>
      <c r="C15499"/>
      <c r="J15499"/>
      <c r="K15499"/>
      <c r="L15499"/>
    </row>
    <row r="15500" spans="2:12" x14ac:dyDescent="0.2">
      <c r="B15500"/>
      <c r="C15500"/>
      <c r="J15500"/>
      <c r="K15500"/>
      <c r="L15500"/>
    </row>
    <row r="15501" spans="2:12" x14ac:dyDescent="0.2">
      <c r="B15501"/>
      <c r="C15501"/>
      <c r="J15501"/>
      <c r="K15501"/>
      <c r="L15501"/>
    </row>
    <row r="15502" spans="2:12" x14ac:dyDescent="0.2">
      <c r="B15502"/>
      <c r="C15502"/>
      <c r="J15502"/>
      <c r="K15502"/>
      <c r="L15502"/>
    </row>
    <row r="15503" spans="2:12" x14ac:dyDescent="0.2">
      <c r="B15503"/>
      <c r="C15503"/>
      <c r="J15503"/>
      <c r="K15503"/>
      <c r="L15503"/>
    </row>
    <row r="15504" spans="2:12" x14ac:dyDescent="0.2">
      <c r="B15504"/>
      <c r="C15504"/>
      <c r="J15504"/>
      <c r="K15504"/>
      <c r="L15504"/>
    </row>
    <row r="15505" spans="2:12" x14ac:dyDescent="0.2">
      <c r="B15505"/>
      <c r="C15505"/>
      <c r="J15505"/>
      <c r="K15505"/>
      <c r="L15505"/>
    </row>
    <row r="15506" spans="2:12" x14ac:dyDescent="0.2">
      <c r="B15506"/>
      <c r="C15506"/>
      <c r="J15506"/>
      <c r="K15506"/>
      <c r="L15506"/>
    </row>
    <row r="15507" spans="2:12" x14ac:dyDescent="0.2">
      <c r="B15507"/>
      <c r="C15507"/>
      <c r="J15507"/>
      <c r="K15507"/>
      <c r="L15507"/>
    </row>
    <row r="15508" spans="2:12" x14ac:dyDescent="0.2">
      <c r="B15508"/>
      <c r="C15508"/>
      <c r="J15508"/>
      <c r="K15508"/>
      <c r="L15508"/>
    </row>
    <row r="15509" spans="2:12" x14ac:dyDescent="0.2">
      <c r="B15509"/>
      <c r="C15509"/>
      <c r="J15509"/>
      <c r="K15509"/>
      <c r="L15509"/>
    </row>
    <row r="15510" spans="2:12" x14ac:dyDescent="0.2">
      <c r="B15510"/>
      <c r="C15510"/>
      <c r="J15510"/>
      <c r="K15510"/>
      <c r="L15510"/>
    </row>
    <row r="15511" spans="2:12" x14ac:dyDescent="0.2">
      <c r="B15511"/>
      <c r="C15511"/>
      <c r="J15511"/>
      <c r="K15511"/>
      <c r="L15511"/>
    </row>
    <row r="15512" spans="2:12" x14ac:dyDescent="0.2">
      <c r="B15512"/>
      <c r="C15512"/>
      <c r="J15512"/>
      <c r="K15512"/>
      <c r="L15512"/>
    </row>
    <row r="15513" spans="2:12" x14ac:dyDescent="0.2">
      <c r="B15513"/>
      <c r="C15513"/>
      <c r="J15513"/>
      <c r="K15513"/>
      <c r="L15513"/>
    </row>
    <row r="15514" spans="2:12" x14ac:dyDescent="0.2">
      <c r="B15514"/>
      <c r="C15514"/>
      <c r="J15514"/>
      <c r="K15514"/>
      <c r="L15514"/>
    </row>
    <row r="15515" spans="2:12" x14ac:dyDescent="0.2">
      <c r="B15515"/>
      <c r="C15515"/>
      <c r="J15515"/>
      <c r="K15515"/>
      <c r="L15515"/>
    </row>
    <row r="15516" spans="2:12" x14ac:dyDescent="0.2">
      <c r="B15516"/>
      <c r="C15516"/>
      <c r="J15516"/>
      <c r="K15516"/>
      <c r="L15516"/>
    </row>
    <row r="15517" spans="2:12" x14ac:dyDescent="0.2">
      <c r="B15517"/>
      <c r="C15517"/>
      <c r="J15517"/>
      <c r="K15517"/>
      <c r="L15517"/>
    </row>
    <row r="15518" spans="2:12" x14ac:dyDescent="0.2">
      <c r="B15518"/>
      <c r="C15518"/>
      <c r="J15518"/>
      <c r="K15518"/>
      <c r="L15518"/>
    </row>
    <row r="15519" spans="2:12" x14ac:dyDescent="0.2">
      <c r="B15519"/>
      <c r="C15519"/>
      <c r="J15519"/>
      <c r="K15519"/>
      <c r="L15519"/>
    </row>
    <row r="15520" spans="2:12" x14ac:dyDescent="0.2">
      <c r="B15520"/>
      <c r="C15520"/>
      <c r="J15520"/>
      <c r="K15520"/>
      <c r="L15520"/>
    </row>
    <row r="15521" spans="2:12" x14ac:dyDescent="0.2">
      <c r="B15521"/>
      <c r="C15521"/>
      <c r="J15521"/>
      <c r="K15521"/>
      <c r="L15521"/>
    </row>
    <row r="15522" spans="2:12" x14ac:dyDescent="0.2">
      <c r="B15522"/>
      <c r="C15522"/>
      <c r="J15522"/>
      <c r="K15522"/>
      <c r="L15522"/>
    </row>
    <row r="15523" spans="2:12" x14ac:dyDescent="0.2">
      <c r="B15523"/>
      <c r="C15523"/>
      <c r="J15523"/>
      <c r="K15523"/>
      <c r="L15523"/>
    </row>
    <row r="15524" spans="2:12" x14ac:dyDescent="0.2">
      <c r="B15524"/>
      <c r="C15524"/>
      <c r="J15524"/>
      <c r="K15524"/>
      <c r="L15524"/>
    </row>
    <row r="15525" spans="2:12" x14ac:dyDescent="0.2">
      <c r="B15525"/>
      <c r="C15525"/>
      <c r="J15525"/>
      <c r="K15525"/>
      <c r="L15525"/>
    </row>
    <row r="15526" spans="2:12" x14ac:dyDescent="0.2">
      <c r="B15526"/>
      <c r="C15526"/>
      <c r="J15526"/>
      <c r="K15526"/>
      <c r="L15526"/>
    </row>
    <row r="15527" spans="2:12" x14ac:dyDescent="0.2">
      <c r="B15527"/>
      <c r="C15527"/>
      <c r="J15527"/>
      <c r="K15527"/>
      <c r="L15527"/>
    </row>
    <row r="15528" spans="2:12" x14ac:dyDescent="0.2">
      <c r="B15528"/>
      <c r="C15528"/>
      <c r="J15528"/>
      <c r="K15528"/>
      <c r="L15528"/>
    </row>
    <row r="15529" spans="2:12" x14ac:dyDescent="0.2">
      <c r="B15529"/>
      <c r="C15529"/>
      <c r="J15529"/>
      <c r="K15529"/>
      <c r="L15529"/>
    </row>
    <row r="15530" spans="2:12" x14ac:dyDescent="0.2">
      <c r="B15530"/>
      <c r="C15530"/>
      <c r="J15530"/>
      <c r="K15530"/>
      <c r="L15530"/>
    </row>
    <row r="15531" spans="2:12" x14ac:dyDescent="0.2">
      <c r="B15531"/>
      <c r="C15531"/>
      <c r="J15531"/>
      <c r="K15531"/>
      <c r="L15531"/>
    </row>
    <row r="15532" spans="2:12" x14ac:dyDescent="0.2">
      <c r="B15532"/>
      <c r="C15532"/>
      <c r="J15532"/>
      <c r="K15532"/>
      <c r="L15532"/>
    </row>
    <row r="15533" spans="2:12" x14ac:dyDescent="0.2">
      <c r="B15533"/>
      <c r="C15533"/>
      <c r="J15533"/>
      <c r="K15533"/>
      <c r="L15533"/>
    </row>
    <row r="15534" spans="2:12" x14ac:dyDescent="0.2">
      <c r="B15534"/>
      <c r="C15534"/>
      <c r="J15534"/>
      <c r="K15534"/>
      <c r="L15534"/>
    </row>
    <row r="15535" spans="2:12" x14ac:dyDescent="0.2">
      <c r="B15535"/>
      <c r="C15535"/>
      <c r="J15535"/>
      <c r="K15535"/>
      <c r="L15535"/>
    </row>
    <row r="15536" spans="2:12" x14ac:dyDescent="0.2">
      <c r="B15536"/>
      <c r="C15536"/>
      <c r="J15536"/>
      <c r="K15536"/>
      <c r="L15536"/>
    </row>
    <row r="15537" spans="2:12" x14ac:dyDescent="0.2">
      <c r="B15537"/>
      <c r="C15537"/>
      <c r="J15537"/>
      <c r="K15537"/>
      <c r="L15537"/>
    </row>
    <row r="15538" spans="2:12" x14ac:dyDescent="0.2">
      <c r="B15538"/>
      <c r="C15538"/>
      <c r="J15538"/>
      <c r="K15538"/>
      <c r="L15538"/>
    </row>
    <row r="15539" spans="2:12" x14ac:dyDescent="0.2">
      <c r="B15539"/>
      <c r="C15539"/>
      <c r="J15539"/>
      <c r="K15539"/>
      <c r="L15539"/>
    </row>
    <row r="15540" spans="2:12" x14ac:dyDescent="0.2">
      <c r="B15540"/>
      <c r="C15540"/>
      <c r="J15540"/>
      <c r="K15540"/>
      <c r="L15540"/>
    </row>
    <row r="15541" spans="2:12" x14ac:dyDescent="0.2">
      <c r="B15541"/>
      <c r="C15541"/>
      <c r="J15541"/>
      <c r="K15541"/>
      <c r="L15541"/>
    </row>
    <row r="15542" spans="2:12" x14ac:dyDescent="0.2">
      <c r="B15542"/>
      <c r="C15542"/>
      <c r="J15542"/>
      <c r="K15542"/>
      <c r="L15542"/>
    </row>
    <row r="15543" spans="2:12" x14ac:dyDescent="0.2">
      <c r="B15543"/>
      <c r="C15543"/>
      <c r="J15543"/>
      <c r="K15543"/>
      <c r="L15543"/>
    </row>
    <row r="15544" spans="2:12" x14ac:dyDescent="0.2">
      <c r="B15544"/>
      <c r="C15544"/>
      <c r="J15544"/>
      <c r="K15544"/>
      <c r="L15544"/>
    </row>
    <row r="15545" spans="2:12" x14ac:dyDescent="0.2">
      <c r="B15545"/>
      <c r="C15545"/>
      <c r="J15545"/>
      <c r="K15545"/>
      <c r="L15545"/>
    </row>
    <row r="15546" spans="2:12" x14ac:dyDescent="0.2">
      <c r="B15546"/>
      <c r="C15546"/>
      <c r="J15546"/>
      <c r="K15546"/>
      <c r="L15546"/>
    </row>
    <row r="15547" spans="2:12" x14ac:dyDescent="0.2">
      <c r="B15547"/>
      <c r="C15547"/>
      <c r="J15547"/>
      <c r="K15547"/>
      <c r="L15547"/>
    </row>
    <row r="15548" spans="2:12" x14ac:dyDescent="0.2">
      <c r="B15548"/>
      <c r="C15548"/>
      <c r="J15548"/>
      <c r="K15548"/>
      <c r="L15548"/>
    </row>
    <row r="15549" spans="2:12" x14ac:dyDescent="0.2">
      <c r="B15549"/>
      <c r="C15549"/>
      <c r="J15549"/>
      <c r="K15549"/>
      <c r="L15549"/>
    </row>
    <row r="15550" spans="2:12" x14ac:dyDescent="0.2">
      <c r="B15550"/>
      <c r="C15550"/>
      <c r="J15550"/>
      <c r="K15550"/>
      <c r="L15550"/>
    </row>
    <row r="15551" spans="2:12" x14ac:dyDescent="0.2">
      <c r="B15551"/>
      <c r="C15551"/>
      <c r="J15551"/>
      <c r="K15551"/>
      <c r="L15551"/>
    </row>
    <row r="15552" spans="2:12" x14ac:dyDescent="0.2">
      <c r="B15552"/>
      <c r="C15552"/>
      <c r="J15552"/>
      <c r="K15552"/>
      <c r="L15552"/>
    </row>
    <row r="15553" spans="2:12" x14ac:dyDescent="0.2">
      <c r="B15553"/>
      <c r="C15553"/>
      <c r="J15553"/>
      <c r="K15553"/>
      <c r="L15553"/>
    </row>
    <row r="15554" spans="2:12" x14ac:dyDescent="0.2">
      <c r="B15554"/>
      <c r="C15554"/>
      <c r="J15554"/>
      <c r="K15554"/>
      <c r="L15554"/>
    </row>
    <row r="15555" spans="2:12" x14ac:dyDescent="0.2">
      <c r="B15555"/>
      <c r="C15555"/>
      <c r="J15555"/>
      <c r="K15555"/>
      <c r="L15555"/>
    </row>
    <row r="15556" spans="2:12" x14ac:dyDescent="0.2">
      <c r="B15556"/>
      <c r="C15556"/>
      <c r="J15556"/>
      <c r="K15556"/>
      <c r="L15556"/>
    </row>
    <row r="15557" spans="2:12" x14ac:dyDescent="0.2">
      <c r="B15557"/>
      <c r="C15557"/>
      <c r="J15557"/>
      <c r="K15557"/>
      <c r="L15557"/>
    </row>
    <row r="15558" spans="2:12" x14ac:dyDescent="0.2">
      <c r="B15558"/>
      <c r="C15558"/>
      <c r="J15558"/>
      <c r="K15558"/>
      <c r="L15558"/>
    </row>
    <row r="15559" spans="2:12" x14ac:dyDescent="0.2">
      <c r="B15559"/>
      <c r="C15559"/>
      <c r="J15559"/>
      <c r="K15559"/>
      <c r="L15559"/>
    </row>
    <row r="15560" spans="2:12" x14ac:dyDescent="0.2">
      <c r="B15560"/>
      <c r="C15560"/>
      <c r="J15560"/>
      <c r="K15560"/>
      <c r="L15560"/>
    </row>
    <row r="15561" spans="2:12" x14ac:dyDescent="0.2">
      <c r="B15561"/>
      <c r="C15561"/>
      <c r="J15561"/>
      <c r="K15561"/>
      <c r="L15561"/>
    </row>
    <row r="15562" spans="2:12" x14ac:dyDescent="0.2">
      <c r="B15562"/>
      <c r="C15562"/>
      <c r="J15562"/>
      <c r="K15562"/>
      <c r="L15562"/>
    </row>
    <row r="15563" spans="2:12" x14ac:dyDescent="0.2">
      <c r="B15563"/>
      <c r="C15563"/>
      <c r="J15563"/>
      <c r="K15563"/>
      <c r="L15563"/>
    </row>
    <row r="15564" spans="2:12" x14ac:dyDescent="0.2">
      <c r="B15564"/>
      <c r="C15564"/>
      <c r="J15564"/>
      <c r="K15564"/>
      <c r="L15564"/>
    </row>
    <row r="15565" spans="2:12" x14ac:dyDescent="0.2">
      <c r="B15565"/>
      <c r="C15565"/>
      <c r="J15565"/>
      <c r="K15565"/>
      <c r="L15565"/>
    </row>
    <row r="15566" spans="2:12" x14ac:dyDescent="0.2">
      <c r="B15566"/>
      <c r="C15566"/>
      <c r="J15566"/>
      <c r="K15566"/>
      <c r="L15566"/>
    </row>
    <row r="15567" spans="2:12" x14ac:dyDescent="0.2">
      <c r="B15567"/>
      <c r="C15567"/>
      <c r="J15567"/>
      <c r="K15567"/>
      <c r="L15567"/>
    </row>
    <row r="15568" spans="2:12" x14ac:dyDescent="0.2">
      <c r="B15568"/>
      <c r="C15568"/>
      <c r="J15568"/>
      <c r="K15568"/>
      <c r="L15568"/>
    </row>
    <row r="15569" spans="2:12" x14ac:dyDescent="0.2">
      <c r="B15569"/>
      <c r="C15569"/>
      <c r="J15569"/>
      <c r="K15569"/>
      <c r="L15569"/>
    </row>
    <row r="15570" spans="2:12" x14ac:dyDescent="0.2">
      <c r="B15570"/>
      <c r="C15570"/>
      <c r="J15570"/>
      <c r="K15570"/>
      <c r="L15570"/>
    </row>
    <row r="15571" spans="2:12" x14ac:dyDescent="0.2">
      <c r="B15571"/>
      <c r="C15571"/>
      <c r="J15571"/>
      <c r="K15571"/>
      <c r="L15571"/>
    </row>
    <row r="15572" spans="2:12" x14ac:dyDescent="0.2">
      <c r="B15572"/>
      <c r="C15572"/>
      <c r="J15572"/>
      <c r="K15572"/>
      <c r="L15572"/>
    </row>
    <row r="15573" spans="2:12" x14ac:dyDescent="0.2">
      <c r="B15573"/>
      <c r="C15573"/>
      <c r="J15573"/>
      <c r="K15573"/>
      <c r="L15573"/>
    </row>
    <row r="15574" spans="2:12" x14ac:dyDescent="0.2">
      <c r="B15574"/>
      <c r="C15574"/>
      <c r="J15574"/>
      <c r="K15574"/>
      <c r="L15574"/>
    </row>
    <row r="15575" spans="2:12" x14ac:dyDescent="0.2">
      <c r="B15575"/>
      <c r="C15575"/>
      <c r="J15575"/>
      <c r="K15575"/>
      <c r="L15575"/>
    </row>
    <row r="15576" spans="2:12" x14ac:dyDescent="0.2">
      <c r="B15576"/>
      <c r="C15576"/>
      <c r="J15576"/>
      <c r="K15576"/>
      <c r="L15576"/>
    </row>
    <row r="15577" spans="2:12" x14ac:dyDescent="0.2">
      <c r="B15577"/>
      <c r="C15577"/>
      <c r="J15577"/>
      <c r="K15577"/>
      <c r="L15577"/>
    </row>
    <row r="15578" spans="2:12" x14ac:dyDescent="0.2">
      <c r="B15578"/>
      <c r="C15578"/>
      <c r="J15578"/>
      <c r="K15578"/>
      <c r="L15578"/>
    </row>
    <row r="15579" spans="2:12" x14ac:dyDescent="0.2">
      <c r="B15579"/>
      <c r="C15579"/>
      <c r="J15579"/>
      <c r="K15579"/>
      <c r="L15579"/>
    </row>
    <row r="15580" spans="2:12" x14ac:dyDescent="0.2">
      <c r="B15580"/>
      <c r="C15580"/>
      <c r="J15580"/>
      <c r="K15580"/>
      <c r="L15580"/>
    </row>
    <row r="15581" spans="2:12" x14ac:dyDescent="0.2">
      <c r="B15581"/>
      <c r="C15581"/>
      <c r="J15581"/>
      <c r="K15581"/>
      <c r="L15581"/>
    </row>
    <row r="15582" spans="2:12" x14ac:dyDescent="0.2">
      <c r="B15582"/>
      <c r="C15582"/>
      <c r="J15582"/>
      <c r="K15582"/>
      <c r="L15582"/>
    </row>
    <row r="15583" spans="2:12" x14ac:dyDescent="0.2">
      <c r="B15583"/>
      <c r="C15583"/>
      <c r="J15583"/>
      <c r="K15583"/>
      <c r="L15583"/>
    </row>
    <row r="15584" spans="2:12" x14ac:dyDescent="0.2">
      <c r="B15584"/>
      <c r="C15584"/>
      <c r="J15584"/>
      <c r="K15584"/>
      <c r="L15584"/>
    </row>
    <row r="15585" spans="2:12" x14ac:dyDescent="0.2">
      <c r="B15585"/>
      <c r="C15585"/>
      <c r="J15585"/>
      <c r="K15585"/>
      <c r="L15585"/>
    </row>
    <row r="15586" spans="2:12" x14ac:dyDescent="0.2">
      <c r="B15586"/>
      <c r="C15586"/>
      <c r="J15586"/>
      <c r="K15586"/>
      <c r="L15586"/>
    </row>
    <row r="15587" spans="2:12" x14ac:dyDescent="0.2">
      <c r="B15587"/>
      <c r="C15587"/>
      <c r="J15587"/>
      <c r="K15587"/>
      <c r="L15587"/>
    </row>
    <row r="15588" spans="2:12" x14ac:dyDescent="0.2">
      <c r="B15588"/>
      <c r="C15588"/>
      <c r="J15588"/>
      <c r="K15588"/>
      <c r="L15588"/>
    </row>
    <row r="15589" spans="2:12" x14ac:dyDescent="0.2">
      <c r="B15589"/>
      <c r="C15589"/>
      <c r="J15589"/>
      <c r="K15589"/>
      <c r="L15589"/>
    </row>
    <row r="15590" spans="2:12" x14ac:dyDescent="0.2">
      <c r="B15590"/>
      <c r="C15590"/>
      <c r="J15590"/>
      <c r="K15590"/>
      <c r="L15590"/>
    </row>
    <row r="15591" spans="2:12" x14ac:dyDescent="0.2">
      <c r="B15591"/>
      <c r="C15591"/>
      <c r="J15591"/>
      <c r="K15591"/>
      <c r="L15591"/>
    </row>
    <row r="15592" spans="2:12" x14ac:dyDescent="0.2">
      <c r="B15592"/>
      <c r="C15592"/>
      <c r="J15592"/>
      <c r="K15592"/>
      <c r="L15592"/>
    </row>
    <row r="15593" spans="2:12" x14ac:dyDescent="0.2">
      <c r="B15593"/>
      <c r="C15593"/>
      <c r="J15593"/>
      <c r="K15593"/>
      <c r="L15593"/>
    </row>
    <row r="15594" spans="2:12" x14ac:dyDescent="0.2">
      <c r="B15594"/>
      <c r="C15594"/>
      <c r="J15594"/>
      <c r="K15594"/>
      <c r="L15594"/>
    </row>
    <row r="15595" spans="2:12" x14ac:dyDescent="0.2">
      <c r="B15595"/>
      <c r="C15595"/>
      <c r="J15595"/>
      <c r="K15595"/>
      <c r="L15595"/>
    </row>
    <row r="15596" spans="2:12" x14ac:dyDescent="0.2">
      <c r="B15596"/>
      <c r="C15596"/>
      <c r="J15596"/>
      <c r="K15596"/>
      <c r="L15596"/>
    </row>
    <row r="15597" spans="2:12" x14ac:dyDescent="0.2">
      <c r="B15597"/>
      <c r="C15597"/>
      <c r="J15597"/>
      <c r="K15597"/>
      <c r="L15597"/>
    </row>
    <row r="15598" spans="2:12" x14ac:dyDescent="0.2">
      <c r="B15598"/>
      <c r="C15598"/>
      <c r="J15598"/>
      <c r="K15598"/>
      <c r="L15598"/>
    </row>
    <row r="15599" spans="2:12" x14ac:dyDescent="0.2">
      <c r="B15599"/>
      <c r="C15599"/>
      <c r="J15599"/>
      <c r="K15599"/>
      <c r="L15599"/>
    </row>
    <row r="15600" spans="2:12" x14ac:dyDescent="0.2">
      <c r="B15600"/>
      <c r="C15600"/>
      <c r="J15600"/>
      <c r="K15600"/>
      <c r="L15600"/>
    </row>
    <row r="15601" spans="2:12" x14ac:dyDescent="0.2">
      <c r="B15601"/>
      <c r="C15601"/>
      <c r="J15601"/>
      <c r="K15601"/>
      <c r="L15601"/>
    </row>
    <row r="15602" spans="2:12" x14ac:dyDescent="0.2">
      <c r="B15602"/>
      <c r="C15602"/>
      <c r="J15602"/>
      <c r="K15602"/>
      <c r="L15602"/>
    </row>
    <row r="15603" spans="2:12" x14ac:dyDescent="0.2">
      <c r="B15603"/>
      <c r="C15603"/>
      <c r="J15603"/>
      <c r="K15603"/>
      <c r="L15603"/>
    </row>
    <row r="15604" spans="2:12" x14ac:dyDescent="0.2">
      <c r="B15604"/>
      <c r="C15604"/>
      <c r="J15604"/>
      <c r="K15604"/>
      <c r="L15604"/>
    </row>
    <row r="15605" spans="2:12" x14ac:dyDescent="0.2">
      <c r="B15605"/>
      <c r="C15605"/>
      <c r="J15605"/>
      <c r="K15605"/>
      <c r="L15605"/>
    </row>
    <row r="15606" spans="2:12" x14ac:dyDescent="0.2">
      <c r="B15606"/>
      <c r="C15606"/>
      <c r="J15606"/>
      <c r="K15606"/>
      <c r="L15606"/>
    </row>
    <row r="15607" spans="2:12" x14ac:dyDescent="0.2">
      <c r="B15607"/>
      <c r="C15607"/>
      <c r="J15607"/>
      <c r="K15607"/>
      <c r="L15607"/>
    </row>
    <row r="15608" spans="2:12" x14ac:dyDescent="0.2">
      <c r="B15608"/>
      <c r="C15608"/>
      <c r="J15608"/>
      <c r="K15608"/>
      <c r="L15608"/>
    </row>
    <row r="15609" spans="2:12" x14ac:dyDescent="0.2">
      <c r="B15609"/>
      <c r="C15609"/>
      <c r="J15609"/>
      <c r="K15609"/>
      <c r="L15609"/>
    </row>
    <row r="15610" spans="2:12" x14ac:dyDescent="0.2">
      <c r="B15610"/>
      <c r="C15610"/>
      <c r="J15610"/>
      <c r="K15610"/>
      <c r="L15610"/>
    </row>
    <row r="15611" spans="2:12" x14ac:dyDescent="0.2">
      <c r="B15611"/>
      <c r="C15611"/>
      <c r="J15611"/>
      <c r="K15611"/>
      <c r="L15611"/>
    </row>
    <row r="15612" spans="2:12" x14ac:dyDescent="0.2">
      <c r="B15612"/>
      <c r="C15612"/>
      <c r="J15612"/>
      <c r="K15612"/>
      <c r="L15612"/>
    </row>
    <row r="15613" spans="2:12" x14ac:dyDescent="0.2">
      <c r="B15613"/>
      <c r="C15613"/>
      <c r="J15613"/>
      <c r="K15613"/>
      <c r="L15613"/>
    </row>
    <row r="15614" spans="2:12" x14ac:dyDescent="0.2">
      <c r="B15614"/>
      <c r="C15614"/>
      <c r="J15614"/>
      <c r="K15614"/>
      <c r="L15614"/>
    </row>
    <row r="15615" spans="2:12" x14ac:dyDescent="0.2">
      <c r="B15615"/>
      <c r="C15615"/>
      <c r="J15615"/>
      <c r="K15615"/>
      <c r="L15615"/>
    </row>
    <row r="15616" spans="2:12" x14ac:dyDescent="0.2">
      <c r="B15616"/>
      <c r="C15616"/>
      <c r="J15616"/>
      <c r="K15616"/>
      <c r="L15616"/>
    </row>
    <row r="15617" spans="2:12" x14ac:dyDescent="0.2">
      <c r="B15617"/>
      <c r="C15617"/>
      <c r="J15617"/>
      <c r="K15617"/>
      <c r="L15617"/>
    </row>
    <row r="15618" spans="2:12" x14ac:dyDescent="0.2">
      <c r="B15618"/>
      <c r="C15618"/>
      <c r="J15618"/>
      <c r="K15618"/>
      <c r="L15618"/>
    </row>
    <row r="15619" spans="2:12" x14ac:dyDescent="0.2">
      <c r="B15619"/>
      <c r="C15619"/>
      <c r="J15619"/>
      <c r="K15619"/>
      <c r="L15619"/>
    </row>
    <row r="15620" spans="2:12" x14ac:dyDescent="0.2">
      <c r="B15620"/>
      <c r="C15620"/>
      <c r="J15620"/>
      <c r="K15620"/>
      <c r="L15620"/>
    </row>
    <row r="15621" spans="2:12" x14ac:dyDescent="0.2">
      <c r="B15621"/>
      <c r="C15621"/>
      <c r="J15621"/>
      <c r="K15621"/>
      <c r="L15621"/>
    </row>
    <row r="15622" spans="2:12" x14ac:dyDescent="0.2">
      <c r="B15622"/>
      <c r="C15622"/>
      <c r="J15622"/>
      <c r="K15622"/>
      <c r="L15622"/>
    </row>
    <row r="15623" spans="2:12" x14ac:dyDescent="0.2">
      <c r="B15623"/>
      <c r="C15623"/>
      <c r="J15623"/>
      <c r="K15623"/>
      <c r="L15623"/>
    </row>
    <row r="15624" spans="2:12" x14ac:dyDescent="0.2">
      <c r="B15624"/>
      <c r="C15624"/>
      <c r="J15624"/>
      <c r="K15624"/>
      <c r="L15624"/>
    </row>
    <row r="15625" spans="2:12" x14ac:dyDescent="0.2">
      <c r="B15625"/>
      <c r="C15625"/>
      <c r="J15625"/>
      <c r="K15625"/>
      <c r="L15625"/>
    </row>
    <row r="15626" spans="2:12" x14ac:dyDescent="0.2">
      <c r="B15626"/>
      <c r="C15626"/>
      <c r="J15626"/>
      <c r="K15626"/>
      <c r="L15626"/>
    </row>
    <row r="15627" spans="2:12" x14ac:dyDescent="0.2">
      <c r="B15627"/>
      <c r="C15627"/>
      <c r="J15627"/>
      <c r="K15627"/>
      <c r="L15627"/>
    </row>
    <row r="15628" spans="2:12" x14ac:dyDescent="0.2">
      <c r="B15628"/>
      <c r="C15628"/>
      <c r="J15628"/>
      <c r="K15628"/>
      <c r="L15628"/>
    </row>
    <row r="15629" spans="2:12" x14ac:dyDescent="0.2">
      <c r="B15629"/>
      <c r="C15629"/>
      <c r="J15629"/>
      <c r="K15629"/>
      <c r="L15629"/>
    </row>
    <row r="15630" spans="2:12" x14ac:dyDescent="0.2">
      <c r="B15630"/>
      <c r="C15630"/>
      <c r="J15630"/>
      <c r="K15630"/>
      <c r="L15630"/>
    </row>
    <row r="15631" spans="2:12" x14ac:dyDescent="0.2">
      <c r="B15631"/>
      <c r="C15631"/>
      <c r="J15631"/>
      <c r="K15631"/>
      <c r="L15631"/>
    </row>
    <row r="15632" spans="2:12" x14ac:dyDescent="0.2">
      <c r="B15632"/>
      <c r="C15632"/>
      <c r="J15632"/>
      <c r="K15632"/>
      <c r="L15632"/>
    </row>
    <row r="15633" spans="2:12" x14ac:dyDescent="0.2">
      <c r="B15633"/>
      <c r="C15633"/>
      <c r="J15633"/>
      <c r="K15633"/>
      <c r="L15633"/>
    </row>
    <row r="15634" spans="2:12" x14ac:dyDescent="0.2">
      <c r="B15634"/>
      <c r="C15634"/>
      <c r="J15634"/>
      <c r="K15634"/>
      <c r="L15634"/>
    </row>
    <row r="15635" spans="2:12" x14ac:dyDescent="0.2">
      <c r="B15635"/>
      <c r="C15635"/>
      <c r="J15635"/>
      <c r="K15635"/>
      <c r="L15635"/>
    </row>
    <row r="15636" spans="2:12" x14ac:dyDescent="0.2">
      <c r="B15636"/>
      <c r="C15636"/>
      <c r="J15636"/>
      <c r="K15636"/>
      <c r="L15636"/>
    </row>
    <row r="15637" spans="2:12" x14ac:dyDescent="0.2">
      <c r="B15637"/>
      <c r="C15637"/>
      <c r="J15637"/>
      <c r="K15637"/>
      <c r="L15637"/>
    </row>
    <row r="15638" spans="2:12" x14ac:dyDescent="0.2">
      <c r="B15638"/>
      <c r="C15638"/>
      <c r="J15638"/>
      <c r="K15638"/>
      <c r="L15638"/>
    </row>
    <row r="15639" spans="2:12" x14ac:dyDescent="0.2">
      <c r="B15639"/>
      <c r="C15639"/>
      <c r="J15639"/>
      <c r="K15639"/>
      <c r="L15639"/>
    </row>
    <row r="15640" spans="2:12" x14ac:dyDescent="0.2">
      <c r="B15640"/>
      <c r="C15640"/>
      <c r="J15640"/>
      <c r="K15640"/>
      <c r="L15640"/>
    </row>
    <row r="15641" spans="2:12" x14ac:dyDescent="0.2">
      <c r="B15641"/>
      <c r="C15641"/>
      <c r="J15641"/>
      <c r="K15641"/>
      <c r="L15641"/>
    </row>
    <row r="15642" spans="2:12" x14ac:dyDescent="0.2">
      <c r="B15642"/>
      <c r="C15642"/>
      <c r="J15642"/>
      <c r="K15642"/>
      <c r="L15642"/>
    </row>
    <row r="15643" spans="2:12" x14ac:dyDescent="0.2">
      <c r="B15643"/>
      <c r="C15643"/>
      <c r="J15643"/>
      <c r="K15643"/>
      <c r="L15643"/>
    </row>
    <row r="15644" spans="2:12" x14ac:dyDescent="0.2">
      <c r="B15644"/>
      <c r="C15644"/>
      <c r="J15644"/>
      <c r="K15644"/>
      <c r="L15644"/>
    </row>
    <row r="15645" spans="2:12" x14ac:dyDescent="0.2">
      <c r="B15645"/>
      <c r="C15645"/>
      <c r="J15645"/>
      <c r="K15645"/>
      <c r="L15645"/>
    </row>
    <row r="15646" spans="2:12" x14ac:dyDescent="0.2">
      <c r="B15646"/>
      <c r="C15646"/>
      <c r="J15646"/>
      <c r="K15646"/>
      <c r="L15646"/>
    </row>
    <row r="15647" spans="2:12" x14ac:dyDescent="0.2">
      <c r="B15647"/>
      <c r="C15647"/>
      <c r="J15647"/>
      <c r="K15647"/>
      <c r="L15647"/>
    </row>
    <row r="15648" spans="2:12" x14ac:dyDescent="0.2">
      <c r="B15648"/>
      <c r="C15648"/>
      <c r="J15648"/>
      <c r="K15648"/>
      <c r="L15648"/>
    </row>
    <row r="15649" spans="2:12" x14ac:dyDescent="0.2">
      <c r="B15649"/>
      <c r="C15649"/>
      <c r="J15649"/>
      <c r="K15649"/>
      <c r="L15649"/>
    </row>
    <row r="15650" spans="2:12" x14ac:dyDescent="0.2">
      <c r="B15650"/>
      <c r="C15650"/>
      <c r="J15650"/>
      <c r="K15650"/>
      <c r="L15650"/>
    </row>
    <row r="15651" spans="2:12" x14ac:dyDescent="0.2">
      <c r="B15651"/>
      <c r="C15651"/>
      <c r="J15651"/>
      <c r="K15651"/>
      <c r="L15651"/>
    </row>
    <row r="15652" spans="2:12" x14ac:dyDescent="0.2">
      <c r="B15652"/>
      <c r="C15652"/>
      <c r="J15652"/>
      <c r="K15652"/>
      <c r="L15652"/>
    </row>
    <row r="15653" spans="2:12" x14ac:dyDescent="0.2">
      <c r="B15653"/>
      <c r="C15653"/>
      <c r="J15653"/>
      <c r="K15653"/>
      <c r="L15653"/>
    </row>
    <row r="15654" spans="2:12" x14ac:dyDescent="0.2">
      <c r="B15654"/>
      <c r="C15654"/>
      <c r="J15654"/>
      <c r="K15654"/>
      <c r="L15654"/>
    </row>
    <row r="15655" spans="2:12" x14ac:dyDescent="0.2">
      <c r="B15655"/>
      <c r="C15655"/>
      <c r="J15655"/>
      <c r="K15655"/>
      <c r="L15655"/>
    </row>
    <row r="15656" spans="2:12" x14ac:dyDescent="0.2">
      <c r="B15656"/>
      <c r="C15656"/>
      <c r="J15656"/>
      <c r="K15656"/>
      <c r="L15656"/>
    </row>
    <row r="15657" spans="2:12" x14ac:dyDescent="0.2">
      <c r="B15657"/>
      <c r="C15657"/>
      <c r="J15657"/>
      <c r="K15657"/>
      <c r="L15657"/>
    </row>
    <row r="15658" spans="2:12" x14ac:dyDescent="0.2">
      <c r="B15658"/>
      <c r="C15658"/>
      <c r="J15658"/>
      <c r="K15658"/>
      <c r="L15658"/>
    </row>
    <row r="15659" spans="2:12" x14ac:dyDescent="0.2">
      <c r="B15659"/>
      <c r="C15659"/>
      <c r="J15659"/>
      <c r="K15659"/>
      <c r="L15659"/>
    </row>
    <row r="15660" spans="2:12" x14ac:dyDescent="0.2">
      <c r="B15660"/>
      <c r="C15660"/>
      <c r="J15660"/>
      <c r="K15660"/>
      <c r="L15660"/>
    </row>
    <row r="15661" spans="2:12" x14ac:dyDescent="0.2">
      <c r="B15661"/>
      <c r="C15661"/>
      <c r="J15661"/>
      <c r="K15661"/>
      <c r="L15661"/>
    </row>
    <row r="15662" spans="2:12" x14ac:dyDescent="0.2">
      <c r="B15662"/>
      <c r="C15662"/>
      <c r="J15662"/>
      <c r="K15662"/>
      <c r="L15662"/>
    </row>
    <row r="15663" spans="2:12" x14ac:dyDescent="0.2">
      <c r="B15663"/>
      <c r="C15663"/>
      <c r="J15663"/>
      <c r="K15663"/>
      <c r="L15663"/>
    </row>
    <row r="15664" spans="2:12" x14ac:dyDescent="0.2">
      <c r="B15664"/>
      <c r="C15664"/>
      <c r="J15664"/>
      <c r="K15664"/>
      <c r="L15664"/>
    </row>
    <row r="15665" spans="2:12" x14ac:dyDescent="0.2">
      <c r="B15665"/>
      <c r="C15665"/>
      <c r="J15665"/>
      <c r="K15665"/>
      <c r="L15665"/>
    </row>
    <row r="15666" spans="2:12" x14ac:dyDescent="0.2">
      <c r="B15666"/>
      <c r="C15666"/>
      <c r="J15666"/>
      <c r="K15666"/>
      <c r="L15666"/>
    </row>
    <row r="15667" spans="2:12" x14ac:dyDescent="0.2">
      <c r="B15667"/>
      <c r="C15667"/>
      <c r="J15667"/>
      <c r="K15667"/>
      <c r="L15667"/>
    </row>
    <row r="15668" spans="2:12" x14ac:dyDescent="0.2">
      <c r="B15668"/>
      <c r="C15668"/>
      <c r="J15668"/>
      <c r="K15668"/>
      <c r="L15668"/>
    </row>
    <row r="15669" spans="2:12" x14ac:dyDescent="0.2">
      <c r="B15669"/>
      <c r="C15669"/>
      <c r="J15669"/>
      <c r="K15669"/>
      <c r="L15669"/>
    </row>
    <row r="15670" spans="2:12" x14ac:dyDescent="0.2">
      <c r="B15670"/>
      <c r="C15670"/>
      <c r="J15670"/>
      <c r="K15670"/>
      <c r="L15670"/>
    </row>
    <row r="15671" spans="2:12" x14ac:dyDescent="0.2">
      <c r="B15671"/>
      <c r="C15671"/>
      <c r="J15671"/>
      <c r="K15671"/>
      <c r="L15671"/>
    </row>
    <row r="15672" spans="2:12" x14ac:dyDescent="0.2">
      <c r="B15672"/>
      <c r="C15672"/>
      <c r="J15672"/>
      <c r="K15672"/>
      <c r="L15672"/>
    </row>
    <row r="15673" spans="2:12" x14ac:dyDescent="0.2">
      <c r="B15673"/>
      <c r="C15673"/>
      <c r="J15673"/>
      <c r="K15673"/>
      <c r="L15673"/>
    </row>
    <row r="15674" spans="2:12" x14ac:dyDescent="0.2">
      <c r="B15674"/>
      <c r="C15674"/>
      <c r="J15674"/>
      <c r="K15674"/>
      <c r="L15674"/>
    </row>
    <row r="15675" spans="2:12" x14ac:dyDescent="0.2">
      <c r="B15675"/>
      <c r="C15675"/>
      <c r="J15675"/>
      <c r="K15675"/>
      <c r="L15675"/>
    </row>
    <row r="15676" spans="2:12" x14ac:dyDescent="0.2">
      <c r="B15676"/>
      <c r="C15676"/>
      <c r="J15676"/>
      <c r="K15676"/>
      <c r="L15676"/>
    </row>
    <row r="15677" spans="2:12" x14ac:dyDescent="0.2">
      <c r="B15677"/>
      <c r="C15677"/>
      <c r="J15677"/>
      <c r="K15677"/>
      <c r="L15677"/>
    </row>
    <row r="15678" spans="2:12" x14ac:dyDescent="0.2">
      <c r="B15678"/>
      <c r="C15678"/>
      <c r="J15678"/>
      <c r="K15678"/>
      <c r="L15678"/>
    </row>
    <row r="15679" spans="2:12" x14ac:dyDescent="0.2">
      <c r="B15679"/>
      <c r="C15679"/>
      <c r="J15679"/>
      <c r="K15679"/>
      <c r="L15679"/>
    </row>
    <row r="15680" spans="2:12" x14ac:dyDescent="0.2">
      <c r="B15680"/>
      <c r="C15680"/>
      <c r="J15680"/>
      <c r="K15680"/>
      <c r="L15680"/>
    </row>
    <row r="15681" spans="2:12" x14ac:dyDescent="0.2">
      <c r="B15681"/>
      <c r="C15681"/>
      <c r="J15681"/>
      <c r="K15681"/>
      <c r="L15681"/>
    </row>
    <row r="15682" spans="2:12" x14ac:dyDescent="0.2">
      <c r="B15682"/>
      <c r="C15682"/>
      <c r="J15682"/>
      <c r="K15682"/>
      <c r="L15682"/>
    </row>
    <row r="15683" spans="2:12" x14ac:dyDescent="0.2">
      <c r="B15683"/>
      <c r="C15683"/>
      <c r="J15683"/>
      <c r="K15683"/>
      <c r="L15683"/>
    </row>
    <row r="15684" spans="2:12" x14ac:dyDescent="0.2">
      <c r="B15684"/>
      <c r="C15684"/>
      <c r="J15684"/>
      <c r="K15684"/>
      <c r="L15684"/>
    </row>
    <row r="15685" spans="2:12" x14ac:dyDescent="0.2">
      <c r="B15685"/>
      <c r="C15685"/>
      <c r="J15685"/>
      <c r="K15685"/>
      <c r="L15685"/>
    </row>
    <row r="15686" spans="2:12" x14ac:dyDescent="0.2">
      <c r="B15686"/>
      <c r="C15686"/>
      <c r="J15686"/>
      <c r="K15686"/>
      <c r="L15686"/>
    </row>
    <row r="15687" spans="2:12" x14ac:dyDescent="0.2">
      <c r="B15687"/>
      <c r="C15687"/>
      <c r="J15687"/>
      <c r="K15687"/>
      <c r="L15687"/>
    </row>
    <row r="15688" spans="2:12" x14ac:dyDescent="0.2">
      <c r="B15688"/>
      <c r="C15688"/>
      <c r="J15688"/>
      <c r="K15688"/>
      <c r="L15688"/>
    </row>
    <row r="15689" spans="2:12" x14ac:dyDescent="0.2">
      <c r="B15689"/>
      <c r="C15689"/>
      <c r="J15689"/>
      <c r="K15689"/>
      <c r="L15689"/>
    </row>
    <row r="15690" spans="2:12" x14ac:dyDescent="0.2">
      <c r="B15690"/>
      <c r="C15690"/>
      <c r="J15690"/>
      <c r="K15690"/>
      <c r="L15690"/>
    </row>
    <row r="15691" spans="2:12" x14ac:dyDescent="0.2">
      <c r="B15691"/>
      <c r="C15691"/>
      <c r="J15691"/>
      <c r="K15691"/>
      <c r="L15691"/>
    </row>
    <row r="15692" spans="2:12" x14ac:dyDescent="0.2">
      <c r="B15692"/>
      <c r="C15692"/>
      <c r="J15692"/>
      <c r="K15692"/>
      <c r="L15692"/>
    </row>
    <row r="15693" spans="2:12" x14ac:dyDescent="0.2">
      <c r="B15693"/>
      <c r="C15693"/>
      <c r="J15693"/>
      <c r="K15693"/>
      <c r="L15693"/>
    </row>
    <row r="15694" spans="2:12" x14ac:dyDescent="0.2">
      <c r="B15694"/>
      <c r="C15694"/>
      <c r="J15694"/>
      <c r="K15694"/>
      <c r="L15694"/>
    </row>
    <row r="15695" spans="2:12" x14ac:dyDescent="0.2">
      <c r="B15695"/>
      <c r="C15695"/>
      <c r="J15695"/>
      <c r="K15695"/>
      <c r="L15695"/>
    </row>
    <row r="15696" spans="2:12" x14ac:dyDescent="0.2">
      <c r="B15696"/>
      <c r="C15696"/>
      <c r="J15696"/>
      <c r="K15696"/>
      <c r="L15696"/>
    </row>
    <row r="15697" spans="2:12" x14ac:dyDescent="0.2">
      <c r="B15697"/>
      <c r="C15697"/>
      <c r="J15697"/>
      <c r="K15697"/>
      <c r="L15697"/>
    </row>
    <row r="15698" spans="2:12" x14ac:dyDescent="0.2">
      <c r="B15698"/>
      <c r="C15698"/>
      <c r="J15698"/>
      <c r="K15698"/>
      <c r="L15698"/>
    </row>
    <row r="15699" spans="2:12" x14ac:dyDescent="0.2">
      <c r="B15699"/>
      <c r="C15699"/>
      <c r="J15699"/>
      <c r="K15699"/>
      <c r="L15699"/>
    </row>
    <row r="15700" spans="2:12" x14ac:dyDescent="0.2">
      <c r="B15700"/>
      <c r="C15700"/>
      <c r="J15700"/>
      <c r="K15700"/>
      <c r="L15700"/>
    </row>
    <row r="15701" spans="2:12" x14ac:dyDescent="0.2">
      <c r="B15701"/>
      <c r="C15701"/>
      <c r="J15701"/>
      <c r="K15701"/>
      <c r="L15701"/>
    </row>
    <row r="15702" spans="2:12" x14ac:dyDescent="0.2">
      <c r="B15702"/>
      <c r="C15702"/>
      <c r="J15702"/>
      <c r="K15702"/>
      <c r="L15702"/>
    </row>
    <row r="15703" spans="2:12" x14ac:dyDescent="0.2">
      <c r="B15703"/>
      <c r="C15703"/>
      <c r="J15703"/>
      <c r="K15703"/>
      <c r="L15703"/>
    </row>
    <row r="15704" spans="2:12" x14ac:dyDescent="0.2">
      <c r="B15704"/>
      <c r="C15704"/>
      <c r="J15704"/>
      <c r="K15704"/>
      <c r="L15704"/>
    </row>
    <row r="15705" spans="2:12" x14ac:dyDescent="0.2">
      <c r="B15705"/>
      <c r="C15705"/>
      <c r="J15705"/>
      <c r="K15705"/>
      <c r="L15705"/>
    </row>
    <row r="15706" spans="2:12" x14ac:dyDescent="0.2">
      <c r="B15706"/>
      <c r="C15706"/>
      <c r="J15706"/>
      <c r="K15706"/>
      <c r="L15706"/>
    </row>
    <row r="15707" spans="2:12" x14ac:dyDescent="0.2">
      <c r="B15707"/>
      <c r="C15707"/>
      <c r="J15707"/>
      <c r="K15707"/>
      <c r="L15707"/>
    </row>
    <row r="15708" spans="2:12" x14ac:dyDescent="0.2">
      <c r="B15708"/>
      <c r="C15708"/>
      <c r="J15708"/>
      <c r="K15708"/>
      <c r="L15708"/>
    </row>
    <row r="15709" spans="2:12" x14ac:dyDescent="0.2">
      <c r="B15709"/>
      <c r="C15709"/>
      <c r="J15709"/>
      <c r="K15709"/>
      <c r="L15709"/>
    </row>
    <row r="15710" spans="2:12" x14ac:dyDescent="0.2">
      <c r="B15710"/>
      <c r="C15710"/>
      <c r="J15710"/>
      <c r="K15710"/>
      <c r="L15710"/>
    </row>
    <row r="15711" spans="2:12" x14ac:dyDescent="0.2">
      <c r="B15711"/>
      <c r="C15711"/>
      <c r="J15711"/>
      <c r="K15711"/>
      <c r="L15711"/>
    </row>
    <row r="15712" spans="2:12" x14ac:dyDescent="0.2">
      <c r="B15712"/>
      <c r="C15712"/>
      <c r="J15712"/>
      <c r="K15712"/>
      <c r="L15712"/>
    </row>
    <row r="15713" spans="2:12" x14ac:dyDescent="0.2">
      <c r="B15713"/>
      <c r="C15713"/>
      <c r="J15713"/>
      <c r="K15713"/>
      <c r="L15713"/>
    </row>
    <row r="15714" spans="2:12" x14ac:dyDescent="0.2">
      <c r="B15714"/>
      <c r="C15714"/>
      <c r="J15714"/>
      <c r="K15714"/>
      <c r="L15714"/>
    </row>
    <row r="15715" spans="2:12" x14ac:dyDescent="0.2">
      <c r="B15715"/>
      <c r="C15715"/>
      <c r="J15715"/>
      <c r="K15715"/>
      <c r="L15715"/>
    </row>
    <row r="15716" spans="2:12" x14ac:dyDescent="0.2">
      <c r="B15716"/>
      <c r="C15716"/>
      <c r="J15716"/>
      <c r="K15716"/>
      <c r="L15716"/>
    </row>
    <row r="15717" spans="2:12" x14ac:dyDescent="0.2">
      <c r="B15717"/>
      <c r="C15717"/>
      <c r="J15717"/>
      <c r="K15717"/>
      <c r="L15717"/>
    </row>
    <row r="15718" spans="2:12" x14ac:dyDescent="0.2">
      <c r="B15718"/>
      <c r="C15718"/>
      <c r="J15718"/>
      <c r="K15718"/>
      <c r="L15718"/>
    </row>
    <row r="15719" spans="2:12" x14ac:dyDescent="0.2">
      <c r="B15719"/>
      <c r="C15719"/>
      <c r="J15719"/>
      <c r="K15719"/>
      <c r="L15719"/>
    </row>
    <row r="15720" spans="2:12" x14ac:dyDescent="0.2">
      <c r="B15720"/>
      <c r="C15720"/>
      <c r="J15720"/>
      <c r="K15720"/>
      <c r="L15720"/>
    </row>
    <row r="15721" spans="2:12" x14ac:dyDescent="0.2">
      <c r="B15721"/>
      <c r="C15721"/>
      <c r="J15721"/>
      <c r="K15721"/>
      <c r="L15721"/>
    </row>
    <row r="15722" spans="2:12" x14ac:dyDescent="0.2">
      <c r="B15722"/>
      <c r="C15722"/>
      <c r="J15722"/>
      <c r="K15722"/>
      <c r="L15722"/>
    </row>
    <row r="15723" spans="2:12" x14ac:dyDescent="0.2">
      <c r="B15723"/>
      <c r="C15723"/>
      <c r="J15723"/>
      <c r="K15723"/>
      <c r="L15723"/>
    </row>
    <row r="15724" spans="2:12" x14ac:dyDescent="0.2">
      <c r="B15724"/>
      <c r="C15724"/>
      <c r="J15724"/>
      <c r="K15724"/>
      <c r="L15724"/>
    </row>
    <row r="15725" spans="2:12" x14ac:dyDescent="0.2">
      <c r="B15725"/>
      <c r="C15725"/>
      <c r="J15725"/>
      <c r="K15725"/>
      <c r="L15725"/>
    </row>
    <row r="15726" spans="2:12" x14ac:dyDescent="0.2">
      <c r="B15726"/>
      <c r="C15726"/>
      <c r="J15726"/>
      <c r="K15726"/>
      <c r="L15726"/>
    </row>
    <row r="15727" spans="2:12" x14ac:dyDescent="0.2">
      <c r="B15727"/>
      <c r="C15727"/>
      <c r="J15727"/>
      <c r="K15727"/>
      <c r="L15727"/>
    </row>
    <row r="15728" spans="2:12" x14ac:dyDescent="0.2">
      <c r="B15728"/>
      <c r="C15728"/>
      <c r="J15728"/>
      <c r="K15728"/>
      <c r="L15728"/>
    </row>
    <row r="15729" spans="2:12" x14ac:dyDescent="0.2">
      <c r="B15729"/>
      <c r="C15729"/>
      <c r="J15729"/>
      <c r="K15729"/>
      <c r="L15729"/>
    </row>
    <row r="15730" spans="2:12" x14ac:dyDescent="0.2">
      <c r="B15730"/>
      <c r="C15730"/>
      <c r="J15730"/>
      <c r="K15730"/>
      <c r="L15730"/>
    </row>
    <row r="15731" spans="2:12" x14ac:dyDescent="0.2">
      <c r="B15731"/>
      <c r="C15731"/>
      <c r="J15731"/>
      <c r="K15731"/>
      <c r="L15731"/>
    </row>
    <row r="15732" spans="2:12" x14ac:dyDescent="0.2">
      <c r="B15732"/>
      <c r="C15732"/>
      <c r="J15732"/>
      <c r="K15732"/>
      <c r="L15732"/>
    </row>
    <row r="15733" spans="2:12" x14ac:dyDescent="0.2">
      <c r="B15733"/>
      <c r="C15733"/>
      <c r="J15733"/>
      <c r="K15733"/>
      <c r="L15733"/>
    </row>
    <row r="15734" spans="2:12" x14ac:dyDescent="0.2">
      <c r="B15734"/>
      <c r="C15734"/>
      <c r="J15734"/>
      <c r="K15734"/>
      <c r="L15734"/>
    </row>
    <row r="15735" spans="2:12" x14ac:dyDescent="0.2">
      <c r="B15735"/>
      <c r="C15735"/>
      <c r="J15735"/>
      <c r="K15735"/>
      <c r="L15735"/>
    </row>
    <row r="15736" spans="2:12" x14ac:dyDescent="0.2">
      <c r="B15736"/>
      <c r="C15736"/>
      <c r="J15736"/>
      <c r="K15736"/>
      <c r="L15736"/>
    </row>
    <row r="15737" spans="2:12" x14ac:dyDescent="0.2">
      <c r="B15737"/>
      <c r="C15737"/>
      <c r="J15737"/>
      <c r="K15737"/>
      <c r="L15737"/>
    </row>
    <row r="15738" spans="2:12" x14ac:dyDescent="0.2">
      <c r="B15738"/>
      <c r="C15738"/>
      <c r="J15738"/>
      <c r="K15738"/>
      <c r="L15738"/>
    </row>
    <row r="15739" spans="2:12" x14ac:dyDescent="0.2">
      <c r="B15739"/>
      <c r="C15739"/>
      <c r="J15739"/>
      <c r="K15739"/>
      <c r="L15739"/>
    </row>
    <row r="15740" spans="2:12" x14ac:dyDescent="0.2">
      <c r="B15740"/>
      <c r="C15740"/>
      <c r="J15740"/>
      <c r="K15740"/>
      <c r="L15740"/>
    </row>
    <row r="15741" spans="2:12" x14ac:dyDescent="0.2">
      <c r="B15741"/>
      <c r="C15741"/>
      <c r="J15741"/>
      <c r="K15741"/>
      <c r="L15741"/>
    </row>
    <row r="15742" spans="2:12" x14ac:dyDescent="0.2">
      <c r="B15742"/>
      <c r="C15742"/>
      <c r="J15742"/>
      <c r="K15742"/>
      <c r="L15742"/>
    </row>
    <row r="15743" spans="2:12" x14ac:dyDescent="0.2">
      <c r="B15743"/>
      <c r="C15743"/>
      <c r="J15743"/>
      <c r="K15743"/>
      <c r="L15743"/>
    </row>
    <row r="15744" spans="2:12" x14ac:dyDescent="0.2">
      <c r="B15744"/>
      <c r="C15744"/>
      <c r="J15744"/>
      <c r="K15744"/>
      <c r="L15744"/>
    </row>
    <row r="15745" spans="2:12" x14ac:dyDescent="0.2">
      <c r="B15745"/>
      <c r="C15745"/>
      <c r="J15745"/>
      <c r="K15745"/>
      <c r="L15745"/>
    </row>
    <row r="15746" spans="2:12" x14ac:dyDescent="0.2">
      <c r="B15746"/>
      <c r="C15746"/>
      <c r="J15746"/>
      <c r="K15746"/>
      <c r="L15746"/>
    </row>
    <row r="15747" spans="2:12" x14ac:dyDescent="0.2">
      <c r="B15747"/>
      <c r="C15747"/>
      <c r="J15747"/>
      <c r="K15747"/>
      <c r="L15747"/>
    </row>
    <row r="15748" spans="2:12" x14ac:dyDescent="0.2">
      <c r="B15748"/>
      <c r="C15748"/>
      <c r="J15748"/>
      <c r="K15748"/>
      <c r="L15748"/>
    </row>
    <row r="15749" spans="2:12" x14ac:dyDescent="0.2">
      <c r="B15749"/>
      <c r="C15749"/>
      <c r="J15749"/>
      <c r="K15749"/>
      <c r="L15749"/>
    </row>
    <row r="15750" spans="2:12" x14ac:dyDescent="0.2">
      <c r="B15750"/>
      <c r="C15750"/>
      <c r="J15750"/>
      <c r="K15750"/>
      <c r="L15750"/>
    </row>
    <row r="15751" spans="2:12" x14ac:dyDescent="0.2">
      <c r="B15751"/>
      <c r="C15751"/>
      <c r="J15751"/>
      <c r="K15751"/>
      <c r="L15751"/>
    </row>
    <row r="15752" spans="2:12" x14ac:dyDescent="0.2">
      <c r="B15752"/>
      <c r="C15752"/>
      <c r="J15752"/>
      <c r="K15752"/>
      <c r="L15752"/>
    </row>
    <row r="15753" spans="2:12" x14ac:dyDescent="0.2">
      <c r="B15753"/>
      <c r="C15753"/>
      <c r="J15753"/>
      <c r="K15753"/>
      <c r="L15753"/>
    </row>
    <row r="15754" spans="2:12" x14ac:dyDescent="0.2">
      <c r="B15754"/>
      <c r="C15754"/>
      <c r="J15754"/>
      <c r="K15754"/>
      <c r="L15754"/>
    </row>
    <row r="15755" spans="2:12" x14ac:dyDescent="0.2">
      <c r="B15755"/>
      <c r="C15755"/>
      <c r="J15755"/>
      <c r="K15755"/>
      <c r="L15755"/>
    </row>
    <row r="15756" spans="2:12" x14ac:dyDescent="0.2">
      <c r="B15756"/>
      <c r="C15756"/>
      <c r="J15756"/>
      <c r="K15756"/>
      <c r="L15756"/>
    </row>
    <row r="15757" spans="2:12" x14ac:dyDescent="0.2">
      <c r="B15757"/>
      <c r="C15757"/>
      <c r="J15757"/>
      <c r="K15757"/>
      <c r="L15757"/>
    </row>
    <row r="15758" spans="2:12" x14ac:dyDescent="0.2">
      <c r="B15758"/>
      <c r="C15758"/>
      <c r="J15758"/>
      <c r="K15758"/>
      <c r="L15758"/>
    </row>
    <row r="15759" spans="2:12" x14ac:dyDescent="0.2">
      <c r="B15759"/>
      <c r="C15759"/>
      <c r="J15759"/>
      <c r="K15759"/>
      <c r="L15759"/>
    </row>
    <row r="15760" spans="2:12" x14ac:dyDescent="0.2">
      <c r="B15760"/>
      <c r="C15760"/>
      <c r="J15760"/>
      <c r="K15760"/>
      <c r="L15760"/>
    </row>
    <row r="15761" spans="2:12" x14ac:dyDescent="0.2">
      <c r="B15761"/>
      <c r="C15761"/>
      <c r="J15761"/>
      <c r="K15761"/>
      <c r="L15761"/>
    </row>
    <row r="15762" spans="2:12" x14ac:dyDescent="0.2">
      <c r="B15762"/>
      <c r="C15762"/>
      <c r="J15762"/>
      <c r="K15762"/>
      <c r="L15762"/>
    </row>
    <row r="15763" spans="2:12" x14ac:dyDescent="0.2">
      <c r="B15763"/>
      <c r="C15763"/>
      <c r="J15763"/>
      <c r="K15763"/>
      <c r="L15763"/>
    </row>
    <row r="15764" spans="2:12" x14ac:dyDescent="0.2">
      <c r="B15764"/>
      <c r="C15764"/>
      <c r="J15764"/>
      <c r="K15764"/>
      <c r="L15764"/>
    </row>
    <row r="15765" spans="2:12" x14ac:dyDescent="0.2">
      <c r="B15765"/>
      <c r="C15765"/>
      <c r="J15765"/>
      <c r="K15765"/>
      <c r="L15765"/>
    </row>
    <row r="15766" spans="2:12" x14ac:dyDescent="0.2">
      <c r="B15766"/>
      <c r="C15766"/>
      <c r="J15766"/>
      <c r="K15766"/>
      <c r="L15766"/>
    </row>
    <row r="15767" spans="2:12" x14ac:dyDescent="0.2">
      <c r="B15767"/>
      <c r="C15767"/>
      <c r="J15767"/>
      <c r="K15767"/>
      <c r="L15767"/>
    </row>
    <row r="15768" spans="2:12" x14ac:dyDescent="0.2">
      <c r="B15768"/>
      <c r="C15768"/>
      <c r="J15768"/>
      <c r="K15768"/>
      <c r="L15768"/>
    </row>
    <row r="15769" spans="2:12" x14ac:dyDescent="0.2">
      <c r="B15769"/>
      <c r="C15769"/>
      <c r="J15769"/>
      <c r="K15769"/>
      <c r="L15769"/>
    </row>
    <row r="15770" spans="2:12" x14ac:dyDescent="0.2">
      <c r="B15770"/>
      <c r="C15770"/>
      <c r="J15770"/>
      <c r="K15770"/>
      <c r="L15770"/>
    </row>
    <row r="15771" spans="2:12" x14ac:dyDescent="0.2">
      <c r="B15771"/>
      <c r="C15771"/>
      <c r="J15771"/>
      <c r="K15771"/>
      <c r="L15771"/>
    </row>
    <row r="15772" spans="2:12" x14ac:dyDescent="0.2">
      <c r="B15772"/>
      <c r="C15772"/>
      <c r="J15772"/>
      <c r="K15772"/>
      <c r="L15772"/>
    </row>
    <row r="15773" spans="2:12" x14ac:dyDescent="0.2">
      <c r="B15773"/>
      <c r="C15773"/>
      <c r="J15773"/>
      <c r="K15773"/>
      <c r="L15773"/>
    </row>
    <row r="15774" spans="2:12" x14ac:dyDescent="0.2">
      <c r="B15774"/>
      <c r="C15774"/>
      <c r="J15774"/>
      <c r="K15774"/>
      <c r="L15774"/>
    </row>
    <row r="15775" spans="2:12" x14ac:dyDescent="0.2">
      <c r="B15775"/>
      <c r="C15775"/>
      <c r="J15775"/>
      <c r="K15775"/>
      <c r="L15775"/>
    </row>
    <row r="15776" spans="2:12" x14ac:dyDescent="0.2">
      <c r="B15776"/>
      <c r="C15776"/>
      <c r="J15776"/>
      <c r="K15776"/>
      <c r="L15776"/>
    </row>
    <row r="15777" spans="2:12" x14ac:dyDescent="0.2">
      <c r="B15777"/>
      <c r="C15777"/>
      <c r="J15777"/>
      <c r="K15777"/>
      <c r="L15777"/>
    </row>
    <row r="15778" spans="2:12" x14ac:dyDescent="0.2">
      <c r="B15778"/>
      <c r="C15778"/>
      <c r="J15778"/>
      <c r="K15778"/>
      <c r="L15778"/>
    </row>
    <row r="15779" spans="2:12" x14ac:dyDescent="0.2">
      <c r="B15779"/>
      <c r="C15779"/>
      <c r="J15779"/>
      <c r="K15779"/>
      <c r="L15779"/>
    </row>
    <row r="15780" spans="2:12" x14ac:dyDescent="0.2">
      <c r="B15780"/>
      <c r="C15780"/>
      <c r="J15780"/>
      <c r="K15780"/>
      <c r="L15780"/>
    </row>
    <row r="15781" spans="2:12" x14ac:dyDescent="0.2">
      <c r="B15781"/>
      <c r="C15781"/>
      <c r="J15781"/>
      <c r="K15781"/>
      <c r="L15781"/>
    </row>
    <row r="15782" spans="2:12" x14ac:dyDescent="0.2">
      <c r="B15782"/>
      <c r="C15782"/>
      <c r="J15782"/>
      <c r="K15782"/>
      <c r="L15782"/>
    </row>
    <row r="15783" spans="2:12" x14ac:dyDescent="0.2">
      <c r="B15783"/>
      <c r="C15783"/>
      <c r="J15783"/>
      <c r="K15783"/>
      <c r="L15783"/>
    </row>
    <row r="15784" spans="2:12" x14ac:dyDescent="0.2">
      <c r="B15784"/>
      <c r="C15784"/>
      <c r="J15784"/>
      <c r="K15784"/>
      <c r="L15784"/>
    </row>
    <row r="15785" spans="2:12" x14ac:dyDescent="0.2">
      <c r="B15785"/>
      <c r="C15785"/>
      <c r="J15785"/>
      <c r="K15785"/>
      <c r="L15785"/>
    </row>
    <row r="15786" spans="2:12" x14ac:dyDescent="0.2">
      <c r="B15786"/>
      <c r="C15786"/>
      <c r="J15786"/>
      <c r="K15786"/>
      <c r="L15786"/>
    </row>
    <row r="15787" spans="2:12" x14ac:dyDescent="0.2">
      <c r="B15787"/>
      <c r="C15787"/>
      <c r="J15787"/>
      <c r="K15787"/>
      <c r="L15787"/>
    </row>
    <row r="15788" spans="2:12" x14ac:dyDescent="0.2">
      <c r="B15788"/>
      <c r="C15788"/>
      <c r="J15788"/>
      <c r="K15788"/>
      <c r="L15788"/>
    </row>
    <row r="15789" spans="2:12" x14ac:dyDescent="0.2">
      <c r="B15789"/>
      <c r="C15789"/>
      <c r="J15789"/>
      <c r="K15789"/>
      <c r="L15789"/>
    </row>
    <row r="15790" spans="2:12" x14ac:dyDescent="0.2">
      <c r="B15790"/>
      <c r="C15790"/>
      <c r="J15790"/>
      <c r="K15790"/>
      <c r="L15790"/>
    </row>
    <row r="15791" spans="2:12" x14ac:dyDescent="0.2">
      <c r="B15791"/>
      <c r="C15791"/>
      <c r="J15791"/>
      <c r="K15791"/>
      <c r="L15791"/>
    </row>
    <row r="15792" spans="2:12" x14ac:dyDescent="0.2">
      <c r="B15792"/>
      <c r="C15792"/>
      <c r="J15792"/>
      <c r="K15792"/>
      <c r="L15792"/>
    </row>
    <row r="15793" spans="2:12" x14ac:dyDescent="0.2">
      <c r="B15793"/>
      <c r="C15793"/>
      <c r="J15793"/>
      <c r="K15793"/>
      <c r="L15793"/>
    </row>
    <row r="15794" spans="2:12" x14ac:dyDescent="0.2">
      <c r="B15794"/>
      <c r="C15794"/>
      <c r="J15794"/>
      <c r="K15794"/>
      <c r="L15794"/>
    </row>
    <row r="15795" spans="2:12" x14ac:dyDescent="0.2">
      <c r="B15795"/>
      <c r="C15795"/>
      <c r="J15795"/>
      <c r="K15795"/>
      <c r="L15795"/>
    </row>
    <row r="15796" spans="2:12" x14ac:dyDescent="0.2">
      <c r="B15796"/>
      <c r="C15796"/>
      <c r="J15796"/>
      <c r="K15796"/>
      <c r="L15796"/>
    </row>
    <row r="15797" spans="2:12" x14ac:dyDescent="0.2">
      <c r="B15797"/>
      <c r="C15797"/>
      <c r="J15797"/>
      <c r="K15797"/>
      <c r="L15797"/>
    </row>
    <row r="15798" spans="2:12" x14ac:dyDescent="0.2">
      <c r="B15798"/>
      <c r="C15798"/>
      <c r="J15798"/>
      <c r="K15798"/>
      <c r="L15798"/>
    </row>
    <row r="15799" spans="2:12" x14ac:dyDescent="0.2">
      <c r="B15799"/>
      <c r="C15799"/>
      <c r="J15799"/>
      <c r="K15799"/>
      <c r="L15799"/>
    </row>
    <row r="15800" spans="2:12" x14ac:dyDescent="0.2">
      <c r="B15800"/>
      <c r="C15800"/>
      <c r="J15800"/>
      <c r="K15800"/>
      <c r="L15800"/>
    </row>
    <row r="15801" spans="2:12" x14ac:dyDescent="0.2">
      <c r="B15801"/>
      <c r="C15801"/>
      <c r="J15801"/>
      <c r="K15801"/>
      <c r="L15801"/>
    </row>
    <row r="15802" spans="2:12" x14ac:dyDescent="0.2">
      <c r="B15802"/>
      <c r="C15802"/>
      <c r="J15802"/>
      <c r="K15802"/>
      <c r="L15802"/>
    </row>
    <row r="15803" spans="2:12" x14ac:dyDescent="0.2">
      <c r="B15803"/>
      <c r="C15803"/>
      <c r="J15803"/>
      <c r="K15803"/>
      <c r="L15803"/>
    </row>
    <row r="15804" spans="2:12" x14ac:dyDescent="0.2">
      <c r="B15804"/>
      <c r="C15804"/>
      <c r="J15804"/>
      <c r="K15804"/>
      <c r="L15804"/>
    </row>
    <row r="15805" spans="2:12" x14ac:dyDescent="0.2">
      <c r="B15805"/>
      <c r="C15805"/>
      <c r="J15805"/>
      <c r="K15805"/>
      <c r="L15805"/>
    </row>
    <row r="15806" spans="2:12" x14ac:dyDescent="0.2">
      <c r="B15806"/>
      <c r="C15806"/>
      <c r="J15806"/>
      <c r="K15806"/>
      <c r="L15806"/>
    </row>
    <row r="15807" spans="2:12" x14ac:dyDescent="0.2">
      <c r="B15807"/>
      <c r="C15807"/>
      <c r="J15807"/>
      <c r="K15807"/>
      <c r="L15807"/>
    </row>
    <row r="15808" spans="2:12" x14ac:dyDescent="0.2">
      <c r="B15808"/>
      <c r="C15808"/>
      <c r="J15808"/>
      <c r="K15808"/>
      <c r="L15808"/>
    </row>
    <row r="15809" spans="2:12" x14ac:dyDescent="0.2">
      <c r="B15809"/>
      <c r="C15809"/>
      <c r="J15809"/>
      <c r="K15809"/>
      <c r="L15809"/>
    </row>
    <row r="15810" spans="2:12" x14ac:dyDescent="0.2">
      <c r="B15810"/>
      <c r="C15810"/>
      <c r="J15810"/>
      <c r="K15810"/>
      <c r="L15810"/>
    </row>
    <row r="15811" spans="2:12" x14ac:dyDescent="0.2">
      <c r="B15811"/>
      <c r="C15811"/>
      <c r="J15811"/>
      <c r="K15811"/>
      <c r="L15811"/>
    </row>
    <row r="15812" spans="2:12" x14ac:dyDescent="0.2">
      <c r="B15812"/>
      <c r="C15812"/>
      <c r="J15812"/>
      <c r="K15812"/>
      <c r="L15812"/>
    </row>
    <row r="15813" spans="2:12" x14ac:dyDescent="0.2">
      <c r="B15813"/>
      <c r="C15813"/>
      <c r="J15813"/>
      <c r="K15813"/>
      <c r="L15813"/>
    </row>
    <row r="15814" spans="2:12" x14ac:dyDescent="0.2">
      <c r="B15814"/>
      <c r="C15814"/>
      <c r="J15814"/>
      <c r="K15814"/>
      <c r="L15814"/>
    </row>
    <row r="15815" spans="2:12" x14ac:dyDescent="0.2">
      <c r="B15815"/>
      <c r="C15815"/>
      <c r="J15815"/>
      <c r="K15815"/>
      <c r="L15815"/>
    </row>
    <row r="15816" spans="2:12" x14ac:dyDescent="0.2">
      <c r="B15816"/>
      <c r="C15816"/>
      <c r="J15816"/>
      <c r="K15816"/>
      <c r="L15816"/>
    </row>
    <row r="15817" spans="2:12" x14ac:dyDescent="0.2">
      <c r="B15817"/>
      <c r="C15817"/>
      <c r="J15817"/>
      <c r="K15817"/>
      <c r="L15817"/>
    </row>
    <row r="15818" spans="2:12" x14ac:dyDescent="0.2">
      <c r="B15818"/>
      <c r="C15818"/>
      <c r="J15818"/>
      <c r="K15818"/>
      <c r="L15818"/>
    </row>
    <row r="15819" spans="2:12" x14ac:dyDescent="0.2">
      <c r="B15819"/>
      <c r="C15819"/>
      <c r="J15819"/>
      <c r="K15819"/>
      <c r="L15819"/>
    </row>
    <row r="15820" spans="2:12" x14ac:dyDescent="0.2">
      <c r="B15820"/>
      <c r="C15820"/>
      <c r="J15820"/>
      <c r="K15820"/>
      <c r="L15820"/>
    </row>
    <row r="15821" spans="2:12" x14ac:dyDescent="0.2">
      <c r="B15821"/>
      <c r="C15821"/>
      <c r="J15821"/>
      <c r="K15821"/>
      <c r="L15821"/>
    </row>
    <row r="15822" spans="2:12" x14ac:dyDescent="0.2">
      <c r="B15822"/>
      <c r="C15822"/>
      <c r="J15822"/>
      <c r="K15822"/>
      <c r="L15822"/>
    </row>
    <row r="15823" spans="2:12" x14ac:dyDescent="0.2">
      <c r="B15823"/>
      <c r="C15823"/>
      <c r="J15823"/>
      <c r="K15823"/>
      <c r="L15823"/>
    </row>
    <row r="15824" spans="2:12" x14ac:dyDescent="0.2">
      <c r="B15824"/>
      <c r="C15824"/>
      <c r="J15824"/>
      <c r="K15824"/>
      <c r="L15824"/>
    </row>
    <row r="15825" spans="2:12" x14ac:dyDescent="0.2">
      <c r="B15825"/>
      <c r="C15825"/>
      <c r="J15825"/>
      <c r="K15825"/>
      <c r="L15825"/>
    </row>
    <row r="15826" spans="2:12" x14ac:dyDescent="0.2">
      <c r="B15826"/>
      <c r="C15826"/>
      <c r="J15826"/>
      <c r="K15826"/>
      <c r="L15826"/>
    </row>
    <row r="15827" spans="2:12" x14ac:dyDescent="0.2">
      <c r="B15827"/>
      <c r="C15827"/>
      <c r="J15827"/>
      <c r="K15827"/>
      <c r="L15827"/>
    </row>
    <row r="15828" spans="2:12" x14ac:dyDescent="0.2">
      <c r="B15828"/>
      <c r="C15828"/>
      <c r="J15828"/>
      <c r="K15828"/>
      <c r="L15828"/>
    </row>
    <row r="15829" spans="2:12" x14ac:dyDescent="0.2">
      <c r="B15829"/>
      <c r="C15829"/>
      <c r="J15829"/>
      <c r="K15829"/>
      <c r="L15829"/>
    </row>
    <row r="15830" spans="2:12" x14ac:dyDescent="0.2">
      <c r="B15830"/>
      <c r="C15830"/>
      <c r="J15830"/>
      <c r="K15830"/>
      <c r="L15830"/>
    </row>
    <row r="15831" spans="2:12" x14ac:dyDescent="0.2">
      <c r="B15831"/>
      <c r="C15831"/>
      <c r="J15831"/>
      <c r="K15831"/>
      <c r="L15831"/>
    </row>
    <row r="15832" spans="2:12" x14ac:dyDescent="0.2">
      <c r="B15832"/>
      <c r="C15832"/>
      <c r="J15832"/>
      <c r="K15832"/>
      <c r="L15832"/>
    </row>
    <row r="15833" spans="2:12" x14ac:dyDescent="0.2">
      <c r="B15833"/>
      <c r="C15833"/>
      <c r="J15833"/>
      <c r="K15833"/>
      <c r="L15833"/>
    </row>
    <row r="15834" spans="2:12" x14ac:dyDescent="0.2">
      <c r="B15834"/>
      <c r="C15834"/>
      <c r="J15834"/>
      <c r="K15834"/>
      <c r="L15834"/>
    </row>
    <row r="15835" spans="2:12" x14ac:dyDescent="0.2">
      <c r="B15835"/>
      <c r="C15835"/>
      <c r="J15835"/>
      <c r="K15835"/>
      <c r="L15835"/>
    </row>
    <row r="15836" spans="2:12" x14ac:dyDescent="0.2">
      <c r="B15836"/>
      <c r="C15836"/>
      <c r="J15836"/>
      <c r="K15836"/>
      <c r="L15836"/>
    </row>
    <row r="15837" spans="2:12" x14ac:dyDescent="0.2">
      <c r="B15837"/>
      <c r="C15837"/>
      <c r="J15837"/>
      <c r="K15837"/>
      <c r="L15837"/>
    </row>
    <row r="15838" spans="2:12" x14ac:dyDescent="0.2">
      <c r="B15838"/>
      <c r="C15838"/>
      <c r="J15838"/>
      <c r="K15838"/>
      <c r="L15838"/>
    </row>
    <row r="15839" spans="2:12" x14ac:dyDescent="0.2">
      <c r="B15839"/>
      <c r="C15839"/>
      <c r="J15839"/>
      <c r="K15839"/>
      <c r="L15839"/>
    </row>
    <row r="15840" spans="2:12" x14ac:dyDescent="0.2">
      <c r="B15840"/>
      <c r="C15840"/>
      <c r="J15840"/>
      <c r="K15840"/>
      <c r="L15840"/>
    </row>
    <row r="15841" spans="2:12" x14ac:dyDescent="0.2">
      <c r="B15841"/>
      <c r="C15841"/>
      <c r="J15841"/>
      <c r="K15841"/>
      <c r="L15841"/>
    </row>
    <row r="15842" spans="2:12" x14ac:dyDescent="0.2">
      <c r="B15842"/>
      <c r="C15842"/>
      <c r="J15842"/>
      <c r="K15842"/>
      <c r="L15842"/>
    </row>
    <row r="15843" spans="2:12" x14ac:dyDescent="0.2">
      <c r="B15843"/>
      <c r="C15843"/>
      <c r="J15843"/>
      <c r="K15843"/>
      <c r="L15843"/>
    </row>
    <row r="15844" spans="2:12" x14ac:dyDescent="0.2">
      <c r="B15844"/>
      <c r="C15844"/>
      <c r="J15844"/>
      <c r="K15844"/>
      <c r="L15844"/>
    </row>
    <row r="15845" spans="2:12" x14ac:dyDescent="0.2">
      <c r="B15845"/>
      <c r="C15845"/>
      <c r="J15845"/>
      <c r="K15845"/>
      <c r="L15845"/>
    </row>
    <row r="15846" spans="2:12" x14ac:dyDescent="0.2">
      <c r="B15846"/>
      <c r="C15846"/>
      <c r="J15846"/>
      <c r="K15846"/>
      <c r="L15846"/>
    </row>
    <row r="15847" spans="2:12" x14ac:dyDescent="0.2">
      <c r="B15847"/>
      <c r="C15847"/>
      <c r="J15847"/>
      <c r="K15847"/>
      <c r="L15847"/>
    </row>
    <row r="15848" spans="2:12" x14ac:dyDescent="0.2">
      <c r="B15848"/>
      <c r="C15848"/>
      <c r="J15848"/>
      <c r="K15848"/>
      <c r="L15848"/>
    </row>
    <row r="15849" spans="2:12" x14ac:dyDescent="0.2">
      <c r="B15849"/>
      <c r="C15849"/>
      <c r="J15849"/>
      <c r="K15849"/>
      <c r="L15849"/>
    </row>
    <row r="15850" spans="2:12" x14ac:dyDescent="0.2">
      <c r="B15850"/>
      <c r="C15850"/>
      <c r="J15850"/>
      <c r="K15850"/>
      <c r="L15850"/>
    </row>
    <row r="15851" spans="2:12" x14ac:dyDescent="0.2">
      <c r="B15851"/>
      <c r="C15851"/>
      <c r="J15851"/>
      <c r="K15851"/>
      <c r="L15851"/>
    </row>
    <row r="15852" spans="2:12" x14ac:dyDescent="0.2">
      <c r="B15852"/>
      <c r="C15852"/>
      <c r="J15852"/>
      <c r="K15852"/>
      <c r="L15852"/>
    </row>
    <row r="15853" spans="2:12" x14ac:dyDescent="0.2">
      <c r="B15853"/>
      <c r="C15853"/>
      <c r="J15853"/>
      <c r="K15853"/>
      <c r="L15853"/>
    </row>
    <row r="15854" spans="2:12" x14ac:dyDescent="0.2">
      <c r="B15854"/>
      <c r="C15854"/>
      <c r="J15854"/>
      <c r="K15854"/>
      <c r="L15854"/>
    </row>
    <row r="15855" spans="2:12" x14ac:dyDescent="0.2">
      <c r="B15855"/>
      <c r="C15855"/>
      <c r="J15855"/>
      <c r="K15855"/>
      <c r="L15855"/>
    </row>
    <row r="15856" spans="2:12" x14ac:dyDescent="0.2">
      <c r="B15856"/>
      <c r="C15856"/>
      <c r="J15856"/>
      <c r="K15856"/>
      <c r="L15856"/>
    </row>
    <row r="15857" spans="2:12" x14ac:dyDescent="0.2">
      <c r="B15857"/>
      <c r="C15857"/>
      <c r="J15857"/>
      <c r="K15857"/>
      <c r="L15857"/>
    </row>
    <row r="15858" spans="2:12" x14ac:dyDescent="0.2">
      <c r="B15858"/>
      <c r="C15858"/>
      <c r="J15858"/>
      <c r="K15858"/>
      <c r="L15858"/>
    </row>
    <row r="15859" spans="2:12" x14ac:dyDescent="0.2">
      <c r="B15859"/>
      <c r="C15859"/>
      <c r="J15859"/>
      <c r="K15859"/>
      <c r="L15859"/>
    </row>
    <row r="15860" spans="2:12" x14ac:dyDescent="0.2">
      <c r="B15860"/>
      <c r="C15860"/>
      <c r="J15860"/>
      <c r="K15860"/>
      <c r="L15860"/>
    </row>
    <row r="15861" spans="2:12" x14ac:dyDescent="0.2">
      <c r="B15861"/>
      <c r="C15861"/>
      <c r="J15861"/>
      <c r="K15861"/>
      <c r="L15861"/>
    </row>
    <row r="15862" spans="2:12" x14ac:dyDescent="0.2">
      <c r="B15862"/>
      <c r="C15862"/>
      <c r="J15862"/>
      <c r="K15862"/>
      <c r="L15862"/>
    </row>
    <row r="15863" spans="2:12" x14ac:dyDescent="0.2">
      <c r="B15863"/>
      <c r="C15863"/>
      <c r="J15863"/>
      <c r="K15863"/>
      <c r="L15863"/>
    </row>
    <row r="15864" spans="2:12" x14ac:dyDescent="0.2">
      <c r="B15864"/>
      <c r="C15864"/>
      <c r="J15864"/>
      <c r="K15864"/>
      <c r="L15864"/>
    </row>
    <row r="15865" spans="2:12" x14ac:dyDescent="0.2">
      <c r="B15865"/>
      <c r="C15865"/>
      <c r="J15865"/>
      <c r="K15865"/>
      <c r="L15865"/>
    </row>
    <row r="15866" spans="2:12" x14ac:dyDescent="0.2">
      <c r="B15866"/>
      <c r="C15866"/>
      <c r="J15866"/>
      <c r="K15866"/>
      <c r="L15866"/>
    </row>
    <row r="15867" spans="2:12" x14ac:dyDescent="0.2">
      <c r="B15867"/>
      <c r="C15867"/>
      <c r="J15867"/>
      <c r="K15867"/>
      <c r="L15867"/>
    </row>
    <row r="15868" spans="2:12" x14ac:dyDescent="0.2">
      <c r="B15868"/>
      <c r="C15868"/>
      <c r="J15868"/>
      <c r="K15868"/>
      <c r="L15868"/>
    </row>
    <row r="15869" spans="2:12" x14ac:dyDescent="0.2">
      <c r="B15869"/>
      <c r="C15869"/>
      <c r="J15869"/>
      <c r="K15869"/>
      <c r="L15869"/>
    </row>
    <row r="15870" spans="2:12" x14ac:dyDescent="0.2">
      <c r="B15870"/>
      <c r="C15870"/>
      <c r="J15870"/>
      <c r="K15870"/>
      <c r="L15870"/>
    </row>
    <row r="15871" spans="2:12" x14ac:dyDescent="0.2">
      <c r="B15871"/>
      <c r="C15871"/>
      <c r="J15871"/>
      <c r="K15871"/>
      <c r="L15871"/>
    </row>
    <row r="15872" spans="2:12" x14ac:dyDescent="0.2">
      <c r="B15872"/>
      <c r="C15872"/>
      <c r="J15872"/>
      <c r="K15872"/>
      <c r="L15872"/>
    </row>
    <row r="15873" spans="2:12" x14ac:dyDescent="0.2">
      <c r="B15873"/>
      <c r="C15873"/>
      <c r="J15873"/>
      <c r="K15873"/>
      <c r="L15873"/>
    </row>
    <row r="15874" spans="2:12" x14ac:dyDescent="0.2">
      <c r="B15874"/>
      <c r="C15874"/>
      <c r="J15874"/>
      <c r="K15874"/>
      <c r="L15874"/>
    </row>
    <row r="15875" spans="2:12" x14ac:dyDescent="0.2">
      <c r="B15875"/>
      <c r="C15875"/>
      <c r="J15875"/>
      <c r="K15875"/>
      <c r="L15875"/>
    </row>
    <row r="15876" spans="2:12" x14ac:dyDescent="0.2">
      <c r="B15876"/>
      <c r="C15876"/>
      <c r="J15876"/>
      <c r="K15876"/>
      <c r="L15876"/>
    </row>
    <row r="15877" spans="2:12" x14ac:dyDescent="0.2">
      <c r="B15877"/>
      <c r="C15877"/>
      <c r="J15877"/>
      <c r="K15877"/>
      <c r="L15877"/>
    </row>
    <row r="15878" spans="2:12" x14ac:dyDescent="0.2">
      <c r="B15878"/>
      <c r="C15878"/>
      <c r="J15878"/>
      <c r="K15878"/>
      <c r="L15878"/>
    </row>
    <row r="15879" spans="2:12" x14ac:dyDescent="0.2">
      <c r="B15879"/>
      <c r="C15879"/>
      <c r="J15879"/>
      <c r="K15879"/>
      <c r="L15879"/>
    </row>
    <row r="15880" spans="2:12" x14ac:dyDescent="0.2">
      <c r="B15880"/>
      <c r="C15880"/>
      <c r="J15880"/>
      <c r="K15880"/>
      <c r="L15880"/>
    </row>
    <row r="15881" spans="2:12" x14ac:dyDescent="0.2">
      <c r="B15881"/>
      <c r="C15881"/>
      <c r="J15881"/>
      <c r="K15881"/>
      <c r="L15881"/>
    </row>
    <row r="15882" spans="2:12" x14ac:dyDescent="0.2">
      <c r="B15882"/>
      <c r="C15882"/>
      <c r="J15882"/>
      <c r="K15882"/>
      <c r="L15882"/>
    </row>
    <row r="15883" spans="2:12" x14ac:dyDescent="0.2">
      <c r="B15883"/>
      <c r="C15883"/>
      <c r="J15883"/>
      <c r="K15883"/>
      <c r="L15883"/>
    </row>
    <row r="15884" spans="2:12" x14ac:dyDescent="0.2">
      <c r="B15884"/>
      <c r="C15884"/>
      <c r="J15884"/>
      <c r="K15884"/>
      <c r="L15884"/>
    </row>
    <row r="15885" spans="2:12" x14ac:dyDescent="0.2">
      <c r="B15885"/>
      <c r="C15885"/>
      <c r="J15885"/>
      <c r="K15885"/>
      <c r="L15885"/>
    </row>
    <row r="15886" spans="2:12" x14ac:dyDescent="0.2">
      <c r="B15886"/>
      <c r="C15886"/>
      <c r="J15886"/>
      <c r="K15886"/>
      <c r="L15886"/>
    </row>
    <row r="15887" spans="2:12" x14ac:dyDescent="0.2">
      <c r="B15887"/>
      <c r="C15887"/>
      <c r="J15887"/>
      <c r="K15887"/>
      <c r="L15887"/>
    </row>
    <row r="15888" spans="2:12" x14ac:dyDescent="0.2">
      <c r="B15888"/>
      <c r="C15888"/>
      <c r="J15888"/>
      <c r="K15888"/>
      <c r="L15888"/>
    </row>
    <row r="15889" spans="2:12" x14ac:dyDescent="0.2">
      <c r="B15889"/>
      <c r="C15889"/>
      <c r="J15889"/>
      <c r="K15889"/>
      <c r="L15889"/>
    </row>
    <row r="15890" spans="2:12" x14ac:dyDescent="0.2">
      <c r="B15890"/>
      <c r="C15890"/>
      <c r="J15890"/>
      <c r="K15890"/>
      <c r="L15890"/>
    </row>
    <row r="15891" spans="2:12" x14ac:dyDescent="0.2">
      <c r="B15891"/>
      <c r="C15891"/>
      <c r="J15891"/>
      <c r="K15891"/>
      <c r="L15891"/>
    </row>
    <row r="15892" spans="2:12" x14ac:dyDescent="0.2">
      <c r="B15892"/>
      <c r="C15892"/>
      <c r="J15892"/>
      <c r="K15892"/>
      <c r="L15892"/>
    </row>
    <row r="15893" spans="2:12" x14ac:dyDescent="0.2">
      <c r="B15893"/>
      <c r="C15893"/>
      <c r="J15893"/>
      <c r="K15893"/>
      <c r="L15893"/>
    </row>
    <row r="15894" spans="2:12" x14ac:dyDescent="0.2">
      <c r="B15894"/>
      <c r="C15894"/>
      <c r="J15894"/>
      <c r="K15894"/>
      <c r="L15894"/>
    </row>
    <row r="15895" spans="2:12" x14ac:dyDescent="0.2">
      <c r="B15895"/>
      <c r="C15895"/>
      <c r="J15895"/>
      <c r="K15895"/>
      <c r="L15895"/>
    </row>
    <row r="15896" spans="2:12" x14ac:dyDescent="0.2">
      <c r="B15896"/>
      <c r="C15896"/>
      <c r="J15896"/>
      <c r="K15896"/>
      <c r="L15896"/>
    </row>
    <row r="15897" spans="2:12" x14ac:dyDescent="0.2">
      <c r="B15897"/>
      <c r="C15897"/>
      <c r="J15897"/>
      <c r="K15897"/>
      <c r="L15897"/>
    </row>
    <row r="15898" spans="2:12" x14ac:dyDescent="0.2">
      <c r="B15898"/>
      <c r="C15898"/>
      <c r="J15898"/>
      <c r="K15898"/>
      <c r="L15898"/>
    </row>
    <row r="15899" spans="2:12" x14ac:dyDescent="0.2">
      <c r="B15899"/>
      <c r="C15899"/>
      <c r="J15899"/>
      <c r="K15899"/>
      <c r="L15899"/>
    </row>
    <row r="15900" spans="2:12" x14ac:dyDescent="0.2">
      <c r="B15900"/>
      <c r="C15900"/>
      <c r="J15900"/>
      <c r="K15900"/>
      <c r="L15900"/>
    </row>
    <row r="15901" spans="2:12" x14ac:dyDescent="0.2">
      <c r="B15901"/>
      <c r="C15901"/>
      <c r="J15901"/>
      <c r="K15901"/>
      <c r="L15901"/>
    </row>
    <row r="15902" spans="2:12" x14ac:dyDescent="0.2">
      <c r="B15902"/>
      <c r="C15902"/>
      <c r="J15902"/>
      <c r="K15902"/>
      <c r="L15902"/>
    </row>
    <row r="15903" spans="2:12" x14ac:dyDescent="0.2">
      <c r="B15903"/>
      <c r="C15903"/>
      <c r="J15903"/>
      <c r="K15903"/>
      <c r="L15903"/>
    </row>
    <row r="15904" spans="2:12" x14ac:dyDescent="0.2">
      <c r="B15904"/>
      <c r="C15904"/>
      <c r="J15904"/>
      <c r="K15904"/>
      <c r="L15904"/>
    </row>
    <row r="15905" spans="2:12" x14ac:dyDescent="0.2">
      <c r="B15905"/>
      <c r="C15905"/>
      <c r="J15905"/>
      <c r="K15905"/>
      <c r="L15905"/>
    </row>
    <row r="15906" spans="2:12" x14ac:dyDescent="0.2">
      <c r="B15906"/>
      <c r="C15906"/>
      <c r="J15906"/>
      <c r="K15906"/>
      <c r="L15906"/>
    </row>
    <row r="15907" spans="2:12" x14ac:dyDescent="0.2">
      <c r="B15907"/>
      <c r="C15907"/>
      <c r="J15907"/>
      <c r="K15907"/>
      <c r="L15907"/>
    </row>
    <row r="15908" spans="2:12" x14ac:dyDescent="0.2">
      <c r="B15908"/>
      <c r="C15908"/>
      <c r="J15908"/>
      <c r="K15908"/>
      <c r="L15908"/>
    </row>
    <row r="15909" spans="2:12" x14ac:dyDescent="0.2">
      <c r="B15909"/>
      <c r="C15909"/>
      <c r="J15909"/>
      <c r="K15909"/>
      <c r="L15909"/>
    </row>
    <row r="15910" spans="2:12" x14ac:dyDescent="0.2">
      <c r="B15910"/>
      <c r="C15910"/>
      <c r="J15910"/>
      <c r="K15910"/>
      <c r="L15910"/>
    </row>
    <row r="15911" spans="2:12" x14ac:dyDescent="0.2">
      <c r="B15911"/>
      <c r="C15911"/>
      <c r="J15911"/>
      <c r="K15911"/>
      <c r="L15911"/>
    </row>
    <row r="15912" spans="2:12" x14ac:dyDescent="0.2">
      <c r="B15912"/>
      <c r="C15912"/>
      <c r="J15912"/>
      <c r="K15912"/>
      <c r="L15912"/>
    </row>
    <row r="15913" spans="2:12" x14ac:dyDescent="0.2">
      <c r="B15913"/>
      <c r="C15913"/>
      <c r="J15913"/>
      <c r="K15913"/>
      <c r="L15913"/>
    </row>
    <row r="15914" spans="2:12" x14ac:dyDescent="0.2">
      <c r="B15914"/>
      <c r="C15914"/>
      <c r="J15914"/>
      <c r="K15914"/>
      <c r="L15914"/>
    </row>
    <row r="15915" spans="2:12" x14ac:dyDescent="0.2">
      <c r="B15915"/>
      <c r="C15915"/>
      <c r="J15915"/>
      <c r="K15915"/>
      <c r="L15915"/>
    </row>
    <row r="15916" spans="2:12" x14ac:dyDescent="0.2">
      <c r="B15916"/>
      <c r="C15916"/>
      <c r="J15916"/>
      <c r="K15916"/>
      <c r="L15916"/>
    </row>
    <row r="15917" spans="2:12" x14ac:dyDescent="0.2">
      <c r="B15917"/>
      <c r="C15917"/>
      <c r="J15917"/>
      <c r="K15917"/>
      <c r="L15917"/>
    </row>
    <row r="15918" spans="2:12" x14ac:dyDescent="0.2">
      <c r="B15918"/>
      <c r="C15918"/>
      <c r="J15918"/>
      <c r="K15918"/>
      <c r="L15918"/>
    </row>
    <row r="15919" spans="2:12" x14ac:dyDescent="0.2">
      <c r="B15919"/>
      <c r="C15919"/>
      <c r="J15919"/>
      <c r="K15919"/>
      <c r="L15919"/>
    </row>
    <row r="15920" spans="2:12" x14ac:dyDescent="0.2">
      <c r="B15920"/>
      <c r="C15920"/>
      <c r="J15920"/>
      <c r="K15920"/>
      <c r="L15920"/>
    </row>
    <row r="15921" spans="2:12" x14ac:dyDescent="0.2">
      <c r="B15921"/>
      <c r="C15921"/>
      <c r="J15921"/>
      <c r="K15921"/>
      <c r="L15921"/>
    </row>
    <row r="15922" spans="2:12" x14ac:dyDescent="0.2">
      <c r="B15922"/>
      <c r="C15922"/>
      <c r="J15922"/>
      <c r="K15922"/>
      <c r="L15922"/>
    </row>
    <row r="15923" spans="2:12" x14ac:dyDescent="0.2">
      <c r="B15923"/>
      <c r="C15923"/>
      <c r="J15923"/>
      <c r="K15923"/>
      <c r="L15923"/>
    </row>
    <row r="15924" spans="2:12" x14ac:dyDescent="0.2">
      <c r="B15924"/>
      <c r="C15924"/>
      <c r="J15924"/>
      <c r="K15924"/>
      <c r="L15924"/>
    </row>
    <row r="15925" spans="2:12" x14ac:dyDescent="0.2">
      <c r="B15925"/>
      <c r="C15925"/>
      <c r="J15925"/>
      <c r="K15925"/>
      <c r="L15925"/>
    </row>
    <row r="15926" spans="2:12" x14ac:dyDescent="0.2">
      <c r="B15926"/>
      <c r="C15926"/>
      <c r="J15926"/>
      <c r="K15926"/>
      <c r="L15926"/>
    </row>
    <row r="15927" spans="2:12" x14ac:dyDescent="0.2">
      <c r="B15927"/>
      <c r="C15927"/>
      <c r="J15927"/>
      <c r="K15927"/>
      <c r="L15927"/>
    </row>
    <row r="15928" spans="2:12" x14ac:dyDescent="0.2">
      <c r="B15928"/>
      <c r="C15928"/>
      <c r="J15928"/>
      <c r="K15928"/>
      <c r="L15928"/>
    </row>
    <row r="15929" spans="2:12" x14ac:dyDescent="0.2">
      <c r="B15929"/>
      <c r="C15929"/>
      <c r="J15929"/>
      <c r="K15929"/>
      <c r="L15929"/>
    </row>
    <row r="15930" spans="2:12" x14ac:dyDescent="0.2">
      <c r="B15930"/>
      <c r="C15930"/>
      <c r="J15930"/>
      <c r="K15930"/>
      <c r="L15930"/>
    </row>
    <row r="15931" spans="2:12" x14ac:dyDescent="0.2">
      <c r="B15931"/>
      <c r="C15931"/>
      <c r="J15931"/>
      <c r="K15931"/>
      <c r="L15931"/>
    </row>
    <row r="15932" spans="2:12" x14ac:dyDescent="0.2">
      <c r="B15932"/>
      <c r="C15932"/>
      <c r="J15932"/>
      <c r="K15932"/>
      <c r="L15932"/>
    </row>
    <row r="15933" spans="2:12" x14ac:dyDescent="0.2">
      <c r="B15933"/>
      <c r="C15933"/>
      <c r="J15933"/>
      <c r="K15933"/>
      <c r="L15933"/>
    </row>
    <row r="15934" spans="2:12" x14ac:dyDescent="0.2">
      <c r="B15934"/>
      <c r="C15934"/>
      <c r="J15934"/>
      <c r="K15934"/>
      <c r="L15934"/>
    </row>
    <row r="15935" spans="2:12" x14ac:dyDescent="0.2">
      <c r="B15935"/>
      <c r="C15935"/>
      <c r="J15935"/>
      <c r="K15935"/>
      <c r="L15935"/>
    </row>
    <row r="15936" spans="2:12" x14ac:dyDescent="0.2">
      <c r="B15936"/>
      <c r="C15936"/>
      <c r="J15936"/>
      <c r="K15936"/>
      <c r="L15936"/>
    </row>
    <row r="15937" spans="2:12" x14ac:dyDescent="0.2">
      <c r="B15937"/>
      <c r="C15937"/>
      <c r="J15937"/>
      <c r="K15937"/>
      <c r="L15937"/>
    </row>
    <row r="15938" spans="2:12" x14ac:dyDescent="0.2">
      <c r="B15938"/>
      <c r="C15938"/>
      <c r="J15938"/>
      <c r="K15938"/>
      <c r="L15938"/>
    </row>
    <row r="15939" spans="2:12" x14ac:dyDescent="0.2">
      <c r="B15939"/>
      <c r="C15939"/>
      <c r="J15939"/>
      <c r="K15939"/>
      <c r="L15939"/>
    </row>
    <row r="15940" spans="2:12" x14ac:dyDescent="0.2">
      <c r="B15940"/>
      <c r="C15940"/>
      <c r="J15940"/>
      <c r="K15940"/>
      <c r="L15940"/>
    </row>
    <row r="15941" spans="2:12" x14ac:dyDescent="0.2">
      <c r="B15941"/>
      <c r="C15941"/>
      <c r="J15941"/>
      <c r="K15941"/>
      <c r="L15941"/>
    </row>
    <row r="15942" spans="2:12" x14ac:dyDescent="0.2">
      <c r="B15942"/>
      <c r="C15942"/>
      <c r="J15942"/>
      <c r="K15942"/>
      <c r="L15942"/>
    </row>
    <row r="15943" spans="2:12" x14ac:dyDescent="0.2">
      <c r="B15943"/>
      <c r="C15943"/>
      <c r="J15943"/>
      <c r="K15943"/>
      <c r="L15943"/>
    </row>
    <row r="15944" spans="2:12" x14ac:dyDescent="0.2">
      <c r="B15944"/>
      <c r="C15944"/>
      <c r="J15944"/>
      <c r="K15944"/>
      <c r="L15944"/>
    </row>
    <row r="15945" spans="2:12" x14ac:dyDescent="0.2">
      <c r="B15945"/>
      <c r="C15945"/>
      <c r="J15945"/>
      <c r="K15945"/>
      <c r="L15945"/>
    </row>
    <row r="15946" spans="2:12" x14ac:dyDescent="0.2">
      <c r="B15946"/>
      <c r="C15946"/>
      <c r="J15946"/>
      <c r="K15946"/>
      <c r="L15946"/>
    </row>
    <row r="15947" spans="2:12" x14ac:dyDescent="0.2">
      <c r="B15947"/>
      <c r="C15947"/>
      <c r="J15947"/>
      <c r="K15947"/>
      <c r="L15947"/>
    </row>
    <row r="15948" spans="2:12" x14ac:dyDescent="0.2">
      <c r="B15948"/>
      <c r="C15948"/>
      <c r="J15948"/>
      <c r="K15948"/>
      <c r="L15948"/>
    </row>
    <row r="15949" spans="2:12" x14ac:dyDescent="0.2">
      <c r="B15949"/>
      <c r="C15949"/>
      <c r="J15949"/>
      <c r="K15949"/>
      <c r="L15949"/>
    </row>
    <row r="15950" spans="2:12" x14ac:dyDescent="0.2">
      <c r="B15950"/>
      <c r="C15950"/>
      <c r="J15950"/>
      <c r="K15950"/>
      <c r="L15950"/>
    </row>
    <row r="15951" spans="2:12" x14ac:dyDescent="0.2">
      <c r="B15951"/>
      <c r="C15951"/>
      <c r="J15951"/>
      <c r="K15951"/>
      <c r="L15951"/>
    </row>
    <row r="15952" spans="2:12" x14ac:dyDescent="0.2">
      <c r="B15952"/>
      <c r="C15952"/>
      <c r="J15952"/>
      <c r="K15952"/>
      <c r="L15952"/>
    </row>
    <row r="15953" spans="2:12" x14ac:dyDescent="0.2">
      <c r="B15953"/>
      <c r="C15953"/>
      <c r="J15953"/>
      <c r="K15953"/>
      <c r="L15953"/>
    </row>
    <row r="15954" spans="2:12" x14ac:dyDescent="0.2">
      <c r="B15954"/>
      <c r="C15954"/>
      <c r="J15954"/>
      <c r="K15954"/>
      <c r="L15954"/>
    </row>
    <row r="15955" spans="2:12" x14ac:dyDescent="0.2">
      <c r="B15955"/>
      <c r="C15955"/>
      <c r="J15955"/>
      <c r="K15955"/>
      <c r="L15955"/>
    </row>
    <row r="15956" spans="2:12" x14ac:dyDescent="0.2">
      <c r="B15956"/>
      <c r="C15956"/>
      <c r="J15956"/>
      <c r="K15956"/>
      <c r="L15956"/>
    </row>
    <row r="15957" spans="2:12" x14ac:dyDescent="0.2">
      <c r="B15957"/>
      <c r="C15957"/>
      <c r="J15957"/>
      <c r="K15957"/>
      <c r="L15957"/>
    </row>
    <row r="15958" spans="2:12" x14ac:dyDescent="0.2">
      <c r="B15958"/>
      <c r="C15958"/>
      <c r="J15958"/>
      <c r="K15958"/>
      <c r="L15958"/>
    </row>
    <row r="15959" spans="2:12" x14ac:dyDescent="0.2">
      <c r="B15959"/>
      <c r="C15959"/>
      <c r="J15959"/>
      <c r="K15959"/>
      <c r="L15959"/>
    </row>
    <row r="15960" spans="2:12" x14ac:dyDescent="0.2">
      <c r="B15960"/>
      <c r="C15960"/>
      <c r="J15960"/>
      <c r="K15960"/>
      <c r="L15960"/>
    </row>
    <row r="15961" spans="2:12" x14ac:dyDescent="0.2">
      <c r="B15961"/>
      <c r="C15961"/>
      <c r="J15961"/>
      <c r="K15961"/>
      <c r="L15961"/>
    </row>
    <row r="15962" spans="2:12" x14ac:dyDescent="0.2">
      <c r="B15962"/>
      <c r="C15962"/>
      <c r="J15962"/>
      <c r="K15962"/>
      <c r="L15962"/>
    </row>
    <row r="15963" spans="2:12" x14ac:dyDescent="0.2">
      <c r="B15963"/>
      <c r="C15963"/>
      <c r="J15963"/>
      <c r="K15963"/>
      <c r="L15963"/>
    </row>
    <row r="15964" spans="2:12" x14ac:dyDescent="0.2">
      <c r="B15964"/>
      <c r="C15964"/>
      <c r="J15964"/>
      <c r="K15964"/>
      <c r="L15964"/>
    </row>
    <row r="15965" spans="2:12" x14ac:dyDescent="0.2">
      <c r="B15965"/>
      <c r="C15965"/>
      <c r="J15965"/>
      <c r="K15965"/>
      <c r="L15965"/>
    </row>
    <row r="15966" spans="2:12" x14ac:dyDescent="0.2">
      <c r="B15966"/>
      <c r="C15966"/>
      <c r="J15966"/>
      <c r="K15966"/>
      <c r="L15966"/>
    </row>
    <row r="15967" spans="2:12" x14ac:dyDescent="0.2">
      <c r="B15967"/>
      <c r="C15967"/>
      <c r="J15967"/>
      <c r="K15967"/>
      <c r="L15967"/>
    </row>
    <row r="15968" spans="2:12" x14ac:dyDescent="0.2">
      <c r="B15968"/>
      <c r="C15968"/>
      <c r="J15968"/>
      <c r="K15968"/>
      <c r="L15968"/>
    </row>
    <row r="15969" spans="2:12" x14ac:dyDescent="0.2">
      <c r="B15969"/>
      <c r="C15969"/>
      <c r="J15969"/>
      <c r="K15969"/>
      <c r="L15969"/>
    </row>
    <row r="15970" spans="2:12" x14ac:dyDescent="0.2">
      <c r="B15970"/>
      <c r="C15970"/>
      <c r="J15970"/>
      <c r="K15970"/>
      <c r="L15970"/>
    </row>
    <row r="15971" spans="2:12" x14ac:dyDescent="0.2">
      <c r="B15971"/>
      <c r="C15971"/>
      <c r="J15971"/>
      <c r="K15971"/>
      <c r="L15971"/>
    </row>
    <row r="15972" spans="2:12" x14ac:dyDescent="0.2">
      <c r="B15972"/>
      <c r="C15972"/>
      <c r="J15972"/>
      <c r="K15972"/>
      <c r="L15972"/>
    </row>
    <row r="15973" spans="2:12" x14ac:dyDescent="0.2">
      <c r="B15973"/>
      <c r="C15973"/>
      <c r="J15973"/>
      <c r="K15973"/>
      <c r="L15973"/>
    </row>
    <row r="15974" spans="2:12" x14ac:dyDescent="0.2">
      <c r="B15974"/>
      <c r="C15974"/>
      <c r="J15974"/>
      <c r="K15974"/>
      <c r="L15974"/>
    </row>
    <row r="15975" spans="2:12" x14ac:dyDescent="0.2">
      <c r="B15975"/>
      <c r="C15975"/>
      <c r="J15975"/>
      <c r="K15975"/>
      <c r="L15975"/>
    </row>
    <row r="15976" spans="2:12" x14ac:dyDescent="0.2">
      <c r="B15976"/>
      <c r="C15976"/>
      <c r="J15976"/>
      <c r="K15976"/>
      <c r="L15976"/>
    </row>
    <row r="15977" spans="2:12" x14ac:dyDescent="0.2">
      <c r="B15977"/>
      <c r="C15977"/>
      <c r="J15977"/>
      <c r="K15977"/>
      <c r="L15977"/>
    </row>
    <row r="15978" spans="2:12" x14ac:dyDescent="0.2">
      <c r="B15978"/>
      <c r="C15978"/>
      <c r="J15978"/>
      <c r="K15978"/>
      <c r="L15978"/>
    </row>
    <row r="15979" spans="2:12" x14ac:dyDescent="0.2">
      <c r="B15979"/>
      <c r="C15979"/>
      <c r="J15979"/>
      <c r="K15979"/>
      <c r="L15979"/>
    </row>
    <row r="15980" spans="2:12" x14ac:dyDescent="0.2">
      <c r="B15980"/>
      <c r="C15980"/>
      <c r="J15980"/>
      <c r="K15980"/>
      <c r="L15980"/>
    </row>
    <row r="15981" spans="2:12" x14ac:dyDescent="0.2">
      <c r="B15981"/>
      <c r="C15981"/>
      <c r="J15981"/>
      <c r="K15981"/>
      <c r="L15981"/>
    </row>
    <row r="15982" spans="2:12" x14ac:dyDescent="0.2">
      <c r="B15982"/>
      <c r="C15982"/>
      <c r="J15982"/>
      <c r="K15982"/>
      <c r="L15982"/>
    </row>
    <row r="15983" spans="2:12" x14ac:dyDescent="0.2">
      <c r="B15983"/>
      <c r="C15983"/>
      <c r="J15983"/>
      <c r="K15983"/>
      <c r="L15983"/>
    </row>
    <row r="15984" spans="2:12" x14ac:dyDescent="0.2">
      <c r="B15984"/>
      <c r="C15984"/>
      <c r="J15984"/>
      <c r="K15984"/>
      <c r="L15984"/>
    </row>
    <row r="15985" spans="2:12" x14ac:dyDescent="0.2">
      <c r="B15985"/>
      <c r="C15985"/>
      <c r="J15985"/>
      <c r="K15985"/>
      <c r="L15985"/>
    </row>
    <row r="15986" spans="2:12" x14ac:dyDescent="0.2">
      <c r="B15986"/>
      <c r="C15986"/>
      <c r="J15986"/>
      <c r="K15986"/>
      <c r="L15986"/>
    </row>
    <row r="15987" spans="2:12" x14ac:dyDescent="0.2">
      <c r="B15987"/>
      <c r="C15987"/>
      <c r="J15987"/>
      <c r="K15987"/>
      <c r="L15987"/>
    </row>
    <row r="15988" spans="2:12" x14ac:dyDescent="0.2">
      <c r="B15988"/>
      <c r="C15988"/>
      <c r="J15988"/>
      <c r="K15988"/>
      <c r="L15988"/>
    </row>
    <row r="15989" spans="2:12" x14ac:dyDescent="0.2">
      <c r="B15989"/>
      <c r="C15989"/>
      <c r="J15989"/>
      <c r="K15989"/>
      <c r="L15989"/>
    </row>
    <row r="15990" spans="2:12" x14ac:dyDescent="0.2">
      <c r="B15990"/>
      <c r="C15990"/>
      <c r="J15990"/>
      <c r="K15990"/>
      <c r="L15990"/>
    </row>
    <row r="15991" spans="2:12" x14ac:dyDescent="0.2">
      <c r="B15991"/>
      <c r="C15991"/>
      <c r="J15991"/>
      <c r="K15991"/>
      <c r="L15991"/>
    </row>
    <row r="15992" spans="2:12" x14ac:dyDescent="0.2">
      <c r="B15992"/>
      <c r="C15992"/>
      <c r="J15992"/>
      <c r="K15992"/>
      <c r="L15992"/>
    </row>
    <row r="15993" spans="2:12" x14ac:dyDescent="0.2">
      <c r="B15993"/>
      <c r="C15993"/>
      <c r="J15993"/>
      <c r="K15993"/>
      <c r="L15993"/>
    </row>
    <row r="15994" spans="2:12" x14ac:dyDescent="0.2">
      <c r="B15994"/>
      <c r="C15994"/>
      <c r="J15994"/>
      <c r="K15994"/>
      <c r="L15994"/>
    </row>
    <row r="15995" spans="2:12" x14ac:dyDescent="0.2">
      <c r="B15995"/>
      <c r="C15995"/>
      <c r="J15995"/>
      <c r="K15995"/>
      <c r="L15995"/>
    </row>
    <row r="15996" spans="2:12" x14ac:dyDescent="0.2">
      <c r="B15996"/>
      <c r="C15996"/>
      <c r="J15996"/>
      <c r="K15996"/>
      <c r="L15996"/>
    </row>
    <row r="15997" spans="2:12" x14ac:dyDescent="0.2">
      <c r="B15997"/>
      <c r="C15997"/>
      <c r="J15997"/>
      <c r="K15997"/>
      <c r="L15997"/>
    </row>
    <row r="15998" spans="2:12" x14ac:dyDescent="0.2">
      <c r="B15998"/>
      <c r="C15998"/>
      <c r="J15998"/>
      <c r="K15998"/>
      <c r="L15998"/>
    </row>
    <row r="15999" spans="2:12" x14ac:dyDescent="0.2">
      <c r="B15999"/>
      <c r="C15999"/>
      <c r="J15999"/>
      <c r="K15999"/>
      <c r="L15999"/>
    </row>
    <row r="16000" spans="2:12" x14ac:dyDescent="0.2">
      <c r="B16000"/>
      <c r="C16000"/>
      <c r="J16000"/>
      <c r="K16000"/>
      <c r="L16000"/>
    </row>
    <row r="16001" spans="2:12" x14ac:dyDescent="0.2">
      <c r="B16001"/>
      <c r="C16001"/>
      <c r="J16001"/>
      <c r="K16001"/>
      <c r="L16001"/>
    </row>
    <row r="16002" spans="2:12" x14ac:dyDescent="0.2">
      <c r="B16002"/>
      <c r="C16002"/>
      <c r="J16002"/>
      <c r="K16002"/>
      <c r="L16002"/>
    </row>
    <row r="16003" spans="2:12" x14ac:dyDescent="0.2">
      <c r="B16003"/>
      <c r="C16003"/>
      <c r="J16003"/>
      <c r="K16003"/>
      <c r="L16003"/>
    </row>
    <row r="16004" spans="2:12" x14ac:dyDescent="0.2">
      <c r="B16004"/>
      <c r="C16004"/>
      <c r="J16004"/>
      <c r="K16004"/>
      <c r="L16004"/>
    </row>
    <row r="16005" spans="2:12" x14ac:dyDescent="0.2">
      <c r="B16005"/>
      <c r="C16005"/>
      <c r="J16005"/>
      <c r="K16005"/>
      <c r="L16005"/>
    </row>
    <row r="16006" spans="2:12" x14ac:dyDescent="0.2">
      <c r="B16006"/>
      <c r="C16006"/>
      <c r="J16006"/>
      <c r="K16006"/>
      <c r="L16006"/>
    </row>
    <row r="16007" spans="2:12" x14ac:dyDescent="0.2">
      <c r="B16007"/>
      <c r="C16007"/>
      <c r="J16007"/>
      <c r="K16007"/>
      <c r="L16007"/>
    </row>
    <row r="16008" spans="2:12" x14ac:dyDescent="0.2">
      <c r="B16008"/>
      <c r="C16008"/>
      <c r="J16008"/>
      <c r="K16008"/>
      <c r="L16008"/>
    </row>
    <row r="16009" spans="2:12" x14ac:dyDescent="0.2">
      <c r="B16009"/>
      <c r="C16009"/>
      <c r="J16009"/>
      <c r="K16009"/>
      <c r="L16009"/>
    </row>
    <row r="16010" spans="2:12" x14ac:dyDescent="0.2">
      <c r="B16010"/>
      <c r="C16010"/>
      <c r="J16010"/>
      <c r="K16010"/>
      <c r="L16010"/>
    </row>
    <row r="16011" spans="2:12" x14ac:dyDescent="0.2">
      <c r="B16011"/>
      <c r="C16011"/>
      <c r="J16011"/>
      <c r="K16011"/>
      <c r="L16011"/>
    </row>
    <row r="16012" spans="2:12" x14ac:dyDescent="0.2">
      <c r="B16012"/>
      <c r="C16012"/>
      <c r="J16012"/>
      <c r="K16012"/>
      <c r="L16012"/>
    </row>
    <row r="16013" spans="2:12" x14ac:dyDescent="0.2">
      <c r="B16013"/>
      <c r="C16013"/>
      <c r="J16013"/>
      <c r="K16013"/>
      <c r="L16013"/>
    </row>
    <row r="16014" spans="2:12" x14ac:dyDescent="0.2">
      <c r="B16014"/>
      <c r="C16014"/>
      <c r="J16014"/>
      <c r="K16014"/>
      <c r="L16014"/>
    </row>
    <row r="16015" spans="2:12" x14ac:dyDescent="0.2">
      <c r="B16015"/>
      <c r="C16015"/>
      <c r="J16015"/>
      <c r="K16015"/>
      <c r="L16015"/>
    </row>
    <row r="16016" spans="2:12" x14ac:dyDescent="0.2">
      <c r="B16016"/>
      <c r="C16016"/>
      <c r="J16016"/>
      <c r="K16016"/>
      <c r="L16016"/>
    </row>
    <row r="16017" spans="2:12" x14ac:dyDescent="0.2">
      <c r="B16017"/>
      <c r="C16017"/>
      <c r="J16017"/>
      <c r="K16017"/>
      <c r="L16017"/>
    </row>
    <row r="16018" spans="2:12" x14ac:dyDescent="0.2">
      <c r="B16018"/>
      <c r="C16018"/>
      <c r="J16018"/>
      <c r="K16018"/>
      <c r="L16018"/>
    </row>
    <row r="16019" spans="2:12" x14ac:dyDescent="0.2">
      <c r="B16019"/>
      <c r="C16019"/>
      <c r="J16019"/>
      <c r="K16019"/>
      <c r="L16019"/>
    </row>
    <row r="16020" spans="2:12" x14ac:dyDescent="0.2">
      <c r="B16020"/>
      <c r="C16020"/>
      <c r="J16020"/>
      <c r="K16020"/>
      <c r="L16020"/>
    </row>
    <row r="16021" spans="2:12" x14ac:dyDescent="0.2">
      <c r="B16021"/>
      <c r="C16021"/>
      <c r="J16021"/>
      <c r="K16021"/>
      <c r="L16021"/>
    </row>
    <row r="16022" spans="2:12" x14ac:dyDescent="0.2">
      <c r="B16022"/>
      <c r="C16022"/>
      <c r="J16022"/>
      <c r="K16022"/>
      <c r="L16022"/>
    </row>
    <row r="16023" spans="2:12" x14ac:dyDescent="0.2">
      <c r="B16023"/>
      <c r="C16023"/>
      <c r="J16023"/>
      <c r="K16023"/>
      <c r="L16023"/>
    </row>
    <row r="16024" spans="2:12" x14ac:dyDescent="0.2">
      <c r="B16024"/>
      <c r="C16024"/>
      <c r="J16024"/>
      <c r="K16024"/>
      <c r="L16024"/>
    </row>
    <row r="16025" spans="2:12" x14ac:dyDescent="0.2">
      <c r="B16025"/>
      <c r="C16025"/>
      <c r="J16025"/>
      <c r="K16025"/>
      <c r="L16025"/>
    </row>
    <row r="16026" spans="2:12" x14ac:dyDescent="0.2">
      <c r="B16026"/>
      <c r="C16026"/>
      <c r="J16026"/>
      <c r="K16026"/>
      <c r="L16026"/>
    </row>
    <row r="16027" spans="2:12" x14ac:dyDescent="0.2">
      <c r="B16027"/>
      <c r="C16027"/>
      <c r="J16027"/>
      <c r="K16027"/>
      <c r="L16027"/>
    </row>
    <row r="16028" spans="2:12" x14ac:dyDescent="0.2">
      <c r="B16028"/>
      <c r="C16028"/>
      <c r="J16028"/>
      <c r="K16028"/>
      <c r="L16028"/>
    </row>
    <row r="16029" spans="2:12" x14ac:dyDescent="0.2">
      <c r="B16029"/>
      <c r="C16029"/>
      <c r="J16029"/>
      <c r="K16029"/>
      <c r="L16029"/>
    </row>
    <row r="16030" spans="2:12" x14ac:dyDescent="0.2">
      <c r="B16030"/>
      <c r="C16030"/>
      <c r="J16030"/>
      <c r="K16030"/>
      <c r="L16030"/>
    </row>
    <row r="16031" spans="2:12" x14ac:dyDescent="0.2">
      <c r="B16031"/>
      <c r="C16031"/>
      <c r="J16031"/>
      <c r="K16031"/>
      <c r="L16031"/>
    </row>
    <row r="16032" spans="2:12" x14ac:dyDescent="0.2">
      <c r="B16032"/>
      <c r="C16032"/>
      <c r="J16032"/>
      <c r="K16032"/>
      <c r="L16032"/>
    </row>
    <row r="16033" spans="2:12" x14ac:dyDescent="0.2">
      <c r="B16033"/>
      <c r="C16033"/>
      <c r="J16033"/>
      <c r="K16033"/>
      <c r="L16033"/>
    </row>
    <row r="16034" spans="2:12" x14ac:dyDescent="0.2">
      <c r="B16034"/>
      <c r="C16034"/>
      <c r="J16034"/>
      <c r="K16034"/>
      <c r="L16034"/>
    </row>
    <row r="16035" spans="2:12" x14ac:dyDescent="0.2">
      <c r="B16035"/>
      <c r="C16035"/>
      <c r="J16035"/>
      <c r="K16035"/>
      <c r="L16035"/>
    </row>
    <row r="16036" spans="2:12" x14ac:dyDescent="0.2">
      <c r="B16036"/>
      <c r="C16036"/>
      <c r="J16036"/>
      <c r="K16036"/>
      <c r="L16036"/>
    </row>
    <row r="16037" spans="2:12" x14ac:dyDescent="0.2">
      <c r="B16037"/>
      <c r="C16037"/>
      <c r="J16037"/>
      <c r="K16037"/>
      <c r="L16037"/>
    </row>
    <row r="16038" spans="2:12" x14ac:dyDescent="0.2">
      <c r="B16038"/>
      <c r="C16038"/>
      <c r="J16038"/>
      <c r="K16038"/>
      <c r="L16038"/>
    </row>
    <row r="16039" spans="2:12" x14ac:dyDescent="0.2">
      <c r="B16039"/>
      <c r="C16039"/>
      <c r="J16039"/>
      <c r="K16039"/>
      <c r="L16039"/>
    </row>
    <row r="16040" spans="2:12" x14ac:dyDescent="0.2">
      <c r="B16040"/>
      <c r="C16040"/>
      <c r="J16040"/>
      <c r="K16040"/>
      <c r="L16040"/>
    </row>
    <row r="16041" spans="2:12" x14ac:dyDescent="0.2">
      <c r="B16041"/>
      <c r="C16041"/>
      <c r="J16041"/>
      <c r="K16041"/>
      <c r="L16041"/>
    </row>
    <row r="16042" spans="2:12" x14ac:dyDescent="0.2">
      <c r="B16042"/>
      <c r="C16042"/>
      <c r="J16042"/>
      <c r="K16042"/>
      <c r="L16042"/>
    </row>
    <row r="16043" spans="2:12" x14ac:dyDescent="0.2">
      <c r="B16043"/>
      <c r="C16043"/>
      <c r="J16043"/>
      <c r="K16043"/>
      <c r="L16043"/>
    </row>
    <row r="16044" spans="2:12" x14ac:dyDescent="0.2">
      <c r="B16044"/>
      <c r="C16044"/>
      <c r="J16044"/>
      <c r="K16044"/>
      <c r="L16044"/>
    </row>
    <row r="16045" spans="2:12" x14ac:dyDescent="0.2">
      <c r="B16045"/>
      <c r="C16045"/>
      <c r="J16045"/>
      <c r="K16045"/>
      <c r="L16045"/>
    </row>
    <row r="16046" spans="2:12" x14ac:dyDescent="0.2">
      <c r="B16046"/>
      <c r="C16046"/>
      <c r="J16046"/>
      <c r="K16046"/>
      <c r="L16046"/>
    </row>
    <row r="16047" spans="2:12" x14ac:dyDescent="0.2">
      <c r="B16047"/>
      <c r="C16047"/>
      <c r="J16047"/>
      <c r="K16047"/>
      <c r="L16047"/>
    </row>
    <row r="16048" spans="2:12" x14ac:dyDescent="0.2">
      <c r="B16048"/>
      <c r="C16048"/>
      <c r="J16048"/>
      <c r="K16048"/>
      <c r="L16048"/>
    </row>
    <row r="16049" spans="2:12" x14ac:dyDescent="0.2">
      <c r="B16049"/>
      <c r="C16049"/>
      <c r="J16049"/>
      <c r="K16049"/>
      <c r="L16049"/>
    </row>
    <row r="16050" spans="2:12" x14ac:dyDescent="0.2">
      <c r="B16050"/>
      <c r="C16050"/>
      <c r="J16050"/>
      <c r="K16050"/>
      <c r="L16050"/>
    </row>
    <row r="16051" spans="2:12" x14ac:dyDescent="0.2">
      <c r="B16051"/>
      <c r="C16051"/>
      <c r="J16051"/>
      <c r="K16051"/>
      <c r="L16051"/>
    </row>
    <row r="16052" spans="2:12" x14ac:dyDescent="0.2">
      <c r="B16052"/>
      <c r="C16052"/>
      <c r="J16052"/>
      <c r="K16052"/>
      <c r="L16052"/>
    </row>
    <row r="16053" spans="2:12" x14ac:dyDescent="0.2">
      <c r="B16053"/>
      <c r="C16053"/>
      <c r="J16053"/>
      <c r="K16053"/>
      <c r="L16053"/>
    </row>
    <row r="16054" spans="2:12" x14ac:dyDescent="0.2">
      <c r="B16054"/>
      <c r="C16054"/>
      <c r="J16054"/>
      <c r="K16054"/>
      <c r="L16054"/>
    </row>
    <row r="16055" spans="2:12" x14ac:dyDescent="0.2">
      <c r="B16055"/>
      <c r="C16055"/>
      <c r="J16055"/>
      <c r="K16055"/>
      <c r="L16055"/>
    </row>
    <row r="16056" spans="2:12" x14ac:dyDescent="0.2">
      <c r="B16056"/>
      <c r="C16056"/>
      <c r="J16056"/>
      <c r="K16056"/>
      <c r="L16056"/>
    </row>
    <row r="16057" spans="2:12" x14ac:dyDescent="0.2">
      <c r="B16057"/>
      <c r="C16057"/>
      <c r="J16057"/>
      <c r="K16057"/>
      <c r="L16057"/>
    </row>
    <row r="16058" spans="2:12" x14ac:dyDescent="0.2">
      <c r="B16058"/>
      <c r="C16058"/>
      <c r="J16058"/>
      <c r="K16058"/>
      <c r="L16058"/>
    </row>
    <row r="16059" spans="2:12" x14ac:dyDescent="0.2">
      <c r="B16059"/>
      <c r="C16059"/>
      <c r="J16059"/>
      <c r="K16059"/>
      <c r="L16059"/>
    </row>
    <row r="16060" spans="2:12" x14ac:dyDescent="0.2">
      <c r="B16060"/>
      <c r="C16060"/>
      <c r="J16060"/>
      <c r="K16060"/>
      <c r="L16060"/>
    </row>
    <row r="16061" spans="2:12" x14ac:dyDescent="0.2">
      <c r="B16061"/>
      <c r="C16061"/>
      <c r="J16061"/>
      <c r="K16061"/>
      <c r="L16061"/>
    </row>
    <row r="16062" spans="2:12" x14ac:dyDescent="0.2">
      <c r="B16062"/>
      <c r="C16062"/>
      <c r="J16062"/>
      <c r="K16062"/>
      <c r="L16062"/>
    </row>
    <row r="16063" spans="2:12" x14ac:dyDescent="0.2">
      <c r="B16063"/>
      <c r="C16063"/>
      <c r="J16063"/>
      <c r="K16063"/>
      <c r="L16063"/>
    </row>
    <row r="16064" spans="2:12" x14ac:dyDescent="0.2">
      <c r="B16064"/>
      <c r="C16064"/>
      <c r="J16064"/>
      <c r="K16064"/>
      <c r="L16064"/>
    </row>
    <row r="16065" spans="2:12" x14ac:dyDescent="0.2">
      <c r="B16065"/>
      <c r="C16065"/>
      <c r="J16065"/>
      <c r="K16065"/>
      <c r="L16065"/>
    </row>
    <row r="16066" spans="2:12" x14ac:dyDescent="0.2">
      <c r="B16066"/>
      <c r="C16066"/>
      <c r="J16066"/>
      <c r="K16066"/>
      <c r="L16066"/>
    </row>
    <row r="16067" spans="2:12" x14ac:dyDescent="0.2">
      <c r="B16067"/>
      <c r="C16067"/>
      <c r="J16067"/>
      <c r="K16067"/>
      <c r="L16067"/>
    </row>
    <row r="16068" spans="2:12" x14ac:dyDescent="0.2">
      <c r="B16068"/>
      <c r="C16068"/>
      <c r="J16068"/>
      <c r="K16068"/>
      <c r="L16068"/>
    </row>
    <row r="16069" spans="2:12" x14ac:dyDescent="0.2">
      <c r="B16069"/>
      <c r="C16069"/>
      <c r="J16069"/>
      <c r="K16069"/>
      <c r="L16069"/>
    </row>
    <row r="16070" spans="2:12" x14ac:dyDescent="0.2">
      <c r="B16070"/>
      <c r="C16070"/>
      <c r="J16070"/>
      <c r="K16070"/>
      <c r="L16070"/>
    </row>
    <row r="16071" spans="2:12" x14ac:dyDescent="0.2">
      <c r="B16071"/>
      <c r="C16071"/>
      <c r="J16071"/>
      <c r="K16071"/>
      <c r="L16071"/>
    </row>
    <row r="16072" spans="2:12" x14ac:dyDescent="0.2">
      <c r="B16072"/>
      <c r="C16072"/>
      <c r="J16072"/>
      <c r="K16072"/>
      <c r="L16072"/>
    </row>
    <row r="16073" spans="2:12" x14ac:dyDescent="0.2">
      <c r="B16073"/>
      <c r="C16073"/>
      <c r="J16073"/>
      <c r="K16073"/>
      <c r="L16073"/>
    </row>
    <row r="16074" spans="2:12" x14ac:dyDescent="0.2">
      <c r="B16074"/>
      <c r="C16074"/>
      <c r="J16074"/>
      <c r="K16074"/>
      <c r="L16074"/>
    </row>
    <row r="16075" spans="2:12" x14ac:dyDescent="0.2">
      <c r="B16075"/>
      <c r="C16075"/>
      <c r="J16075"/>
      <c r="K16075"/>
      <c r="L16075"/>
    </row>
    <row r="16076" spans="2:12" x14ac:dyDescent="0.2">
      <c r="B16076"/>
      <c r="C16076"/>
      <c r="J16076"/>
      <c r="K16076"/>
      <c r="L16076"/>
    </row>
    <row r="16077" spans="2:12" x14ac:dyDescent="0.2">
      <c r="B16077"/>
      <c r="C16077"/>
      <c r="J16077"/>
      <c r="K16077"/>
      <c r="L16077"/>
    </row>
    <row r="16078" spans="2:12" x14ac:dyDescent="0.2">
      <c r="B16078"/>
      <c r="C16078"/>
      <c r="J16078"/>
      <c r="K16078"/>
      <c r="L16078"/>
    </row>
    <row r="16079" spans="2:12" x14ac:dyDescent="0.2">
      <c r="B16079"/>
      <c r="C16079"/>
      <c r="J16079"/>
      <c r="K16079"/>
      <c r="L16079"/>
    </row>
    <row r="16080" spans="2:12" x14ac:dyDescent="0.2">
      <c r="B16080"/>
      <c r="C16080"/>
      <c r="J16080"/>
      <c r="K16080"/>
      <c r="L16080"/>
    </row>
    <row r="16081" spans="2:12" x14ac:dyDescent="0.2">
      <c r="B16081"/>
      <c r="C16081"/>
      <c r="J16081"/>
      <c r="K16081"/>
      <c r="L16081"/>
    </row>
    <row r="16082" spans="2:12" x14ac:dyDescent="0.2">
      <c r="B16082"/>
      <c r="C16082"/>
      <c r="J16082"/>
      <c r="K16082"/>
      <c r="L16082"/>
    </row>
    <row r="16083" spans="2:12" x14ac:dyDescent="0.2">
      <c r="B16083"/>
      <c r="C16083"/>
      <c r="J16083"/>
      <c r="K16083"/>
      <c r="L16083"/>
    </row>
    <row r="16084" spans="2:12" x14ac:dyDescent="0.2">
      <c r="B16084"/>
      <c r="C16084"/>
      <c r="J16084"/>
      <c r="K16084"/>
      <c r="L16084"/>
    </row>
    <row r="16085" spans="2:12" x14ac:dyDescent="0.2">
      <c r="B16085"/>
      <c r="C16085"/>
      <c r="J16085"/>
      <c r="K16085"/>
      <c r="L16085"/>
    </row>
    <row r="16086" spans="2:12" x14ac:dyDescent="0.2">
      <c r="B16086"/>
      <c r="C16086"/>
      <c r="J16086"/>
      <c r="K16086"/>
      <c r="L16086"/>
    </row>
    <row r="16087" spans="2:12" x14ac:dyDescent="0.2">
      <c r="B16087"/>
      <c r="C16087"/>
      <c r="J16087"/>
      <c r="K16087"/>
      <c r="L16087"/>
    </row>
    <row r="16088" spans="2:12" x14ac:dyDescent="0.2">
      <c r="B16088"/>
      <c r="C16088"/>
      <c r="J16088"/>
      <c r="K16088"/>
      <c r="L16088"/>
    </row>
    <row r="16089" spans="2:12" x14ac:dyDescent="0.2">
      <c r="B16089"/>
      <c r="C16089"/>
      <c r="J16089"/>
      <c r="K16089"/>
      <c r="L16089"/>
    </row>
    <row r="16090" spans="2:12" x14ac:dyDescent="0.2">
      <c r="B16090"/>
      <c r="C16090"/>
      <c r="J16090"/>
      <c r="K16090"/>
      <c r="L16090"/>
    </row>
    <row r="16091" spans="2:12" x14ac:dyDescent="0.2">
      <c r="B16091"/>
      <c r="C16091"/>
      <c r="J16091"/>
      <c r="K16091"/>
      <c r="L16091"/>
    </row>
    <row r="16092" spans="2:12" x14ac:dyDescent="0.2">
      <c r="B16092"/>
      <c r="C16092"/>
      <c r="J16092"/>
      <c r="K16092"/>
      <c r="L16092"/>
    </row>
    <row r="16093" spans="2:12" x14ac:dyDescent="0.2">
      <c r="B16093"/>
      <c r="C16093"/>
      <c r="J16093"/>
      <c r="K16093"/>
      <c r="L16093"/>
    </row>
    <row r="16094" spans="2:12" x14ac:dyDescent="0.2">
      <c r="B16094"/>
      <c r="C16094"/>
      <c r="J16094"/>
      <c r="K16094"/>
      <c r="L16094"/>
    </row>
    <row r="16095" spans="2:12" x14ac:dyDescent="0.2">
      <c r="B16095"/>
      <c r="C16095"/>
      <c r="J16095"/>
      <c r="K16095"/>
      <c r="L16095"/>
    </row>
    <row r="16096" spans="2:12" x14ac:dyDescent="0.2">
      <c r="B16096"/>
      <c r="C16096"/>
      <c r="J16096"/>
      <c r="K16096"/>
      <c r="L16096"/>
    </row>
    <row r="16097" spans="2:12" x14ac:dyDescent="0.2">
      <c r="B16097"/>
      <c r="C16097"/>
      <c r="J16097"/>
      <c r="K16097"/>
      <c r="L16097"/>
    </row>
    <row r="16098" spans="2:12" x14ac:dyDescent="0.2">
      <c r="B16098"/>
      <c r="C16098"/>
      <c r="J16098"/>
      <c r="K16098"/>
      <c r="L16098"/>
    </row>
    <row r="16099" spans="2:12" x14ac:dyDescent="0.2">
      <c r="B16099"/>
      <c r="C16099"/>
      <c r="J16099"/>
      <c r="K16099"/>
      <c r="L16099"/>
    </row>
    <row r="16100" spans="2:12" x14ac:dyDescent="0.2">
      <c r="B16100"/>
      <c r="C16100"/>
      <c r="J16100"/>
      <c r="K16100"/>
      <c r="L16100"/>
    </row>
    <row r="16101" spans="2:12" x14ac:dyDescent="0.2">
      <c r="B16101"/>
      <c r="C16101"/>
      <c r="J16101"/>
      <c r="K16101"/>
      <c r="L16101"/>
    </row>
    <row r="16102" spans="2:12" x14ac:dyDescent="0.2">
      <c r="B16102"/>
      <c r="C16102"/>
      <c r="J16102"/>
      <c r="K16102"/>
      <c r="L16102"/>
    </row>
    <row r="16103" spans="2:12" x14ac:dyDescent="0.2">
      <c r="B16103"/>
      <c r="C16103"/>
      <c r="J16103"/>
      <c r="K16103"/>
      <c r="L16103"/>
    </row>
    <row r="16104" spans="2:12" x14ac:dyDescent="0.2">
      <c r="B16104"/>
      <c r="C16104"/>
      <c r="J16104"/>
      <c r="K16104"/>
      <c r="L16104"/>
    </row>
    <row r="16105" spans="2:12" x14ac:dyDescent="0.2">
      <c r="B16105"/>
      <c r="C16105"/>
      <c r="J16105"/>
      <c r="K16105"/>
      <c r="L16105"/>
    </row>
    <row r="16106" spans="2:12" x14ac:dyDescent="0.2">
      <c r="B16106"/>
      <c r="C16106"/>
      <c r="J16106"/>
      <c r="K16106"/>
      <c r="L16106"/>
    </row>
    <row r="16107" spans="2:12" x14ac:dyDescent="0.2">
      <c r="B16107"/>
      <c r="C16107"/>
      <c r="J16107"/>
      <c r="K16107"/>
      <c r="L16107"/>
    </row>
    <row r="16108" spans="2:12" x14ac:dyDescent="0.2">
      <c r="B16108"/>
      <c r="C16108"/>
      <c r="J16108"/>
      <c r="K16108"/>
      <c r="L16108"/>
    </row>
    <row r="16109" spans="2:12" x14ac:dyDescent="0.2">
      <c r="B16109"/>
      <c r="C16109"/>
      <c r="J16109"/>
      <c r="K16109"/>
      <c r="L16109"/>
    </row>
    <row r="16110" spans="2:12" x14ac:dyDescent="0.2">
      <c r="B16110"/>
      <c r="C16110"/>
      <c r="J16110"/>
      <c r="K16110"/>
      <c r="L16110"/>
    </row>
    <row r="16111" spans="2:12" x14ac:dyDescent="0.2">
      <c r="B16111"/>
      <c r="C16111"/>
      <c r="J16111"/>
      <c r="K16111"/>
      <c r="L16111"/>
    </row>
    <row r="16112" spans="2:12" x14ac:dyDescent="0.2">
      <c r="B16112"/>
      <c r="C16112"/>
      <c r="J16112"/>
      <c r="K16112"/>
      <c r="L16112"/>
    </row>
    <row r="16113" spans="2:12" x14ac:dyDescent="0.2">
      <c r="B16113"/>
      <c r="C16113"/>
      <c r="J16113"/>
      <c r="K16113"/>
      <c r="L16113"/>
    </row>
    <row r="16114" spans="2:12" x14ac:dyDescent="0.2">
      <c r="B16114"/>
      <c r="C16114"/>
      <c r="J16114"/>
      <c r="K16114"/>
      <c r="L16114"/>
    </row>
    <row r="16115" spans="2:12" x14ac:dyDescent="0.2">
      <c r="B16115"/>
      <c r="C16115"/>
      <c r="J16115"/>
      <c r="K16115"/>
      <c r="L16115"/>
    </row>
    <row r="16116" spans="2:12" x14ac:dyDescent="0.2">
      <c r="B16116"/>
      <c r="C16116"/>
      <c r="J16116"/>
      <c r="K16116"/>
      <c r="L16116"/>
    </row>
    <row r="16117" spans="2:12" x14ac:dyDescent="0.2">
      <c r="B16117"/>
      <c r="C16117"/>
      <c r="J16117"/>
      <c r="K16117"/>
      <c r="L16117"/>
    </row>
    <row r="16118" spans="2:12" x14ac:dyDescent="0.2">
      <c r="B16118"/>
      <c r="C16118"/>
      <c r="J16118"/>
      <c r="K16118"/>
      <c r="L16118"/>
    </row>
    <row r="16119" spans="2:12" x14ac:dyDescent="0.2">
      <c r="B16119"/>
      <c r="C16119"/>
      <c r="J16119"/>
      <c r="K16119"/>
      <c r="L16119"/>
    </row>
    <row r="16120" spans="2:12" x14ac:dyDescent="0.2">
      <c r="B16120"/>
      <c r="C16120"/>
      <c r="J16120"/>
      <c r="K16120"/>
      <c r="L16120"/>
    </row>
    <row r="16121" spans="2:12" x14ac:dyDescent="0.2">
      <c r="B16121"/>
      <c r="C16121"/>
      <c r="J16121"/>
      <c r="K16121"/>
      <c r="L16121"/>
    </row>
    <row r="16122" spans="2:12" x14ac:dyDescent="0.2">
      <c r="B16122"/>
      <c r="C16122"/>
      <c r="J16122"/>
      <c r="K16122"/>
      <c r="L16122"/>
    </row>
    <row r="16123" spans="2:12" x14ac:dyDescent="0.2">
      <c r="B16123"/>
      <c r="C16123"/>
      <c r="J16123"/>
      <c r="K16123"/>
      <c r="L16123"/>
    </row>
    <row r="16124" spans="2:12" x14ac:dyDescent="0.2">
      <c r="B16124"/>
      <c r="C16124"/>
      <c r="J16124"/>
      <c r="K16124"/>
      <c r="L16124"/>
    </row>
    <row r="16125" spans="2:12" x14ac:dyDescent="0.2">
      <c r="B16125"/>
      <c r="C16125"/>
      <c r="J16125"/>
      <c r="K16125"/>
      <c r="L16125"/>
    </row>
    <row r="16126" spans="2:12" x14ac:dyDescent="0.2">
      <c r="B16126"/>
      <c r="C16126"/>
      <c r="J16126"/>
      <c r="K16126"/>
      <c r="L16126"/>
    </row>
    <row r="16127" spans="2:12" x14ac:dyDescent="0.2">
      <c r="B16127"/>
      <c r="C16127"/>
      <c r="J16127"/>
      <c r="K16127"/>
      <c r="L16127"/>
    </row>
    <row r="16128" spans="2:12" x14ac:dyDescent="0.2">
      <c r="B16128"/>
      <c r="C16128"/>
      <c r="J16128"/>
      <c r="K16128"/>
      <c r="L16128"/>
    </row>
    <row r="16129" spans="2:12" x14ac:dyDescent="0.2">
      <c r="B16129"/>
      <c r="C16129"/>
      <c r="J16129"/>
      <c r="K16129"/>
      <c r="L16129"/>
    </row>
    <row r="16130" spans="2:12" x14ac:dyDescent="0.2">
      <c r="B16130"/>
      <c r="C16130"/>
      <c r="J16130"/>
      <c r="K16130"/>
      <c r="L16130"/>
    </row>
    <row r="16131" spans="2:12" x14ac:dyDescent="0.2">
      <c r="B16131"/>
      <c r="C16131"/>
      <c r="J16131"/>
      <c r="K16131"/>
      <c r="L16131"/>
    </row>
    <row r="16132" spans="2:12" x14ac:dyDescent="0.2">
      <c r="B16132"/>
      <c r="C16132"/>
      <c r="J16132"/>
      <c r="K16132"/>
      <c r="L16132"/>
    </row>
    <row r="16133" spans="2:12" x14ac:dyDescent="0.2">
      <c r="B16133"/>
      <c r="C16133"/>
      <c r="J16133"/>
      <c r="K16133"/>
      <c r="L16133"/>
    </row>
    <row r="16134" spans="2:12" x14ac:dyDescent="0.2">
      <c r="B16134"/>
      <c r="C16134"/>
      <c r="J16134"/>
      <c r="K16134"/>
      <c r="L16134"/>
    </row>
    <row r="16135" spans="2:12" x14ac:dyDescent="0.2">
      <c r="B16135"/>
      <c r="C16135"/>
      <c r="J16135"/>
      <c r="K16135"/>
      <c r="L16135"/>
    </row>
    <row r="16136" spans="2:12" x14ac:dyDescent="0.2">
      <c r="B16136"/>
      <c r="C16136"/>
      <c r="J16136"/>
      <c r="K16136"/>
      <c r="L16136"/>
    </row>
    <row r="16137" spans="2:12" x14ac:dyDescent="0.2">
      <c r="B16137"/>
      <c r="C16137"/>
      <c r="J16137"/>
      <c r="K16137"/>
      <c r="L16137"/>
    </row>
    <row r="16138" spans="2:12" x14ac:dyDescent="0.2">
      <c r="B16138"/>
      <c r="C16138"/>
      <c r="J16138"/>
      <c r="K16138"/>
      <c r="L16138"/>
    </row>
    <row r="16139" spans="2:12" x14ac:dyDescent="0.2">
      <c r="B16139"/>
      <c r="C16139"/>
      <c r="J16139"/>
      <c r="K16139"/>
      <c r="L16139"/>
    </row>
    <row r="16140" spans="2:12" x14ac:dyDescent="0.2">
      <c r="B16140"/>
      <c r="C16140"/>
      <c r="J16140"/>
      <c r="K16140"/>
      <c r="L16140"/>
    </row>
    <row r="16141" spans="2:12" x14ac:dyDescent="0.2">
      <c r="B16141"/>
      <c r="C16141"/>
      <c r="J16141"/>
      <c r="K16141"/>
      <c r="L16141"/>
    </row>
    <row r="16142" spans="2:12" x14ac:dyDescent="0.2">
      <c r="B16142"/>
      <c r="C16142"/>
      <c r="J16142"/>
      <c r="K16142"/>
      <c r="L16142"/>
    </row>
    <row r="16143" spans="2:12" x14ac:dyDescent="0.2">
      <c r="B16143"/>
      <c r="C16143"/>
      <c r="J16143"/>
      <c r="K16143"/>
      <c r="L16143"/>
    </row>
    <row r="16144" spans="2:12" x14ac:dyDescent="0.2">
      <c r="B16144"/>
      <c r="C16144"/>
      <c r="J16144"/>
      <c r="K16144"/>
      <c r="L16144"/>
    </row>
    <row r="16145" spans="2:12" x14ac:dyDescent="0.2">
      <c r="B16145"/>
      <c r="C16145"/>
      <c r="J16145"/>
      <c r="K16145"/>
      <c r="L16145"/>
    </row>
    <row r="16146" spans="2:12" x14ac:dyDescent="0.2">
      <c r="B16146"/>
      <c r="C16146"/>
      <c r="J16146"/>
      <c r="K16146"/>
      <c r="L16146"/>
    </row>
    <row r="16147" spans="2:12" x14ac:dyDescent="0.2">
      <c r="B16147"/>
      <c r="C16147"/>
      <c r="J16147"/>
      <c r="K16147"/>
      <c r="L16147"/>
    </row>
    <row r="16148" spans="2:12" x14ac:dyDescent="0.2">
      <c r="B16148"/>
      <c r="C16148"/>
      <c r="J16148"/>
      <c r="K16148"/>
      <c r="L16148"/>
    </row>
    <row r="16149" spans="2:12" x14ac:dyDescent="0.2">
      <c r="B16149"/>
      <c r="C16149"/>
      <c r="J16149"/>
      <c r="K16149"/>
      <c r="L16149"/>
    </row>
    <row r="16150" spans="2:12" x14ac:dyDescent="0.2">
      <c r="B16150"/>
      <c r="C16150"/>
      <c r="J16150"/>
      <c r="K16150"/>
      <c r="L16150"/>
    </row>
    <row r="16151" spans="2:12" x14ac:dyDescent="0.2">
      <c r="B16151"/>
      <c r="C16151"/>
      <c r="J16151"/>
      <c r="K16151"/>
      <c r="L16151"/>
    </row>
    <row r="16152" spans="2:12" x14ac:dyDescent="0.2">
      <c r="B16152"/>
      <c r="C16152"/>
      <c r="J16152"/>
      <c r="K16152"/>
      <c r="L16152"/>
    </row>
    <row r="16153" spans="2:12" x14ac:dyDescent="0.2">
      <c r="B16153"/>
      <c r="C16153"/>
      <c r="J16153"/>
      <c r="K16153"/>
      <c r="L16153"/>
    </row>
    <row r="16154" spans="2:12" x14ac:dyDescent="0.2">
      <c r="B16154"/>
      <c r="C16154"/>
      <c r="J16154"/>
      <c r="K16154"/>
      <c r="L16154"/>
    </row>
    <row r="16155" spans="2:12" x14ac:dyDescent="0.2">
      <c r="B16155"/>
      <c r="C16155"/>
      <c r="J16155"/>
      <c r="K16155"/>
      <c r="L16155"/>
    </row>
    <row r="16156" spans="2:12" x14ac:dyDescent="0.2">
      <c r="B16156"/>
      <c r="C16156"/>
      <c r="J16156"/>
      <c r="K16156"/>
      <c r="L16156"/>
    </row>
    <row r="16157" spans="2:12" x14ac:dyDescent="0.2">
      <c r="B16157"/>
      <c r="C16157"/>
      <c r="J16157"/>
      <c r="K16157"/>
      <c r="L16157"/>
    </row>
    <row r="16158" spans="2:12" x14ac:dyDescent="0.2">
      <c r="B16158"/>
      <c r="C16158"/>
      <c r="J16158"/>
      <c r="K16158"/>
      <c r="L16158"/>
    </row>
    <row r="16159" spans="2:12" x14ac:dyDescent="0.2">
      <c r="B16159"/>
      <c r="C16159"/>
      <c r="J16159"/>
      <c r="K16159"/>
      <c r="L16159"/>
    </row>
    <row r="16160" spans="2:12" x14ac:dyDescent="0.2">
      <c r="B16160"/>
      <c r="C16160"/>
      <c r="J16160"/>
      <c r="K16160"/>
      <c r="L16160"/>
    </row>
    <row r="16161" spans="2:12" x14ac:dyDescent="0.2">
      <c r="B16161"/>
      <c r="C16161"/>
      <c r="J16161"/>
      <c r="K16161"/>
      <c r="L16161"/>
    </row>
    <row r="16162" spans="2:12" x14ac:dyDescent="0.2">
      <c r="B16162"/>
      <c r="C16162"/>
      <c r="J16162"/>
      <c r="K16162"/>
      <c r="L16162"/>
    </row>
    <row r="16163" spans="2:12" x14ac:dyDescent="0.2">
      <c r="B16163"/>
      <c r="C16163"/>
      <c r="J16163"/>
      <c r="K16163"/>
      <c r="L16163"/>
    </row>
    <row r="16164" spans="2:12" x14ac:dyDescent="0.2">
      <c r="B16164"/>
      <c r="C16164"/>
      <c r="J16164"/>
      <c r="K16164"/>
      <c r="L16164"/>
    </row>
    <row r="16165" spans="2:12" x14ac:dyDescent="0.2">
      <c r="B16165"/>
      <c r="C16165"/>
      <c r="J16165"/>
      <c r="K16165"/>
      <c r="L16165"/>
    </row>
    <row r="16166" spans="2:12" x14ac:dyDescent="0.2">
      <c r="B16166"/>
      <c r="C16166"/>
      <c r="J16166"/>
      <c r="K16166"/>
      <c r="L16166"/>
    </row>
    <row r="16167" spans="2:12" x14ac:dyDescent="0.2">
      <c r="B16167"/>
      <c r="C16167"/>
      <c r="J16167"/>
      <c r="K16167"/>
      <c r="L16167"/>
    </row>
    <row r="16168" spans="2:12" x14ac:dyDescent="0.2">
      <c r="B16168"/>
      <c r="C16168"/>
      <c r="J16168"/>
      <c r="K16168"/>
      <c r="L16168"/>
    </row>
    <row r="16169" spans="2:12" x14ac:dyDescent="0.2">
      <c r="B16169"/>
      <c r="C16169"/>
      <c r="J16169"/>
      <c r="K16169"/>
      <c r="L16169"/>
    </row>
    <row r="16170" spans="2:12" x14ac:dyDescent="0.2">
      <c r="B16170"/>
      <c r="C16170"/>
      <c r="J16170"/>
      <c r="K16170"/>
      <c r="L16170"/>
    </row>
    <row r="16171" spans="2:12" x14ac:dyDescent="0.2">
      <c r="B16171"/>
      <c r="C16171"/>
      <c r="J16171"/>
      <c r="K16171"/>
      <c r="L16171"/>
    </row>
    <row r="16172" spans="2:12" x14ac:dyDescent="0.2">
      <c r="B16172"/>
      <c r="C16172"/>
      <c r="J16172"/>
      <c r="K16172"/>
      <c r="L16172"/>
    </row>
    <row r="16173" spans="2:12" x14ac:dyDescent="0.2">
      <c r="B16173"/>
      <c r="C16173"/>
      <c r="J16173"/>
      <c r="K16173"/>
      <c r="L16173"/>
    </row>
    <row r="16174" spans="2:12" x14ac:dyDescent="0.2">
      <c r="B16174"/>
      <c r="C16174"/>
      <c r="J16174"/>
      <c r="K16174"/>
      <c r="L16174"/>
    </row>
    <row r="16175" spans="2:12" x14ac:dyDescent="0.2">
      <c r="B16175"/>
      <c r="C16175"/>
      <c r="J16175"/>
      <c r="K16175"/>
      <c r="L16175"/>
    </row>
    <row r="16176" spans="2:12" x14ac:dyDescent="0.2">
      <c r="B16176"/>
      <c r="C16176"/>
      <c r="J16176"/>
      <c r="K16176"/>
      <c r="L16176"/>
    </row>
    <row r="16177" spans="2:12" x14ac:dyDescent="0.2">
      <c r="B16177"/>
      <c r="C16177"/>
      <c r="J16177"/>
      <c r="K16177"/>
      <c r="L16177"/>
    </row>
    <row r="16178" spans="2:12" x14ac:dyDescent="0.2">
      <c r="B16178"/>
      <c r="C16178"/>
      <c r="J16178"/>
      <c r="K16178"/>
      <c r="L16178"/>
    </row>
    <row r="16179" spans="2:12" x14ac:dyDescent="0.2">
      <c r="B16179"/>
      <c r="C16179"/>
      <c r="J16179"/>
      <c r="K16179"/>
      <c r="L16179"/>
    </row>
    <row r="16180" spans="2:12" x14ac:dyDescent="0.2">
      <c r="B16180"/>
      <c r="C16180"/>
      <c r="J16180"/>
      <c r="K16180"/>
      <c r="L16180"/>
    </row>
    <row r="16181" spans="2:12" x14ac:dyDescent="0.2">
      <c r="B16181"/>
      <c r="C16181"/>
      <c r="J16181"/>
      <c r="K16181"/>
      <c r="L16181"/>
    </row>
    <row r="16182" spans="2:12" x14ac:dyDescent="0.2">
      <c r="B16182"/>
      <c r="C16182"/>
      <c r="J16182"/>
      <c r="K16182"/>
      <c r="L16182"/>
    </row>
    <row r="16183" spans="2:12" x14ac:dyDescent="0.2">
      <c r="B16183"/>
      <c r="C16183"/>
      <c r="J16183"/>
      <c r="K16183"/>
      <c r="L16183"/>
    </row>
    <row r="16184" spans="2:12" x14ac:dyDescent="0.2">
      <c r="B16184"/>
      <c r="C16184"/>
      <c r="J16184"/>
      <c r="K16184"/>
      <c r="L16184"/>
    </row>
    <row r="16185" spans="2:12" x14ac:dyDescent="0.2">
      <c r="B16185"/>
      <c r="C16185"/>
      <c r="J16185"/>
      <c r="K16185"/>
      <c r="L16185"/>
    </row>
    <row r="16186" spans="2:12" x14ac:dyDescent="0.2">
      <c r="B16186"/>
      <c r="C16186"/>
      <c r="J16186"/>
      <c r="K16186"/>
      <c r="L16186"/>
    </row>
    <row r="16187" spans="2:12" x14ac:dyDescent="0.2">
      <c r="B16187"/>
      <c r="C16187"/>
      <c r="J16187"/>
      <c r="K16187"/>
      <c r="L16187"/>
    </row>
    <row r="16188" spans="2:12" x14ac:dyDescent="0.2">
      <c r="B16188"/>
      <c r="C16188"/>
      <c r="J16188"/>
      <c r="K16188"/>
      <c r="L16188"/>
    </row>
    <row r="16189" spans="2:12" x14ac:dyDescent="0.2">
      <c r="B16189"/>
      <c r="C16189"/>
      <c r="J16189"/>
      <c r="K16189"/>
      <c r="L16189"/>
    </row>
    <row r="16190" spans="2:12" x14ac:dyDescent="0.2">
      <c r="B16190"/>
      <c r="C16190"/>
      <c r="J16190"/>
      <c r="K16190"/>
      <c r="L16190"/>
    </row>
    <row r="16191" spans="2:12" x14ac:dyDescent="0.2">
      <c r="B16191"/>
      <c r="C16191"/>
      <c r="J16191"/>
      <c r="K16191"/>
      <c r="L16191"/>
    </row>
    <row r="16192" spans="2:12" x14ac:dyDescent="0.2">
      <c r="B16192"/>
      <c r="C16192"/>
      <c r="J16192"/>
      <c r="K16192"/>
      <c r="L16192"/>
    </row>
    <row r="16193" spans="2:12" x14ac:dyDescent="0.2">
      <c r="B16193"/>
      <c r="C16193"/>
      <c r="J16193"/>
      <c r="K16193"/>
      <c r="L16193"/>
    </row>
    <row r="16194" spans="2:12" x14ac:dyDescent="0.2">
      <c r="B16194"/>
      <c r="C16194"/>
      <c r="J16194"/>
      <c r="K16194"/>
      <c r="L16194"/>
    </row>
    <row r="16195" spans="2:12" x14ac:dyDescent="0.2">
      <c r="B16195"/>
      <c r="C16195"/>
      <c r="J16195"/>
      <c r="K16195"/>
      <c r="L16195"/>
    </row>
    <row r="16196" spans="2:12" x14ac:dyDescent="0.2">
      <c r="B16196"/>
      <c r="C16196"/>
      <c r="J16196"/>
      <c r="K16196"/>
      <c r="L16196"/>
    </row>
    <row r="16197" spans="2:12" x14ac:dyDescent="0.2">
      <c r="B16197"/>
      <c r="C16197"/>
      <c r="J16197"/>
      <c r="K16197"/>
      <c r="L16197"/>
    </row>
    <row r="16198" spans="2:12" x14ac:dyDescent="0.2">
      <c r="B16198"/>
      <c r="C16198"/>
      <c r="J16198"/>
      <c r="K16198"/>
      <c r="L16198"/>
    </row>
    <row r="16199" spans="2:12" x14ac:dyDescent="0.2">
      <c r="B16199"/>
      <c r="C16199"/>
      <c r="J16199"/>
      <c r="K16199"/>
      <c r="L16199"/>
    </row>
    <row r="16200" spans="2:12" x14ac:dyDescent="0.2">
      <c r="B16200"/>
      <c r="C16200"/>
      <c r="J16200"/>
      <c r="K16200"/>
      <c r="L16200"/>
    </row>
    <row r="16201" spans="2:12" x14ac:dyDescent="0.2">
      <c r="B16201"/>
      <c r="C16201"/>
      <c r="J16201"/>
      <c r="K16201"/>
      <c r="L16201"/>
    </row>
    <row r="16202" spans="2:12" x14ac:dyDescent="0.2">
      <c r="B16202"/>
      <c r="C16202"/>
      <c r="J16202"/>
      <c r="K16202"/>
      <c r="L16202"/>
    </row>
    <row r="16203" spans="2:12" x14ac:dyDescent="0.2">
      <c r="B16203"/>
      <c r="C16203"/>
      <c r="J16203"/>
      <c r="K16203"/>
      <c r="L16203"/>
    </row>
    <row r="16204" spans="2:12" x14ac:dyDescent="0.2">
      <c r="B16204"/>
      <c r="C16204"/>
      <c r="J16204"/>
      <c r="K16204"/>
      <c r="L16204"/>
    </row>
    <row r="16205" spans="2:12" x14ac:dyDescent="0.2">
      <c r="B16205"/>
      <c r="C16205"/>
      <c r="J16205"/>
      <c r="K16205"/>
      <c r="L16205"/>
    </row>
    <row r="16206" spans="2:12" x14ac:dyDescent="0.2">
      <c r="B16206"/>
      <c r="C16206"/>
      <c r="J16206"/>
      <c r="K16206"/>
      <c r="L16206"/>
    </row>
    <row r="16207" spans="2:12" x14ac:dyDescent="0.2">
      <c r="B16207"/>
      <c r="C16207"/>
      <c r="J16207"/>
      <c r="K16207"/>
      <c r="L16207"/>
    </row>
    <row r="16208" spans="2:12" x14ac:dyDescent="0.2">
      <c r="B16208"/>
      <c r="C16208"/>
      <c r="J16208"/>
      <c r="K16208"/>
      <c r="L16208"/>
    </row>
    <row r="16209" spans="2:12" x14ac:dyDescent="0.2">
      <c r="B16209"/>
      <c r="C16209"/>
      <c r="J16209"/>
      <c r="K16209"/>
      <c r="L16209"/>
    </row>
    <row r="16210" spans="2:12" x14ac:dyDescent="0.2">
      <c r="B16210"/>
      <c r="C16210"/>
      <c r="J16210"/>
      <c r="K16210"/>
      <c r="L16210"/>
    </row>
    <row r="16211" spans="2:12" x14ac:dyDescent="0.2">
      <c r="B16211"/>
      <c r="C16211"/>
      <c r="J16211"/>
      <c r="K16211"/>
      <c r="L16211"/>
    </row>
    <row r="16212" spans="2:12" x14ac:dyDescent="0.2">
      <c r="B16212"/>
      <c r="C16212"/>
      <c r="J16212"/>
      <c r="K16212"/>
      <c r="L16212"/>
    </row>
    <row r="16213" spans="2:12" x14ac:dyDescent="0.2">
      <c r="B16213"/>
      <c r="C16213"/>
      <c r="J16213"/>
      <c r="K16213"/>
      <c r="L16213"/>
    </row>
    <row r="16214" spans="2:12" x14ac:dyDescent="0.2">
      <c r="B16214"/>
      <c r="C16214"/>
      <c r="J16214"/>
      <c r="K16214"/>
      <c r="L16214"/>
    </row>
    <row r="16215" spans="2:12" x14ac:dyDescent="0.2">
      <c r="B16215"/>
      <c r="C16215"/>
      <c r="J16215"/>
      <c r="K16215"/>
      <c r="L16215"/>
    </row>
    <row r="16216" spans="2:12" x14ac:dyDescent="0.2">
      <c r="B16216"/>
      <c r="C16216"/>
      <c r="J16216"/>
      <c r="K16216"/>
      <c r="L16216"/>
    </row>
    <row r="16217" spans="2:12" x14ac:dyDescent="0.2">
      <c r="B16217"/>
      <c r="C16217"/>
      <c r="J16217"/>
      <c r="K16217"/>
      <c r="L16217"/>
    </row>
    <row r="16218" spans="2:12" x14ac:dyDescent="0.2">
      <c r="B16218"/>
      <c r="C16218"/>
      <c r="J16218"/>
      <c r="K16218"/>
      <c r="L16218"/>
    </row>
    <row r="16219" spans="2:12" x14ac:dyDescent="0.2">
      <c r="B16219"/>
      <c r="C16219"/>
      <c r="J16219"/>
      <c r="K16219"/>
      <c r="L16219"/>
    </row>
    <row r="16220" spans="2:12" x14ac:dyDescent="0.2">
      <c r="B16220"/>
      <c r="C16220"/>
      <c r="J16220"/>
      <c r="K16220"/>
      <c r="L16220"/>
    </row>
    <row r="16221" spans="2:12" x14ac:dyDescent="0.2">
      <c r="B16221"/>
      <c r="C16221"/>
      <c r="J16221"/>
      <c r="K16221"/>
      <c r="L16221"/>
    </row>
    <row r="16222" spans="2:12" x14ac:dyDescent="0.2">
      <c r="B16222"/>
      <c r="C16222"/>
      <c r="J16222"/>
      <c r="K16222"/>
      <c r="L16222"/>
    </row>
    <row r="16223" spans="2:12" x14ac:dyDescent="0.2">
      <c r="B16223"/>
      <c r="C16223"/>
      <c r="J16223"/>
      <c r="K16223"/>
      <c r="L16223"/>
    </row>
    <row r="16224" spans="2:12" x14ac:dyDescent="0.2">
      <c r="B16224"/>
      <c r="C16224"/>
      <c r="J16224"/>
      <c r="K16224"/>
      <c r="L16224"/>
    </row>
    <row r="16225" spans="2:12" x14ac:dyDescent="0.2">
      <c r="B16225"/>
      <c r="C16225"/>
      <c r="J16225"/>
      <c r="K16225"/>
      <c r="L16225"/>
    </row>
    <row r="16226" spans="2:12" x14ac:dyDescent="0.2">
      <c r="B16226"/>
      <c r="C16226"/>
      <c r="J16226"/>
      <c r="K16226"/>
      <c r="L16226"/>
    </row>
    <row r="16227" spans="2:12" x14ac:dyDescent="0.2">
      <c r="B16227"/>
      <c r="C16227"/>
      <c r="J16227"/>
      <c r="K16227"/>
      <c r="L16227"/>
    </row>
    <row r="16228" spans="2:12" x14ac:dyDescent="0.2">
      <c r="B16228"/>
      <c r="C16228"/>
      <c r="J16228"/>
      <c r="K16228"/>
      <c r="L16228"/>
    </row>
    <row r="16229" spans="2:12" x14ac:dyDescent="0.2">
      <c r="B16229"/>
      <c r="C16229"/>
      <c r="J16229"/>
      <c r="K16229"/>
      <c r="L16229"/>
    </row>
    <row r="16230" spans="2:12" x14ac:dyDescent="0.2">
      <c r="B16230"/>
      <c r="C16230"/>
      <c r="J16230"/>
      <c r="K16230"/>
      <c r="L16230"/>
    </row>
    <row r="16231" spans="2:12" x14ac:dyDescent="0.2">
      <c r="B16231"/>
      <c r="C16231"/>
      <c r="J16231"/>
      <c r="K16231"/>
      <c r="L16231"/>
    </row>
    <row r="16232" spans="2:12" x14ac:dyDescent="0.2">
      <c r="B16232"/>
      <c r="C16232"/>
      <c r="J16232"/>
      <c r="K16232"/>
      <c r="L16232"/>
    </row>
    <row r="16233" spans="2:12" x14ac:dyDescent="0.2">
      <c r="B16233"/>
      <c r="C16233"/>
      <c r="J16233"/>
      <c r="K16233"/>
      <c r="L16233"/>
    </row>
    <row r="16234" spans="2:12" x14ac:dyDescent="0.2">
      <c r="B16234"/>
      <c r="C16234"/>
      <c r="J16234"/>
      <c r="K16234"/>
      <c r="L16234"/>
    </row>
    <row r="16235" spans="2:12" x14ac:dyDescent="0.2">
      <c r="B16235"/>
      <c r="C16235"/>
      <c r="J16235"/>
      <c r="K16235"/>
      <c r="L16235"/>
    </row>
    <row r="16236" spans="2:12" x14ac:dyDescent="0.2">
      <c r="B16236"/>
      <c r="C16236"/>
      <c r="J16236"/>
      <c r="K16236"/>
      <c r="L16236"/>
    </row>
    <row r="16237" spans="2:12" x14ac:dyDescent="0.2">
      <c r="B16237"/>
      <c r="C16237"/>
      <c r="J16237"/>
      <c r="K16237"/>
      <c r="L16237"/>
    </row>
    <row r="16238" spans="2:12" x14ac:dyDescent="0.2">
      <c r="B16238"/>
      <c r="C16238"/>
      <c r="J16238"/>
      <c r="K16238"/>
      <c r="L16238"/>
    </row>
    <row r="16239" spans="2:12" x14ac:dyDescent="0.2">
      <c r="B16239"/>
      <c r="C16239"/>
      <c r="J16239"/>
      <c r="K16239"/>
      <c r="L16239"/>
    </row>
    <row r="16240" spans="2:12" x14ac:dyDescent="0.2">
      <c r="B16240"/>
      <c r="C16240"/>
      <c r="J16240"/>
      <c r="K16240"/>
      <c r="L16240"/>
    </row>
    <row r="16241" spans="2:12" x14ac:dyDescent="0.2">
      <c r="B16241"/>
      <c r="C16241"/>
      <c r="J16241"/>
      <c r="K16241"/>
      <c r="L16241"/>
    </row>
    <row r="16242" spans="2:12" x14ac:dyDescent="0.2">
      <c r="B16242"/>
      <c r="C16242"/>
      <c r="J16242"/>
      <c r="K16242"/>
      <c r="L16242"/>
    </row>
    <row r="16243" spans="2:12" x14ac:dyDescent="0.2">
      <c r="B16243"/>
      <c r="C16243"/>
      <c r="J16243"/>
      <c r="K16243"/>
      <c r="L16243"/>
    </row>
    <row r="16244" spans="2:12" x14ac:dyDescent="0.2">
      <c r="B16244"/>
      <c r="C16244"/>
      <c r="J16244"/>
      <c r="K16244"/>
      <c r="L16244"/>
    </row>
    <row r="16245" spans="2:12" x14ac:dyDescent="0.2">
      <c r="B16245"/>
      <c r="C16245"/>
      <c r="J16245"/>
      <c r="K16245"/>
      <c r="L16245"/>
    </row>
    <row r="16246" spans="2:12" x14ac:dyDescent="0.2">
      <c r="B16246"/>
      <c r="C16246"/>
      <c r="J16246"/>
      <c r="K16246"/>
      <c r="L16246"/>
    </row>
    <row r="16247" spans="2:12" x14ac:dyDescent="0.2">
      <c r="B16247"/>
      <c r="C16247"/>
      <c r="J16247"/>
      <c r="K16247"/>
      <c r="L16247"/>
    </row>
    <row r="16248" spans="2:12" x14ac:dyDescent="0.2">
      <c r="B16248"/>
      <c r="C16248"/>
      <c r="J16248"/>
      <c r="K16248"/>
      <c r="L16248"/>
    </row>
    <row r="16249" spans="2:12" x14ac:dyDescent="0.2">
      <c r="B16249"/>
      <c r="C16249"/>
      <c r="J16249"/>
      <c r="K16249"/>
      <c r="L16249"/>
    </row>
    <row r="16250" spans="2:12" x14ac:dyDescent="0.2">
      <c r="B16250"/>
      <c r="C16250"/>
      <c r="J16250"/>
      <c r="K16250"/>
      <c r="L16250"/>
    </row>
    <row r="16251" spans="2:12" x14ac:dyDescent="0.2">
      <c r="B16251"/>
      <c r="C16251"/>
      <c r="J16251"/>
      <c r="K16251"/>
      <c r="L16251"/>
    </row>
    <row r="16252" spans="2:12" x14ac:dyDescent="0.2">
      <c r="B16252"/>
      <c r="C16252"/>
      <c r="J16252"/>
      <c r="K16252"/>
      <c r="L16252"/>
    </row>
    <row r="16253" spans="2:12" x14ac:dyDescent="0.2">
      <c r="B16253"/>
      <c r="C16253"/>
      <c r="J16253"/>
      <c r="K16253"/>
      <c r="L16253"/>
    </row>
    <row r="16254" spans="2:12" x14ac:dyDescent="0.2">
      <c r="B16254"/>
      <c r="C16254"/>
      <c r="J16254"/>
      <c r="K16254"/>
      <c r="L16254"/>
    </row>
    <row r="16255" spans="2:12" x14ac:dyDescent="0.2">
      <c r="B16255"/>
      <c r="C16255"/>
      <c r="J16255"/>
      <c r="K16255"/>
      <c r="L16255"/>
    </row>
    <row r="16256" spans="2:12" x14ac:dyDescent="0.2">
      <c r="B16256"/>
      <c r="C16256"/>
      <c r="J16256"/>
      <c r="K16256"/>
      <c r="L16256"/>
    </row>
    <row r="16257" spans="2:12" x14ac:dyDescent="0.2">
      <c r="B16257"/>
      <c r="C16257"/>
      <c r="J16257"/>
      <c r="K16257"/>
      <c r="L16257"/>
    </row>
    <row r="16258" spans="2:12" x14ac:dyDescent="0.2">
      <c r="B16258"/>
      <c r="C16258"/>
      <c r="J16258"/>
      <c r="K16258"/>
      <c r="L16258"/>
    </row>
    <row r="16259" spans="2:12" x14ac:dyDescent="0.2">
      <c r="B16259"/>
      <c r="C16259"/>
      <c r="J16259"/>
      <c r="K16259"/>
      <c r="L16259"/>
    </row>
    <row r="16260" spans="2:12" x14ac:dyDescent="0.2">
      <c r="B16260"/>
      <c r="C16260"/>
      <c r="J16260"/>
      <c r="K16260"/>
      <c r="L16260"/>
    </row>
    <row r="16261" spans="2:12" x14ac:dyDescent="0.2">
      <c r="B16261"/>
      <c r="C16261"/>
      <c r="J16261"/>
      <c r="K16261"/>
      <c r="L16261"/>
    </row>
    <row r="16262" spans="2:12" x14ac:dyDescent="0.2">
      <c r="B16262"/>
      <c r="C16262"/>
      <c r="J16262"/>
      <c r="K16262"/>
      <c r="L16262"/>
    </row>
    <row r="16263" spans="2:12" x14ac:dyDescent="0.2">
      <c r="B16263"/>
      <c r="C16263"/>
      <c r="J16263"/>
      <c r="K16263"/>
      <c r="L16263"/>
    </row>
    <row r="16264" spans="2:12" x14ac:dyDescent="0.2">
      <c r="B16264"/>
      <c r="C16264"/>
      <c r="J16264"/>
      <c r="K16264"/>
      <c r="L16264"/>
    </row>
    <row r="16265" spans="2:12" x14ac:dyDescent="0.2">
      <c r="B16265"/>
      <c r="C16265"/>
      <c r="J16265"/>
      <c r="K16265"/>
      <c r="L16265"/>
    </row>
    <row r="16266" spans="2:12" x14ac:dyDescent="0.2">
      <c r="B16266"/>
      <c r="C16266"/>
      <c r="J16266"/>
      <c r="K16266"/>
      <c r="L16266"/>
    </row>
    <row r="16267" spans="2:12" x14ac:dyDescent="0.2">
      <c r="B16267"/>
      <c r="C16267"/>
      <c r="J16267"/>
      <c r="K16267"/>
      <c r="L16267"/>
    </row>
    <row r="16268" spans="2:12" x14ac:dyDescent="0.2">
      <c r="B16268"/>
      <c r="C16268"/>
      <c r="J16268"/>
      <c r="K16268"/>
      <c r="L16268"/>
    </row>
    <row r="16269" spans="2:12" x14ac:dyDescent="0.2">
      <c r="B16269"/>
      <c r="C16269"/>
      <c r="J16269"/>
      <c r="K16269"/>
      <c r="L16269"/>
    </row>
    <row r="16270" spans="2:12" x14ac:dyDescent="0.2">
      <c r="B16270"/>
      <c r="C16270"/>
      <c r="J16270"/>
      <c r="K16270"/>
      <c r="L16270"/>
    </row>
    <row r="16271" spans="2:12" x14ac:dyDescent="0.2">
      <c r="B16271"/>
      <c r="C16271"/>
      <c r="J16271"/>
      <c r="K16271"/>
      <c r="L16271"/>
    </row>
    <row r="16272" spans="2:12" x14ac:dyDescent="0.2">
      <c r="B16272"/>
      <c r="C16272"/>
      <c r="J16272"/>
      <c r="K16272"/>
      <c r="L16272"/>
    </row>
    <row r="16273" spans="2:12" x14ac:dyDescent="0.2">
      <c r="B16273"/>
      <c r="C16273"/>
      <c r="J16273"/>
      <c r="K16273"/>
      <c r="L16273"/>
    </row>
    <row r="16274" spans="2:12" x14ac:dyDescent="0.2">
      <c r="B16274"/>
      <c r="C16274"/>
      <c r="J16274"/>
      <c r="K16274"/>
      <c r="L16274"/>
    </row>
    <row r="16275" spans="2:12" x14ac:dyDescent="0.2">
      <c r="B16275"/>
      <c r="C16275"/>
      <c r="J16275"/>
      <c r="K16275"/>
      <c r="L16275"/>
    </row>
    <row r="16276" spans="2:12" x14ac:dyDescent="0.2">
      <c r="B16276"/>
      <c r="C16276"/>
      <c r="J16276"/>
      <c r="K16276"/>
      <c r="L16276"/>
    </row>
    <row r="16277" spans="2:12" x14ac:dyDescent="0.2">
      <c r="B16277"/>
      <c r="C16277"/>
      <c r="J16277"/>
      <c r="K16277"/>
      <c r="L16277"/>
    </row>
    <row r="16278" spans="2:12" x14ac:dyDescent="0.2">
      <c r="B16278"/>
      <c r="C16278"/>
      <c r="J16278"/>
      <c r="K16278"/>
      <c r="L16278"/>
    </row>
    <row r="16279" spans="2:12" x14ac:dyDescent="0.2">
      <c r="B16279"/>
      <c r="C16279"/>
      <c r="J16279"/>
      <c r="K16279"/>
      <c r="L16279"/>
    </row>
    <row r="16280" spans="2:12" x14ac:dyDescent="0.2">
      <c r="B16280"/>
      <c r="C16280"/>
      <c r="J16280"/>
      <c r="K16280"/>
      <c r="L16280"/>
    </row>
    <row r="16281" spans="2:12" x14ac:dyDescent="0.2">
      <c r="B16281"/>
      <c r="C16281"/>
      <c r="J16281"/>
      <c r="K16281"/>
      <c r="L16281"/>
    </row>
    <row r="16282" spans="2:12" x14ac:dyDescent="0.2">
      <c r="B16282"/>
      <c r="C16282"/>
      <c r="J16282"/>
      <c r="K16282"/>
      <c r="L16282"/>
    </row>
    <row r="16283" spans="2:12" x14ac:dyDescent="0.2">
      <c r="B16283"/>
      <c r="C16283"/>
      <c r="J16283"/>
      <c r="K16283"/>
      <c r="L16283"/>
    </row>
    <row r="16284" spans="2:12" x14ac:dyDescent="0.2">
      <c r="B16284"/>
      <c r="C16284"/>
      <c r="J16284"/>
      <c r="K16284"/>
      <c r="L16284"/>
    </row>
    <row r="16285" spans="2:12" x14ac:dyDescent="0.2">
      <c r="B16285"/>
      <c r="C16285"/>
      <c r="J16285"/>
      <c r="K16285"/>
      <c r="L16285"/>
    </row>
    <row r="16286" spans="2:12" x14ac:dyDescent="0.2">
      <c r="B16286"/>
      <c r="C16286"/>
      <c r="J16286"/>
      <c r="K16286"/>
      <c r="L16286"/>
    </row>
    <row r="16287" spans="2:12" x14ac:dyDescent="0.2">
      <c r="B16287"/>
      <c r="C16287"/>
      <c r="J16287"/>
      <c r="K16287"/>
      <c r="L16287"/>
    </row>
    <row r="16288" spans="2:12" x14ac:dyDescent="0.2">
      <c r="B16288"/>
      <c r="C16288"/>
      <c r="J16288"/>
      <c r="K16288"/>
      <c r="L16288"/>
    </row>
    <row r="16289" spans="2:12" x14ac:dyDescent="0.2">
      <c r="B16289"/>
      <c r="C16289"/>
      <c r="J16289"/>
      <c r="K16289"/>
      <c r="L16289"/>
    </row>
    <row r="16290" spans="2:12" x14ac:dyDescent="0.2">
      <c r="B16290"/>
      <c r="C16290"/>
      <c r="J16290"/>
      <c r="K16290"/>
      <c r="L16290"/>
    </row>
    <row r="16291" spans="2:12" x14ac:dyDescent="0.2">
      <c r="B16291"/>
      <c r="C16291"/>
      <c r="J16291"/>
      <c r="K16291"/>
      <c r="L16291"/>
    </row>
    <row r="16292" spans="2:12" x14ac:dyDescent="0.2">
      <c r="B16292"/>
      <c r="C16292"/>
      <c r="J16292"/>
      <c r="K16292"/>
      <c r="L16292"/>
    </row>
    <row r="16293" spans="2:12" x14ac:dyDescent="0.2">
      <c r="B16293"/>
      <c r="C16293"/>
      <c r="J16293"/>
      <c r="K16293"/>
      <c r="L16293"/>
    </row>
    <row r="16294" spans="2:12" x14ac:dyDescent="0.2">
      <c r="B16294"/>
      <c r="C16294"/>
      <c r="J16294"/>
      <c r="K16294"/>
      <c r="L16294"/>
    </row>
    <row r="16295" spans="2:12" x14ac:dyDescent="0.2">
      <c r="B16295"/>
      <c r="C16295"/>
      <c r="J16295"/>
      <c r="K16295"/>
      <c r="L16295"/>
    </row>
    <row r="16296" spans="2:12" x14ac:dyDescent="0.2">
      <c r="B16296"/>
      <c r="C16296"/>
      <c r="J16296"/>
      <c r="K16296"/>
      <c r="L16296"/>
    </row>
    <row r="16297" spans="2:12" x14ac:dyDescent="0.2">
      <c r="B16297"/>
      <c r="C16297"/>
      <c r="J16297"/>
      <c r="K16297"/>
      <c r="L16297"/>
    </row>
    <row r="16298" spans="2:12" x14ac:dyDescent="0.2">
      <c r="B16298"/>
      <c r="C16298"/>
      <c r="J16298"/>
      <c r="K16298"/>
      <c r="L16298"/>
    </row>
    <row r="16299" spans="2:12" x14ac:dyDescent="0.2">
      <c r="B16299"/>
      <c r="C16299"/>
      <c r="J16299"/>
      <c r="K16299"/>
      <c r="L16299"/>
    </row>
    <row r="16300" spans="2:12" x14ac:dyDescent="0.2">
      <c r="B16300"/>
      <c r="C16300"/>
      <c r="J16300"/>
      <c r="K16300"/>
      <c r="L16300"/>
    </row>
    <row r="16301" spans="2:12" x14ac:dyDescent="0.2">
      <c r="B16301"/>
      <c r="C16301"/>
      <c r="J16301"/>
      <c r="K16301"/>
      <c r="L16301"/>
    </row>
    <row r="16302" spans="2:12" x14ac:dyDescent="0.2">
      <c r="B16302"/>
      <c r="C16302"/>
      <c r="J16302"/>
      <c r="K16302"/>
      <c r="L16302"/>
    </row>
    <row r="16303" spans="2:12" x14ac:dyDescent="0.2">
      <c r="B16303"/>
      <c r="C16303"/>
      <c r="J16303"/>
      <c r="K16303"/>
      <c r="L16303"/>
    </row>
    <row r="16304" spans="2:12" x14ac:dyDescent="0.2">
      <c r="B16304"/>
      <c r="C16304"/>
      <c r="J16304"/>
      <c r="K16304"/>
      <c r="L16304"/>
    </row>
    <row r="16305" spans="2:12" x14ac:dyDescent="0.2">
      <c r="B16305"/>
      <c r="C16305"/>
      <c r="J16305"/>
      <c r="K16305"/>
      <c r="L16305"/>
    </row>
    <row r="16306" spans="2:12" x14ac:dyDescent="0.2">
      <c r="B16306"/>
      <c r="C16306"/>
      <c r="J16306"/>
      <c r="K16306"/>
      <c r="L16306"/>
    </row>
    <row r="16307" spans="2:12" x14ac:dyDescent="0.2">
      <c r="B16307"/>
      <c r="C16307"/>
      <c r="J16307"/>
      <c r="K16307"/>
      <c r="L16307"/>
    </row>
    <row r="16308" spans="2:12" x14ac:dyDescent="0.2">
      <c r="B16308"/>
      <c r="C16308"/>
      <c r="J16308"/>
      <c r="K16308"/>
      <c r="L16308"/>
    </row>
    <row r="16309" spans="2:12" x14ac:dyDescent="0.2">
      <c r="B16309"/>
      <c r="C16309"/>
      <c r="J16309"/>
      <c r="K16309"/>
      <c r="L16309"/>
    </row>
    <row r="16310" spans="2:12" x14ac:dyDescent="0.2">
      <c r="B16310"/>
      <c r="C16310"/>
      <c r="J16310"/>
      <c r="K16310"/>
      <c r="L16310"/>
    </row>
    <row r="16311" spans="2:12" x14ac:dyDescent="0.2">
      <c r="B16311"/>
      <c r="C16311"/>
      <c r="J16311"/>
      <c r="K16311"/>
      <c r="L16311"/>
    </row>
    <row r="16312" spans="2:12" x14ac:dyDescent="0.2">
      <c r="B16312"/>
      <c r="C16312"/>
      <c r="J16312"/>
      <c r="K16312"/>
      <c r="L16312"/>
    </row>
    <row r="16313" spans="2:12" x14ac:dyDescent="0.2">
      <c r="B16313"/>
      <c r="C16313"/>
      <c r="J16313"/>
      <c r="K16313"/>
      <c r="L16313"/>
    </row>
    <row r="16314" spans="2:12" x14ac:dyDescent="0.2">
      <c r="B16314"/>
      <c r="C16314"/>
      <c r="J16314"/>
      <c r="K16314"/>
      <c r="L16314"/>
    </row>
    <row r="16315" spans="2:12" x14ac:dyDescent="0.2">
      <c r="B16315"/>
      <c r="C16315"/>
      <c r="J16315"/>
      <c r="K16315"/>
      <c r="L16315"/>
    </row>
    <row r="16316" spans="2:12" x14ac:dyDescent="0.2">
      <c r="B16316"/>
      <c r="C16316"/>
      <c r="J16316"/>
      <c r="K16316"/>
      <c r="L16316"/>
    </row>
    <row r="16317" spans="2:12" x14ac:dyDescent="0.2">
      <c r="B16317"/>
      <c r="C16317"/>
      <c r="J16317"/>
      <c r="K16317"/>
      <c r="L16317"/>
    </row>
    <row r="16318" spans="2:12" x14ac:dyDescent="0.2">
      <c r="B16318"/>
      <c r="C16318"/>
      <c r="J16318"/>
      <c r="K16318"/>
      <c r="L16318"/>
    </row>
    <row r="16319" spans="2:12" x14ac:dyDescent="0.2">
      <c r="B16319"/>
      <c r="C16319"/>
      <c r="J16319"/>
      <c r="K16319"/>
      <c r="L16319"/>
    </row>
    <row r="16320" spans="2:12" x14ac:dyDescent="0.2">
      <c r="B16320"/>
      <c r="C16320"/>
      <c r="J16320"/>
      <c r="K16320"/>
      <c r="L16320"/>
    </row>
    <row r="16321" spans="2:12" x14ac:dyDescent="0.2">
      <c r="B16321"/>
      <c r="C16321"/>
      <c r="J16321"/>
      <c r="K16321"/>
      <c r="L16321"/>
    </row>
    <row r="16322" spans="2:12" x14ac:dyDescent="0.2">
      <c r="B16322"/>
      <c r="C16322"/>
      <c r="J16322"/>
      <c r="K16322"/>
      <c r="L16322"/>
    </row>
    <row r="16323" spans="2:12" x14ac:dyDescent="0.2">
      <c r="B16323"/>
      <c r="C16323"/>
      <c r="J16323"/>
      <c r="K16323"/>
      <c r="L16323"/>
    </row>
    <row r="16324" spans="2:12" x14ac:dyDescent="0.2">
      <c r="B16324"/>
      <c r="C16324"/>
      <c r="J16324"/>
      <c r="K16324"/>
      <c r="L16324"/>
    </row>
    <row r="16325" spans="2:12" x14ac:dyDescent="0.2">
      <c r="B16325"/>
      <c r="C16325"/>
      <c r="J16325"/>
      <c r="K16325"/>
      <c r="L16325"/>
    </row>
    <row r="16326" spans="2:12" x14ac:dyDescent="0.2">
      <c r="B16326"/>
      <c r="C16326"/>
      <c r="J16326"/>
      <c r="K16326"/>
      <c r="L16326"/>
    </row>
    <row r="16327" spans="2:12" x14ac:dyDescent="0.2">
      <c r="B16327"/>
      <c r="C16327"/>
      <c r="J16327"/>
      <c r="K16327"/>
      <c r="L16327"/>
    </row>
    <row r="16328" spans="2:12" x14ac:dyDescent="0.2">
      <c r="B16328"/>
      <c r="C16328"/>
      <c r="J16328"/>
      <c r="K16328"/>
      <c r="L16328"/>
    </row>
    <row r="16329" spans="2:12" x14ac:dyDescent="0.2">
      <c r="B16329"/>
      <c r="C16329"/>
      <c r="J16329"/>
      <c r="K16329"/>
      <c r="L16329"/>
    </row>
    <row r="16330" spans="2:12" x14ac:dyDescent="0.2">
      <c r="B16330"/>
      <c r="C16330"/>
      <c r="J16330"/>
      <c r="K16330"/>
      <c r="L16330"/>
    </row>
    <row r="16331" spans="2:12" x14ac:dyDescent="0.2">
      <c r="B16331"/>
      <c r="C16331"/>
      <c r="J16331"/>
      <c r="K16331"/>
      <c r="L16331"/>
    </row>
    <row r="16332" spans="2:12" x14ac:dyDescent="0.2">
      <c r="B16332"/>
      <c r="C16332"/>
      <c r="J16332"/>
      <c r="K16332"/>
      <c r="L16332"/>
    </row>
    <row r="16333" spans="2:12" x14ac:dyDescent="0.2">
      <c r="B16333"/>
      <c r="C16333"/>
      <c r="J16333"/>
      <c r="K16333"/>
      <c r="L16333"/>
    </row>
    <row r="16334" spans="2:12" x14ac:dyDescent="0.2">
      <c r="B16334"/>
      <c r="C16334"/>
      <c r="J16334"/>
      <c r="K16334"/>
      <c r="L16334"/>
    </row>
    <row r="16335" spans="2:12" x14ac:dyDescent="0.2">
      <c r="B16335"/>
      <c r="C16335"/>
      <c r="J16335"/>
      <c r="K16335"/>
      <c r="L16335"/>
    </row>
    <row r="16336" spans="2:12" x14ac:dyDescent="0.2">
      <c r="B16336"/>
      <c r="C16336"/>
      <c r="J16336"/>
      <c r="K16336"/>
      <c r="L16336"/>
    </row>
    <row r="16337" spans="2:12" x14ac:dyDescent="0.2">
      <c r="B16337"/>
      <c r="C16337"/>
      <c r="J16337"/>
      <c r="K16337"/>
      <c r="L16337"/>
    </row>
    <row r="16338" spans="2:12" x14ac:dyDescent="0.2">
      <c r="B16338"/>
      <c r="C16338"/>
      <c r="J16338"/>
      <c r="K16338"/>
      <c r="L16338"/>
    </row>
    <row r="16339" spans="2:12" x14ac:dyDescent="0.2">
      <c r="B16339"/>
      <c r="C16339"/>
      <c r="J16339"/>
      <c r="K16339"/>
      <c r="L16339"/>
    </row>
    <row r="16340" spans="2:12" x14ac:dyDescent="0.2">
      <c r="B16340"/>
      <c r="C16340"/>
      <c r="J16340"/>
      <c r="K16340"/>
      <c r="L16340"/>
    </row>
    <row r="16341" spans="2:12" x14ac:dyDescent="0.2">
      <c r="B16341"/>
      <c r="C16341"/>
      <c r="J16341"/>
      <c r="K16341"/>
      <c r="L16341"/>
    </row>
    <row r="16342" spans="2:12" x14ac:dyDescent="0.2">
      <c r="B16342"/>
      <c r="C16342"/>
      <c r="J16342"/>
      <c r="K16342"/>
      <c r="L16342"/>
    </row>
    <row r="16343" spans="2:12" x14ac:dyDescent="0.2">
      <c r="B16343"/>
      <c r="C16343"/>
      <c r="J16343"/>
      <c r="K16343"/>
      <c r="L16343"/>
    </row>
    <row r="16344" spans="2:12" x14ac:dyDescent="0.2">
      <c r="B16344"/>
      <c r="C16344"/>
      <c r="J16344"/>
      <c r="K16344"/>
      <c r="L16344"/>
    </row>
    <row r="16345" spans="2:12" x14ac:dyDescent="0.2">
      <c r="B16345"/>
      <c r="C16345"/>
      <c r="J16345"/>
      <c r="K16345"/>
      <c r="L16345"/>
    </row>
    <row r="16346" spans="2:12" x14ac:dyDescent="0.2">
      <c r="B16346"/>
      <c r="C16346"/>
      <c r="J16346"/>
      <c r="K16346"/>
      <c r="L16346"/>
    </row>
    <row r="16347" spans="2:12" x14ac:dyDescent="0.2">
      <c r="B16347"/>
      <c r="C16347"/>
      <c r="J16347"/>
      <c r="K16347"/>
      <c r="L16347"/>
    </row>
    <row r="16348" spans="2:12" x14ac:dyDescent="0.2">
      <c r="B16348"/>
      <c r="C16348"/>
      <c r="J16348"/>
      <c r="K16348"/>
      <c r="L16348"/>
    </row>
    <row r="16349" spans="2:12" x14ac:dyDescent="0.2">
      <c r="B16349"/>
      <c r="C16349"/>
      <c r="J16349"/>
      <c r="K16349"/>
      <c r="L16349"/>
    </row>
    <row r="16350" spans="2:12" x14ac:dyDescent="0.2">
      <c r="B16350"/>
      <c r="C16350"/>
      <c r="J16350"/>
      <c r="K16350"/>
      <c r="L16350"/>
    </row>
    <row r="16351" spans="2:12" x14ac:dyDescent="0.2">
      <c r="B16351"/>
      <c r="C16351"/>
      <c r="J16351"/>
      <c r="K16351"/>
      <c r="L16351"/>
    </row>
    <row r="16352" spans="2:12" x14ac:dyDescent="0.2">
      <c r="B16352"/>
      <c r="C16352"/>
      <c r="J16352"/>
      <c r="K16352"/>
      <c r="L16352"/>
    </row>
    <row r="16353" spans="2:12" x14ac:dyDescent="0.2">
      <c r="B16353"/>
      <c r="C16353"/>
      <c r="J16353"/>
      <c r="K16353"/>
      <c r="L16353"/>
    </row>
    <row r="16354" spans="2:12" x14ac:dyDescent="0.2">
      <c r="B16354"/>
      <c r="C16354"/>
      <c r="J16354"/>
      <c r="K16354"/>
      <c r="L16354"/>
    </row>
    <row r="16355" spans="2:12" x14ac:dyDescent="0.2">
      <c r="B16355"/>
      <c r="C16355"/>
      <c r="J16355"/>
      <c r="K16355"/>
      <c r="L16355"/>
    </row>
    <row r="16356" spans="2:12" x14ac:dyDescent="0.2">
      <c r="B16356"/>
      <c r="C16356"/>
      <c r="J16356"/>
      <c r="K16356"/>
      <c r="L16356"/>
    </row>
    <row r="16357" spans="2:12" x14ac:dyDescent="0.2">
      <c r="B16357"/>
      <c r="C16357"/>
      <c r="J16357"/>
      <c r="K16357"/>
      <c r="L16357"/>
    </row>
    <row r="16358" spans="2:12" x14ac:dyDescent="0.2">
      <c r="B16358"/>
      <c r="C16358"/>
      <c r="J16358"/>
      <c r="K16358"/>
      <c r="L16358"/>
    </row>
    <row r="16359" spans="2:12" x14ac:dyDescent="0.2">
      <c r="B16359"/>
      <c r="C16359"/>
      <c r="J16359"/>
      <c r="K16359"/>
      <c r="L16359"/>
    </row>
    <row r="16360" spans="2:12" x14ac:dyDescent="0.2">
      <c r="B16360"/>
      <c r="C16360"/>
      <c r="J16360"/>
      <c r="K16360"/>
      <c r="L16360"/>
    </row>
    <row r="16361" spans="2:12" x14ac:dyDescent="0.2">
      <c r="B16361"/>
      <c r="C16361"/>
      <c r="J16361"/>
      <c r="K16361"/>
      <c r="L16361"/>
    </row>
    <row r="16362" spans="2:12" x14ac:dyDescent="0.2">
      <c r="B16362"/>
      <c r="C16362"/>
      <c r="J16362"/>
      <c r="K16362"/>
      <c r="L16362"/>
    </row>
    <row r="16363" spans="2:12" x14ac:dyDescent="0.2">
      <c r="B16363"/>
      <c r="C16363"/>
      <c r="J16363"/>
      <c r="K16363"/>
      <c r="L16363"/>
    </row>
    <row r="16364" spans="2:12" x14ac:dyDescent="0.2">
      <c r="B16364"/>
      <c r="C16364"/>
      <c r="J16364"/>
      <c r="K16364"/>
      <c r="L16364"/>
    </row>
    <row r="16365" spans="2:12" x14ac:dyDescent="0.2">
      <c r="B16365"/>
      <c r="C16365"/>
      <c r="J16365"/>
      <c r="K16365"/>
      <c r="L16365"/>
    </row>
    <row r="16366" spans="2:12" x14ac:dyDescent="0.2">
      <c r="B16366"/>
      <c r="C16366"/>
      <c r="J16366"/>
      <c r="K16366"/>
      <c r="L16366"/>
    </row>
    <row r="16367" spans="2:12" x14ac:dyDescent="0.2">
      <c r="B16367"/>
      <c r="C16367"/>
      <c r="J16367"/>
      <c r="K16367"/>
      <c r="L16367"/>
    </row>
    <row r="16368" spans="2:12" x14ac:dyDescent="0.2">
      <c r="B16368"/>
      <c r="C16368"/>
      <c r="J16368"/>
      <c r="K16368"/>
      <c r="L16368"/>
    </row>
    <row r="16369" spans="2:12" x14ac:dyDescent="0.2">
      <c r="B16369"/>
      <c r="C16369"/>
      <c r="J16369"/>
      <c r="K16369"/>
      <c r="L16369"/>
    </row>
    <row r="16370" spans="2:12" x14ac:dyDescent="0.2">
      <c r="B16370"/>
      <c r="C16370"/>
      <c r="J16370"/>
      <c r="K16370"/>
      <c r="L16370"/>
    </row>
    <row r="16371" spans="2:12" x14ac:dyDescent="0.2">
      <c r="B16371"/>
      <c r="C16371"/>
      <c r="J16371"/>
      <c r="K16371"/>
      <c r="L16371"/>
    </row>
    <row r="16372" spans="2:12" x14ac:dyDescent="0.2">
      <c r="B16372"/>
      <c r="C16372"/>
      <c r="J16372"/>
      <c r="K16372"/>
      <c r="L16372"/>
    </row>
    <row r="16373" spans="2:12" x14ac:dyDescent="0.2">
      <c r="B16373"/>
      <c r="C16373"/>
      <c r="J16373"/>
      <c r="K16373"/>
      <c r="L16373"/>
    </row>
    <row r="16374" spans="2:12" x14ac:dyDescent="0.2">
      <c r="B16374"/>
      <c r="C16374"/>
      <c r="J16374"/>
      <c r="K16374"/>
      <c r="L16374"/>
    </row>
    <row r="16375" spans="2:12" x14ac:dyDescent="0.2">
      <c r="B16375"/>
      <c r="C16375"/>
      <c r="J16375"/>
      <c r="K16375"/>
      <c r="L16375"/>
    </row>
    <row r="16376" spans="2:12" x14ac:dyDescent="0.2">
      <c r="B16376"/>
      <c r="C16376"/>
      <c r="J16376"/>
      <c r="K16376"/>
      <c r="L16376"/>
    </row>
    <row r="16377" spans="2:12" x14ac:dyDescent="0.2">
      <c r="B16377"/>
      <c r="C16377"/>
      <c r="J16377"/>
      <c r="K16377"/>
      <c r="L16377"/>
    </row>
    <row r="16378" spans="2:12" x14ac:dyDescent="0.2">
      <c r="B16378"/>
      <c r="C16378"/>
      <c r="J16378"/>
      <c r="K16378"/>
      <c r="L16378"/>
    </row>
    <row r="16379" spans="2:12" x14ac:dyDescent="0.2">
      <c r="B16379"/>
      <c r="C16379"/>
      <c r="J16379"/>
      <c r="K16379"/>
      <c r="L16379"/>
    </row>
    <row r="16380" spans="2:12" x14ac:dyDescent="0.2">
      <c r="B16380"/>
      <c r="C16380"/>
      <c r="J16380"/>
      <c r="K16380"/>
      <c r="L16380"/>
    </row>
    <row r="16381" spans="2:12" x14ac:dyDescent="0.2">
      <c r="B16381"/>
      <c r="C16381"/>
      <c r="J16381"/>
      <c r="K16381"/>
      <c r="L16381"/>
    </row>
    <row r="16382" spans="2:12" x14ac:dyDescent="0.2">
      <c r="B16382"/>
      <c r="C16382"/>
      <c r="J16382"/>
      <c r="K16382"/>
      <c r="L16382"/>
    </row>
    <row r="16383" spans="2:12" x14ac:dyDescent="0.2">
      <c r="B16383"/>
      <c r="C16383"/>
      <c r="J16383"/>
      <c r="K16383"/>
      <c r="L16383"/>
    </row>
    <row r="16384" spans="2:12" x14ac:dyDescent="0.2">
      <c r="B16384"/>
      <c r="C16384"/>
      <c r="J16384"/>
      <c r="K16384"/>
      <c r="L16384"/>
    </row>
    <row r="16385" spans="2:12" x14ac:dyDescent="0.2">
      <c r="B16385"/>
      <c r="C16385"/>
      <c r="J16385"/>
      <c r="K16385"/>
      <c r="L16385"/>
    </row>
    <row r="16386" spans="2:12" x14ac:dyDescent="0.2">
      <c r="B16386"/>
      <c r="C16386"/>
      <c r="J16386"/>
      <c r="K16386"/>
      <c r="L16386"/>
    </row>
    <row r="16387" spans="2:12" x14ac:dyDescent="0.2">
      <c r="B16387"/>
      <c r="C16387"/>
      <c r="J16387"/>
      <c r="K16387"/>
      <c r="L16387"/>
    </row>
    <row r="16388" spans="2:12" x14ac:dyDescent="0.2">
      <c r="B16388"/>
      <c r="C16388"/>
      <c r="J16388"/>
      <c r="K16388"/>
      <c r="L16388"/>
    </row>
    <row r="16389" spans="2:12" x14ac:dyDescent="0.2">
      <c r="B16389"/>
      <c r="C16389"/>
      <c r="J16389"/>
      <c r="K16389"/>
      <c r="L16389"/>
    </row>
    <row r="16390" spans="2:12" x14ac:dyDescent="0.2">
      <c r="B16390"/>
      <c r="C16390"/>
      <c r="J16390"/>
      <c r="K16390"/>
      <c r="L16390"/>
    </row>
    <row r="16391" spans="2:12" x14ac:dyDescent="0.2">
      <c r="B16391"/>
      <c r="C16391"/>
      <c r="J16391"/>
      <c r="K16391"/>
      <c r="L16391"/>
    </row>
    <row r="16392" spans="2:12" x14ac:dyDescent="0.2">
      <c r="B16392"/>
      <c r="C16392"/>
      <c r="J16392"/>
      <c r="K16392"/>
      <c r="L16392"/>
    </row>
    <row r="16393" spans="2:12" x14ac:dyDescent="0.2">
      <c r="B16393"/>
      <c r="C16393"/>
      <c r="J16393"/>
      <c r="K16393"/>
      <c r="L16393"/>
    </row>
    <row r="16394" spans="2:12" x14ac:dyDescent="0.2">
      <c r="B16394"/>
      <c r="C16394"/>
      <c r="J16394"/>
      <c r="K16394"/>
      <c r="L16394"/>
    </row>
    <row r="16395" spans="2:12" x14ac:dyDescent="0.2">
      <c r="B16395"/>
      <c r="C16395"/>
      <c r="J16395"/>
      <c r="K16395"/>
      <c r="L16395"/>
    </row>
    <row r="16396" spans="2:12" x14ac:dyDescent="0.2">
      <c r="B16396"/>
      <c r="C16396"/>
      <c r="J16396"/>
      <c r="K16396"/>
      <c r="L16396"/>
    </row>
    <row r="16397" spans="2:12" x14ac:dyDescent="0.2">
      <c r="B16397"/>
      <c r="C16397"/>
      <c r="J16397"/>
      <c r="K16397"/>
      <c r="L16397"/>
    </row>
    <row r="16398" spans="2:12" x14ac:dyDescent="0.2">
      <c r="B16398"/>
      <c r="C16398"/>
      <c r="J16398"/>
      <c r="K16398"/>
      <c r="L16398"/>
    </row>
    <row r="16399" spans="2:12" x14ac:dyDescent="0.2">
      <c r="B16399"/>
      <c r="C16399"/>
      <c r="J16399"/>
      <c r="K16399"/>
      <c r="L16399"/>
    </row>
    <row r="16400" spans="2:12" x14ac:dyDescent="0.2">
      <c r="B16400"/>
      <c r="C16400"/>
      <c r="J16400"/>
      <c r="K16400"/>
      <c r="L16400"/>
    </row>
    <row r="16401" spans="2:12" x14ac:dyDescent="0.2">
      <c r="B16401"/>
      <c r="C16401"/>
      <c r="J16401"/>
      <c r="K16401"/>
      <c r="L16401"/>
    </row>
    <row r="16402" spans="2:12" x14ac:dyDescent="0.2">
      <c r="B16402"/>
      <c r="C16402"/>
      <c r="J16402"/>
      <c r="K16402"/>
      <c r="L16402"/>
    </row>
    <row r="16403" spans="2:12" x14ac:dyDescent="0.2">
      <c r="B16403"/>
      <c r="C16403"/>
      <c r="J16403"/>
      <c r="K16403"/>
      <c r="L16403"/>
    </row>
    <row r="16404" spans="2:12" x14ac:dyDescent="0.2">
      <c r="B16404"/>
      <c r="C16404"/>
      <c r="J16404"/>
      <c r="K16404"/>
      <c r="L16404"/>
    </row>
    <row r="16405" spans="2:12" x14ac:dyDescent="0.2">
      <c r="B16405"/>
      <c r="C16405"/>
      <c r="J16405"/>
      <c r="K16405"/>
      <c r="L16405"/>
    </row>
    <row r="16406" spans="2:12" x14ac:dyDescent="0.2">
      <c r="B16406"/>
      <c r="C16406"/>
      <c r="J16406"/>
      <c r="K16406"/>
      <c r="L16406"/>
    </row>
    <row r="16407" spans="2:12" x14ac:dyDescent="0.2">
      <c r="B16407"/>
      <c r="C16407"/>
      <c r="J16407"/>
      <c r="K16407"/>
      <c r="L16407"/>
    </row>
    <row r="16408" spans="2:12" x14ac:dyDescent="0.2">
      <c r="B16408"/>
      <c r="C16408"/>
      <c r="J16408"/>
      <c r="K16408"/>
      <c r="L16408"/>
    </row>
    <row r="16409" spans="2:12" x14ac:dyDescent="0.2">
      <c r="B16409"/>
      <c r="C16409"/>
      <c r="J16409"/>
      <c r="K16409"/>
      <c r="L16409"/>
    </row>
    <row r="16410" spans="2:12" x14ac:dyDescent="0.2">
      <c r="B16410"/>
      <c r="C16410"/>
      <c r="J16410"/>
      <c r="K16410"/>
      <c r="L16410"/>
    </row>
    <row r="16411" spans="2:12" x14ac:dyDescent="0.2">
      <c r="B16411"/>
      <c r="C16411"/>
      <c r="J16411"/>
      <c r="K16411"/>
      <c r="L16411"/>
    </row>
    <row r="16412" spans="2:12" x14ac:dyDescent="0.2">
      <c r="B16412"/>
      <c r="C16412"/>
      <c r="J16412"/>
      <c r="K16412"/>
      <c r="L16412"/>
    </row>
    <row r="16413" spans="2:12" x14ac:dyDescent="0.2">
      <c r="B16413"/>
      <c r="C16413"/>
      <c r="J16413"/>
      <c r="K16413"/>
      <c r="L16413"/>
    </row>
    <row r="16414" spans="2:12" x14ac:dyDescent="0.2">
      <c r="B16414"/>
      <c r="C16414"/>
      <c r="J16414"/>
      <c r="K16414"/>
      <c r="L16414"/>
    </row>
    <row r="16415" spans="2:12" x14ac:dyDescent="0.2">
      <c r="B16415"/>
      <c r="C16415"/>
      <c r="J16415"/>
      <c r="K16415"/>
      <c r="L16415"/>
    </row>
    <row r="16416" spans="2:12" x14ac:dyDescent="0.2">
      <c r="B16416"/>
      <c r="C16416"/>
      <c r="J16416"/>
      <c r="K16416"/>
      <c r="L16416"/>
    </row>
    <row r="16417" spans="2:12" x14ac:dyDescent="0.2">
      <c r="B16417"/>
      <c r="C16417"/>
      <c r="J16417"/>
      <c r="K16417"/>
      <c r="L16417"/>
    </row>
    <row r="16418" spans="2:12" x14ac:dyDescent="0.2">
      <c r="B16418"/>
      <c r="C16418"/>
      <c r="J16418"/>
      <c r="K16418"/>
      <c r="L16418"/>
    </row>
    <row r="16419" spans="2:12" x14ac:dyDescent="0.2">
      <c r="B16419"/>
      <c r="C16419"/>
      <c r="J16419"/>
      <c r="K16419"/>
      <c r="L16419"/>
    </row>
    <row r="16420" spans="2:12" x14ac:dyDescent="0.2">
      <c r="B16420"/>
      <c r="C16420"/>
      <c r="J16420"/>
      <c r="K16420"/>
      <c r="L16420"/>
    </row>
    <row r="16421" spans="2:12" x14ac:dyDescent="0.2">
      <c r="B16421"/>
      <c r="C16421"/>
      <c r="J16421"/>
      <c r="K16421"/>
      <c r="L16421"/>
    </row>
    <row r="16422" spans="2:12" x14ac:dyDescent="0.2">
      <c r="B16422"/>
      <c r="C16422"/>
      <c r="J16422"/>
      <c r="K16422"/>
      <c r="L16422"/>
    </row>
    <row r="16423" spans="2:12" x14ac:dyDescent="0.2">
      <c r="B16423"/>
      <c r="C16423"/>
      <c r="J16423"/>
      <c r="K16423"/>
      <c r="L16423"/>
    </row>
    <row r="16424" spans="2:12" x14ac:dyDescent="0.2">
      <c r="B16424"/>
      <c r="C16424"/>
      <c r="J16424"/>
      <c r="K16424"/>
      <c r="L16424"/>
    </row>
    <row r="16425" spans="2:12" x14ac:dyDescent="0.2">
      <c r="B16425"/>
      <c r="C16425"/>
      <c r="J16425"/>
      <c r="K16425"/>
      <c r="L16425"/>
    </row>
    <row r="16426" spans="2:12" x14ac:dyDescent="0.2">
      <c r="B16426"/>
      <c r="C16426"/>
      <c r="J16426"/>
      <c r="K16426"/>
      <c r="L16426"/>
    </row>
    <row r="16427" spans="2:12" x14ac:dyDescent="0.2">
      <c r="B16427"/>
      <c r="C16427"/>
      <c r="J16427"/>
      <c r="K16427"/>
      <c r="L16427"/>
    </row>
    <row r="16428" spans="2:12" x14ac:dyDescent="0.2">
      <c r="B16428"/>
      <c r="C16428"/>
      <c r="J16428"/>
      <c r="K16428"/>
      <c r="L16428"/>
    </row>
    <row r="16429" spans="2:12" x14ac:dyDescent="0.2">
      <c r="B16429"/>
      <c r="C16429"/>
      <c r="J16429"/>
      <c r="K16429"/>
      <c r="L16429"/>
    </row>
    <row r="16430" spans="2:12" x14ac:dyDescent="0.2">
      <c r="B16430"/>
      <c r="C16430"/>
      <c r="J16430"/>
      <c r="K16430"/>
      <c r="L16430"/>
    </row>
    <row r="16431" spans="2:12" x14ac:dyDescent="0.2">
      <c r="B16431"/>
      <c r="C16431"/>
      <c r="J16431"/>
      <c r="K16431"/>
      <c r="L16431"/>
    </row>
    <row r="16432" spans="2:12" x14ac:dyDescent="0.2">
      <c r="B16432"/>
      <c r="C16432"/>
      <c r="J16432"/>
      <c r="K16432"/>
      <c r="L16432"/>
    </row>
    <row r="16433" spans="2:12" x14ac:dyDescent="0.2">
      <c r="B16433"/>
      <c r="C16433"/>
      <c r="J16433"/>
      <c r="K16433"/>
      <c r="L16433"/>
    </row>
    <row r="16434" spans="2:12" x14ac:dyDescent="0.2">
      <c r="B16434"/>
      <c r="C16434"/>
      <c r="J16434"/>
      <c r="K16434"/>
      <c r="L16434"/>
    </row>
    <row r="16435" spans="2:12" x14ac:dyDescent="0.2">
      <c r="B16435"/>
      <c r="C16435"/>
      <c r="J16435"/>
      <c r="K16435"/>
      <c r="L16435"/>
    </row>
    <row r="16436" spans="2:12" x14ac:dyDescent="0.2">
      <c r="B16436"/>
      <c r="C16436"/>
      <c r="J16436"/>
      <c r="K16436"/>
      <c r="L16436"/>
    </row>
    <row r="16437" spans="2:12" x14ac:dyDescent="0.2">
      <c r="B16437"/>
      <c r="C16437"/>
      <c r="J16437"/>
      <c r="K16437"/>
      <c r="L16437"/>
    </row>
    <row r="16438" spans="2:12" x14ac:dyDescent="0.2">
      <c r="B16438"/>
      <c r="C16438"/>
      <c r="J16438"/>
      <c r="K16438"/>
      <c r="L16438"/>
    </row>
    <row r="16439" spans="2:12" x14ac:dyDescent="0.2">
      <c r="B16439"/>
      <c r="C16439"/>
      <c r="J16439"/>
      <c r="K16439"/>
      <c r="L16439"/>
    </row>
    <row r="16440" spans="2:12" x14ac:dyDescent="0.2">
      <c r="B16440"/>
      <c r="C16440"/>
      <c r="J16440"/>
      <c r="K16440"/>
      <c r="L16440"/>
    </row>
    <row r="16441" spans="2:12" x14ac:dyDescent="0.2">
      <c r="B16441"/>
      <c r="C16441"/>
      <c r="J16441"/>
      <c r="K16441"/>
      <c r="L16441"/>
    </row>
    <row r="16442" spans="2:12" x14ac:dyDescent="0.2">
      <c r="B16442"/>
      <c r="C16442"/>
      <c r="J16442"/>
      <c r="K16442"/>
      <c r="L16442"/>
    </row>
    <row r="16443" spans="2:12" x14ac:dyDescent="0.2">
      <c r="B16443"/>
      <c r="C16443"/>
      <c r="J16443"/>
      <c r="K16443"/>
      <c r="L16443"/>
    </row>
    <row r="16444" spans="2:12" x14ac:dyDescent="0.2">
      <c r="B16444"/>
      <c r="C16444"/>
      <c r="J16444"/>
      <c r="K16444"/>
      <c r="L16444"/>
    </row>
    <row r="16445" spans="2:12" x14ac:dyDescent="0.2">
      <c r="B16445"/>
      <c r="C16445"/>
      <c r="J16445"/>
      <c r="K16445"/>
      <c r="L16445"/>
    </row>
    <row r="16446" spans="2:12" x14ac:dyDescent="0.2">
      <c r="B16446"/>
      <c r="C16446"/>
      <c r="J16446"/>
      <c r="K16446"/>
      <c r="L16446"/>
    </row>
    <row r="16447" spans="2:12" x14ac:dyDescent="0.2">
      <c r="B16447"/>
      <c r="C16447"/>
      <c r="J16447"/>
      <c r="K16447"/>
      <c r="L16447"/>
    </row>
    <row r="16448" spans="2:12" x14ac:dyDescent="0.2">
      <c r="B16448"/>
      <c r="C16448"/>
      <c r="J16448"/>
      <c r="K16448"/>
      <c r="L16448"/>
    </row>
    <row r="16449" spans="2:12" x14ac:dyDescent="0.2">
      <c r="B16449"/>
      <c r="C16449"/>
      <c r="J16449"/>
      <c r="K16449"/>
      <c r="L16449"/>
    </row>
    <row r="16450" spans="2:12" x14ac:dyDescent="0.2">
      <c r="B16450"/>
      <c r="C16450"/>
      <c r="J16450"/>
      <c r="K16450"/>
      <c r="L16450"/>
    </row>
    <row r="16451" spans="2:12" x14ac:dyDescent="0.2">
      <c r="B16451"/>
      <c r="C16451"/>
      <c r="J16451"/>
      <c r="K16451"/>
      <c r="L16451"/>
    </row>
    <row r="16452" spans="2:12" x14ac:dyDescent="0.2">
      <c r="B16452"/>
      <c r="C16452"/>
      <c r="J16452"/>
      <c r="K16452"/>
      <c r="L16452"/>
    </row>
    <row r="16453" spans="2:12" x14ac:dyDescent="0.2">
      <c r="B16453"/>
      <c r="C16453"/>
      <c r="J16453"/>
      <c r="K16453"/>
      <c r="L16453"/>
    </row>
    <row r="16454" spans="2:12" x14ac:dyDescent="0.2">
      <c r="B16454"/>
      <c r="C16454"/>
      <c r="J16454"/>
      <c r="K16454"/>
      <c r="L16454"/>
    </row>
    <row r="16455" spans="2:12" x14ac:dyDescent="0.2">
      <c r="B16455"/>
      <c r="C16455"/>
      <c r="J16455"/>
      <c r="K16455"/>
      <c r="L16455"/>
    </row>
    <row r="16456" spans="2:12" x14ac:dyDescent="0.2">
      <c r="B16456"/>
      <c r="C16456"/>
      <c r="J16456"/>
      <c r="K16456"/>
      <c r="L16456"/>
    </row>
    <row r="16457" spans="2:12" x14ac:dyDescent="0.2">
      <c r="B16457"/>
      <c r="C16457"/>
      <c r="J16457"/>
      <c r="K16457"/>
      <c r="L16457"/>
    </row>
    <row r="16458" spans="2:12" x14ac:dyDescent="0.2">
      <c r="B16458"/>
      <c r="C16458"/>
      <c r="J16458"/>
      <c r="K16458"/>
      <c r="L16458"/>
    </row>
    <row r="16459" spans="2:12" x14ac:dyDescent="0.2">
      <c r="B16459"/>
      <c r="C16459"/>
      <c r="J16459"/>
      <c r="K16459"/>
      <c r="L16459"/>
    </row>
    <row r="16460" spans="2:12" x14ac:dyDescent="0.2">
      <c r="B16460"/>
      <c r="C16460"/>
      <c r="J16460"/>
      <c r="K16460"/>
      <c r="L16460"/>
    </row>
    <row r="16461" spans="2:12" x14ac:dyDescent="0.2">
      <c r="B16461"/>
      <c r="C16461"/>
      <c r="J16461"/>
      <c r="K16461"/>
      <c r="L16461"/>
    </row>
    <row r="16462" spans="2:12" x14ac:dyDescent="0.2">
      <c r="B16462"/>
      <c r="C16462"/>
      <c r="J16462"/>
      <c r="K16462"/>
      <c r="L16462"/>
    </row>
    <row r="16463" spans="2:12" x14ac:dyDescent="0.2">
      <c r="B16463"/>
      <c r="C16463"/>
      <c r="J16463"/>
      <c r="K16463"/>
      <c r="L16463"/>
    </row>
    <row r="16464" spans="2:12" x14ac:dyDescent="0.2">
      <c r="B16464"/>
      <c r="C16464"/>
      <c r="J16464"/>
      <c r="K16464"/>
      <c r="L16464"/>
    </row>
    <row r="16465" spans="2:12" x14ac:dyDescent="0.2">
      <c r="B16465"/>
      <c r="C16465"/>
      <c r="J16465"/>
      <c r="K16465"/>
      <c r="L16465"/>
    </row>
    <row r="16466" spans="2:12" x14ac:dyDescent="0.2">
      <c r="B16466"/>
      <c r="C16466"/>
      <c r="J16466"/>
      <c r="K16466"/>
      <c r="L16466"/>
    </row>
    <row r="16467" spans="2:12" x14ac:dyDescent="0.2">
      <c r="B16467"/>
      <c r="C16467"/>
      <c r="J16467"/>
      <c r="K16467"/>
      <c r="L16467"/>
    </row>
    <row r="16468" spans="2:12" x14ac:dyDescent="0.2">
      <c r="B16468"/>
      <c r="C16468"/>
      <c r="J16468"/>
      <c r="K16468"/>
      <c r="L16468"/>
    </row>
    <row r="16469" spans="2:12" x14ac:dyDescent="0.2">
      <c r="B16469"/>
      <c r="C16469"/>
      <c r="J16469"/>
      <c r="K16469"/>
      <c r="L16469"/>
    </row>
    <row r="16470" spans="2:12" x14ac:dyDescent="0.2">
      <c r="B16470"/>
      <c r="C16470"/>
      <c r="J16470"/>
      <c r="K16470"/>
      <c r="L16470"/>
    </row>
    <row r="16471" spans="2:12" x14ac:dyDescent="0.2">
      <c r="B16471"/>
      <c r="C16471"/>
      <c r="J16471"/>
      <c r="K16471"/>
      <c r="L16471"/>
    </row>
    <row r="16472" spans="2:12" x14ac:dyDescent="0.2">
      <c r="B16472"/>
      <c r="C16472"/>
      <c r="J16472"/>
      <c r="K16472"/>
      <c r="L16472"/>
    </row>
    <row r="16473" spans="2:12" x14ac:dyDescent="0.2">
      <c r="B16473"/>
      <c r="C16473"/>
      <c r="J16473"/>
      <c r="K16473"/>
      <c r="L16473"/>
    </row>
    <row r="16474" spans="2:12" x14ac:dyDescent="0.2">
      <c r="B16474"/>
      <c r="C16474"/>
      <c r="J16474"/>
      <c r="K16474"/>
      <c r="L16474"/>
    </row>
    <row r="16475" spans="2:12" x14ac:dyDescent="0.2">
      <c r="B16475"/>
      <c r="C16475"/>
      <c r="J16475"/>
      <c r="K16475"/>
      <c r="L16475"/>
    </row>
    <row r="16476" spans="2:12" x14ac:dyDescent="0.2">
      <c r="B16476"/>
      <c r="C16476"/>
      <c r="J16476"/>
      <c r="K16476"/>
      <c r="L16476"/>
    </row>
    <row r="16477" spans="2:12" x14ac:dyDescent="0.2">
      <c r="B16477"/>
      <c r="C16477"/>
      <c r="J16477"/>
      <c r="K16477"/>
      <c r="L16477"/>
    </row>
    <row r="16478" spans="2:12" x14ac:dyDescent="0.2">
      <c r="B16478"/>
      <c r="C16478"/>
      <c r="J16478"/>
      <c r="K16478"/>
      <c r="L16478"/>
    </row>
    <row r="16479" spans="2:12" x14ac:dyDescent="0.2">
      <c r="B16479"/>
      <c r="C16479"/>
      <c r="J16479"/>
      <c r="K16479"/>
      <c r="L16479"/>
    </row>
    <row r="16480" spans="2:12" x14ac:dyDescent="0.2">
      <c r="B16480"/>
      <c r="C16480"/>
      <c r="J16480"/>
      <c r="K16480"/>
      <c r="L16480"/>
    </row>
    <row r="16481" spans="2:12" x14ac:dyDescent="0.2">
      <c r="B16481"/>
      <c r="C16481"/>
      <c r="J16481"/>
      <c r="K16481"/>
      <c r="L16481"/>
    </row>
    <row r="16482" spans="2:12" x14ac:dyDescent="0.2">
      <c r="B16482"/>
      <c r="C16482"/>
      <c r="J16482"/>
      <c r="K16482"/>
      <c r="L16482"/>
    </row>
    <row r="16483" spans="2:12" x14ac:dyDescent="0.2">
      <c r="B16483"/>
      <c r="C16483"/>
      <c r="J16483"/>
      <c r="K16483"/>
      <c r="L16483"/>
    </row>
    <row r="16484" spans="2:12" x14ac:dyDescent="0.2">
      <c r="B16484"/>
      <c r="C16484"/>
      <c r="J16484"/>
      <c r="K16484"/>
      <c r="L16484"/>
    </row>
    <row r="16485" spans="2:12" x14ac:dyDescent="0.2">
      <c r="B16485"/>
      <c r="C16485"/>
      <c r="J16485"/>
      <c r="K16485"/>
      <c r="L16485"/>
    </row>
    <row r="16486" spans="2:12" x14ac:dyDescent="0.2">
      <c r="B16486"/>
      <c r="C16486"/>
      <c r="J16486"/>
      <c r="K16486"/>
      <c r="L16486"/>
    </row>
    <row r="16487" spans="2:12" x14ac:dyDescent="0.2">
      <c r="B16487"/>
      <c r="C16487"/>
      <c r="J16487"/>
      <c r="K16487"/>
      <c r="L16487"/>
    </row>
    <row r="16488" spans="2:12" x14ac:dyDescent="0.2">
      <c r="B16488"/>
      <c r="C16488"/>
      <c r="J16488"/>
      <c r="K16488"/>
      <c r="L16488"/>
    </row>
    <row r="16489" spans="2:12" x14ac:dyDescent="0.2">
      <c r="B16489"/>
      <c r="C16489"/>
      <c r="J16489"/>
      <c r="K16489"/>
      <c r="L16489"/>
    </row>
    <row r="16490" spans="2:12" x14ac:dyDescent="0.2">
      <c r="B16490"/>
      <c r="C16490"/>
      <c r="J16490"/>
      <c r="K16490"/>
      <c r="L16490"/>
    </row>
    <row r="16491" spans="2:12" x14ac:dyDescent="0.2">
      <c r="B16491"/>
      <c r="C16491"/>
      <c r="J16491"/>
      <c r="K16491"/>
      <c r="L16491"/>
    </row>
    <row r="16492" spans="2:12" x14ac:dyDescent="0.2">
      <c r="B16492"/>
      <c r="C16492"/>
      <c r="J16492"/>
      <c r="K16492"/>
      <c r="L16492"/>
    </row>
    <row r="16493" spans="2:12" x14ac:dyDescent="0.2">
      <c r="B16493"/>
      <c r="C16493"/>
      <c r="J16493"/>
      <c r="K16493"/>
      <c r="L16493"/>
    </row>
    <row r="16494" spans="2:12" x14ac:dyDescent="0.2">
      <c r="B16494"/>
      <c r="C16494"/>
      <c r="J16494"/>
      <c r="K16494"/>
      <c r="L16494"/>
    </row>
    <row r="16495" spans="2:12" x14ac:dyDescent="0.2">
      <c r="B16495"/>
      <c r="C16495"/>
      <c r="J16495"/>
      <c r="K16495"/>
      <c r="L16495"/>
    </row>
    <row r="16496" spans="2:12" x14ac:dyDescent="0.2">
      <c r="B16496"/>
      <c r="C16496"/>
      <c r="J16496"/>
      <c r="K16496"/>
      <c r="L16496"/>
    </row>
    <row r="16497" spans="2:12" x14ac:dyDescent="0.2">
      <c r="B16497"/>
      <c r="C16497"/>
      <c r="J16497"/>
      <c r="K16497"/>
      <c r="L16497"/>
    </row>
    <row r="16498" spans="2:12" x14ac:dyDescent="0.2">
      <c r="B16498"/>
      <c r="C16498"/>
      <c r="J16498"/>
      <c r="K16498"/>
      <c r="L16498"/>
    </row>
    <row r="16499" spans="2:12" x14ac:dyDescent="0.2">
      <c r="B16499"/>
      <c r="C16499"/>
      <c r="J16499"/>
      <c r="K16499"/>
      <c r="L16499"/>
    </row>
    <row r="16500" spans="2:12" x14ac:dyDescent="0.2">
      <c r="B16500"/>
      <c r="C16500"/>
      <c r="J16500"/>
      <c r="K16500"/>
      <c r="L16500"/>
    </row>
    <row r="16501" spans="2:12" x14ac:dyDescent="0.2">
      <c r="B16501"/>
      <c r="C16501"/>
      <c r="J16501"/>
      <c r="K16501"/>
      <c r="L16501"/>
    </row>
    <row r="16502" spans="2:12" x14ac:dyDescent="0.2">
      <c r="B16502"/>
      <c r="C16502"/>
      <c r="J16502"/>
      <c r="K16502"/>
      <c r="L16502"/>
    </row>
    <row r="16503" spans="2:12" x14ac:dyDescent="0.2">
      <c r="B16503"/>
      <c r="C16503"/>
      <c r="J16503"/>
      <c r="K16503"/>
      <c r="L16503"/>
    </row>
    <row r="16504" spans="2:12" x14ac:dyDescent="0.2">
      <c r="B16504"/>
      <c r="C16504"/>
      <c r="J16504"/>
      <c r="K16504"/>
      <c r="L16504"/>
    </row>
    <row r="16505" spans="2:12" x14ac:dyDescent="0.2">
      <c r="B16505"/>
      <c r="C16505"/>
      <c r="J16505"/>
      <c r="K16505"/>
      <c r="L16505"/>
    </row>
    <row r="16506" spans="2:12" x14ac:dyDescent="0.2">
      <c r="B16506"/>
      <c r="C16506"/>
      <c r="J16506"/>
      <c r="K16506"/>
      <c r="L16506"/>
    </row>
    <row r="16507" spans="2:12" x14ac:dyDescent="0.2">
      <c r="B16507"/>
      <c r="C16507"/>
      <c r="J16507"/>
      <c r="K16507"/>
      <c r="L16507"/>
    </row>
    <row r="16508" spans="2:12" x14ac:dyDescent="0.2">
      <c r="B16508"/>
      <c r="C16508"/>
      <c r="J16508"/>
      <c r="K16508"/>
      <c r="L16508"/>
    </row>
    <row r="16509" spans="2:12" x14ac:dyDescent="0.2">
      <c r="B16509"/>
      <c r="C16509"/>
      <c r="J16509"/>
      <c r="K16509"/>
      <c r="L16509"/>
    </row>
    <row r="16510" spans="2:12" x14ac:dyDescent="0.2">
      <c r="B16510"/>
      <c r="C16510"/>
      <c r="J16510"/>
      <c r="K16510"/>
      <c r="L16510"/>
    </row>
    <row r="16511" spans="2:12" x14ac:dyDescent="0.2">
      <c r="B16511"/>
      <c r="C16511"/>
      <c r="J16511"/>
      <c r="K16511"/>
      <c r="L16511"/>
    </row>
    <row r="16512" spans="2:12" x14ac:dyDescent="0.2">
      <c r="B16512"/>
      <c r="C16512"/>
      <c r="J16512"/>
      <c r="K16512"/>
      <c r="L16512"/>
    </row>
    <row r="16513" spans="2:12" x14ac:dyDescent="0.2">
      <c r="B16513"/>
      <c r="C16513"/>
      <c r="J16513"/>
      <c r="K16513"/>
      <c r="L16513"/>
    </row>
    <row r="16514" spans="2:12" x14ac:dyDescent="0.2">
      <c r="B16514"/>
      <c r="C16514"/>
      <c r="J16514"/>
      <c r="K16514"/>
      <c r="L16514"/>
    </row>
    <row r="16515" spans="2:12" x14ac:dyDescent="0.2">
      <c r="B16515"/>
      <c r="C16515"/>
      <c r="J16515"/>
      <c r="K16515"/>
      <c r="L16515"/>
    </row>
    <row r="16516" spans="2:12" x14ac:dyDescent="0.2">
      <c r="B16516"/>
      <c r="C16516"/>
      <c r="J16516"/>
      <c r="K16516"/>
      <c r="L16516"/>
    </row>
    <row r="16517" spans="2:12" x14ac:dyDescent="0.2">
      <c r="B16517"/>
      <c r="C16517"/>
      <c r="J16517"/>
      <c r="K16517"/>
      <c r="L16517"/>
    </row>
    <row r="16518" spans="2:12" x14ac:dyDescent="0.2">
      <c r="B16518"/>
      <c r="C16518"/>
      <c r="J16518"/>
      <c r="K16518"/>
      <c r="L16518"/>
    </row>
    <row r="16519" spans="2:12" x14ac:dyDescent="0.2">
      <c r="B16519"/>
      <c r="C16519"/>
      <c r="J16519"/>
      <c r="K16519"/>
      <c r="L16519"/>
    </row>
    <row r="16520" spans="2:12" x14ac:dyDescent="0.2">
      <c r="B16520"/>
      <c r="C16520"/>
      <c r="J16520"/>
      <c r="K16520"/>
      <c r="L16520"/>
    </row>
    <row r="16521" spans="2:12" x14ac:dyDescent="0.2">
      <c r="B16521"/>
      <c r="C16521"/>
      <c r="J16521"/>
      <c r="K16521"/>
      <c r="L16521"/>
    </row>
    <row r="16522" spans="2:12" x14ac:dyDescent="0.2">
      <c r="B16522"/>
      <c r="C16522"/>
      <c r="J16522"/>
      <c r="K16522"/>
      <c r="L16522"/>
    </row>
    <row r="16523" spans="2:12" x14ac:dyDescent="0.2">
      <c r="B16523"/>
      <c r="C16523"/>
      <c r="J16523"/>
      <c r="K16523"/>
      <c r="L16523"/>
    </row>
    <row r="16524" spans="2:12" x14ac:dyDescent="0.2">
      <c r="B16524"/>
      <c r="C16524"/>
      <c r="J16524"/>
      <c r="K16524"/>
      <c r="L16524"/>
    </row>
    <row r="16525" spans="2:12" x14ac:dyDescent="0.2">
      <c r="B16525"/>
      <c r="C16525"/>
      <c r="J16525"/>
      <c r="K16525"/>
      <c r="L16525"/>
    </row>
    <row r="16526" spans="2:12" x14ac:dyDescent="0.2">
      <c r="B16526"/>
      <c r="C16526"/>
      <c r="J16526"/>
      <c r="K16526"/>
      <c r="L16526"/>
    </row>
    <row r="16527" spans="2:12" x14ac:dyDescent="0.2">
      <c r="B16527"/>
      <c r="C16527"/>
      <c r="J16527"/>
      <c r="K16527"/>
      <c r="L16527"/>
    </row>
    <row r="16528" spans="2:12" x14ac:dyDescent="0.2">
      <c r="B16528"/>
      <c r="C16528"/>
      <c r="J16528"/>
      <c r="K16528"/>
      <c r="L16528"/>
    </row>
    <row r="16529" spans="2:12" x14ac:dyDescent="0.2">
      <c r="B16529"/>
      <c r="C16529"/>
      <c r="J16529"/>
      <c r="K16529"/>
      <c r="L16529"/>
    </row>
    <row r="16530" spans="2:12" x14ac:dyDescent="0.2">
      <c r="B16530"/>
      <c r="C16530"/>
      <c r="J16530"/>
      <c r="K16530"/>
      <c r="L16530"/>
    </row>
    <row r="16531" spans="2:12" x14ac:dyDescent="0.2">
      <c r="B16531"/>
      <c r="C16531"/>
      <c r="J16531"/>
      <c r="K16531"/>
      <c r="L16531"/>
    </row>
    <row r="16532" spans="2:12" x14ac:dyDescent="0.2">
      <c r="B16532"/>
      <c r="C16532"/>
      <c r="J16532"/>
      <c r="K16532"/>
      <c r="L16532"/>
    </row>
    <row r="16533" spans="2:12" x14ac:dyDescent="0.2">
      <c r="B16533"/>
      <c r="C16533"/>
      <c r="J16533"/>
      <c r="K16533"/>
      <c r="L16533"/>
    </row>
    <row r="16534" spans="2:12" x14ac:dyDescent="0.2">
      <c r="B16534"/>
      <c r="C16534"/>
      <c r="J16534"/>
      <c r="K16534"/>
      <c r="L16534"/>
    </row>
    <row r="16535" spans="2:12" x14ac:dyDescent="0.2">
      <c r="B16535"/>
      <c r="C16535"/>
      <c r="J16535"/>
      <c r="K16535"/>
      <c r="L16535"/>
    </row>
    <row r="16536" spans="2:12" x14ac:dyDescent="0.2">
      <c r="B16536"/>
      <c r="C16536"/>
      <c r="J16536"/>
      <c r="K16536"/>
      <c r="L16536"/>
    </row>
    <row r="16537" spans="2:12" x14ac:dyDescent="0.2">
      <c r="B16537"/>
      <c r="C16537"/>
      <c r="J16537"/>
      <c r="K16537"/>
      <c r="L16537"/>
    </row>
    <row r="16538" spans="2:12" x14ac:dyDescent="0.2">
      <c r="B16538"/>
      <c r="C16538"/>
      <c r="J16538"/>
      <c r="K16538"/>
      <c r="L16538"/>
    </row>
    <row r="16539" spans="2:12" x14ac:dyDescent="0.2">
      <c r="B16539"/>
      <c r="C16539"/>
      <c r="J16539"/>
      <c r="K16539"/>
      <c r="L16539"/>
    </row>
    <row r="16540" spans="2:12" x14ac:dyDescent="0.2">
      <c r="B16540"/>
      <c r="C16540"/>
      <c r="J16540"/>
      <c r="K16540"/>
      <c r="L16540"/>
    </row>
    <row r="16541" spans="2:12" x14ac:dyDescent="0.2">
      <c r="B16541"/>
      <c r="C16541"/>
      <c r="J16541"/>
      <c r="K16541"/>
      <c r="L16541"/>
    </row>
    <row r="16542" spans="2:12" x14ac:dyDescent="0.2">
      <c r="B16542"/>
      <c r="C16542"/>
      <c r="J16542"/>
      <c r="K16542"/>
      <c r="L16542"/>
    </row>
    <row r="16543" spans="2:12" x14ac:dyDescent="0.2">
      <c r="B16543"/>
      <c r="C16543"/>
      <c r="J16543"/>
      <c r="K16543"/>
      <c r="L16543"/>
    </row>
    <row r="16544" spans="2:12" x14ac:dyDescent="0.2">
      <c r="B16544"/>
      <c r="C16544"/>
      <c r="J16544"/>
      <c r="K16544"/>
      <c r="L16544"/>
    </row>
    <row r="16545" spans="2:12" x14ac:dyDescent="0.2">
      <c r="B16545"/>
      <c r="C16545"/>
      <c r="J16545"/>
      <c r="K16545"/>
      <c r="L16545"/>
    </row>
    <row r="16546" spans="2:12" x14ac:dyDescent="0.2">
      <c r="B16546"/>
      <c r="C16546"/>
      <c r="J16546"/>
      <c r="K16546"/>
      <c r="L16546"/>
    </row>
    <row r="16547" spans="2:12" x14ac:dyDescent="0.2">
      <c r="B16547"/>
      <c r="C16547"/>
      <c r="J16547"/>
      <c r="K16547"/>
      <c r="L16547"/>
    </row>
    <row r="16548" spans="2:12" x14ac:dyDescent="0.2">
      <c r="B16548"/>
      <c r="C16548"/>
      <c r="J16548"/>
      <c r="K16548"/>
      <c r="L16548"/>
    </row>
    <row r="16549" spans="2:12" x14ac:dyDescent="0.2">
      <c r="B16549"/>
      <c r="C16549"/>
      <c r="J16549"/>
      <c r="K16549"/>
      <c r="L16549"/>
    </row>
    <row r="16550" spans="2:12" x14ac:dyDescent="0.2">
      <c r="B16550"/>
      <c r="C16550"/>
      <c r="J16550"/>
      <c r="K16550"/>
      <c r="L16550"/>
    </row>
    <row r="16551" spans="2:12" x14ac:dyDescent="0.2">
      <c r="B16551"/>
      <c r="C16551"/>
      <c r="J16551"/>
      <c r="K16551"/>
      <c r="L16551"/>
    </row>
    <row r="16552" spans="2:12" x14ac:dyDescent="0.2">
      <c r="B16552"/>
      <c r="C16552"/>
      <c r="J16552"/>
      <c r="K16552"/>
      <c r="L16552"/>
    </row>
    <row r="16553" spans="2:12" x14ac:dyDescent="0.2">
      <c r="B16553"/>
      <c r="C16553"/>
      <c r="J16553"/>
      <c r="K16553"/>
      <c r="L16553"/>
    </row>
    <row r="16554" spans="2:12" x14ac:dyDescent="0.2">
      <c r="B16554"/>
      <c r="C16554"/>
      <c r="J16554"/>
      <c r="K16554"/>
      <c r="L16554"/>
    </row>
    <row r="16555" spans="2:12" x14ac:dyDescent="0.2">
      <c r="B16555"/>
      <c r="C16555"/>
      <c r="J16555"/>
      <c r="K16555"/>
      <c r="L16555"/>
    </row>
    <row r="16556" spans="2:12" x14ac:dyDescent="0.2">
      <c r="B16556"/>
      <c r="C16556"/>
      <c r="J16556"/>
      <c r="K16556"/>
      <c r="L16556"/>
    </row>
    <row r="16557" spans="2:12" x14ac:dyDescent="0.2">
      <c r="B16557"/>
      <c r="C16557"/>
      <c r="J16557"/>
      <c r="K16557"/>
      <c r="L16557"/>
    </row>
    <row r="16558" spans="2:12" x14ac:dyDescent="0.2">
      <c r="B16558"/>
      <c r="C16558"/>
      <c r="J16558"/>
      <c r="K16558"/>
      <c r="L16558"/>
    </row>
    <row r="16559" spans="2:12" x14ac:dyDescent="0.2">
      <c r="B16559"/>
      <c r="C16559"/>
      <c r="J16559"/>
      <c r="K16559"/>
      <c r="L16559"/>
    </row>
    <row r="16560" spans="2:12" x14ac:dyDescent="0.2">
      <c r="B16560"/>
      <c r="C16560"/>
      <c r="J16560"/>
      <c r="K16560"/>
      <c r="L16560"/>
    </row>
    <row r="16561" spans="2:12" x14ac:dyDescent="0.2">
      <c r="B16561"/>
      <c r="C16561"/>
      <c r="J16561"/>
      <c r="K16561"/>
      <c r="L16561"/>
    </row>
    <row r="16562" spans="2:12" x14ac:dyDescent="0.2">
      <c r="B16562"/>
      <c r="C16562"/>
      <c r="J16562"/>
      <c r="K16562"/>
      <c r="L16562"/>
    </row>
    <row r="16563" spans="2:12" x14ac:dyDescent="0.2">
      <c r="B16563"/>
      <c r="C16563"/>
      <c r="J16563"/>
      <c r="K16563"/>
      <c r="L16563"/>
    </row>
    <row r="16564" spans="2:12" x14ac:dyDescent="0.2">
      <c r="B16564"/>
      <c r="C16564"/>
      <c r="J16564"/>
      <c r="K16564"/>
      <c r="L16564"/>
    </row>
    <row r="16565" spans="2:12" x14ac:dyDescent="0.2">
      <c r="B16565"/>
      <c r="C16565"/>
      <c r="J16565"/>
      <c r="K16565"/>
      <c r="L16565"/>
    </row>
    <row r="16566" spans="2:12" x14ac:dyDescent="0.2">
      <c r="B16566"/>
      <c r="C16566"/>
      <c r="J16566"/>
      <c r="K16566"/>
      <c r="L16566"/>
    </row>
    <row r="16567" spans="2:12" x14ac:dyDescent="0.2">
      <c r="B16567"/>
      <c r="C16567"/>
      <c r="J16567"/>
      <c r="K16567"/>
      <c r="L16567"/>
    </row>
    <row r="16568" spans="2:12" x14ac:dyDescent="0.2">
      <c r="B16568"/>
      <c r="C16568"/>
      <c r="J16568"/>
      <c r="K16568"/>
      <c r="L16568"/>
    </row>
    <row r="16569" spans="2:12" x14ac:dyDescent="0.2">
      <c r="B16569"/>
      <c r="C16569"/>
      <c r="J16569"/>
      <c r="K16569"/>
      <c r="L16569"/>
    </row>
    <row r="16570" spans="2:12" x14ac:dyDescent="0.2">
      <c r="B16570"/>
      <c r="C16570"/>
      <c r="J16570"/>
      <c r="K16570"/>
      <c r="L16570"/>
    </row>
    <row r="16571" spans="2:12" x14ac:dyDescent="0.2">
      <c r="B16571"/>
      <c r="C16571"/>
      <c r="J16571"/>
      <c r="K16571"/>
      <c r="L16571"/>
    </row>
    <row r="16572" spans="2:12" x14ac:dyDescent="0.2">
      <c r="B16572"/>
      <c r="C16572"/>
      <c r="J16572"/>
      <c r="K16572"/>
      <c r="L16572"/>
    </row>
    <row r="16573" spans="2:12" x14ac:dyDescent="0.2">
      <c r="B16573"/>
      <c r="C16573"/>
      <c r="J16573"/>
      <c r="K16573"/>
      <c r="L16573"/>
    </row>
    <row r="16574" spans="2:12" x14ac:dyDescent="0.2">
      <c r="B16574"/>
      <c r="C16574"/>
      <c r="J16574"/>
      <c r="K16574"/>
      <c r="L16574"/>
    </row>
    <row r="16575" spans="2:12" x14ac:dyDescent="0.2">
      <c r="B16575"/>
      <c r="C16575"/>
      <c r="J16575"/>
      <c r="K16575"/>
      <c r="L16575"/>
    </row>
    <row r="16576" spans="2:12" x14ac:dyDescent="0.2">
      <c r="B16576"/>
      <c r="C16576"/>
      <c r="J16576"/>
      <c r="K16576"/>
      <c r="L16576"/>
    </row>
    <row r="16577" spans="2:12" x14ac:dyDescent="0.2">
      <c r="B16577"/>
      <c r="C16577"/>
      <c r="J16577"/>
      <c r="K16577"/>
      <c r="L16577"/>
    </row>
    <row r="16578" spans="2:12" x14ac:dyDescent="0.2">
      <c r="B16578"/>
      <c r="C16578"/>
      <c r="J16578"/>
      <c r="K16578"/>
      <c r="L16578"/>
    </row>
    <row r="16579" spans="2:12" x14ac:dyDescent="0.2">
      <c r="B16579"/>
      <c r="C16579"/>
      <c r="J16579"/>
      <c r="K16579"/>
      <c r="L16579"/>
    </row>
    <row r="16580" spans="2:12" x14ac:dyDescent="0.2">
      <c r="B16580"/>
      <c r="C16580"/>
      <c r="J16580"/>
      <c r="K16580"/>
      <c r="L16580"/>
    </row>
    <row r="16581" spans="2:12" x14ac:dyDescent="0.2">
      <c r="B16581"/>
      <c r="C16581"/>
      <c r="J16581"/>
      <c r="K16581"/>
      <c r="L16581"/>
    </row>
    <row r="16582" spans="2:12" x14ac:dyDescent="0.2">
      <c r="B16582"/>
      <c r="C16582"/>
      <c r="J16582"/>
      <c r="K16582"/>
      <c r="L16582"/>
    </row>
    <row r="16583" spans="2:12" x14ac:dyDescent="0.2">
      <c r="B16583"/>
      <c r="C16583"/>
      <c r="J16583"/>
      <c r="K16583"/>
      <c r="L16583"/>
    </row>
    <row r="16584" spans="2:12" x14ac:dyDescent="0.2">
      <c r="B16584"/>
      <c r="C16584"/>
      <c r="J16584"/>
      <c r="K16584"/>
      <c r="L16584"/>
    </row>
    <row r="16585" spans="2:12" x14ac:dyDescent="0.2">
      <c r="B16585"/>
      <c r="C16585"/>
      <c r="J16585"/>
      <c r="K16585"/>
      <c r="L16585"/>
    </row>
    <row r="16586" spans="2:12" x14ac:dyDescent="0.2">
      <c r="B16586"/>
      <c r="C16586"/>
      <c r="J16586"/>
      <c r="K16586"/>
      <c r="L16586"/>
    </row>
    <row r="16587" spans="2:12" x14ac:dyDescent="0.2">
      <c r="B16587"/>
      <c r="C16587"/>
      <c r="J16587"/>
      <c r="K16587"/>
      <c r="L16587"/>
    </row>
    <row r="16588" spans="2:12" x14ac:dyDescent="0.2">
      <c r="B16588"/>
      <c r="C16588"/>
      <c r="J16588"/>
      <c r="K16588"/>
      <c r="L16588"/>
    </row>
    <row r="16589" spans="2:12" x14ac:dyDescent="0.2">
      <c r="B16589"/>
      <c r="C16589"/>
      <c r="J16589"/>
      <c r="K16589"/>
      <c r="L16589"/>
    </row>
    <row r="16590" spans="2:12" x14ac:dyDescent="0.2">
      <c r="B16590"/>
      <c r="C16590"/>
      <c r="J16590"/>
      <c r="K16590"/>
      <c r="L16590"/>
    </row>
    <row r="16591" spans="2:12" x14ac:dyDescent="0.2">
      <c r="B16591"/>
      <c r="C16591"/>
      <c r="J16591"/>
      <c r="K16591"/>
      <c r="L16591"/>
    </row>
    <row r="16592" spans="2:12" x14ac:dyDescent="0.2">
      <c r="B16592"/>
      <c r="C16592"/>
      <c r="J16592"/>
      <c r="K16592"/>
      <c r="L16592"/>
    </row>
    <row r="16593" spans="2:12" x14ac:dyDescent="0.2">
      <c r="B16593"/>
      <c r="C16593"/>
      <c r="J16593"/>
      <c r="K16593"/>
      <c r="L16593"/>
    </row>
    <row r="16594" spans="2:12" x14ac:dyDescent="0.2">
      <c r="B16594"/>
      <c r="C16594"/>
      <c r="J16594"/>
      <c r="K16594"/>
      <c r="L16594"/>
    </row>
    <row r="16595" spans="2:12" x14ac:dyDescent="0.2">
      <c r="B16595"/>
      <c r="C16595"/>
      <c r="J16595"/>
      <c r="K16595"/>
      <c r="L16595"/>
    </row>
    <row r="16596" spans="2:12" x14ac:dyDescent="0.2">
      <c r="B16596"/>
      <c r="C16596"/>
      <c r="J16596"/>
      <c r="K16596"/>
      <c r="L16596"/>
    </row>
    <row r="16597" spans="2:12" x14ac:dyDescent="0.2">
      <c r="B16597"/>
      <c r="C16597"/>
      <c r="J16597"/>
      <c r="K16597"/>
      <c r="L16597"/>
    </row>
    <row r="16598" spans="2:12" x14ac:dyDescent="0.2">
      <c r="B16598"/>
      <c r="C16598"/>
      <c r="J16598"/>
      <c r="K16598"/>
      <c r="L16598"/>
    </row>
    <row r="16599" spans="2:12" x14ac:dyDescent="0.2">
      <c r="B16599"/>
      <c r="C16599"/>
      <c r="J16599"/>
      <c r="K16599"/>
      <c r="L16599"/>
    </row>
    <row r="16600" spans="2:12" x14ac:dyDescent="0.2">
      <c r="B16600"/>
      <c r="C16600"/>
      <c r="J16600"/>
      <c r="K16600"/>
      <c r="L16600"/>
    </row>
    <row r="16601" spans="2:12" x14ac:dyDescent="0.2">
      <c r="B16601"/>
      <c r="C16601"/>
      <c r="J16601"/>
      <c r="K16601"/>
      <c r="L16601"/>
    </row>
    <row r="16602" spans="2:12" x14ac:dyDescent="0.2">
      <c r="B16602"/>
      <c r="C16602"/>
      <c r="J16602"/>
      <c r="K16602"/>
      <c r="L16602"/>
    </row>
    <row r="16603" spans="2:12" x14ac:dyDescent="0.2">
      <c r="B16603"/>
      <c r="C16603"/>
      <c r="J16603"/>
      <c r="K16603"/>
      <c r="L16603"/>
    </row>
    <row r="16604" spans="2:12" x14ac:dyDescent="0.2">
      <c r="B16604"/>
      <c r="C16604"/>
      <c r="J16604"/>
      <c r="K16604"/>
      <c r="L16604"/>
    </row>
    <row r="16605" spans="2:12" x14ac:dyDescent="0.2">
      <c r="B16605"/>
      <c r="C16605"/>
      <c r="J16605"/>
      <c r="K16605"/>
      <c r="L16605"/>
    </row>
    <row r="16606" spans="2:12" x14ac:dyDescent="0.2">
      <c r="B16606"/>
      <c r="C16606"/>
      <c r="J16606"/>
      <c r="K16606"/>
      <c r="L16606"/>
    </row>
    <row r="16607" spans="2:12" x14ac:dyDescent="0.2">
      <c r="B16607"/>
      <c r="C16607"/>
      <c r="J16607"/>
      <c r="K16607"/>
      <c r="L16607"/>
    </row>
    <row r="16608" spans="2:12" x14ac:dyDescent="0.2">
      <c r="B16608"/>
      <c r="C16608"/>
      <c r="J16608"/>
      <c r="K16608"/>
      <c r="L16608"/>
    </row>
    <row r="16609" spans="2:12" x14ac:dyDescent="0.2">
      <c r="B16609"/>
      <c r="C16609"/>
      <c r="J16609"/>
      <c r="K16609"/>
      <c r="L16609"/>
    </row>
    <row r="16610" spans="2:12" x14ac:dyDescent="0.2">
      <c r="B16610"/>
      <c r="C16610"/>
      <c r="J16610"/>
      <c r="K16610"/>
      <c r="L16610"/>
    </row>
    <row r="16611" spans="2:12" x14ac:dyDescent="0.2">
      <c r="B16611"/>
      <c r="C16611"/>
      <c r="J16611"/>
      <c r="K16611"/>
      <c r="L16611"/>
    </row>
    <row r="16612" spans="2:12" x14ac:dyDescent="0.2">
      <c r="B16612"/>
      <c r="C16612"/>
      <c r="J16612"/>
      <c r="K16612"/>
      <c r="L16612"/>
    </row>
    <row r="16613" spans="2:12" x14ac:dyDescent="0.2">
      <c r="B16613"/>
      <c r="C16613"/>
      <c r="J16613"/>
      <c r="K16613"/>
      <c r="L16613"/>
    </row>
    <row r="16614" spans="2:12" x14ac:dyDescent="0.2">
      <c r="B16614"/>
      <c r="C16614"/>
      <c r="J16614"/>
      <c r="K16614"/>
      <c r="L16614"/>
    </row>
    <row r="16615" spans="2:12" x14ac:dyDescent="0.2">
      <c r="B16615"/>
      <c r="C16615"/>
      <c r="J16615"/>
      <c r="K16615"/>
      <c r="L16615"/>
    </row>
    <row r="16616" spans="2:12" x14ac:dyDescent="0.2">
      <c r="B16616"/>
      <c r="C16616"/>
      <c r="J16616"/>
      <c r="K16616"/>
      <c r="L16616"/>
    </row>
    <row r="16617" spans="2:12" x14ac:dyDescent="0.2">
      <c r="B16617"/>
      <c r="C16617"/>
      <c r="J16617"/>
      <c r="K16617"/>
      <c r="L16617"/>
    </row>
    <row r="16618" spans="2:12" x14ac:dyDescent="0.2">
      <c r="B16618"/>
      <c r="C16618"/>
      <c r="J16618"/>
      <c r="K16618"/>
      <c r="L16618"/>
    </row>
    <row r="16619" spans="2:12" x14ac:dyDescent="0.2">
      <c r="B16619"/>
      <c r="C16619"/>
      <c r="J16619"/>
      <c r="K16619"/>
      <c r="L16619"/>
    </row>
    <row r="16620" spans="2:12" x14ac:dyDescent="0.2">
      <c r="B16620"/>
      <c r="C16620"/>
      <c r="J16620"/>
      <c r="K16620"/>
      <c r="L16620"/>
    </row>
    <row r="16621" spans="2:12" x14ac:dyDescent="0.2">
      <c r="B16621"/>
      <c r="C16621"/>
      <c r="J16621"/>
      <c r="K16621"/>
      <c r="L16621"/>
    </row>
    <row r="16622" spans="2:12" x14ac:dyDescent="0.2">
      <c r="B16622"/>
      <c r="C16622"/>
      <c r="J16622"/>
      <c r="K16622"/>
      <c r="L16622"/>
    </row>
    <row r="16623" spans="2:12" x14ac:dyDescent="0.2">
      <c r="B16623"/>
      <c r="C16623"/>
      <c r="J16623"/>
      <c r="K16623"/>
      <c r="L16623"/>
    </row>
    <row r="16624" spans="2:12" x14ac:dyDescent="0.2">
      <c r="B16624"/>
      <c r="C16624"/>
      <c r="J16624"/>
      <c r="K16624"/>
      <c r="L16624"/>
    </row>
    <row r="16625" spans="2:12" x14ac:dyDescent="0.2">
      <c r="B16625"/>
      <c r="C16625"/>
      <c r="J16625"/>
      <c r="K16625"/>
      <c r="L16625"/>
    </row>
    <row r="16626" spans="2:12" x14ac:dyDescent="0.2">
      <c r="B16626"/>
      <c r="C16626"/>
      <c r="J16626"/>
      <c r="K16626"/>
      <c r="L16626"/>
    </row>
    <row r="16627" spans="2:12" x14ac:dyDescent="0.2">
      <c r="B16627"/>
      <c r="C16627"/>
      <c r="J16627"/>
      <c r="K16627"/>
      <c r="L16627"/>
    </row>
    <row r="16628" spans="2:12" x14ac:dyDescent="0.2">
      <c r="B16628"/>
      <c r="C16628"/>
      <c r="J16628"/>
      <c r="K16628"/>
      <c r="L16628"/>
    </row>
    <row r="16629" spans="2:12" x14ac:dyDescent="0.2">
      <c r="B16629"/>
      <c r="C16629"/>
      <c r="J16629"/>
      <c r="K16629"/>
      <c r="L16629"/>
    </row>
    <row r="16630" spans="2:12" x14ac:dyDescent="0.2">
      <c r="B16630"/>
      <c r="C16630"/>
      <c r="J16630"/>
      <c r="K16630"/>
      <c r="L16630"/>
    </row>
    <row r="16631" spans="2:12" x14ac:dyDescent="0.2">
      <c r="B16631"/>
      <c r="C16631"/>
      <c r="J16631"/>
      <c r="K16631"/>
      <c r="L16631"/>
    </row>
    <row r="16632" spans="2:12" x14ac:dyDescent="0.2">
      <c r="B16632"/>
      <c r="C16632"/>
      <c r="J16632"/>
      <c r="K16632"/>
      <c r="L16632"/>
    </row>
    <row r="16633" spans="2:12" x14ac:dyDescent="0.2">
      <c r="B16633"/>
      <c r="C16633"/>
      <c r="J16633"/>
      <c r="K16633"/>
      <c r="L16633"/>
    </row>
    <row r="16634" spans="2:12" x14ac:dyDescent="0.2">
      <c r="B16634"/>
      <c r="C16634"/>
      <c r="J16634"/>
      <c r="K16634"/>
      <c r="L16634"/>
    </row>
    <row r="16635" spans="2:12" x14ac:dyDescent="0.2">
      <c r="B16635"/>
      <c r="C16635"/>
      <c r="J16635"/>
      <c r="K16635"/>
      <c r="L16635"/>
    </row>
    <row r="16636" spans="2:12" x14ac:dyDescent="0.2">
      <c r="B16636"/>
      <c r="C16636"/>
      <c r="J16636"/>
      <c r="K16636"/>
      <c r="L16636"/>
    </row>
    <row r="16637" spans="2:12" x14ac:dyDescent="0.2">
      <c r="B16637"/>
      <c r="C16637"/>
      <c r="J16637"/>
      <c r="K16637"/>
      <c r="L16637"/>
    </row>
    <row r="16638" spans="2:12" x14ac:dyDescent="0.2">
      <c r="B16638"/>
      <c r="C16638"/>
      <c r="J16638"/>
      <c r="K16638"/>
      <c r="L16638"/>
    </row>
    <row r="16639" spans="2:12" x14ac:dyDescent="0.2">
      <c r="B16639"/>
      <c r="C16639"/>
      <c r="J16639"/>
      <c r="K16639"/>
      <c r="L16639"/>
    </row>
    <row r="16640" spans="2:12" x14ac:dyDescent="0.2">
      <c r="B16640"/>
      <c r="C16640"/>
      <c r="J16640"/>
      <c r="K16640"/>
      <c r="L16640"/>
    </row>
    <row r="16641" spans="2:12" x14ac:dyDescent="0.2">
      <c r="B16641"/>
      <c r="C16641"/>
      <c r="J16641"/>
      <c r="K16641"/>
      <c r="L16641"/>
    </row>
    <row r="16642" spans="2:12" x14ac:dyDescent="0.2">
      <c r="B16642"/>
      <c r="C16642"/>
      <c r="J16642"/>
      <c r="K16642"/>
      <c r="L16642"/>
    </row>
    <row r="16643" spans="2:12" x14ac:dyDescent="0.2">
      <c r="B16643"/>
      <c r="C16643"/>
      <c r="J16643"/>
      <c r="K16643"/>
      <c r="L16643"/>
    </row>
    <row r="16644" spans="2:12" x14ac:dyDescent="0.2">
      <c r="B16644"/>
      <c r="C16644"/>
      <c r="J16644"/>
      <c r="K16644"/>
      <c r="L16644"/>
    </row>
    <row r="16645" spans="2:12" x14ac:dyDescent="0.2">
      <c r="B16645"/>
      <c r="C16645"/>
      <c r="J16645"/>
      <c r="K16645"/>
      <c r="L16645"/>
    </row>
    <row r="16646" spans="2:12" x14ac:dyDescent="0.2">
      <c r="B16646"/>
      <c r="C16646"/>
      <c r="J16646"/>
      <c r="K16646"/>
      <c r="L16646"/>
    </row>
    <row r="16647" spans="2:12" x14ac:dyDescent="0.2">
      <c r="B16647"/>
      <c r="C16647"/>
      <c r="J16647"/>
      <c r="K16647"/>
      <c r="L16647"/>
    </row>
    <row r="16648" spans="2:12" x14ac:dyDescent="0.2">
      <c r="B16648"/>
      <c r="C16648"/>
      <c r="J16648"/>
      <c r="K16648"/>
      <c r="L16648"/>
    </row>
    <row r="16649" spans="2:12" x14ac:dyDescent="0.2">
      <c r="B16649"/>
      <c r="C16649"/>
      <c r="J16649"/>
      <c r="K16649"/>
      <c r="L16649"/>
    </row>
    <row r="16650" spans="2:12" x14ac:dyDescent="0.2">
      <c r="B16650"/>
      <c r="C16650"/>
      <c r="J16650"/>
      <c r="K16650"/>
      <c r="L16650"/>
    </row>
    <row r="16651" spans="2:12" x14ac:dyDescent="0.2">
      <c r="B16651"/>
      <c r="C16651"/>
      <c r="J16651"/>
      <c r="K16651"/>
      <c r="L16651"/>
    </row>
    <row r="16652" spans="2:12" x14ac:dyDescent="0.2">
      <c r="B16652"/>
      <c r="C16652"/>
      <c r="J16652"/>
      <c r="K16652"/>
      <c r="L16652"/>
    </row>
    <row r="16653" spans="2:12" x14ac:dyDescent="0.2">
      <c r="B16653"/>
      <c r="C16653"/>
      <c r="J16653"/>
      <c r="K16653"/>
      <c r="L16653"/>
    </row>
    <row r="16654" spans="2:12" x14ac:dyDescent="0.2">
      <c r="B16654"/>
      <c r="C16654"/>
      <c r="J16654"/>
      <c r="K16654"/>
      <c r="L16654"/>
    </row>
    <row r="16655" spans="2:12" x14ac:dyDescent="0.2">
      <c r="B16655"/>
      <c r="C16655"/>
      <c r="J16655"/>
      <c r="K16655"/>
      <c r="L16655"/>
    </row>
    <row r="16656" spans="2:12" x14ac:dyDescent="0.2">
      <c r="B16656"/>
      <c r="C16656"/>
      <c r="J16656"/>
      <c r="K16656"/>
      <c r="L16656"/>
    </row>
    <row r="16657" spans="2:12" x14ac:dyDescent="0.2">
      <c r="B16657"/>
      <c r="C16657"/>
      <c r="J16657"/>
      <c r="K16657"/>
      <c r="L16657"/>
    </row>
    <row r="16658" spans="2:12" x14ac:dyDescent="0.2">
      <c r="B16658"/>
      <c r="C16658"/>
      <c r="J16658"/>
      <c r="K16658"/>
      <c r="L16658"/>
    </row>
    <row r="16659" spans="2:12" x14ac:dyDescent="0.2">
      <c r="B16659"/>
      <c r="C16659"/>
      <c r="J16659"/>
      <c r="K16659"/>
      <c r="L16659"/>
    </row>
    <row r="16660" spans="2:12" x14ac:dyDescent="0.2">
      <c r="B16660"/>
      <c r="C16660"/>
      <c r="J16660"/>
      <c r="K16660"/>
      <c r="L16660"/>
    </row>
    <row r="16661" spans="2:12" x14ac:dyDescent="0.2">
      <c r="B16661"/>
      <c r="C16661"/>
      <c r="J16661"/>
      <c r="K16661"/>
      <c r="L16661"/>
    </row>
    <row r="16662" spans="2:12" x14ac:dyDescent="0.2">
      <c r="B16662"/>
      <c r="C16662"/>
      <c r="J16662"/>
      <c r="K16662"/>
      <c r="L16662"/>
    </row>
    <row r="16663" spans="2:12" x14ac:dyDescent="0.2">
      <c r="B16663"/>
      <c r="C16663"/>
      <c r="J16663"/>
      <c r="K16663"/>
      <c r="L16663"/>
    </row>
    <row r="16664" spans="2:12" x14ac:dyDescent="0.2">
      <c r="B16664"/>
      <c r="C16664"/>
      <c r="J16664"/>
      <c r="K16664"/>
      <c r="L16664"/>
    </row>
    <row r="16665" spans="2:12" x14ac:dyDescent="0.2">
      <c r="B16665"/>
      <c r="C16665"/>
      <c r="J16665"/>
      <c r="K16665"/>
      <c r="L16665"/>
    </row>
    <row r="16666" spans="2:12" x14ac:dyDescent="0.2">
      <c r="B16666"/>
      <c r="C16666"/>
      <c r="J16666"/>
      <c r="K16666"/>
      <c r="L16666"/>
    </row>
    <row r="16667" spans="2:12" x14ac:dyDescent="0.2">
      <c r="B16667"/>
      <c r="C16667"/>
      <c r="J16667"/>
      <c r="K16667"/>
      <c r="L16667"/>
    </row>
    <row r="16668" spans="2:12" x14ac:dyDescent="0.2">
      <c r="B16668"/>
      <c r="C16668"/>
      <c r="J16668"/>
      <c r="K16668"/>
      <c r="L16668"/>
    </row>
    <row r="16669" spans="2:12" x14ac:dyDescent="0.2">
      <c r="B16669"/>
      <c r="C16669"/>
      <c r="J16669"/>
      <c r="K16669"/>
      <c r="L16669"/>
    </row>
    <row r="16670" spans="2:12" x14ac:dyDescent="0.2">
      <c r="B16670"/>
      <c r="C16670"/>
      <c r="J16670"/>
      <c r="K16670"/>
      <c r="L16670"/>
    </row>
    <row r="16671" spans="2:12" x14ac:dyDescent="0.2">
      <c r="B16671"/>
      <c r="C16671"/>
      <c r="J16671"/>
      <c r="K16671"/>
      <c r="L16671"/>
    </row>
    <row r="16672" spans="2:12" x14ac:dyDescent="0.2">
      <c r="B16672"/>
      <c r="C16672"/>
      <c r="J16672"/>
      <c r="K16672"/>
      <c r="L16672"/>
    </row>
    <row r="16673" spans="2:12" x14ac:dyDescent="0.2">
      <c r="B16673"/>
      <c r="C16673"/>
      <c r="J16673"/>
      <c r="K16673"/>
      <c r="L16673"/>
    </row>
    <row r="16674" spans="2:12" x14ac:dyDescent="0.2">
      <c r="B16674"/>
      <c r="C16674"/>
      <c r="J16674"/>
      <c r="K16674"/>
      <c r="L16674"/>
    </row>
    <row r="16675" spans="2:12" x14ac:dyDescent="0.2">
      <c r="B16675"/>
      <c r="C16675"/>
      <c r="J16675"/>
      <c r="K16675"/>
      <c r="L16675"/>
    </row>
    <row r="16676" spans="2:12" x14ac:dyDescent="0.2">
      <c r="B16676"/>
      <c r="C16676"/>
      <c r="J16676"/>
      <c r="K16676"/>
      <c r="L16676"/>
    </row>
    <row r="16677" spans="2:12" x14ac:dyDescent="0.2">
      <c r="B16677"/>
      <c r="C16677"/>
      <c r="J16677"/>
      <c r="K16677"/>
      <c r="L16677"/>
    </row>
    <row r="16678" spans="2:12" x14ac:dyDescent="0.2">
      <c r="B16678"/>
      <c r="C16678"/>
      <c r="J16678"/>
      <c r="K16678"/>
      <c r="L16678"/>
    </row>
    <row r="16679" spans="2:12" x14ac:dyDescent="0.2">
      <c r="B16679"/>
      <c r="C16679"/>
      <c r="J16679"/>
      <c r="K16679"/>
      <c r="L16679"/>
    </row>
    <row r="16680" spans="2:12" x14ac:dyDescent="0.2">
      <c r="B16680"/>
      <c r="C16680"/>
      <c r="J16680"/>
      <c r="K16680"/>
      <c r="L16680"/>
    </row>
    <row r="16681" spans="2:12" x14ac:dyDescent="0.2">
      <c r="B16681"/>
      <c r="C16681"/>
      <c r="J16681"/>
      <c r="K16681"/>
      <c r="L16681"/>
    </row>
    <row r="16682" spans="2:12" x14ac:dyDescent="0.2">
      <c r="B16682"/>
      <c r="C16682"/>
      <c r="J16682"/>
      <c r="K16682"/>
      <c r="L16682"/>
    </row>
    <row r="16683" spans="2:12" x14ac:dyDescent="0.2">
      <c r="B16683"/>
      <c r="C16683"/>
      <c r="J16683"/>
      <c r="K16683"/>
      <c r="L16683"/>
    </row>
    <row r="16684" spans="2:12" x14ac:dyDescent="0.2">
      <c r="B16684"/>
      <c r="C16684"/>
      <c r="J16684"/>
      <c r="K16684"/>
      <c r="L16684"/>
    </row>
    <row r="16685" spans="2:12" x14ac:dyDescent="0.2">
      <c r="B16685"/>
      <c r="C16685"/>
      <c r="J16685"/>
      <c r="K16685"/>
      <c r="L16685"/>
    </row>
    <row r="16686" spans="2:12" x14ac:dyDescent="0.2">
      <c r="B16686"/>
      <c r="C16686"/>
      <c r="J16686"/>
      <c r="K16686"/>
      <c r="L16686"/>
    </row>
    <row r="16687" spans="2:12" x14ac:dyDescent="0.2">
      <c r="B16687"/>
      <c r="C16687"/>
      <c r="J16687"/>
      <c r="K16687"/>
      <c r="L16687"/>
    </row>
    <row r="16688" spans="2:12" x14ac:dyDescent="0.2">
      <c r="B16688"/>
      <c r="C16688"/>
      <c r="J16688"/>
      <c r="K16688"/>
      <c r="L16688"/>
    </row>
    <row r="16689" spans="2:12" x14ac:dyDescent="0.2">
      <c r="B16689"/>
      <c r="C16689"/>
      <c r="J16689"/>
      <c r="K16689"/>
      <c r="L16689"/>
    </row>
    <row r="16690" spans="2:12" x14ac:dyDescent="0.2">
      <c r="B16690"/>
      <c r="C16690"/>
      <c r="J16690"/>
      <c r="K16690"/>
      <c r="L16690"/>
    </row>
    <row r="16691" spans="2:12" x14ac:dyDescent="0.2">
      <c r="B16691"/>
      <c r="C16691"/>
      <c r="J16691"/>
      <c r="K16691"/>
      <c r="L16691"/>
    </row>
    <row r="16692" spans="2:12" x14ac:dyDescent="0.2">
      <c r="B16692"/>
      <c r="C16692"/>
      <c r="J16692"/>
      <c r="K16692"/>
      <c r="L16692"/>
    </row>
    <row r="16693" spans="2:12" x14ac:dyDescent="0.2">
      <c r="B16693"/>
      <c r="C16693"/>
      <c r="J16693"/>
      <c r="K16693"/>
      <c r="L16693"/>
    </row>
    <row r="16694" spans="2:12" x14ac:dyDescent="0.2">
      <c r="B16694"/>
      <c r="C16694"/>
      <c r="J16694"/>
      <c r="K16694"/>
      <c r="L16694"/>
    </row>
    <row r="16695" spans="2:12" x14ac:dyDescent="0.2">
      <c r="B16695"/>
      <c r="C16695"/>
      <c r="J16695"/>
      <c r="K16695"/>
      <c r="L16695"/>
    </row>
    <row r="16696" spans="2:12" x14ac:dyDescent="0.2">
      <c r="B16696"/>
      <c r="C16696"/>
      <c r="J16696"/>
      <c r="K16696"/>
      <c r="L16696"/>
    </row>
    <row r="16697" spans="2:12" x14ac:dyDescent="0.2">
      <c r="B16697"/>
      <c r="C16697"/>
      <c r="J16697"/>
      <c r="K16697"/>
      <c r="L16697"/>
    </row>
    <row r="16698" spans="2:12" x14ac:dyDescent="0.2">
      <c r="B16698"/>
      <c r="C16698"/>
      <c r="J16698"/>
      <c r="K16698"/>
      <c r="L16698"/>
    </row>
    <row r="16699" spans="2:12" x14ac:dyDescent="0.2">
      <c r="B16699"/>
      <c r="C16699"/>
      <c r="J16699"/>
      <c r="K16699"/>
      <c r="L16699"/>
    </row>
    <row r="16700" spans="2:12" x14ac:dyDescent="0.2">
      <c r="B16700"/>
      <c r="C16700"/>
      <c r="J16700"/>
      <c r="K16700"/>
      <c r="L16700"/>
    </row>
    <row r="16701" spans="2:12" x14ac:dyDescent="0.2">
      <c r="B16701"/>
      <c r="C16701"/>
      <c r="J16701"/>
      <c r="K16701"/>
      <c r="L16701"/>
    </row>
    <row r="16702" spans="2:12" x14ac:dyDescent="0.2">
      <c r="B16702"/>
      <c r="C16702"/>
      <c r="J16702"/>
      <c r="K16702"/>
      <c r="L16702"/>
    </row>
    <row r="16703" spans="2:12" x14ac:dyDescent="0.2">
      <c r="B16703"/>
      <c r="C16703"/>
      <c r="J16703"/>
      <c r="K16703"/>
      <c r="L16703"/>
    </row>
    <row r="16704" spans="2:12" x14ac:dyDescent="0.2">
      <c r="B16704"/>
      <c r="C16704"/>
      <c r="J16704"/>
      <c r="K16704"/>
      <c r="L16704"/>
    </row>
    <row r="16705" spans="2:12" x14ac:dyDescent="0.2">
      <c r="B16705"/>
      <c r="C16705"/>
      <c r="J16705"/>
      <c r="K16705"/>
      <c r="L16705"/>
    </row>
    <row r="16706" spans="2:12" x14ac:dyDescent="0.2">
      <c r="B16706"/>
      <c r="C16706"/>
      <c r="J16706"/>
      <c r="K16706"/>
      <c r="L16706"/>
    </row>
    <row r="16707" spans="2:12" x14ac:dyDescent="0.2">
      <c r="B16707"/>
      <c r="C16707"/>
      <c r="J16707"/>
      <c r="K16707"/>
      <c r="L16707"/>
    </row>
    <row r="16708" spans="2:12" x14ac:dyDescent="0.2">
      <c r="B16708"/>
      <c r="C16708"/>
      <c r="J16708"/>
      <c r="K16708"/>
      <c r="L16708"/>
    </row>
    <row r="16709" spans="2:12" x14ac:dyDescent="0.2">
      <c r="B16709"/>
      <c r="C16709"/>
      <c r="J16709"/>
      <c r="K16709"/>
      <c r="L16709"/>
    </row>
    <row r="16710" spans="2:12" x14ac:dyDescent="0.2">
      <c r="B16710"/>
      <c r="C16710"/>
      <c r="J16710"/>
      <c r="K16710"/>
      <c r="L16710"/>
    </row>
    <row r="16711" spans="2:12" x14ac:dyDescent="0.2">
      <c r="B16711"/>
      <c r="C16711"/>
      <c r="J16711"/>
      <c r="K16711"/>
      <c r="L16711"/>
    </row>
    <row r="16712" spans="2:12" x14ac:dyDescent="0.2">
      <c r="B16712"/>
      <c r="C16712"/>
      <c r="J16712"/>
      <c r="K16712"/>
      <c r="L16712"/>
    </row>
    <row r="16713" spans="2:12" x14ac:dyDescent="0.2">
      <c r="B16713"/>
      <c r="C16713"/>
      <c r="J16713"/>
      <c r="K16713"/>
      <c r="L16713"/>
    </row>
    <row r="16714" spans="2:12" x14ac:dyDescent="0.2">
      <c r="B16714"/>
      <c r="C16714"/>
      <c r="J16714"/>
      <c r="K16714"/>
      <c r="L16714"/>
    </row>
    <row r="16715" spans="2:12" x14ac:dyDescent="0.2">
      <c r="B16715"/>
      <c r="C16715"/>
      <c r="J16715"/>
      <c r="K16715"/>
      <c r="L16715"/>
    </row>
    <row r="16716" spans="2:12" x14ac:dyDescent="0.2">
      <c r="B16716"/>
      <c r="C16716"/>
      <c r="J16716"/>
      <c r="K16716"/>
      <c r="L16716"/>
    </row>
    <row r="16717" spans="2:12" x14ac:dyDescent="0.2">
      <c r="B16717"/>
      <c r="C16717"/>
      <c r="J16717"/>
      <c r="K16717"/>
      <c r="L16717"/>
    </row>
    <row r="16718" spans="2:12" x14ac:dyDescent="0.2">
      <c r="B16718"/>
      <c r="C16718"/>
      <c r="J16718"/>
      <c r="K16718"/>
      <c r="L16718"/>
    </row>
    <row r="16719" spans="2:12" x14ac:dyDescent="0.2">
      <c r="B16719"/>
      <c r="C16719"/>
      <c r="J16719"/>
      <c r="K16719"/>
      <c r="L16719"/>
    </row>
    <row r="16720" spans="2:12" x14ac:dyDescent="0.2">
      <c r="B16720"/>
      <c r="C16720"/>
      <c r="J16720"/>
      <c r="K16720"/>
      <c r="L16720"/>
    </row>
    <row r="16721" spans="2:12" x14ac:dyDescent="0.2">
      <c r="B16721"/>
      <c r="C16721"/>
      <c r="J16721"/>
      <c r="K16721"/>
      <c r="L16721"/>
    </row>
    <row r="16722" spans="2:12" x14ac:dyDescent="0.2">
      <c r="B16722"/>
      <c r="C16722"/>
      <c r="J16722"/>
      <c r="K16722"/>
      <c r="L16722"/>
    </row>
    <row r="16723" spans="2:12" x14ac:dyDescent="0.2">
      <c r="B16723"/>
      <c r="C16723"/>
      <c r="J16723"/>
      <c r="K16723"/>
      <c r="L16723"/>
    </row>
    <row r="16724" spans="2:12" x14ac:dyDescent="0.2">
      <c r="B16724"/>
      <c r="C16724"/>
      <c r="J16724"/>
      <c r="K16724"/>
      <c r="L16724"/>
    </row>
    <row r="16725" spans="2:12" x14ac:dyDescent="0.2">
      <c r="B16725"/>
      <c r="C16725"/>
      <c r="J16725"/>
      <c r="K16725"/>
      <c r="L16725"/>
    </row>
    <row r="16726" spans="2:12" x14ac:dyDescent="0.2">
      <c r="B16726"/>
      <c r="C16726"/>
      <c r="J16726"/>
      <c r="K16726"/>
      <c r="L16726"/>
    </row>
    <row r="16727" spans="2:12" x14ac:dyDescent="0.2">
      <c r="B16727"/>
      <c r="C16727"/>
      <c r="J16727"/>
      <c r="K16727"/>
      <c r="L16727"/>
    </row>
    <row r="16728" spans="2:12" x14ac:dyDescent="0.2">
      <c r="B16728"/>
      <c r="C16728"/>
      <c r="J16728"/>
      <c r="K16728"/>
      <c r="L16728"/>
    </row>
    <row r="16729" spans="2:12" x14ac:dyDescent="0.2">
      <c r="B16729"/>
      <c r="C16729"/>
      <c r="J16729"/>
      <c r="K16729"/>
      <c r="L16729"/>
    </row>
    <row r="16730" spans="2:12" x14ac:dyDescent="0.2">
      <c r="B16730"/>
      <c r="C16730"/>
      <c r="J16730"/>
      <c r="K16730"/>
      <c r="L16730"/>
    </row>
    <row r="16731" spans="2:12" x14ac:dyDescent="0.2">
      <c r="B16731"/>
      <c r="C16731"/>
      <c r="J16731"/>
      <c r="K16731"/>
      <c r="L16731"/>
    </row>
    <row r="16732" spans="2:12" x14ac:dyDescent="0.2">
      <c r="B16732"/>
      <c r="C16732"/>
      <c r="J16732"/>
      <c r="K16732"/>
      <c r="L16732"/>
    </row>
    <row r="16733" spans="2:12" x14ac:dyDescent="0.2">
      <c r="B16733"/>
      <c r="C16733"/>
      <c r="J16733"/>
      <c r="K16733"/>
      <c r="L16733"/>
    </row>
    <row r="16734" spans="2:12" x14ac:dyDescent="0.2">
      <c r="B16734"/>
      <c r="C16734"/>
      <c r="J16734"/>
      <c r="K16734"/>
      <c r="L16734"/>
    </row>
    <row r="16735" spans="2:12" x14ac:dyDescent="0.2">
      <c r="B16735"/>
      <c r="C16735"/>
      <c r="J16735"/>
      <c r="K16735"/>
      <c r="L16735"/>
    </row>
    <row r="16736" spans="2:12" x14ac:dyDescent="0.2">
      <c r="B16736"/>
      <c r="C16736"/>
      <c r="J16736"/>
      <c r="K16736"/>
      <c r="L16736"/>
    </row>
    <row r="16737" spans="2:12" x14ac:dyDescent="0.2">
      <c r="B16737"/>
      <c r="C16737"/>
      <c r="J16737"/>
      <c r="K16737"/>
      <c r="L16737"/>
    </row>
    <row r="16738" spans="2:12" x14ac:dyDescent="0.2">
      <c r="B16738"/>
      <c r="C16738"/>
      <c r="J16738"/>
      <c r="K16738"/>
      <c r="L16738"/>
    </row>
    <row r="16739" spans="2:12" x14ac:dyDescent="0.2">
      <c r="B16739"/>
      <c r="C16739"/>
      <c r="J16739"/>
      <c r="K16739"/>
      <c r="L16739"/>
    </row>
    <row r="16740" spans="2:12" x14ac:dyDescent="0.2">
      <c r="B16740"/>
      <c r="C16740"/>
      <c r="J16740"/>
      <c r="K16740"/>
      <c r="L16740"/>
    </row>
    <row r="16741" spans="2:12" x14ac:dyDescent="0.2">
      <c r="B16741"/>
      <c r="C16741"/>
      <c r="J16741"/>
      <c r="K16741"/>
      <c r="L16741"/>
    </row>
    <row r="16742" spans="2:12" x14ac:dyDescent="0.2">
      <c r="B16742"/>
      <c r="C16742"/>
      <c r="J16742"/>
      <c r="K16742"/>
      <c r="L16742"/>
    </row>
    <row r="16743" spans="2:12" x14ac:dyDescent="0.2">
      <c r="B16743"/>
      <c r="C16743"/>
      <c r="J16743"/>
      <c r="K16743"/>
      <c r="L16743"/>
    </row>
    <row r="16744" spans="2:12" x14ac:dyDescent="0.2">
      <c r="B16744"/>
      <c r="C16744"/>
      <c r="J16744"/>
      <c r="K16744"/>
      <c r="L16744"/>
    </row>
    <row r="16745" spans="2:12" x14ac:dyDescent="0.2">
      <c r="B16745"/>
      <c r="C16745"/>
      <c r="J16745"/>
      <c r="K16745"/>
      <c r="L16745"/>
    </row>
    <row r="16746" spans="2:12" x14ac:dyDescent="0.2">
      <c r="B16746"/>
      <c r="C16746"/>
      <c r="J16746"/>
      <c r="K16746"/>
      <c r="L16746"/>
    </row>
    <row r="16747" spans="2:12" x14ac:dyDescent="0.2">
      <c r="B16747"/>
      <c r="C16747"/>
      <c r="J16747"/>
      <c r="K16747"/>
      <c r="L16747"/>
    </row>
    <row r="16748" spans="2:12" x14ac:dyDescent="0.2">
      <c r="B16748"/>
      <c r="C16748"/>
      <c r="J16748"/>
      <c r="K16748"/>
      <c r="L16748"/>
    </row>
    <row r="16749" spans="2:12" x14ac:dyDescent="0.2">
      <c r="B16749"/>
      <c r="C16749"/>
      <c r="J16749"/>
      <c r="K16749"/>
      <c r="L16749"/>
    </row>
    <row r="16750" spans="2:12" x14ac:dyDescent="0.2">
      <c r="B16750"/>
      <c r="C16750"/>
      <c r="J16750"/>
      <c r="K16750"/>
      <c r="L16750"/>
    </row>
    <row r="16751" spans="2:12" x14ac:dyDescent="0.2">
      <c r="B16751"/>
      <c r="C16751"/>
      <c r="J16751"/>
      <c r="K16751"/>
      <c r="L16751"/>
    </row>
    <row r="16752" spans="2:12" x14ac:dyDescent="0.2">
      <c r="B16752"/>
      <c r="C16752"/>
      <c r="J16752"/>
      <c r="K16752"/>
      <c r="L16752"/>
    </row>
    <row r="16753" spans="2:12" x14ac:dyDescent="0.2">
      <c r="B16753"/>
      <c r="C16753"/>
      <c r="J16753"/>
      <c r="K16753"/>
      <c r="L16753"/>
    </row>
    <row r="16754" spans="2:12" x14ac:dyDescent="0.2">
      <c r="B16754"/>
      <c r="C16754"/>
      <c r="J16754"/>
      <c r="K16754"/>
      <c r="L16754"/>
    </row>
    <row r="16755" spans="2:12" x14ac:dyDescent="0.2">
      <c r="B16755"/>
      <c r="C16755"/>
      <c r="J16755"/>
      <c r="K16755"/>
      <c r="L16755"/>
    </row>
    <row r="16756" spans="2:12" x14ac:dyDescent="0.2">
      <c r="B16756"/>
      <c r="C16756"/>
      <c r="J16756"/>
      <c r="K16756"/>
      <c r="L16756"/>
    </row>
    <row r="16757" spans="2:12" x14ac:dyDescent="0.2">
      <c r="B16757"/>
      <c r="C16757"/>
      <c r="J16757"/>
      <c r="K16757"/>
      <c r="L16757"/>
    </row>
    <row r="16758" spans="2:12" x14ac:dyDescent="0.2">
      <c r="B16758"/>
      <c r="C16758"/>
      <c r="J16758"/>
      <c r="K16758"/>
      <c r="L16758"/>
    </row>
    <row r="16759" spans="2:12" x14ac:dyDescent="0.2">
      <c r="B16759"/>
      <c r="C16759"/>
      <c r="J16759"/>
      <c r="K16759"/>
      <c r="L16759"/>
    </row>
    <row r="16760" spans="2:12" x14ac:dyDescent="0.2">
      <c r="B16760"/>
      <c r="C16760"/>
      <c r="J16760"/>
      <c r="K16760"/>
      <c r="L16760"/>
    </row>
    <row r="16761" spans="2:12" x14ac:dyDescent="0.2">
      <c r="B16761"/>
      <c r="C16761"/>
      <c r="J16761"/>
      <c r="K16761"/>
      <c r="L16761"/>
    </row>
    <row r="16762" spans="2:12" x14ac:dyDescent="0.2">
      <c r="B16762"/>
      <c r="C16762"/>
      <c r="J16762"/>
      <c r="K16762"/>
      <c r="L16762"/>
    </row>
    <row r="16763" spans="2:12" x14ac:dyDescent="0.2">
      <c r="B16763"/>
      <c r="C16763"/>
      <c r="J16763"/>
      <c r="K16763"/>
      <c r="L16763"/>
    </row>
    <row r="16764" spans="2:12" x14ac:dyDescent="0.2">
      <c r="B16764"/>
      <c r="C16764"/>
      <c r="J16764"/>
      <c r="K16764"/>
      <c r="L16764"/>
    </row>
    <row r="16765" spans="2:12" x14ac:dyDescent="0.2">
      <c r="B16765"/>
      <c r="C16765"/>
      <c r="J16765"/>
      <c r="K16765"/>
      <c r="L16765"/>
    </row>
    <row r="16766" spans="2:12" x14ac:dyDescent="0.2">
      <c r="B16766"/>
      <c r="C16766"/>
      <c r="J16766"/>
      <c r="K16766"/>
      <c r="L16766"/>
    </row>
    <row r="16767" spans="2:12" x14ac:dyDescent="0.2">
      <c r="B16767"/>
      <c r="C16767"/>
      <c r="J16767"/>
      <c r="K16767"/>
      <c r="L16767"/>
    </row>
    <row r="16768" spans="2:12" x14ac:dyDescent="0.2">
      <c r="B16768"/>
      <c r="C16768"/>
      <c r="J16768"/>
      <c r="K16768"/>
      <c r="L16768"/>
    </row>
    <row r="16769" spans="2:12" x14ac:dyDescent="0.2">
      <c r="B16769"/>
      <c r="C16769"/>
      <c r="J16769"/>
      <c r="K16769"/>
      <c r="L16769"/>
    </row>
    <row r="16770" spans="2:12" x14ac:dyDescent="0.2">
      <c r="B16770"/>
      <c r="C16770"/>
      <c r="J16770"/>
      <c r="K16770"/>
      <c r="L16770"/>
    </row>
    <row r="16771" spans="2:12" x14ac:dyDescent="0.2">
      <c r="B16771"/>
      <c r="C16771"/>
      <c r="J16771"/>
      <c r="K16771"/>
      <c r="L16771"/>
    </row>
    <row r="16772" spans="2:12" x14ac:dyDescent="0.2">
      <c r="B16772"/>
      <c r="C16772"/>
      <c r="J16772"/>
      <c r="K16772"/>
      <c r="L16772"/>
    </row>
    <row r="16773" spans="2:12" x14ac:dyDescent="0.2">
      <c r="B16773"/>
      <c r="C16773"/>
      <c r="J16773"/>
      <c r="K16773"/>
      <c r="L16773"/>
    </row>
    <row r="16774" spans="2:12" x14ac:dyDescent="0.2">
      <c r="B16774"/>
      <c r="C16774"/>
      <c r="J16774"/>
      <c r="K16774"/>
      <c r="L16774"/>
    </row>
    <row r="16775" spans="2:12" x14ac:dyDescent="0.2">
      <c r="B16775"/>
      <c r="C16775"/>
      <c r="J16775"/>
      <c r="K16775"/>
      <c r="L16775"/>
    </row>
    <row r="16776" spans="2:12" x14ac:dyDescent="0.2">
      <c r="B16776"/>
      <c r="C16776"/>
      <c r="J16776"/>
      <c r="K16776"/>
      <c r="L16776"/>
    </row>
    <row r="16777" spans="2:12" x14ac:dyDescent="0.2">
      <c r="B16777"/>
      <c r="C16777"/>
      <c r="J16777"/>
      <c r="K16777"/>
      <c r="L16777"/>
    </row>
    <row r="16778" spans="2:12" x14ac:dyDescent="0.2">
      <c r="B16778"/>
      <c r="C16778"/>
      <c r="J16778"/>
      <c r="K16778"/>
      <c r="L16778"/>
    </row>
    <row r="16779" spans="2:12" x14ac:dyDescent="0.2">
      <c r="B16779"/>
      <c r="C16779"/>
      <c r="J16779"/>
      <c r="K16779"/>
      <c r="L16779"/>
    </row>
    <row r="16780" spans="2:12" x14ac:dyDescent="0.2">
      <c r="B16780"/>
      <c r="C16780"/>
      <c r="J16780"/>
      <c r="K16780"/>
      <c r="L16780"/>
    </row>
    <row r="16781" spans="2:12" x14ac:dyDescent="0.2">
      <c r="B16781"/>
      <c r="C16781"/>
      <c r="J16781"/>
      <c r="K16781"/>
      <c r="L16781"/>
    </row>
    <row r="16782" spans="2:12" x14ac:dyDescent="0.2">
      <c r="B16782"/>
      <c r="C16782"/>
      <c r="J16782"/>
      <c r="K16782"/>
      <c r="L16782"/>
    </row>
    <row r="16783" spans="2:12" x14ac:dyDescent="0.2">
      <c r="B16783"/>
      <c r="C16783"/>
      <c r="J16783"/>
      <c r="K16783"/>
      <c r="L16783"/>
    </row>
    <row r="16784" spans="2:12" x14ac:dyDescent="0.2">
      <c r="B16784"/>
      <c r="C16784"/>
      <c r="J16784"/>
      <c r="K16784"/>
      <c r="L16784"/>
    </row>
    <row r="16785" spans="2:12" x14ac:dyDescent="0.2">
      <c r="B16785"/>
      <c r="C16785"/>
      <c r="J16785"/>
      <c r="K16785"/>
      <c r="L16785"/>
    </row>
    <row r="16786" spans="2:12" x14ac:dyDescent="0.2">
      <c r="B16786"/>
      <c r="C16786"/>
      <c r="J16786"/>
      <c r="K16786"/>
      <c r="L16786"/>
    </row>
    <row r="16787" spans="2:12" x14ac:dyDescent="0.2">
      <c r="B16787"/>
      <c r="C16787"/>
      <c r="J16787"/>
      <c r="K16787"/>
      <c r="L16787"/>
    </row>
    <row r="16788" spans="2:12" x14ac:dyDescent="0.2">
      <c r="B16788"/>
      <c r="C16788"/>
      <c r="J16788"/>
      <c r="K16788"/>
      <c r="L16788"/>
    </row>
    <row r="16789" spans="2:12" x14ac:dyDescent="0.2">
      <c r="B16789"/>
      <c r="C16789"/>
      <c r="J16789"/>
      <c r="K16789"/>
      <c r="L16789"/>
    </row>
    <row r="16790" spans="2:12" x14ac:dyDescent="0.2">
      <c r="B16790"/>
      <c r="C16790"/>
      <c r="J16790"/>
      <c r="K16790"/>
      <c r="L16790"/>
    </row>
    <row r="16791" spans="2:12" x14ac:dyDescent="0.2">
      <c r="B16791"/>
      <c r="C16791"/>
      <c r="J16791"/>
      <c r="K16791"/>
      <c r="L16791"/>
    </row>
    <row r="16792" spans="2:12" x14ac:dyDescent="0.2">
      <c r="B16792"/>
      <c r="C16792"/>
      <c r="J16792"/>
      <c r="K16792"/>
      <c r="L16792"/>
    </row>
    <row r="16793" spans="2:12" x14ac:dyDescent="0.2">
      <c r="B16793"/>
      <c r="C16793"/>
      <c r="J16793"/>
      <c r="K16793"/>
      <c r="L16793"/>
    </row>
    <row r="16794" spans="2:12" x14ac:dyDescent="0.2">
      <c r="B16794"/>
      <c r="C16794"/>
      <c r="J16794"/>
      <c r="K16794"/>
      <c r="L16794"/>
    </row>
    <row r="16795" spans="2:12" x14ac:dyDescent="0.2">
      <c r="B16795"/>
      <c r="C16795"/>
      <c r="J16795"/>
      <c r="K16795"/>
      <c r="L16795"/>
    </row>
    <row r="16796" spans="2:12" x14ac:dyDescent="0.2">
      <c r="B16796"/>
      <c r="C16796"/>
      <c r="J16796"/>
      <c r="K16796"/>
      <c r="L16796"/>
    </row>
    <row r="16797" spans="2:12" x14ac:dyDescent="0.2">
      <c r="B16797"/>
      <c r="C16797"/>
      <c r="J16797"/>
      <c r="K16797"/>
      <c r="L16797"/>
    </row>
    <row r="16798" spans="2:12" x14ac:dyDescent="0.2">
      <c r="B16798"/>
      <c r="C16798"/>
      <c r="J16798"/>
      <c r="K16798"/>
      <c r="L16798"/>
    </row>
    <row r="16799" spans="2:12" x14ac:dyDescent="0.2">
      <c r="B16799"/>
      <c r="C16799"/>
      <c r="J16799"/>
      <c r="K16799"/>
      <c r="L16799"/>
    </row>
    <row r="16800" spans="2:12" x14ac:dyDescent="0.2">
      <c r="B16800"/>
      <c r="C16800"/>
      <c r="J16800"/>
      <c r="K16800"/>
      <c r="L16800"/>
    </row>
    <row r="16801" spans="2:12" x14ac:dyDescent="0.2">
      <c r="B16801"/>
      <c r="C16801"/>
      <c r="J16801"/>
      <c r="K16801"/>
      <c r="L16801"/>
    </row>
    <row r="16802" spans="2:12" x14ac:dyDescent="0.2">
      <c r="B16802"/>
      <c r="C16802"/>
      <c r="J16802"/>
      <c r="K16802"/>
      <c r="L16802"/>
    </row>
    <row r="16803" spans="2:12" x14ac:dyDescent="0.2">
      <c r="B16803"/>
      <c r="C16803"/>
      <c r="J16803"/>
      <c r="K16803"/>
      <c r="L16803"/>
    </row>
    <row r="16804" spans="2:12" x14ac:dyDescent="0.2">
      <c r="B16804"/>
      <c r="C16804"/>
      <c r="J16804"/>
      <c r="K16804"/>
      <c r="L16804"/>
    </row>
    <row r="16805" spans="2:12" x14ac:dyDescent="0.2">
      <c r="B16805"/>
      <c r="C16805"/>
      <c r="J16805"/>
      <c r="K16805"/>
      <c r="L16805"/>
    </row>
    <row r="16806" spans="2:12" x14ac:dyDescent="0.2">
      <c r="B16806"/>
      <c r="C16806"/>
      <c r="J16806"/>
      <c r="K16806"/>
      <c r="L16806"/>
    </row>
    <row r="16807" spans="2:12" x14ac:dyDescent="0.2">
      <c r="B16807"/>
      <c r="C16807"/>
      <c r="J16807"/>
      <c r="K16807"/>
      <c r="L16807"/>
    </row>
    <row r="16808" spans="2:12" x14ac:dyDescent="0.2">
      <c r="B16808"/>
      <c r="C16808"/>
      <c r="J16808"/>
      <c r="K16808"/>
      <c r="L16808"/>
    </row>
    <row r="16809" spans="2:12" x14ac:dyDescent="0.2">
      <c r="B16809"/>
      <c r="C16809"/>
      <c r="J16809"/>
      <c r="K16809"/>
      <c r="L16809"/>
    </row>
    <row r="16810" spans="2:12" x14ac:dyDescent="0.2">
      <c r="B16810"/>
      <c r="C16810"/>
      <c r="J16810"/>
      <c r="K16810"/>
      <c r="L16810"/>
    </row>
    <row r="16811" spans="2:12" x14ac:dyDescent="0.2">
      <c r="B16811"/>
      <c r="C16811"/>
      <c r="J16811"/>
      <c r="K16811"/>
      <c r="L16811"/>
    </row>
    <row r="16812" spans="2:12" x14ac:dyDescent="0.2">
      <c r="B16812"/>
      <c r="C16812"/>
      <c r="J16812"/>
      <c r="K16812"/>
      <c r="L16812"/>
    </row>
    <row r="16813" spans="2:12" x14ac:dyDescent="0.2">
      <c r="B16813"/>
      <c r="C16813"/>
      <c r="J16813"/>
      <c r="K16813"/>
      <c r="L16813"/>
    </row>
    <row r="16814" spans="2:12" x14ac:dyDescent="0.2">
      <c r="B16814"/>
      <c r="C16814"/>
      <c r="J16814"/>
      <c r="K16814"/>
      <c r="L16814"/>
    </row>
    <row r="16815" spans="2:12" x14ac:dyDescent="0.2">
      <c r="B16815"/>
      <c r="C16815"/>
      <c r="J16815"/>
      <c r="K16815"/>
      <c r="L16815"/>
    </row>
    <row r="16816" spans="2:12" x14ac:dyDescent="0.2">
      <c r="B16816"/>
      <c r="C16816"/>
      <c r="J16816"/>
      <c r="K16816"/>
      <c r="L16816"/>
    </row>
    <row r="16817" spans="2:12" x14ac:dyDescent="0.2">
      <c r="B16817"/>
      <c r="C16817"/>
      <c r="J16817"/>
      <c r="K16817"/>
      <c r="L16817"/>
    </row>
    <row r="16818" spans="2:12" x14ac:dyDescent="0.2">
      <c r="B16818"/>
      <c r="C16818"/>
      <c r="J16818"/>
      <c r="K16818"/>
      <c r="L16818"/>
    </row>
    <row r="16819" spans="2:12" x14ac:dyDescent="0.2">
      <c r="B16819"/>
      <c r="C16819"/>
      <c r="J16819"/>
      <c r="K16819"/>
      <c r="L16819"/>
    </row>
    <row r="16820" spans="2:12" x14ac:dyDescent="0.2">
      <c r="B16820"/>
      <c r="C16820"/>
      <c r="J16820"/>
      <c r="K16820"/>
      <c r="L16820"/>
    </row>
    <row r="16821" spans="2:12" x14ac:dyDescent="0.2">
      <c r="B16821"/>
      <c r="C16821"/>
      <c r="J16821"/>
      <c r="K16821"/>
      <c r="L16821"/>
    </row>
    <row r="16822" spans="2:12" x14ac:dyDescent="0.2">
      <c r="B16822"/>
      <c r="C16822"/>
      <c r="J16822"/>
      <c r="K16822"/>
      <c r="L16822"/>
    </row>
    <row r="16823" spans="2:12" x14ac:dyDescent="0.2">
      <c r="B16823"/>
      <c r="C16823"/>
      <c r="J16823"/>
      <c r="K16823"/>
      <c r="L16823"/>
    </row>
    <row r="16824" spans="2:12" x14ac:dyDescent="0.2">
      <c r="B16824"/>
      <c r="C16824"/>
      <c r="J16824"/>
      <c r="K16824"/>
      <c r="L16824"/>
    </row>
    <row r="16825" spans="2:12" x14ac:dyDescent="0.2">
      <c r="B16825"/>
      <c r="C16825"/>
      <c r="J16825"/>
      <c r="K16825"/>
      <c r="L16825"/>
    </row>
    <row r="16826" spans="2:12" x14ac:dyDescent="0.2">
      <c r="B16826"/>
      <c r="C16826"/>
      <c r="J16826"/>
      <c r="K16826"/>
      <c r="L16826"/>
    </row>
    <row r="16827" spans="2:12" x14ac:dyDescent="0.2">
      <c r="B16827"/>
      <c r="C16827"/>
      <c r="J16827"/>
      <c r="K16827"/>
      <c r="L16827"/>
    </row>
    <row r="16828" spans="2:12" x14ac:dyDescent="0.2">
      <c r="B16828"/>
      <c r="C16828"/>
      <c r="J16828"/>
      <c r="K16828"/>
      <c r="L16828"/>
    </row>
    <row r="16829" spans="2:12" x14ac:dyDescent="0.2">
      <c r="B16829"/>
      <c r="C16829"/>
      <c r="J16829"/>
      <c r="K16829"/>
      <c r="L16829"/>
    </row>
    <row r="16830" spans="2:12" x14ac:dyDescent="0.2">
      <c r="B16830"/>
      <c r="C16830"/>
      <c r="J16830"/>
      <c r="K16830"/>
      <c r="L16830"/>
    </row>
    <row r="16831" spans="2:12" x14ac:dyDescent="0.2">
      <c r="B16831"/>
      <c r="C16831"/>
      <c r="J16831"/>
      <c r="K16831"/>
      <c r="L16831"/>
    </row>
    <row r="16832" spans="2:12" x14ac:dyDescent="0.2">
      <c r="B16832"/>
      <c r="C16832"/>
      <c r="J16832"/>
      <c r="K16832"/>
      <c r="L16832"/>
    </row>
    <row r="16833" spans="2:12" x14ac:dyDescent="0.2">
      <c r="B16833"/>
      <c r="C16833"/>
      <c r="J16833"/>
      <c r="K16833"/>
      <c r="L16833"/>
    </row>
    <row r="16834" spans="2:12" x14ac:dyDescent="0.2">
      <c r="B16834"/>
      <c r="C16834"/>
      <c r="J16834"/>
      <c r="K16834"/>
      <c r="L16834"/>
    </row>
    <row r="16835" spans="2:12" x14ac:dyDescent="0.2">
      <c r="B16835"/>
      <c r="C16835"/>
      <c r="J16835"/>
      <c r="K16835"/>
      <c r="L16835"/>
    </row>
    <row r="16836" spans="2:12" x14ac:dyDescent="0.2">
      <c r="B16836"/>
      <c r="C16836"/>
      <c r="J16836"/>
      <c r="K16836"/>
      <c r="L16836"/>
    </row>
    <row r="16837" spans="2:12" x14ac:dyDescent="0.2">
      <c r="B16837"/>
      <c r="C16837"/>
      <c r="J16837"/>
      <c r="K16837"/>
      <c r="L16837"/>
    </row>
    <row r="16838" spans="2:12" x14ac:dyDescent="0.2">
      <c r="B16838"/>
      <c r="C16838"/>
      <c r="J16838"/>
      <c r="K16838"/>
      <c r="L16838"/>
    </row>
    <row r="16839" spans="2:12" x14ac:dyDescent="0.2">
      <c r="B16839"/>
      <c r="C16839"/>
      <c r="J16839"/>
      <c r="K16839"/>
      <c r="L16839"/>
    </row>
    <row r="16840" spans="2:12" x14ac:dyDescent="0.2">
      <c r="B16840"/>
      <c r="C16840"/>
      <c r="J16840"/>
      <c r="K16840"/>
      <c r="L16840"/>
    </row>
    <row r="16841" spans="2:12" x14ac:dyDescent="0.2">
      <c r="B16841"/>
      <c r="C16841"/>
      <c r="J16841"/>
      <c r="K16841"/>
      <c r="L16841"/>
    </row>
    <row r="16842" spans="2:12" x14ac:dyDescent="0.2">
      <c r="B16842"/>
      <c r="C16842"/>
      <c r="J16842"/>
      <c r="K16842"/>
      <c r="L16842"/>
    </row>
    <row r="16843" spans="2:12" x14ac:dyDescent="0.2">
      <c r="B16843"/>
      <c r="C16843"/>
      <c r="J16843"/>
      <c r="K16843"/>
      <c r="L16843"/>
    </row>
    <row r="16844" spans="2:12" x14ac:dyDescent="0.2">
      <c r="B16844"/>
      <c r="C16844"/>
      <c r="J16844"/>
      <c r="K16844"/>
      <c r="L16844"/>
    </row>
    <row r="16845" spans="2:12" x14ac:dyDescent="0.2">
      <c r="B16845"/>
      <c r="C16845"/>
      <c r="J16845"/>
      <c r="K16845"/>
      <c r="L16845"/>
    </row>
    <row r="16846" spans="2:12" x14ac:dyDescent="0.2">
      <c r="B16846"/>
      <c r="C16846"/>
      <c r="J16846"/>
      <c r="K16846"/>
      <c r="L16846"/>
    </row>
    <row r="16847" spans="2:12" x14ac:dyDescent="0.2">
      <c r="B16847"/>
      <c r="C16847"/>
      <c r="J16847"/>
      <c r="K16847"/>
      <c r="L16847"/>
    </row>
    <row r="16848" spans="2:12" x14ac:dyDescent="0.2">
      <c r="B16848"/>
      <c r="C16848"/>
      <c r="J16848"/>
      <c r="K16848"/>
      <c r="L16848"/>
    </row>
    <row r="16849" spans="2:12" x14ac:dyDescent="0.2">
      <c r="B16849"/>
      <c r="C16849"/>
      <c r="J16849"/>
      <c r="K16849"/>
      <c r="L16849"/>
    </row>
    <row r="16850" spans="2:12" x14ac:dyDescent="0.2">
      <c r="B16850"/>
      <c r="C16850"/>
      <c r="J16850"/>
      <c r="K16850"/>
      <c r="L16850"/>
    </row>
    <row r="16851" spans="2:12" x14ac:dyDescent="0.2">
      <c r="B16851"/>
      <c r="C16851"/>
      <c r="J16851"/>
      <c r="K16851"/>
      <c r="L16851"/>
    </row>
    <row r="16852" spans="2:12" x14ac:dyDescent="0.2">
      <c r="B16852"/>
      <c r="C16852"/>
      <c r="J16852"/>
      <c r="K16852"/>
      <c r="L16852"/>
    </row>
    <row r="16853" spans="2:12" x14ac:dyDescent="0.2">
      <c r="B16853"/>
      <c r="C16853"/>
      <c r="J16853"/>
      <c r="K16853"/>
      <c r="L16853"/>
    </row>
    <row r="16854" spans="2:12" x14ac:dyDescent="0.2">
      <c r="B16854"/>
      <c r="C16854"/>
      <c r="J16854"/>
      <c r="K16854"/>
      <c r="L16854"/>
    </row>
    <row r="16855" spans="2:12" x14ac:dyDescent="0.2">
      <c r="B16855"/>
      <c r="C16855"/>
      <c r="J16855"/>
      <c r="K16855"/>
      <c r="L16855"/>
    </row>
    <row r="16856" spans="2:12" x14ac:dyDescent="0.2">
      <c r="B16856"/>
      <c r="C16856"/>
      <c r="J16856"/>
      <c r="K16856"/>
      <c r="L16856"/>
    </row>
    <row r="16857" spans="2:12" x14ac:dyDescent="0.2">
      <c r="B16857"/>
      <c r="C16857"/>
      <c r="J16857"/>
      <c r="K16857"/>
      <c r="L16857"/>
    </row>
    <row r="16858" spans="2:12" x14ac:dyDescent="0.2">
      <c r="B16858"/>
      <c r="C16858"/>
      <c r="J16858"/>
      <c r="K16858"/>
      <c r="L16858"/>
    </row>
    <row r="16859" spans="2:12" x14ac:dyDescent="0.2">
      <c r="B16859"/>
      <c r="C16859"/>
      <c r="J16859"/>
      <c r="K16859"/>
      <c r="L16859"/>
    </row>
    <row r="16860" spans="2:12" x14ac:dyDescent="0.2">
      <c r="B16860"/>
      <c r="C16860"/>
      <c r="J16860"/>
      <c r="K16860"/>
      <c r="L16860"/>
    </row>
    <row r="16861" spans="2:12" x14ac:dyDescent="0.2">
      <c r="B16861"/>
      <c r="C16861"/>
      <c r="J16861"/>
      <c r="K16861"/>
      <c r="L16861"/>
    </row>
    <row r="16862" spans="2:12" x14ac:dyDescent="0.2">
      <c r="B16862"/>
      <c r="C16862"/>
      <c r="J16862"/>
      <c r="K16862"/>
      <c r="L16862"/>
    </row>
    <row r="16863" spans="2:12" x14ac:dyDescent="0.2">
      <c r="B16863"/>
      <c r="C16863"/>
      <c r="J16863"/>
      <c r="K16863"/>
      <c r="L16863"/>
    </row>
    <row r="16864" spans="2:12" x14ac:dyDescent="0.2">
      <c r="B16864"/>
      <c r="C16864"/>
      <c r="J16864"/>
      <c r="K16864"/>
      <c r="L16864"/>
    </row>
    <row r="16865" spans="2:12" x14ac:dyDescent="0.2">
      <c r="B16865"/>
      <c r="C16865"/>
      <c r="J16865"/>
      <c r="K16865"/>
      <c r="L16865"/>
    </row>
    <row r="16866" spans="2:12" x14ac:dyDescent="0.2">
      <c r="B16866"/>
      <c r="C16866"/>
      <c r="J16866"/>
      <c r="K16866"/>
      <c r="L16866"/>
    </row>
    <row r="16867" spans="2:12" x14ac:dyDescent="0.2">
      <c r="B16867"/>
      <c r="C16867"/>
      <c r="J16867"/>
      <c r="K16867"/>
      <c r="L16867"/>
    </row>
    <row r="16868" spans="2:12" x14ac:dyDescent="0.2">
      <c r="B16868"/>
      <c r="C16868"/>
      <c r="J16868"/>
      <c r="K16868"/>
      <c r="L16868"/>
    </row>
    <row r="16869" spans="2:12" x14ac:dyDescent="0.2">
      <c r="B16869"/>
      <c r="C16869"/>
      <c r="J16869"/>
      <c r="K16869"/>
      <c r="L16869"/>
    </row>
    <row r="16870" spans="2:12" x14ac:dyDescent="0.2">
      <c r="B16870"/>
      <c r="C16870"/>
      <c r="J16870"/>
      <c r="K16870"/>
      <c r="L16870"/>
    </row>
    <row r="16871" spans="2:12" x14ac:dyDescent="0.2">
      <c r="B16871"/>
      <c r="C16871"/>
      <c r="J16871"/>
      <c r="K16871"/>
      <c r="L16871"/>
    </row>
    <row r="16872" spans="2:12" x14ac:dyDescent="0.2">
      <c r="B16872"/>
      <c r="C16872"/>
      <c r="J16872"/>
      <c r="K16872"/>
      <c r="L16872"/>
    </row>
    <row r="16873" spans="2:12" x14ac:dyDescent="0.2">
      <c r="B16873"/>
      <c r="C16873"/>
      <c r="J16873"/>
      <c r="K16873"/>
      <c r="L16873"/>
    </row>
    <row r="16874" spans="2:12" x14ac:dyDescent="0.2">
      <c r="B16874"/>
      <c r="C16874"/>
      <c r="J16874"/>
      <c r="K16874"/>
      <c r="L16874"/>
    </row>
    <row r="16875" spans="2:12" x14ac:dyDescent="0.2">
      <c r="B16875"/>
      <c r="C16875"/>
      <c r="J16875"/>
      <c r="K16875"/>
      <c r="L16875"/>
    </row>
    <row r="16876" spans="2:12" x14ac:dyDescent="0.2">
      <c r="B16876"/>
      <c r="C16876"/>
      <c r="J16876"/>
      <c r="K16876"/>
      <c r="L16876"/>
    </row>
    <row r="16877" spans="2:12" x14ac:dyDescent="0.2">
      <c r="B16877"/>
      <c r="C16877"/>
      <c r="J16877"/>
      <c r="K16877"/>
      <c r="L16877"/>
    </row>
    <row r="16878" spans="2:12" x14ac:dyDescent="0.2">
      <c r="B16878"/>
      <c r="C16878"/>
      <c r="J16878"/>
      <c r="K16878"/>
      <c r="L16878"/>
    </row>
    <row r="16879" spans="2:12" x14ac:dyDescent="0.2">
      <c r="B16879"/>
      <c r="C16879"/>
      <c r="J16879"/>
      <c r="K16879"/>
      <c r="L16879"/>
    </row>
    <row r="16880" spans="2:12" x14ac:dyDescent="0.2">
      <c r="B16880"/>
      <c r="C16880"/>
      <c r="J16880"/>
      <c r="K16880"/>
      <c r="L16880"/>
    </row>
    <row r="16881" spans="2:12" x14ac:dyDescent="0.2">
      <c r="B16881"/>
      <c r="C16881"/>
      <c r="J16881"/>
      <c r="K16881"/>
      <c r="L16881"/>
    </row>
    <row r="16882" spans="2:12" x14ac:dyDescent="0.2">
      <c r="B16882"/>
      <c r="C16882"/>
      <c r="J16882"/>
      <c r="K16882"/>
      <c r="L16882"/>
    </row>
    <row r="16883" spans="2:12" x14ac:dyDescent="0.2">
      <c r="B16883"/>
      <c r="C16883"/>
      <c r="J16883"/>
      <c r="K16883"/>
      <c r="L16883"/>
    </row>
    <row r="16884" spans="2:12" x14ac:dyDescent="0.2">
      <c r="B16884"/>
      <c r="C16884"/>
      <c r="J16884"/>
      <c r="K16884"/>
      <c r="L16884"/>
    </row>
    <row r="16885" spans="2:12" x14ac:dyDescent="0.2">
      <c r="B16885"/>
      <c r="C16885"/>
      <c r="J16885"/>
      <c r="K16885"/>
      <c r="L16885"/>
    </row>
    <row r="16886" spans="2:12" x14ac:dyDescent="0.2">
      <c r="B16886"/>
      <c r="C16886"/>
      <c r="J16886"/>
      <c r="K16886"/>
      <c r="L16886"/>
    </row>
    <row r="16887" spans="2:12" x14ac:dyDescent="0.2">
      <c r="B16887"/>
      <c r="C16887"/>
      <c r="J16887"/>
      <c r="K16887"/>
      <c r="L16887"/>
    </row>
    <row r="16888" spans="2:12" x14ac:dyDescent="0.2">
      <c r="B16888"/>
      <c r="C16888"/>
      <c r="J16888"/>
      <c r="K16888"/>
      <c r="L16888"/>
    </row>
    <row r="16889" spans="2:12" x14ac:dyDescent="0.2">
      <c r="B16889"/>
      <c r="C16889"/>
      <c r="J16889"/>
      <c r="K16889"/>
      <c r="L16889"/>
    </row>
    <row r="16890" spans="2:12" x14ac:dyDescent="0.2">
      <c r="B16890"/>
      <c r="C16890"/>
      <c r="J16890"/>
      <c r="K16890"/>
      <c r="L16890"/>
    </row>
    <row r="16891" spans="2:12" x14ac:dyDescent="0.2">
      <c r="B16891"/>
      <c r="C16891"/>
      <c r="J16891"/>
      <c r="K16891"/>
      <c r="L16891"/>
    </row>
    <row r="16892" spans="2:12" x14ac:dyDescent="0.2">
      <c r="B16892"/>
      <c r="C16892"/>
      <c r="J16892"/>
      <c r="K16892"/>
      <c r="L16892"/>
    </row>
    <row r="16893" spans="2:12" x14ac:dyDescent="0.2">
      <c r="B16893"/>
      <c r="C16893"/>
      <c r="J16893"/>
      <c r="K16893"/>
      <c r="L16893"/>
    </row>
    <row r="16894" spans="2:12" x14ac:dyDescent="0.2">
      <c r="B16894"/>
      <c r="C16894"/>
      <c r="J16894"/>
      <c r="K16894"/>
      <c r="L16894"/>
    </row>
    <row r="16895" spans="2:12" x14ac:dyDescent="0.2">
      <c r="B16895"/>
      <c r="C16895"/>
      <c r="J16895"/>
      <c r="K16895"/>
      <c r="L16895"/>
    </row>
    <row r="16896" spans="2:12" x14ac:dyDescent="0.2">
      <c r="B16896"/>
      <c r="C16896"/>
      <c r="J16896"/>
      <c r="K16896"/>
      <c r="L16896"/>
    </row>
    <row r="16897" spans="2:12" x14ac:dyDescent="0.2">
      <c r="B16897"/>
      <c r="C16897"/>
      <c r="J16897"/>
      <c r="K16897"/>
      <c r="L16897"/>
    </row>
    <row r="16898" spans="2:12" x14ac:dyDescent="0.2">
      <c r="B16898"/>
      <c r="C16898"/>
      <c r="J16898"/>
      <c r="K16898"/>
      <c r="L16898"/>
    </row>
    <row r="16899" spans="2:12" x14ac:dyDescent="0.2">
      <c r="B16899"/>
      <c r="C16899"/>
      <c r="J16899"/>
      <c r="K16899"/>
      <c r="L16899"/>
    </row>
    <row r="16900" spans="2:12" x14ac:dyDescent="0.2">
      <c r="B16900"/>
      <c r="C16900"/>
      <c r="J16900"/>
      <c r="K16900"/>
      <c r="L16900"/>
    </row>
    <row r="16901" spans="2:12" x14ac:dyDescent="0.2">
      <c r="B16901"/>
      <c r="C16901"/>
      <c r="J16901"/>
      <c r="K16901"/>
      <c r="L16901"/>
    </row>
    <row r="16902" spans="2:12" x14ac:dyDescent="0.2">
      <c r="B16902"/>
      <c r="C16902"/>
      <c r="J16902"/>
      <c r="K16902"/>
      <c r="L16902"/>
    </row>
    <row r="16903" spans="2:12" x14ac:dyDescent="0.2">
      <c r="B16903"/>
      <c r="C16903"/>
      <c r="J16903"/>
      <c r="K16903"/>
      <c r="L16903"/>
    </row>
    <row r="16904" spans="2:12" x14ac:dyDescent="0.2">
      <c r="B16904"/>
      <c r="C16904"/>
      <c r="J16904"/>
      <c r="K16904"/>
      <c r="L16904"/>
    </row>
    <row r="16905" spans="2:12" x14ac:dyDescent="0.2">
      <c r="B16905"/>
      <c r="C16905"/>
      <c r="J16905"/>
      <c r="K16905"/>
      <c r="L16905"/>
    </row>
    <row r="16906" spans="2:12" x14ac:dyDescent="0.2">
      <c r="B16906"/>
      <c r="C16906"/>
      <c r="J16906"/>
      <c r="K16906"/>
      <c r="L16906"/>
    </row>
    <row r="16907" spans="2:12" x14ac:dyDescent="0.2">
      <c r="B16907"/>
      <c r="C16907"/>
      <c r="J16907"/>
      <c r="K16907"/>
      <c r="L16907"/>
    </row>
    <row r="16908" spans="2:12" x14ac:dyDescent="0.2">
      <c r="B16908"/>
      <c r="C16908"/>
      <c r="J16908"/>
      <c r="K16908"/>
      <c r="L16908"/>
    </row>
    <row r="16909" spans="2:12" x14ac:dyDescent="0.2">
      <c r="B16909"/>
      <c r="C16909"/>
      <c r="J16909"/>
      <c r="K16909"/>
      <c r="L16909"/>
    </row>
    <row r="16910" spans="2:12" x14ac:dyDescent="0.2">
      <c r="B16910"/>
      <c r="C16910"/>
      <c r="J16910"/>
      <c r="K16910"/>
      <c r="L16910"/>
    </row>
    <row r="16911" spans="2:12" x14ac:dyDescent="0.2">
      <c r="B16911"/>
      <c r="C16911"/>
      <c r="J16911"/>
      <c r="K16911"/>
      <c r="L16911"/>
    </row>
    <row r="16912" spans="2:12" x14ac:dyDescent="0.2">
      <c r="B16912"/>
      <c r="C16912"/>
      <c r="J16912"/>
      <c r="K16912"/>
      <c r="L16912"/>
    </row>
    <row r="16913" spans="2:12" x14ac:dyDescent="0.2">
      <c r="B16913"/>
      <c r="C16913"/>
      <c r="J16913"/>
      <c r="K16913"/>
      <c r="L16913"/>
    </row>
    <row r="16914" spans="2:12" x14ac:dyDescent="0.2">
      <c r="B16914"/>
      <c r="C16914"/>
      <c r="J16914"/>
      <c r="K16914"/>
      <c r="L16914"/>
    </row>
    <row r="16915" spans="2:12" x14ac:dyDescent="0.2">
      <c r="B16915"/>
      <c r="C16915"/>
      <c r="J16915"/>
      <c r="K16915"/>
      <c r="L16915"/>
    </row>
    <row r="16916" spans="2:12" x14ac:dyDescent="0.2">
      <c r="B16916"/>
      <c r="C16916"/>
      <c r="J16916"/>
      <c r="K16916"/>
      <c r="L16916"/>
    </row>
    <row r="16917" spans="2:12" x14ac:dyDescent="0.2">
      <c r="B16917"/>
      <c r="C16917"/>
      <c r="J16917"/>
      <c r="K16917"/>
      <c r="L16917"/>
    </row>
    <row r="16918" spans="2:12" x14ac:dyDescent="0.2">
      <c r="B16918"/>
      <c r="C16918"/>
      <c r="J16918"/>
      <c r="K16918"/>
      <c r="L16918"/>
    </row>
    <row r="16919" spans="2:12" x14ac:dyDescent="0.2">
      <c r="B16919"/>
      <c r="C16919"/>
      <c r="J16919"/>
      <c r="K16919"/>
      <c r="L16919"/>
    </row>
    <row r="16920" spans="2:12" x14ac:dyDescent="0.2">
      <c r="B16920"/>
      <c r="C16920"/>
      <c r="J16920"/>
      <c r="K16920"/>
      <c r="L16920"/>
    </row>
    <row r="16921" spans="2:12" x14ac:dyDescent="0.2">
      <c r="B16921"/>
      <c r="C16921"/>
      <c r="J16921"/>
      <c r="K16921"/>
      <c r="L16921"/>
    </row>
    <row r="16922" spans="2:12" x14ac:dyDescent="0.2">
      <c r="B16922"/>
      <c r="C16922"/>
      <c r="J16922"/>
      <c r="K16922"/>
      <c r="L16922"/>
    </row>
    <row r="16923" spans="2:12" x14ac:dyDescent="0.2">
      <c r="B16923"/>
      <c r="C16923"/>
      <c r="J16923"/>
      <c r="K16923"/>
      <c r="L16923"/>
    </row>
    <row r="16924" spans="2:12" x14ac:dyDescent="0.2">
      <c r="B16924"/>
      <c r="C16924"/>
      <c r="J16924"/>
      <c r="K16924"/>
      <c r="L16924"/>
    </row>
    <row r="16925" spans="2:12" x14ac:dyDescent="0.2">
      <c r="B16925"/>
      <c r="C16925"/>
      <c r="J16925"/>
      <c r="K16925"/>
      <c r="L16925"/>
    </row>
    <row r="16926" spans="2:12" x14ac:dyDescent="0.2">
      <c r="B16926"/>
      <c r="C16926"/>
      <c r="J16926"/>
      <c r="K16926"/>
      <c r="L16926"/>
    </row>
    <row r="16927" spans="2:12" x14ac:dyDescent="0.2">
      <c r="B16927"/>
      <c r="C16927"/>
      <c r="J16927"/>
      <c r="K16927"/>
      <c r="L16927"/>
    </row>
    <row r="16928" spans="2:12" x14ac:dyDescent="0.2">
      <c r="B16928"/>
      <c r="C16928"/>
      <c r="J16928"/>
      <c r="K16928"/>
      <c r="L16928"/>
    </row>
    <row r="16929" spans="2:12" x14ac:dyDescent="0.2">
      <c r="B16929"/>
      <c r="C16929"/>
      <c r="J16929"/>
      <c r="K16929"/>
      <c r="L16929"/>
    </row>
    <row r="16930" spans="2:12" x14ac:dyDescent="0.2">
      <c r="B16930"/>
      <c r="C16930"/>
      <c r="J16930"/>
      <c r="K16930"/>
      <c r="L16930"/>
    </row>
    <row r="16931" spans="2:12" x14ac:dyDescent="0.2">
      <c r="B16931"/>
      <c r="C16931"/>
      <c r="J16931"/>
      <c r="K16931"/>
      <c r="L16931"/>
    </row>
    <row r="16932" spans="2:12" x14ac:dyDescent="0.2">
      <c r="B16932"/>
      <c r="C16932"/>
      <c r="J16932"/>
      <c r="K16932"/>
      <c r="L16932"/>
    </row>
    <row r="16933" spans="2:12" x14ac:dyDescent="0.2">
      <c r="B16933"/>
      <c r="C16933"/>
      <c r="J16933"/>
      <c r="K16933"/>
      <c r="L16933"/>
    </row>
    <row r="16934" spans="2:12" x14ac:dyDescent="0.2">
      <c r="B16934"/>
      <c r="C16934"/>
      <c r="J16934"/>
      <c r="K16934"/>
      <c r="L16934"/>
    </row>
    <row r="16935" spans="2:12" x14ac:dyDescent="0.2">
      <c r="B16935"/>
      <c r="C16935"/>
      <c r="J16935"/>
      <c r="K16935"/>
      <c r="L16935"/>
    </row>
    <row r="16936" spans="2:12" x14ac:dyDescent="0.2">
      <c r="B16936"/>
      <c r="C16936"/>
      <c r="J16936"/>
      <c r="K16936"/>
      <c r="L16936"/>
    </row>
    <row r="16937" spans="2:12" x14ac:dyDescent="0.2">
      <c r="B16937"/>
      <c r="C16937"/>
      <c r="J16937"/>
      <c r="K16937"/>
      <c r="L16937"/>
    </row>
    <row r="16938" spans="2:12" x14ac:dyDescent="0.2">
      <c r="B16938"/>
      <c r="C16938"/>
      <c r="J16938"/>
      <c r="K16938"/>
      <c r="L16938"/>
    </row>
    <row r="16939" spans="2:12" x14ac:dyDescent="0.2">
      <c r="B16939"/>
      <c r="C16939"/>
      <c r="J16939"/>
      <c r="K16939"/>
      <c r="L16939"/>
    </row>
    <row r="16940" spans="2:12" x14ac:dyDescent="0.2">
      <c r="B16940"/>
      <c r="C16940"/>
      <c r="J16940"/>
      <c r="K16940"/>
      <c r="L16940"/>
    </row>
    <row r="16941" spans="2:12" x14ac:dyDescent="0.2">
      <c r="B16941"/>
      <c r="C16941"/>
      <c r="J16941"/>
      <c r="K16941"/>
      <c r="L16941"/>
    </row>
    <row r="16942" spans="2:12" x14ac:dyDescent="0.2">
      <c r="B16942"/>
      <c r="C16942"/>
      <c r="J16942"/>
      <c r="K16942"/>
      <c r="L16942"/>
    </row>
    <row r="16943" spans="2:12" x14ac:dyDescent="0.2">
      <c r="B16943"/>
      <c r="C16943"/>
      <c r="J16943"/>
      <c r="K16943"/>
      <c r="L16943"/>
    </row>
    <row r="16944" spans="2:12" x14ac:dyDescent="0.2">
      <c r="B16944"/>
      <c r="C16944"/>
      <c r="J16944"/>
      <c r="K16944"/>
      <c r="L16944"/>
    </row>
    <row r="16945" spans="2:12" x14ac:dyDescent="0.2">
      <c r="B16945"/>
      <c r="C16945"/>
      <c r="J16945"/>
      <c r="K16945"/>
      <c r="L16945"/>
    </row>
    <row r="16946" spans="2:12" x14ac:dyDescent="0.2">
      <c r="B16946"/>
      <c r="C16946"/>
      <c r="J16946"/>
      <c r="K16946"/>
      <c r="L16946"/>
    </row>
    <row r="16947" spans="2:12" x14ac:dyDescent="0.2">
      <c r="B16947"/>
      <c r="C16947"/>
      <c r="J16947"/>
      <c r="K16947"/>
      <c r="L16947"/>
    </row>
    <row r="16948" spans="2:12" x14ac:dyDescent="0.2">
      <c r="B16948"/>
      <c r="C16948"/>
      <c r="J16948"/>
      <c r="K16948"/>
      <c r="L16948"/>
    </row>
    <row r="16949" spans="2:12" x14ac:dyDescent="0.2">
      <c r="B16949"/>
      <c r="C16949"/>
      <c r="J16949"/>
      <c r="K16949"/>
      <c r="L16949"/>
    </row>
    <row r="16950" spans="2:12" x14ac:dyDescent="0.2">
      <c r="B16950"/>
      <c r="C16950"/>
      <c r="J16950"/>
      <c r="K16950"/>
      <c r="L16950"/>
    </row>
    <row r="16951" spans="2:12" x14ac:dyDescent="0.2">
      <c r="B16951"/>
      <c r="C16951"/>
      <c r="J16951"/>
      <c r="K16951"/>
      <c r="L16951"/>
    </row>
    <row r="16952" spans="2:12" x14ac:dyDescent="0.2">
      <c r="B16952"/>
      <c r="C16952"/>
      <c r="J16952"/>
      <c r="K16952"/>
      <c r="L16952"/>
    </row>
    <row r="16953" spans="2:12" x14ac:dyDescent="0.2">
      <c r="B16953"/>
      <c r="C16953"/>
      <c r="J16953"/>
      <c r="K16953"/>
      <c r="L16953"/>
    </row>
    <row r="16954" spans="2:12" x14ac:dyDescent="0.2">
      <c r="B16954"/>
      <c r="C16954"/>
      <c r="J16954"/>
      <c r="K16954"/>
      <c r="L16954"/>
    </row>
    <row r="16955" spans="2:12" x14ac:dyDescent="0.2">
      <c r="B16955"/>
      <c r="C16955"/>
      <c r="J16955"/>
      <c r="K16955"/>
      <c r="L16955"/>
    </row>
    <row r="16956" spans="2:12" x14ac:dyDescent="0.2">
      <c r="B16956"/>
      <c r="C16956"/>
      <c r="J16956"/>
      <c r="K16956"/>
      <c r="L16956"/>
    </row>
    <row r="16957" spans="2:12" x14ac:dyDescent="0.2">
      <c r="B16957"/>
      <c r="C16957"/>
      <c r="J16957"/>
      <c r="K16957"/>
      <c r="L16957"/>
    </row>
    <row r="16958" spans="2:12" x14ac:dyDescent="0.2">
      <c r="B16958"/>
      <c r="C16958"/>
      <c r="J16958"/>
      <c r="K16958"/>
      <c r="L16958"/>
    </row>
    <row r="16959" spans="2:12" x14ac:dyDescent="0.2">
      <c r="B16959"/>
      <c r="C16959"/>
      <c r="J16959"/>
      <c r="K16959"/>
      <c r="L16959"/>
    </row>
    <row r="16960" spans="2:12" x14ac:dyDescent="0.2">
      <c r="B16960"/>
      <c r="C16960"/>
      <c r="J16960"/>
      <c r="K16960"/>
      <c r="L16960"/>
    </row>
    <row r="16961" spans="2:12" x14ac:dyDescent="0.2">
      <c r="B16961"/>
      <c r="C16961"/>
      <c r="J16961"/>
      <c r="K16961"/>
      <c r="L16961"/>
    </row>
    <row r="16962" spans="2:12" x14ac:dyDescent="0.2">
      <c r="B16962"/>
      <c r="C16962"/>
      <c r="J16962"/>
      <c r="K16962"/>
      <c r="L16962"/>
    </row>
    <row r="16963" spans="2:12" x14ac:dyDescent="0.2">
      <c r="B16963"/>
      <c r="C16963"/>
      <c r="J16963"/>
      <c r="K16963"/>
      <c r="L16963"/>
    </row>
    <row r="16964" spans="2:12" x14ac:dyDescent="0.2">
      <c r="B16964"/>
      <c r="C16964"/>
      <c r="J16964"/>
      <c r="K16964"/>
      <c r="L16964"/>
    </row>
    <row r="16965" spans="2:12" x14ac:dyDescent="0.2">
      <c r="B16965"/>
      <c r="C16965"/>
      <c r="J16965"/>
      <c r="K16965"/>
      <c r="L16965"/>
    </row>
    <row r="16966" spans="2:12" x14ac:dyDescent="0.2">
      <c r="B16966"/>
      <c r="C16966"/>
      <c r="J16966"/>
      <c r="K16966"/>
      <c r="L16966"/>
    </row>
    <row r="16967" spans="2:12" x14ac:dyDescent="0.2">
      <c r="B16967"/>
      <c r="C16967"/>
      <c r="J16967"/>
      <c r="K16967"/>
      <c r="L16967"/>
    </row>
    <row r="16968" spans="2:12" x14ac:dyDescent="0.2">
      <c r="B16968"/>
      <c r="C16968"/>
      <c r="J16968"/>
      <c r="K16968"/>
      <c r="L16968"/>
    </row>
    <row r="16969" spans="2:12" x14ac:dyDescent="0.2">
      <c r="B16969"/>
      <c r="C16969"/>
      <c r="J16969"/>
      <c r="K16969"/>
      <c r="L16969"/>
    </row>
    <row r="16970" spans="2:12" x14ac:dyDescent="0.2">
      <c r="B16970"/>
      <c r="C16970"/>
      <c r="J16970"/>
      <c r="K16970"/>
      <c r="L16970"/>
    </row>
    <row r="16971" spans="2:12" x14ac:dyDescent="0.2">
      <c r="B16971"/>
      <c r="C16971"/>
      <c r="J16971"/>
      <c r="K16971"/>
      <c r="L16971"/>
    </row>
    <row r="16972" spans="2:12" x14ac:dyDescent="0.2">
      <c r="B16972"/>
      <c r="C16972"/>
      <c r="J16972"/>
      <c r="K16972"/>
      <c r="L16972"/>
    </row>
    <row r="16973" spans="2:12" x14ac:dyDescent="0.2">
      <c r="B16973"/>
      <c r="C16973"/>
      <c r="J16973"/>
      <c r="K16973"/>
      <c r="L16973"/>
    </row>
    <row r="16974" spans="2:12" x14ac:dyDescent="0.2">
      <c r="B16974"/>
      <c r="C16974"/>
      <c r="J16974"/>
      <c r="K16974"/>
      <c r="L16974"/>
    </row>
    <row r="16975" spans="2:12" x14ac:dyDescent="0.2">
      <c r="B16975"/>
      <c r="C16975"/>
      <c r="J16975"/>
      <c r="K16975"/>
      <c r="L16975"/>
    </row>
    <row r="16976" spans="2:12" x14ac:dyDescent="0.2">
      <c r="B16976"/>
      <c r="C16976"/>
      <c r="J16976"/>
      <c r="K16976"/>
      <c r="L16976"/>
    </row>
    <row r="16977" spans="2:12" x14ac:dyDescent="0.2">
      <c r="B16977"/>
      <c r="C16977"/>
      <c r="J16977"/>
      <c r="K16977"/>
      <c r="L16977"/>
    </row>
    <row r="16978" spans="2:12" x14ac:dyDescent="0.2">
      <c r="B16978"/>
      <c r="C16978"/>
      <c r="J16978"/>
      <c r="K16978"/>
      <c r="L16978"/>
    </row>
    <row r="16979" spans="2:12" x14ac:dyDescent="0.2">
      <c r="B16979"/>
      <c r="C16979"/>
      <c r="J16979"/>
      <c r="K16979"/>
      <c r="L16979"/>
    </row>
    <row r="16980" spans="2:12" x14ac:dyDescent="0.2">
      <c r="B16980"/>
      <c r="C16980"/>
      <c r="J16980"/>
      <c r="K16980"/>
      <c r="L16980"/>
    </row>
    <row r="16981" spans="2:12" x14ac:dyDescent="0.2">
      <c r="B16981"/>
      <c r="C16981"/>
      <c r="J16981"/>
      <c r="K16981"/>
      <c r="L16981"/>
    </row>
    <row r="16982" spans="2:12" x14ac:dyDescent="0.2">
      <c r="B16982"/>
      <c r="C16982"/>
      <c r="J16982"/>
      <c r="K16982"/>
      <c r="L16982"/>
    </row>
    <row r="16983" spans="2:12" x14ac:dyDescent="0.2">
      <c r="B16983"/>
      <c r="C16983"/>
      <c r="J16983"/>
      <c r="K16983"/>
      <c r="L16983"/>
    </row>
    <row r="16984" spans="2:12" x14ac:dyDescent="0.2">
      <c r="B16984"/>
      <c r="C16984"/>
      <c r="J16984"/>
      <c r="K16984"/>
      <c r="L16984"/>
    </row>
    <row r="16985" spans="2:12" x14ac:dyDescent="0.2">
      <c r="B16985"/>
      <c r="C16985"/>
      <c r="J16985"/>
      <c r="K16985"/>
      <c r="L16985"/>
    </row>
    <row r="16986" spans="2:12" x14ac:dyDescent="0.2">
      <c r="B16986"/>
      <c r="C16986"/>
      <c r="J16986"/>
      <c r="K16986"/>
      <c r="L16986"/>
    </row>
    <row r="16987" spans="2:12" x14ac:dyDescent="0.2">
      <c r="B16987"/>
      <c r="C16987"/>
      <c r="J16987"/>
      <c r="K16987"/>
      <c r="L16987"/>
    </row>
    <row r="16988" spans="2:12" x14ac:dyDescent="0.2">
      <c r="B16988"/>
      <c r="C16988"/>
      <c r="J16988"/>
      <c r="K16988"/>
      <c r="L16988"/>
    </row>
    <row r="16989" spans="2:12" x14ac:dyDescent="0.2">
      <c r="B16989"/>
      <c r="C16989"/>
      <c r="J16989"/>
      <c r="K16989"/>
      <c r="L16989"/>
    </row>
    <row r="16990" spans="2:12" x14ac:dyDescent="0.2">
      <c r="B16990"/>
      <c r="C16990"/>
      <c r="J16990"/>
      <c r="K16990"/>
      <c r="L16990"/>
    </row>
    <row r="16991" spans="2:12" x14ac:dyDescent="0.2">
      <c r="B16991"/>
      <c r="C16991"/>
      <c r="J16991"/>
      <c r="K16991"/>
      <c r="L16991"/>
    </row>
    <row r="16992" spans="2:12" x14ac:dyDescent="0.2">
      <c r="B16992"/>
      <c r="C16992"/>
      <c r="J16992"/>
      <c r="K16992"/>
      <c r="L16992"/>
    </row>
    <row r="16993" spans="2:12" x14ac:dyDescent="0.2">
      <c r="B16993"/>
      <c r="C16993"/>
      <c r="J16993"/>
      <c r="K16993"/>
      <c r="L16993"/>
    </row>
    <row r="16994" spans="2:12" x14ac:dyDescent="0.2">
      <c r="B16994"/>
      <c r="C16994"/>
      <c r="J16994"/>
      <c r="K16994"/>
      <c r="L16994"/>
    </row>
    <row r="16995" spans="2:12" x14ac:dyDescent="0.2">
      <c r="B16995"/>
      <c r="C16995"/>
      <c r="J16995"/>
      <c r="K16995"/>
      <c r="L16995"/>
    </row>
    <row r="16996" spans="2:12" x14ac:dyDescent="0.2">
      <c r="B16996"/>
      <c r="C16996"/>
      <c r="J16996"/>
      <c r="K16996"/>
      <c r="L16996"/>
    </row>
    <row r="16997" spans="2:12" x14ac:dyDescent="0.2">
      <c r="B16997"/>
      <c r="C16997"/>
      <c r="J16997"/>
      <c r="K16997"/>
      <c r="L16997"/>
    </row>
    <row r="16998" spans="2:12" x14ac:dyDescent="0.2">
      <c r="B16998"/>
      <c r="C16998"/>
      <c r="J16998"/>
      <c r="K16998"/>
      <c r="L16998"/>
    </row>
    <row r="16999" spans="2:12" x14ac:dyDescent="0.2">
      <c r="B16999"/>
      <c r="C16999"/>
      <c r="J16999"/>
      <c r="K16999"/>
      <c r="L16999"/>
    </row>
    <row r="17000" spans="2:12" x14ac:dyDescent="0.2">
      <c r="B17000"/>
      <c r="C17000"/>
      <c r="J17000"/>
      <c r="K17000"/>
      <c r="L17000"/>
    </row>
    <row r="17001" spans="2:12" x14ac:dyDescent="0.2">
      <c r="B17001"/>
      <c r="C17001"/>
      <c r="J17001"/>
      <c r="K17001"/>
      <c r="L17001"/>
    </row>
    <row r="17002" spans="2:12" x14ac:dyDescent="0.2">
      <c r="B17002"/>
      <c r="C17002"/>
      <c r="J17002"/>
      <c r="K17002"/>
      <c r="L17002"/>
    </row>
    <row r="17003" spans="2:12" x14ac:dyDescent="0.2">
      <c r="B17003"/>
      <c r="C17003"/>
      <c r="J17003"/>
      <c r="K17003"/>
      <c r="L17003"/>
    </row>
    <row r="17004" spans="2:12" x14ac:dyDescent="0.2">
      <c r="B17004"/>
      <c r="C17004"/>
      <c r="J17004"/>
      <c r="K17004"/>
      <c r="L17004"/>
    </row>
    <row r="17005" spans="2:12" x14ac:dyDescent="0.2">
      <c r="B17005"/>
      <c r="C17005"/>
      <c r="J17005"/>
      <c r="K17005"/>
      <c r="L17005"/>
    </row>
    <row r="17006" spans="2:12" x14ac:dyDescent="0.2">
      <c r="B17006"/>
      <c r="C17006"/>
      <c r="J17006"/>
      <c r="K17006"/>
      <c r="L17006"/>
    </row>
    <row r="17007" spans="2:12" x14ac:dyDescent="0.2">
      <c r="B17007"/>
      <c r="C17007"/>
      <c r="J17007"/>
      <c r="K17007"/>
      <c r="L17007"/>
    </row>
    <row r="17008" spans="2:12" x14ac:dyDescent="0.2">
      <c r="B17008"/>
      <c r="C17008"/>
      <c r="J17008"/>
      <c r="K17008"/>
      <c r="L17008"/>
    </row>
    <row r="17009" spans="2:12" x14ac:dyDescent="0.2">
      <c r="B17009"/>
      <c r="C17009"/>
      <c r="J17009"/>
      <c r="K17009"/>
      <c r="L17009"/>
    </row>
    <row r="17010" spans="2:12" x14ac:dyDescent="0.2">
      <c r="B17010"/>
      <c r="C17010"/>
      <c r="J17010"/>
      <c r="K17010"/>
      <c r="L17010"/>
    </row>
    <row r="17011" spans="2:12" x14ac:dyDescent="0.2">
      <c r="B17011"/>
      <c r="C17011"/>
      <c r="J17011"/>
      <c r="K17011"/>
      <c r="L17011"/>
    </row>
    <row r="17012" spans="2:12" x14ac:dyDescent="0.2">
      <c r="B17012"/>
      <c r="C17012"/>
      <c r="J17012"/>
      <c r="K17012"/>
      <c r="L17012"/>
    </row>
    <row r="17013" spans="2:12" x14ac:dyDescent="0.2">
      <c r="B17013"/>
      <c r="C17013"/>
      <c r="J17013"/>
      <c r="K17013"/>
      <c r="L17013"/>
    </row>
    <row r="17014" spans="2:12" x14ac:dyDescent="0.2">
      <c r="B17014"/>
      <c r="C17014"/>
      <c r="J17014"/>
      <c r="K17014"/>
      <c r="L17014"/>
    </row>
    <row r="17015" spans="2:12" x14ac:dyDescent="0.2">
      <c r="B17015"/>
      <c r="C17015"/>
      <c r="J17015"/>
      <c r="K17015"/>
      <c r="L17015"/>
    </row>
    <row r="17016" spans="2:12" x14ac:dyDescent="0.2">
      <c r="B17016"/>
      <c r="C17016"/>
      <c r="J17016"/>
      <c r="K17016"/>
      <c r="L17016"/>
    </row>
    <row r="17017" spans="2:12" x14ac:dyDescent="0.2">
      <c r="B17017"/>
      <c r="C17017"/>
      <c r="J17017"/>
      <c r="K17017"/>
      <c r="L17017"/>
    </row>
    <row r="17018" spans="2:12" x14ac:dyDescent="0.2">
      <c r="B17018"/>
      <c r="C17018"/>
      <c r="J17018"/>
      <c r="K17018"/>
      <c r="L17018"/>
    </row>
    <row r="17019" spans="2:12" x14ac:dyDescent="0.2">
      <c r="B17019"/>
      <c r="C17019"/>
      <c r="J17019"/>
      <c r="K17019"/>
      <c r="L17019"/>
    </row>
    <row r="17020" spans="2:12" x14ac:dyDescent="0.2">
      <c r="B17020"/>
      <c r="C17020"/>
      <c r="J17020"/>
      <c r="K17020"/>
      <c r="L17020"/>
    </row>
    <row r="17021" spans="2:12" x14ac:dyDescent="0.2">
      <c r="B17021"/>
      <c r="C17021"/>
      <c r="J17021"/>
      <c r="K17021"/>
      <c r="L17021"/>
    </row>
    <row r="17022" spans="2:12" x14ac:dyDescent="0.2">
      <c r="B17022"/>
      <c r="C17022"/>
      <c r="J17022"/>
      <c r="K17022"/>
      <c r="L17022"/>
    </row>
    <row r="17023" spans="2:12" x14ac:dyDescent="0.2">
      <c r="B17023"/>
      <c r="C17023"/>
      <c r="J17023"/>
      <c r="K17023"/>
      <c r="L17023"/>
    </row>
    <row r="17024" spans="2:12" x14ac:dyDescent="0.2">
      <c r="B17024"/>
      <c r="C17024"/>
      <c r="J17024"/>
      <c r="K17024"/>
      <c r="L17024"/>
    </row>
    <row r="17025" spans="2:12" x14ac:dyDescent="0.2">
      <c r="B17025"/>
      <c r="C17025"/>
      <c r="J17025"/>
      <c r="K17025"/>
      <c r="L17025"/>
    </row>
    <row r="17026" spans="2:12" x14ac:dyDescent="0.2">
      <c r="B17026"/>
      <c r="C17026"/>
      <c r="J17026"/>
      <c r="K17026"/>
      <c r="L17026"/>
    </row>
    <row r="17027" spans="2:12" x14ac:dyDescent="0.2">
      <c r="B17027"/>
      <c r="C17027"/>
      <c r="J17027"/>
      <c r="K17027"/>
      <c r="L17027"/>
    </row>
    <row r="17028" spans="2:12" x14ac:dyDescent="0.2">
      <c r="B17028"/>
      <c r="C17028"/>
      <c r="J17028"/>
      <c r="K17028"/>
      <c r="L17028"/>
    </row>
    <row r="17029" spans="2:12" x14ac:dyDescent="0.2">
      <c r="B17029"/>
      <c r="C17029"/>
      <c r="J17029"/>
      <c r="K17029"/>
      <c r="L17029"/>
    </row>
    <row r="17030" spans="2:12" x14ac:dyDescent="0.2">
      <c r="B17030"/>
      <c r="C17030"/>
      <c r="J17030"/>
      <c r="K17030"/>
      <c r="L17030"/>
    </row>
    <row r="17031" spans="2:12" x14ac:dyDescent="0.2">
      <c r="B17031"/>
      <c r="C17031"/>
      <c r="J17031"/>
      <c r="K17031"/>
      <c r="L17031"/>
    </row>
    <row r="17032" spans="2:12" x14ac:dyDescent="0.2">
      <c r="B17032"/>
      <c r="C17032"/>
      <c r="J17032"/>
      <c r="K17032"/>
      <c r="L17032"/>
    </row>
    <row r="17033" spans="2:12" x14ac:dyDescent="0.2">
      <c r="B17033"/>
      <c r="C17033"/>
      <c r="J17033"/>
      <c r="K17033"/>
      <c r="L17033"/>
    </row>
    <row r="17034" spans="2:12" x14ac:dyDescent="0.2">
      <c r="B17034"/>
      <c r="C17034"/>
      <c r="J17034"/>
      <c r="K17034"/>
      <c r="L17034"/>
    </row>
    <row r="17035" spans="2:12" x14ac:dyDescent="0.2">
      <c r="B17035"/>
      <c r="C17035"/>
      <c r="J17035"/>
      <c r="K17035"/>
      <c r="L17035"/>
    </row>
    <row r="17036" spans="2:12" x14ac:dyDescent="0.2">
      <c r="B17036"/>
      <c r="C17036"/>
      <c r="J17036"/>
      <c r="K17036"/>
      <c r="L17036"/>
    </row>
    <row r="17037" spans="2:12" x14ac:dyDescent="0.2">
      <c r="B17037"/>
      <c r="C17037"/>
      <c r="J17037"/>
      <c r="K17037"/>
      <c r="L17037"/>
    </row>
    <row r="17038" spans="2:12" x14ac:dyDescent="0.2">
      <c r="B17038"/>
      <c r="C17038"/>
      <c r="J17038"/>
      <c r="K17038"/>
      <c r="L17038"/>
    </row>
    <row r="17039" spans="2:12" x14ac:dyDescent="0.2">
      <c r="B17039"/>
      <c r="C17039"/>
      <c r="J17039"/>
      <c r="K17039"/>
      <c r="L17039"/>
    </row>
    <row r="17040" spans="2:12" x14ac:dyDescent="0.2">
      <c r="B17040"/>
      <c r="C17040"/>
      <c r="J17040"/>
      <c r="K17040"/>
      <c r="L17040"/>
    </row>
    <row r="17041" spans="2:12" x14ac:dyDescent="0.2">
      <c r="B17041"/>
      <c r="C17041"/>
      <c r="J17041"/>
      <c r="K17041"/>
      <c r="L17041"/>
    </row>
    <row r="17042" spans="2:12" x14ac:dyDescent="0.2">
      <c r="B17042"/>
      <c r="C17042"/>
      <c r="J17042"/>
      <c r="K17042"/>
      <c r="L17042"/>
    </row>
    <row r="17043" spans="2:12" x14ac:dyDescent="0.2">
      <c r="B17043"/>
      <c r="C17043"/>
      <c r="J17043"/>
      <c r="K17043"/>
      <c r="L17043"/>
    </row>
    <row r="17044" spans="2:12" x14ac:dyDescent="0.2">
      <c r="B17044"/>
      <c r="C17044"/>
      <c r="J17044"/>
      <c r="K17044"/>
      <c r="L17044"/>
    </row>
    <row r="17045" spans="2:12" x14ac:dyDescent="0.2">
      <c r="B17045"/>
      <c r="C17045"/>
      <c r="J17045"/>
      <c r="K17045"/>
      <c r="L17045"/>
    </row>
    <row r="17046" spans="2:12" x14ac:dyDescent="0.2">
      <c r="B17046"/>
      <c r="C17046"/>
      <c r="J17046"/>
      <c r="K17046"/>
      <c r="L17046"/>
    </row>
    <row r="17047" spans="2:12" x14ac:dyDescent="0.2">
      <c r="B17047"/>
      <c r="C17047"/>
      <c r="J17047"/>
      <c r="K17047"/>
      <c r="L17047"/>
    </row>
    <row r="17048" spans="2:12" x14ac:dyDescent="0.2">
      <c r="B17048"/>
      <c r="C17048"/>
      <c r="J17048"/>
      <c r="K17048"/>
      <c r="L17048"/>
    </row>
    <row r="17049" spans="2:12" x14ac:dyDescent="0.2">
      <c r="B17049"/>
      <c r="C17049"/>
      <c r="J17049"/>
      <c r="K17049"/>
      <c r="L17049"/>
    </row>
    <row r="17050" spans="2:12" x14ac:dyDescent="0.2">
      <c r="B17050"/>
      <c r="C17050"/>
      <c r="J17050"/>
      <c r="K17050"/>
      <c r="L17050"/>
    </row>
    <row r="17051" spans="2:12" x14ac:dyDescent="0.2">
      <c r="B17051"/>
      <c r="C17051"/>
      <c r="J17051"/>
      <c r="K17051"/>
      <c r="L17051"/>
    </row>
    <row r="17052" spans="2:12" x14ac:dyDescent="0.2">
      <c r="B17052"/>
      <c r="C17052"/>
      <c r="J17052"/>
      <c r="K17052"/>
      <c r="L17052"/>
    </row>
    <row r="17053" spans="2:12" x14ac:dyDescent="0.2">
      <c r="B17053"/>
      <c r="C17053"/>
      <c r="J17053"/>
      <c r="K17053"/>
      <c r="L17053"/>
    </row>
    <row r="17054" spans="2:12" x14ac:dyDescent="0.2">
      <c r="B17054"/>
      <c r="C17054"/>
      <c r="J17054"/>
      <c r="K17054"/>
      <c r="L17054"/>
    </row>
    <row r="17055" spans="2:12" x14ac:dyDescent="0.2">
      <c r="B17055"/>
      <c r="C17055"/>
      <c r="J17055"/>
      <c r="K17055"/>
      <c r="L17055"/>
    </row>
    <row r="17056" spans="2:12" x14ac:dyDescent="0.2">
      <c r="B17056"/>
      <c r="C17056"/>
      <c r="J17056"/>
      <c r="K17056"/>
      <c r="L17056"/>
    </row>
    <row r="17057" spans="2:12" x14ac:dyDescent="0.2">
      <c r="B17057"/>
      <c r="C17057"/>
      <c r="J17057"/>
      <c r="K17057"/>
      <c r="L17057"/>
    </row>
    <row r="17058" spans="2:12" x14ac:dyDescent="0.2">
      <c r="B17058"/>
      <c r="C17058"/>
      <c r="J17058"/>
      <c r="K17058"/>
      <c r="L17058"/>
    </row>
    <row r="17059" spans="2:12" x14ac:dyDescent="0.2">
      <c r="B17059"/>
      <c r="C17059"/>
      <c r="J17059"/>
      <c r="K17059"/>
      <c r="L17059"/>
    </row>
    <row r="17060" spans="2:12" x14ac:dyDescent="0.2">
      <c r="B17060"/>
      <c r="C17060"/>
      <c r="J17060"/>
      <c r="K17060"/>
      <c r="L17060"/>
    </row>
    <row r="17061" spans="2:12" x14ac:dyDescent="0.2">
      <c r="B17061"/>
      <c r="C17061"/>
      <c r="J17061"/>
      <c r="K17061"/>
      <c r="L17061"/>
    </row>
    <row r="17062" spans="2:12" x14ac:dyDescent="0.2">
      <c r="B17062"/>
      <c r="C17062"/>
      <c r="J17062"/>
      <c r="K17062"/>
      <c r="L17062"/>
    </row>
    <row r="17063" spans="2:12" x14ac:dyDescent="0.2">
      <c r="B17063"/>
      <c r="C17063"/>
      <c r="J17063"/>
      <c r="K17063"/>
      <c r="L17063"/>
    </row>
    <row r="17064" spans="2:12" x14ac:dyDescent="0.2">
      <c r="B17064"/>
      <c r="C17064"/>
      <c r="J17064"/>
      <c r="K17064"/>
      <c r="L17064"/>
    </row>
    <row r="17065" spans="2:12" x14ac:dyDescent="0.2">
      <c r="B17065"/>
      <c r="C17065"/>
      <c r="J17065"/>
      <c r="K17065"/>
      <c r="L17065"/>
    </row>
    <row r="17066" spans="2:12" x14ac:dyDescent="0.2">
      <c r="B17066"/>
      <c r="C17066"/>
      <c r="J17066"/>
      <c r="K17066"/>
      <c r="L17066"/>
    </row>
    <row r="17067" spans="2:12" x14ac:dyDescent="0.2">
      <c r="B17067"/>
      <c r="C17067"/>
      <c r="J17067"/>
      <c r="K17067"/>
      <c r="L17067"/>
    </row>
    <row r="17068" spans="2:12" x14ac:dyDescent="0.2">
      <c r="B17068"/>
      <c r="C17068"/>
      <c r="J17068"/>
      <c r="K17068"/>
      <c r="L17068"/>
    </row>
    <row r="17069" spans="2:12" x14ac:dyDescent="0.2">
      <c r="B17069"/>
      <c r="C17069"/>
      <c r="J17069"/>
      <c r="K17069"/>
      <c r="L17069"/>
    </row>
    <row r="17070" spans="2:12" x14ac:dyDescent="0.2">
      <c r="B17070"/>
      <c r="C17070"/>
      <c r="J17070"/>
      <c r="K17070"/>
      <c r="L17070"/>
    </row>
    <row r="17071" spans="2:12" x14ac:dyDescent="0.2">
      <c r="B17071"/>
      <c r="C17071"/>
      <c r="J17071"/>
      <c r="K17071"/>
      <c r="L17071"/>
    </row>
    <row r="17072" spans="2:12" x14ac:dyDescent="0.2">
      <c r="B17072"/>
      <c r="C17072"/>
      <c r="J17072"/>
      <c r="K17072"/>
      <c r="L17072"/>
    </row>
    <row r="17073" spans="2:12" x14ac:dyDescent="0.2">
      <c r="B17073"/>
      <c r="C17073"/>
      <c r="J17073"/>
      <c r="K17073"/>
      <c r="L17073"/>
    </row>
    <row r="17074" spans="2:12" x14ac:dyDescent="0.2">
      <c r="B17074"/>
      <c r="C17074"/>
      <c r="J17074"/>
      <c r="K17074"/>
      <c r="L17074"/>
    </row>
    <row r="17075" spans="2:12" x14ac:dyDescent="0.2">
      <c r="B17075"/>
      <c r="C17075"/>
      <c r="J17075"/>
      <c r="K17075"/>
      <c r="L17075"/>
    </row>
    <row r="17076" spans="2:12" x14ac:dyDescent="0.2">
      <c r="B17076"/>
      <c r="C17076"/>
      <c r="J17076"/>
      <c r="K17076"/>
      <c r="L17076"/>
    </row>
    <row r="17077" spans="2:12" x14ac:dyDescent="0.2">
      <c r="B17077"/>
      <c r="C17077"/>
      <c r="J17077"/>
      <c r="K17077"/>
      <c r="L17077"/>
    </row>
    <row r="17078" spans="2:12" x14ac:dyDescent="0.2">
      <c r="B17078"/>
      <c r="C17078"/>
      <c r="J17078"/>
      <c r="K17078"/>
      <c r="L17078"/>
    </row>
    <row r="17079" spans="2:12" x14ac:dyDescent="0.2">
      <c r="B17079"/>
      <c r="C17079"/>
      <c r="J17079"/>
      <c r="K17079"/>
      <c r="L17079"/>
    </row>
    <row r="17080" spans="2:12" x14ac:dyDescent="0.2">
      <c r="B17080"/>
      <c r="C17080"/>
      <c r="J17080"/>
      <c r="K17080"/>
      <c r="L17080"/>
    </row>
    <row r="17081" spans="2:12" x14ac:dyDescent="0.2">
      <c r="B17081"/>
      <c r="C17081"/>
      <c r="J17081"/>
      <c r="K17081"/>
      <c r="L17081"/>
    </row>
    <row r="17082" spans="2:12" x14ac:dyDescent="0.2">
      <c r="B17082"/>
      <c r="C17082"/>
      <c r="J17082"/>
      <c r="K17082"/>
      <c r="L17082"/>
    </row>
    <row r="17083" spans="2:12" x14ac:dyDescent="0.2">
      <c r="B17083"/>
      <c r="C17083"/>
      <c r="J17083"/>
      <c r="K17083"/>
      <c r="L17083"/>
    </row>
    <row r="17084" spans="2:12" x14ac:dyDescent="0.2">
      <c r="B17084"/>
      <c r="C17084"/>
      <c r="J17084"/>
      <c r="K17084"/>
      <c r="L17084"/>
    </row>
    <row r="17085" spans="2:12" x14ac:dyDescent="0.2">
      <c r="B17085"/>
      <c r="C17085"/>
      <c r="J17085"/>
      <c r="K17085"/>
      <c r="L17085"/>
    </row>
    <row r="17086" spans="2:12" x14ac:dyDescent="0.2">
      <c r="B17086"/>
      <c r="C17086"/>
      <c r="J17086"/>
      <c r="K17086"/>
      <c r="L17086"/>
    </row>
    <row r="17087" spans="2:12" x14ac:dyDescent="0.2">
      <c r="B17087"/>
      <c r="C17087"/>
      <c r="J17087"/>
      <c r="K17087"/>
      <c r="L17087"/>
    </row>
    <row r="17088" spans="2:12" x14ac:dyDescent="0.2">
      <c r="B17088"/>
      <c r="C17088"/>
      <c r="J17088"/>
      <c r="K17088"/>
      <c r="L17088"/>
    </row>
    <row r="17089" spans="2:12" x14ac:dyDescent="0.2">
      <c r="B17089"/>
      <c r="C17089"/>
      <c r="J17089"/>
      <c r="K17089"/>
      <c r="L17089"/>
    </row>
    <row r="17090" spans="2:12" x14ac:dyDescent="0.2">
      <c r="B17090"/>
      <c r="C17090"/>
      <c r="J17090"/>
      <c r="K17090"/>
      <c r="L17090"/>
    </row>
    <row r="17091" spans="2:12" x14ac:dyDescent="0.2">
      <c r="B17091"/>
      <c r="C17091"/>
      <c r="J17091"/>
      <c r="K17091"/>
      <c r="L17091"/>
    </row>
    <row r="17092" spans="2:12" x14ac:dyDescent="0.2">
      <c r="B17092"/>
      <c r="C17092"/>
      <c r="J17092"/>
      <c r="K17092"/>
      <c r="L17092"/>
    </row>
    <row r="17093" spans="2:12" x14ac:dyDescent="0.2">
      <c r="B17093"/>
      <c r="C17093"/>
      <c r="J17093"/>
      <c r="K17093"/>
      <c r="L17093"/>
    </row>
    <row r="17094" spans="2:12" x14ac:dyDescent="0.2">
      <c r="B17094"/>
      <c r="C17094"/>
      <c r="J17094"/>
      <c r="K17094"/>
      <c r="L17094"/>
    </row>
    <row r="17095" spans="2:12" x14ac:dyDescent="0.2">
      <c r="B17095"/>
      <c r="C17095"/>
      <c r="J17095"/>
      <c r="K17095"/>
      <c r="L17095"/>
    </row>
    <row r="17096" spans="2:12" x14ac:dyDescent="0.2">
      <c r="B17096"/>
      <c r="C17096"/>
      <c r="J17096"/>
      <c r="K17096"/>
      <c r="L17096"/>
    </row>
    <row r="17097" spans="2:12" x14ac:dyDescent="0.2">
      <c r="B17097"/>
      <c r="C17097"/>
      <c r="J17097"/>
      <c r="K17097"/>
      <c r="L17097"/>
    </row>
    <row r="17098" spans="2:12" x14ac:dyDescent="0.2">
      <c r="B17098"/>
      <c r="C17098"/>
      <c r="J17098"/>
      <c r="K17098"/>
      <c r="L17098"/>
    </row>
    <row r="17099" spans="2:12" x14ac:dyDescent="0.2">
      <c r="B17099"/>
      <c r="C17099"/>
      <c r="J17099"/>
      <c r="K17099"/>
      <c r="L17099"/>
    </row>
    <row r="17100" spans="2:12" x14ac:dyDescent="0.2">
      <c r="B17100"/>
      <c r="C17100"/>
      <c r="J17100"/>
      <c r="K17100"/>
      <c r="L17100"/>
    </row>
    <row r="17101" spans="2:12" x14ac:dyDescent="0.2">
      <c r="B17101"/>
      <c r="C17101"/>
      <c r="J17101"/>
      <c r="K17101"/>
      <c r="L17101"/>
    </row>
    <row r="17102" spans="2:12" x14ac:dyDescent="0.2">
      <c r="B17102"/>
      <c r="C17102"/>
      <c r="J17102"/>
      <c r="K17102"/>
      <c r="L17102"/>
    </row>
    <row r="17103" spans="2:12" x14ac:dyDescent="0.2">
      <c r="B17103"/>
      <c r="C17103"/>
      <c r="J17103"/>
      <c r="K17103"/>
      <c r="L17103"/>
    </row>
    <row r="17104" spans="2:12" x14ac:dyDescent="0.2">
      <c r="B17104"/>
      <c r="C17104"/>
      <c r="J17104"/>
      <c r="K17104"/>
      <c r="L17104"/>
    </row>
    <row r="17105" spans="2:12" x14ac:dyDescent="0.2">
      <c r="B17105"/>
      <c r="C17105"/>
      <c r="J17105"/>
      <c r="K17105"/>
      <c r="L17105"/>
    </row>
    <row r="17106" spans="2:12" x14ac:dyDescent="0.2">
      <c r="B17106"/>
      <c r="C17106"/>
      <c r="J17106"/>
      <c r="K17106"/>
      <c r="L17106"/>
    </row>
    <row r="17107" spans="2:12" x14ac:dyDescent="0.2">
      <c r="B17107"/>
      <c r="C17107"/>
      <c r="J17107"/>
      <c r="K17107"/>
      <c r="L17107"/>
    </row>
    <row r="17108" spans="2:12" x14ac:dyDescent="0.2">
      <c r="B17108"/>
      <c r="C17108"/>
      <c r="J17108"/>
      <c r="K17108"/>
      <c r="L17108"/>
    </row>
    <row r="17109" spans="2:12" x14ac:dyDescent="0.2">
      <c r="B17109"/>
      <c r="C17109"/>
      <c r="J17109"/>
      <c r="K17109"/>
      <c r="L17109"/>
    </row>
    <row r="17110" spans="2:12" x14ac:dyDescent="0.2">
      <c r="B17110"/>
      <c r="C17110"/>
      <c r="J17110"/>
      <c r="K17110"/>
      <c r="L17110"/>
    </row>
    <row r="17111" spans="2:12" x14ac:dyDescent="0.2">
      <c r="B17111"/>
      <c r="C17111"/>
      <c r="J17111"/>
      <c r="K17111"/>
      <c r="L17111"/>
    </row>
    <row r="17112" spans="2:12" x14ac:dyDescent="0.2">
      <c r="B17112"/>
      <c r="C17112"/>
      <c r="J17112"/>
      <c r="K17112"/>
      <c r="L17112"/>
    </row>
    <row r="17113" spans="2:12" x14ac:dyDescent="0.2">
      <c r="B17113"/>
      <c r="C17113"/>
      <c r="J17113"/>
      <c r="K17113"/>
      <c r="L17113"/>
    </row>
    <row r="17114" spans="2:12" x14ac:dyDescent="0.2">
      <c r="B17114"/>
      <c r="C17114"/>
      <c r="J17114"/>
      <c r="K17114"/>
      <c r="L17114"/>
    </row>
    <row r="17115" spans="2:12" x14ac:dyDescent="0.2">
      <c r="B17115"/>
      <c r="C17115"/>
      <c r="J17115"/>
      <c r="K17115"/>
      <c r="L17115"/>
    </row>
    <row r="17116" spans="2:12" x14ac:dyDescent="0.2">
      <c r="B17116"/>
      <c r="C17116"/>
      <c r="J17116"/>
      <c r="K17116"/>
      <c r="L17116"/>
    </row>
    <row r="17117" spans="2:12" x14ac:dyDescent="0.2">
      <c r="B17117"/>
      <c r="C17117"/>
      <c r="J17117"/>
      <c r="K17117"/>
      <c r="L17117"/>
    </row>
    <row r="17118" spans="2:12" x14ac:dyDescent="0.2">
      <c r="B17118"/>
      <c r="C17118"/>
      <c r="J17118"/>
      <c r="K17118"/>
      <c r="L17118"/>
    </row>
    <row r="17119" spans="2:12" x14ac:dyDescent="0.2">
      <c r="B17119"/>
      <c r="C17119"/>
      <c r="J17119"/>
      <c r="K17119"/>
      <c r="L17119"/>
    </row>
    <row r="17120" spans="2:12" x14ac:dyDescent="0.2">
      <c r="B17120"/>
      <c r="C17120"/>
      <c r="J17120"/>
      <c r="K17120"/>
      <c r="L17120"/>
    </row>
    <row r="17121" spans="2:12" x14ac:dyDescent="0.2">
      <c r="B17121"/>
      <c r="C17121"/>
      <c r="J17121"/>
      <c r="K17121"/>
      <c r="L17121"/>
    </row>
    <row r="17122" spans="2:12" x14ac:dyDescent="0.2">
      <c r="B17122"/>
      <c r="C17122"/>
      <c r="J17122"/>
      <c r="K17122"/>
      <c r="L17122"/>
    </row>
    <row r="17123" spans="2:12" x14ac:dyDescent="0.2">
      <c r="B17123"/>
      <c r="C17123"/>
      <c r="J17123"/>
      <c r="K17123"/>
      <c r="L17123"/>
    </row>
    <row r="17124" spans="2:12" x14ac:dyDescent="0.2">
      <c r="B17124"/>
      <c r="C17124"/>
      <c r="J17124"/>
      <c r="K17124"/>
      <c r="L17124"/>
    </row>
    <row r="17125" spans="2:12" x14ac:dyDescent="0.2">
      <c r="B17125"/>
      <c r="C17125"/>
      <c r="J17125"/>
      <c r="K17125"/>
      <c r="L17125"/>
    </row>
    <row r="17126" spans="2:12" x14ac:dyDescent="0.2">
      <c r="B17126"/>
      <c r="C17126"/>
      <c r="J17126"/>
      <c r="K17126"/>
      <c r="L17126"/>
    </row>
    <row r="17127" spans="2:12" x14ac:dyDescent="0.2">
      <c r="B17127"/>
      <c r="C17127"/>
      <c r="J17127"/>
      <c r="K17127"/>
      <c r="L17127"/>
    </row>
    <row r="17128" spans="2:12" x14ac:dyDescent="0.2">
      <c r="B17128"/>
      <c r="C17128"/>
      <c r="J17128"/>
      <c r="K17128"/>
      <c r="L17128"/>
    </row>
    <row r="17129" spans="2:12" x14ac:dyDescent="0.2">
      <c r="B17129"/>
      <c r="C17129"/>
      <c r="J17129"/>
      <c r="K17129"/>
      <c r="L17129"/>
    </row>
    <row r="17130" spans="2:12" x14ac:dyDescent="0.2">
      <c r="B17130"/>
      <c r="C17130"/>
      <c r="J17130"/>
      <c r="K17130"/>
      <c r="L17130"/>
    </row>
    <row r="17131" spans="2:12" x14ac:dyDescent="0.2">
      <c r="B17131"/>
      <c r="C17131"/>
      <c r="J17131"/>
      <c r="K17131"/>
      <c r="L17131"/>
    </row>
    <row r="17132" spans="2:12" x14ac:dyDescent="0.2">
      <c r="B17132"/>
      <c r="C17132"/>
      <c r="J17132"/>
      <c r="K17132"/>
      <c r="L17132"/>
    </row>
    <row r="17133" spans="2:12" x14ac:dyDescent="0.2">
      <c r="B17133"/>
      <c r="C17133"/>
      <c r="J17133"/>
      <c r="K17133"/>
      <c r="L17133"/>
    </row>
    <row r="17134" spans="2:12" x14ac:dyDescent="0.2">
      <c r="B17134"/>
      <c r="C17134"/>
      <c r="J17134"/>
      <c r="K17134"/>
      <c r="L17134"/>
    </row>
    <row r="17135" spans="2:12" x14ac:dyDescent="0.2">
      <c r="B17135"/>
      <c r="C17135"/>
      <c r="J17135"/>
      <c r="K17135"/>
      <c r="L17135"/>
    </row>
    <row r="17136" spans="2:12" x14ac:dyDescent="0.2">
      <c r="B17136"/>
      <c r="C17136"/>
      <c r="J17136"/>
      <c r="K17136"/>
      <c r="L17136"/>
    </row>
    <row r="17137" spans="2:12" x14ac:dyDescent="0.2">
      <c r="B17137"/>
      <c r="C17137"/>
      <c r="J17137"/>
      <c r="K17137"/>
      <c r="L17137"/>
    </row>
    <row r="17138" spans="2:12" x14ac:dyDescent="0.2">
      <c r="B17138"/>
      <c r="C17138"/>
      <c r="J17138"/>
      <c r="K17138"/>
      <c r="L17138"/>
    </row>
    <row r="17139" spans="2:12" x14ac:dyDescent="0.2">
      <c r="B17139"/>
      <c r="C17139"/>
      <c r="J17139"/>
      <c r="K17139"/>
      <c r="L17139"/>
    </row>
    <row r="17140" spans="2:12" x14ac:dyDescent="0.2">
      <c r="B17140"/>
      <c r="C17140"/>
      <c r="J17140"/>
      <c r="K17140"/>
      <c r="L17140"/>
    </row>
    <row r="17141" spans="2:12" x14ac:dyDescent="0.2">
      <c r="B17141"/>
      <c r="C17141"/>
      <c r="J17141"/>
      <c r="K17141"/>
      <c r="L17141"/>
    </row>
    <row r="17142" spans="2:12" x14ac:dyDescent="0.2">
      <c r="B17142"/>
      <c r="C17142"/>
      <c r="J17142"/>
      <c r="K17142"/>
      <c r="L17142"/>
    </row>
    <row r="17143" spans="2:12" x14ac:dyDescent="0.2">
      <c r="B17143"/>
      <c r="C17143"/>
      <c r="J17143"/>
      <c r="K17143"/>
      <c r="L17143"/>
    </row>
    <row r="17144" spans="2:12" x14ac:dyDescent="0.2">
      <c r="B17144"/>
      <c r="C17144"/>
      <c r="J17144"/>
      <c r="K17144"/>
      <c r="L17144"/>
    </row>
    <row r="17145" spans="2:12" x14ac:dyDescent="0.2">
      <c r="B17145"/>
      <c r="C17145"/>
      <c r="J17145"/>
      <c r="K17145"/>
      <c r="L17145"/>
    </row>
    <row r="17146" spans="2:12" x14ac:dyDescent="0.2">
      <c r="B17146"/>
      <c r="C17146"/>
      <c r="J17146"/>
      <c r="K17146"/>
      <c r="L17146"/>
    </row>
    <row r="17147" spans="2:12" x14ac:dyDescent="0.2">
      <c r="B17147"/>
      <c r="C17147"/>
      <c r="J17147"/>
      <c r="K17147"/>
      <c r="L17147"/>
    </row>
    <row r="17148" spans="2:12" x14ac:dyDescent="0.2">
      <c r="B17148"/>
      <c r="C17148"/>
      <c r="J17148"/>
      <c r="K17148"/>
      <c r="L17148"/>
    </row>
    <row r="17149" spans="2:12" x14ac:dyDescent="0.2">
      <c r="B17149"/>
      <c r="C17149"/>
      <c r="J17149"/>
      <c r="K17149"/>
      <c r="L17149"/>
    </row>
    <row r="17150" spans="2:12" x14ac:dyDescent="0.2">
      <c r="B17150"/>
      <c r="C17150"/>
      <c r="J17150"/>
      <c r="K17150"/>
      <c r="L17150"/>
    </row>
    <row r="17151" spans="2:12" x14ac:dyDescent="0.2">
      <c r="B17151"/>
      <c r="C17151"/>
      <c r="J17151"/>
      <c r="K17151"/>
      <c r="L17151"/>
    </row>
    <row r="17152" spans="2:12" x14ac:dyDescent="0.2">
      <c r="B17152"/>
      <c r="C17152"/>
      <c r="J17152"/>
      <c r="K17152"/>
      <c r="L17152"/>
    </row>
    <row r="17153" spans="2:12" x14ac:dyDescent="0.2">
      <c r="B17153"/>
      <c r="C17153"/>
      <c r="J17153"/>
      <c r="K17153"/>
      <c r="L17153"/>
    </row>
    <row r="17154" spans="2:12" x14ac:dyDescent="0.2">
      <c r="B17154"/>
      <c r="C17154"/>
      <c r="J17154"/>
      <c r="K17154"/>
      <c r="L17154"/>
    </row>
    <row r="17155" spans="2:12" x14ac:dyDescent="0.2">
      <c r="B17155"/>
      <c r="C17155"/>
      <c r="J17155"/>
      <c r="K17155"/>
      <c r="L17155"/>
    </row>
    <row r="17156" spans="2:12" x14ac:dyDescent="0.2">
      <c r="B17156"/>
      <c r="C17156"/>
      <c r="J17156"/>
      <c r="K17156"/>
      <c r="L17156"/>
    </row>
    <row r="17157" spans="2:12" x14ac:dyDescent="0.2">
      <c r="B17157"/>
      <c r="C17157"/>
      <c r="J17157"/>
      <c r="K17157"/>
      <c r="L17157"/>
    </row>
    <row r="17158" spans="2:12" x14ac:dyDescent="0.2">
      <c r="B17158"/>
      <c r="C17158"/>
      <c r="J17158"/>
      <c r="K17158"/>
      <c r="L17158"/>
    </row>
    <row r="17159" spans="2:12" x14ac:dyDescent="0.2">
      <c r="B17159"/>
      <c r="C17159"/>
      <c r="J17159"/>
      <c r="K17159"/>
      <c r="L17159"/>
    </row>
    <row r="17160" spans="2:12" x14ac:dyDescent="0.2">
      <c r="B17160"/>
      <c r="C17160"/>
      <c r="J17160"/>
      <c r="K17160"/>
      <c r="L17160"/>
    </row>
    <row r="17161" spans="2:12" x14ac:dyDescent="0.2">
      <c r="B17161"/>
      <c r="C17161"/>
      <c r="J17161"/>
      <c r="K17161"/>
      <c r="L17161"/>
    </row>
    <row r="17162" spans="2:12" x14ac:dyDescent="0.2">
      <c r="B17162"/>
      <c r="C17162"/>
      <c r="J17162"/>
      <c r="K17162"/>
      <c r="L17162"/>
    </row>
    <row r="17163" spans="2:12" x14ac:dyDescent="0.2">
      <c r="B17163"/>
      <c r="C17163"/>
      <c r="J17163"/>
      <c r="K17163"/>
      <c r="L17163"/>
    </row>
    <row r="17164" spans="2:12" x14ac:dyDescent="0.2">
      <c r="B17164"/>
      <c r="C17164"/>
      <c r="J17164"/>
      <c r="K17164"/>
      <c r="L17164"/>
    </row>
    <row r="17165" spans="2:12" x14ac:dyDescent="0.2">
      <c r="B17165"/>
      <c r="C17165"/>
      <c r="J17165"/>
      <c r="K17165"/>
      <c r="L17165"/>
    </row>
    <row r="17166" spans="2:12" x14ac:dyDescent="0.2">
      <c r="B17166"/>
      <c r="C17166"/>
      <c r="J17166"/>
      <c r="K17166"/>
      <c r="L17166"/>
    </row>
    <row r="17167" spans="2:12" x14ac:dyDescent="0.2">
      <c r="B17167"/>
      <c r="C17167"/>
      <c r="J17167"/>
      <c r="K17167"/>
      <c r="L17167"/>
    </row>
    <row r="17168" spans="2:12" x14ac:dyDescent="0.2">
      <c r="B17168"/>
      <c r="C17168"/>
      <c r="J17168"/>
      <c r="K17168"/>
      <c r="L17168"/>
    </row>
    <row r="17169" spans="2:12" x14ac:dyDescent="0.2">
      <c r="B17169"/>
      <c r="C17169"/>
      <c r="J17169"/>
      <c r="K17169"/>
      <c r="L17169"/>
    </row>
    <row r="17170" spans="2:12" x14ac:dyDescent="0.2">
      <c r="B17170"/>
      <c r="C17170"/>
      <c r="J17170"/>
      <c r="K17170"/>
      <c r="L17170"/>
    </row>
    <row r="17171" spans="2:12" x14ac:dyDescent="0.2">
      <c r="B17171"/>
      <c r="C17171"/>
      <c r="J17171"/>
      <c r="K17171"/>
      <c r="L17171"/>
    </row>
    <row r="17172" spans="2:12" x14ac:dyDescent="0.2">
      <c r="B17172"/>
      <c r="C17172"/>
      <c r="J17172"/>
      <c r="K17172"/>
      <c r="L17172"/>
    </row>
    <row r="17173" spans="2:12" x14ac:dyDescent="0.2">
      <c r="B17173"/>
      <c r="C17173"/>
      <c r="J17173"/>
      <c r="K17173"/>
      <c r="L17173"/>
    </row>
    <row r="17174" spans="2:12" x14ac:dyDescent="0.2">
      <c r="B17174"/>
      <c r="C17174"/>
      <c r="J17174"/>
      <c r="K17174"/>
      <c r="L17174"/>
    </row>
    <row r="17175" spans="2:12" x14ac:dyDescent="0.2">
      <c r="B17175"/>
      <c r="C17175"/>
      <c r="J17175"/>
      <c r="K17175"/>
      <c r="L17175"/>
    </row>
    <row r="17176" spans="2:12" x14ac:dyDescent="0.2">
      <c r="B17176"/>
      <c r="C17176"/>
      <c r="J17176"/>
      <c r="K17176"/>
      <c r="L17176"/>
    </row>
    <row r="17177" spans="2:12" x14ac:dyDescent="0.2">
      <c r="B17177"/>
      <c r="C17177"/>
      <c r="J17177"/>
      <c r="K17177"/>
      <c r="L17177"/>
    </row>
    <row r="17178" spans="2:12" x14ac:dyDescent="0.2">
      <c r="B17178"/>
      <c r="C17178"/>
      <c r="J17178"/>
      <c r="K17178"/>
      <c r="L17178"/>
    </row>
    <row r="17179" spans="2:12" x14ac:dyDescent="0.2">
      <c r="B17179"/>
      <c r="C17179"/>
      <c r="J17179"/>
      <c r="K17179"/>
      <c r="L17179"/>
    </row>
    <row r="17180" spans="2:12" x14ac:dyDescent="0.2">
      <c r="B17180"/>
      <c r="C17180"/>
      <c r="J17180"/>
      <c r="K17180"/>
      <c r="L17180"/>
    </row>
    <row r="17181" spans="2:12" x14ac:dyDescent="0.2">
      <c r="B17181"/>
      <c r="C17181"/>
      <c r="J17181"/>
      <c r="K17181"/>
      <c r="L17181"/>
    </row>
    <row r="17182" spans="2:12" x14ac:dyDescent="0.2">
      <c r="B17182"/>
      <c r="C17182"/>
      <c r="J17182"/>
      <c r="K17182"/>
      <c r="L17182"/>
    </row>
    <row r="17183" spans="2:12" x14ac:dyDescent="0.2">
      <c r="B17183"/>
      <c r="C17183"/>
      <c r="J17183"/>
      <c r="K17183"/>
      <c r="L17183"/>
    </row>
    <row r="17184" spans="2:12" x14ac:dyDescent="0.2">
      <c r="B17184"/>
      <c r="C17184"/>
      <c r="J17184"/>
      <c r="K17184"/>
      <c r="L17184"/>
    </row>
    <row r="17185" spans="2:12" x14ac:dyDescent="0.2">
      <c r="B17185"/>
      <c r="C17185"/>
      <c r="J17185"/>
      <c r="K17185"/>
      <c r="L17185"/>
    </row>
    <row r="17186" spans="2:12" x14ac:dyDescent="0.2">
      <c r="B17186"/>
      <c r="C17186"/>
      <c r="J17186"/>
      <c r="K17186"/>
      <c r="L17186"/>
    </row>
    <row r="17187" spans="2:12" x14ac:dyDescent="0.2">
      <c r="B17187"/>
      <c r="C17187"/>
      <c r="J17187"/>
      <c r="K17187"/>
      <c r="L17187"/>
    </row>
    <row r="17188" spans="2:12" x14ac:dyDescent="0.2">
      <c r="B17188"/>
      <c r="C17188"/>
      <c r="J17188"/>
      <c r="K17188"/>
      <c r="L17188"/>
    </row>
    <row r="17189" spans="2:12" x14ac:dyDescent="0.2">
      <c r="B17189"/>
      <c r="C17189"/>
      <c r="J17189"/>
      <c r="K17189"/>
      <c r="L17189"/>
    </row>
    <row r="17190" spans="2:12" x14ac:dyDescent="0.2">
      <c r="B17190"/>
      <c r="C17190"/>
      <c r="J17190"/>
      <c r="K17190"/>
      <c r="L17190"/>
    </row>
    <row r="17191" spans="2:12" x14ac:dyDescent="0.2">
      <c r="B17191"/>
      <c r="C17191"/>
      <c r="J17191"/>
      <c r="K17191"/>
      <c r="L17191"/>
    </row>
    <row r="17192" spans="2:12" x14ac:dyDescent="0.2">
      <c r="B17192"/>
      <c r="C17192"/>
      <c r="J17192"/>
      <c r="K17192"/>
      <c r="L17192"/>
    </row>
    <row r="17193" spans="2:12" x14ac:dyDescent="0.2">
      <c r="B17193"/>
      <c r="C17193"/>
      <c r="J17193"/>
      <c r="K17193"/>
      <c r="L17193"/>
    </row>
    <row r="17194" spans="2:12" x14ac:dyDescent="0.2">
      <c r="B17194"/>
      <c r="C17194"/>
      <c r="J17194"/>
      <c r="K17194"/>
      <c r="L17194"/>
    </row>
    <row r="17195" spans="2:12" x14ac:dyDescent="0.2">
      <c r="B17195"/>
      <c r="C17195"/>
      <c r="J17195"/>
      <c r="K17195"/>
      <c r="L17195"/>
    </row>
    <row r="17196" spans="2:12" x14ac:dyDescent="0.2">
      <c r="B17196"/>
      <c r="C17196"/>
      <c r="J17196"/>
      <c r="K17196"/>
      <c r="L17196"/>
    </row>
    <row r="17197" spans="2:12" x14ac:dyDescent="0.2">
      <c r="B17197"/>
      <c r="C17197"/>
      <c r="J17197"/>
      <c r="K17197"/>
      <c r="L17197"/>
    </row>
    <row r="17198" spans="2:12" x14ac:dyDescent="0.2">
      <c r="B17198"/>
      <c r="C17198"/>
      <c r="J17198"/>
      <c r="K17198"/>
      <c r="L17198"/>
    </row>
    <row r="17199" spans="2:12" x14ac:dyDescent="0.2">
      <c r="B17199"/>
      <c r="C17199"/>
      <c r="J17199"/>
      <c r="K17199"/>
      <c r="L17199"/>
    </row>
    <row r="17200" spans="2:12" x14ac:dyDescent="0.2">
      <c r="B17200"/>
      <c r="C17200"/>
      <c r="J17200"/>
      <c r="K17200"/>
      <c r="L17200"/>
    </row>
    <row r="17201" spans="2:12" x14ac:dyDescent="0.2">
      <c r="B17201"/>
      <c r="C17201"/>
      <c r="J17201"/>
      <c r="K17201"/>
      <c r="L17201"/>
    </row>
    <row r="17202" spans="2:12" x14ac:dyDescent="0.2">
      <c r="B17202"/>
      <c r="C17202"/>
      <c r="J17202"/>
      <c r="K17202"/>
      <c r="L17202"/>
    </row>
    <row r="17203" spans="2:12" x14ac:dyDescent="0.2">
      <c r="B17203"/>
      <c r="C17203"/>
      <c r="J17203"/>
      <c r="K17203"/>
      <c r="L17203"/>
    </row>
    <row r="17204" spans="2:12" x14ac:dyDescent="0.2">
      <c r="B17204"/>
      <c r="C17204"/>
      <c r="J17204"/>
      <c r="K17204"/>
      <c r="L17204"/>
    </row>
    <row r="17205" spans="2:12" x14ac:dyDescent="0.2">
      <c r="B17205"/>
      <c r="C17205"/>
      <c r="J17205"/>
      <c r="K17205"/>
      <c r="L17205"/>
    </row>
    <row r="17206" spans="2:12" x14ac:dyDescent="0.2">
      <c r="B17206"/>
      <c r="C17206"/>
      <c r="J17206"/>
      <c r="K17206"/>
      <c r="L17206"/>
    </row>
    <row r="17207" spans="2:12" x14ac:dyDescent="0.2">
      <c r="B17207"/>
      <c r="C17207"/>
      <c r="J17207"/>
      <c r="K17207"/>
      <c r="L17207"/>
    </row>
    <row r="17208" spans="2:12" x14ac:dyDescent="0.2">
      <c r="B17208"/>
      <c r="C17208"/>
      <c r="J17208"/>
      <c r="K17208"/>
      <c r="L17208"/>
    </row>
    <row r="17209" spans="2:12" x14ac:dyDescent="0.2">
      <c r="B17209"/>
      <c r="C17209"/>
      <c r="J17209"/>
      <c r="K17209"/>
      <c r="L17209"/>
    </row>
    <row r="17210" spans="2:12" x14ac:dyDescent="0.2">
      <c r="B17210"/>
      <c r="C17210"/>
      <c r="J17210"/>
      <c r="K17210"/>
      <c r="L17210"/>
    </row>
    <row r="17211" spans="2:12" x14ac:dyDescent="0.2">
      <c r="B17211"/>
      <c r="C17211"/>
      <c r="J17211"/>
      <c r="K17211"/>
      <c r="L17211"/>
    </row>
    <row r="17212" spans="2:12" x14ac:dyDescent="0.2">
      <c r="B17212"/>
      <c r="C17212"/>
      <c r="J17212"/>
      <c r="K17212"/>
      <c r="L17212"/>
    </row>
    <row r="17213" spans="2:12" x14ac:dyDescent="0.2">
      <c r="B17213"/>
      <c r="C17213"/>
      <c r="J17213"/>
      <c r="K17213"/>
      <c r="L17213"/>
    </row>
    <row r="17214" spans="2:12" x14ac:dyDescent="0.2">
      <c r="B17214"/>
      <c r="C17214"/>
      <c r="J17214"/>
      <c r="K17214"/>
      <c r="L17214"/>
    </row>
    <row r="17215" spans="2:12" x14ac:dyDescent="0.2">
      <c r="B17215"/>
      <c r="C17215"/>
      <c r="J17215"/>
      <c r="K17215"/>
      <c r="L17215"/>
    </row>
    <row r="17216" spans="2:12" x14ac:dyDescent="0.2">
      <c r="B17216"/>
      <c r="C17216"/>
      <c r="J17216"/>
      <c r="K17216"/>
      <c r="L17216"/>
    </row>
    <row r="17217" spans="2:12" x14ac:dyDescent="0.2">
      <c r="B17217"/>
      <c r="C17217"/>
      <c r="J17217"/>
      <c r="K17217"/>
      <c r="L17217"/>
    </row>
    <row r="17218" spans="2:12" x14ac:dyDescent="0.2">
      <c r="B17218"/>
      <c r="C17218"/>
      <c r="J17218"/>
      <c r="K17218"/>
      <c r="L17218"/>
    </row>
    <row r="17219" spans="2:12" x14ac:dyDescent="0.2">
      <c r="B17219"/>
      <c r="C17219"/>
      <c r="J17219"/>
      <c r="K17219"/>
      <c r="L17219"/>
    </row>
    <row r="17220" spans="2:12" x14ac:dyDescent="0.2">
      <c r="B17220"/>
      <c r="C17220"/>
      <c r="J17220"/>
      <c r="K17220"/>
      <c r="L17220"/>
    </row>
    <row r="17221" spans="2:12" x14ac:dyDescent="0.2">
      <c r="B17221"/>
      <c r="C17221"/>
      <c r="J17221"/>
      <c r="K17221"/>
      <c r="L17221"/>
    </row>
    <row r="17222" spans="2:12" x14ac:dyDescent="0.2">
      <c r="B17222"/>
      <c r="C17222"/>
      <c r="J17222"/>
      <c r="K17222"/>
      <c r="L17222"/>
    </row>
    <row r="17223" spans="2:12" x14ac:dyDescent="0.2">
      <c r="B17223"/>
      <c r="C17223"/>
      <c r="J17223"/>
      <c r="K17223"/>
      <c r="L17223"/>
    </row>
    <row r="17224" spans="2:12" x14ac:dyDescent="0.2">
      <c r="B17224"/>
      <c r="C17224"/>
      <c r="J17224"/>
      <c r="K17224"/>
      <c r="L17224"/>
    </row>
    <row r="17225" spans="2:12" x14ac:dyDescent="0.2">
      <c r="B17225"/>
      <c r="C17225"/>
      <c r="J17225"/>
      <c r="K17225"/>
      <c r="L17225"/>
    </row>
    <row r="17226" spans="2:12" x14ac:dyDescent="0.2">
      <c r="B17226"/>
      <c r="C17226"/>
      <c r="J17226"/>
      <c r="K17226"/>
      <c r="L17226"/>
    </row>
    <row r="17227" spans="2:12" x14ac:dyDescent="0.2">
      <c r="B17227"/>
      <c r="C17227"/>
      <c r="J17227"/>
      <c r="K17227"/>
      <c r="L17227"/>
    </row>
    <row r="17228" spans="2:12" x14ac:dyDescent="0.2">
      <c r="B17228"/>
      <c r="C17228"/>
      <c r="J17228"/>
      <c r="K17228"/>
      <c r="L17228"/>
    </row>
    <row r="17229" spans="2:12" x14ac:dyDescent="0.2">
      <c r="B17229"/>
      <c r="C17229"/>
      <c r="J17229"/>
      <c r="K17229"/>
      <c r="L17229"/>
    </row>
    <row r="17230" spans="2:12" x14ac:dyDescent="0.2">
      <c r="B17230"/>
      <c r="C17230"/>
      <c r="J17230"/>
      <c r="K17230"/>
      <c r="L17230"/>
    </row>
    <row r="17231" spans="2:12" x14ac:dyDescent="0.2">
      <c r="B17231"/>
      <c r="C17231"/>
      <c r="J17231"/>
      <c r="K17231"/>
      <c r="L17231"/>
    </row>
    <row r="17232" spans="2:12" x14ac:dyDescent="0.2">
      <c r="B17232"/>
      <c r="C17232"/>
      <c r="J17232"/>
      <c r="K17232"/>
      <c r="L17232"/>
    </row>
    <row r="17233" spans="2:12" x14ac:dyDescent="0.2">
      <c r="B17233"/>
      <c r="C17233"/>
      <c r="J17233"/>
      <c r="K17233"/>
      <c r="L17233"/>
    </row>
    <row r="17234" spans="2:12" x14ac:dyDescent="0.2">
      <c r="B17234"/>
      <c r="C17234"/>
      <c r="J17234"/>
      <c r="K17234"/>
      <c r="L17234"/>
    </row>
    <row r="17235" spans="2:12" x14ac:dyDescent="0.2">
      <c r="B17235"/>
      <c r="C17235"/>
      <c r="J17235"/>
      <c r="K17235"/>
      <c r="L17235"/>
    </row>
    <row r="17236" spans="2:12" x14ac:dyDescent="0.2">
      <c r="B17236"/>
      <c r="C17236"/>
      <c r="J17236"/>
      <c r="K17236"/>
      <c r="L17236"/>
    </row>
    <row r="17237" spans="2:12" x14ac:dyDescent="0.2">
      <c r="B17237"/>
      <c r="C17237"/>
      <c r="J17237"/>
      <c r="K17237"/>
      <c r="L17237"/>
    </row>
    <row r="17238" spans="2:12" x14ac:dyDescent="0.2">
      <c r="B17238"/>
      <c r="C17238"/>
      <c r="J17238"/>
      <c r="K17238"/>
      <c r="L17238"/>
    </row>
    <row r="17239" spans="2:12" x14ac:dyDescent="0.2">
      <c r="B17239"/>
      <c r="C17239"/>
      <c r="J17239"/>
      <c r="K17239"/>
      <c r="L17239"/>
    </row>
    <row r="17240" spans="2:12" x14ac:dyDescent="0.2">
      <c r="B17240"/>
      <c r="C17240"/>
      <c r="J17240"/>
      <c r="K17240"/>
      <c r="L17240"/>
    </row>
    <row r="17241" spans="2:12" x14ac:dyDescent="0.2">
      <c r="B17241"/>
      <c r="C17241"/>
      <c r="J17241"/>
      <c r="K17241"/>
      <c r="L17241"/>
    </row>
    <row r="17242" spans="2:12" x14ac:dyDescent="0.2">
      <c r="B17242"/>
      <c r="C17242"/>
      <c r="J17242"/>
      <c r="K17242"/>
      <c r="L17242"/>
    </row>
    <row r="17243" spans="2:12" x14ac:dyDescent="0.2">
      <c r="B17243"/>
      <c r="C17243"/>
      <c r="J17243"/>
      <c r="K17243"/>
      <c r="L17243"/>
    </row>
    <row r="17244" spans="2:12" x14ac:dyDescent="0.2">
      <c r="B17244"/>
      <c r="C17244"/>
      <c r="J17244"/>
      <c r="K17244"/>
      <c r="L17244"/>
    </row>
    <row r="17245" spans="2:12" x14ac:dyDescent="0.2">
      <c r="B17245"/>
      <c r="C17245"/>
      <c r="J17245"/>
      <c r="K17245"/>
      <c r="L17245"/>
    </row>
    <row r="17246" spans="2:12" x14ac:dyDescent="0.2">
      <c r="B17246"/>
      <c r="C17246"/>
      <c r="J17246"/>
      <c r="K17246"/>
      <c r="L17246"/>
    </row>
    <row r="17247" spans="2:12" x14ac:dyDescent="0.2">
      <c r="B17247"/>
      <c r="C17247"/>
      <c r="J17247"/>
      <c r="K17247"/>
      <c r="L17247"/>
    </row>
    <row r="17248" spans="2:12" x14ac:dyDescent="0.2">
      <c r="B17248"/>
      <c r="C17248"/>
      <c r="J17248"/>
      <c r="K17248"/>
      <c r="L17248"/>
    </row>
    <row r="17249" spans="2:12" x14ac:dyDescent="0.2">
      <c r="B17249"/>
      <c r="C17249"/>
      <c r="J17249"/>
      <c r="K17249"/>
      <c r="L17249"/>
    </row>
    <row r="17250" spans="2:12" x14ac:dyDescent="0.2">
      <c r="B17250"/>
      <c r="C17250"/>
      <c r="J17250"/>
      <c r="K17250"/>
      <c r="L17250"/>
    </row>
    <row r="17251" spans="2:12" x14ac:dyDescent="0.2">
      <c r="B17251"/>
      <c r="C17251"/>
      <c r="J17251"/>
      <c r="K17251"/>
      <c r="L17251"/>
    </row>
    <row r="17252" spans="2:12" x14ac:dyDescent="0.2">
      <c r="B17252"/>
      <c r="C17252"/>
      <c r="J17252"/>
      <c r="K17252"/>
      <c r="L17252"/>
    </row>
    <row r="17253" spans="2:12" x14ac:dyDescent="0.2">
      <c r="B17253"/>
      <c r="C17253"/>
      <c r="J17253"/>
      <c r="K17253"/>
      <c r="L17253"/>
    </row>
    <row r="17254" spans="2:12" x14ac:dyDescent="0.2">
      <c r="B17254"/>
      <c r="C17254"/>
      <c r="J17254"/>
      <c r="K17254"/>
      <c r="L17254"/>
    </row>
    <row r="17255" spans="2:12" x14ac:dyDescent="0.2">
      <c r="B17255"/>
      <c r="C17255"/>
      <c r="J17255"/>
      <c r="K17255"/>
      <c r="L17255"/>
    </row>
    <row r="17256" spans="2:12" x14ac:dyDescent="0.2">
      <c r="B17256"/>
      <c r="C17256"/>
      <c r="J17256"/>
      <c r="K17256"/>
      <c r="L17256"/>
    </row>
    <row r="17257" spans="2:12" x14ac:dyDescent="0.2">
      <c r="B17257"/>
      <c r="C17257"/>
      <c r="J17257"/>
      <c r="K17257"/>
      <c r="L17257"/>
    </row>
    <row r="17258" spans="2:12" x14ac:dyDescent="0.2">
      <c r="B17258"/>
      <c r="C17258"/>
      <c r="J17258"/>
      <c r="K17258"/>
      <c r="L17258"/>
    </row>
    <row r="17259" spans="2:12" x14ac:dyDescent="0.2">
      <c r="B17259"/>
      <c r="C17259"/>
      <c r="J17259"/>
      <c r="K17259"/>
      <c r="L17259"/>
    </row>
    <row r="17260" spans="2:12" x14ac:dyDescent="0.2">
      <c r="B17260"/>
      <c r="C17260"/>
      <c r="J17260"/>
      <c r="K17260"/>
      <c r="L17260"/>
    </row>
    <row r="17261" spans="2:12" x14ac:dyDescent="0.2">
      <c r="B17261"/>
      <c r="C17261"/>
      <c r="J17261"/>
      <c r="K17261"/>
      <c r="L17261"/>
    </row>
    <row r="17262" spans="2:12" x14ac:dyDescent="0.2">
      <c r="B17262"/>
      <c r="C17262"/>
      <c r="J17262"/>
      <c r="K17262"/>
      <c r="L17262"/>
    </row>
    <row r="17263" spans="2:12" x14ac:dyDescent="0.2">
      <c r="B17263"/>
      <c r="C17263"/>
      <c r="J17263"/>
      <c r="K17263"/>
      <c r="L17263"/>
    </row>
    <row r="17264" spans="2:12" x14ac:dyDescent="0.2">
      <c r="B17264"/>
      <c r="C17264"/>
      <c r="J17264"/>
      <c r="K17264"/>
      <c r="L17264"/>
    </row>
    <row r="17265" spans="2:12" x14ac:dyDescent="0.2">
      <c r="B17265"/>
      <c r="C17265"/>
      <c r="J17265"/>
      <c r="K17265"/>
      <c r="L17265"/>
    </row>
    <row r="17266" spans="2:12" x14ac:dyDescent="0.2">
      <c r="B17266"/>
      <c r="C17266"/>
      <c r="J17266"/>
      <c r="K17266"/>
      <c r="L17266"/>
    </row>
    <row r="17267" spans="2:12" x14ac:dyDescent="0.2">
      <c r="B17267"/>
      <c r="C17267"/>
      <c r="J17267"/>
      <c r="K17267"/>
      <c r="L17267"/>
    </row>
    <row r="17268" spans="2:12" x14ac:dyDescent="0.2">
      <c r="B17268"/>
      <c r="C17268"/>
      <c r="J17268"/>
      <c r="K17268"/>
      <c r="L17268"/>
    </row>
    <row r="17269" spans="2:12" x14ac:dyDescent="0.2">
      <c r="B17269"/>
      <c r="C17269"/>
      <c r="J17269"/>
      <c r="K17269"/>
      <c r="L17269"/>
    </row>
    <row r="17270" spans="2:12" x14ac:dyDescent="0.2">
      <c r="B17270"/>
      <c r="C17270"/>
      <c r="J17270"/>
      <c r="K17270"/>
      <c r="L17270"/>
    </row>
    <row r="17271" spans="2:12" x14ac:dyDescent="0.2">
      <c r="B17271"/>
      <c r="C17271"/>
      <c r="J17271"/>
      <c r="K17271"/>
      <c r="L17271"/>
    </row>
    <row r="17272" spans="2:12" x14ac:dyDescent="0.2">
      <c r="B17272"/>
      <c r="C17272"/>
      <c r="J17272"/>
      <c r="K17272"/>
      <c r="L17272"/>
    </row>
    <row r="17273" spans="2:12" x14ac:dyDescent="0.2">
      <c r="B17273"/>
      <c r="C17273"/>
      <c r="J17273"/>
      <c r="K17273"/>
      <c r="L17273"/>
    </row>
    <row r="17274" spans="2:12" x14ac:dyDescent="0.2">
      <c r="B17274"/>
      <c r="C17274"/>
      <c r="J17274"/>
      <c r="K17274"/>
      <c r="L17274"/>
    </row>
    <row r="17275" spans="2:12" x14ac:dyDescent="0.2">
      <c r="B17275"/>
      <c r="C17275"/>
      <c r="J17275"/>
      <c r="K17275"/>
      <c r="L17275"/>
    </row>
    <row r="17276" spans="2:12" x14ac:dyDescent="0.2">
      <c r="B17276"/>
      <c r="C17276"/>
      <c r="J17276"/>
      <c r="K17276"/>
      <c r="L17276"/>
    </row>
    <row r="17277" spans="2:12" x14ac:dyDescent="0.2">
      <c r="B17277"/>
      <c r="C17277"/>
      <c r="J17277"/>
      <c r="K17277"/>
      <c r="L17277"/>
    </row>
    <row r="17278" spans="2:12" x14ac:dyDescent="0.2">
      <c r="B17278"/>
      <c r="C17278"/>
      <c r="J17278"/>
      <c r="K17278"/>
      <c r="L17278"/>
    </row>
    <row r="17279" spans="2:12" x14ac:dyDescent="0.2">
      <c r="B17279"/>
      <c r="C17279"/>
      <c r="J17279"/>
      <c r="K17279"/>
      <c r="L17279"/>
    </row>
    <row r="17280" spans="2:12" x14ac:dyDescent="0.2">
      <c r="B17280"/>
      <c r="C17280"/>
      <c r="J17280"/>
      <c r="K17280"/>
      <c r="L17280"/>
    </row>
    <row r="17281" spans="2:12" x14ac:dyDescent="0.2">
      <c r="B17281"/>
      <c r="C17281"/>
      <c r="J17281"/>
      <c r="K17281"/>
      <c r="L17281"/>
    </row>
    <row r="17282" spans="2:12" x14ac:dyDescent="0.2">
      <c r="B17282"/>
      <c r="C17282"/>
      <c r="J17282"/>
      <c r="K17282"/>
      <c r="L17282"/>
    </row>
    <row r="17283" spans="2:12" x14ac:dyDescent="0.2">
      <c r="B17283"/>
      <c r="C17283"/>
      <c r="J17283"/>
      <c r="K17283"/>
      <c r="L17283"/>
    </row>
    <row r="17284" spans="2:12" x14ac:dyDescent="0.2">
      <c r="B17284"/>
      <c r="C17284"/>
      <c r="J17284"/>
      <c r="K17284"/>
      <c r="L17284"/>
    </row>
    <row r="17285" spans="2:12" x14ac:dyDescent="0.2">
      <c r="B17285"/>
      <c r="C17285"/>
      <c r="J17285"/>
      <c r="K17285"/>
      <c r="L17285"/>
    </row>
    <row r="17286" spans="2:12" x14ac:dyDescent="0.2">
      <c r="B17286"/>
      <c r="C17286"/>
      <c r="J17286"/>
      <c r="K17286"/>
      <c r="L17286"/>
    </row>
    <row r="17287" spans="2:12" x14ac:dyDescent="0.2">
      <c r="B17287"/>
      <c r="C17287"/>
      <c r="J17287"/>
      <c r="K17287"/>
      <c r="L17287"/>
    </row>
    <row r="17288" spans="2:12" x14ac:dyDescent="0.2">
      <c r="B17288"/>
      <c r="C17288"/>
      <c r="J17288"/>
      <c r="K17288"/>
      <c r="L17288"/>
    </row>
    <row r="17289" spans="2:12" x14ac:dyDescent="0.2">
      <c r="B17289"/>
      <c r="C17289"/>
      <c r="J17289"/>
      <c r="K17289"/>
      <c r="L17289"/>
    </row>
    <row r="17290" spans="2:12" x14ac:dyDescent="0.2">
      <c r="B17290"/>
      <c r="C17290"/>
      <c r="J17290"/>
      <c r="K17290"/>
      <c r="L17290"/>
    </row>
    <row r="17291" spans="2:12" x14ac:dyDescent="0.2">
      <c r="B17291"/>
      <c r="C17291"/>
      <c r="J17291"/>
      <c r="K17291"/>
      <c r="L17291"/>
    </row>
    <row r="17292" spans="2:12" x14ac:dyDescent="0.2">
      <c r="B17292"/>
      <c r="C17292"/>
      <c r="J17292"/>
      <c r="K17292"/>
      <c r="L17292"/>
    </row>
    <row r="17293" spans="2:12" x14ac:dyDescent="0.2">
      <c r="B17293"/>
      <c r="C17293"/>
      <c r="J17293"/>
      <c r="K17293"/>
      <c r="L17293"/>
    </row>
    <row r="17294" spans="2:12" x14ac:dyDescent="0.2">
      <c r="B17294"/>
      <c r="C17294"/>
      <c r="J17294"/>
      <c r="K17294"/>
      <c r="L17294"/>
    </row>
    <row r="17295" spans="2:12" x14ac:dyDescent="0.2">
      <c r="B17295"/>
      <c r="C17295"/>
      <c r="J17295"/>
      <c r="K17295"/>
      <c r="L17295"/>
    </row>
    <row r="17296" spans="2:12" x14ac:dyDescent="0.2">
      <c r="B17296"/>
      <c r="C17296"/>
      <c r="J17296"/>
      <c r="K17296"/>
      <c r="L17296"/>
    </row>
    <row r="17297" spans="2:12" x14ac:dyDescent="0.2">
      <c r="B17297"/>
      <c r="C17297"/>
      <c r="J17297"/>
      <c r="K17297"/>
      <c r="L17297"/>
    </row>
    <row r="17298" spans="2:12" x14ac:dyDescent="0.2">
      <c r="B17298"/>
      <c r="C17298"/>
      <c r="J17298"/>
      <c r="K17298"/>
      <c r="L17298"/>
    </row>
    <row r="17299" spans="2:12" x14ac:dyDescent="0.2">
      <c r="B17299"/>
      <c r="C17299"/>
      <c r="J17299"/>
      <c r="K17299"/>
      <c r="L17299"/>
    </row>
    <row r="17300" spans="2:12" x14ac:dyDescent="0.2">
      <c r="B17300"/>
      <c r="C17300"/>
      <c r="J17300"/>
      <c r="K17300"/>
      <c r="L17300"/>
    </row>
    <row r="17301" spans="2:12" x14ac:dyDescent="0.2">
      <c r="B17301"/>
      <c r="C17301"/>
      <c r="J17301"/>
      <c r="K17301"/>
      <c r="L17301"/>
    </row>
    <row r="17302" spans="2:12" x14ac:dyDescent="0.2">
      <c r="B17302"/>
      <c r="C17302"/>
      <c r="J17302"/>
      <c r="K17302"/>
      <c r="L17302"/>
    </row>
    <row r="17303" spans="2:12" x14ac:dyDescent="0.2">
      <c r="B17303"/>
      <c r="C17303"/>
      <c r="J17303"/>
      <c r="K17303"/>
      <c r="L17303"/>
    </row>
    <row r="17304" spans="2:12" x14ac:dyDescent="0.2">
      <c r="B17304"/>
      <c r="C17304"/>
      <c r="J17304"/>
      <c r="K17304"/>
      <c r="L17304"/>
    </row>
    <row r="17305" spans="2:12" x14ac:dyDescent="0.2">
      <c r="B17305"/>
      <c r="C17305"/>
      <c r="J17305"/>
      <c r="K17305"/>
      <c r="L17305"/>
    </row>
    <row r="17306" spans="2:12" x14ac:dyDescent="0.2">
      <c r="B17306"/>
      <c r="C17306"/>
      <c r="J17306"/>
      <c r="K17306"/>
      <c r="L17306"/>
    </row>
    <row r="17307" spans="2:12" x14ac:dyDescent="0.2">
      <c r="B17307"/>
      <c r="C17307"/>
      <c r="J17307"/>
      <c r="K17307"/>
      <c r="L17307"/>
    </row>
    <row r="17308" spans="2:12" x14ac:dyDescent="0.2">
      <c r="B17308"/>
      <c r="C17308"/>
      <c r="J17308"/>
      <c r="K17308"/>
      <c r="L17308"/>
    </row>
    <row r="17309" spans="2:12" x14ac:dyDescent="0.2">
      <c r="B17309"/>
      <c r="C17309"/>
      <c r="J17309"/>
      <c r="K17309"/>
      <c r="L17309"/>
    </row>
    <row r="17310" spans="2:12" x14ac:dyDescent="0.2">
      <c r="B17310"/>
      <c r="C17310"/>
      <c r="J17310"/>
      <c r="K17310"/>
      <c r="L17310"/>
    </row>
    <row r="17311" spans="2:12" x14ac:dyDescent="0.2">
      <c r="B17311"/>
      <c r="C17311"/>
      <c r="J17311"/>
      <c r="K17311"/>
      <c r="L17311"/>
    </row>
    <row r="17312" spans="2:12" x14ac:dyDescent="0.2">
      <c r="B17312"/>
      <c r="C17312"/>
      <c r="J17312"/>
      <c r="K17312"/>
      <c r="L17312"/>
    </row>
    <row r="17313" spans="2:12" x14ac:dyDescent="0.2">
      <c r="B17313"/>
      <c r="C17313"/>
      <c r="J17313"/>
      <c r="K17313"/>
      <c r="L17313"/>
    </row>
    <row r="17314" spans="2:12" x14ac:dyDescent="0.2">
      <c r="B17314"/>
      <c r="C17314"/>
      <c r="J17314"/>
      <c r="K17314"/>
      <c r="L17314"/>
    </row>
    <row r="17315" spans="2:12" x14ac:dyDescent="0.2">
      <c r="B17315"/>
      <c r="C17315"/>
      <c r="J17315"/>
      <c r="K17315"/>
      <c r="L17315"/>
    </row>
    <row r="17316" spans="2:12" x14ac:dyDescent="0.2">
      <c r="B17316"/>
      <c r="C17316"/>
      <c r="J17316"/>
      <c r="K17316"/>
      <c r="L17316"/>
    </row>
    <row r="17317" spans="2:12" x14ac:dyDescent="0.2">
      <c r="B17317"/>
      <c r="C17317"/>
      <c r="J17317"/>
      <c r="K17317"/>
      <c r="L17317"/>
    </row>
    <row r="17318" spans="2:12" x14ac:dyDescent="0.2">
      <c r="B17318"/>
      <c r="C17318"/>
      <c r="J17318"/>
      <c r="K17318"/>
      <c r="L17318"/>
    </row>
    <row r="17319" spans="2:12" x14ac:dyDescent="0.2">
      <c r="B17319"/>
      <c r="C17319"/>
      <c r="J17319"/>
      <c r="K17319"/>
      <c r="L17319"/>
    </row>
    <row r="17320" spans="2:12" x14ac:dyDescent="0.2">
      <c r="B17320"/>
      <c r="C17320"/>
      <c r="J17320"/>
      <c r="K17320"/>
      <c r="L17320"/>
    </row>
    <row r="17321" spans="2:12" x14ac:dyDescent="0.2">
      <c r="B17321"/>
      <c r="C17321"/>
      <c r="J17321"/>
      <c r="K17321"/>
      <c r="L17321"/>
    </row>
    <row r="17322" spans="2:12" x14ac:dyDescent="0.2">
      <c r="B17322"/>
      <c r="C17322"/>
      <c r="J17322"/>
      <c r="K17322"/>
      <c r="L17322"/>
    </row>
    <row r="17323" spans="2:12" x14ac:dyDescent="0.2">
      <c r="B17323"/>
      <c r="C17323"/>
      <c r="J17323"/>
      <c r="K17323"/>
      <c r="L17323"/>
    </row>
    <row r="17324" spans="2:12" x14ac:dyDescent="0.2">
      <c r="B17324"/>
      <c r="C17324"/>
      <c r="J17324"/>
      <c r="K17324"/>
      <c r="L17324"/>
    </row>
    <row r="17325" spans="2:12" x14ac:dyDescent="0.2">
      <c r="B17325"/>
      <c r="C17325"/>
      <c r="J17325"/>
      <c r="K17325"/>
      <c r="L17325"/>
    </row>
    <row r="17326" spans="2:12" x14ac:dyDescent="0.2">
      <c r="B17326"/>
      <c r="C17326"/>
      <c r="J17326"/>
      <c r="K17326"/>
      <c r="L17326"/>
    </row>
    <row r="17327" spans="2:12" x14ac:dyDescent="0.2">
      <c r="B17327"/>
      <c r="C17327"/>
      <c r="J17327"/>
      <c r="K17327"/>
      <c r="L17327"/>
    </row>
    <row r="17328" spans="2:12" x14ac:dyDescent="0.2">
      <c r="B17328"/>
      <c r="C17328"/>
      <c r="J17328"/>
      <c r="K17328"/>
      <c r="L17328"/>
    </row>
    <row r="17329" spans="2:12" x14ac:dyDescent="0.2">
      <c r="B17329"/>
      <c r="C17329"/>
      <c r="J17329"/>
      <c r="K17329"/>
      <c r="L17329"/>
    </row>
    <row r="17330" spans="2:12" x14ac:dyDescent="0.2">
      <c r="B17330"/>
      <c r="C17330"/>
      <c r="J17330"/>
      <c r="K17330"/>
      <c r="L17330"/>
    </row>
    <row r="17331" spans="2:12" x14ac:dyDescent="0.2">
      <c r="B17331"/>
      <c r="C17331"/>
      <c r="J17331"/>
      <c r="K17331"/>
      <c r="L17331"/>
    </row>
    <row r="17332" spans="2:12" x14ac:dyDescent="0.2">
      <c r="B17332"/>
      <c r="C17332"/>
      <c r="J17332"/>
      <c r="K17332"/>
      <c r="L17332"/>
    </row>
    <row r="17333" spans="2:12" x14ac:dyDescent="0.2">
      <c r="B17333"/>
      <c r="C17333"/>
      <c r="J17333"/>
      <c r="K17333"/>
      <c r="L17333"/>
    </row>
    <row r="17334" spans="2:12" x14ac:dyDescent="0.2">
      <c r="B17334"/>
      <c r="C17334"/>
      <c r="J17334"/>
      <c r="K17334"/>
      <c r="L17334"/>
    </row>
    <row r="17335" spans="2:12" x14ac:dyDescent="0.2">
      <c r="B17335"/>
      <c r="C17335"/>
      <c r="J17335"/>
      <c r="K17335"/>
      <c r="L17335"/>
    </row>
    <row r="17336" spans="2:12" x14ac:dyDescent="0.2">
      <c r="B17336"/>
      <c r="C17336"/>
      <c r="J17336"/>
      <c r="K17336"/>
      <c r="L17336"/>
    </row>
    <row r="17337" spans="2:12" x14ac:dyDescent="0.2">
      <c r="B17337"/>
      <c r="C17337"/>
      <c r="J17337"/>
      <c r="K17337"/>
      <c r="L17337"/>
    </row>
    <row r="17338" spans="2:12" x14ac:dyDescent="0.2">
      <c r="B17338"/>
      <c r="C17338"/>
      <c r="J17338"/>
      <c r="K17338"/>
      <c r="L17338"/>
    </row>
    <row r="17339" spans="2:12" x14ac:dyDescent="0.2">
      <c r="B17339"/>
      <c r="C17339"/>
      <c r="J17339"/>
      <c r="K17339"/>
      <c r="L17339"/>
    </row>
    <row r="17340" spans="2:12" x14ac:dyDescent="0.2">
      <c r="B17340"/>
      <c r="C17340"/>
      <c r="J17340"/>
      <c r="K17340"/>
      <c r="L17340"/>
    </row>
    <row r="17341" spans="2:12" x14ac:dyDescent="0.2">
      <c r="B17341"/>
      <c r="C17341"/>
      <c r="J17341"/>
      <c r="K17341"/>
      <c r="L17341"/>
    </row>
    <row r="17342" spans="2:12" x14ac:dyDescent="0.2">
      <c r="B17342"/>
      <c r="C17342"/>
      <c r="J17342"/>
      <c r="K17342"/>
      <c r="L17342"/>
    </row>
    <row r="17343" spans="2:12" x14ac:dyDescent="0.2">
      <c r="B17343"/>
      <c r="C17343"/>
      <c r="J17343"/>
      <c r="K17343"/>
      <c r="L17343"/>
    </row>
    <row r="17344" spans="2:12" x14ac:dyDescent="0.2">
      <c r="B17344"/>
      <c r="C17344"/>
      <c r="J17344"/>
      <c r="K17344"/>
      <c r="L17344"/>
    </row>
    <row r="17345" spans="2:12" x14ac:dyDescent="0.2">
      <c r="B17345"/>
      <c r="C17345"/>
      <c r="J17345"/>
      <c r="K17345"/>
      <c r="L17345"/>
    </row>
    <row r="17346" spans="2:12" x14ac:dyDescent="0.2">
      <c r="B17346"/>
      <c r="C17346"/>
      <c r="J17346"/>
      <c r="K17346"/>
      <c r="L17346"/>
    </row>
    <row r="17347" spans="2:12" x14ac:dyDescent="0.2">
      <c r="B17347"/>
      <c r="C17347"/>
      <c r="J17347"/>
      <c r="K17347"/>
      <c r="L17347"/>
    </row>
    <row r="17348" spans="2:12" x14ac:dyDescent="0.2">
      <c r="B17348"/>
      <c r="C17348"/>
      <c r="J17348"/>
      <c r="K17348"/>
      <c r="L17348"/>
    </row>
    <row r="17349" spans="2:12" x14ac:dyDescent="0.2">
      <c r="B17349"/>
      <c r="C17349"/>
      <c r="J17349"/>
      <c r="K17349"/>
      <c r="L17349"/>
    </row>
    <row r="17350" spans="2:12" x14ac:dyDescent="0.2">
      <c r="B17350"/>
      <c r="C17350"/>
      <c r="J17350"/>
      <c r="K17350"/>
      <c r="L17350"/>
    </row>
    <row r="17351" spans="2:12" x14ac:dyDescent="0.2">
      <c r="B17351"/>
      <c r="C17351"/>
      <c r="J17351"/>
      <c r="K17351"/>
      <c r="L17351"/>
    </row>
    <row r="17352" spans="2:12" x14ac:dyDescent="0.2">
      <c r="B17352"/>
      <c r="C17352"/>
      <c r="J17352"/>
      <c r="K17352"/>
      <c r="L17352"/>
    </row>
    <row r="17353" spans="2:12" x14ac:dyDescent="0.2">
      <c r="B17353"/>
      <c r="C17353"/>
      <c r="J17353"/>
      <c r="K17353"/>
      <c r="L17353"/>
    </row>
    <row r="17354" spans="2:12" x14ac:dyDescent="0.2">
      <c r="B17354"/>
      <c r="C17354"/>
      <c r="J17354"/>
      <c r="K17354"/>
      <c r="L17354"/>
    </row>
    <row r="17355" spans="2:12" x14ac:dyDescent="0.2">
      <c r="B17355"/>
      <c r="C17355"/>
      <c r="J17355"/>
      <c r="K17355"/>
      <c r="L17355"/>
    </row>
    <row r="17356" spans="2:12" x14ac:dyDescent="0.2">
      <c r="B17356"/>
      <c r="C17356"/>
      <c r="J17356"/>
      <c r="K17356"/>
      <c r="L17356"/>
    </row>
    <row r="17357" spans="2:12" x14ac:dyDescent="0.2">
      <c r="B17357"/>
      <c r="C17357"/>
      <c r="J17357"/>
      <c r="K17357"/>
      <c r="L17357"/>
    </row>
    <row r="17358" spans="2:12" x14ac:dyDescent="0.2">
      <c r="B17358"/>
      <c r="C17358"/>
      <c r="J17358"/>
      <c r="K17358"/>
      <c r="L17358"/>
    </row>
    <row r="17359" spans="2:12" x14ac:dyDescent="0.2">
      <c r="B17359"/>
      <c r="C17359"/>
      <c r="J17359"/>
      <c r="K17359"/>
      <c r="L17359"/>
    </row>
    <row r="17360" spans="2:12" x14ac:dyDescent="0.2">
      <c r="B17360"/>
      <c r="C17360"/>
      <c r="J17360"/>
      <c r="K17360"/>
      <c r="L17360"/>
    </row>
    <row r="17361" spans="2:12" x14ac:dyDescent="0.2">
      <c r="B17361"/>
      <c r="C17361"/>
      <c r="J17361"/>
      <c r="K17361"/>
      <c r="L17361"/>
    </row>
    <row r="17362" spans="2:12" x14ac:dyDescent="0.2">
      <c r="B17362"/>
      <c r="C17362"/>
      <c r="J17362"/>
      <c r="K17362"/>
      <c r="L17362"/>
    </row>
    <row r="17363" spans="2:12" x14ac:dyDescent="0.2">
      <c r="B17363"/>
      <c r="C17363"/>
      <c r="J17363"/>
      <c r="K17363"/>
      <c r="L17363"/>
    </row>
    <row r="17364" spans="2:12" x14ac:dyDescent="0.2">
      <c r="B17364"/>
      <c r="C17364"/>
      <c r="J17364"/>
      <c r="K17364"/>
      <c r="L17364"/>
    </row>
    <row r="17365" spans="2:12" x14ac:dyDescent="0.2">
      <c r="B17365"/>
      <c r="C17365"/>
      <c r="J17365"/>
      <c r="K17365"/>
      <c r="L17365"/>
    </row>
    <row r="17366" spans="2:12" x14ac:dyDescent="0.2">
      <c r="B17366"/>
      <c r="C17366"/>
      <c r="J17366"/>
      <c r="K17366"/>
      <c r="L17366"/>
    </row>
    <row r="17367" spans="2:12" x14ac:dyDescent="0.2">
      <c r="B17367"/>
      <c r="C17367"/>
      <c r="J17367"/>
      <c r="K17367"/>
      <c r="L17367"/>
    </row>
    <row r="17368" spans="2:12" x14ac:dyDescent="0.2">
      <c r="B17368"/>
      <c r="C17368"/>
      <c r="J17368"/>
      <c r="K17368"/>
      <c r="L17368"/>
    </row>
    <row r="17369" spans="2:12" x14ac:dyDescent="0.2">
      <c r="B17369"/>
      <c r="C17369"/>
      <c r="J17369"/>
      <c r="K17369"/>
      <c r="L17369"/>
    </row>
    <row r="17370" spans="2:12" x14ac:dyDescent="0.2">
      <c r="B17370"/>
      <c r="C17370"/>
      <c r="J17370"/>
      <c r="K17370"/>
      <c r="L17370"/>
    </row>
    <row r="17371" spans="2:12" x14ac:dyDescent="0.2">
      <c r="B17371"/>
      <c r="C17371"/>
      <c r="J17371"/>
      <c r="K17371"/>
      <c r="L17371"/>
    </row>
    <row r="17372" spans="2:12" x14ac:dyDescent="0.2">
      <c r="B17372"/>
      <c r="C17372"/>
      <c r="J17372"/>
      <c r="K17372"/>
      <c r="L17372"/>
    </row>
    <row r="17373" spans="2:12" x14ac:dyDescent="0.2">
      <c r="B17373"/>
      <c r="C17373"/>
      <c r="J17373"/>
      <c r="K17373"/>
      <c r="L17373"/>
    </row>
    <row r="17374" spans="2:12" x14ac:dyDescent="0.2">
      <c r="B17374"/>
      <c r="C17374"/>
      <c r="J17374"/>
      <c r="K17374"/>
      <c r="L17374"/>
    </row>
    <row r="17375" spans="2:12" x14ac:dyDescent="0.2">
      <c r="B17375"/>
      <c r="C17375"/>
      <c r="J17375"/>
      <c r="K17375"/>
      <c r="L17375"/>
    </row>
    <row r="17376" spans="2:12" x14ac:dyDescent="0.2">
      <c r="B17376"/>
      <c r="C17376"/>
      <c r="J17376"/>
      <c r="K17376"/>
      <c r="L17376"/>
    </row>
    <row r="17377" spans="2:12" x14ac:dyDescent="0.2">
      <c r="B17377"/>
      <c r="C17377"/>
      <c r="J17377"/>
      <c r="K17377"/>
      <c r="L17377"/>
    </row>
    <row r="17378" spans="2:12" x14ac:dyDescent="0.2">
      <c r="B17378"/>
      <c r="C17378"/>
      <c r="J17378"/>
      <c r="K17378"/>
      <c r="L17378"/>
    </row>
    <row r="17379" spans="2:12" x14ac:dyDescent="0.2">
      <c r="B17379"/>
      <c r="C17379"/>
      <c r="J17379"/>
      <c r="K17379"/>
      <c r="L17379"/>
    </row>
    <row r="17380" spans="2:12" x14ac:dyDescent="0.2">
      <c r="B17380"/>
      <c r="C17380"/>
      <c r="J17380"/>
      <c r="K17380"/>
      <c r="L17380"/>
    </row>
    <row r="17381" spans="2:12" x14ac:dyDescent="0.2">
      <c r="B17381"/>
      <c r="C17381"/>
      <c r="J17381"/>
      <c r="K17381"/>
      <c r="L17381"/>
    </row>
    <row r="17382" spans="2:12" x14ac:dyDescent="0.2">
      <c r="B17382"/>
      <c r="C17382"/>
      <c r="J17382"/>
      <c r="K17382"/>
      <c r="L17382"/>
    </row>
    <row r="17383" spans="2:12" x14ac:dyDescent="0.2">
      <c r="B17383"/>
      <c r="C17383"/>
      <c r="J17383"/>
      <c r="K17383"/>
      <c r="L17383"/>
    </row>
    <row r="17384" spans="2:12" x14ac:dyDescent="0.2">
      <c r="B17384"/>
      <c r="C17384"/>
      <c r="J17384"/>
      <c r="K17384"/>
      <c r="L17384"/>
    </row>
    <row r="17385" spans="2:12" x14ac:dyDescent="0.2">
      <c r="B17385"/>
      <c r="C17385"/>
      <c r="J17385"/>
      <c r="K17385"/>
      <c r="L17385"/>
    </row>
    <row r="17386" spans="2:12" x14ac:dyDescent="0.2">
      <c r="B17386"/>
      <c r="C17386"/>
      <c r="J17386"/>
      <c r="K17386"/>
      <c r="L17386"/>
    </row>
    <row r="17387" spans="2:12" x14ac:dyDescent="0.2">
      <c r="B17387"/>
      <c r="C17387"/>
      <c r="J17387"/>
      <c r="K17387"/>
      <c r="L17387"/>
    </row>
    <row r="17388" spans="2:12" x14ac:dyDescent="0.2">
      <c r="B17388"/>
      <c r="C17388"/>
      <c r="J17388"/>
      <c r="K17388"/>
      <c r="L17388"/>
    </row>
    <row r="17389" spans="2:12" x14ac:dyDescent="0.2">
      <c r="B17389"/>
      <c r="C17389"/>
      <c r="J17389"/>
      <c r="K17389"/>
      <c r="L17389"/>
    </row>
    <row r="17390" spans="2:12" x14ac:dyDescent="0.2">
      <c r="B17390"/>
      <c r="C17390"/>
      <c r="J17390"/>
      <c r="K17390"/>
      <c r="L17390"/>
    </row>
    <row r="17391" spans="2:12" x14ac:dyDescent="0.2">
      <c r="B17391"/>
      <c r="C17391"/>
      <c r="J17391"/>
      <c r="K17391"/>
      <c r="L17391"/>
    </row>
    <row r="17392" spans="2:12" x14ac:dyDescent="0.2">
      <c r="B17392"/>
      <c r="C17392"/>
      <c r="J17392"/>
      <c r="K17392"/>
      <c r="L17392"/>
    </row>
    <row r="17393" spans="2:12" x14ac:dyDescent="0.2">
      <c r="B17393"/>
      <c r="C17393"/>
      <c r="J17393"/>
      <c r="K17393"/>
      <c r="L17393"/>
    </row>
    <row r="17394" spans="2:12" x14ac:dyDescent="0.2">
      <c r="B17394"/>
      <c r="C17394"/>
      <c r="J17394"/>
      <c r="K17394"/>
      <c r="L17394"/>
    </row>
    <row r="17395" spans="2:12" x14ac:dyDescent="0.2">
      <c r="B17395"/>
      <c r="C17395"/>
      <c r="J17395"/>
      <c r="K17395"/>
      <c r="L17395"/>
    </row>
    <row r="17396" spans="2:12" x14ac:dyDescent="0.2">
      <c r="B17396"/>
      <c r="C17396"/>
      <c r="J17396"/>
      <c r="K17396"/>
      <c r="L17396"/>
    </row>
    <row r="17397" spans="2:12" x14ac:dyDescent="0.2">
      <c r="B17397"/>
      <c r="C17397"/>
      <c r="J17397"/>
      <c r="K17397"/>
      <c r="L17397"/>
    </row>
    <row r="17398" spans="2:12" x14ac:dyDescent="0.2">
      <c r="B17398"/>
      <c r="C17398"/>
      <c r="J17398"/>
      <c r="K17398"/>
      <c r="L17398"/>
    </row>
    <row r="17399" spans="2:12" x14ac:dyDescent="0.2">
      <c r="B17399"/>
      <c r="C17399"/>
      <c r="J17399"/>
      <c r="K17399"/>
      <c r="L17399"/>
    </row>
    <row r="17400" spans="2:12" x14ac:dyDescent="0.2">
      <c r="B17400"/>
      <c r="C17400"/>
      <c r="J17400"/>
      <c r="K17400"/>
      <c r="L17400"/>
    </row>
    <row r="17401" spans="2:12" x14ac:dyDescent="0.2">
      <c r="B17401"/>
      <c r="C17401"/>
      <c r="J17401"/>
      <c r="K17401"/>
      <c r="L17401"/>
    </row>
    <row r="17402" spans="2:12" x14ac:dyDescent="0.2">
      <c r="B17402"/>
      <c r="C17402"/>
      <c r="J17402"/>
      <c r="K17402"/>
      <c r="L17402"/>
    </row>
    <row r="17403" spans="2:12" x14ac:dyDescent="0.2">
      <c r="B17403"/>
      <c r="C17403"/>
      <c r="J17403"/>
      <c r="K17403"/>
      <c r="L17403"/>
    </row>
    <row r="17404" spans="2:12" x14ac:dyDescent="0.2">
      <c r="B17404"/>
      <c r="C17404"/>
      <c r="J17404"/>
      <c r="K17404"/>
      <c r="L17404"/>
    </row>
    <row r="17405" spans="2:12" x14ac:dyDescent="0.2">
      <c r="B17405"/>
      <c r="C17405"/>
      <c r="J17405"/>
      <c r="K17405"/>
      <c r="L17405"/>
    </row>
    <row r="17406" spans="2:12" x14ac:dyDescent="0.2">
      <c r="B17406"/>
      <c r="C17406"/>
      <c r="J17406"/>
      <c r="K17406"/>
      <c r="L17406"/>
    </row>
    <row r="17407" spans="2:12" x14ac:dyDescent="0.2">
      <c r="B17407"/>
      <c r="C17407"/>
      <c r="J17407"/>
      <c r="K17407"/>
      <c r="L17407"/>
    </row>
    <row r="17408" spans="2:12" x14ac:dyDescent="0.2">
      <c r="B17408"/>
      <c r="C17408"/>
      <c r="J17408"/>
      <c r="K17408"/>
      <c r="L17408"/>
    </row>
    <row r="17409" spans="2:12" x14ac:dyDescent="0.2">
      <c r="B17409"/>
      <c r="C17409"/>
      <c r="J17409"/>
      <c r="K17409"/>
      <c r="L17409"/>
    </row>
    <row r="17410" spans="2:12" x14ac:dyDescent="0.2">
      <c r="B17410"/>
      <c r="C17410"/>
      <c r="J17410"/>
      <c r="K17410"/>
      <c r="L17410"/>
    </row>
    <row r="17411" spans="2:12" x14ac:dyDescent="0.2">
      <c r="B17411"/>
      <c r="C17411"/>
      <c r="J17411"/>
      <c r="K17411"/>
      <c r="L17411"/>
    </row>
    <row r="17412" spans="2:12" x14ac:dyDescent="0.2">
      <c r="B17412"/>
      <c r="C17412"/>
      <c r="J17412"/>
      <c r="K17412"/>
      <c r="L17412"/>
    </row>
    <row r="17413" spans="2:12" x14ac:dyDescent="0.2">
      <c r="B17413"/>
      <c r="C17413"/>
      <c r="J17413"/>
      <c r="K17413"/>
      <c r="L17413"/>
    </row>
    <row r="17414" spans="2:12" x14ac:dyDescent="0.2">
      <c r="B17414"/>
      <c r="C17414"/>
      <c r="J17414"/>
      <c r="K17414"/>
      <c r="L17414"/>
    </row>
    <row r="17415" spans="2:12" x14ac:dyDescent="0.2">
      <c r="B17415"/>
      <c r="C17415"/>
      <c r="J17415"/>
      <c r="K17415"/>
      <c r="L17415"/>
    </row>
    <row r="17416" spans="2:12" x14ac:dyDescent="0.2">
      <c r="B17416"/>
      <c r="C17416"/>
      <c r="J17416"/>
      <c r="K17416"/>
      <c r="L17416"/>
    </row>
    <row r="17417" spans="2:12" x14ac:dyDescent="0.2">
      <c r="B17417"/>
      <c r="C17417"/>
      <c r="J17417"/>
      <c r="K17417"/>
      <c r="L17417"/>
    </row>
    <row r="17418" spans="2:12" x14ac:dyDescent="0.2">
      <c r="B17418"/>
      <c r="C17418"/>
      <c r="J17418"/>
      <c r="K17418"/>
      <c r="L17418"/>
    </row>
    <row r="17419" spans="2:12" x14ac:dyDescent="0.2">
      <c r="B17419"/>
      <c r="C17419"/>
      <c r="J17419"/>
      <c r="K17419"/>
      <c r="L17419"/>
    </row>
    <row r="17420" spans="2:12" x14ac:dyDescent="0.2">
      <c r="B17420"/>
      <c r="C17420"/>
      <c r="J17420"/>
      <c r="K17420"/>
      <c r="L17420"/>
    </row>
    <row r="17421" spans="2:12" x14ac:dyDescent="0.2">
      <c r="B17421"/>
      <c r="C17421"/>
      <c r="J17421"/>
      <c r="K17421"/>
      <c r="L17421"/>
    </row>
    <row r="17422" spans="2:12" x14ac:dyDescent="0.2">
      <c r="B17422"/>
      <c r="C17422"/>
      <c r="J17422"/>
      <c r="K17422"/>
      <c r="L17422"/>
    </row>
    <row r="17423" spans="2:12" x14ac:dyDescent="0.2">
      <c r="B17423"/>
      <c r="C17423"/>
      <c r="J17423"/>
      <c r="K17423"/>
      <c r="L17423"/>
    </row>
    <row r="17424" spans="2:12" x14ac:dyDescent="0.2">
      <c r="B17424"/>
      <c r="C17424"/>
      <c r="J17424"/>
      <c r="K17424"/>
      <c r="L17424"/>
    </row>
    <row r="17425" spans="2:12" x14ac:dyDescent="0.2">
      <c r="B17425"/>
      <c r="C17425"/>
      <c r="J17425"/>
      <c r="K17425"/>
      <c r="L17425"/>
    </row>
    <row r="17426" spans="2:12" x14ac:dyDescent="0.2">
      <c r="B17426"/>
      <c r="C17426"/>
      <c r="J17426"/>
      <c r="K17426"/>
      <c r="L17426"/>
    </row>
    <row r="17427" spans="2:12" x14ac:dyDescent="0.2">
      <c r="B17427"/>
      <c r="C17427"/>
      <c r="J17427"/>
      <c r="K17427"/>
      <c r="L17427"/>
    </row>
    <row r="17428" spans="2:12" x14ac:dyDescent="0.2">
      <c r="B17428"/>
      <c r="C17428"/>
      <c r="J17428"/>
      <c r="K17428"/>
      <c r="L17428"/>
    </row>
    <row r="17429" spans="2:12" x14ac:dyDescent="0.2">
      <c r="B17429"/>
      <c r="C17429"/>
      <c r="J17429"/>
      <c r="K17429"/>
      <c r="L17429"/>
    </row>
    <row r="17430" spans="2:12" x14ac:dyDescent="0.2">
      <c r="B17430"/>
      <c r="C17430"/>
      <c r="J17430"/>
      <c r="K17430"/>
      <c r="L17430"/>
    </row>
    <row r="17431" spans="2:12" x14ac:dyDescent="0.2">
      <c r="B17431"/>
      <c r="C17431"/>
      <c r="J17431"/>
      <c r="K17431"/>
      <c r="L17431"/>
    </row>
    <row r="17432" spans="2:12" x14ac:dyDescent="0.2">
      <c r="B17432"/>
      <c r="C17432"/>
      <c r="J17432"/>
      <c r="K17432"/>
      <c r="L17432"/>
    </row>
    <row r="17433" spans="2:12" x14ac:dyDescent="0.2">
      <c r="B17433"/>
      <c r="C17433"/>
      <c r="J17433"/>
      <c r="K17433"/>
      <c r="L17433"/>
    </row>
    <row r="17434" spans="2:12" x14ac:dyDescent="0.2">
      <c r="B17434"/>
      <c r="C17434"/>
      <c r="J17434"/>
      <c r="K17434"/>
      <c r="L17434"/>
    </row>
    <row r="17435" spans="2:12" x14ac:dyDescent="0.2">
      <c r="B17435"/>
      <c r="C17435"/>
      <c r="J17435"/>
      <c r="K17435"/>
      <c r="L17435"/>
    </row>
    <row r="17436" spans="2:12" x14ac:dyDescent="0.2">
      <c r="B17436"/>
      <c r="C17436"/>
      <c r="J17436"/>
      <c r="K17436"/>
      <c r="L17436"/>
    </row>
    <row r="17437" spans="2:12" x14ac:dyDescent="0.2">
      <c r="B17437"/>
      <c r="C17437"/>
      <c r="J17437"/>
      <c r="K17437"/>
      <c r="L17437"/>
    </row>
    <row r="17438" spans="2:12" x14ac:dyDescent="0.2">
      <c r="B17438"/>
      <c r="C17438"/>
      <c r="J17438"/>
      <c r="K17438"/>
      <c r="L17438"/>
    </row>
    <row r="17439" spans="2:12" x14ac:dyDescent="0.2">
      <c r="B17439"/>
      <c r="C17439"/>
      <c r="J17439"/>
      <c r="K17439"/>
      <c r="L17439"/>
    </row>
    <row r="17440" spans="2:12" x14ac:dyDescent="0.2">
      <c r="B17440"/>
      <c r="C17440"/>
      <c r="J17440"/>
      <c r="K17440"/>
      <c r="L17440"/>
    </row>
    <row r="17441" spans="2:12" x14ac:dyDescent="0.2">
      <c r="B17441"/>
      <c r="C17441"/>
      <c r="J17441"/>
      <c r="K17441"/>
      <c r="L17441"/>
    </row>
    <row r="17442" spans="2:12" x14ac:dyDescent="0.2">
      <c r="B17442"/>
      <c r="C17442"/>
      <c r="J17442"/>
      <c r="K17442"/>
      <c r="L17442"/>
    </row>
    <row r="17443" spans="2:12" x14ac:dyDescent="0.2">
      <c r="B17443"/>
      <c r="C17443"/>
      <c r="J17443"/>
      <c r="K17443"/>
      <c r="L17443"/>
    </row>
    <row r="17444" spans="2:12" x14ac:dyDescent="0.2">
      <c r="B17444"/>
      <c r="C17444"/>
      <c r="J17444"/>
      <c r="K17444"/>
      <c r="L17444"/>
    </row>
    <row r="17445" spans="2:12" x14ac:dyDescent="0.2">
      <c r="B17445"/>
      <c r="C17445"/>
      <c r="J17445"/>
      <c r="K17445"/>
      <c r="L17445"/>
    </row>
    <row r="17446" spans="2:12" x14ac:dyDescent="0.2">
      <c r="B17446"/>
      <c r="C17446"/>
      <c r="J17446"/>
      <c r="K17446"/>
      <c r="L17446"/>
    </row>
    <row r="17447" spans="2:12" x14ac:dyDescent="0.2">
      <c r="B17447"/>
      <c r="C17447"/>
      <c r="J17447"/>
      <c r="K17447"/>
      <c r="L17447"/>
    </row>
    <row r="17448" spans="2:12" x14ac:dyDescent="0.2">
      <c r="B17448"/>
      <c r="C17448"/>
      <c r="J17448"/>
      <c r="K17448"/>
      <c r="L17448"/>
    </row>
    <row r="17449" spans="2:12" x14ac:dyDescent="0.2">
      <c r="B17449"/>
      <c r="C17449"/>
      <c r="J17449"/>
      <c r="K17449"/>
      <c r="L17449"/>
    </row>
    <row r="17450" spans="2:12" x14ac:dyDescent="0.2">
      <c r="B17450"/>
      <c r="C17450"/>
      <c r="J17450"/>
      <c r="K17450"/>
      <c r="L17450"/>
    </row>
    <row r="17451" spans="2:12" x14ac:dyDescent="0.2">
      <c r="B17451"/>
      <c r="C17451"/>
      <c r="J17451"/>
      <c r="K17451"/>
      <c r="L17451"/>
    </row>
    <row r="17452" spans="2:12" x14ac:dyDescent="0.2">
      <c r="B17452"/>
      <c r="C17452"/>
      <c r="J17452"/>
      <c r="K17452"/>
      <c r="L17452"/>
    </row>
    <row r="17453" spans="2:12" x14ac:dyDescent="0.2">
      <c r="B17453"/>
      <c r="C17453"/>
      <c r="J17453"/>
      <c r="K17453"/>
      <c r="L17453"/>
    </row>
    <row r="17454" spans="2:12" x14ac:dyDescent="0.2">
      <c r="B17454"/>
      <c r="C17454"/>
      <c r="J17454"/>
      <c r="K17454"/>
      <c r="L17454"/>
    </row>
    <row r="17455" spans="2:12" x14ac:dyDescent="0.2">
      <c r="B17455"/>
      <c r="C17455"/>
      <c r="J17455"/>
      <c r="K17455"/>
      <c r="L17455"/>
    </row>
    <row r="17456" spans="2:12" x14ac:dyDescent="0.2">
      <c r="B17456"/>
      <c r="C17456"/>
      <c r="J17456"/>
      <c r="K17456"/>
      <c r="L17456"/>
    </row>
    <row r="17457" spans="2:12" x14ac:dyDescent="0.2">
      <c r="B17457"/>
      <c r="C17457"/>
      <c r="J17457"/>
      <c r="K17457"/>
      <c r="L17457"/>
    </row>
    <row r="17458" spans="2:12" x14ac:dyDescent="0.2">
      <c r="B17458"/>
      <c r="C17458"/>
      <c r="J17458"/>
      <c r="K17458"/>
      <c r="L17458"/>
    </row>
    <row r="17459" spans="2:12" x14ac:dyDescent="0.2">
      <c r="B17459"/>
      <c r="C17459"/>
      <c r="J17459"/>
      <c r="K17459"/>
      <c r="L17459"/>
    </row>
    <row r="17460" spans="2:12" x14ac:dyDescent="0.2">
      <c r="B17460"/>
      <c r="C17460"/>
      <c r="J17460"/>
      <c r="K17460"/>
      <c r="L17460"/>
    </row>
    <row r="17461" spans="2:12" x14ac:dyDescent="0.2">
      <c r="B17461"/>
      <c r="C17461"/>
      <c r="J17461"/>
      <c r="K17461"/>
      <c r="L17461"/>
    </row>
    <row r="17462" spans="2:12" x14ac:dyDescent="0.2">
      <c r="B17462"/>
      <c r="C17462"/>
      <c r="J17462"/>
      <c r="K17462"/>
      <c r="L17462"/>
    </row>
    <row r="17463" spans="2:12" x14ac:dyDescent="0.2">
      <c r="B17463"/>
      <c r="C17463"/>
      <c r="J17463"/>
      <c r="K17463"/>
      <c r="L17463"/>
    </row>
    <row r="17464" spans="2:12" x14ac:dyDescent="0.2">
      <c r="B17464"/>
      <c r="C17464"/>
      <c r="J17464"/>
      <c r="K17464"/>
      <c r="L17464"/>
    </row>
    <row r="17465" spans="2:12" x14ac:dyDescent="0.2">
      <c r="B17465"/>
      <c r="C17465"/>
      <c r="J17465"/>
      <c r="K17465"/>
      <c r="L17465"/>
    </row>
    <row r="17466" spans="2:12" x14ac:dyDescent="0.2">
      <c r="B17466"/>
      <c r="C17466"/>
      <c r="J17466"/>
      <c r="K17466"/>
      <c r="L17466"/>
    </row>
    <row r="17467" spans="2:12" x14ac:dyDescent="0.2">
      <c r="B17467"/>
      <c r="C17467"/>
      <c r="J17467"/>
      <c r="K17467"/>
      <c r="L17467"/>
    </row>
    <row r="17468" spans="2:12" x14ac:dyDescent="0.2">
      <c r="B17468"/>
      <c r="C17468"/>
      <c r="J17468"/>
      <c r="K17468"/>
      <c r="L17468"/>
    </row>
    <row r="17469" spans="2:12" x14ac:dyDescent="0.2">
      <c r="B17469"/>
      <c r="C17469"/>
      <c r="J17469"/>
      <c r="K17469"/>
      <c r="L17469"/>
    </row>
    <row r="17470" spans="2:12" x14ac:dyDescent="0.2">
      <c r="B17470"/>
      <c r="C17470"/>
      <c r="J17470"/>
      <c r="K17470"/>
      <c r="L17470"/>
    </row>
    <row r="17471" spans="2:12" x14ac:dyDescent="0.2">
      <c r="B17471"/>
      <c r="C17471"/>
      <c r="J17471"/>
      <c r="K17471"/>
      <c r="L17471"/>
    </row>
    <row r="17472" spans="2:12" x14ac:dyDescent="0.2">
      <c r="B17472"/>
      <c r="C17472"/>
      <c r="J17472"/>
      <c r="K17472"/>
      <c r="L17472"/>
    </row>
    <row r="17473" spans="2:12" x14ac:dyDescent="0.2">
      <c r="B17473"/>
      <c r="C17473"/>
      <c r="J17473"/>
      <c r="K17473"/>
      <c r="L17473"/>
    </row>
    <row r="17474" spans="2:12" x14ac:dyDescent="0.2">
      <c r="B17474"/>
      <c r="C17474"/>
      <c r="J17474"/>
      <c r="K17474"/>
      <c r="L17474"/>
    </row>
    <row r="17475" spans="2:12" x14ac:dyDescent="0.2">
      <c r="B17475"/>
      <c r="C17475"/>
      <c r="J17475"/>
      <c r="K17475"/>
      <c r="L17475"/>
    </row>
    <row r="17476" spans="2:12" x14ac:dyDescent="0.2">
      <c r="B17476"/>
      <c r="C17476"/>
      <c r="J17476"/>
      <c r="K17476"/>
      <c r="L17476"/>
    </row>
    <row r="17477" spans="2:12" x14ac:dyDescent="0.2">
      <c r="B17477"/>
      <c r="C17477"/>
      <c r="J17477"/>
      <c r="K17477"/>
      <c r="L17477"/>
    </row>
    <row r="17478" spans="2:12" x14ac:dyDescent="0.2">
      <c r="B17478"/>
      <c r="C17478"/>
      <c r="J17478"/>
      <c r="K17478"/>
      <c r="L17478"/>
    </row>
    <row r="17479" spans="2:12" x14ac:dyDescent="0.2">
      <c r="B17479"/>
      <c r="C17479"/>
      <c r="J17479"/>
      <c r="K17479"/>
      <c r="L17479"/>
    </row>
    <row r="17480" spans="2:12" x14ac:dyDescent="0.2">
      <c r="B17480"/>
      <c r="C17480"/>
      <c r="J17480"/>
      <c r="K17480"/>
      <c r="L17480"/>
    </row>
    <row r="17481" spans="2:12" x14ac:dyDescent="0.2">
      <c r="B17481"/>
      <c r="C17481"/>
      <c r="J17481"/>
      <c r="K17481"/>
      <c r="L17481"/>
    </row>
    <row r="17482" spans="2:12" x14ac:dyDescent="0.2">
      <c r="B17482"/>
      <c r="C17482"/>
      <c r="J17482"/>
      <c r="K17482"/>
      <c r="L17482"/>
    </row>
    <row r="17483" spans="2:12" x14ac:dyDescent="0.2">
      <c r="B17483"/>
      <c r="C17483"/>
      <c r="J17483"/>
      <c r="K17483"/>
      <c r="L17483"/>
    </row>
    <row r="17484" spans="2:12" x14ac:dyDescent="0.2">
      <c r="B17484"/>
      <c r="C17484"/>
      <c r="J17484"/>
      <c r="K17484"/>
      <c r="L17484"/>
    </row>
    <row r="17485" spans="2:12" x14ac:dyDescent="0.2">
      <c r="B17485"/>
      <c r="C17485"/>
      <c r="J17485"/>
      <c r="K17485"/>
      <c r="L17485"/>
    </row>
    <row r="17486" spans="2:12" x14ac:dyDescent="0.2">
      <c r="B17486"/>
      <c r="C17486"/>
      <c r="J17486"/>
      <c r="K17486"/>
      <c r="L17486"/>
    </row>
    <row r="17487" spans="2:12" x14ac:dyDescent="0.2">
      <c r="B17487"/>
      <c r="C17487"/>
      <c r="J17487"/>
      <c r="K17487"/>
      <c r="L17487"/>
    </row>
    <row r="17488" spans="2:12" x14ac:dyDescent="0.2">
      <c r="B17488"/>
      <c r="C17488"/>
      <c r="J17488"/>
      <c r="K17488"/>
      <c r="L17488"/>
    </row>
    <row r="17489" spans="2:12" x14ac:dyDescent="0.2">
      <c r="B17489"/>
      <c r="C17489"/>
      <c r="J17489"/>
      <c r="K17489"/>
      <c r="L17489"/>
    </row>
    <row r="17490" spans="2:12" x14ac:dyDescent="0.2">
      <c r="B17490"/>
      <c r="C17490"/>
      <c r="J17490"/>
      <c r="K17490"/>
      <c r="L17490"/>
    </row>
    <row r="17491" spans="2:12" x14ac:dyDescent="0.2">
      <c r="B17491"/>
      <c r="C17491"/>
      <c r="J17491"/>
      <c r="K17491"/>
      <c r="L17491"/>
    </row>
    <row r="17492" spans="2:12" x14ac:dyDescent="0.2">
      <c r="B17492"/>
      <c r="C17492"/>
      <c r="J17492"/>
      <c r="K17492"/>
      <c r="L17492"/>
    </row>
    <row r="17493" spans="2:12" x14ac:dyDescent="0.2">
      <c r="B17493"/>
      <c r="C17493"/>
      <c r="J17493"/>
      <c r="K17493"/>
      <c r="L17493"/>
    </row>
    <row r="17494" spans="2:12" x14ac:dyDescent="0.2">
      <c r="B17494"/>
      <c r="C17494"/>
      <c r="J17494"/>
      <c r="K17494"/>
      <c r="L17494"/>
    </row>
    <row r="17495" spans="2:12" x14ac:dyDescent="0.2">
      <c r="B17495"/>
      <c r="C17495"/>
      <c r="J17495"/>
      <c r="K17495"/>
      <c r="L17495"/>
    </row>
    <row r="17496" spans="2:12" x14ac:dyDescent="0.2">
      <c r="B17496"/>
      <c r="C17496"/>
      <c r="J17496"/>
      <c r="K17496"/>
      <c r="L17496"/>
    </row>
    <row r="17497" spans="2:12" x14ac:dyDescent="0.2">
      <c r="B17497"/>
      <c r="C17497"/>
      <c r="J17497"/>
      <c r="K17497"/>
      <c r="L17497"/>
    </row>
    <row r="17498" spans="2:12" x14ac:dyDescent="0.2">
      <c r="B17498"/>
      <c r="C17498"/>
      <c r="J17498"/>
      <c r="K17498"/>
      <c r="L17498"/>
    </row>
    <row r="17499" spans="2:12" x14ac:dyDescent="0.2">
      <c r="B17499"/>
      <c r="C17499"/>
      <c r="J17499"/>
      <c r="K17499"/>
      <c r="L17499"/>
    </row>
    <row r="17500" spans="2:12" x14ac:dyDescent="0.2">
      <c r="B17500"/>
      <c r="C17500"/>
      <c r="J17500"/>
      <c r="K17500"/>
      <c r="L17500"/>
    </row>
    <row r="17501" spans="2:12" x14ac:dyDescent="0.2">
      <c r="B17501"/>
      <c r="C17501"/>
      <c r="J17501"/>
      <c r="K17501"/>
      <c r="L17501"/>
    </row>
    <row r="17502" spans="2:12" x14ac:dyDescent="0.2">
      <c r="B17502"/>
      <c r="C17502"/>
      <c r="J17502"/>
      <c r="K17502"/>
      <c r="L17502"/>
    </row>
    <row r="17503" spans="2:12" x14ac:dyDescent="0.2">
      <c r="B17503"/>
      <c r="C17503"/>
      <c r="J17503"/>
      <c r="K17503"/>
      <c r="L17503"/>
    </row>
    <row r="17504" spans="2:12" x14ac:dyDescent="0.2">
      <c r="B17504"/>
      <c r="C17504"/>
      <c r="J17504"/>
      <c r="K17504"/>
      <c r="L17504"/>
    </row>
    <row r="17505" spans="2:12" x14ac:dyDescent="0.2">
      <c r="B17505"/>
      <c r="C17505"/>
      <c r="J17505"/>
      <c r="K17505"/>
      <c r="L17505"/>
    </row>
    <row r="17506" spans="2:12" x14ac:dyDescent="0.2">
      <c r="B17506"/>
      <c r="C17506"/>
      <c r="J17506"/>
      <c r="K17506"/>
      <c r="L17506"/>
    </row>
    <row r="17507" spans="2:12" x14ac:dyDescent="0.2">
      <c r="B17507"/>
      <c r="C17507"/>
      <c r="J17507"/>
      <c r="K17507"/>
      <c r="L17507"/>
    </row>
    <row r="17508" spans="2:12" x14ac:dyDescent="0.2">
      <c r="B17508"/>
      <c r="C17508"/>
      <c r="J17508"/>
      <c r="K17508"/>
      <c r="L17508"/>
    </row>
    <row r="17509" spans="2:12" x14ac:dyDescent="0.2">
      <c r="B17509"/>
      <c r="C17509"/>
      <c r="J17509"/>
      <c r="K17509"/>
      <c r="L17509"/>
    </row>
    <row r="17510" spans="2:12" x14ac:dyDescent="0.2">
      <c r="B17510"/>
      <c r="C17510"/>
      <c r="J17510"/>
      <c r="K17510"/>
      <c r="L17510"/>
    </row>
    <row r="17511" spans="2:12" x14ac:dyDescent="0.2">
      <c r="B17511"/>
      <c r="C17511"/>
      <c r="J17511"/>
      <c r="K17511"/>
      <c r="L17511"/>
    </row>
    <row r="17512" spans="2:12" x14ac:dyDescent="0.2">
      <c r="B17512"/>
      <c r="C17512"/>
      <c r="J17512"/>
      <c r="K17512"/>
      <c r="L17512"/>
    </row>
    <row r="17513" spans="2:12" x14ac:dyDescent="0.2">
      <c r="B17513"/>
      <c r="C17513"/>
      <c r="J17513"/>
      <c r="K17513"/>
      <c r="L17513"/>
    </row>
    <row r="17514" spans="2:12" x14ac:dyDescent="0.2">
      <c r="B17514"/>
      <c r="C17514"/>
      <c r="J17514"/>
      <c r="K17514"/>
      <c r="L17514"/>
    </row>
    <row r="17515" spans="2:12" x14ac:dyDescent="0.2">
      <c r="B17515"/>
      <c r="C17515"/>
      <c r="J17515"/>
      <c r="K17515"/>
      <c r="L17515"/>
    </row>
    <row r="17516" spans="2:12" x14ac:dyDescent="0.2">
      <c r="B17516"/>
      <c r="C17516"/>
      <c r="J17516"/>
      <c r="K17516"/>
      <c r="L17516"/>
    </row>
    <row r="17517" spans="2:12" x14ac:dyDescent="0.2">
      <c r="B17517"/>
      <c r="C17517"/>
      <c r="J17517"/>
      <c r="K17517"/>
      <c r="L17517"/>
    </row>
    <row r="17518" spans="2:12" x14ac:dyDescent="0.2">
      <c r="B17518"/>
      <c r="C17518"/>
      <c r="J17518"/>
      <c r="K17518"/>
      <c r="L17518"/>
    </row>
    <row r="17519" spans="2:12" x14ac:dyDescent="0.2">
      <c r="B17519"/>
      <c r="C17519"/>
      <c r="J17519"/>
      <c r="K17519"/>
      <c r="L17519"/>
    </row>
    <row r="17520" spans="2:12" x14ac:dyDescent="0.2">
      <c r="B17520"/>
      <c r="C17520"/>
      <c r="J17520"/>
      <c r="K17520"/>
      <c r="L17520"/>
    </row>
    <row r="17521" spans="2:12" x14ac:dyDescent="0.2">
      <c r="B17521"/>
      <c r="C17521"/>
      <c r="J17521"/>
      <c r="K17521"/>
      <c r="L17521"/>
    </row>
    <row r="17522" spans="2:12" x14ac:dyDescent="0.2">
      <c r="B17522"/>
      <c r="C17522"/>
      <c r="J17522"/>
      <c r="K17522"/>
      <c r="L17522"/>
    </row>
    <row r="17523" spans="2:12" x14ac:dyDescent="0.2">
      <c r="B17523"/>
      <c r="C17523"/>
      <c r="J17523"/>
      <c r="K17523"/>
      <c r="L17523"/>
    </row>
    <row r="17524" spans="2:12" x14ac:dyDescent="0.2">
      <c r="B17524"/>
      <c r="C17524"/>
      <c r="J17524"/>
      <c r="K17524"/>
      <c r="L17524"/>
    </row>
    <row r="17525" spans="2:12" x14ac:dyDescent="0.2">
      <c r="B17525"/>
      <c r="C17525"/>
      <c r="J17525"/>
      <c r="K17525"/>
      <c r="L17525"/>
    </row>
    <row r="17526" spans="2:12" x14ac:dyDescent="0.2">
      <c r="B17526"/>
      <c r="C17526"/>
      <c r="J17526"/>
      <c r="K17526"/>
      <c r="L17526"/>
    </row>
    <row r="17527" spans="2:12" x14ac:dyDescent="0.2">
      <c r="B17527"/>
      <c r="C17527"/>
      <c r="J17527"/>
      <c r="K17527"/>
      <c r="L17527"/>
    </row>
    <row r="17528" spans="2:12" x14ac:dyDescent="0.2">
      <c r="B17528"/>
      <c r="C17528"/>
      <c r="J17528"/>
      <c r="K17528"/>
      <c r="L17528"/>
    </row>
    <row r="17529" spans="2:12" x14ac:dyDescent="0.2">
      <c r="B17529"/>
      <c r="C17529"/>
      <c r="J17529"/>
      <c r="K17529"/>
      <c r="L17529"/>
    </row>
    <row r="17530" spans="2:12" x14ac:dyDescent="0.2">
      <c r="B17530"/>
      <c r="C17530"/>
      <c r="J17530"/>
      <c r="K17530"/>
      <c r="L17530"/>
    </row>
    <row r="17531" spans="2:12" x14ac:dyDescent="0.2">
      <c r="B17531"/>
      <c r="C17531"/>
      <c r="J17531"/>
      <c r="K17531"/>
      <c r="L17531"/>
    </row>
    <row r="17532" spans="2:12" x14ac:dyDescent="0.2">
      <c r="B17532"/>
      <c r="C17532"/>
      <c r="J17532"/>
      <c r="K17532"/>
      <c r="L17532"/>
    </row>
    <row r="17533" spans="2:12" x14ac:dyDescent="0.2">
      <c r="B17533"/>
      <c r="C17533"/>
      <c r="J17533"/>
      <c r="K17533"/>
      <c r="L17533"/>
    </row>
    <row r="17534" spans="2:12" x14ac:dyDescent="0.2">
      <c r="B17534"/>
      <c r="C17534"/>
      <c r="J17534"/>
      <c r="K17534"/>
      <c r="L17534"/>
    </row>
    <row r="17535" spans="2:12" x14ac:dyDescent="0.2">
      <c r="B17535"/>
      <c r="C17535"/>
      <c r="J17535"/>
      <c r="K17535"/>
      <c r="L17535"/>
    </row>
    <row r="17536" spans="2:12" x14ac:dyDescent="0.2">
      <c r="B17536"/>
      <c r="C17536"/>
      <c r="J17536"/>
      <c r="K17536"/>
      <c r="L17536"/>
    </row>
    <row r="17537" spans="2:12" x14ac:dyDescent="0.2">
      <c r="B17537"/>
      <c r="C17537"/>
      <c r="J17537"/>
      <c r="K17537"/>
      <c r="L17537"/>
    </row>
    <row r="17538" spans="2:12" x14ac:dyDescent="0.2">
      <c r="B17538"/>
      <c r="C17538"/>
      <c r="J17538"/>
      <c r="K17538"/>
      <c r="L17538"/>
    </row>
    <row r="17539" spans="2:12" x14ac:dyDescent="0.2">
      <c r="B17539"/>
      <c r="C17539"/>
      <c r="J17539"/>
      <c r="K17539"/>
      <c r="L17539"/>
    </row>
    <row r="17540" spans="2:12" x14ac:dyDescent="0.2">
      <c r="B17540"/>
      <c r="C17540"/>
      <c r="J17540"/>
      <c r="K17540"/>
      <c r="L17540"/>
    </row>
    <row r="17541" spans="2:12" x14ac:dyDescent="0.2">
      <c r="B17541"/>
      <c r="C17541"/>
      <c r="J17541"/>
      <c r="K17541"/>
      <c r="L17541"/>
    </row>
    <row r="17542" spans="2:12" x14ac:dyDescent="0.2">
      <c r="B17542"/>
      <c r="C17542"/>
      <c r="J17542"/>
      <c r="K17542"/>
      <c r="L17542"/>
    </row>
    <row r="17543" spans="2:12" x14ac:dyDescent="0.2">
      <c r="B17543"/>
      <c r="C17543"/>
      <c r="J17543"/>
      <c r="K17543"/>
      <c r="L17543"/>
    </row>
    <row r="17544" spans="2:12" x14ac:dyDescent="0.2">
      <c r="B17544"/>
      <c r="C17544"/>
      <c r="J17544"/>
      <c r="K17544"/>
      <c r="L17544"/>
    </row>
    <row r="17545" spans="2:12" x14ac:dyDescent="0.2">
      <c r="B17545"/>
      <c r="C17545"/>
      <c r="J17545"/>
      <c r="K17545"/>
      <c r="L17545"/>
    </row>
    <row r="17546" spans="2:12" x14ac:dyDescent="0.2">
      <c r="B17546"/>
      <c r="C17546"/>
      <c r="J17546"/>
      <c r="K17546"/>
      <c r="L17546"/>
    </row>
    <row r="17547" spans="2:12" x14ac:dyDescent="0.2">
      <c r="B17547"/>
      <c r="C17547"/>
      <c r="J17547"/>
      <c r="K17547"/>
      <c r="L17547"/>
    </row>
    <row r="17548" spans="2:12" x14ac:dyDescent="0.2">
      <c r="B17548"/>
      <c r="C17548"/>
      <c r="J17548"/>
      <c r="K17548"/>
      <c r="L17548"/>
    </row>
    <row r="17549" spans="2:12" x14ac:dyDescent="0.2">
      <c r="B17549"/>
      <c r="C17549"/>
      <c r="J17549"/>
      <c r="K17549"/>
      <c r="L17549"/>
    </row>
    <row r="17550" spans="2:12" x14ac:dyDescent="0.2">
      <c r="B17550"/>
      <c r="C17550"/>
      <c r="J17550"/>
      <c r="K17550"/>
      <c r="L17550"/>
    </row>
    <row r="17551" spans="2:12" x14ac:dyDescent="0.2">
      <c r="B17551"/>
      <c r="C17551"/>
      <c r="J17551"/>
      <c r="K17551"/>
      <c r="L17551"/>
    </row>
    <row r="17552" spans="2:12" x14ac:dyDescent="0.2">
      <c r="B17552"/>
      <c r="C17552"/>
      <c r="J17552"/>
      <c r="K17552"/>
      <c r="L17552"/>
    </row>
    <row r="17553" spans="2:12" x14ac:dyDescent="0.2">
      <c r="B17553"/>
      <c r="C17553"/>
      <c r="J17553"/>
      <c r="K17553"/>
      <c r="L17553"/>
    </row>
    <row r="17554" spans="2:12" x14ac:dyDescent="0.2">
      <c r="B17554"/>
      <c r="C17554"/>
      <c r="J17554"/>
      <c r="K17554"/>
      <c r="L17554"/>
    </row>
    <row r="17555" spans="2:12" x14ac:dyDescent="0.2">
      <c r="B17555"/>
      <c r="C17555"/>
      <c r="J17555"/>
      <c r="K17555"/>
      <c r="L17555"/>
    </row>
    <row r="17556" spans="2:12" x14ac:dyDescent="0.2">
      <c r="B17556"/>
      <c r="C17556"/>
      <c r="J17556"/>
      <c r="K17556"/>
      <c r="L17556"/>
    </row>
    <row r="17557" spans="2:12" x14ac:dyDescent="0.2">
      <c r="B17557"/>
      <c r="C17557"/>
      <c r="J17557"/>
      <c r="K17557"/>
      <c r="L17557"/>
    </row>
    <row r="17558" spans="2:12" x14ac:dyDescent="0.2">
      <c r="B17558"/>
      <c r="C17558"/>
      <c r="J17558"/>
      <c r="K17558"/>
      <c r="L17558"/>
    </row>
    <row r="17559" spans="2:12" x14ac:dyDescent="0.2">
      <c r="B17559"/>
      <c r="C17559"/>
      <c r="J17559"/>
      <c r="K17559"/>
      <c r="L17559"/>
    </row>
    <row r="17560" spans="2:12" x14ac:dyDescent="0.2">
      <c r="B17560"/>
      <c r="C17560"/>
      <c r="J17560"/>
      <c r="K17560"/>
      <c r="L17560"/>
    </row>
    <row r="17561" spans="2:12" x14ac:dyDescent="0.2">
      <c r="B17561"/>
      <c r="C17561"/>
      <c r="J17561"/>
      <c r="K17561"/>
      <c r="L17561"/>
    </row>
    <row r="17562" spans="2:12" x14ac:dyDescent="0.2">
      <c r="B17562"/>
      <c r="C17562"/>
      <c r="J17562"/>
      <c r="K17562"/>
      <c r="L17562"/>
    </row>
    <row r="17563" spans="2:12" x14ac:dyDescent="0.2">
      <c r="B17563"/>
      <c r="C17563"/>
      <c r="J17563"/>
      <c r="K17563"/>
      <c r="L17563"/>
    </row>
    <row r="17564" spans="2:12" x14ac:dyDescent="0.2">
      <c r="B17564"/>
      <c r="C17564"/>
      <c r="J17564"/>
      <c r="K17564"/>
      <c r="L17564"/>
    </row>
    <row r="17565" spans="2:12" x14ac:dyDescent="0.2">
      <c r="B17565"/>
      <c r="C17565"/>
      <c r="J17565"/>
      <c r="K17565"/>
      <c r="L17565"/>
    </row>
    <row r="17566" spans="2:12" x14ac:dyDescent="0.2">
      <c r="B17566"/>
      <c r="C17566"/>
      <c r="J17566"/>
      <c r="K17566"/>
      <c r="L17566"/>
    </row>
    <row r="17567" spans="2:12" x14ac:dyDescent="0.2">
      <c r="B17567"/>
      <c r="C17567"/>
      <c r="J17567"/>
      <c r="K17567"/>
      <c r="L17567"/>
    </row>
    <row r="17568" spans="2:12" x14ac:dyDescent="0.2">
      <c r="B17568"/>
      <c r="C17568"/>
      <c r="J17568"/>
      <c r="K17568"/>
      <c r="L17568"/>
    </row>
    <row r="17569" spans="2:12" x14ac:dyDescent="0.2">
      <c r="B17569"/>
      <c r="C17569"/>
      <c r="J17569"/>
      <c r="K17569"/>
      <c r="L17569"/>
    </row>
    <row r="17570" spans="2:12" x14ac:dyDescent="0.2">
      <c r="B17570"/>
      <c r="C17570"/>
      <c r="J17570"/>
      <c r="K17570"/>
      <c r="L17570"/>
    </row>
    <row r="17571" spans="2:12" x14ac:dyDescent="0.2">
      <c r="B17571"/>
      <c r="C17571"/>
      <c r="J17571"/>
      <c r="K17571"/>
      <c r="L17571"/>
    </row>
    <row r="17572" spans="2:12" x14ac:dyDescent="0.2">
      <c r="B17572"/>
      <c r="C17572"/>
      <c r="J17572"/>
      <c r="K17572"/>
      <c r="L17572"/>
    </row>
    <row r="17573" spans="2:12" x14ac:dyDescent="0.2">
      <c r="B17573"/>
      <c r="C17573"/>
      <c r="J17573"/>
      <c r="K17573"/>
      <c r="L17573"/>
    </row>
    <row r="17574" spans="2:12" x14ac:dyDescent="0.2">
      <c r="B17574"/>
      <c r="C17574"/>
      <c r="J17574"/>
      <c r="K17574"/>
      <c r="L17574"/>
    </row>
    <row r="17575" spans="2:12" x14ac:dyDescent="0.2">
      <c r="B17575"/>
      <c r="C17575"/>
      <c r="J17575"/>
      <c r="K17575"/>
      <c r="L17575"/>
    </row>
    <row r="17576" spans="2:12" x14ac:dyDescent="0.2">
      <c r="B17576"/>
      <c r="C17576"/>
      <c r="J17576"/>
      <c r="K17576"/>
      <c r="L17576"/>
    </row>
    <row r="17577" spans="2:12" x14ac:dyDescent="0.2">
      <c r="B17577"/>
      <c r="C17577"/>
      <c r="J17577"/>
      <c r="K17577"/>
      <c r="L17577"/>
    </row>
    <row r="17578" spans="2:12" x14ac:dyDescent="0.2">
      <c r="B17578"/>
      <c r="C17578"/>
      <c r="J17578"/>
      <c r="K17578"/>
      <c r="L17578"/>
    </row>
    <row r="17579" spans="2:12" x14ac:dyDescent="0.2">
      <c r="B17579"/>
      <c r="C17579"/>
      <c r="J17579"/>
      <c r="K17579"/>
      <c r="L17579"/>
    </row>
    <row r="17580" spans="2:12" x14ac:dyDescent="0.2">
      <c r="B17580"/>
      <c r="C17580"/>
      <c r="J17580"/>
      <c r="K17580"/>
      <c r="L17580"/>
    </row>
    <row r="17581" spans="2:12" x14ac:dyDescent="0.2">
      <c r="B17581"/>
      <c r="C17581"/>
      <c r="J17581"/>
      <c r="K17581"/>
      <c r="L17581"/>
    </row>
    <row r="17582" spans="2:12" x14ac:dyDescent="0.2">
      <c r="B17582"/>
      <c r="C17582"/>
      <c r="J17582"/>
      <c r="K17582"/>
      <c r="L17582"/>
    </row>
    <row r="17583" spans="2:12" x14ac:dyDescent="0.2">
      <c r="B17583"/>
      <c r="C17583"/>
      <c r="J17583"/>
      <c r="K17583"/>
      <c r="L17583"/>
    </row>
    <row r="17584" spans="2:12" x14ac:dyDescent="0.2">
      <c r="B17584"/>
      <c r="C17584"/>
      <c r="J17584"/>
      <c r="K17584"/>
      <c r="L17584"/>
    </row>
    <row r="17585" spans="2:12" x14ac:dyDescent="0.2">
      <c r="B17585"/>
      <c r="C17585"/>
      <c r="J17585"/>
      <c r="K17585"/>
      <c r="L17585"/>
    </row>
    <row r="17586" spans="2:12" x14ac:dyDescent="0.2">
      <c r="B17586"/>
      <c r="C17586"/>
      <c r="J17586"/>
      <c r="K17586"/>
      <c r="L17586"/>
    </row>
    <row r="17587" spans="2:12" x14ac:dyDescent="0.2">
      <c r="B17587"/>
      <c r="C17587"/>
      <c r="J17587"/>
      <c r="K17587"/>
      <c r="L17587"/>
    </row>
    <row r="17588" spans="2:12" x14ac:dyDescent="0.2">
      <c r="B17588"/>
      <c r="C17588"/>
      <c r="J17588"/>
      <c r="K17588"/>
      <c r="L17588"/>
    </row>
    <row r="17589" spans="2:12" x14ac:dyDescent="0.2">
      <c r="B17589"/>
      <c r="C17589"/>
      <c r="J17589"/>
      <c r="K17589"/>
      <c r="L17589"/>
    </row>
    <row r="17590" spans="2:12" x14ac:dyDescent="0.2">
      <c r="B17590"/>
      <c r="C17590"/>
      <c r="J17590"/>
      <c r="K17590"/>
      <c r="L17590"/>
    </row>
    <row r="17591" spans="2:12" x14ac:dyDescent="0.2">
      <c r="B17591"/>
      <c r="C17591"/>
      <c r="J17591"/>
      <c r="K17591"/>
      <c r="L17591"/>
    </row>
    <row r="17592" spans="2:12" x14ac:dyDescent="0.2">
      <c r="B17592"/>
      <c r="C17592"/>
      <c r="J17592"/>
      <c r="K17592"/>
      <c r="L17592"/>
    </row>
    <row r="17593" spans="2:12" x14ac:dyDescent="0.2">
      <c r="B17593"/>
      <c r="C17593"/>
      <c r="J17593"/>
      <c r="K17593"/>
      <c r="L17593"/>
    </row>
    <row r="17594" spans="2:12" x14ac:dyDescent="0.2">
      <c r="B17594"/>
      <c r="C17594"/>
      <c r="J17594"/>
      <c r="K17594"/>
      <c r="L17594"/>
    </row>
    <row r="17595" spans="2:12" x14ac:dyDescent="0.2">
      <c r="B17595"/>
      <c r="C17595"/>
      <c r="J17595"/>
      <c r="K17595"/>
      <c r="L17595"/>
    </row>
    <row r="17596" spans="2:12" x14ac:dyDescent="0.2">
      <c r="B17596"/>
      <c r="C17596"/>
      <c r="J17596"/>
      <c r="K17596"/>
      <c r="L17596"/>
    </row>
    <row r="17597" spans="2:12" x14ac:dyDescent="0.2">
      <c r="B17597"/>
      <c r="C17597"/>
      <c r="J17597"/>
      <c r="K17597"/>
      <c r="L17597"/>
    </row>
    <row r="17598" spans="2:12" x14ac:dyDescent="0.2">
      <c r="B17598"/>
      <c r="C17598"/>
      <c r="J17598"/>
      <c r="K17598"/>
      <c r="L17598"/>
    </row>
    <row r="17599" spans="2:12" x14ac:dyDescent="0.2">
      <c r="B17599"/>
      <c r="C17599"/>
      <c r="J17599"/>
      <c r="K17599"/>
      <c r="L17599"/>
    </row>
    <row r="17600" spans="2:12" x14ac:dyDescent="0.2">
      <c r="B17600"/>
      <c r="C17600"/>
      <c r="J17600"/>
      <c r="K17600"/>
      <c r="L17600"/>
    </row>
    <row r="17601" spans="2:12" x14ac:dyDescent="0.2">
      <c r="B17601"/>
      <c r="C17601"/>
      <c r="J17601"/>
      <c r="K17601"/>
      <c r="L17601"/>
    </row>
    <row r="17602" spans="2:12" x14ac:dyDescent="0.2">
      <c r="B17602"/>
      <c r="C17602"/>
      <c r="J17602"/>
      <c r="K17602"/>
      <c r="L17602"/>
    </row>
    <row r="17603" spans="2:12" x14ac:dyDescent="0.2">
      <c r="B17603"/>
      <c r="C17603"/>
      <c r="J17603"/>
      <c r="K17603"/>
      <c r="L17603"/>
    </row>
    <row r="17604" spans="2:12" x14ac:dyDescent="0.2">
      <c r="B17604"/>
      <c r="C17604"/>
      <c r="J17604"/>
      <c r="K17604"/>
      <c r="L17604"/>
    </row>
    <row r="17605" spans="2:12" x14ac:dyDescent="0.2">
      <c r="B17605"/>
      <c r="C17605"/>
      <c r="J17605"/>
      <c r="K17605"/>
      <c r="L17605"/>
    </row>
    <row r="17606" spans="2:12" x14ac:dyDescent="0.2">
      <c r="B17606"/>
      <c r="C17606"/>
      <c r="J17606"/>
      <c r="K17606"/>
      <c r="L17606"/>
    </row>
    <row r="17607" spans="2:12" x14ac:dyDescent="0.2">
      <c r="B17607"/>
      <c r="C17607"/>
      <c r="J17607"/>
      <c r="K17607"/>
      <c r="L17607"/>
    </row>
    <row r="17608" spans="2:12" x14ac:dyDescent="0.2">
      <c r="B17608"/>
      <c r="C17608"/>
      <c r="J17608"/>
      <c r="K17608"/>
      <c r="L17608"/>
    </row>
    <row r="17609" spans="2:12" x14ac:dyDescent="0.2">
      <c r="B17609"/>
      <c r="C17609"/>
      <c r="J17609"/>
      <c r="K17609"/>
      <c r="L17609"/>
    </row>
    <row r="17610" spans="2:12" x14ac:dyDescent="0.2">
      <c r="B17610"/>
      <c r="C17610"/>
      <c r="J17610"/>
      <c r="K17610"/>
      <c r="L17610"/>
    </row>
    <row r="17611" spans="2:12" x14ac:dyDescent="0.2">
      <c r="B17611"/>
      <c r="C17611"/>
      <c r="J17611"/>
      <c r="K17611"/>
      <c r="L17611"/>
    </row>
    <row r="17612" spans="2:12" x14ac:dyDescent="0.2">
      <c r="B17612"/>
      <c r="C17612"/>
      <c r="J17612"/>
      <c r="K17612"/>
      <c r="L17612"/>
    </row>
    <row r="17613" spans="2:12" x14ac:dyDescent="0.2">
      <c r="B17613"/>
      <c r="C17613"/>
      <c r="J17613"/>
      <c r="K17613"/>
      <c r="L17613"/>
    </row>
    <row r="17614" spans="2:12" x14ac:dyDescent="0.2">
      <c r="B17614"/>
      <c r="C17614"/>
      <c r="J17614"/>
      <c r="K17614"/>
      <c r="L17614"/>
    </row>
    <row r="17615" spans="2:12" x14ac:dyDescent="0.2">
      <c r="B17615"/>
      <c r="C17615"/>
      <c r="J17615"/>
      <c r="K17615"/>
      <c r="L17615"/>
    </row>
    <row r="17616" spans="2:12" x14ac:dyDescent="0.2">
      <c r="B17616"/>
      <c r="C17616"/>
      <c r="J17616"/>
      <c r="K17616"/>
      <c r="L17616"/>
    </row>
    <row r="17617" spans="2:12" x14ac:dyDescent="0.2">
      <c r="B17617"/>
      <c r="C17617"/>
      <c r="J17617"/>
      <c r="K17617"/>
      <c r="L17617"/>
    </row>
    <row r="17618" spans="2:12" x14ac:dyDescent="0.2">
      <c r="B17618"/>
      <c r="C17618"/>
      <c r="J17618"/>
      <c r="K17618"/>
      <c r="L17618"/>
    </row>
    <row r="17619" spans="2:12" x14ac:dyDescent="0.2">
      <c r="B17619"/>
      <c r="C17619"/>
      <c r="J17619"/>
      <c r="K17619"/>
      <c r="L17619"/>
    </row>
    <row r="17620" spans="2:12" x14ac:dyDescent="0.2">
      <c r="B17620"/>
      <c r="C17620"/>
      <c r="J17620"/>
      <c r="K17620"/>
      <c r="L17620"/>
    </row>
    <row r="17621" spans="2:12" x14ac:dyDescent="0.2">
      <c r="B17621"/>
      <c r="C17621"/>
      <c r="J17621"/>
      <c r="K17621"/>
      <c r="L17621"/>
    </row>
    <row r="17622" spans="2:12" x14ac:dyDescent="0.2">
      <c r="B17622"/>
      <c r="C17622"/>
      <c r="J17622"/>
      <c r="K17622"/>
      <c r="L17622"/>
    </row>
    <row r="17623" spans="2:12" x14ac:dyDescent="0.2">
      <c r="B17623"/>
      <c r="C17623"/>
      <c r="J17623"/>
      <c r="K17623"/>
      <c r="L17623"/>
    </row>
    <row r="17624" spans="2:12" x14ac:dyDescent="0.2">
      <c r="B17624"/>
      <c r="C17624"/>
      <c r="J17624"/>
      <c r="K17624"/>
      <c r="L17624"/>
    </row>
    <row r="17625" spans="2:12" x14ac:dyDescent="0.2">
      <c r="B17625"/>
      <c r="C17625"/>
      <c r="J17625"/>
      <c r="K17625"/>
      <c r="L17625"/>
    </row>
    <row r="17626" spans="2:12" x14ac:dyDescent="0.2">
      <c r="B17626"/>
      <c r="C17626"/>
      <c r="J17626"/>
      <c r="K17626"/>
      <c r="L17626"/>
    </row>
    <row r="17627" spans="2:12" x14ac:dyDescent="0.2">
      <c r="B17627"/>
      <c r="C17627"/>
      <c r="J17627"/>
      <c r="K17627"/>
      <c r="L17627"/>
    </row>
    <row r="17628" spans="2:12" x14ac:dyDescent="0.2">
      <c r="B17628"/>
      <c r="C17628"/>
      <c r="J17628"/>
      <c r="K17628"/>
      <c r="L17628"/>
    </row>
    <row r="17629" spans="2:12" x14ac:dyDescent="0.2">
      <c r="B17629"/>
      <c r="C17629"/>
      <c r="J17629"/>
      <c r="K17629"/>
      <c r="L17629"/>
    </row>
    <row r="17630" spans="2:12" x14ac:dyDescent="0.2">
      <c r="B17630"/>
      <c r="C17630"/>
      <c r="J17630"/>
      <c r="K17630"/>
      <c r="L17630"/>
    </row>
    <row r="17631" spans="2:12" x14ac:dyDescent="0.2">
      <c r="B17631"/>
      <c r="C17631"/>
      <c r="J17631"/>
      <c r="K17631"/>
      <c r="L17631"/>
    </row>
    <row r="17632" spans="2:12" x14ac:dyDescent="0.2">
      <c r="B17632"/>
      <c r="C17632"/>
      <c r="J17632"/>
      <c r="K17632"/>
      <c r="L17632"/>
    </row>
    <row r="17633" spans="2:12" x14ac:dyDescent="0.2">
      <c r="B17633"/>
      <c r="C17633"/>
      <c r="J17633"/>
      <c r="K17633"/>
      <c r="L17633"/>
    </row>
    <row r="17634" spans="2:12" x14ac:dyDescent="0.2">
      <c r="B17634"/>
      <c r="C17634"/>
      <c r="J17634"/>
      <c r="K17634"/>
      <c r="L17634"/>
    </row>
    <row r="17635" spans="2:12" x14ac:dyDescent="0.2">
      <c r="B17635"/>
      <c r="C17635"/>
      <c r="J17635"/>
      <c r="K17635"/>
      <c r="L17635"/>
    </row>
    <row r="17636" spans="2:12" x14ac:dyDescent="0.2">
      <c r="B17636"/>
      <c r="C17636"/>
      <c r="J17636"/>
      <c r="K17636"/>
      <c r="L17636"/>
    </row>
    <row r="17637" spans="2:12" x14ac:dyDescent="0.2">
      <c r="B17637"/>
      <c r="C17637"/>
      <c r="J17637"/>
      <c r="K17637"/>
      <c r="L17637"/>
    </row>
    <row r="17638" spans="2:12" x14ac:dyDescent="0.2">
      <c r="B17638"/>
      <c r="C17638"/>
      <c r="J17638"/>
      <c r="K17638"/>
      <c r="L17638"/>
    </row>
    <row r="17639" spans="2:12" x14ac:dyDescent="0.2">
      <c r="B17639"/>
      <c r="C17639"/>
      <c r="J17639"/>
      <c r="K17639"/>
      <c r="L17639"/>
    </row>
    <row r="17640" spans="2:12" x14ac:dyDescent="0.2">
      <c r="B17640"/>
      <c r="C17640"/>
      <c r="J17640"/>
      <c r="K17640"/>
      <c r="L17640"/>
    </row>
    <row r="17641" spans="2:12" x14ac:dyDescent="0.2">
      <c r="B17641"/>
      <c r="C17641"/>
      <c r="J17641"/>
      <c r="K17641"/>
      <c r="L17641"/>
    </row>
    <row r="17642" spans="2:12" x14ac:dyDescent="0.2">
      <c r="B17642"/>
      <c r="C17642"/>
      <c r="J17642"/>
      <c r="K17642"/>
      <c r="L17642"/>
    </row>
    <row r="17643" spans="2:12" x14ac:dyDescent="0.2">
      <c r="B17643"/>
      <c r="C17643"/>
      <c r="J17643"/>
      <c r="K17643"/>
      <c r="L17643"/>
    </row>
    <row r="17644" spans="2:12" x14ac:dyDescent="0.2">
      <c r="B17644"/>
      <c r="C17644"/>
      <c r="J17644"/>
      <c r="K17644"/>
      <c r="L17644"/>
    </row>
    <row r="17645" spans="2:12" x14ac:dyDescent="0.2">
      <c r="B17645"/>
      <c r="C17645"/>
      <c r="J17645"/>
      <c r="K17645"/>
      <c r="L17645"/>
    </row>
    <row r="17646" spans="2:12" x14ac:dyDescent="0.2">
      <c r="B17646"/>
      <c r="C17646"/>
      <c r="J17646"/>
      <c r="K17646"/>
      <c r="L17646"/>
    </row>
    <row r="17647" spans="2:12" x14ac:dyDescent="0.2">
      <c r="B17647"/>
      <c r="C17647"/>
      <c r="J17647"/>
      <c r="K17647"/>
      <c r="L17647"/>
    </row>
    <row r="17648" spans="2:12" x14ac:dyDescent="0.2">
      <c r="B17648"/>
      <c r="C17648"/>
      <c r="J17648"/>
      <c r="K17648"/>
      <c r="L17648"/>
    </row>
    <row r="17649" spans="2:12" x14ac:dyDescent="0.2">
      <c r="B17649"/>
      <c r="C17649"/>
      <c r="J17649"/>
      <c r="K17649"/>
      <c r="L17649"/>
    </row>
    <row r="17650" spans="2:12" x14ac:dyDescent="0.2">
      <c r="B17650"/>
      <c r="C17650"/>
      <c r="J17650"/>
      <c r="K17650"/>
      <c r="L17650"/>
    </row>
    <row r="17651" spans="2:12" x14ac:dyDescent="0.2">
      <c r="B17651"/>
      <c r="C17651"/>
      <c r="J17651"/>
      <c r="K17651"/>
      <c r="L17651"/>
    </row>
    <row r="17652" spans="2:12" x14ac:dyDescent="0.2">
      <c r="B17652"/>
      <c r="C17652"/>
      <c r="J17652"/>
      <c r="K17652"/>
      <c r="L17652"/>
    </row>
    <row r="17653" spans="2:12" x14ac:dyDescent="0.2">
      <c r="B17653"/>
      <c r="C17653"/>
      <c r="J17653"/>
      <c r="K17653"/>
      <c r="L17653"/>
    </row>
    <row r="17654" spans="2:12" x14ac:dyDescent="0.2">
      <c r="B17654"/>
      <c r="C17654"/>
      <c r="J17654"/>
      <c r="K17654"/>
      <c r="L17654"/>
    </row>
    <row r="17655" spans="2:12" x14ac:dyDescent="0.2">
      <c r="B17655"/>
      <c r="C17655"/>
      <c r="J17655"/>
      <c r="K17655"/>
      <c r="L17655"/>
    </row>
    <row r="17656" spans="2:12" x14ac:dyDescent="0.2">
      <c r="B17656"/>
      <c r="C17656"/>
      <c r="J17656"/>
      <c r="K17656"/>
      <c r="L17656"/>
    </row>
    <row r="17657" spans="2:12" x14ac:dyDescent="0.2">
      <c r="B17657"/>
      <c r="C17657"/>
      <c r="J17657"/>
      <c r="K17657"/>
      <c r="L17657"/>
    </row>
    <row r="17658" spans="2:12" x14ac:dyDescent="0.2">
      <c r="B17658"/>
      <c r="C17658"/>
      <c r="J17658"/>
      <c r="K17658"/>
      <c r="L17658"/>
    </row>
    <row r="17659" spans="2:12" x14ac:dyDescent="0.2">
      <c r="B17659"/>
      <c r="C17659"/>
      <c r="J17659"/>
      <c r="K17659"/>
      <c r="L17659"/>
    </row>
    <row r="17660" spans="2:12" x14ac:dyDescent="0.2">
      <c r="B17660"/>
      <c r="C17660"/>
      <c r="J17660"/>
      <c r="K17660"/>
      <c r="L17660"/>
    </row>
    <row r="17661" spans="2:12" x14ac:dyDescent="0.2">
      <c r="B17661"/>
      <c r="C17661"/>
      <c r="J17661"/>
      <c r="K17661"/>
      <c r="L17661"/>
    </row>
    <row r="17662" spans="2:12" x14ac:dyDescent="0.2">
      <c r="B17662"/>
      <c r="C17662"/>
      <c r="J17662"/>
      <c r="K17662"/>
      <c r="L17662"/>
    </row>
    <row r="17663" spans="2:12" x14ac:dyDescent="0.2">
      <c r="B17663"/>
      <c r="C17663"/>
      <c r="J17663"/>
      <c r="K17663"/>
      <c r="L17663"/>
    </row>
    <row r="17664" spans="2:12" x14ac:dyDescent="0.2">
      <c r="B17664"/>
      <c r="C17664"/>
      <c r="J17664"/>
      <c r="K17664"/>
      <c r="L17664"/>
    </row>
    <row r="17665" spans="2:12" x14ac:dyDescent="0.2">
      <c r="B17665"/>
      <c r="C17665"/>
      <c r="J17665"/>
      <c r="K17665"/>
      <c r="L17665"/>
    </row>
    <row r="17666" spans="2:12" x14ac:dyDescent="0.2">
      <c r="B17666"/>
      <c r="C17666"/>
      <c r="J17666"/>
      <c r="K17666"/>
      <c r="L17666"/>
    </row>
    <row r="17667" spans="2:12" x14ac:dyDescent="0.2">
      <c r="B17667"/>
      <c r="C17667"/>
      <c r="J17667"/>
      <c r="K17667"/>
      <c r="L17667"/>
    </row>
    <row r="17668" spans="2:12" x14ac:dyDescent="0.2">
      <c r="B17668"/>
      <c r="C17668"/>
      <c r="J17668"/>
      <c r="K17668"/>
      <c r="L17668"/>
    </row>
    <row r="17669" spans="2:12" x14ac:dyDescent="0.2">
      <c r="B17669"/>
      <c r="C17669"/>
      <c r="J17669"/>
      <c r="K17669"/>
      <c r="L17669"/>
    </row>
    <row r="17670" spans="2:12" x14ac:dyDescent="0.2">
      <c r="B17670"/>
      <c r="C17670"/>
      <c r="J17670"/>
      <c r="K17670"/>
      <c r="L17670"/>
    </row>
    <row r="17671" spans="2:12" x14ac:dyDescent="0.2">
      <c r="B17671"/>
      <c r="C17671"/>
      <c r="J17671"/>
      <c r="K17671"/>
      <c r="L17671"/>
    </row>
    <row r="17672" spans="2:12" x14ac:dyDescent="0.2">
      <c r="B17672"/>
      <c r="C17672"/>
      <c r="J17672"/>
      <c r="K17672"/>
      <c r="L17672"/>
    </row>
    <row r="17673" spans="2:12" x14ac:dyDescent="0.2">
      <c r="B17673"/>
      <c r="C17673"/>
      <c r="J17673"/>
      <c r="K17673"/>
      <c r="L17673"/>
    </row>
    <row r="17674" spans="2:12" x14ac:dyDescent="0.2">
      <c r="B17674"/>
      <c r="C17674"/>
      <c r="J17674"/>
      <c r="K17674"/>
      <c r="L17674"/>
    </row>
    <row r="17675" spans="2:12" x14ac:dyDescent="0.2">
      <c r="B17675"/>
      <c r="C17675"/>
      <c r="J17675"/>
      <c r="K17675"/>
      <c r="L17675"/>
    </row>
    <row r="17676" spans="2:12" x14ac:dyDescent="0.2">
      <c r="B17676"/>
      <c r="C17676"/>
      <c r="J17676"/>
      <c r="K17676"/>
      <c r="L17676"/>
    </row>
    <row r="17677" spans="2:12" x14ac:dyDescent="0.2">
      <c r="B17677"/>
      <c r="C17677"/>
      <c r="J17677"/>
      <c r="K17677"/>
      <c r="L17677"/>
    </row>
    <row r="17678" spans="2:12" x14ac:dyDescent="0.2">
      <c r="B17678"/>
      <c r="C17678"/>
      <c r="J17678"/>
      <c r="K17678"/>
      <c r="L17678"/>
    </row>
    <row r="17679" spans="2:12" x14ac:dyDescent="0.2">
      <c r="B17679"/>
      <c r="C17679"/>
      <c r="J17679"/>
      <c r="K17679"/>
      <c r="L17679"/>
    </row>
    <row r="17680" spans="2:12" x14ac:dyDescent="0.2">
      <c r="B17680"/>
      <c r="C17680"/>
      <c r="J17680"/>
      <c r="K17680"/>
      <c r="L17680"/>
    </row>
    <row r="17681" spans="2:12" x14ac:dyDescent="0.2">
      <c r="B17681"/>
      <c r="C17681"/>
      <c r="J17681"/>
      <c r="K17681"/>
      <c r="L17681"/>
    </row>
    <row r="17682" spans="2:12" x14ac:dyDescent="0.2">
      <c r="B17682"/>
      <c r="C17682"/>
      <c r="J17682"/>
      <c r="K17682"/>
      <c r="L17682"/>
    </row>
    <row r="17683" spans="2:12" x14ac:dyDescent="0.2">
      <c r="B17683"/>
      <c r="C17683"/>
      <c r="J17683"/>
      <c r="K17683"/>
      <c r="L17683"/>
    </row>
    <row r="17684" spans="2:12" x14ac:dyDescent="0.2">
      <c r="B17684"/>
      <c r="C17684"/>
      <c r="J17684"/>
      <c r="K17684"/>
      <c r="L17684"/>
    </row>
    <row r="17685" spans="2:12" x14ac:dyDescent="0.2">
      <c r="B17685"/>
      <c r="C17685"/>
      <c r="J17685"/>
      <c r="K17685"/>
      <c r="L17685"/>
    </row>
    <row r="17686" spans="2:12" x14ac:dyDescent="0.2">
      <c r="B17686"/>
      <c r="C17686"/>
      <c r="J17686"/>
      <c r="K17686"/>
      <c r="L17686"/>
    </row>
    <row r="17687" spans="2:12" x14ac:dyDescent="0.2">
      <c r="B17687"/>
      <c r="C17687"/>
      <c r="J17687"/>
      <c r="K17687"/>
      <c r="L17687"/>
    </row>
    <row r="17688" spans="2:12" x14ac:dyDescent="0.2">
      <c r="B17688"/>
      <c r="C17688"/>
      <c r="J17688"/>
      <c r="K17688"/>
      <c r="L17688"/>
    </row>
    <row r="17689" spans="2:12" x14ac:dyDescent="0.2">
      <c r="B17689"/>
      <c r="C17689"/>
      <c r="J17689"/>
      <c r="K17689"/>
      <c r="L17689"/>
    </row>
    <row r="17690" spans="2:12" x14ac:dyDescent="0.2">
      <c r="B17690"/>
      <c r="C17690"/>
      <c r="J17690"/>
      <c r="K17690"/>
      <c r="L17690"/>
    </row>
    <row r="17691" spans="2:12" x14ac:dyDescent="0.2">
      <c r="B17691"/>
      <c r="C17691"/>
      <c r="J17691"/>
      <c r="K17691"/>
      <c r="L17691"/>
    </row>
    <row r="17692" spans="2:12" x14ac:dyDescent="0.2">
      <c r="B17692"/>
      <c r="C17692"/>
      <c r="J17692"/>
      <c r="K17692"/>
      <c r="L17692"/>
    </row>
    <row r="17693" spans="2:12" x14ac:dyDescent="0.2">
      <c r="B17693"/>
      <c r="C17693"/>
      <c r="J17693"/>
      <c r="K17693"/>
      <c r="L17693"/>
    </row>
    <row r="17694" spans="2:12" x14ac:dyDescent="0.2">
      <c r="B17694"/>
      <c r="C17694"/>
      <c r="J17694"/>
      <c r="K17694"/>
      <c r="L17694"/>
    </row>
    <row r="17695" spans="2:12" x14ac:dyDescent="0.2">
      <c r="B17695"/>
      <c r="C17695"/>
      <c r="J17695"/>
      <c r="K17695"/>
      <c r="L17695"/>
    </row>
    <row r="17696" spans="2:12" x14ac:dyDescent="0.2">
      <c r="B17696"/>
      <c r="C17696"/>
      <c r="J17696"/>
      <c r="K17696"/>
      <c r="L17696"/>
    </row>
    <row r="17697" spans="2:12" x14ac:dyDescent="0.2">
      <c r="B17697"/>
      <c r="C17697"/>
      <c r="J17697"/>
      <c r="K17697"/>
      <c r="L17697"/>
    </row>
    <row r="17698" spans="2:12" x14ac:dyDescent="0.2">
      <c r="B17698"/>
      <c r="C17698"/>
      <c r="J17698"/>
      <c r="K17698"/>
      <c r="L17698"/>
    </row>
    <row r="17699" spans="2:12" x14ac:dyDescent="0.2">
      <c r="B17699"/>
      <c r="C17699"/>
      <c r="J17699"/>
      <c r="K17699"/>
      <c r="L17699"/>
    </row>
    <row r="17700" spans="2:12" x14ac:dyDescent="0.2">
      <c r="B17700"/>
      <c r="C17700"/>
      <c r="J17700"/>
      <c r="K17700"/>
      <c r="L17700"/>
    </row>
    <row r="17701" spans="2:12" x14ac:dyDescent="0.2">
      <c r="B17701"/>
      <c r="C17701"/>
      <c r="J17701"/>
      <c r="K17701"/>
      <c r="L17701"/>
    </row>
    <row r="17702" spans="2:12" x14ac:dyDescent="0.2">
      <c r="B17702"/>
      <c r="C17702"/>
      <c r="J17702"/>
      <c r="K17702"/>
      <c r="L17702"/>
    </row>
    <row r="17703" spans="2:12" x14ac:dyDescent="0.2">
      <c r="B17703"/>
      <c r="C17703"/>
      <c r="J17703"/>
      <c r="K17703"/>
      <c r="L17703"/>
    </row>
    <row r="17704" spans="2:12" x14ac:dyDescent="0.2">
      <c r="B17704"/>
      <c r="C17704"/>
      <c r="J17704"/>
      <c r="K17704"/>
      <c r="L17704"/>
    </row>
    <row r="17705" spans="2:12" x14ac:dyDescent="0.2">
      <c r="B17705"/>
      <c r="C17705"/>
      <c r="J17705"/>
      <c r="K17705"/>
      <c r="L17705"/>
    </row>
    <row r="17706" spans="2:12" x14ac:dyDescent="0.2">
      <c r="B17706"/>
      <c r="C17706"/>
      <c r="J17706"/>
      <c r="K17706"/>
      <c r="L17706"/>
    </row>
    <row r="17707" spans="2:12" x14ac:dyDescent="0.2">
      <c r="B17707"/>
      <c r="C17707"/>
      <c r="J17707"/>
      <c r="K17707"/>
      <c r="L17707"/>
    </row>
    <row r="17708" spans="2:12" x14ac:dyDescent="0.2">
      <c r="B17708"/>
      <c r="C17708"/>
      <c r="J17708"/>
      <c r="K17708"/>
      <c r="L17708"/>
    </row>
    <row r="17709" spans="2:12" x14ac:dyDescent="0.2">
      <c r="B17709"/>
      <c r="C17709"/>
      <c r="J17709"/>
      <c r="K17709"/>
      <c r="L17709"/>
    </row>
    <row r="17710" spans="2:12" x14ac:dyDescent="0.2">
      <c r="B17710"/>
      <c r="C17710"/>
      <c r="J17710"/>
      <c r="K17710"/>
      <c r="L17710"/>
    </row>
    <row r="17711" spans="2:12" x14ac:dyDescent="0.2">
      <c r="B17711"/>
      <c r="C17711"/>
      <c r="J17711"/>
      <c r="K17711"/>
      <c r="L17711"/>
    </row>
    <row r="17712" spans="2:12" x14ac:dyDescent="0.2">
      <c r="B17712"/>
      <c r="C17712"/>
      <c r="J17712"/>
      <c r="K17712"/>
      <c r="L17712"/>
    </row>
    <row r="17713" spans="2:12" x14ac:dyDescent="0.2">
      <c r="B17713"/>
      <c r="C17713"/>
      <c r="J17713"/>
      <c r="K17713"/>
      <c r="L17713"/>
    </row>
    <row r="17714" spans="2:12" x14ac:dyDescent="0.2">
      <c r="B17714"/>
      <c r="C17714"/>
      <c r="J17714"/>
      <c r="K17714"/>
      <c r="L17714"/>
    </row>
    <row r="17715" spans="2:12" x14ac:dyDescent="0.2">
      <c r="B17715"/>
      <c r="C17715"/>
      <c r="J17715"/>
      <c r="K17715"/>
      <c r="L17715"/>
    </row>
    <row r="17716" spans="2:12" x14ac:dyDescent="0.2">
      <c r="B17716"/>
      <c r="C17716"/>
      <c r="J17716"/>
      <c r="K17716"/>
      <c r="L17716"/>
    </row>
    <row r="17717" spans="2:12" x14ac:dyDescent="0.2">
      <c r="B17717"/>
      <c r="C17717"/>
      <c r="J17717"/>
      <c r="K17717"/>
      <c r="L17717"/>
    </row>
    <row r="17718" spans="2:12" x14ac:dyDescent="0.2">
      <c r="B17718"/>
      <c r="C17718"/>
      <c r="J17718"/>
      <c r="K17718"/>
      <c r="L17718"/>
    </row>
    <row r="17719" spans="2:12" x14ac:dyDescent="0.2">
      <c r="B17719"/>
      <c r="C17719"/>
      <c r="J17719"/>
      <c r="K17719"/>
      <c r="L17719"/>
    </row>
    <row r="17720" spans="2:12" x14ac:dyDescent="0.2">
      <c r="B17720"/>
      <c r="C17720"/>
      <c r="J17720"/>
      <c r="K17720"/>
      <c r="L17720"/>
    </row>
    <row r="17721" spans="2:12" x14ac:dyDescent="0.2">
      <c r="B17721"/>
      <c r="C17721"/>
      <c r="J17721"/>
      <c r="K17721"/>
      <c r="L17721"/>
    </row>
    <row r="17722" spans="2:12" x14ac:dyDescent="0.2">
      <c r="B17722"/>
      <c r="C17722"/>
      <c r="J17722"/>
      <c r="K17722"/>
      <c r="L17722"/>
    </row>
    <row r="17723" spans="2:12" x14ac:dyDescent="0.2">
      <c r="B17723"/>
      <c r="C17723"/>
      <c r="J17723"/>
      <c r="K17723"/>
      <c r="L17723"/>
    </row>
    <row r="17724" spans="2:12" x14ac:dyDescent="0.2">
      <c r="B17724"/>
      <c r="C17724"/>
      <c r="J17724"/>
      <c r="K17724"/>
      <c r="L17724"/>
    </row>
    <row r="17725" spans="2:12" x14ac:dyDescent="0.2">
      <c r="B17725"/>
      <c r="C17725"/>
      <c r="J17725"/>
      <c r="K17725"/>
      <c r="L17725"/>
    </row>
    <row r="17726" spans="2:12" x14ac:dyDescent="0.2">
      <c r="B17726"/>
      <c r="C17726"/>
      <c r="J17726"/>
      <c r="K17726"/>
      <c r="L17726"/>
    </row>
    <row r="17727" spans="2:12" x14ac:dyDescent="0.2">
      <c r="B17727"/>
      <c r="C17727"/>
      <c r="J17727"/>
      <c r="K17727"/>
      <c r="L17727"/>
    </row>
    <row r="17728" spans="2:12" x14ac:dyDescent="0.2">
      <c r="B17728"/>
      <c r="C17728"/>
      <c r="J17728"/>
      <c r="K17728"/>
      <c r="L17728"/>
    </row>
    <row r="17729" spans="2:12" x14ac:dyDescent="0.2">
      <c r="B17729"/>
      <c r="C17729"/>
      <c r="J17729"/>
      <c r="K17729"/>
      <c r="L17729"/>
    </row>
    <row r="17730" spans="2:12" x14ac:dyDescent="0.2">
      <c r="B17730"/>
      <c r="C17730"/>
      <c r="J17730"/>
      <c r="K17730"/>
      <c r="L17730"/>
    </row>
    <row r="17731" spans="2:12" x14ac:dyDescent="0.2">
      <c r="B17731"/>
      <c r="C17731"/>
      <c r="J17731"/>
      <c r="K17731"/>
      <c r="L17731"/>
    </row>
    <row r="17732" spans="2:12" x14ac:dyDescent="0.2">
      <c r="B17732"/>
      <c r="C17732"/>
      <c r="J17732"/>
      <c r="K17732"/>
      <c r="L17732"/>
    </row>
    <row r="17733" spans="2:12" x14ac:dyDescent="0.2">
      <c r="B17733"/>
      <c r="C17733"/>
      <c r="J17733"/>
      <c r="K17733"/>
      <c r="L17733"/>
    </row>
    <row r="17734" spans="2:12" x14ac:dyDescent="0.2">
      <c r="B17734"/>
      <c r="C17734"/>
      <c r="J17734"/>
      <c r="K17734"/>
      <c r="L17734"/>
    </row>
    <row r="17735" spans="2:12" x14ac:dyDescent="0.2">
      <c r="B17735"/>
      <c r="C17735"/>
      <c r="J17735"/>
      <c r="K17735"/>
      <c r="L17735"/>
    </row>
    <row r="17736" spans="2:12" x14ac:dyDescent="0.2">
      <c r="B17736"/>
      <c r="C17736"/>
      <c r="J17736"/>
      <c r="K17736"/>
      <c r="L17736"/>
    </row>
    <row r="17737" spans="2:12" x14ac:dyDescent="0.2">
      <c r="B17737"/>
      <c r="C17737"/>
      <c r="J17737"/>
      <c r="K17737"/>
      <c r="L17737"/>
    </row>
    <row r="17738" spans="2:12" x14ac:dyDescent="0.2">
      <c r="B17738"/>
      <c r="C17738"/>
      <c r="J17738"/>
      <c r="K17738"/>
      <c r="L17738"/>
    </row>
    <row r="17739" spans="2:12" x14ac:dyDescent="0.2">
      <c r="B17739"/>
      <c r="C17739"/>
      <c r="J17739"/>
      <c r="K17739"/>
      <c r="L17739"/>
    </row>
    <row r="17740" spans="2:12" x14ac:dyDescent="0.2">
      <c r="B17740"/>
      <c r="C17740"/>
      <c r="J17740"/>
      <c r="K17740"/>
      <c r="L17740"/>
    </row>
    <row r="17741" spans="2:12" x14ac:dyDescent="0.2">
      <c r="B17741"/>
      <c r="C17741"/>
      <c r="J17741"/>
      <c r="K17741"/>
      <c r="L17741"/>
    </row>
    <row r="17742" spans="2:12" x14ac:dyDescent="0.2">
      <c r="B17742"/>
      <c r="C17742"/>
      <c r="J17742"/>
      <c r="K17742"/>
      <c r="L17742"/>
    </row>
    <row r="17743" spans="2:12" x14ac:dyDescent="0.2">
      <c r="B17743"/>
      <c r="C17743"/>
      <c r="J17743"/>
      <c r="K17743"/>
      <c r="L17743"/>
    </row>
    <row r="17744" spans="2:12" x14ac:dyDescent="0.2">
      <c r="B17744"/>
      <c r="C17744"/>
      <c r="J17744"/>
      <c r="K17744"/>
      <c r="L17744"/>
    </row>
    <row r="17745" spans="2:12" x14ac:dyDescent="0.2">
      <c r="B17745"/>
      <c r="C17745"/>
      <c r="J17745"/>
      <c r="K17745"/>
      <c r="L17745"/>
    </row>
    <row r="17746" spans="2:12" x14ac:dyDescent="0.2">
      <c r="B17746"/>
      <c r="C17746"/>
      <c r="J17746"/>
      <c r="K17746"/>
      <c r="L17746"/>
    </row>
    <row r="17747" spans="2:12" x14ac:dyDescent="0.2">
      <c r="B17747"/>
      <c r="C17747"/>
      <c r="J17747"/>
      <c r="K17747"/>
      <c r="L17747"/>
    </row>
    <row r="17748" spans="2:12" x14ac:dyDescent="0.2">
      <c r="B17748"/>
      <c r="C17748"/>
      <c r="J17748"/>
      <c r="K17748"/>
      <c r="L17748"/>
    </row>
    <row r="17749" spans="2:12" x14ac:dyDescent="0.2">
      <c r="B17749"/>
      <c r="C17749"/>
      <c r="J17749"/>
      <c r="K17749"/>
      <c r="L17749"/>
    </row>
    <row r="17750" spans="2:12" x14ac:dyDescent="0.2">
      <c r="B17750"/>
      <c r="C17750"/>
      <c r="J17750"/>
      <c r="K17750"/>
      <c r="L17750"/>
    </row>
    <row r="17751" spans="2:12" x14ac:dyDescent="0.2">
      <c r="B17751"/>
      <c r="C17751"/>
      <c r="J17751"/>
      <c r="K17751"/>
      <c r="L17751"/>
    </row>
    <row r="17752" spans="2:12" x14ac:dyDescent="0.2">
      <c r="B17752"/>
      <c r="C17752"/>
      <c r="J17752"/>
      <c r="K17752"/>
      <c r="L17752"/>
    </row>
    <row r="17753" spans="2:12" x14ac:dyDescent="0.2">
      <c r="B17753"/>
      <c r="C17753"/>
      <c r="J17753"/>
      <c r="K17753"/>
      <c r="L17753"/>
    </row>
    <row r="17754" spans="2:12" x14ac:dyDescent="0.2">
      <c r="B17754"/>
      <c r="C17754"/>
      <c r="J17754"/>
      <c r="K17754"/>
      <c r="L17754"/>
    </row>
    <row r="17755" spans="2:12" x14ac:dyDescent="0.2">
      <c r="B17755"/>
      <c r="C17755"/>
      <c r="J17755"/>
      <c r="K17755"/>
      <c r="L17755"/>
    </row>
    <row r="17756" spans="2:12" x14ac:dyDescent="0.2">
      <c r="B17756"/>
      <c r="C17756"/>
      <c r="J17756"/>
      <c r="K17756"/>
      <c r="L17756"/>
    </row>
    <row r="17757" spans="2:12" x14ac:dyDescent="0.2">
      <c r="B17757"/>
      <c r="C17757"/>
      <c r="J17757"/>
      <c r="K17757"/>
      <c r="L17757"/>
    </row>
    <row r="17758" spans="2:12" x14ac:dyDescent="0.2">
      <c r="B17758"/>
      <c r="C17758"/>
      <c r="J17758"/>
      <c r="K17758"/>
      <c r="L17758"/>
    </row>
    <row r="17759" spans="2:12" x14ac:dyDescent="0.2">
      <c r="B17759"/>
      <c r="C17759"/>
      <c r="J17759"/>
      <c r="K17759"/>
      <c r="L17759"/>
    </row>
    <row r="17760" spans="2:12" x14ac:dyDescent="0.2">
      <c r="B17760"/>
      <c r="C17760"/>
      <c r="J17760"/>
      <c r="K17760"/>
      <c r="L17760"/>
    </row>
    <row r="17761" spans="2:12" x14ac:dyDescent="0.2">
      <c r="B17761"/>
      <c r="C17761"/>
      <c r="J17761"/>
      <c r="K17761"/>
      <c r="L17761"/>
    </row>
    <row r="17762" spans="2:12" x14ac:dyDescent="0.2">
      <c r="B17762"/>
      <c r="C17762"/>
      <c r="J17762"/>
      <c r="K17762"/>
      <c r="L17762"/>
    </row>
    <row r="17763" spans="2:12" x14ac:dyDescent="0.2">
      <c r="B17763"/>
      <c r="C17763"/>
      <c r="J17763"/>
      <c r="K17763"/>
      <c r="L17763"/>
    </row>
    <row r="17764" spans="2:12" x14ac:dyDescent="0.2">
      <c r="B17764"/>
      <c r="C17764"/>
      <c r="J17764"/>
      <c r="K17764"/>
      <c r="L17764"/>
    </row>
    <row r="17765" spans="2:12" x14ac:dyDescent="0.2">
      <c r="B17765"/>
      <c r="C17765"/>
      <c r="J17765"/>
      <c r="K17765"/>
      <c r="L17765"/>
    </row>
    <row r="17766" spans="2:12" x14ac:dyDescent="0.2">
      <c r="B17766"/>
      <c r="C17766"/>
      <c r="J17766"/>
      <c r="K17766"/>
      <c r="L17766"/>
    </row>
    <row r="17767" spans="2:12" x14ac:dyDescent="0.2">
      <c r="B17767"/>
      <c r="C17767"/>
      <c r="J17767"/>
      <c r="K17767"/>
      <c r="L17767"/>
    </row>
    <row r="17768" spans="2:12" x14ac:dyDescent="0.2">
      <c r="B17768"/>
      <c r="C17768"/>
      <c r="J17768"/>
      <c r="K17768"/>
      <c r="L17768"/>
    </row>
    <row r="17769" spans="2:12" x14ac:dyDescent="0.2">
      <c r="B17769"/>
      <c r="C17769"/>
      <c r="J17769"/>
      <c r="K17769"/>
      <c r="L17769"/>
    </row>
    <row r="17770" spans="2:12" x14ac:dyDescent="0.2">
      <c r="B17770"/>
      <c r="C17770"/>
      <c r="J17770"/>
      <c r="K17770"/>
      <c r="L17770"/>
    </row>
    <row r="17771" spans="2:12" x14ac:dyDescent="0.2">
      <c r="B17771"/>
      <c r="C17771"/>
      <c r="J17771"/>
      <c r="K17771"/>
      <c r="L17771"/>
    </row>
    <row r="17772" spans="2:12" x14ac:dyDescent="0.2">
      <c r="B17772"/>
      <c r="C17772"/>
      <c r="J17772"/>
      <c r="K17772"/>
      <c r="L17772"/>
    </row>
    <row r="17773" spans="2:12" x14ac:dyDescent="0.2">
      <c r="B17773"/>
      <c r="C17773"/>
      <c r="J17773"/>
      <c r="K17773"/>
      <c r="L17773"/>
    </row>
    <row r="17774" spans="2:12" x14ac:dyDescent="0.2">
      <c r="B17774"/>
      <c r="C17774"/>
      <c r="J17774"/>
      <c r="K17774"/>
      <c r="L17774"/>
    </row>
    <row r="17775" spans="2:12" x14ac:dyDescent="0.2">
      <c r="B17775"/>
      <c r="C17775"/>
      <c r="J17775"/>
      <c r="K17775"/>
      <c r="L17775"/>
    </row>
    <row r="17776" spans="2:12" x14ac:dyDescent="0.2">
      <c r="B17776"/>
      <c r="C17776"/>
      <c r="J17776"/>
      <c r="K17776"/>
      <c r="L17776"/>
    </row>
    <row r="17777" spans="2:12" x14ac:dyDescent="0.2">
      <c r="B17777"/>
      <c r="C17777"/>
      <c r="J17777"/>
      <c r="K17777"/>
      <c r="L17777"/>
    </row>
    <row r="17778" spans="2:12" x14ac:dyDescent="0.2">
      <c r="B17778"/>
      <c r="C17778"/>
      <c r="J17778"/>
      <c r="K17778"/>
      <c r="L17778"/>
    </row>
    <row r="17779" spans="2:12" x14ac:dyDescent="0.2">
      <c r="B17779"/>
      <c r="C17779"/>
      <c r="J17779"/>
      <c r="K17779"/>
      <c r="L17779"/>
    </row>
    <row r="17780" spans="2:12" x14ac:dyDescent="0.2">
      <c r="B17780"/>
      <c r="C17780"/>
      <c r="J17780"/>
      <c r="K17780"/>
      <c r="L17780"/>
    </row>
    <row r="17781" spans="2:12" x14ac:dyDescent="0.2">
      <c r="B17781"/>
      <c r="C17781"/>
      <c r="J17781"/>
      <c r="K17781"/>
      <c r="L17781"/>
    </row>
    <row r="17782" spans="2:12" x14ac:dyDescent="0.2">
      <c r="B17782"/>
      <c r="C17782"/>
      <c r="J17782"/>
      <c r="K17782"/>
      <c r="L17782"/>
    </row>
    <row r="17783" spans="2:12" x14ac:dyDescent="0.2">
      <c r="B17783"/>
      <c r="C17783"/>
      <c r="J17783"/>
      <c r="K17783"/>
      <c r="L17783"/>
    </row>
    <row r="17784" spans="2:12" x14ac:dyDescent="0.2">
      <c r="B17784"/>
      <c r="C17784"/>
      <c r="J17784"/>
      <c r="K17784"/>
      <c r="L17784"/>
    </row>
    <row r="17785" spans="2:12" x14ac:dyDescent="0.2">
      <c r="B17785"/>
      <c r="C17785"/>
      <c r="J17785"/>
      <c r="K17785"/>
      <c r="L17785"/>
    </row>
    <row r="17786" spans="2:12" x14ac:dyDescent="0.2">
      <c r="B17786"/>
      <c r="C17786"/>
      <c r="J17786"/>
      <c r="K17786"/>
      <c r="L17786"/>
    </row>
    <row r="17787" spans="2:12" x14ac:dyDescent="0.2">
      <c r="B17787"/>
      <c r="C17787"/>
      <c r="J17787"/>
      <c r="K17787"/>
      <c r="L17787"/>
    </row>
    <row r="17788" spans="2:12" x14ac:dyDescent="0.2">
      <c r="B17788"/>
      <c r="C17788"/>
      <c r="J17788"/>
      <c r="K17788"/>
      <c r="L17788"/>
    </row>
    <row r="17789" spans="2:12" x14ac:dyDescent="0.2">
      <c r="B17789"/>
      <c r="C17789"/>
      <c r="J17789"/>
      <c r="K17789"/>
      <c r="L17789"/>
    </row>
    <row r="17790" spans="2:12" x14ac:dyDescent="0.2">
      <c r="B17790"/>
      <c r="C17790"/>
      <c r="J17790"/>
      <c r="K17790"/>
      <c r="L17790"/>
    </row>
    <row r="17791" spans="2:12" x14ac:dyDescent="0.2">
      <c r="B17791"/>
      <c r="C17791"/>
      <c r="J17791"/>
      <c r="K17791"/>
      <c r="L17791"/>
    </row>
    <row r="17792" spans="2:12" x14ac:dyDescent="0.2">
      <c r="B17792"/>
      <c r="C17792"/>
      <c r="J17792"/>
      <c r="K17792"/>
      <c r="L17792"/>
    </row>
    <row r="17793" spans="2:12" x14ac:dyDescent="0.2">
      <c r="B17793"/>
      <c r="C17793"/>
      <c r="J17793"/>
      <c r="K17793"/>
      <c r="L17793"/>
    </row>
    <row r="17794" spans="2:12" x14ac:dyDescent="0.2">
      <c r="B17794"/>
      <c r="C17794"/>
      <c r="J17794"/>
      <c r="K17794"/>
      <c r="L17794"/>
    </row>
    <row r="17795" spans="2:12" x14ac:dyDescent="0.2">
      <c r="B17795"/>
      <c r="C17795"/>
      <c r="J17795"/>
      <c r="K17795"/>
      <c r="L17795"/>
    </row>
    <row r="17796" spans="2:12" x14ac:dyDescent="0.2">
      <c r="B17796"/>
      <c r="C17796"/>
      <c r="J17796"/>
      <c r="K17796"/>
      <c r="L17796"/>
    </row>
    <row r="17797" spans="2:12" x14ac:dyDescent="0.2">
      <c r="B17797"/>
      <c r="C17797"/>
      <c r="J17797"/>
      <c r="K17797"/>
      <c r="L17797"/>
    </row>
    <row r="17798" spans="2:12" x14ac:dyDescent="0.2">
      <c r="B17798"/>
      <c r="C17798"/>
      <c r="J17798"/>
      <c r="K17798"/>
      <c r="L17798"/>
    </row>
    <row r="17799" spans="2:12" x14ac:dyDescent="0.2">
      <c r="B17799"/>
      <c r="C17799"/>
      <c r="J17799"/>
      <c r="K17799"/>
      <c r="L17799"/>
    </row>
    <row r="17800" spans="2:12" x14ac:dyDescent="0.2">
      <c r="B17800"/>
      <c r="C17800"/>
      <c r="J17800"/>
      <c r="K17800"/>
      <c r="L17800"/>
    </row>
    <row r="17801" spans="2:12" x14ac:dyDescent="0.2">
      <c r="B17801"/>
      <c r="C17801"/>
      <c r="J17801"/>
      <c r="K17801"/>
      <c r="L17801"/>
    </row>
    <row r="17802" spans="2:12" x14ac:dyDescent="0.2">
      <c r="B17802"/>
      <c r="C17802"/>
      <c r="J17802"/>
      <c r="K17802"/>
      <c r="L17802"/>
    </row>
    <row r="17803" spans="2:12" x14ac:dyDescent="0.2">
      <c r="B17803"/>
      <c r="C17803"/>
      <c r="J17803"/>
      <c r="K17803"/>
      <c r="L17803"/>
    </row>
    <row r="17804" spans="2:12" x14ac:dyDescent="0.2">
      <c r="B17804"/>
      <c r="C17804"/>
      <c r="J17804"/>
      <c r="K17804"/>
      <c r="L17804"/>
    </row>
    <row r="17805" spans="2:12" x14ac:dyDescent="0.2">
      <c r="B17805"/>
      <c r="C17805"/>
      <c r="J17805"/>
      <c r="K17805"/>
      <c r="L17805"/>
    </row>
    <row r="17806" spans="2:12" x14ac:dyDescent="0.2">
      <c r="B17806"/>
      <c r="C17806"/>
      <c r="J17806"/>
      <c r="K17806"/>
      <c r="L17806"/>
    </row>
    <row r="17807" spans="2:12" x14ac:dyDescent="0.2">
      <c r="B17807"/>
      <c r="C17807"/>
      <c r="J17807"/>
      <c r="K17807"/>
      <c r="L17807"/>
    </row>
    <row r="17808" spans="2:12" x14ac:dyDescent="0.2">
      <c r="B17808"/>
      <c r="C17808"/>
      <c r="J17808"/>
      <c r="K17808"/>
      <c r="L17808"/>
    </row>
    <row r="17809" spans="2:12" x14ac:dyDescent="0.2">
      <c r="B17809"/>
      <c r="C17809"/>
      <c r="J17809"/>
      <c r="K17809"/>
      <c r="L17809"/>
    </row>
    <row r="17810" spans="2:12" x14ac:dyDescent="0.2">
      <c r="B17810"/>
      <c r="C17810"/>
      <c r="J17810"/>
      <c r="K17810"/>
      <c r="L17810"/>
    </row>
    <row r="17811" spans="2:12" x14ac:dyDescent="0.2">
      <c r="B17811"/>
      <c r="C17811"/>
      <c r="J17811"/>
      <c r="K17811"/>
      <c r="L17811"/>
    </row>
    <row r="17812" spans="2:12" x14ac:dyDescent="0.2">
      <c r="B17812"/>
      <c r="C17812"/>
      <c r="J17812"/>
      <c r="K17812"/>
      <c r="L17812"/>
    </row>
    <row r="17813" spans="2:12" x14ac:dyDescent="0.2">
      <c r="B17813"/>
      <c r="C17813"/>
      <c r="J17813"/>
      <c r="K17813"/>
      <c r="L17813"/>
    </row>
    <row r="17814" spans="2:12" x14ac:dyDescent="0.2">
      <c r="B17814"/>
      <c r="C17814"/>
      <c r="J17814"/>
      <c r="K17814"/>
      <c r="L17814"/>
    </row>
    <row r="17815" spans="2:12" x14ac:dyDescent="0.2">
      <c r="B17815"/>
      <c r="C17815"/>
      <c r="J17815"/>
      <c r="K17815"/>
      <c r="L17815"/>
    </row>
    <row r="17816" spans="2:12" x14ac:dyDescent="0.2">
      <c r="B17816"/>
      <c r="C17816"/>
      <c r="J17816"/>
      <c r="K17816"/>
      <c r="L17816"/>
    </row>
    <row r="17817" spans="2:12" x14ac:dyDescent="0.2">
      <c r="B17817"/>
      <c r="C17817"/>
      <c r="J17817"/>
      <c r="K17817"/>
      <c r="L17817"/>
    </row>
    <row r="17818" spans="2:12" x14ac:dyDescent="0.2">
      <c r="B17818"/>
      <c r="C17818"/>
      <c r="J17818"/>
      <c r="K17818"/>
      <c r="L17818"/>
    </row>
    <row r="17819" spans="2:12" x14ac:dyDescent="0.2">
      <c r="B17819"/>
      <c r="C17819"/>
      <c r="J17819"/>
      <c r="K17819"/>
      <c r="L17819"/>
    </row>
    <row r="17820" spans="2:12" x14ac:dyDescent="0.2">
      <c r="B17820"/>
      <c r="C17820"/>
      <c r="J17820"/>
      <c r="K17820"/>
      <c r="L17820"/>
    </row>
    <row r="17821" spans="2:12" x14ac:dyDescent="0.2">
      <c r="B17821"/>
      <c r="C17821"/>
      <c r="J17821"/>
      <c r="K17821"/>
      <c r="L17821"/>
    </row>
    <row r="17822" spans="2:12" x14ac:dyDescent="0.2">
      <c r="B17822"/>
      <c r="C17822"/>
      <c r="J17822"/>
      <c r="K17822"/>
      <c r="L17822"/>
    </row>
    <row r="17823" spans="2:12" x14ac:dyDescent="0.2">
      <c r="B17823"/>
      <c r="C17823"/>
      <c r="J17823"/>
      <c r="K17823"/>
      <c r="L17823"/>
    </row>
    <row r="17824" spans="2:12" x14ac:dyDescent="0.2">
      <c r="B17824"/>
      <c r="C17824"/>
      <c r="J17824"/>
      <c r="K17824"/>
      <c r="L17824"/>
    </row>
    <row r="17825" spans="2:12" x14ac:dyDescent="0.2">
      <c r="B17825"/>
      <c r="C17825"/>
      <c r="J17825"/>
      <c r="K17825"/>
      <c r="L17825"/>
    </row>
    <row r="17826" spans="2:12" x14ac:dyDescent="0.2">
      <c r="B17826"/>
      <c r="C17826"/>
      <c r="J17826"/>
      <c r="K17826"/>
      <c r="L17826"/>
    </row>
    <row r="17827" spans="2:12" x14ac:dyDescent="0.2">
      <c r="B17827"/>
      <c r="C17827"/>
      <c r="J17827"/>
      <c r="K17827"/>
      <c r="L17827"/>
    </row>
    <row r="17828" spans="2:12" x14ac:dyDescent="0.2">
      <c r="B17828"/>
      <c r="C17828"/>
      <c r="J17828"/>
      <c r="K17828"/>
      <c r="L17828"/>
    </row>
    <row r="17829" spans="2:12" x14ac:dyDescent="0.2">
      <c r="B17829"/>
      <c r="C17829"/>
      <c r="J17829"/>
      <c r="K17829"/>
      <c r="L17829"/>
    </row>
    <row r="17830" spans="2:12" x14ac:dyDescent="0.2">
      <c r="B17830"/>
      <c r="C17830"/>
      <c r="J17830"/>
      <c r="K17830"/>
      <c r="L17830"/>
    </row>
    <row r="17831" spans="2:12" x14ac:dyDescent="0.2">
      <c r="B17831"/>
      <c r="C17831"/>
      <c r="J17831"/>
      <c r="K17831"/>
      <c r="L17831"/>
    </row>
    <row r="17832" spans="2:12" x14ac:dyDescent="0.2">
      <c r="B17832"/>
      <c r="C17832"/>
      <c r="J17832"/>
      <c r="K17832"/>
      <c r="L17832"/>
    </row>
    <row r="17833" spans="2:12" x14ac:dyDescent="0.2">
      <c r="B17833"/>
      <c r="C17833"/>
      <c r="J17833"/>
      <c r="K17833"/>
      <c r="L17833"/>
    </row>
    <row r="17834" spans="2:12" x14ac:dyDescent="0.2">
      <c r="B17834"/>
      <c r="C17834"/>
      <c r="J17834"/>
      <c r="K17834"/>
      <c r="L17834"/>
    </row>
    <row r="17835" spans="2:12" x14ac:dyDescent="0.2">
      <c r="B17835"/>
      <c r="C17835"/>
      <c r="J17835"/>
      <c r="K17835"/>
      <c r="L17835"/>
    </row>
    <row r="17836" spans="2:12" x14ac:dyDescent="0.2">
      <c r="B17836"/>
      <c r="C17836"/>
      <c r="J17836"/>
      <c r="K17836"/>
      <c r="L17836"/>
    </row>
    <row r="17837" spans="2:12" x14ac:dyDescent="0.2">
      <c r="B17837"/>
      <c r="C17837"/>
      <c r="J17837"/>
      <c r="K17837"/>
      <c r="L17837"/>
    </row>
    <row r="17838" spans="2:12" x14ac:dyDescent="0.2">
      <c r="B17838"/>
      <c r="C17838"/>
      <c r="J17838"/>
      <c r="K17838"/>
      <c r="L17838"/>
    </row>
    <row r="17839" spans="2:12" x14ac:dyDescent="0.2">
      <c r="B17839"/>
      <c r="C17839"/>
      <c r="J17839"/>
      <c r="K17839"/>
      <c r="L17839"/>
    </row>
    <row r="17840" spans="2:12" x14ac:dyDescent="0.2">
      <c r="B17840"/>
      <c r="C17840"/>
      <c r="J17840"/>
      <c r="K17840"/>
      <c r="L17840"/>
    </row>
    <row r="17841" spans="2:12" x14ac:dyDescent="0.2">
      <c r="B17841"/>
      <c r="C17841"/>
      <c r="J17841"/>
      <c r="K17841"/>
      <c r="L17841"/>
    </row>
    <row r="17842" spans="2:12" x14ac:dyDescent="0.2">
      <c r="B17842"/>
      <c r="C17842"/>
      <c r="J17842"/>
      <c r="K17842"/>
      <c r="L17842"/>
    </row>
    <row r="17843" spans="2:12" x14ac:dyDescent="0.2">
      <c r="B17843"/>
      <c r="C17843"/>
      <c r="J17843"/>
      <c r="K17843"/>
      <c r="L17843"/>
    </row>
    <row r="17844" spans="2:12" x14ac:dyDescent="0.2">
      <c r="B17844"/>
      <c r="C17844"/>
      <c r="J17844"/>
      <c r="K17844"/>
      <c r="L17844"/>
    </row>
    <row r="17845" spans="2:12" x14ac:dyDescent="0.2">
      <c r="B17845"/>
      <c r="C17845"/>
      <c r="J17845"/>
      <c r="K17845"/>
      <c r="L17845"/>
    </row>
    <row r="17846" spans="2:12" x14ac:dyDescent="0.2">
      <c r="B17846"/>
      <c r="C17846"/>
      <c r="J17846"/>
      <c r="K17846"/>
      <c r="L17846"/>
    </row>
    <row r="17847" spans="2:12" x14ac:dyDescent="0.2">
      <c r="B17847"/>
      <c r="C17847"/>
      <c r="J17847"/>
      <c r="K17847"/>
      <c r="L17847"/>
    </row>
    <row r="17848" spans="2:12" x14ac:dyDescent="0.2">
      <c r="B17848"/>
      <c r="C17848"/>
      <c r="J17848"/>
      <c r="K17848"/>
      <c r="L17848"/>
    </row>
    <row r="17849" spans="2:12" x14ac:dyDescent="0.2">
      <c r="B17849"/>
      <c r="C17849"/>
      <c r="J17849"/>
      <c r="K17849"/>
      <c r="L17849"/>
    </row>
    <row r="17850" spans="2:12" x14ac:dyDescent="0.2">
      <c r="B17850"/>
      <c r="C17850"/>
      <c r="J17850"/>
      <c r="K17850"/>
      <c r="L17850"/>
    </row>
    <row r="17851" spans="2:12" x14ac:dyDescent="0.2">
      <c r="B17851"/>
      <c r="C17851"/>
      <c r="J17851"/>
      <c r="K17851"/>
      <c r="L17851"/>
    </row>
    <row r="17852" spans="2:12" x14ac:dyDescent="0.2">
      <c r="B17852"/>
      <c r="C17852"/>
      <c r="J17852"/>
      <c r="K17852"/>
      <c r="L17852"/>
    </row>
    <row r="17853" spans="2:12" x14ac:dyDescent="0.2">
      <c r="B17853"/>
      <c r="C17853"/>
      <c r="J17853"/>
      <c r="K17853"/>
      <c r="L17853"/>
    </row>
    <row r="17854" spans="2:12" x14ac:dyDescent="0.2">
      <c r="B17854"/>
      <c r="C17854"/>
      <c r="J17854"/>
      <c r="K17854"/>
      <c r="L17854"/>
    </row>
    <row r="17855" spans="2:12" x14ac:dyDescent="0.2">
      <c r="B17855"/>
      <c r="C17855"/>
      <c r="J17855"/>
      <c r="K17855"/>
      <c r="L17855"/>
    </row>
    <row r="17856" spans="2:12" x14ac:dyDescent="0.2">
      <c r="B17856"/>
      <c r="C17856"/>
      <c r="J17856"/>
      <c r="K17856"/>
      <c r="L17856"/>
    </row>
    <row r="17857" spans="2:12" x14ac:dyDescent="0.2">
      <c r="B17857"/>
      <c r="C17857"/>
      <c r="J17857"/>
      <c r="K17857"/>
      <c r="L17857"/>
    </row>
    <row r="17858" spans="2:12" x14ac:dyDescent="0.2">
      <c r="B17858"/>
      <c r="C17858"/>
      <c r="J17858"/>
      <c r="K17858"/>
      <c r="L17858"/>
    </row>
    <row r="17859" spans="2:12" x14ac:dyDescent="0.2">
      <c r="B17859"/>
      <c r="C17859"/>
      <c r="J17859"/>
      <c r="K17859"/>
      <c r="L17859"/>
    </row>
    <row r="17860" spans="2:12" x14ac:dyDescent="0.2">
      <c r="B17860"/>
      <c r="C17860"/>
      <c r="J17860"/>
      <c r="K17860"/>
      <c r="L17860"/>
    </row>
    <row r="17861" spans="2:12" x14ac:dyDescent="0.2">
      <c r="B17861"/>
      <c r="C17861"/>
      <c r="J17861"/>
      <c r="K17861"/>
      <c r="L17861"/>
    </row>
    <row r="17862" spans="2:12" x14ac:dyDescent="0.2">
      <c r="B17862"/>
      <c r="C17862"/>
      <c r="J17862"/>
      <c r="K17862"/>
      <c r="L17862"/>
    </row>
    <row r="17863" spans="2:12" x14ac:dyDescent="0.2">
      <c r="B17863"/>
      <c r="C17863"/>
      <c r="J17863"/>
      <c r="K17863"/>
      <c r="L17863"/>
    </row>
    <row r="17864" spans="2:12" x14ac:dyDescent="0.2">
      <c r="B17864"/>
      <c r="C17864"/>
      <c r="J17864"/>
      <c r="K17864"/>
      <c r="L17864"/>
    </row>
    <row r="17865" spans="2:12" x14ac:dyDescent="0.2">
      <c r="B17865"/>
      <c r="C17865"/>
      <c r="J17865"/>
      <c r="K17865"/>
      <c r="L17865"/>
    </row>
    <row r="17866" spans="2:12" x14ac:dyDescent="0.2">
      <c r="B17866"/>
      <c r="C17866"/>
      <c r="J17866"/>
      <c r="K17866"/>
      <c r="L17866"/>
    </row>
    <row r="17867" spans="2:12" x14ac:dyDescent="0.2">
      <c r="B17867"/>
      <c r="C17867"/>
      <c r="J17867"/>
      <c r="K17867"/>
      <c r="L17867"/>
    </row>
    <row r="17868" spans="2:12" x14ac:dyDescent="0.2">
      <c r="B17868"/>
      <c r="C17868"/>
      <c r="J17868"/>
      <c r="K17868"/>
      <c r="L17868"/>
    </row>
    <row r="17869" spans="2:12" x14ac:dyDescent="0.2">
      <c r="B17869"/>
      <c r="C17869"/>
      <c r="J17869"/>
      <c r="K17869"/>
      <c r="L17869"/>
    </row>
    <row r="17870" spans="2:12" x14ac:dyDescent="0.2">
      <c r="B17870"/>
      <c r="C17870"/>
      <c r="J17870"/>
      <c r="K17870"/>
      <c r="L17870"/>
    </row>
    <row r="17871" spans="2:12" x14ac:dyDescent="0.2">
      <c r="B17871"/>
      <c r="C17871"/>
      <c r="J17871"/>
      <c r="K17871"/>
      <c r="L17871"/>
    </row>
    <row r="17872" spans="2:12" x14ac:dyDescent="0.2">
      <c r="B17872"/>
      <c r="C17872"/>
      <c r="J17872"/>
      <c r="K17872"/>
      <c r="L17872"/>
    </row>
    <row r="17873" spans="2:12" x14ac:dyDescent="0.2">
      <c r="B17873"/>
      <c r="C17873"/>
      <c r="J17873"/>
      <c r="K17873"/>
      <c r="L17873"/>
    </row>
    <row r="17874" spans="2:12" x14ac:dyDescent="0.2">
      <c r="B17874"/>
      <c r="C17874"/>
      <c r="J17874"/>
      <c r="K17874"/>
      <c r="L17874"/>
    </row>
    <row r="17875" spans="2:12" x14ac:dyDescent="0.2">
      <c r="B17875"/>
      <c r="C17875"/>
      <c r="J17875"/>
      <c r="K17875"/>
      <c r="L17875"/>
    </row>
    <row r="17876" spans="2:12" x14ac:dyDescent="0.2">
      <c r="B17876"/>
      <c r="C17876"/>
      <c r="J17876"/>
      <c r="K17876"/>
      <c r="L17876"/>
    </row>
    <row r="17877" spans="2:12" x14ac:dyDescent="0.2">
      <c r="B17877"/>
      <c r="C17877"/>
      <c r="J17877"/>
      <c r="K17877"/>
      <c r="L17877"/>
    </row>
    <row r="17878" spans="2:12" x14ac:dyDescent="0.2">
      <c r="B17878"/>
      <c r="C17878"/>
      <c r="J17878"/>
      <c r="K17878"/>
      <c r="L17878"/>
    </row>
    <row r="17879" spans="2:12" x14ac:dyDescent="0.2">
      <c r="B17879"/>
      <c r="C17879"/>
      <c r="J17879"/>
      <c r="K17879"/>
      <c r="L17879"/>
    </row>
    <row r="17880" spans="2:12" x14ac:dyDescent="0.2">
      <c r="B17880"/>
      <c r="C17880"/>
      <c r="J17880"/>
      <c r="K17880"/>
      <c r="L17880"/>
    </row>
    <row r="17881" spans="2:12" x14ac:dyDescent="0.2">
      <c r="B17881"/>
      <c r="C17881"/>
      <c r="J17881"/>
      <c r="K17881"/>
      <c r="L17881"/>
    </row>
    <row r="17882" spans="2:12" x14ac:dyDescent="0.2">
      <c r="B17882"/>
      <c r="C17882"/>
      <c r="J17882"/>
      <c r="K17882"/>
      <c r="L17882"/>
    </row>
    <row r="17883" spans="2:12" x14ac:dyDescent="0.2">
      <c r="B17883"/>
      <c r="C17883"/>
      <c r="J17883"/>
      <c r="K17883"/>
      <c r="L17883"/>
    </row>
    <row r="17884" spans="2:12" x14ac:dyDescent="0.2">
      <c r="B17884"/>
      <c r="C17884"/>
      <c r="J17884"/>
      <c r="K17884"/>
      <c r="L17884"/>
    </row>
    <row r="17885" spans="2:12" x14ac:dyDescent="0.2">
      <c r="B17885"/>
      <c r="C17885"/>
      <c r="J17885"/>
      <c r="K17885"/>
      <c r="L17885"/>
    </row>
    <row r="17886" spans="2:12" x14ac:dyDescent="0.2">
      <c r="B17886"/>
      <c r="C17886"/>
      <c r="J17886"/>
      <c r="K17886"/>
      <c r="L17886"/>
    </row>
    <row r="17887" spans="2:12" x14ac:dyDescent="0.2">
      <c r="B17887"/>
      <c r="C17887"/>
      <c r="J17887"/>
      <c r="K17887"/>
      <c r="L17887"/>
    </row>
    <row r="17888" spans="2:12" x14ac:dyDescent="0.2">
      <c r="B17888"/>
      <c r="C17888"/>
      <c r="J17888"/>
      <c r="K17888"/>
      <c r="L17888"/>
    </row>
    <row r="17889" spans="2:12" x14ac:dyDescent="0.2">
      <c r="B17889"/>
      <c r="C17889"/>
      <c r="J17889"/>
      <c r="K17889"/>
      <c r="L17889"/>
    </row>
    <row r="17890" spans="2:12" x14ac:dyDescent="0.2">
      <c r="B17890"/>
      <c r="C17890"/>
      <c r="J17890"/>
      <c r="K17890"/>
      <c r="L17890"/>
    </row>
    <row r="17891" spans="2:12" x14ac:dyDescent="0.2">
      <c r="B17891"/>
      <c r="C17891"/>
      <c r="J17891"/>
      <c r="K17891"/>
      <c r="L17891"/>
    </row>
    <row r="17892" spans="2:12" x14ac:dyDescent="0.2">
      <c r="B17892"/>
      <c r="C17892"/>
      <c r="J17892"/>
      <c r="K17892"/>
      <c r="L17892"/>
    </row>
    <row r="17893" spans="2:12" x14ac:dyDescent="0.2">
      <c r="B17893"/>
      <c r="C17893"/>
      <c r="J17893"/>
      <c r="K17893"/>
      <c r="L17893"/>
    </row>
    <row r="17894" spans="2:12" x14ac:dyDescent="0.2">
      <c r="B17894"/>
      <c r="C17894"/>
      <c r="J17894"/>
      <c r="K17894"/>
      <c r="L17894"/>
    </row>
    <row r="17895" spans="2:12" x14ac:dyDescent="0.2">
      <c r="B17895"/>
      <c r="C17895"/>
      <c r="J17895"/>
      <c r="K17895"/>
      <c r="L17895"/>
    </row>
    <row r="17896" spans="2:12" x14ac:dyDescent="0.2">
      <c r="B17896"/>
      <c r="C17896"/>
      <c r="J17896"/>
      <c r="K17896"/>
      <c r="L17896"/>
    </row>
    <row r="17897" spans="2:12" x14ac:dyDescent="0.2">
      <c r="B17897"/>
      <c r="C17897"/>
      <c r="J17897"/>
      <c r="K17897"/>
      <c r="L17897"/>
    </row>
    <row r="17898" spans="2:12" x14ac:dyDescent="0.2">
      <c r="B17898"/>
      <c r="C17898"/>
      <c r="J17898"/>
      <c r="K17898"/>
      <c r="L17898"/>
    </row>
    <row r="17899" spans="2:12" x14ac:dyDescent="0.2">
      <c r="B17899"/>
      <c r="C17899"/>
      <c r="J17899"/>
      <c r="K17899"/>
      <c r="L17899"/>
    </row>
    <row r="17900" spans="2:12" x14ac:dyDescent="0.2">
      <c r="B17900"/>
      <c r="C17900"/>
      <c r="J17900"/>
      <c r="K17900"/>
      <c r="L17900"/>
    </row>
    <row r="17901" spans="2:12" x14ac:dyDescent="0.2">
      <c r="B17901"/>
      <c r="C17901"/>
      <c r="J17901"/>
      <c r="K17901"/>
      <c r="L17901"/>
    </row>
    <row r="17902" spans="2:12" x14ac:dyDescent="0.2">
      <c r="B17902"/>
      <c r="C17902"/>
      <c r="J17902"/>
      <c r="K17902"/>
      <c r="L17902"/>
    </row>
    <row r="17903" spans="2:12" x14ac:dyDescent="0.2">
      <c r="B17903"/>
      <c r="C17903"/>
      <c r="J17903"/>
      <c r="K17903"/>
      <c r="L17903"/>
    </row>
    <row r="17904" spans="2:12" x14ac:dyDescent="0.2">
      <c r="B17904"/>
      <c r="C17904"/>
      <c r="J17904"/>
      <c r="K17904"/>
      <c r="L17904"/>
    </row>
    <row r="17905" spans="2:12" x14ac:dyDescent="0.2">
      <c r="B17905"/>
      <c r="C17905"/>
      <c r="J17905"/>
      <c r="K17905"/>
      <c r="L17905"/>
    </row>
    <row r="17906" spans="2:12" x14ac:dyDescent="0.2">
      <c r="B17906"/>
      <c r="C17906"/>
      <c r="J17906"/>
      <c r="K17906"/>
      <c r="L17906"/>
    </row>
    <row r="17907" spans="2:12" x14ac:dyDescent="0.2">
      <c r="B17907"/>
      <c r="C17907"/>
      <c r="J17907"/>
      <c r="K17907"/>
      <c r="L17907"/>
    </row>
    <row r="17908" spans="2:12" x14ac:dyDescent="0.2">
      <c r="B17908"/>
      <c r="C17908"/>
      <c r="J17908"/>
      <c r="K17908"/>
      <c r="L17908"/>
    </row>
    <row r="17909" spans="2:12" x14ac:dyDescent="0.2">
      <c r="B17909"/>
      <c r="C17909"/>
      <c r="J17909"/>
      <c r="K17909"/>
      <c r="L17909"/>
    </row>
    <row r="17910" spans="2:12" x14ac:dyDescent="0.2">
      <c r="B17910"/>
      <c r="C17910"/>
      <c r="J17910"/>
      <c r="K17910"/>
      <c r="L17910"/>
    </row>
    <row r="17911" spans="2:12" x14ac:dyDescent="0.2">
      <c r="B17911"/>
      <c r="C17911"/>
      <c r="J17911"/>
      <c r="K17911"/>
      <c r="L17911"/>
    </row>
    <row r="17912" spans="2:12" x14ac:dyDescent="0.2">
      <c r="B17912"/>
      <c r="C17912"/>
      <c r="J17912"/>
      <c r="K17912"/>
      <c r="L17912"/>
    </row>
    <row r="17913" spans="2:12" x14ac:dyDescent="0.2">
      <c r="B17913"/>
      <c r="C17913"/>
      <c r="J17913"/>
      <c r="K17913"/>
      <c r="L17913"/>
    </row>
    <row r="17914" spans="2:12" x14ac:dyDescent="0.2">
      <c r="B17914"/>
      <c r="C17914"/>
      <c r="J17914"/>
      <c r="K17914"/>
      <c r="L17914"/>
    </row>
    <row r="17915" spans="2:12" x14ac:dyDescent="0.2">
      <c r="B17915"/>
      <c r="C17915"/>
      <c r="J17915"/>
      <c r="K17915"/>
      <c r="L17915"/>
    </row>
    <row r="17916" spans="2:12" x14ac:dyDescent="0.2">
      <c r="B17916"/>
      <c r="C17916"/>
      <c r="J17916"/>
      <c r="K17916"/>
      <c r="L17916"/>
    </row>
    <row r="17917" spans="2:12" x14ac:dyDescent="0.2">
      <c r="B17917"/>
      <c r="C17917"/>
      <c r="J17917"/>
      <c r="K17917"/>
      <c r="L17917"/>
    </row>
    <row r="17918" spans="2:12" x14ac:dyDescent="0.2">
      <c r="B17918"/>
      <c r="C17918"/>
      <c r="J17918"/>
      <c r="K17918"/>
      <c r="L17918"/>
    </row>
    <row r="17919" spans="2:12" x14ac:dyDescent="0.2">
      <c r="B17919"/>
      <c r="C17919"/>
      <c r="J17919"/>
      <c r="K17919"/>
      <c r="L17919"/>
    </row>
    <row r="17920" spans="2:12" x14ac:dyDescent="0.2">
      <c r="B17920"/>
      <c r="C17920"/>
      <c r="J17920"/>
      <c r="K17920"/>
      <c r="L17920"/>
    </row>
    <row r="17921" spans="2:12" x14ac:dyDescent="0.2">
      <c r="B17921"/>
      <c r="C17921"/>
      <c r="J17921"/>
      <c r="K17921"/>
      <c r="L17921"/>
    </row>
    <row r="17922" spans="2:12" x14ac:dyDescent="0.2">
      <c r="B17922"/>
      <c r="C17922"/>
      <c r="J17922"/>
      <c r="K17922"/>
      <c r="L17922"/>
    </row>
    <row r="17923" spans="2:12" x14ac:dyDescent="0.2">
      <c r="B17923"/>
      <c r="C17923"/>
      <c r="J17923"/>
      <c r="K17923"/>
      <c r="L17923"/>
    </row>
    <row r="17924" spans="2:12" x14ac:dyDescent="0.2">
      <c r="B17924"/>
      <c r="C17924"/>
      <c r="J17924"/>
      <c r="K17924"/>
      <c r="L17924"/>
    </row>
    <row r="17925" spans="2:12" x14ac:dyDescent="0.2">
      <c r="B17925"/>
      <c r="C17925"/>
      <c r="J17925"/>
      <c r="K17925"/>
      <c r="L17925"/>
    </row>
    <row r="17926" spans="2:12" x14ac:dyDescent="0.2">
      <c r="B17926"/>
      <c r="C17926"/>
      <c r="J17926"/>
      <c r="K17926"/>
      <c r="L17926"/>
    </row>
    <row r="17927" spans="2:12" x14ac:dyDescent="0.2">
      <c r="B17927"/>
      <c r="C17927"/>
      <c r="J17927"/>
      <c r="K17927"/>
      <c r="L17927"/>
    </row>
    <row r="17928" spans="2:12" x14ac:dyDescent="0.2">
      <c r="B17928"/>
      <c r="C17928"/>
      <c r="J17928"/>
      <c r="K17928"/>
      <c r="L17928"/>
    </row>
    <row r="17929" spans="2:12" x14ac:dyDescent="0.2">
      <c r="B17929"/>
      <c r="C17929"/>
      <c r="J17929"/>
      <c r="K17929"/>
      <c r="L17929"/>
    </row>
    <row r="17930" spans="2:12" x14ac:dyDescent="0.2">
      <c r="B17930"/>
      <c r="C17930"/>
      <c r="J17930"/>
      <c r="K17930"/>
      <c r="L17930"/>
    </row>
    <row r="17931" spans="2:12" x14ac:dyDescent="0.2">
      <c r="B17931"/>
      <c r="C17931"/>
      <c r="J17931"/>
      <c r="K17931"/>
      <c r="L17931"/>
    </row>
    <row r="17932" spans="2:12" x14ac:dyDescent="0.2">
      <c r="B17932"/>
      <c r="C17932"/>
      <c r="J17932"/>
      <c r="K17932"/>
      <c r="L17932"/>
    </row>
    <row r="17933" spans="2:12" x14ac:dyDescent="0.2">
      <c r="B17933"/>
      <c r="C17933"/>
      <c r="J17933"/>
      <c r="K17933"/>
      <c r="L17933"/>
    </row>
    <row r="17934" spans="2:12" x14ac:dyDescent="0.2">
      <c r="B17934"/>
      <c r="C17934"/>
      <c r="J17934"/>
      <c r="K17934"/>
      <c r="L17934"/>
    </row>
    <row r="17935" spans="2:12" x14ac:dyDescent="0.2">
      <c r="B17935"/>
      <c r="C17935"/>
      <c r="J17935"/>
      <c r="K17935"/>
      <c r="L17935"/>
    </row>
    <row r="17936" spans="2:12" x14ac:dyDescent="0.2">
      <c r="B17936"/>
      <c r="C17936"/>
      <c r="J17936"/>
      <c r="K17936"/>
      <c r="L17936"/>
    </row>
    <row r="17937" spans="2:12" x14ac:dyDescent="0.2">
      <c r="B17937"/>
      <c r="C17937"/>
      <c r="J17937"/>
      <c r="K17937"/>
      <c r="L17937"/>
    </row>
    <row r="17938" spans="2:12" x14ac:dyDescent="0.2">
      <c r="B17938"/>
      <c r="C17938"/>
      <c r="J17938"/>
      <c r="K17938"/>
      <c r="L17938"/>
    </row>
    <row r="17939" spans="2:12" x14ac:dyDescent="0.2">
      <c r="B17939"/>
      <c r="C17939"/>
      <c r="J17939"/>
      <c r="K17939"/>
      <c r="L17939"/>
    </row>
    <row r="17940" spans="2:12" x14ac:dyDescent="0.2">
      <c r="B17940"/>
      <c r="C17940"/>
      <c r="J17940"/>
      <c r="K17940"/>
      <c r="L17940"/>
    </row>
    <row r="17941" spans="2:12" x14ac:dyDescent="0.2">
      <c r="B17941"/>
      <c r="C17941"/>
      <c r="J17941"/>
      <c r="K17941"/>
      <c r="L17941"/>
    </row>
    <row r="17942" spans="2:12" x14ac:dyDescent="0.2">
      <c r="B17942"/>
      <c r="C17942"/>
      <c r="J17942"/>
      <c r="K17942"/>
      <c r="L17942"/>
    </row>
    <row r="17943" spans="2:12" x14ac:dyDescent="0.2">
      <c r="B17943"/>
      <c r="C17943"/>
      <c r="J17943"/>
      <c r="K17943"/>
      <c r="L17943"/>
    </row>
    <row r="17944" spans="2:12" x14ac:dyDescent="0.2">
      <c r="B17944"/>
      <c r="C17944"/>
      <c r="J17944"/>
      <c r="K17944"/>
      <c r="L17944"/>
    </row>
    <row r="17945" spans="2:12" x14ac:dyDescent="0.2">
      <c r="B17945"/>
      <c r="C17945"/>
      <c r="J17945"/>
      <c r="K17945"/>
      <c r="L17945"/>
    </row>
    <row r="17946" spans="2:12" x14ac:dyDescent="0.2">
      <c r="B17946"/>
      <c r="C17946"/>
      <c r="J17946"/>
      <c r="K17946"/>
      <c r="L17946"/>
    </row>
    <row r="17947" spans="2:12" x14ac:dyDescent="0.2">
      <c r="B17947"/>
      <c r="C17947"/>
      <c r="J17947"/>
      <c r="K17947"/>
      <c r="L17947"/>
    </row>
    <row r="17948" spans="2:12" x14ac:dyDescent="0.2">
      <c r="B17948"/>
      <c r="C17948"/>
      <c r="J17948"/>
      <c r="K17948"/>
      <c r="L17948"/>
    </row>
    <row r="17949" spans="2:12" x14ac:dyDescent="0.2">
      <c r="B17949"/>
      <c r="C17949"/>
      <c r="J17949"/>
      <c r="K17949"/>
      <c r="L17949"/>
    </row>
    <row r="17950" spans="2:12" x14ac:dyDescent="0.2">
      <c r="B17950"/>
      <c r="C17950"/>
      <c r="J17950"/>
      <c r="K17950"/>
      <c r="L17950"/>
    </row>
    <row r="17951" spans="2:12" x14ac:dyDescent="0.2">
      <c r="B17951"/>
      <c r="C17951"/>
      <c r="J17951"/>
      <c r="K17951"/>
      <c r="L17951"/>
    </row>
    <row r="17952" spans="2:12" x14ac:dyDescent="0.2">
      <c r="B17952"/>
      <c r="C17952"/>
      <c r="J17952"/>
      <c r="K17952"/>
      <c r="L17952"/>
    </row>
    <row r="17953" spans="2:12" x14ac:dyDescent="0.2">
      <c r="B17953"/>
      <c r="C17953"/>
      <c r="J17953"/>
      <c r="K17953"/>
      <c r="L17953"/>
    </row>
    <row r="17954" spans="2:12" x14ac:dyDescent="0.2">
      <c r="B17954"/>
      <c r="C17954"/>
      <c r="J17954"/>
      <c r="K17954"/>
      <c r="L17954"/>
    </row>
    <row r="17955" spans="2:12" x14ac:dyDescent="0.2">
      <c r="B17955"/>
      <c r="C17955"/>
      <c r="J17955"/>
      <c r="K17955"/>
      <c r="L17955"/>
    </row>
    <row r="17956" spans="2:12" x14ac:dyDescent="0.2">
      <c r="B17956"/>
      <c r="C17956"/>
      <c r="J17956"/>
      <c r="K17956"/>
      <c r="L17956"/>
    </row>
    <row r="17957" spans="2:12" x14ac:dyDescent="0.2">
      <c r="B17957"/>
      <c r="C17957"/>
      <c r="J17957"/>
      <c r="K17957"/>
      <c r="L17957"/>
    </row>
    <row r="17958" spans="2:12" x14ac:dyDescent="0.2">
      <c r="B17958"/>
      <c r="C17958"/>
      <c r="J17958"/>
      <c r="K17958"/>
      <c r="L17958"/>
    </row>
    <row r="17959" spans="2:12" x14ac:dyDescent="0.2">
      <c r="B17959"/>
      <c r="C17959"/>
      <c r="J17959"/>
      <c r="K17959"/>
      <c r="L17959"/>
    </row>
    <row r="17960" spans="2:12" x14ac:dyDescent="0.2">
      <c r="B17960"/>
      <c r="C17960"/>
      <c r="J17960"/>
      <c r="K17960"/>
      <c r="L17960"/>
    </row>
    <row r="17961" spans="2:12" x14ac:dyDescent="0.2">
      <c r="B17961"/>
      <c r="C17961"/>
      <c r="J17961"/>
      <c r="K17961"/>
      <c r="L17961"/>
    </row>
    <row r="17962" spans="2:12" x14ac:dyDescent="0.2">
      <c r="B17962"/>
      <c r="C17962"/>
      <c r="J17962"/>
      <c r="K17962"/>
      <c r="L17962"/>
    </row>
    <row r="17963" spans="2:12" x14ac:dyDescent="0.2">
      <c r="B17963"/>
      <c r="C17963"/>
      <c r="J17963"/>
      <c r="K17963"/>
      <c r="L17963"/>
    </row>
    <row r="17964" spans="2:12" x14ac:dyDescent="0.2">
      <c r="B17964"/>
      <c r="C17964"/>
      <c r="J17964"/>
      <c r="K17964"/>
      <c r="L17964"/>
    </row>
    <row r="17965" spans="2:12" x14ac:dyDescent="0.2">
      <c r="B17965"/>
      <c r="C17965"/>
      <c r="J17965"/>
      <c r="K17965"/>
      <c r="L17965"/>
    </row>
    <row r="17966" spans="2:12" x14ac:dyDescent="0.2">
      <c r="B17966"/>
      <c r="C17966"/>
      <c r="J17966"/>
      <c r="K17966"/>
      <c r="L17966"/>
    </row>
    <row r="17967" spans="2:12" x14ac:dyDescent="0.2">
      <c r="B17967"/>
      <c r="C17967"/>
      <c r="J17967"/>
      <c r="K17967"/>
      <c r="L17967"/>
    </row>
    <row r="17968" spans="2:12" x14ac:dyDescent="0.2">
      <c r="B17968"/>
      <c r="C17968"/>
      <c r="J17968"/>
      <c r="K17968"/>
      <c r="L17968"/>
    </row>
    <row r="17969" spans="2:12" x14ac:dyDescent="0.2">
      <c r="B17969"/>
      <c r="C17969"/>
      <c r="J17969"/>
      <c r="K17969"/>
      <c r="L17969"/>
    </row>
    <row r="17970" spans="2:12" x14ac:dyDescent="0.2">
      <c r="B17970"/>
      <c r="C17970"/>
      <c r="J17970"/>
      <c r="K17970"/>
      <c r="L17970"/>
    </row>
    <row r="17971" spans="2:12" x14ac:dyDescent="0.2">
      <c r="B17971"/>
      <c r="C17971"/>
      <c r="J17971"/>
      <c r="K17971"/>
      <c r="L17971"/>
    </row>
    <row r="17972" spans="2:12" x14ac:dyDescent="0.2">
      <c r="B17972"/>
      <c r="C17972"/>
      <c r="J17972"/>
      <c r="K17972"/>
      <c r="L17972"/>
    </row>
    <row r="17973" spans="2:12" x14ac:dyDescent="0.2">
      <c r="B17973"/>
      <c r="C17973"/>
      <c r="J17973"/>
      <c r="K17973"/>
      <c r="L17973"/>
    </row>
    <row r="17974" spans="2:12" x14ac:dyDescent="0.2">
      <c r="B17974"/>
      <c r="C17974"/>
      <c r="J17974"/>
      <c r="K17974"/>
      <c r="L17974"/>
    </row>
    <row r="17975" spans="2:12" x14ac:dyDescent="0.2">
      <c r="B17975"/>
      <c r="C17975"/>
      <c r="J17975"/>
      <c r="K17975"/>
      <c r="L17975"/>
    </row>
    <row r="17976" spans="2:12" x14ac:dyDescent="0.2">
      <c r="B17976"/>
      <c r="C17976"/>
      <c r="J17976"/>
      <c r="K17976"/>
      <c r="L17976"/>
    </row>
    <row r="17977" spans="2:12" x14ac:dyDescent="0.2">
      <c r="B17977"/>
      <c r="C17977"/>
      <c r="J17977"/>
      <c r="K17977"/>
      <c r="L17977"/>
    </row>
    <row r="17978" spans="2:12" x14ac:dyDescent="0.2">
      <c r="B17978"/>
      <c r="C17978"/>
      <c r="J17978"/>
      <c r="K17978"/>
      <c r="L17978"/>
    </row>
    <row r="17979" spans="2:12" x14ac:dyDescent="0.2">
      <c r="B17979"/>
      <c r="C17979"/>
      <c r="J17979"/>
      <c r="K17979"/>
      <c r="L17979"/>
    </row>
    <row r="17980" spans="2:12" x14ac:dyDescent="0.2">
      <c r="B17980"/>
      <c r="C17980"/>
      <c r="J17980"/>
      <c r="K17980"/>
      <c r="L17980"/>
    </row>
    <row r="17981" spans="2:12" x14ac:dyDescent="0.2">
      <c r="B17981"/>
      <c r="C17981"/>
      <c r="J17981"/>
      <c r="K17981"/>
      <c r="L17981"/>
    </row>
    <row r="17982" spans="2:12" x14ac:dyDescent="0.2">
      <c r="B17982"/>
      <c r="C17982"/>
      <c r="J17982"/>
      <c r="K17982"/>
      <c r="L17982"/>
    </row>
    <row r="17983" spans="2:12" x14ac:dyDescent="0.2">
      <c r="B17983"/>
      <c r="C17983"/>
      <c r="J17983"/>
      <c r="K17983"/>
      <c r="L17983"/>
    </row>
    <row r="17984" spans="2:12" x14ac:dyDescent="0.2">
      <c r="B17984"/>
      <c r="C17984"/>
      <c r="J17984"/>
      <c r="K17984"/>
      <c r="L17984"/>
    </row>
    <row r="17985" spans="2:12" x14ac:dyDescent="0.2">
      <c r="B17985"/>
      <c r="C17985"/>
      <c r="J17985"/>
      <c r="K17985"/>
      <c r="L17985"/>
    </row>
    <row r="17986" spans="2:12" x14ac:dyDescent="0.2">
      <c r="B17986"/>
      <c r="C17986"/>
      <c r="J17986"/>
      <c r="K17986"/>
      <c r="L17986"/>
    </row>
    <row r="17987" spans="2:12" x14ac:dyDescent="0.2">
      <c r="B17987"/>
      <c r="C17987"/>
      <c r="J17987"/>
      <c r="K17987"/>
      <c r="L17987"/>
    </row>
    <row r="17988" spans="2:12" x14ac:dyDescent="0.2">
      <c r="B17988"/>
      <c r="C17988"/>
      <c r="J17988"/>
      <c r="K17988"/>
      <c r="L17988"/>
    </row>
    <row r="17989" spans="2:12" x14ac:dyDescent="0.2">
      <c r="B17989"/>
      <c r="C17989"/>
      <c r="J17989"/>
      <c r="K17989"/>
      <c r="L17989"/>
    </row>
    <row r="17990" spans="2:12" x14ac:dyDescent="0.2">
      <c r="B17990"/>
      <c r="C17990"/>
      <c r="J17990"/>
      <c r="K17990"/>
      <c r="L17990"/>
    </row>
    <row r="17991" spans="2:12" x14ac:dyDescent="0.2">
      <c r="B17991"/>
      <c r="C17991"/>
      <c r="J17991"/>
      <c r="K17991"/>
      <c r="L17991"/>
    </row>
    <row r="17992" spans="2:12" x14ac:dyDescent="0.2">
      <c r="B17992"/>
      <c r="C17992"/>
      <c r="J17992"/>
      <c r="K17992"/>
      <c r="L17992"/>
    </row>
    <row r="17993" spans="2:12" x14ac:dyDescent="0.2">
      <c r="B17993"/>
      <c r="C17993"/>
      <c r="J17993"/>
      <c r="K17993"/>
      <c r="L17993"/>
    </row>
    <row r="17994" spans="2:12" x14ac:dyDescent="0.2">
      <c r="B17994"/>
      <c r="C17994"/>
      <c r="J17994"/>
      <c r="K17994"/>
      <c r="L17994"/>
    </row>
    <row r="17995" spans="2:12" x14ac:dyDescent="0.2">
      <c r="B17995"/>
      <c r="C17995"/>
      <c r="J17995"/>
      <c r="K17995"/>
      <c r="L17995"/>
    </row>
    <row r="17996" spans="2:12" x14ac:dyDescent="0.2">
      <c r="B17996"/>
      <c r="C17996"/>
      <c r="J17996"/>
      <c r="K17996"/>
      <c r="L17996"/>
    </row>
    <row r="17997" spans="2:12" x14ac:dyDescent="0.2">
      <c r="B17997"/>
      <c r="C17997"/>
      <c r="J17997"/>
      <c r="K17997"/>
      <c r="L17997"/>
    </row>
    <row r="17998" spans="2:12" x14ac:dyDescent="0.2">
      <c r="B17998"/>
      <c r="C17998"/>
      <c r="J17998"/>
      <c r="K17998"/>
      <c r="L17998"/>
    </row>
    <row r="17999" spans="2:12" x14ac:dyDescent="0.2">
      <c r="B17999"/>
      <c r="C17999"/>
      <c r="J17999"/>
      <c r="K17999"/>
      <c r="L17999"/>
    </row>
    <row r="18000" spans="2:12" x14ac:dyDescent="0.2">
      <c r="B18000"/>
      <c r="C18000"/>
      <c r="J18000"/>
      <c r="K18000"/>
      <c r="L18000"/>
    </row>
    <row r="18001" spans="2:12" x14ac:dyDescent="0.2">
      <c r="B18001"/>
      <c r="C18001"/>
      <c r="J18001"/>
      <c r="K18001"/>
      <c r="L18001"/>
    </row>
    <row r="18002" spans="2:12" x14ac:dyDescent="0.2">
      <c r="B18002"/>
      <c r="C18002"/>
      <c r="J18002"/>
      <c r="K18002"/>
      <c r="L18002"/>
    </row>
    <row r="18003" spans="2:12" x14ac:dyDescent="0.2">
      <c r="B18003"/>
      <c r="C18003"/>
      <c r="J18003"/>
      <c r="K18003"/>
      <c r="L18003"/>
    </row>
    <row r="18004" spans="2:12" x14ac:dyDescent="0.2">
      <c r="B18004"/>
      <c r="C18004"/>
      <c r="J18004"/>
      <c r="K18004"/>
      <c r="L18004"/>
    </row>
    <row r="18005" spans="2:12" x14ac:dyDescent="0.2">
      <c r="B18005"/>
      <c r="C18005"/>
      <c r="J18005"/>
      <c r="K18005"/>
      <c r="L18005"/>
    </row>
    <row r="18006" spans="2:12" x14ac:dyDescent="0.2">
      <c r="B18006"/>
      <c r="C18006"/>
      <c r="J18006"/>
      <c r="K18006"/>
      <c r="L18006"/>
    </row>
    <row r="18007" spans="2:12" x14ac:dyDescent="0.2">
      <c r="B18007"/>
      <c r="C18007"/>
      <c r="J18007"/>
      <c r="K18007"/>
      <c r="L18007"/>
    </row>
    <row r="18008" spans="2:12" x14ac:dyDescent="0.2">
      <c r="B18008"/>
      <c r="C18008"/>
      <c r="J18008"/>
      <c r="K18008"/>
      <c r="L18008"/>
    </row>
    <row r="18009" spans="2:12" x14ac:dyDescent="0.2">
      <c r="B18009"/>
      <c r="C18009"/>
      <c r="J18009"/>
      <c r="K18009"/>
      <c r="L18009"/>
    </row>
    <row r="18010" spans="2:12" x14ac:dyDescent="0.2">
      <c r="B18010"/>
      <c r="C18010"/>
      <c r="J18010"/>
      <c r="K18010"/>
      <c r="L18010"/>
    </row>
    <row r="18011" spans="2:12" x14ac:dyDescent="0.2">
      <c r="B18011"/>
      <c r="C18011"/>
      <c r="J18011"/>
      <c r="K18011"/>
      <c r="L18011"/>
    </row>
    <row r="18012" spans="2:12" x14ac:dyDescent="0.2">
      <c r="B18012"/>
      <c r="C18012"/>
      <c r="J18012"/>
      <c r="K18012"/>
      <c r="L18012"/>
    </row>
    <row r="18013" spans="2:12" x14ac:dyDescent="0.2">
      <c r="B18013"/>
      <c r="C18013"/>
      <c r="J18013"/>
      <c r="K18013"/>
      <c r="L18013"/>
    </row>
    <row r="18014" spans="2:12" x14ac:dyDescent="0.2">
      <c r="B18014"/>
      <c r="C18014"/>
      <c r="J18014"/>
      <c r="K18014"/>
      <c r="L18014"/>
    </row>
    <row r="18015" spans="2:12" x14ac:dyDescent="0.2">
      <c r="B18015"/>
      <c r="C18015"/>
      <c r="J18015"/>
      <c r="K18015"/>
      <c r="L18015"/>
    </row>
    <row r="18016" spans="2:12" x14ac:dyDescent="0.2">
      <c r="B18016"/>
      <c r="C18016"/>
      <c r="J18016"/>
      <c r="K18016"/>
      <c r="L18016"/>
    </row>
    <row r="18017" spans="2:12" x14ac:dyDescent="0.2">
      <c r="B18017"/>
      <c r="C18017"/>
      <c r="J18017"/>
      <c r="K18017"/>
      <c r="L18017"/>
    </row>
    <row r="18018" spans="2:12" x14ac:dyDescent="0.2">
      <c r="B18018"/>
      <c r="C18018"/>
      <c r="J18018"/>
      <c r="K18018"/>
      <c r="L18018"/>
    </row>
    <row r="18019" spans="2:12" x14ac:dyDescent="0.2">
      <c r="B18019"/>
      <c r="C18019"/>
      <c r="J18019"/>
      <c r="K18019"/>
      <c r="L18019"/>
    </row>
    <row r="18020" spans="2:12" x14ac:dyDescent="0.2">
      <c r="B18020"/>
      <c r="C18020"/>
      <c r="J18020"/>
      <c r="K18020"/>
      <c r="L18020"/>
    </row>
    <row r="18021" spans="2:12" x14ac:dyDescent="0.2">
      <c r="B18021"/>
      <c r="C18021"/>
      <c r="J18021"/>
      <c r="K18021"/>
      <c r="L18021"/>
    </row>
    <row r="18022" spans="2:12" x14ac:dyDescent="0.2">
      <c r="B18022"/>
      <c r="C18022"/>
      <c r="J18022"/>
      <c r="K18022"/>
      <c r="L18022"/>
    </row>
    <row r="18023" spans="2:12" x14ac:dyDescent="0.2">
      <c r="B18023"/>
      <c r="C18023"/>
      <c r="J18023"/>
      <c r="K18023"/>
      <c r="L18023"/>
    </row>
    <row r="18024" spans="2:12" x14ac:dyDescent="0.2">
      <c r="B18024"/>
      <c r="C18024"/>
      <c r="J18024"/>
      <c r="K18024"/>
      <c r="L18024"/>
    </row>
    <row r="18025" spans="2:12" x14ac:dyDescent="0.2">
      <c r="B18025"/>
      <c r="C18025"/>
      <c r="J18025"/>
      <c r="K18025"/>
      <c r="L18025"/>
    </row>
    <row r="18026" spans="2:12" x14ac:dyDescent="0.2">
      <c r="B18026"/>
      <c r="C18026"/>
      <c r="J18026"/>
      <c r="K18026"/>
      <c r="L18026"/>
    </row>
    <row r="18027" spans="2:12" x14ac:dyDescent="0.2">
      <c r="B18027"/>
      <c r="C18027"/>
      <c r="J18027"/>
      <c r="K18027"/>
      <c r="L18027"/>
    </row>
    <row r="18028" spans="2:12" x14ac:dyDescent="0.2">
      <c r="B18028"/>
      <c r="C18028"/>
      <c r="J18028"/>
      <c r="K18028"/>
      <c r="L18028"/>
    </row>
    <row r="18029" spans="2:12" x14ac:dyDescent="0.2">
      <c r="B18029"/>
      <c r="C18029"/>
      <c r="J18029"/>
      <c r="K18029"/>
      <c r="L18029"/>
    </row>
    <row r="18030" spans="2:12" x14ac:dyDescent="0.2">
      <c r="B18030"/>
      <c r="C18030"/>
      <c r="J18030"/>
      <c r="K18030"/>
      <c r="L18030"/>
    </row>
    <row r="18031" spans="2:12" x14ac:dyDescent="0.2">
      <c r="B18031"/>
      <c r="C18031"/>
      <c r="J18031"/>
      <c r="K18031"/>
      <c r="L18031"/>
    </row>
    <row r="18032" spans="2:12" x14ac:dyDescent="0.2">
      <c r="B18032"/>
      <c r="C18032"/>
      <c r="J18032"/>
      <c r="K18032"/>
      <c r="L18032"/>
    </row>
    <row r="18033" spans="2:12" x14ac:dyDescent="0.2">
      <c r="B18033"/>
      <c r="C18033"/>
      <c r="J18033"/>
      <c r="K18033"/>
      <c r="L18033"/>
    </row>
    <row r="18034" spans="2:12" x14ac:dyDescent="0.2">
      <c r="B18034"/>
      <c r="C18034"/>
      <c r="J18034"/>
      <c r="K18034"/>
      <c r="L18034"/>
    </row>
    <row r="18035" spans="2:12" x14ac:dyDescent="0.2">
      <c r="B18035"/>
      <c r="C18035"/>
      <c r="J18035"/>
      <c r="K18035"/>
      <c r="L18035"/>
    </row>
    <row r="18036" spans="2:12" x14ac:dyDescent="0.2">
      <c r="B18036"/>
      <c r="C18036"/>
      <c r="J18036"/>
      <c r="K18036"/>
      <c r="L18036"/>
    </row>
    <row r="18037" spans="2:12" x14ac:dyDescent="0.2">
      <c r="B18037"/>
      <c r="C18037"/>
      <c r="J18037"/>
      <c r="K18037"/>
      <c r="L18037"/>
    </row>
    <row r="18038" spans="2:12" x14ac:dyDescent="0.2">
      <c r="B18038"/>
      <c r="C18038"/>
      <c r="J18038"/>
      <c r="K18038"/>
      <c r="L18038"/>
    </row>
    <row r="18039" spans="2:12" x14ac:dyDescent="0.2">
      <c r="B18039"/>
      <c r="C18039"/>
      <c r="J18039"/>
      <c r="K18039"/>
      <c r="L18039"/>
    </row>
    <row r="18040" spans="2:12" x14ac:dyDescent="0.2">
      <c r="B18040"/>
      <c r="C18040"/>
      <c r="J18040"/>
      <c r="K18040"/>
      <c r="L18040"/>
    </row>
    <row r="18041" spans="2:12" x14ac:dyDescent="0.2">
      <c r="B18041"/>
      <c r="C18041"/>
      <c r="J18041"/>
      <c r="K18041"/>
      <c r="L18041"/>
    </row>
    <row r="18042" spans="2:12" x14ac:dyDescent="0.2">
      <c r="B18042"/>
      <c r="C18042"/>
      <c r="J18042"/>
      <c r="K18042"/>
      <c r="L18042"/>
    </row>
    <row r="18043" spans="2:12" x14ac:dyDescent="0.2">
      <c r="B18043"/>
      <c r="C18043"/>
      <c r="J18043"/>
      <c r="K18043"/>
      <c r="L18043"/>
    </row>
    <row r="18044" spans="2:12" x14ac:dyDescent="0.2">
      <c r="B18044"/>
      <c r="C18044"/>
      <c r="J18044"/>
      <c r="K18044"/>
      <c r="L18044"/>
    </row>
    <row r="18045" spans="2:12" x14ac:dyDescent="0.2">
      <c r="B18045"/>
      <c r="C18045"/>
      <c r="J18045"/>
      <c r="K18045"/>
      <c r="L18045"/>
    </row>
    <row r="18046" spans="2:12" x14ac:dyDescent="0.2">
      <c r="B18046"/>
      <c r="C18046"/>
      <c r="J18046"/>
      <c r="K18046"/>
      <c r="L18046"/>
    </row>
    <row r="18047" spans="2:12" x14ac:dyDescent="0.2">
      <c r="B18047"/>
      <c r="C18047"/>
      <c r="J18047"/>
      <c r="K18047"/>
      <c r="L18047"/>
    </row>
    <row r="18048" spans="2:12" x14ac:dyDescent="0.2">
      <c r="B18048"/>
      <c r="C18048"/>
      <c r="J18048"/>
      <c r="K18048"/>
      <c r="L18048"/>
    </row>
    <row r="18049" spans="2:12" x14ac:dyDescent="0.2">
      <c r="B18049"/>
      <c r="C18049"/>
      <c r="J18049"/>
      <c r="K18049"/>
      <c r="L18049"/>
    </row>
    <row r="18050" spans="2:12" x14ac:dyDescent="0.2">
      <c r="B18050"/>
      <c r="C18050"/>
      <c r="J18050"/>
      <c r="K18050"/>
      <c r="L18050"/>
    </row>
    <row r="18051" spans="2:12" x14ac:dyDescent="0.2">
      <c r="B18051"/>
      <c r="C18051"/>
      <c r="J18051"/>
      <c r="K18051"/>
      <c r="L18051"/>
    </row>
    <row r="18052" spans="2:12" x14ac:dyDescent="0.2">
      <c r="B18052"/>
      <c r="C18052"/>
      <c r="J18052"/>
      <c r="K18052"/>
      <c r="L18052"/>
    </row>
    <row r="18053" spans="2:12" x14ac:dyDescent="0.2">
      <c r="B18053"/>
      <c r="C18053"/>
      <c r="J18053"/>
      <c r="K18053"/>
      <c r="L18053"/>
    </row>
    <row r="18054" spans="2:12" x14ac:dyDescent="0.2">
      <c r="B18054"/>
      <c r="C18054"/>
      <c r="J18054"/>
      <c r="K18054"/>
      <c r="L18054"/>
    </row>
    <row r="18055" spans="2:12" x14ac:dyDescent="0.2">
      <c r="B18055"/>
      <c r="C18055"/>
      <c r="J18055"/>
      <c r="K18055"/>
      <c r="L18055"/>
    </row>
    <row r="18056" spans="2:12" x14ac:dyDescent="0.2">
      <c r="B18056"/>
      <c r="C18056"/>
      <c r="J18056"/>
      <c r="K18056"/>
      <c r="L18056"/>
    </row>
    <row r="18057" spans="2:12" x14ac:dyDescent="0.2">
      <c r="B18057"/>
      <c r="C18057"/>
      <c r="J18057"/>
      <c r="K18057"/>
      <c r="L18057"/>
    </row>
    <row r="18058" spans="2:12" x14ac:dyDescent="0.2">
      <c r="B18058"/>
      <c r="C18058"/>
      <c r="J18058"/>
      <c r="K18058"/>
      <c r="L18058"/>
    </row>
    <row r="18059" spans="2:12" x14ac:dyDescent="0.2">
      <c r="B18059"/>
      <c r="C18059"/>
      <c r="J18059"/>
      <c r="K18059"/>
      <c r="L18059"/>
    </row>
    <row r="18060" spans="2:12" x14ac:dyDescent="0.2">
      <c r="B18060"/>
      <c r="C18060"/>
      <c r="J18060"/>
      <c r="K18060"/>
      <c r="L18060"/>
    </row>
    <row r="18061" spans="2:12" x14ac:dyDescent="0.2">
      <c r="B18061"/>
      <c r="C18061"/>
      <c r="J18061"/>
      <c r="K18061"/>
      <c r="L18061"/>
    </row>
    <row r="18062" spans="2:12" x14ac:dyDescent="0.2">
      <c r="B18062"/>
      <c r="C18062"/>
      <c r="J18062"/>
      <c r="K18062"/>
      <c r="L18062"/>
    </row>
    <row r="18063" spans="2:12" x14ac:dyDescent="0.2">
      <c r="B18063"/>
      <c r="C18063"/>
      <c r="J18063"/>
      <c r="K18063"/>
      <c r="L18063"/>
    </row>
    <row r="18064" spans="2:12" x14ac:dyDescent="0.2">
      <c r="B18064"/>
      <c r="C18064"/>
      <c r="J18064"/>
      <c r="K18064"/>
      <c r="L18064"/>
    </row>
    <row r="18065" spans="2:12" x14ac:dyDescent="0.2">
      <c r="B18065"/>
      <c r="C18065"/>
      <c r="J18065"/>
      <c r="K18065"/>
      <c r="L18065"/>
    </row>
    <row r="18066" spans="2:12" x14ac:dyDescent="0.2">
      <c r="B18066"/>
      <c r="C18066"/>
      <c r="J18066"/>
      <c r="K18066"/>
      <c r="L18066"/>
    </row>
    <row r="18067" spans="2:12" x14ac:dyDescent="0.2">
      <c r="B18067"/>
      <c r="C18067"/>
      <c r="J18067"/>
      <c r="K18067"/>
      <c r="L18067"/>
    </row>
    <row r="18068" spans="2:12" x14ac:dyDescent="0.2">
      <c r="B18068"/>
      <c r="C18068"/>
      <c r="J18068"/>
      <c r="K18068"/>
      <c r="L18068"/>
    </row>
    <row r="18069" spans="2:12" x14ac:dyDescent="0.2">
      <c r="B18069"/>
      <c r="C18069"/>
      <c r="J18069"/>
      <c r="K18069"/>
      <c r="L18069"/>
    </row>
    <row r="18070" spans="2:12" x14ac:dyDescent="0.2">
      <c r="B18070"/>
      <c r="C18070"/>
      <c r="J18070"/>
      <c r="K18070"/>
      <c r="L18070"/>
    </row>
    <row r="18071" spans="2:12" x14ac:dyDescent="0.2">
      <c r="B18071"/>
      <c r="C18071"/>
      <c r="J18071"/>
      <c r="K18071"/>
      <c r="L18071"/>
    </row>
    <row r="18072" spans="2:12" x14ac:dyDescent="0.2">
      <c r="B18072"/>
      <c r="C18072"/>
      <c r="J18072"/>
      <c r="K18072"/>
      <c r="L18072"/>
    </row>
    <row r="18073" spans="2:12" x14ac:dyDescent="0.2">
      <c r="B18073"/>
      <c r="C18073"/>
      <c r="J18073"/>
      <c r="K18073"/>
      <c r="L18073"/>
    </row>
    <row r="18074" spans="2:12" x14ac:dyDescent="0.2">
      <c r="B18074"/>
      <c r="C18074"/>
      <c r="J18074"/>
      <c r="K18074"/>
      <c r="L18074"/>
    </row>
    <row r="18075" spans="2:12" x14ac:dyDescent="0.2">
      <c r="B18075"/>
      <c r="C18075"/>
      <c r="J18075"/>
      <c r="K18075"/>
      <c r="L18075"/>
    </row>
    <row r="18076" spans="2:12" x14ac:dyDescent="0.2">
      <c r="B18076"/>
      <c r="C18076"/>
      <c r="J18076"/>
      <c r="K18076"/>
      <c r="L18076"/>
    </row>
    <row r="18077" spans="2:12" x14ac:dyDescent="0.2">
      <c r="B18077"/>
      <c r="C18077"/>
      <c r="J18077"/>
      <c r="K18077"/>
      <c r="L18077"/>
    </row>
    <row r="18078" spans="2:12" x14ac:dyDescent="0.2">
      <c r="B18078"/>
      <c r="C18078"/>
      <c r="J18078"/>
      <c r="K18078"/>
      <c r="L18078"/>
    </row>
    <row r="18079" spans="2:12" x14ac:dyDescent="0.2">
      <c r="B18079"/>
      <c r="C18079"/>
      <c r="J18079"/>
      <c r="K18079"/>
      <c r="L18079"/>
    </row>
    <row r="18080" spans="2:12" x14ac:dyDescent="0.2">
      <c r="B18080"/>
      <c r="C18080"/>
      <c r="J18080"/>
      <c r="K18080"/>
      <c r="L18080"/>
    </row>
    <row r="18081" spans="2:12" x14ac:dyDescent="0.2">
      <c r="B18081"/>
      <c r="C18081"/>
      <c r="J18081"/>
      <c r="K18081"/>
      <c r="L18081"/>
    </row>
    <row r="18082" spans="2:12" x14ac:dyDescent="0.2">
      <c r="B18082"/>
      <c r="C18082"/>
      <c r="J18082"/>
      <c r="K18082"/>
      <c r="L18082"/>
    </row>
    <row r="18083" spans="2:12" x14ac:dyDescent="0.2">
      <c r="B18083"/>
      <c r="C18083"/>
      <c r="J18083"/>
      <c r="K18083"/>
      <c r="L18083"/>
    </row>
    <row r="18084" spans="2:12" x14ac:dyDescent="0.2">
      <c r="B18084"/>
      <c r="C18084"/>
      <c r="J18084"/>
      <c r="K18084"/>
      <c r="L18084"/>
    </row>
    <row r="18085" spans="2:12" x14ac:dyDescent="0.2">
      <c r="B18085"/>
      <c r="C18085"/>
      <c r="J18085"/>
      <c r="K18085"/>
      <c r="L18085"/>
    </row>
    <row r="18086" spans="2:12" x14ac:dyDescent="0.2">
      <c r="B18086"/>
      <c r="C18086"/>
      <c r="J18086"/>
      <c r="K18086"/>
      <c r="L18086"/>
    </row>
    <row r="18087" spans="2:12" x14ac:dyDescent="0.2">
      <c r="B18087"/>
      <c r="C18087"/>
      <c r="J18087"/>
      <c r="K18087"/>
      <c r="L18087"/>
    </row>
    <row r="18088" spans="2:12" x14ac:dyDescent="0.2">
      <c r="B18088"/>
      <c r="C18088"/>
      <c r="J18088"/>
      <c r="K18088"/>
      <c r="L18088"/>
    </row>
    <row r="18089" spans="2:12" x14ac:dyDescent="0.2">
      <c r="B18089"/>
      <c r="C18089"/>
      <c r="J18089"/>
      <c r="K18089"/>
      <c r="L18089"/>
    </row>
    <row r="18090" spans="2:12" x14ac:dyDescent="0.2">
      <c r="B18090"/>
      <c r="C18090"/>
      <c r="J18090"/>
      <c r="K18090"/>
      <c r="L18090"/>
    </row>
    <row r="18091" spans="2:12" x14ac:dyDescent="0.2">
      <c r="B18091"/>
      <c r="C18091"/>
      <c r="J18091"/>
      <c r="K18091"/>
      <c r="L18091"/>
    </row>
    <row r="18092" spans="2:12" x14ac:dyDescent="0.2">
      <c r="B18092"/>
      <c r="C18092"/>
      <c r="J18092"/>
      <c r="K18092"/>
      <c r="L18092"/>
    </row>
    <row r="18093" spans="2:12" x14ac:dyDescent="0.2">
      <c r="B18093"/>
      <c r="C18093"/>
      <c r="J18093"/>
      <c r="K18093"/>
      <c r="L18093"/>
    </row>
    <row r="18094" spans="2:12" x14ac:dyDescent="0.2">
      <c r="B18094"/>
      <c r="C18094"/>
      <c r="J18094"/>
      <c r="K18094"/>
      <c r="L18094"/>
    </row>
    <row r="18095" spans="2:12" x14ac:dyDescent="0.2">
      <c r="B18095"/>
      <c r="C18095"/>
      <c r="J18095"/>
      <c r="K18095"/>
      <c r="L18095"/>
    </row>
    <row r="18096" spans="2:12" x14ac:dyDescent="0.2">
      <c r="B18096"/>
      <c r="C18096"/>
      <c r="J18096"/>
      <c r="K18096"/>
      <c r="L18096"/>
    </row>
    <row r="18097" spans="2:12" x14ac:dyDescent="0.2">
      <c r="B18097"/>
      <c r="C18097"/>
      <c r="J18097"/>
      <c r="K18097"/>
      <c r="L18097"/>
    </row>
    <row r="18098" spans="2:12" x14ac:dyDescent="0.2">
      <c r="B18098"/>
      <c r="C18098"/>
      <c r="J18098"/>
      <c r="K18098"/>
      <c r="L18098"/>
    </row>
    <row r="18099" spans="2:12" x14ac:dyDescent="0.2">
      <c r="B18099"/>
      <c r="C18099"/>
      <c r="J18099"/>
      <c r="K18099"/>
      <c r="L18099"/>
    </row>
    <row r="18100" spans="2:12" x14ac:dyDescent="0.2">
      <c r="B18100"/>
      <c r="C18100"/>
      <c r="J18100"/>
      <c r="K18100"/>
      <c r="L18100"/>
    </row>
    <row r="18101" spans="2:12" x14ac:dyDescent="0.2">
      <c r="B18101"/>
      <c r="C18101"/>
      <c r="J18101"/>
      <c r="K18101"/>
      <c r="L18101"/>
    </row>
    <row r="18102" spans="2:12" x14ac:dyDescent="0.2">
      <c r="B18102"/>
      <c r="C18102"/>
      <c r="J18102"/>
      <c r="K18102"/>
      <c r="L18102"/>
    </row>
    <row r="18103" spans="2:12" x14ac:dyDescent="0.2">
      <c r="B18103"/>
      <c r="C18103"/>
      <c r="J18103"/>
      <c r="K18103"/>
      <c r="L18103"/>
    </row>
    <row r="18104" spans="2:12" x14ac:dyDescent="0.2">
      <c r="B18104"/>
      <c r="C18104"/>
      <c r="J18104"/>
      <c r="K18104"/>
      <c r="L18104"/>
    </row>
    <row r="18105" spans="2:12" x14ac:dyDescent="0.2">
      <c r="B18105"/>
      <c r="C18105"/>
      <c r="J18105"/>
      <c r="K18105"/>
      <c r="L18105"/>
    </row>
    <row r="18106" spans="2:12" x14ac:dyDescent="0.2">
      <c r="B18106"/>
      <c r="C18106"/>
      <c r="J18106"/>
      <c r="K18106"/>
      <c r="L18106"/>
    </row>
    <row r="18107" spans="2:12" x14ac:dyDescent="0.2">
      <c r="B18107"/>
      <c r="C18107"/>
      <c r="J18107"/>
      <c r="K18107"/>
      <c r="L18107"/>
    </row>
    <row r="18108" spans="2:12" x14ac:dyDescent="0.2">
      <c r="B18108"/>
      <c r="C18108"/>
      <c r="J18108"/>
      <c r="K18108"/>
      <c r="L18108"/>
    </row>
    <row r="18109" spans="2:12" x14ac:dyDescent="0.2">
      <c r="B18109"/>
      <c r="C18109"/>
      <c r="J18109"/>
      <c r="K18109"/>
      <c r="L18109"/>
    </row>
    <row r="18110" spans="2:12" x14ac:dyDescent="0.2">
      <c r="B18110"/>
      <c r="C18110"/>
      <c r="J18110"/>
      <c r="K18110"/>
      <c r="L18110"/>
    </row>
    <row r="18111" spans="2:12" x14ac:dyDescent="0.2">
      <c r="B18111"/>
      <c r="C18111"/>
      <c r="J18111"/>
      <c r="K18111"/>
      <c r="L18111"/>
    </row>
    <row r="18112" spans="2:12" x14ac:dyDescent="0.2">
      <c r="B18112"/>
      <c r="C18112"/>
      <c r="J18112"/>
      <c r="K18112"/>
      <c r="L18112"/>
    </row>
    <row r="18113" spans="2:12" x14ac:dyDescent="0.2">
      <c r="B18113"/>
      <c r="C18113"/>
      <c r="J18113"/>
      <c r="K18113"/>
      <c r="L18113"/>
    </row>
    <row r="18114" spans="2:12" x14ac:dyDescent="0.2">
      <c r="B18114"/>
      <c r="C18114"/>
      <c r="J18114"/>
      <c r="K18114"/>
      <c r="L18114"/>
    </row>
    <row r="18115" spans="2:12" x14ac:dyDescent="0.2">
      <c r="B18115"/>
      <c r="C18115"/>
      <c r="J18115"/>
      <c r="K18115"/>
      <c r="L18115"/>
    </row>
    <row r="18116" spans="2:12" x14ac:dyDescent="0.2">
      <c r="B18116"/>
      <c r="C18116"/>
      <c r="J18116"/>
      <c r="K18116"/>
      <c r="L18116"/>
    </row>
    <row r="18117" spans="2:12" x14ac:dyDescent="0.2">
      <c r="B18117"/>
      <c r="C18117"/>
      <c r="J18117"/>
      <c r="K18117"/>
      <c r="L18117"/>
    </row>
    <row r="18118" spans="2:12" x14ac:dyDescent="0.2">
      <c r="B18118"/>
      <c r="C18118"/>
      <c r="J18118"/>
      <c r="K18118"/>
      <c r="L18118"/>
    </row>
    <row r="18119" spans="2:12" x14ac:dyDescent="0.2">
      <c r="B18119"/>
      <c r="C18119"/>
      <c r="J18119"/>
      <c r="K18119"/>
      <c r="L18119"/>
    </row>
    <row r="18120" spans="2:12" x14ac:dyDescent="0.2">
      <c r="B18120"/>
      <c r="C18120"/>
      <c r="J18120"/>
      <c r="K18120"/>
      <c r="L18120"/>
    </row>
    <row r="18121" spans="2:12" x14ac:dyDescent="0.2">
      <c r="B18121"/>
      <c r="C18121"/>
      <c r="J18121"/>
      <c r="K18121"/>
      <c r="L18121"/>
    </row>
    <row r="18122" spans="2:12" x14ac:dyDescent="0.2">
      <c r="B18122"/>
      <c r="C18122"/>
      <c r="J18122"/>
      <c r="K18122"/>
      <c r="L18122"/>
    </row>
    <row r="18123" spans="2:12" x14ac:dyDescent="0.2">
      <c r="B18123"/>
      <c r="C18123"/>
      <c r="J18123"/>
      <c r="K18123"/>
      <c r="L18123"/>
    </row>
    <row r="18124" spans="2:12" x14ac:dyDescent="0.2">
      <c r="B18124"/>
      <c r="C18124"/>
      <c r="J18124"/>
      <c r="K18124"/>
      <c r="L18124"/>
    </row>
    <row r="18125" spans="2:12" x14ac:dyDescent="0.2">
      <c r="B18125"/>
      <c r="C18125"/>
      <c r="J18125"/>
      <c r="K18125"/>
      <c r="L18125"/>
    </row>
    <row r="18126" spans="2:12" x14ac:dyDescent="0.2">
      <c r="B18126"/>
      <c r="C18126"/>
      <c r="J18126"/>
      <c r="K18126"/>
      <c r="L18126"/>
    </row>
    <row r="18127" spans="2:12" x14ac:dyDescent="0.2">
      <c r="B18127"/>
      <c r="C18127"/>
      <c r="J18127"/>
      <c r="K18127"/>
      <c r="L18127"/>
    </row>
    <row r="18128" spans="2:12" x14ac:dyDescent="0.2">
      <c r="B18128"/>
      <c r="C18128"/>
      <c r="J18128"/>
      <c r="K18128"/>
      <c r="L18128"/>
    </row>
    <row r="18129" spans="2:12" x14ac:dyDescent="0.2">
      <c r="B18129"/>
      <c r="C18129"/>
      <c r="J18129"/>
      <c r="K18129"/>
      <c r="L18129"/>
    </row>
    <row r="18130" spans="2:12" x14ac:dyDescent="0.2">
      <c r="B18130"/>
      <c r="C18130"/>
      <c r="J18130"/>
      <c r="K18130"/>
      <c r="L18130"/>
    </row>
    <row r="18131" spans="2:12" x14ac:dyDescent="0.2">
      <c r="B18131"/>
      <c r="C18131"/>
      <c r="J18131"/>
      <c r="K18131"/>
      <c r="L18131"/>
    </row>
    <row r="18132" spans="2:12" x14ac:dyDescent="0.2">
      <c r="B18132"/>
      <c r="C18132"/>
      <c r="J18132"/>
      <c r="K18132"/>
      <c r="L18132"/>
    </row>
    <row r="18133" spans="2:12" x14ac:dyDescent="0.2">
      <c r="B18133"/>
      <c r="C18133"/>
      <c r="J18133"/>
      <c r="K18133"/>
      <c r="L18133"/>
    </row>
    <row r="18134" spans="2:12" x14ac:dyDescent="0.2">
      <c r="B18134"/>
      <c r="C18134"/>
      <c r="J18134"/>
      <c r="K18134"/>
      <c r="L18134"/>
    </row>
    <row r="18135" spans="2:12" x14ac:dyDescent="0.2">
      <c r="B18135"/>
      <c r="C18135"/>
      <c r="J18135"/>
      <c r="K18135"/>
      <c r="L18135"/>
    </row>
    <row r="18136" spans="2:12" x14ac:dyDescent="0.2">
      <c r="B18136"/>
      <c r="C18136"/>
      <c r="J18136"/>
      <c r="K18136"/>
      <c r="L18136"/>
    </row>
    <row r="18137" spans="2:12" x14ac:dyDescent="0.2">
      <c r="B18137"/>
      <c r="C18137"/>
      <c r="J18137"/>
      <c r="K18137"/>
      <c r="L18137"/>
    </row>
    <row r="18138" spans="2:12" x14ac:dyDescent="0.2">
      <c r="B18138"/>
      <c r="C18138"/>
      <c r="J18138"/>
      <c r="K18138"/>
      <c r="L18138"/>
    </row>
    <row r="18139" spans="2:12" x14ac:dyDescent="0.2">
      <c r="B18139"/>
      <c r="C18139"/>
      <c r="J18139"/>
      <c r="K18139"/>
      <c r="L18139"/>
    </row>
    <row r="18140" spans="2:12" x14ac:dyDescent="0.2">
      <c r="B18140"/>
      <c r="C18140"/>
      <c r="J18140"/>
      <c r="K18140"/>
      <c r="L18140"/>
    </row>
    <row r="18141" spans="2:12" x14ac:dyDescent="0.2">
      <c r="B18141"/>
      <c r="C18141"/>
      <c r="J18141"/>
      <c r="K18141"/>
      <c r="L18141"/>
    </row>
    <row r="18142" spans="2:12" x14ac:dyDescent="0.2">
      <c r="B18142"/>
      <c r="C18142"/>
      <c r="J18142"/>
      <c r="K18142"/>
      <c r="L18142"/>
    </row>
    <row r="18143" spans="2:12" x14ac:dyDescent="0.2">
      <c r="B18143"/>
      <c r="C18143"/>
      <c r="J18143"/>
      <c r="K18143"/>
      <c r="L18143"/>
    </row>
    <row r="18144" spans="2:12" x14ac:dyDescent="0.2">
      <c r="B18144"/>
      <c r="C18144"/>
      <c r="J18144"/>
      <c r="K18144"/>
      <c r="L18144"/>
    </row>
    <row r="18145" spans="2:12" x14ac:dyDescent="0.2">
      <c r="B18145"/>
      <c r="C18145"/>
      <c r="J18145"/>
      <c r="K18145"/>
      <c r="L18145"/>
    </row>
    <row r="18146" spans="2:12" x14ac:dyDescent="0.2">
      <c r="B18146"/>
      <c r="C18146"/>
      <c r="J18146"/>
      <c r="K18146"/>
      <c r="L18146"/>
    </row>
    <row r="18147" spans="2:12" x14ac:dyDescent="0.2">
      <c r="B18147"/>
      <c r="C18147"/>
      <c r="J18147"/>
      <c r="K18147"/>
      <c r="L18147"/>
    </row>
    <row r="18148" spans="2:12" x14ac:dyDescent="0.2">
      <c r="B18148"/>
      <c r="C18148"/>
      <c r="J18148"/>
      <c r="K18148"/>
      <c r="L18148"/>
    </row>
    <row r="18149" spans="2:12" x14ac:dyDescent="0.2">
      <c r="B18149"/>
      <c r="C18149"/>
      <c r="J18149"/>
      <c r="K18149"/>
      <c r="L18149"/>
    </row>
    <row r="18150" spans="2:12" x14ac:dyDescent="0.2">
      <c r="B18150"/>
      <c r="C18150"/>
      <c r="J18150"/>
      <c r="K18150"/>
      <c r="L18150"/>
    </row>
    <row r="18151" spans="2:12" x14ac:dyDescent="0.2">
      <c r="B18151"/>
      <c r="C18151"/>
      <c r="J18151"/>
      <c r="K18151"/>
      <c r="L18151"/>
    </row>
    <row r="18152" spans="2:12" x14ac:dyDescent="0.2">
      <c r="B18152"/>
      <c r="C18152"/>
      <c r="J18152"/>
      <c r="K18152"/>
      <c r="L18152"/>
    </row>
    <row r="18153" spans="2:12" x14ac:dyDescent="0.2">
      <c r="B18153"/>
      <c r="C18153"/>
      <c r="J18153"/>
      <c r="K18153"/>
      <c r="L18153"/>
    </row>
    <row r="18154" spans="2:12" x14ac:dyDescent="0.2">
      <c r="B18154"/>
      <c r="C18154"/>
      <c r="J18154"/>
      <c r="K18154"/>
      <c r="L18154"/>
    </row>
    <row r="18155" spans="2:12" x14ac:dyDescent="0.2">
      <c r="B18155"/>
      <c r="C18155"/>
      <c r="J18155"/>
      <c r="K18155"/>
      <c r="L18155"/>
    </row>
    <row r="18156" spans="2:12" x14ac:dyDescent="0.2">
      <c r="B18156"/>
      <c r="C18156"/>
      <c r="J18156"/>
      <c r="K18156"/>
      <c r="L18156"/>
    </row>
    <row r="18157" spans="2:12" x14ac:dyDescent="0.2">
      <c r="B18157"/>
      <c r="C18157"/>
      <c r="J18157"/>
      <c r="K18157"/>
      <c r="L18157"/>
    </row>
    <row r="18158" spans="2:12" x14ac:dyDescent="0.2">
      <c r="B18158"/>
      <c r="C18158"/>
      <c r="J18158"/>
      <c r="K18158"/>
      <c r="L18158"/>
    </row>
    <row r="18159" spans="2:12" x14ac:dyDescent="0.2">
      <c r="B18159"/>
      <c r="C18159"/>
      <c r="J18159"/>
      <c r="K18159"/>
      <c r="L18159"/>
    </row>
    <row r="18160" spans="2:12" x14ac:dyDescent="0.2">
      <c r="B18160"/>
      <c r="C18160"/>
      <c r="J18160"/>
      <c r="K18160"/>
      <c r="L18160"/>
    </row>
    <row r="18161" spans="2:12" x14ac:dyDescent="0.2">
      <c r="B18161"/>
      <c r="C18161"/>
      <c r="J18161"/>
      <c r="K18161"/>
      <c r="L18161"/>
    </row>
    <row r="18162" spans="2:12" x14ac:dyDescent="0.2">
      <c r="B18162"/>
      <c r="C18162"/>
      <c r="J18162"/>
      <c r="K18162"/>
      <c r="L18162"/>
    </row>
    <row r="18163" spans="2:12" x14ac:dyDescent="0.2">
      <c r="B18163"/>
      <c r="C18163"/>
      <c r="J18163"/>
      <c r="K18163"/>
      <c r="L18163"/>
    </row>
    <row r="18164" spans="2:12" x14ac:dyDescent="0.2">
      <c r="B18164"/>
      <c r="C18164"/>
      <c r="J18164"/>
      <c r="K18164"/>
      <c r="L18164"/>
    </row>
    <row r="18165" spans="2:12" x14ac:dyDescent="0.2">
      <c r="B18165"/>
      <c r="C18165"/>
      <c r="J18165"/>
      <c r="K18165"/>
      <c r="L18165"/>
    </row>
    <row r="18166" spans="2:12" x14ac:dyDescent="0.2">
      <c r="B18166"/>
      <c r="C18166"/>
      <c r="J18166"/>
      <c r="K18166"/>
      <c r="L18166"/>
    </row>
    <row r="18167" spans="2:12" x14ac:dyDescent="0.2">
      <c r="B18167"/>
      <c r="C18167"/>
      <c r="J18167"/>
      <c r="K18167"/>
      <c r="L18167"/>
    </row>
    <row r="18168" spans="2:12" x14ac:dyDescent="0.2">
      <c r="B18168"/>
      <c r="C18168"/>
      <c r="J18168"/>
      <c r="K18168"/>
      <c r="L18168"/>
    </row>
    <row r="18169" spans="2:12" x14ac:dyDescent="0.2">
      <c r="B18169"/>
      <c r="C18169"/>
      <c r="J18169"/>
      <c r="K18169"/>
      <c r="L18169"/>
    </row>
    <row r="18170" spans="2:12" x14ac:dyDescent="0.2">
      <c r="B18170"/>
      <c r="C18170"/>
      <c r="J18170"/>
      <c r="K18170"/>
      <c r="L18170"/>
    </row>
    <row r="18171" spans="2:12" x14ac:dyDescent="0.2">
      <c r="B18171"/>
      <c r="C18171"/>
      <c r="J18171"/>
      <c r="K18171"/>
      <c r="L18171"/>
    </row>
    <row r="18172" spans="2:12" x14ac:dyDescent="0.2">
      <c r="B18172"/>
      <c r="C18172"/>
      <c r="J18172"/>
      <c r="K18172"/>
      <c r="L18172"/>
    </row>
    <row r="18173" spans="2:12" x14ac:dyDescent="0.2">
      <c r="B18173"/>
      <c r="C18173"/>
      <c r="J18173"/>
      <c r="K18173"/>
      <c r="L18173"/>
    </row>
    <row r="18174" spans="2:12" x14ac:dyDescent="0.2">
      <c r="B18174"/>
      <c r="C18174"/>
      <c r="J18174"/>
      <c r="K18174"/>
      <c r="L18174"/>
    </row>
    <row r="18175" spans="2:12" x14ac:dyDescent="0.2">
      <c r="B18175"/>
      <c r="C18175"/>
      <c r="J18175"/>
      <c r="K18175"/>
      <c r="L18175"/>
    </row>
    <row r="18176" spans="2:12" x14ac:dyDescent="0.2">
      <c r="B18176"/>
      <c r="C18176"/>
      <c r="J18176"/>
      <c r="K18176"/>
      <c r="L18176"/>
    </row>
    <row r="18177" spans="2:12" x14ac:dyDescent="0.2">
      <c r="B18177"/>
      <c r="C18177"/>
      <c r="J18177"/>
      <c r="K18177"/>
      <c r="L18177"/>
    </row>
    <row r="18178" spans="2:12" x14ac:dyDescent="0.2">
      <c r="B18178"/>
      <c r="C18178"/>
      <c r="J18178"/>
      <c r="K18178"/>
      <c r="L18178"/>
    </row>
    <row r="18179" spans="2:12" x14ac:dyDescent="0.2">
      <c r="B18179"/>
      <c r="C18179"/>
      <c r="J18179"/>
      <c r="K18179"/>
      <c r="L18179"/>
    </row>
    <row r="18180" spans="2:12" x14ac:dyDescent="0.2">
      <c r="B18180"/>
      <c r="C18180"/>
      <c r="J18180"/>
      <c r="K18180"/>
      <c r="L18180"/>
    </row>
    <row r="18181" spans="2:12" x14ac:dyDescent="0.2">
      <c r="B18181"/>
      <c r="C18181"/>
      <c r="J18181"/>
      <c r="K18181"/>
      <c r="L18181"/>
    </row>
    <row r="18182" spans="2:12" x14ac:dyDescent="0.2">
      <c r="B18182"/>
      <c r="C18182"/>
      <c r="J18182"/>
      <c r="K18182"/>
      <c r="L18182"/>
    </row>
    <row r="18183" spans="2:12" x14ac:dyDescent="0.2">
      <c r="B18183"/>
      <c r="C18183"/>
      <c r="J18183"/>
      <c r="K18183"/>
      <c r="L18183"/>
    </row>
    <row r="18184" spans="2:12" x14ac:dyDescent="0.2">
      <c r="B18184"/>
      <c r="C18184"/>
      <c r="J18184"/>
      <c r="K18184"/>
      <c r="L18184"/>
    </row>
    <row r="18185" spans="2:12" x14ac:dyDescent="0.2">
      <c r="B18185"/>
      <c r="C18185"/>
      <c r="J18185"/>
      <c r="K18185"/>
      <c r="L18185"/>
    </row>
    <row r="18186" spans="2:12" x14ac:dyDescent="0.2">
      <c r="B18186"/>
      <c r="C18186"/>
      <c r="J18186"/>
      <c r="K18186"/>
      <c r="L18186"/>
    </row>
    <row r="18187" spans="2:12" x14ac:dyDescent="0.2">
      <c r="B18187"/>
      <c r="C18187"/>
      <c r="J18187"/>
      <c r="K18187"/>
      <c r="L18187"/>
    </row>
    <row r="18188" spans="2:12" x14ac:dyDescent="0.2">
      <c r="B18188"/>
      <c r="C18188"/>
      <c r="J18188"/>
      <c r="K18188"/>
      <c r="L18188"/>
    </row>
    <row r="18189" spans="2:12" x14ac:dyDescent="0.2">
      <c r="B18189"/>
      <c r="C18189"/>
      <c r="J18189"/>
      <c r="K18189"/>
      <c r="L18189"/>
    </row>
    <row r="18190" spans="2:12" x14ac:dyDescent="0.2">
      <c r="B18190"/>
      <c r="C18190"/>
      <c r="J18190"/>
      <c r="K18190"/>
      <c r="L18190"/>
    </row>
    <row r="18191" spans="2:12" x14ac:dyDescent="0.2">
      <c r="B18191"/>
      <c r="C18191"/>
      <c r="J18191"/>
      <c r="K18191"/>
      <c r="L18191"/>
    </row>
    <row r="18192" spans="2:12" x14ac:dyDescent="0.2">
      <c r="B18192"/>
      <c r="C18192"/>
      <c r="J18192"/>
      <c r="K18192"/>
      <c r="L18192"/>
    </row>
    <row r="18193" spans="2:12" x14ac:dyDescent="0.2">
      <c r="B18193"/>
      <c r="C18193"/>
      <c r="J18193"/>
      <c r="K18193"/>
      <c r="L18193"/>
    </row>
    <row r="18194" spans="2:12" x14ac:dyDescent="0.2">
      <c r="B18194"/>
      <c r="C18194"/>
      <c r="J18194"/>
      <c r="K18194"/>
      <c r="L18194"/>
    </row>
    <row r="18195" spans="2:12" x14ac:dyDescent="0.2">
      <c r="B18195"/>
      <c r="C18195"/>
      <c r="J18195"/>
      <c r="K18195"/>
      <c r="L18195"/>
    </row>
    <row r="18196" spans="2:12" x14ac:dyDescent="0.2">
      <c r="B18196"/>
      <c r="C18196"/>
      <c r="J18196"/>
      <c r="K18196"/>
      <c r="L18196"/>
    </row>
    <row r="18197" spans="2:12" x14ac:dyDescent="0.2">
      <c r="B18197"/>
      <c r="C18197"/>
      <c r="J18197"/>
      <c r="K18197"/>
      <c r="L18197"/>
    </row>
    <row r="18198" spans="2:12" x14ac:dyDescent="0.2">
      <c r="B18198"/>
      <c r="C18198"/>
      <c r="J18198"/>
      <c r="K18198"/>
      <c r="L18198"/>
    </row>
    <row r="18199" spans="2:12" x14ac:dyDescent="0.2">
      <c r="B18199"/>
      <c r="C18199"/>
      <c r="J18199"/>
      <c r="K18199"/>
      <c r="L18199"/>
    </row>
    <row r="18200" spans="2:12" x14ac:dyDescent="0.2">
      <c r="B18200"/>
      <c r="C18200"/>
      <c r="J18200"/>
      <c r="K18200"/>
      <c r="L18200"/>
    </row>
    <row r="18201" spans="2:12" x14ac:dyDescent="0.2">
      <c r="B18201"/>
      <c r="C18201"/>
      <c r="J18201"/>
      <c r="K18201"/>
      <c r="L18201"/>
    </row>
    <row r="18202" spans="2:12" x14ac:dyDescent="0.2">
      <c r="B18202"/>
      <c r="C18202"/>
      <c r="J18202"/>
      <c r="K18202"/>
      <c r="L18202"/>
    </row>
    <row r="18203" spans="2:12" x14ac:dyDescent="0.2">
      <c r="B18203"/>
      <c r="C18203"/>
      <c r="J18203"/>
      <c r="K18203"/>
      <c r="L18203"/>
    </row>
    <row r="18204" spans="2:12" x14ac:dyDescent="0.2">
      <c r="B18204"/>
      <c r="C18204"/>
      <c r="J18204"/>
      <c r="K18204"/>
      <c r="L18204"/>
    </row>
    <row r="18205" spans="2:12" x14ac:dyDescent="0.2">
      <c r="B18205"/>
      <c r="C18205"/>
      <c r="J18205"/>
      <c r="K18205"/>
      <c r="L18205"/>
    </row>
    <row r="18206" spans="2:12" x14ac:dyDescent="0.2">
      <c r="B18206"/>
      <c r="C18206"/>
      <c r="J18206"/>
      <c r="K18206"/>
      <c r="L18206"/>
    </row>
    <row r="18207" spans="2:12" x14ac:dyDescent="0.2">
      <c r="B18207"/>
      <c r="C18207"/>
      <c r="J18207"/>
      <c r="K18207"/>
      <c r="L18207"/>
    </row>
    <row r="18208" spans="2:12" x14ac:dyDescent="0.2">
      <c r="B18208"/>
      <c r="C18208"/>
      <c r="J18208"/>
      <c r="K18208"/>
      <c r="L18208"/>
    </row>
    <row r="18209" spans="2:12" x14ac:dyDescent="0.2">
      <c r="B18209"/>
      <c r="C18209"/>
      <c r="J18209"/>
      <c r="K18209"/>
      <c r="L18209"/>
    </row>
    <row r="18210" spans="2:12" x14ac:dyDescent="0.2">
      <c r="B18210"/>
      <c r="C18210"/>
      <c r="J18210"/>
      <c r="K18210"/>
      <c r="L18210"/>
    </row>
    <row r="18211" spans="2:12" x14ac:dyDescent="0.2">
      <c r="B18211"/>
      <c r="C18211"/>
      <c r="J18211"/>
      <c r="K18211"/>
      <c r="L18211"/>
    </row>
    <row r="18212" spans="2:12" x14ac:dyDescent="0.2">
      <c r="B18212"/>
      <c r="C18212"/>
      <c r="J18212"/>
      <c r="K18212"/>
      <c r="L18212"/>
    </row>
    <row r="18213" spans="2:12" x14ac:dyDescent="0.2">
      <c r="B18213"/>
      <c r="C18213"/>
      <c r="J18213"/>
      <c r="K18213"/>
      <c r="L18213"/>
    </row>
    <row r="18214" spans="2:12" x14ac:dyDescent="0.2">
      <c r="B18214"/>
      <c r="C18214"/>
      <c r="J18214"/>
      <c r="K18214"/>
      <c r="L18214"/>
    </row>
    <row r="18215" spans="2:12" x14ac:dyDescent="0.2">
      <c r="B18215"/>
      <c r="C18215"/>
      <c r="J18215"/>
      <c r="K18215"/>
      <c r="L18215"/>
    </row>
    <row r="18216" spans="2:12" x14ac:dyDescent="0.2">
      <c r="B18216"/>
      <c r="C18216"/>
      <c r="J18216"/>
      <c r="K18216"/>
      <c r="L18216"/>
    </row>
    <row r="18217" spans="2:12" x14ac:dyDescent="0.2">
      <c r="B18217"/>
      <c r="C18217"/>
      <c r="J18217"/>
      <c r="K18217"/>
      <c r="L18217"/>
    </row>
    <row r="18218" spans="2:12" x14ac:dyDescent="0.2">
      <c r="B18218"/>
      <c r="C18218"/>
      <c r="J18218"/>
      <c r="K18218"/>
      <c r="L18218"/>
    </row>
    <row r="18219" spans="2:12" x14ac:dyDescent="0.2">
      <c r="B18219"/>
      <c r="C18219"/>
      <c r="J18219"/>
      <c r="K18219"/>
      <c r="L18219"/>
    </row>
    <row r="18220" spans="2:12" x14ac:dyDescent="0.2">
      <c r="B18220"/>
      <c r="C18220"/>
      <c r="J18220"/>
      <c r="K18220"/>
      <c r="L18220"/>
    </row>
    <row r="18221" spans="2:12" x14ac:dyDescent="0.2">
      <c r="B18221"/>
      <c r="C18221"/>
      <c r="J18221"/>
      <c r="K18221"/>
      <c r="L18221"/>
    </row>
    <row r="18222" spans="2:12" x14ac:dyDescent="0.2">
      <c r="B18222"/>
      <c r="C18222"/>
      <c r="J18222"/>
      <c r="K18222"/>
      <c r="L18222"/>
    </row>
    <row r="18223" spans="2:12" x14ac:dyDescent="0.2">
      <c r="B18223"/>
      <c r="C18223"/>
      <c r="J18223"/>
      <c r="K18223"/>
      <c r="L18223"/>
    </row>
    <row r="18224" spans="2:12" x14ac:dyDescent="0.2">
      <c r="B18224"/>
      <c r="C18224"/>
      <c r="J18224"/>
      <c r="K18224"/>
      <c r="L18224"/>
    </row>
    <row r="18225" spans="2:12" x14ac:dyDescent="0.2">
      <c r="B18225"/>
      <c r="C18225"/>
      <c r="J18225"/>
      <c r="K18225"/>
      <c r="L18225"/>
    </row>
    <row r="18226" spans="2:12" x14ac:dyDescent="0.2">
      <c r="B18226"/>
      <c r="C18226"/>
      <c r="J18226"/>
      <c r="K18226"/>
      <c r="L18226"/>
    </row>
    <row r="18227" spans="2:12" x14ac:dyDescent="0.2">
      <c r="B18227"/>
      <c r="C18227"/>
      <c r="J18227"/>
      <c r="K18227"/>
      <c r="L18227"/>
    </row>
    <row r="18228" spans="2:12" x14ac:dyDescent="0.2">
      <c r="B18228"/>
      <c r="C18228"/>
      <c r="J18228"/>
      <c r="K18228"/>
      <c r="L18228"/>
    </row>
    <row r="18229" spans="2:12" x14ac:dyDescent="0.2">
      <c r="B18229"/>
      <c r="C18229"/>
      <c r="J18229"/>
      <c r="K18229"/>
      <c r="L18229"/>
    </row>
    <row r="18230" spans="2:12" x14ac:dyDescent="0.2">
      <c r="B18230"/>
      <c r="C18230"/>
      <c r="J18230"/>
      <c r="K18230"/>
      <c r="L18230"/>
    </row>
    <row r="18231" spans="2:12" x14ac:dyDescent="0.2">
      <c r="B18231"/>
      <c r="C18231"/>
      <c r="J18231"/>
      <c r="K18231"/>
      <c r="L18231"/>
    </row>
    <row r="18232" spans="2:12" x14ac:dyDescent="0.2">
      <c r="B18232"/>
      <c r="C18232"/>
      <c r="J18232"/>
      <c r="K18232"/>
      <c r="L18232"/>
    </row>
    <row r="18233" spans="2:12" x14ac:dyDescent="0.2">
      <c r="B18233"/>
      <c r="C18233"/>
      <c r="J18233"/>
      <c r="K18233"/>
      <c r="L18233"/>
    </row>
    <row r="18234" spans="2:12" x14ac:dyDescent="0.2">
      <c r="B18234"/>
      <c r="C18234"/>
      <c r="J18234"/>
      <c r="K18234"/>
      <c r="L18234"/>
    </row>
    <row r="18235" spans="2:12" x14ac:dyDescent="0.2">
      <c r="B18235"/>
      <c r="C18235"/>
      <c r="J18235"/>
      <c r="K18235"/>
      <c r="L18235"/>
    </row>
    <row r="18236" spans="2:12" x14ac:dyDescent="0.2">
      <c r="B18236"/>
      <c r="C18236"/>
      <c r="J18236"/>
      <c r="K18236"/>
      <c r="L18236"/>
    </row>
    <row r="18237" spans="2:12" x14ac:dyDescent="0.2">
      <c r="B18237"/>
      <c r="C18237"/>
      <c r="J18237"/>
      <c r="K18237"/>
      <c r="L18237"/>
    </row>
    <row r="18238" spans="2:12" x14ac:dyDescent="0.2">
      <c r="B18238"/>
      <c r="C18238"/>
      <c r="J18238"/>
      <c r="K18238"/>
      <c r="L18238"/>
    </row>
    <row r="18239" spans="2:12" x14ac:dyDescent="0.2">
      <c r="B18239"/>
      <c r="C18239"/>
      <c r="J18239"/>
      <c r="K18239"/>
      <c r="L18239"/>
    </row>
    <row r="18240" spans="2:12" x14ac:dyDescent="0.2">
      <c r="B18240"/>
      <c r="C18240"/>
      <c r="J18240"/>
      <c r="K18240"/>
      <c r="L18240"/>
    </row>
    <row r="18241" spans="2:12" x14ac:dyDescent="0.2">
      <c r="B18241"/>
      <c r="C18241"/>
      <c r="J18241"/>
      <c r="K18241"/>
      <c r="L18241"/>
    </row>
    <row r="18242" spans="2:12" x14ac:dyDescent="0.2">
      <c r="B18242"/>
      <c r="C18242"/>
      <c r="J18242"/>
      <c r="K18242"/>
      <c r="L18242"/>
    </row>
    <row r="18243" spans="2:12" x14ac:dyDescent="0.2">
      <c r="B18243"/>
      <c r="C18243"/>
      <c r="J18243"/>
      <c r="K18243"/>
      <c r="L18243"/>
    </row>
    <row r="18244" spans="2:12" x14ac:dyDescent="0.2">
      <c r="B18244"/>
      <c r="C18244"/>
      <c r="J18244"/>
      <c r="K18244"/>
      <c r="L18244"/>
    </row>
    <row r="18245" spans="2:12" x14ac:dyDescent="0.2">
      <c r="B18245"/>
      <c r="C18245"/>
      <c r="J18245"/>
      <c r="K18245"/>
      <c r="L18245"/>
    </row>
    <row r="18246" spans="2:12" x14ac:dyDescent="0.2">
      <c r="B18246"/>
      <c r="C18246"/>
      <c r="J18246"/>
      <c r="K18246"/>
      <c r="L18246"/>
    </row>
    <row r="18247" spans="2:12" x14ac:dyDescent="0.2">
      <c r="B18247"/>
      <c r="C18247"/>
      <c r="J18247"/>
      <c r="K18247"/>
      <c r="L18247"/>
    </row>
    <row r="18248" spans="2:12" x14ac:dyDescent="0.2">
      <c r="B18248"/>
      <c r="C18248"/>
      <c r="J18248"/>
      <c r="K18248"/>
      <c r="L18248"/>
    </row>
    <row r="18249" spans="2:12" x14ac:dyDescent="0.2">
      <c r="B18249"/>
      <c r="C18249"/>
      <c r="J18249"/>
      <c r="K18249"/>
      <c r="L18249"/>
    </row>
    <row r="18250" spans="2:12" x14ac:dyDescent="0.2">
      <c r="B18250"/>
      <c r="C18250"/>
      <c r="J18250"/>
      <c r="K18250"/>
      <c r="L18250"/>
    </row>
    <row r="18251" spans="2:12" x14ac:dyDescent="0.2">
      <c r="B18251"/>
      <c r="C18251"/>
      <c r="J18251"/>
      <c r="K18251"/>
      <c r="L18251"/>
    </row>
    <row r="18252" spans="2:12" x14ac:dyDescent="0.2">
      <c r="B18252"/>
      <c r="C18252"/>
      <c r="J18252"/>
      <c r="K18252"/>
      <c r="L18252"/>
    </row>
    <row r="18253" spans="2:12" x14ac:dyDescent="0.2">
      <c r="B18253"/>
      <c r="C18253"/>
      <c r="J18253"/>
      <c r="K18253"/>
      <c r="L18253"/>
    </row>
    <row r="18254" spans="2:12" x14ac:dyDescent="0.2">
      <c r="B18254"/>
      <c r="C18254"/>
      <c r="J18254"/>
      <c r="K18254"/>
      <c r="L18254"/>
    </row>
    <row r="18255" spans="2:12" x14ac:dyDescent="0.2">
      <c r="B18255"/>
      <c r="C18255"/>
      <c r="J18255"/>
      <c r="K18255"/>
      <c r="L18255"/>
    </row>
    <row r="18256" spans="2:12" x14ac:dyDescent="0.2">
      <c r="B18256"/>
      <c r="C18256"/>
      <c r="J18256"/>
      <c r="K18256"/>
      <c r="L18256"/>
    </row>
    <row r="18257" spans="2:12" x14ac:dyDescent="0.2">
      <c r="B18257"/>
      <c r="C18257"/>
      <c r="J18257"/>
      <c r="K18257"/>
      <c r="L18257"/>
    </row>
    <row r="18258" spans="2:12" x14ac:dyDescent="0.2">
      <c r="B18258"/>
      <c r="C18258"/>
      <c r="J18258"/>
      <c r="K18258"/>
      <c r="L18258"/>
    </row>
    <row r="18259" spans="2:12" x14ac:dyDescent="0.2">
      <c r="B18259"/>
      <c r="C18259"/>
      <c r="J18259"/>
      <c r="K18259"/>
      <c r="L18259"/>
    </row>
    <row r="18260" spans="2:12" x14ac:dyDescent="0.2">
      <c r="B18260"/>
      <c r="C18260"/>
      <c r="J18260"/>
      <c r="K18260"/>
      <c r="L18260"/>
    </row>
    <row r="18261" spans="2:12" x14ac:dyDescent="0.2">
      <c r="B18261"/>
      <c r="C18261"/>
      <c r="J18261"/>
      <c r="K18261"/>
      <c r="L18261"/>
    </row>
    <row r="18262" spans="2:12" x14ac:dyDescent="0.2">
      <c r="B18262"/>
      <c r="C18262"/>
      <c r="J18262"/>
      <c r="K18262"/>
      <c r="L18262"/>
    </row>
    <row r="18263" spans="2:12" x14ac:dyDescent="0.2">
      <c r="B18263"/>
      <c r="C18263"/>
      <c r="J18263"/>
      <c r="K18263"/>
      <c r="L18263"/>
    </row>
    <row r="18264" spans="2:12" x14ac:dyDescent="0.2">
      <c r="B18264"/>
      <c r="C18264"/>
      <c r="J18264"/>
      <c r="K18264"/>
      <c r="L18264"/>
    </row>
    <row r="18265" spans="2:12" x14ac:dyDescent="0.2">
      <c r="B18265"/>
      <c r="C18265"/>
      <c r="J18265"/>
      <c r="K18265"/>
      <c r="L18265"/>
    </row>
    <row r="18266" spans="2:12" x14ac:dyDescent="0.2">
      <c r="B18266"/>
      <c r="C18266"/>
      <c r="J18266"/>
      <c r="K18266"/>
      <c r="L18266"/>
    </row>
    <row r="18267" spans="2:12" x14ac:dyDescent="0.2">
      <c r="B18267"/>
      <c r="C18267"/>
      <c r="J18267"/>
      <c r="K18267"/>
      <c r="L18267"/>
    </row>
    <row r="18268" spans="2:12" x14ac:dyDescent="0.2">
      <c r="B18268"/>
      <c r="C18268"/>
      <c r="J18268"/>
      <c r="K18268"/>
      <c r="L18268"/>
    </row>
    <row r="18269" spans="2:12" x14ac:dyDescent="0.2">
      <c r="B18269"/>
      <c r="C18269"/>
      <c r="J18269"/>
      <c r="K18269"/>
      <c r="L18269"/>
    </row>
    <row r="18270" spans="2:12" x14ac:dyDescent="0.2">
      <c r="B18270"/>
      <c r="C18270"/>
      <c r="J18270"/>
      <c r="K18270"/>
      <c r="L18270"/>
    </row>
    <row r="18271" spans="2:12" x14ac:dyDescent="0.2">
      <c r="B18271"/>
      <c r="C18271"/>
      <c r="J18271"/>
      <c r="K18271"/>
      <c r="L18271"/>
    </row>
    <row r="18272" spans="2:12" x14ac:dyDescent="0.2">
      <c r="B18272"/>
      <c r="C18272"/>
      <c r="J18272"/>
      <c r="K18272"/>
      <c r="L18272"/>
    </row>
    <row r="18273" spans="2:12" x14ac:dyDescent="0.2">
      <c r="B18273"/>
      <c r="C18273"/>
      <c r="J18273"/>
      <c r="K18273"/>
      <c r="L18273"/>
    </row>
    <row r="18274" spans="2:12" x14ac:dyDescent="0.2">
      <c r="B18274"/>
      <c r="C18274"/>
      <c r="J18274"/>
      <c r="K18274"/>
      <c r="L18274"/>
    </row>
    <row r="18275" spans="2:12" x14ac:dyDescent="0.2">
      <c r="B18275"/>
      <c r="C18275"/>
      <c r="J18275"/>
      <c r="K18275"/>
      <c r="L18275"/>
    </row>
    <row r="18276" spans="2:12" x14ac:dyDescent="0.2">
      <c r="B18276"/>
      <c r="C18276"/>
      <c r="J18276"/>
      <c r="K18276"/>
      <c r="L18276"/>
    </row>
    <row r="18277" spans="2:12" x14ac:dyDescent="0.2">
      <c r="B18277"/>
      <c r="C18277"/>
      <c r="J18277"/>
      <c r="K18277"/>
      <c r="L18277"/>
    </row>
    <row r="18278" spans="2:12" x14ac:dyDescent="0.2">
      <c r="B18278"/>
      <c r="C18278"/>
      <c r="J18278"/>
      <c r="K18278"/>
      <c r="L18278"/>
    </row>
    <row r="18279" spans="2:12" x14ac:dyDescent="0.2">
      <c r="B18279"/>
      <c r="C18279"/>
      <c r="J18279"/>
      <c r="K18279"/>
      <c r="L18279"/>
    </row>
    <row r="18280" spans="2:12" x14ac:dyDescent="0.2">
      <c r="B18280"/>
      <c r="C18280"/>
      <c r="J18280"/>
      <c r="K18280"/>
      <c r="L18280"/>
    </row>
    <row r="18281" spans="2:12" x14ac:dyDescent="0.2">
      <c r="B18281"/>
      <c r="C18281"/>
      <c r="J18281"/>
      <c r="K18281"/>
      <c r="L18281"/>
    </row>
    <row r="18282" spans="2:12" x14ac:dyDescent="0.2">
      <c r="B18282"/>
      <c r="C18282"/>
      <c r="J18282"/>
      <c r="K18282"/>
      <c r="L18282"/>
    </row>
    <row r="18283" spans="2:12" x14ac:dyDescent="0.2">
      <c r="B18283"/>
      <c r="C18283"/>
      <c r="J18283"/>
      <c r="K18283"/>
      <c r="L18283"/>
    </row>
    <row r="18284" spans="2:12" x14ac:dyDescent="0.2">
      <c r="B18284"/>
      <c r="C18284"/>
      <c r="J18284"/>
      <c r="K18284"/>
      <c r="L18284"/>
    </row>
    <row r="18285" spans="2:12" x14ac:dyDescent="0.2">
      <c r="B18285"/>
      <c r="C18285"/>
      <c r="J18285"/>
      <c r="K18285"/>
      <c r="L18285"/>
    </row>
    <row r="18286" spans="2:12" x14ac:dyDescent="0.2">
      <c r="B18286"/>
      <c r="C18286"/>
      <c r="J18286"/>
      <c r="K18286"/>
      <c r="L18286"/>
    </row>
    <row r="18287" spans="2:12" x14ac:dyDescent="0.2">
      <c r="B18287"/>
      <c r="C18287"/>
      <c r="J18287"/>
      <c r="K18287"/>
      <c r="L18287"/>
    </row>
    <row r="18288" spans="2:12" x14ac:dyDescent="0.2">
      <c r="B18288"/>
      <c r="C18288"/>
      <c r="J18288"/>
      <c r="K18288"/>
      <c r="L18288"/>
    </row>
    <row r="18289" spans="2:12" x14ac:dyDescent="0.2">
      <c r="B18289"/>
      <c r="C18289"/>
      <c r="J18289"/>
      <c r="K18289"/>
      <c r="L18289"/>
    </row>
    <row r="18290" spans="2:12" x14ac:dyDescent="0.2">
      <c r="B18290"/>
      <c r="C18290"/>
      <c r="J18290"/>
      <c r="K18290"/>
      <c r="L18290"/>
    </row>
    <row r="18291" spans="2:12" x14ac:dyDescent="0.2">
      <c r="B18291"/>
      <c r="C18291"/>
      <c r="J18291"/>
      <c r="K18291"/>
      <c r="L18291"/>
    </row>
    <row r="18292" spans="2:12" x14ac:dyDescent="0.2">
      <c r="B18292"/>
      <c r="C18292"/>
      <c r="J18292"/>
      <c r="K18292"/>
      <c r="L18292"/>
    </row>
    <row r="18293" spans="2:12" x14ac:dyDescent="0.2">
      <c r="B18293"/>
      <c r="C18293"/>
      <c r="J18293"/>
      <c r="K18293"/>
      <c r="L18293"/>
    </row>
    <row r="18294" spans="2:12" x14ac:dyDescent="0.2">
      <c r="B18294"/>
      <c r="C18294"/>
      <c r="J18294"/>
      <c r="K18294"/>
      <c r="L18294"/>
    </row>
    <row r="18295" spans="2:12" x14ac:dyDescent="0.2">
      <c r="B18295"/>
      <c r="C18295"/>
      <c r="J18295"/>
      <c r="K18295"/>
      <c r="L18295"/>
    </row>
    <row r="18296" spans="2:12" x14ac:dyDescent="0.2">
      <c r="B18296"/>
      <c r="C18296"/>
      <c r="J18296"/>
      <c r="K18296"/>
      <c r="L18296"/>
    </row>
    <row r="18297" spans="2:12" x14ac:dyDescent="0.2">
      <c r="B18297"/>
      <c r="C18297"/>
      <c r="J18297"/>
      <c r="K18297"/>
      <c r="L18297"/>
    </row>
    <row r="18298" spans="2:12" x14ac:dyDescent="0.2">
      <c r="B18298"/>
      <c r="C18298"/>
      <c r="J18298"/>
      <c r="K18298"/>
      <c r="L18298"/>
    </row>
    <row r="18299" spans="2:12" x14ac:dyDescent="0.2">
      <c r="B18299"/>
      <c r="C18299"/>
      <c r="J18299"/>
      <c r="K18299"/>
      <c r="L18299"/>
    </row>
    <row r="18300" spans="2:12" x14ac:dyDescent="0.2">
      <c r="B18300"/>
      <c r="C18300"/>
      <c r="J18300"/>
      <c r="K18300"/>
      <c r="L18300"/>
    </row>
    <row r="18301" spans="2:12" x14ac:dyDescent="0.2">
      <c r="B18301"/>
      <c r="C18301"/>
      <c r="J18301"/>
      <c r="K18301"/>
      <c r="L18301"/>
    </row>
    <row r="18302" spans="2:12" x14ac:dyDescent="0.2">
      <c r="B18302"/>
      <c r="C18302"/>
      <c r="J18302"/>
      <c r="K18302"/>
      <c r="L18302"/>
    </row>
    <row r="18303" spans="2:12" x14ac:dyDescent="0.2">
      <c r="B18303"/>
      <c r="C18303"/>
      <c r="J18303"/>
      <c r="K18303"/>
      <c r="L18303"/>
    </row>
    <row r="18304" spans="2:12" x14ac:dyDescent="0.2">
      <c r="B18304"/>
      <c r="C18304"/>
      <c r="J18304"/>
      <c r="K18304"/>
      <c r="L18304"/>
    </row>
    <row r="18305" spans="2:12" x14ac:dyDescent="0.2">
      <c r="B18305"/>
      <c r="C18305"/>
      <c r="J18305"/>
      <c r="K18305"/>
      <c r="L18305"/>
    </row>
    <row r="18306" spans="2:12" x14ac:dyDescent="0.2">
      <c r="B18306"/>
      <c r="C18306"/>
      <c r="J18306"/>
      <c r="K18306"/>
      <c r="L18306"/>
    </row>
    <row r="18307" spans="2:12" x14ac:dyDescent="0.2">
      <c r="B18307"/>
      <c r="C18307"/>
      <c r="J18307"/>
      <c r="K18307"/>
      <c r="L18307"/>
    </row>
    <row r="18308" spans="2:12" x14ac:dyDescent="0.2">
      <c r="B18308"/>
      <c r="C18308"/>
      <c r="J18308"/>
      <c r="K18308"/>
      <c r="L18308"/>
    </row>
    <row r="18309" spans="2:12" x14ac:dyDescent="0.2">
      <c r="B18309"/>
      <c r="C18309"/>
      <c r="J18309"/>
      <c r="K18309"/>
      <c r="L18309"/>
    </row>
    <row r="18310" spans="2:12" x14ac:dyDescent="0.2">
      <c r="B18310"/>
      <c r="C18310"/>
      <c r="J18310"/>
      <c r="K18310"/>
      <c r="L18310"/>
    </row>
    <row r="18311" spans="2:12" x14ac:dyDescent="0.2">
      <c r="B18311"/>
      <c r="C18311"/>
      <c r="J18311"/>
      <c r="K18311"/>
      <c r="L18311"/>
    </row>
    <row r="18312" spans="2:12" x14ac:dyDescent="0.2">
      <c r="B18312"/>
      <c r="C18312"/>
      <c r="J18312"/>
      <c r="K18312"/>
      <c r="L18312"/>
    </row>
    <row r="18313" spans="2:12" x14ac:dyDescent="0.2">
      <c r="B18313"/>
      <c r="C18313"/>
      <c r="J18313"/>
      <c r="K18313"/>
      <c r="L18313"/>
    </row>
    <row r="18314" spans="2:12" x14ac:dyDescent="0.2">
      <c r="B18314"/>
      <c r="C18314"/>
      <c r="J18314"/>
      <c r="K18314"/>
      <c r="L18314"/>
    </row>
    <row r="18315" spans="2:12" x14ac:dyDescent="0.2">
      <c r="B18315"/>
      <c r="C18315"/>
      <c r="J18315"/>
      <c r="K18315"/>
      <c r="L18315"/>
    </row>
    <row r="18316" spans="2:12" x14ac:dyDescent="0.2">
      <c r="B18316"/>
      <c r="C18316"/>
      <c r="J18316"/>
      <c r="K18316"/>
      <c r="L18316"/>
    </row>
    <row r="18317" spans="2:12" x14ac:dyDescent="0.2">
      <c r="B18317"/>
      <c r="C18317"/>
      <c r="J18317"/>
      <c r="K18317"/>
      <c r="L18317"/>
    </row>
    <row r="18318" spans="2:12" x14ac:dyDescent="0.2">
      <c r="B18318"/>
      <c r="C18318"/>
      <c r="J18318"/>
      <c r="K18318"/>
      <c r="L18318"/>
    </row>
    <row r="18319" spans="2:12" x14ac:dyDescent="0.2">
      <c r="B18319"/>
      <c r="C18319"/>
      <c r="J18319"/>
      <c r="K18319"/>
      <c r="L18319"/>
    </row>
    <row r="18320" spans="2:12" x14ac:dyDescent="0.2">
      <c r="B18320"/>
      <c r="C18320"/>
      <c r="J18320"/>
      <c r="K18320"/>
      <c r="L18320"/>
    </row>
    <row r="18321" spans="2:12" x14ac:dyDescent="0.2">
      <c r="B18321"/>
      <c r="C18321"/>
      <c r="J18321"/>
      <c r="K18321"/>
      <c r="L18321"/>
    </row>
    <row r="18322" spans="2:12" x14ac:dyDescent="0.2">
      <c r="B18322"/>
      <c r="C18322"/>
      <c r="J18322"/>
      <c r="K18322"/>
      <c r="L18322"/>
    </row>
    <row r="18323" spans="2:12" x14ac:dyDescent="0.2">
      <c r="B18323"/>
      <c r="C18323"/>
      <c r="J18323"/>
      <c r="K18323"/>
      <c r="L18323"/>
    </row>
    <row r="18324" spans="2:12" x14ac:dyDescent="0.2">
      <c r="B18324"/>
      <c r="C18324"/>
      <c r="J18324"/>
      <c r="K18324"/>
      <c r="L18324"/>
    </row>
    <row r="18325" spans="2:12" x14ac:dyDescent="0.2">
      <c r="B18325"/>
      <c r="C18325"/>
      <c r="J18325"/>
      <c r="K18325"/>
      <c r="L18325"/>
    </row>
    <row r="18326" spans="2:12" x14ac:dyDescent="0.2">
      <c r="B18326"/>
      <c r="C18326"/>
      <c r="J18326"/>
      <c r="K18326"/>
      <c r="L18326"/>
    </row>
    <row r="18327" spans="2:12" x14ac:dyDescent="0.2">
      <c r="B18327"/>
      <c r="C18327"/>
      <c r="J18327"/>
      <c r="K18327"/>
      <c r="L18327"/>
    </row>
    <row r="18328" spans="2:12" x14ac:dyDescent="0.2">
      <c r="B18328"/>
      <c r="C18328"/>
      <c r="J18328"/>
      <c r="K18328"/>
      <c r="L18328"/>
    </row>
    <row r="18329" spans="2:12" x14ac:dyDescent="0.2">
      <c r="B18329"/>
      <c r="C18329"/>
      <c r="J18329"/>
      <c r="K18329"/>
      <c r="L18329"/>
    </row>
    <row r="18330" spans="2:12" x14ac:dyDescent="0.2">
      <c r="B18330"/>
      <c r="C18330"/>
      <c r="J18330"/>
      <c r="K18330"/>
      <c r="L18330"/>
    </row>
    <row r="18331" spans="2:12" x14ac:dyDescent="0.2">
      <c r="B18331"/>
      <c r="C18331"/>
      <c r="J18331"/>
      <c r="K18331"/>
      <c r="L18331"/>
    </row>
    <row r="18332" spans="2:12" x14ac:dyDescent="0.2">
      <c r="B18332"/>
      <c r="C18332"/>
      <c r="J18332"/>
      <c r="K18332"/>
      <c r="L18332"/>
    </row>
    <row r="18333" spans="2:12" x14ac:dyDescent="0.2">
      <c r="B18333"/>
      <c r="C18333"/>
      <c r="J18333"/>
      <c r="K18333"/>
      <c r="L18333"/>
    </row>
    <row r="18334" spans="2:12" x14ac:dyDescent="0.2">
      <c r="B18334"/>
      <c r="C18334"/>
      <c r="J18334"/>
      <c r="K18334"/>
      <c r="L18334"/>
    </row>
    <row r="18335" spans="2:12" x14ac:dyDescent="0.2">
      <c r="B18335"/>
      <c r="C18335"/>
      <c r="J18335"/>
      <c r="K18335"/>
      <c r="L18335"/>
    </row>
    <row r="18336" spans="2:12" x14ac:dyDescent="0.2">
      <c r="B18336"/>
      <c r="C18336"/>
      <c r="J18336"/>
      <c r="K18336"/>
      <c r="L18336"/>
    </row>
    <row r="18337" spans="2:12" x14ac:dyDescent="0.2">
      <c r="B18337"/>
      <c r="C18337"/>
      <c r="J18337"/>
      <c r="K18337"/>
      <c r="L18337"/>
    </row>
    <row r="18338" spans="2:12" x14ac:dyDescent="0.2">
      <c r="B18338"/>
      <c r="C18338"/>
      <c r="J18338"/>
      <c r="K18338"/>
      <c r="L18338"/>
    </row>
    <row r="18339" spans="2:12" x14ac:dyDescent="0.2">
      <c r="B18339"/>
      <c r="C18339"/>
      <c r="J18339"/>
      <c r="K18339"/>
      <c r="L18339"/>
    </row>
    <row r="18340" spans="2:12" x14ac:dyDescent="0.2">
      <c r="B18340"/>
      <c r="C18340"/>
      <c r="J18340"/>
      <c r="K18340"/>
      <c r="L18340"/>
    </row>
    <row r="18341" spans="2:12" x14ac:dyDescent="0.2">
      <c r="B18341"/>
      <c r="C18341"/>
      <c r="J18341"/>
      <c r="K18341"/>
      <c r="L18341"/>
    </row>
    <row r="18342" spans="2:12" x14ac:dyDescent="0.2">
      <c r="B18342"/>
      <c r="C18342"/>
      <c r="J18342"/>
      <c r="K18342"/>
      <c r="L18342"/>
    </row>
    <row r="18343" spans="2:12" x14ac:dyDescent="0.2">
      <c r="B18343"/>
      <c r="C18343"/>
      <c r="J18343"/>
      <c r="K18343"/>
      <c r="L18343"/>
    </row>
    <row r="18344" spans="2:12" x14ac:dyDescent="0.2">
      <c r="B18344"/>
      <c r="C18344"/>
      <c r="J18344"/>
      <c r="K18344"/>
      <c r="L18344"/>
    </row>
    <row r="18345" spans="2:12" x14ac:dyDescent="0.2">
      <c r="B18345"/>
      <c r="C18345"/>
      <c r="J18345"/>
      <c r="K18345"/>
      <c r="L18345"/>
    </row>
    <row r="18346" spans="2:12" x14ac:dyDescent="0.2">
      <c r="B18346"/>
      <c r="C18346"/>
      <c r="J18346"/>
      <c r="K18346"/>
      <c r="L18346"/>
    </row>
    <row r="18347" spans="2:12" x14ac:dyDescent="0.2">
      <c r="B18347"/>
      <c r="C18347"/>
      <c r="J18347"/>
      <c r="K18347"/>
      <c r="L18347"/>
    </row>
    <row r="18348" spans="2:12" x14ac:dyDescent="0.2">
      <c r="B18348"/>
      <c r="C18348"/>
      <c r="J18348"/>
      <c r="K18348"/>
      <c r="L18348"/>
    </row>
    <row r="18349" spans="2:12" x14ac:dyDescent="0.2">
      <c r="B18349"/>
      <c r="C18349"/>
      <c r="J18349"/>
      <c r="K18349"/>
      <c r="L18349"/>
    </row>
    <row r="18350" spans="2:12" x14ac:dyDescent="0.2">
      <c r="B18350"/>
      <c r="C18350"/>
      <c r="J18350"/>
      <c r="K18350"/>
      <c r="L18350"/>
    </row>
    <row r="18351" spans="2:12" x14ac:dyDescent="0.2">
      <c r="B18351"/>
      <c r="C18351"/>
      <c r="J18351"/>
      <c r="K18351"/>
      <c r="L18351"/>
    </row>
    <row r="18352" spans="2:12" x14ac:dyDescent="0.2">
      <c r="B18352"/>
      <c r="C18352"/>
      <c r="J18352"/>
      <c r="K18352"/>
      <c r="L18352"/>
    </row>
    <row r="18353" spans="2:12" x14ac:dyDescent="0.2">
      <c r="B18353"/>
      <c r="C18353"/>
      <c r="J18353"/>
      <c r="K18353"/>
      <c r="L18353"/>
    </row>
    <row r="18354" spans="2:12" x14ac:dyDescent="0.2">
      <c r="B18354"/>
      <c r="C18354"/>
      <c r="J18354"/>
      <c r="K18354"/>
      <c r="L18354"/>
    </row>
    <row r="18355" spans="2:12" x14ac:dyDescent="0.2">
      <c r="B18355"/>
      <c r="C18355"/>
      <c r="J18355"/>
      <c r="K18355"/>
      <c r="L18355"/>
    </row>
    <row r="18356" spans="2:12" x14ac:dyDescent="0.2">
      <c r="B18356"/>
      <c r="C18356"/>
      <c r="J18356"/>
      <c r="K18356"/>
      <c r="L18356"/>
    </row>
    <row r="18357" spans="2:12" x14ac:dyDescent="0.2">
      <c r="B18357"/>
      <c r="C18357"/>
      <c r="J18357"/>
      <c r="K18357"/>
      <c r="L18357"/>
    </row>
    <row r="18358" spans="2:12" x14ac:dyDescent="0.2">
      <c r="B18358"/>
      <c r="C18358"/>
      <c r="J18358"/>
      <c r="K18358"/>
      <c r="L18358"/>
    </row>
    <row r="18359" spans="2:12" x14ac:dyDescent="0.2">
      <c r="B18359"/>
      <c r="C18359"/>
      <c r="J18359"/>
      <c r="K18359"/>
      <c r="L18359"/>
    </row>
    <row r="18360" spans="2:12" x14ac:dyDescent="0.2">
      <c r="B18360"/>
      <c r="C18360"/>
      <c r="J18360"/>
      <c r="K18360"/>
      <c r="L18360"/>
    </row>
    <row r="18361" spans="2:12" x14ac:dyDescent="0.2">
      <c r="B18361"/>
      <c r="C18361"/>
      <c r="J18361"/>
      <c r="K18361"/>
      <c r="L18361"/>
    </row>
    <row r="18362" spans="2:12" x14ac:dyDescent="0.2">
      <c r="B18362"/>
      <c r="C18362"/>
      <c r="J18362"/>
      <c r="K18362"/>
      <c r="L18362"/>
    </row>
    <row r="18363" spans="2:12" x14ac:dyDescent="0.2">
      <c r="B18363"/>
      <c r="C18363"/>
      <c r="J18363"/>
      <c r="K18363"/>
      <c r="L18363"/>
    </row>
    <row r="18364" spans="2:12" x14ac:dyDescent="0.2">
      <c r="B18364"/>
      <c r="C18364"/>
      <c r="J18364"/>
      <c r="K18364"/>
      <c r="L18364"/>
    </row>
    <row r="18365" spans="2:12" x14ac:dyDescent="0.2">
      <c r="B18365"/>
      <c r="C18365"/>
      <c r="J18365"/>
      <c r="K18365"/>
      <c r="L18365"/>
    </row>
    <row r="18366" spans="2:12" x14ac:dyDescent="0.2">
      <c r="B18366"/>
      <c r="C18366"/>
      <c r="J18366"/>
      <c r="K18366"/>
      <c r="L18366"/>
    </row>
    <row r="18367" spans="2:12" x14ac:dyDescent="0.2">
      <c r="B18367"/>
      <c r="C18367"/>
      <c r="J18367"/>
      <c r="K18367"/>
      <c r="L18367"/>
    </row>
    <row r="18368" spans="2:12" x14ac:dyDescent="0.2">
      <c r="B18368"/>
      <c r="C18368"/>
      <c r="J18368"/>
      <c r="K18368"/>
      <c r="L18368"/>
    </row>
    <row r="18369" spans="2:12" x14ac:dyDescent="0.2">
      <c r="B18369"/>
      <c r="C18369"/>
      <c r="J18369"/>
      <c r="K18369"/>
      <c r="L18369"/>
    </row>
    <row r="18370" spans="2:12" x14ac:dyDescent="0.2">
      <c r="B18370"/>
      <c r="C18370"/>
      <c r="J18370"/>
      <c r="K18370"/>
      <c r="L18370"/>
    </row>
    <row r="18371" spans="2:12" x14ac:dyDescent="0.2">
      <c r="B18371"/>
      <c r="C18371"/>
      <c r="J18371"/>
      <c r="K18371"/>
      <c r="L18371"/>
    </row>
    <row r="18372" spans="2:12" x14ac:dyDescent="0.2">
      <c r="B18372"/>
      <c r="C18372"/>
      <c r="J18372"/>
      <c r="K18372"/>
      <c r="L18372"/>
    </row>
    <row r="18373" spans="2:12" x14ac:dyDescent="0.2">
      <c r="B18373"/>
      <c r="C18373"/>
      <c r="J18373"/>
      <c r="K18373"/>
      <c r="L18373"/>
    </row>
    <row r="18374" spans="2:12" x14ac:dyDescent="0.2">
      <c r="B18374"/>
      <c r="C18374"/>
      <c r="J18374"/>
      <c r="K18374"/>
      <c r="L18374"/>
    </row>
    <row r="18375" spans="2:12" x14ac:dyDescent="0.2">
      <c r="B18375"/>
      <c r="C18375"/>
      <c r="J18375"/>
      <c r="K18375"/>
      <c r="L18375"/>
    </row>
    <row r="18376" spans="2:12" x14ac:dyDescent="0.2">
      <c r="B18376"/>
      <c r="C18376"/>
      <c r="J18376"/>
      <c r="K18376"/>
      <c r="L18376"/>
    </row>
    <row r="18377" spans="2:12" x14ac:dyDescent="0.2">
      <c r="B18377"/>
      <c r="C18377"/>
      <c r="J18377"/>
      <c r="K18377"/>
      <c r="L18377"/>
    </row>
    <row r="18378" spans="2:12" x14ac:dyDescent="0.2">
      <c r="B18378"/>
      <c r="C18378"/>
      <c r="J18378"/>
      <c r="K18378"/>
      <c r="L18378"/>
    </row>
    <row r="18379" spans="2:12" x14ac:dyDescent="0.2">
      <c r="B18379"/>
      <c r="C18379"/>
      <c r="J18379"/>
      <c r="K18379"/>
      <c r="L18379"/>
    </row>
    <row r="18380" spans="2:12" x14ac:dyDescent="0.2">
      <c r="B18380"/>
      <c r="C18380"/>
      <c r="J18380"/>
      <c r="K18380"/>
      <c r="L18380"/>
    </row>
    <row r="18381" spans="2:12" x14ac:dyDescent="0.2">
      <c r="B18381"/>
      <c r="C18381"/>
      <c r="J18381"/>
      <c r="K18381"/>
      <c r="L18381"/>
    </row>
    <row r="18382" spans="2:12" x14ac:dyDescent="0.2">
      <c r="B18382"/>
      <c r="C18382"/>
      <c r="J18382"/>
      <c r="K18382"/>
      <c r="L18382"/>
    </row>
    <row r="18383" spans="2:12" x14ac:dyDescent="0.2">
      <c r="B18383"/>
      <c r="C18383"/>
      <c r="J18383"/>
      <c r="K18383"/>
      <c r="L18383"/>
    </row>
    <row r="18384" spans="2:12" x14ac:dyDescent="0.2">
      <c r="B18384"/>
      <c r="C18384"/>
      <c r="J18384"/>
      <c r="K18384"/>
      <c r="L18384"/>
    </row>
    <row r="18385" spans="2:12" x14ac:dyDescent="0.2">
      <c r="B18385"/>
      <c r="C18385"/>
      <c r="J18385"/>
      <c r="K18385"/>
      <c r="L18385"/>
    </row>
    <row r="18386" spans="2:12" x14ac:dyDescent="0.2">
      <c r="B18386"/>
      <c r="C18386"/>
      <c r="J18386"/>
      <c r="K18386"/>
      <c r="L18386"/>
    </row>
    <row r="18387" spans="2:12" x14ac:dyDescent="0.2">
      <c r="B18387"/>
      <c r="C18387"/>
      <c r="J18387"/>
      <c r="K18387"/>
      <c r="L18387"/>
    </row>
    <row r="18388" spans="2:12" x14ac:dyDescent="0.2">
      <c r="B18388"/>
      <c r="C18388"/>
      <c r="J18388"/>
      <c r="K18388"/>
      <c r="L18388"/>
    </row>
    <row r="18389" spans="2:12" x14ac:dyDescent="0.2">
      <c r="B18389"/>
      <c r="C18389"/>
      <c r="J18389"/>
      <c r="K18389"/>
      <c r="L18389"/>
    </row>
    <row r="18390" spans="2:12" x14ac:dyDescent="0.2">
      <c r="B18390"/>
      <c r="C18390"/>
      <c r="J18390"/>
      <c r="K18390"/>
      <c r="L18390"/>
    </row>
    <row r="18391" spans="2:12" x14ac:dyDescent="0.2">
      <c r="B18391"/>
      <c r="C18391"/>
      <c r="J18391"/>
      <c r="K18391"/>
      <c r="L18391"/>
    </row>
    <row r="18392" spans="2:12" x14ac:dyDescent="0.2">
      <c r="B18392"/>
      <c r="C18392"/>
      <c r="J18392"/>
      <c r="K18392"/>
      <c r="L18392"/>
    </row>
    <row r="18393" spans="2:12" x14ac:dyDescent="0.2">
      <c r="B18393"/>
      <c r="C18393"/>
      <c r="J18393"/>
      <c r="K18393"/>
      <c r="L18393"/>
    </row>
    <row r="18394" spans="2:12" x14ac:dyDescent="0.2">
      <c r="B18394"/>
      <c r="C18394"/>
      <c r="J18394"/>
      <c r="K18394"/>
      <c r="L18394"/>
    </row>
    <row r="18395" spans="2:12" x14ac:dyDescent="0.2">
      <c r="B18395"/>
      <c r="C18395"/>
      <c r="J18395"/>
      <c r="K18395"/>
      <c r="L18395"/>
    </row>
    <row r="18396" spans="2:12" x14ac:dyDescent="0.2">
      <c r="B18396"/>
      <c r="C18396"/>
      <c r="J18396"/>
      <c r="K18396"/>
      <c r="L18396"/>
    </row>
    <row r="18397" spans="2:12" x14ac:dyDescent="0.2">
      <c r="B18397"/>
      <c r="C18397"/>
      <c r="J18397"/>
      <c r="K18397"/>
      <c r="L18397"/>
    </row>
    <row r="18398" spans="2:12" x14ac:dyDescent="0.2">
      <c r="B18398"/>
      <c r="C18398"/>
      <c r="J18398"/>
      <c r="K18398"/>
      <c r="L18398"/>
    </row>
    <row r="18399" spans="2:12" x14ac:dyDescent="0.2">
      <c r="B18399"/>
      <c r="C18399"/>
      <c r="J18399"/>
      <c r="K18399"/>
      <c r="L18399"/>
    </row>
    <row r="18400" spans="2:12" x14ac:dyDescent="0.2">
      <c r="B18400"/>
      <c r="C18400"/>
      <c r="J18400"/>
      <c r="K18400"/>
      <c r="L18400"/>
    </row>
    <row r="18401" spans="2:12" x14ac:dyDescent="0.2">
      <c r="B18401"/>
      <c r="C18401"/>
      <c r="J18401"/>
      <c r="K18401"/>
      <c r="L18401"/>
    </row>
    <row r="18402" spans="2:12" x14ac:dyDescent="0.2">
      <c r="B18402"/>
      <c r="C18402"/>
      <c r="J18402"/>
      <c r="K18402"/>
      <c r="L18402"/>
    </row>
    <row r="18403" spans="2:12" x14ac:dyDescent="0.2">
      <c r="B18403"/>
      <c r="C18403"/>
      <c r="J18403"/>
      <c r="K18403"/>
      <c r="L18403"/>
    </row>
    <row r="18404" spans="2:12" x14ac:dyDescent="0.2">
      <c r="B18404"/>
      <c r="C18404"/>
      <c r="J18404"/>
      <c r="K18404"/>
      <c r="L18404"/>
    </row>
    <row r="18405" spans="2:12" x14ac:dyDescent="0.2">
      <c r="B18405"/>
      <c r="C18405"/>
      <c r="J18405"/>
      <c r="K18405"/>
      <c r="L18405"/>
    </row>
    <row r="18406" spans="2:12" x14ac:dyDescent="0.2">
      <c r="B18406"/>
      <c r="C18406"/>
      <c r="J18406"/>
      <c r="K18406"/>
      <c r="L18406"/>
    </row>
    <row r="18407" spans="2:12" x14ac:dyDescent="0.2">
      <c r="B18407"/>
      <c r="C18407"/>
      <c r="J18407"/>
      <c r="K18407"/>
      <c r="L18407"/>
    </row>
    <row r="18408" spans="2:12" x14ac:dyDescent="0.2">
      <c r="B18408"/>
      <c r="C18408"/>
      <c r="J18408"/>
      <c r="K18408"/>
      <c r="L18408"/>
    </row>
    <row r="18409" spans="2:12" x14ac:dyDescent="0.2">
      <c r="B18409"/>
      <c r="C18409"/>
      <c r="J18409"/>
      <c r="K18409"/>
      <c r="L18409"/>
    </row>
    <row r="18410" spans="2:12" x14ac:dyDescent="0.2">
      <c r="B18410"/>
      <c r="C18410"/>
      <c r="J18410"/>
      <c r="K18410"/>
      <c r="L18410"/>
    </row>
    <row r="18411" spans="2:12" x14ac:dyDescent="0.2">
      <c r="B18411"/>
      <c r="C18411"/>
      <c r="J18411"/>
      <c r="K18411"/>
      <c r="L18411"/>
    </row>
    <row r="18412" spans="2:12" x14ac:dyDescent="0.2">
      <c r="B18412"/>
      <c r="C18412"/>
      <c r="J18412"/>
      <c r="K18412"/>
      <c r="L18412"/>
    </row>
    <row r="18413" spans="2:12" x14ac:dyDescent="0.2">
      <c r="B18413"/>
      <c r="C18413"/>
      <c r="J18413"/>
      <c r="K18413"/>
      <c r="L18413"/>
    </row>
    <row r="18414" spans="2:12" x14ac:dyDescent="0.2">
      <c r="B18414"/>
      <c r="C18414"/>
      <c r="J18414"/>
      <c r="K18414"/>
      <c r="L18414"/>
    </row>
    <row r="18415" spans="2:12" x14ac:dyDescent="0.2">
      <c r="B18415"/>
      <c r="C18415"/>
      <c r="J18415"/>
      <c r="K18415"/>
      <c r="L18415"/>
    </row>
    <row r="18416" spans="2:12" x14ac:dyDescent="0.2">
      <c r="B18416"/>
      <c r="C18416"/>
      <c r="J18416"/>
      <c r="K18416"/>
      <c r="L18416"/>
    </row>
    <row r="18417" spans="2:12" x14ac:dyDescent="0.2">
      <c r="B18417"/>
      <c r="C18417"/>
      <c r="J18417"/>
      <c r="K18417"/>
      <c r="L18417"/>
    </row>
    <row r="18418" spans="2:12" x14ac:dyDescent="0.2">
      <c r="B18418"/>
      <c r="C18418"/>
      <c r="J18418"/>
      <c r="K18418"/>
      <c r="L18418"/>
    </row>
    <row r="18419" spans="2:12" x14ac:dyDescent="0.2">
      <c r="B18419"/>
      <c r="C18419"/>
      <c r="J18419"/>
      <c r="K18419"/>
      <c r="L18419"/>
    </row>
    <row r="18420" spans="2:12" x14ac:dyDescent="0.2">
      <c r="B18420"/>
      <c r="C18420"/>
      <c r="J18420"/>
      <c r="K18420"/>
      <c r="L18420"/>
    </row>
    <row r="18421" spans="2:12" x14ac:dyDescent="0.2">
      <c r="B18421"/>
      <c r="C18421"/>
      <c r="J18421"/>
      <c r="K18421"/>
      <c r="L18421"/>
    </row>
    <row r="18422" spans="2:12" x14ac:dyDescent="0.2">
      <c r="B18422"/>
      <c r="C18422"/>
      <c r="J18422"/>
      <c r="K18422"/>
      <c r="L18422"/>
    </row>
    <row r="18423" spans="2:12" x14ac:dyDescent="0.2">
      <c r="B18423"/>
      <c r="C18423"/>
      <c r="J18423"/>
      <c r="K18423"/>
      <c r="L18423"/>
    </row>
    <row r="18424" spans="2:12" x14ac:dyDescent="0.2">
      <c r="B18424"/>
      <c r="C18424"/>
      <c r="J18424"/>
      <c r="K18424"/>
      <c r="L18424"/>
    </row>
    <row r="18425" spans="2:12" x14ac:dyDescent="0.2">
      <c r="B18425"/>
      <c r="C18425"/>
      <c r="J18425"/>
      <c r="K18425"/>
      <c r="L18425"/>
    </row>
    <row r="18426" spans="2:12" x14ac:dyDescent="0.2">
      <c r="B18426"/>
      <c r="C18426"/>
      <c r="J18426"/>
      <c r="K18426"/>
      <c r="L18426"/>
    </row>
    <row r="18427" spans="2:12" x14ac:dyDescent="0.2">
      <c r="B18427"/>
      <c r="C18427"/>
      <c r="J18427"/>
      <c r="K18427"/>
      <c r="L18427"/>
    </row>
    <row r="18428" spans="2:12" x14ac:dyDescent="0.2">
      <c r="B18428"/>
      <c r="C18428"/>
      <c r="J18428"/>
      <c r="K18428"/>
      <c r="L18428"/>
    </row>
    <row r="18429" spans="2:12" x14ac:dyDescent="0.2">
      <c r="B18429"/>
      <c r="C18429"/>
      <c r="J18429"/>
      <c r="K18429"/>
      <c r="L18429"/>
    </row>
    <row r="18430" spans="2:12" x14ac:dyDescent="0.2">
      <c r="B18430"/>
      <c r="C18430"/>
      <c r="J18430"/>
      <c r="K18430"/>
      <c r="L18430"/>
    </row>
    <row r="18431" spans="2:12" x14ac:dyDescent="0.2">
      <c r="B18431"/>
      <c r="C18431"/>
      <c r="J18431"/>
      <c r="K18431"/>
      <c r="L18431"/>
    </row>
    <row r="18432" spans="2:12" x14ac:dyDescent="0.2">
      <c r="B18432"/>
      <c r="C18432"/>
      <c r="J18432"/>
      <c r="K18432"/>
      <c r="L18432"/>
    </row>
    <row r="18433" spans="2:12" x14ac:dyDescent="0.2">
      <c r="B18433"/>
      <c r="C18433"/>
      <c r="J18433"/>
      <c r="K18433"/>
      <c r="L18433"/>
    </row>
    <row r="18434" spans="2:12" x14ac:dyDescent="0.2">
      <c r="B18434"/>
      <c r="C18434"/>
      <c r="J18434"/>
      <c r="K18434"/>
      <c r="L18434"/>
    </row>
    <row r="18435" spans="2:12" x14ac:dyDescent="0.2">
      <c r="B18435"/>
      <c r="C18435"/>
      <c r="J18435"/>
      <c r="K18435"/>
      <c r="L18435"/>
    </row>
    <row r="18436" spans="2:12" x14ac:dyDescent="0.2">
      <c r="B18436"/>
      <c r="C18436"/>
      <c r="J18436"/>
      <c r="K18436"/>
      <c r="L18436"/>
    </row>
    <row r="18437" spans="2:12" x14ac:dyDescent="0.2">
      <c r="B18437"/>
      <c r="C18437"/>
      <c r="J18437"/>
      <c r="K18437"/>
      <c r="L18437"/>
    </row>
    <row r="18438" spans="2:12" x14ac:dyDescent="0.2">
      <c r="B18438"/>
      <c r="C18438"/>
      <c r="J18438"/>
      <c r="K18438"/>
      <c r="L18438"/>
    </row>
    <row r="18439" spans="2:12" x14ac:dyDescent="0.2">
      <c r="B18439"/>
      <c r="C18439"/>
      <c r="J18439"/>
      <c r="K18439"/>
      <c r="L18439"/>
    </row>
    <row r="18440" spans="2:12" x14ac:dyDescent="0.2">
      <c r="B18440"/>
      <c r="C18440"/>
      <c r="J18440"/>
      <c r="K18440"/>
      <c r="L18440"/>
    </row>
    <row r="18441" spans="2:12" x14ac:dyDescent="0.2">
      <c r="B18441"/>
      <c r="C18441"/>
      <c r="J18441"/>
      <c r="K18441"/>
      <c r="L18441"/>
    </row>
    <row r="18442" spans="2:12" x14ac:dyDescent="0.2">
      <c r="B18442"/>
      <c r="C18442"/>
      <c r="J18442"/>
      <c r="K18442"/>
      <c r="L18442"/>
    </row>
    <row r="18443" spans="2:12" x14ac:dyDescent="0.2">
      <c r="B18443"/>
      <c r="C18443"/>
      <c r="J18443"/>
      <c r="K18443"/>
      <c r="L18443"/>
    </row>
    <row r="18444" spans="2:12" x14ac:dyDescent="0.2">
      <c r="B18444"/>
      <c r="C18444"/>
      <c r="J18444"/>
      <c r="K18444"/>
      <c r="L18444"/>
    </row>
    <row r="18445" spans="2:12" x14ac:dyDescent="0.2">
      <c r="B18445"/>
      <c r="C18445"/>
      <c r="J18445"/>
      <c r="K18445"/>
      <c r="L18445"/>
    </row>
    <row r="18446" spans="2:12" x14ac:dyDescent="0.2">
      <c r="B18446"/>
      <c r="C18446"/>
      <c r="J18446"/>
      <c r="K18446"/>
      <c r="L18446"/>
    </row>
    <row r="18447" spans="2:12" x14ac:dyDescent="0.2">
      <c r="B18447"/>
      <c r="C18447"/>
      <c r="J18447"/>
      <c r="K18447"/>
      <c r="L18447"/>
    </row>
    <row r="18448" spans="2:12" x14ac:dyDescent="0.2">
      <c r="B18448"/>
      <c r="C18448"/>
      <c r="J18448"/>
      <c r="K18448"/>
      <c r="L18448"/>
    </row>
    <row r="18449" spans="2:12" x14ac:dyDescent="0.2">
      <c r="B18449"/>
      <c r="C18449"/>
      <c r="J18449"/>
      <c r="K18449"/>
      <c r="L18449"/>
    </row>
    <row r="18450" spans="2:12" x14ac:dyDescent="0.2">
      <c r="B18450"/>
      <c r="C18450"/>
      <c r="J18450"/>
      <c r="K18450"/>
      <c r="L18450"/>
    </row>
    <row r="18451" spans="2:12" x14ac:dyDescent="0.2">
      <c r="B18451"/>
      <c r="C18451"/>
      <c r="J18451"/>
      <c r="K18451"/>
      <c r="L18451"/>
    </row>
    <row r="18452" spans="2:12" x14ac:dyDescent="0.2">
      <c r="B18452"/>
      <c r="C18452"/>
      <c r="J18452"/>
      <c r="K18452"/>
      <c r="L18452"/>
    </row>
    <row r="18453" spans="2:12" x14ac:dyDescent="0.2">
      <c r="B18453"/>
      <c r="C18453"/>
      <c r="J18453"/>
      <c r="K18453"/>
      <c r="L18453"/>
    </row>
    <row r="18454" spans="2:12" x14ac:dyDescent="0.2">
      <c r="B18454"/>
      <c r="C18454"/>
      <c r="J18454"/>
      <c r="K18454"/>
      <c r="L18454"/>
    </row>
    <row r="18455" spans="2:12" x14ac:dyDescent="0.2">
      <c r="B18455"/>
      <c r="C18455"/>
      <c r="J18455"/>
      <c r="K18455"/>
      <c r="L18455"/>
    </row>
    <row r="18456" spans="2:12" x14ac:dyDescent="0.2">
      <c r="B18456"/>
      <c r="C18456"/>
      <c r="J18456"/>
      <c r="K18456"/>
      <c r="L18456"/>
    </row>
    <row r="18457" spans="2:12" x14ac:dyDescent="0.2">
      <c r="B18457"/>
      <c r="C18457"/>
      <c r="J18457"/>
      <c r="K18457"/>
      <c r="L18457"/>
    </row>
    <row r="18458" spans="2:12" x14ac:dyDescent="0.2">
      <c r="B18458"/>
      <c r="C18458"/>
      <c r="J18458"/>
      <c r="K18458"/>
      <c r="L18458"/>
    </row>
    <row r="18459" spans="2:12" x14ac:dyDescent="0.2">
      <c r="B18459"/>
      <c r="C18459"/>
      <c r="J18459"/>
      <c r="K18459"/>
      <c r="L18459"/>
    </row>
    <row r="18460" spans="2:12" x14ac:dyDescent="0.2">
      <c r="B18460"/>
      <c r="C18460"/>
      <c r="J18460"/>
      <c r="K18460"/>
      <c r="L18460"/>
    </row>
    <row r="18461" spans="2:12" x14ac:dyDescent="0.2">
      <c r="B18461"/>
      <c r="C18461"/>
      <c r="J18461"/>
      <c r="K18461"/>
      <c r="L18461"/>
    </row>
    <row r="18462" spans="2:12" x14ac:dyDescent="0.2">
      <c r="B18462"/>
      <c r="C18462"/>
      <c r="J18462"/>
      <c r="K18462"/>
      <c r="L18462"/>
    </row>
    <row r="18463" spans="2:12" x14ac:dyDescent="0.2">
      <c r="B18463"/>
      <c r="C18463"/>
      <c r="J18463"/>
      <c r="K18463"/>
      <c r="L18463"/>
    </row>
    <row r="18464" spans="2:12" x14ac:dyDescent="0.2">
      <c r="B18464"/>
      <c r="C18464"/>
      <c r="J18464"/>
      <c r="K18464"/>
      <c r="L18464"/>
    </row>
    <row r="18465" spans="2:12" x14ac:dyDescent="0.2">
      <c r="B18465"/>
      <c r="C18465"/>
      <c r="J18465"/>
      <c r="K18465"/>
      <c r="L18465"/>
    </row>
    <row r="18466" spans="2:12" x14ac:dyDescent="0.2">
      <c r="B18466"/>
      <c r="C18466"/>
      <c r="J18466"/>
      <c r="K18466"/>
      <c r="L18466"/>
    </row>
    <row r="18467" spans="2:12" x14ac:dyDescent="0.2">
      <c r="B18467"/>
      <c r="C18467"/>
      <c r="J18467"/>
      <c r="K18467"/>
      <c r="L18467"/>
    </row>
    <row r="18468" spans="2:12" x14ac:dyDescent="0.2">
      <c r="B18468"/>
      <c r="C18468"/>
      <c r="J18468"/>
      <c r="K18468"/>
      <c r="L18468"/>
    </row>
    <row r="18469" spans="2:12" x14ac:dyDescent="0.2">
      <c r="B18469"/>
      <c r="C18469"/>
      <c r="J18469"/>
      <c r="K18469"/>
      <c r="L18469"/>
    </row>
    <row r="18470" spans="2:12" x14ac:dyDescent="0.2">
      <c r="B18470"/>
      <c r="C18470"/>
      <c r="J18470"/>
      <c r="K18470"/>
      <c r="L18470"/>
    </row>
    <row r="18471" spans="2:12" x14ac:dyDescent="0.2">
      <c r="B18471"/>
      <c r="C18471"/>
      <c r="J18471"/>
      <c r="K18471"/>
      <c r="L18471"/>
    </row>
    <row r="18472" spans="2:12" x14ac:dyDescent="0.2">
      <c r="B18472"/>
      <c r="C18472"/>
      <c r="J18472"/>
      <c r="K18472"/>
      <c r="L18472"/>
    </row>
    <row r="18473" spans="2:12" x14ac:dyDescent="0.2">
      <c r="B18473"/>
      <c r="C18473"/>
      <c r="J18473"/>
      <c r="K18473"/>
      <c r="L18473"/>
    </row>
    <row r="18474" spans="2:12" x14ac:dyDescent="0.2">
      <c r="B18474"/>
      <c r="C18474"/>
      <c r="J18474"/>
      <c r="K18474"/>
      <c r="L18474"/>
    </row>
    <row r="18475" spans="2:12" x14ac:dyDescent="0.2">
      <c r="B18475"/>
      <c r="C18475"/>
      <c r="J18475"/>
      <c r="K18475"/>
      <c r="L18475"/>
    </row>
    <row r="18476" spans="2:12" x14ac:dyDescent="0.2">
      <c r="B18476"/>
      <c r="C18476"/>
      <c r="J18476"/>
      <c r="K18476"/>
      <c r="L18476"/>
    </row>
    <row r="18477" spans="2:12" x14ac:dyDescent="0.2">
      <c r="B18477"/>
      <c r="C18477"/>
      <c r="J18477"/>
      <c r="K18477"/>
      <c r="L18477"/>
    </row>
    <row r="18478" spans="2:12" x14ac:dyDescent="0.2">
      <c r="B18478"/>
      <c r="C18478"/>
      <c r="J18478"/>
      <c r="K18478"/>
      <c r="L18478"/>
    </row>
    <row r="18479" spans="2:12" x14ac:dyDescent="0.2">
      <c r="B18479"/>
      <c r="C18479"/>
      <c r="J18479"/>
      <c r="K18479"/>
      <c r="L18479"/>
    </row>
    <row r="18480" spans="2:12" x14ac:dyDescent="0.2">
      <c r="B18480"/>
      <c r="C18480"/>
      <c r="J18480"/>
      <c r="K18480"/>
      <c r="L18480"/>
    </row>
    <row r="18481" spans="2:12" x14ac:dyDescent="0.2">
      <c r="B18481"/>
      <c r="C18481"/>
      <c r="J18481"/>
      <c r="K18481"/>
      <c r="L18481"/>
    </row>
    <row r="18482" spans="2:12" x14ac:dyDescent="0.2">
      <c r="B18482"/>
      <c r="C18482"/>
      <c r="J18482"/>
      <c r="K18482"/>
      <c r="L18482"/>
    </row>
    <row r="18483" spans="2:12" x14ac:dyDescent="0.2">
      <c r="B18483"/>
      <c r="C18483"/>
      <c r="J18483"/>
      <c r="K18483"/>
      <c r="L18483"/>
    </row>
    <row r="18484" spans="2:12" x14ac:dyDescent="0.2">
      <c r="B18484"/>
      <c r="C18484"/>
      <c r="J18484"/>
      <c r="K18484"/>
      <c r="L18484"/>
    </row>
    <row r="18485" spans="2:12" x14ac:dyDescent="0.2">
      <c r="B18485"/>
      <c r="C18485"/>
      <c r="J18485"/>
      <c r="K18485"/>
      <c r="L18485"/>
    </row>
    <row r="18486" spans="2:12" x14ac:dyDescent="0.2">
      <c r="B18486"/>
      <c r="C18486"/>
      <c r="J18486"/>
      <c r="K18486"/>
      <c r="L18486"/>
    </row>
    <row r="18487" spans="2:12" x14ac:dyDescent="0.2">
      <c r="B18487"/>
      <c r="C18487"/>
      <c r="J18487"/>
      <c r="K18487"/>
      <c r="L18487"/>
    </row>
    <row r="18488" spans="2:12" x14ac:dyDescent="0.2">
      <c r="B18488"/>
      <c r="C18488"/>
      <c r="J18488"/>
      <c r="K18488"/>
      <c r="L18488"/>
    </row>
    <row r="18489" spans="2:12" x14ac:dyDescent="0.2">
      <c r="B18489"/>
      <c r="C18489"/>
      <c r="J18489"/>
      <c r="K18489"/>
      <c r="L18489"/>
    </row>
    <row r="18490" spans="2:12" x14ac:dyDescent="0.2">
      <c r="B18490"/>
      <c r="C18490"/>
      <c r="J18490"/>
      <c r="K18490"/>
      <c r="L18490"/>
    </row>
    <row r="18491" spans="2:12" x14ac:dyDescent="0.2">
      <c r="B18491"/>
      <c r="C18491"/>
      <c r="J18491"/>
      <c r="K18491"/>
      <c r="L18491"/>
    </row>
    <row r="18492" spans="2:12" x14ac:dyDescent="0.2">
      <c r="B18492"/>
      <c r="C18492"/>
      <c r="J18492"/>
      <c r="K18492"/>
      <c r="L18492"/>
    </row>
    <row r="18493" spans="2:12" x14ac:dyDescent="0.2">
      <c r="B18493"/>
      <c r="C18493"/>
      <c r="J18493"/>
      <c r="K18493"/>
      <c r="L18493"/>
    </row>
    <row r="18494" spans="2:12" x14ac:dyDescent="0.2">
      <c r="B18494"/>
      <c r="C18494"/>
      <c r="J18494"/>
      <c r="K18494"/>
      <c r="L18494"/>
    </row>
    <row r="18495" spans="2:12" x14ac:dyDescent="0.2">
      <c r="B18495"/>
      <c r="C18495"/>
      <c r="J18495"/>
      <c r="K18495"/>
      <c r="L18495"/>
    </row>
    <row r="18496" spans="2:12" x14ac:dyDescent="0.2">
      <c r="B18496"/>
      <c r="C18496"/>
      <c r="J18496"/>
      <c r="K18496"/>
      <c r="L18496"/>
    </row>
    <row r="18497" spans="2:12" x14ac:dyDescent="0.2">
      <c r="B18497"/>
      <c r="C18497"/>
      <c r="J18497"/>
      <c r="K18497"/>
      <c r="L18497"/>
    </row>
    <row r="18498" spans="2:12" x14ac:dyDescent="0.2">
      <c r="B18498"/>
      <c r="C18498"/>
      <c r="J18498"/>
      <c r="K18498"/>
      <c r="L18498"/>
    </row>
    <row r="18499" spans="2:12" x14ac:dyDescent="0.2">
      <c r="B18499"/>
      <c r="C18499"/>
      <c r="J18499"/>
      <c r="K18499"/>
      <c r="L18499"/>
    </row>
    <row r="18500" spans="2:12" x14ac:dyDescent="0.2">
      <c r="B18500"/>
      <c r="C18500"/>
      <c r="J18500"/>
      <c r="K18500"/>
      <c r="L18500"/>
    </row>
    <row r="18501" spans="2:12" x14ac:dyDescent="0.2">
      <c r="B18501"/>
      <c r="C18501"/>
      <c r="J18501"/>
      <c r="K18501"/>
      <c r="L18501"/>
    </row>
    <row r="18502" spans="2:12" x14ac:dyDescent="0.2">
      <c r="B18502"/>
      <c r="C18502"/>
      <c r="J18502"/>
      <c r="K18502"/>
      <c r="L18502"/>
    </row>
    <row r="18503" spans="2:12" x14ac:dyDescent="0.2">
      <c r="B18503"/>
      <c r="C18503"/>
      <c r="J18503"/>
      <c r="K18503"/>
      <c r="L18503"/>
    </row>
    <row r="18504" spans="2:12" x14ac:dyDescent="0.2">
      <c r="B18504"/>
      <c r="C18504"/>
      <c r="J18504"/>
      <c r="K18504"/>
      <c r="L18504"/>
    </row>
    <row r="18505" spans="2:12" x14ac:dyDescent="0.2">
      <c r="B18505"/>
      <c r="C18505"/>
      <c r="J18505"/>
      <c r="K18505"/>
      <c r="L18505"/>
    </row>
    <row r="18506" spans="2:12" x14ac:dyDescent="0.2">
      <c r="B18506"/>
      <c r="C18506"/>
      <c r="J18506"/>
      <c r="K18506"/>
      <c r="L18506"/>
    </row>
    <row r="18507" spans="2:12" x14ac:dyDescent="0.2">
      <c r="B18507"/>
      <c r="C18507"/>
      <c r="J18507"/>
      <c r="K18507"/>
      <c r="L18507"/>
    </row>
    <row r="18508" spans="2:12" x14ac:dyDescent="0.2">
      <c r="B18508"/>
      <c r="C18508"/>
      <c r="J18508"/>
      <c r="K18508"/>
      <c r="L18508"/>
    </row>
    <row r="18509" spans="2:12" x14ac:dyDescent="0.2">
      <c r="B18509"/>
      <c r="C18509"/>
      <c r="J18509"/>
      <c r="K18509"/>
      <c r="L18509"/>
    </row>
    <row r="18510" spans="2:12" x14ac:dyDescent="0.2">
      <c r="B18510"/>
      <c r="C18510"/>
      <c r="J18510"/>
      <c r="K18510"/>
      <c r="L18510"/>
    </row>
    <row r="18511" spans="2:12" x14ac:dyDescent="0.2">
      <c r="B18511"/>
      <c r="C18511"/>
      <c r="J18511"/>
      <c r="K18511"/>
      <c r="L18511"/>
    </row>
    <row r="18512" spans="2:12" x14ac:dyDescent="0.2">
      <c r="B18512"/>
      <c r="C18512"/>
      <c r="J18512"/>
      <c r="K18512"/>
      <c r="L18512"/>
    </row>
    <row r="18513" spans="2:12" x14ac:dyDescent="0.2">
      <c r="B18513"/>
      <c r="C18513"/>
      <c r="J18513"/>
      <c r="K18513"/>
      <c r="L18513"/>
    </row>
    <row r="18514" spans="2:12" x14ac:dyDescent="0.2">
      <c r="B18514"/>
      <c r="C18514"/>
      <c r="J18514"/>
      <c r="K18514"/>
      <c r="L18514"/>
    </row>
    <row r="18515" spans="2:12" x14ac:dyDescent="0.2">
      <c r="B18515"/>
      <c r="C18515"/>
      <c r="J18515"/>
      <c r="K18515"/>
      <c r="L18515"/>
    </row>
    <row r="18516" spans="2:12" x14ac:dyDescent="0.2">
      <c r="B18516"/>
      <c r="C18516"/>
      <c r="J18516"/>
      <c r="K18516"/>
      <c r="L18516"/>
    </row>
    <row r="18517" spans="2:12" x14ac:dyDescent="0.2">
      <c r="B18517"/>
      <c r="C18517"/>
      <c r="J18517"/>
      <c r="K18517"/>
      <c r="L18517"/>
    </row>
    <row r="18518" spans="2:12" x14ac:dyDescent="0.2">
      <c r="B18518"/>
      <c r="C18518"/>
      <c r="J18518"/>
      <c r="K18518"/>
      <c r="L18518"/>
    </row>
    <row r="18519" spans="2:12" x14ac:dyDescent="0.2">
      <c r="B18519"/>
      <c r="C18519"/>
      <c r="J18519"/>
      <c r="K18519"/>
      <c r="L18519"/>
    </row>
    <row r="18520" spans="2:12" x14ac:dyDescent="0.2">
      <c r="B18520"/>
      <c r="C18520"/>
      <c r="J18520"/>
      <c r="K18520"/>
      <c r="L18520"/>
    </row>
    <row r="18521" spans="2:12" x14ac:dyDescent="0.2">
      <c r="B18521"/>
      <c r="C18521"/>
      <c r="J18521"/>
      <c r="K18521"/>
      <c r="L18521"/>
    </row>
    <row r="18522" spans="2:12" x14ac:dyDescent="0.2">
      <c r="B18522"/>
      <c r="C18522"/>
      <c r="J18522"/>
      <c r="K18522"/>
      <c r="L18522"/>
    </row>
    <row r="18523" spans="2:12" x14ac:dyDescent="0.2">
      <c r="B18523"/>
      <c r="C18523"/>
      <c r="J18523"/>
      <c r="K18523"/>
      <c r="L18523"/>
    </row>
    <row r="18524" spans="2:12" x14ac:dyDescent="0.2">
      <c r="B18524"/>
      <c r="C18524"/>
      <c r="J18524"/>
      <c r="K18524"/>
      <c r="L18524"/>
    </row>
    <row r="18525" spans="2:12" x14ac:dyDescent="0.2">
      <c r="B18525"/>
      <c r="C18525"/>
      <c r="J18525"/>
      <c r="K18525"/>
      <c r="L18525"/>
    </row>
    <row r="18526" spans="2:12" x14ac:dyDescent="0.2">
      <c r="B18526"/>
      <c r="C18526"/>
      <c r="J18526"/>
      <c r="K18526"/>
      <c r="L18526"/>
    </row>
    <row r="18527" spans="2:12" x14ac:dyDescent="0.2">
      <c r="B18527"/>
      <c r="C18527"/>
      <c r="J18527"/>
      <c r="K18527"/>
      <c r="L18527"/>
    </row>
    <row r="18528" spans="2:12" x14ac:dyDescent="0.2">
      <c r="B18528"/>
      <c r="C18528"/>
      <c r="J18528"/>
      <c r="K18528"/>
      <c r="L18528"/>
    </row>
    <row r="18529" spans="2:12" x14ac:dyDescent="0.2">
      <c r="B18529"/>
      <c r="C18529"/>
      <c r="J18529"/>
      <c r="K18529"/>
      <c r="L18529"/>
    </row>
    <row r="18530" spans="2:12" x14ac:dyDescent="0.2">
      <c r="B18530"/>
      <c r="C18530"/>
      <c r="J18530"/>
      <c r="K18530"/>
      <c r="L18530"/>
    </row>
    <row r="18531" spans="2:12" x14ac:dyDescent="0.2">
      <c r="B18531"/>
      <c r="C18531"/>
      <c r="J18531"/>
      <c r="K18531"/>
      <c r="L18531"/>
    </row>
    <row r="18532" spans="2:12" x14ac:dyDescent="0.2">
      <c r="B18532"/>
      <c r="C18532"/>
      <c r="J18532"/>
      <c r="K18532"/>
      <c r="L18532"/>
    </row>
    <row r="18533" spans="2:12" x14ac:dyDescent="0.2">
      <c r="B18533"/>
      <c r="C18533"/>
      <c r="J18533"/>
      <c r="K18533"/>
      <c r="L18533"/>
    </row>
    <row r="18534" spans="2:12" x14ac:dyDescent="0.2">
      <c r="B18534"/>
      <c r="C18534"/>
      <c r="J18534"/>
      <c r="K18534"/>
      <c r="L18534"/>
    </row>
    <row r="18535" spans="2:12" x14ac:dyDescent="0.2">
      <c r="B18535"/>
      <c r="C18535"/>
      <c r="J18535"/>
      <c r="K18535"/>
      <c r="L18535"/>
    </row>
    <row r="18536" spans="2:12" x14ac:dyDescent="0.2">
      <c r="B18536"/>
      <c r="C18536"/>
      <c r="J18536"/>
      <c r="K18536"/>
      <c r="L18536"/>
    </row>
    <row r="18537" spans="2:12" x14ac:dyDescent="0.2">
      <c r="B18537"/>
      <c r="C18537"/>
      <c r="J18537"/>
      <c r="K18537"/>
      <c r="L18537"/>
    </row>
    <row r="18538" spans="2:12" x14ac:dyDescent="0.2">
      <c r="B18538"/>
      <c r="C18538"/>
      <c r="J18538"/>
      <c r="K18538"/>
      <c r="L18538"/>
    </row>
    <row r="18539" spans="2:12" x14ac:dyDescent="0.2">
      <c r="B18539"/>
      <c r="C18539"/>
      <c r="J18539"/>
      <c r="K18539"/>
      <c r="L18539"/>
    </row>
    <row r="18540" spans="2:12" x14ac:dyDescent="0.2">
      <c r="B18540"/>
      <c r="C18540"/>
      <c r="J18540"/>
      <c r="K18540"/>
      <c r="L18540"/>
    </row>
    <row r="18541" spans="2:12" x14ac:dyDescent="0.2">
      <c r="B18541"/>
      <c r="C18541"/>
      <c r="J18541"/>
      <c r="K18541"/>
      <c r="L18541"/>
    </row>
    <row r="18542" spans="2:12" x14ac:dyDescent="0.2">
      <c r="B18542"/>
      <c r="C18542"/>
      <c r="J18542"/>
      <c r="K18542"/>
      <c r="L18542"/>
    </row>
    <row r="18543" spans="2:12" x14ac:dyDescent="0.2">
      <c r="B18543"/>
      <c r="C18543"/>
      <c r="J18543"/>
      <c r="K18543"/>
      <c r="L18543"/>
    </row>
    <row r="18544" spans="2:12" x14ac:dyDescent="0.2">
      <c r="B18544"/>
      <c r="C18544"/>
      <c r="J18544"/>
      <c r="K18544"/>
      <c r="L18544"/>
    </row>
    <row r="18545" spans="2:12" x14ac:dyDescent="0.2">
      <c r="B18545"/>
      <c r="C18545"/>
      <c r="J18545"/>
      <c r="K18545"/>
      <c r="L18545"/>
    </row>
    <row r="18546" spans="2:12" x14ac:dyDescent="0.2">
      <c r="B18546"/>
      <c r="C18546"/>
      <c r="J18546"/>
      <c r="K18546"/>
      <c r="L18546"/>
    </row>
    <row r="18547" spans="2:12" x14ac:dyDescent="0.2">
      <c r="B18547"/>
      <c r="C18547"/>
      <c r="J18547"/>
      <c r="K18547"/>
      <c r="L18547"/>
    </row>
    <row r="18548" spans="2:12" x14ac:dyDescent="0.2">
      <c r="B18548"/>
      <c r="C18548"/>
      <c r="J18548"/>
      <c r="K18548"/>
      <c r="L18548"/>
    </row>
    <row r="18549" spans="2:12" x14ac:dyDescent="0.2">
      <c r="B18549"/>
      <c r="C18549"/>
      <c r="J18549"/>
      <c r="K18549"/>
      <c r="L18549"/>
    </row>
    <row r="18550" spans="2:12" x14ac:dyDescent="0.2">
      <c r="B18550"/>
      <c r="C18550"/>
      <c r="J18550"/>
      <c r="K18550"/>
      <c r="L18550"/>
    </row>
    <row r="18551" spans="2:12" x14ac:dyDescent="0.2">
      <c r="B18551"/>
      <c r="C18551"/>
      <c r="J18551"/>
      <c r="K18551"/>
      <c r="L18551"/>
    </row>
    <row r="18552" spans="2:12" x14ac:dyDescent="0.2">
      <c r="B18552"/>
      <c r="C18552"/>
      <c r="J18552"/>
      <c r="K18552"/>
      <c r="L18552"/>
    </row>
    <row r="18553" spans="2:12" x14ac:dyDescent="0.2">
      <c r="B18553"/>
      <c r="C18553"/>
      <c r="J18553"/>
      <c r="K18553"/>
      <c r="L18553"/>
    </row>
    <row r="18554" spans="2:12" x14ac:dyDescent="0.2">
      <c r="B18554"/>
      <c r="C18554"/>
      <c r="J18554"/>
      <c r="K18554"/>
      <c r="L18554"/>
    </row>
    <row r="18555" spans="2:12" x14ac:dyDescent="0.2">
      <c r="B18555"/>
      <c r="C18555"/>
      <c r="J18555"/>
      <c r="K18555"/>
      <c r="L18555"/>
    </row>
    <row r="18556" spans="2:12" x14ac:dyDescent="0.2">
      <c r="B18556"/>
      <c r="C18556"/>
      <c r="J18556"/>
      <c r="K18556"/>
      <c r="L18556"/>
    </row>
    <row r="18557" spans="2:12" x14ac:dyDescent="0.2">
      <c r="B18557"/>
      <c r="C18557"/>
      <c r="J18557"/>
      <c r="K18557"/>
      <c r="L18557"/>
    </row>
    <row r="18558" spans="2:12" x14ac:dyDescent="0.2">
      <c r="B18558"/>
      <c r="C18558"/>
      <c r="J18558"/>
      <c r="K18558"/>
      <c r="L18558"/>
    </row>
    <row r="18559" spans="2:12" x14ac:dyDescent="0.2">
      <c r="B18559"/>
      <c r="C18559"/>
      <c r="J18559"/>
      <c r="K18559"/>
      <c r="L18559"/>
    </row>
    <row r="18560" spans="2:12" x14ac:dyDescent="0.2">
      <c r="B18560"/>
      <c r="C18560"/>
      <c r="J18560"/>
      <c r="K18560"/>
      <c r="L18560"/>
    </row>
    <row r="18561" spans="2:12" x14ac:dyDescent="0.2">
      <c r="B18561"/>
      <c r="C18561"/>
      <c r="J18561"/>
      <c r="K18561"/>
      <c r="L18561"/>
    </row>
    <row r="18562" spans="2:12" x14ac:dyDescent="0.2">
      <c r="B18562"/>
      <c r="C18562"/>
      <c r="J18562"/>
      <c r="K18562"/>
      <c r="L18562"/>
    </row>
    <row r="18563" spans="2:12" x14ac:dyDescent="0.2">
      <c r="B18563"/>
      <c r="C18563"/>
      <c r="J18563"/>
      <c r="K18563"/>
      <c r="L18563"/>
    </row>
    <row r="18564" spans="2:12" x14ac:dyDescent="0.2">
      <c r="B18564"/>
      <c r="C18564"/>
      <c r="J18564"/>
      <c r="K18564"/>
      <c r="L18564"/>
    </row>
    <row r="18565" spans="2:12" x14ac:dyDescent="0.2">
      <c r="B18565"/>
      <c r="C18565"/>
      <c r="J18565"/>
      <c r="K18565"/>
      <c r="L18565"/>
    </row>
    <row r="18566" spans="2:12" x14ac:dyDescent="0.2">
      <c r="B18566"/>
      <c r="C18566"/>
      <c r="J18566"/>
      <c r="K18566"/>
      <c r="L18566"/>
    </row>
    <row r="18567" spans="2:12" x14ac:dyDescent="0.2">
      <c r="B18567"/>
      <c r="C18567"/>
      <c r="J18567"/>
      <c r="K18567"/>
      <c r="L18567"/>
    </row>
    <row r="18568" spans="2:12" x14ac:dyDescent="0.2">
      <c r="B18568"/>
      <c r="C18568"/>
      <c r="J18568"/>
      <c r="K18568"/>
      <c r="L18568"/>
    </row>
    <row r="18569" spans="2:12" x14ac:dyDescent="0.2">
      <c r="B18569"/>
      <c r="C18569"/>
      <c r="J18569"/>
      <c r="K18569"/>
      <c r="L18569"/>
    </row>
    <row r="18570" spans="2:12" x14ac:dyDescent="0.2">
      <c r="B18570"/>
      <c r="C18570"/>
      <c r="J18570"/>
      <c r="K18570"/>
      <c r="L18570"/>
    </row>
    <row r="18571" spans="2:12" x14ac:dyDescent="0.2">
      <c r="B18571"/>
      <c r="C18571"/>
      <c r="J18571"/>
      <c r="K18571"/>
      <c r="L18571"/>
    </row>
    <row r="18572" spans="2:12" x14ac:dyDescent="0.2">
      <c r="B18572"/>
      <c r="C18572"/>
      <c r="J18572"/>
      <c r="K18572"/>
      <c r="L18572"/>
    </row>
    <row r="18573" spans="2:12" x14ac:dyDescent="0.2">
      <c r="B18573"/>
      <c r="C18573"/>
      <c r="J18573"/>
      <c r="K18573"/>
      <c r="L18573"/>
    </row>
    <row r="18574" spans="2:12" x14ac:dyDescent="0.2">
      <c r="B18574"/>
      <c r="C18574"/>
      <c r="J18574"/>
      <c r="K18574"/>
      <c r="L18574"/>
    </row>
    <row r="18575" spans="2:12" x14ac:dyDescent="0.2">
      <c r="B18575"/>
      <c r="C18575"/>
      <c r="J18575"/>
      <c r="K18575"/>
      <c r="L18575"/>
    </row>
    <row r="18576" spans="2:12" x14ac:dyDescent="0.2">
      <c r="B18576"/>
      <c r="C18576"/>
      <c r="J18576"/>
      <c r="K18576"/>
      <c r="L18576"/>
    </row>
    <row r="18577" spans="2:12" x14ac:dyDescent="0.2">
      <c r="B18577"/>
      <c r="C18577"/>
      <c r="J18577"/>
      <c r="K18577"/>
      <c r="L18577"/>
    </row>
    <row r="18578" spans="2:12" x14ac:dyDescent="0.2">
      <c r="B18578"/>
      <c r="C18578"/>
      <c r="J18578"/>
      <c r="K18578"/>
      <c r="L18578"/>
    </row>
    <row r="18579" spans="2:12" x14ac:dyDescent="0.2">
      <c r="B18579"/>
      <c r="C18579"/>
      <c r="J18579"/>
      <c r="K18579"/>
      <c r="L18579"/>
    </row>
    <row r="18580" spans="2:12" x14ac:dyDescent="0.2">
      <c r="B18580"/>
      <c r="C18580"/>
      <c r="J18580"/>
      <c r="K18580"/>
      <c r="L18580"/>
    </row>
    <row r="18581" spans="2:12" x14ac:dyDescent="0.2">
      <c r="B18581"/>
      <c r="C18581"/>
      <c r="J18581"/>
      <c r="K18581"/>
      <c r="L18581"/>
    </row>
    <row r="18582" spans="2:12" x14ac:dyDescent="0.2">
      <c r="B18582"/>
      <c r="C18582"/>
      <c r="J18582"/>
      <c r="K18582"/>
      <c r="L18582"/>
    </row>
    <row r="18583" spans="2:12" x14ac:dyDescent="0.2">
      <c r="B18583"/>
      <c r="C18583"/>
      <c r="J18583"/>
      <c r="K18583"/>
      <c r="L18583"/>
    </row>
    <row r="18584" spans="2:12" x14ac:dyDescent="0.2">
      <c r="B18584"/>
      <c r="C18584"/>
      <c r="J18584"/>
      <c r="K18584"/>
      <c r="L18584"/>
    </row>
    <row r="18585" spans="2:12" x14ac:dyDescent="0.2">
      <c r="B18585"/>
      <c r="C18585"/>
      <c r="J18585"/>
      <c r="K18585"/>
      <c r="L18585"/>
    </row>
    <row r="18586" spans="2:12" x14ac:dyDescent="0.2">
      <c r="B18586"/>
      <c r="C18586"/>
      <c r="J18586"/>
      <c r="K18586"/>
      <c r="L18586"/>
    </row>
    <row r="18587" spans="2:12" x14ac:dyDescent="0.2">
      <c r="B18587"/>
      <c r="C18587"/>
      <c r="J18587"/>
      <c r="K18587"/>
      <c r="L18587"/>
    </row>
    <row r="18588" spans="2:12" x14ac:dyDescent="0.2">
      <c r="B18588"/>
      <c r="C18588"/>
      <c r="J18588"/>
      <c r="K18588"/>
      <c r="L18588"/>
    </row>
    <row r="18589" spans="2:12" x14ac:dyDescent="0.2">
      <c r="B18589"/>
      <c r="C18589"/>
      <c r="J18589"/>
      <c r="K18589"/>
      <c r="L18589"/>
    </row>
    <row r="18590" spans="2:12" x14ac:dyDescent="0.2">
      <c r="B18590"/>
      <c r="C18590"/>
      <c r="J18590"/>
      <c r="K18590"/>
      <c r="L18590"/>
    </row>
    <row r="18591" spans="2:12" x14ac:dyDescent="0.2">
      <c r="B18591"/>
      <c r="C18591"/>
      <c r="J18591"/>
      <c r="K18591"/>
      <c r="L18591"/>
    </row>
    <row r="18592" spans="2:12" x14ac:dyDescent="0.2">
      <c r="B18592"/>
      <c r="C18592"/>
      <c r="J18592"/>
      <c r="K18592"/>
      <c r="L18592"/>
    </row>
    <row r="18593" spans="2:12" x14ac:dyDescent="0.2">
      <c r="B18593"/>
      <c r="C18593"/>
      <c r="J18593"/>
      <c r="K18593"/>
      <c r="L18593"/>
    </row>
    <row r="18594" spans="2:12" x14ac:dyDescent="0.2">
      <c r="B18594"/>
      <c r="C18594"/>
      <c r="J18594"/>
      <c r="K18594"/>
      <c r="L18594"/>
    </row>
    <row r="18595" spans="2:12" x14ac:dyDescent="0.2">
      <c r="B18595"/>
      <c r="C18595"/>
      <c r="J18595"/>
      <c r="K18595"/>
      <c r="L18595"/>
    </row>
    <row r="18596" spans="2:12" x14ac:dyDescent="0.2">
      <c r="B18596"/>
      <c r="C18596"/>
      <c r="J18596"/>
      <c r="K18596"/>
      <c r="L18596"/>
    </row>
    <row r="18597" spans="2:12" x14ac:dyDescent="0.2">
      <c r="B18597"/>
      <c r="C18597"/>
      <c r="J18597"/>
      <c r="K18597"/>
      <c r="L18597"/>
    </row>
    <row r="18598" spans="2:12" x14ac:dyDescent="0.2">
      <c r="B18598"/>
      <c r="C18598"/>
      <c r="J18598"/>
      <c r="K18598"/>
      <c r="L18598"/>
    </row>
    <row r="18599" spans="2:12" x14ac:dyDescent="0.2">
      <c r="B18599"/>
      <c r="C18599"/>
      <c r="J18599"/>
      <c r="K18599"/>
      <c r="L18599"/>
    </row>
    <row r="18600" spans="2:12" x14ac:dyDescent="0.2">
      <c r="B18600"/>
      <c r="C18600"/>
      <c r="J18600"/>
      <c r="K18600"/>
      <c r="L18600"/>
    </row>
    <row r="18601" spans="2:12" x14ac:dyDescent="0.2">
      <c r="B18601"/>
      <c r="C18601"/>
      <c r="J18601"/>
      <c r="K18601"/>
      <c r="L18601"/>
    </row>
    <row r="18602" spans="2:12" x14ac:dyDescent="0.2">
      <c r="B18602"/>
      <c r="C18602"/>
      <c r="J18602"/>
      <c r="K18602"/>
      <c r="L18602"/>
    </row>
    <row r="18603" spans="2:12" x14ac:dyDescent="0.2">
      <c r="B18603"/>
      <c r="C18603"/>
      <c r="J18603"/>
      <c r="K18603"/>
      <c r="L18603"/>
    </row>
    <row r="18604" spans="2:12" x14ac:dyDescent="0.2">
      <c r="B18604"/>
      <c r="C18604"/>
      <c r="J18604"/>
      <c r="K18604"/>
      <c r="L18604"/>
    </row>
    <row r="18605" spans="2:12" x14ac:dyDescent="0.2">
      <c r="B18605"/>
      <c r="C18605"/>
      <c r="J18605"/>
      <c r="K18605"/>
      <c r="L18605"/>
    </row>
    <row r="18606" spans="2:12" x14ac:dyDescent="0.2">
      <c r="B18606"/>
      <c r="C18606"/>
      <c r="J18606"/>
      <c r="K18606"/>
      <c r="L18606"/>
    </row>
    <row r="18607" spans="2:12" x14ac:dyDescent="0.2">
      <c r="B18607"/>
      <c r="C18607"/>
      <c r="J18607"/>
      <c r="K18607"/>
      <c r="L18607"/>
    </row>
    <row r="18608" spans="2:12" x14ac:dyDescent="0.2">
      <c r="B18608"/>
      <c r="C18608"/>
      <c r="J18608"/>
      <c r="K18608"/>
      <c r="L18608"/>
    </row>
    <row r="18609" spans="2:12" x14ac:dyDescent="0.2">
      <c r="B18609"/>
      <c r="C18609"/>
      <c r="J18609"/>
      <c r="K18609"/>
      <c r="L18609"/>
    </row>
    <row r="18610" spans="2:12" x14ac:dyDescent="0.2">
      <c r="B18610"/>
      <c r="C18610"/>
      <c r="J18610"/>
      <c r="K18610"/>
      <c r="L18610"/>
    </row>
    <row r="18611" spans="2:12" x14ac:dyDescent="0.2">
      <c r="B18611"/>
      <c r="C18611"/>
      <c r="J18611"/>
      <c r="K18611"/>
      <c r="L18611"/>
    </row>
    <row r="18612" spans="2:12" x14ac:dyDescent="0.2">
      <c r="B18612"/>
      <c r="C18612"/>
      <c r="J18612"/>
      <c r="K18612"/>
      <c r="L18612"/>
    </row>
    <row r="18613" spans="2:12" x14ac:dyDescent="0.2">
      <c r="B18613"/>
      <c r="C18613"/>
      <c r="J18613"/>
      <c r="K18613"/>
      <c r="L18613"/>
    </row>
    <row r="18614" spans="2:12" x14ac:dyDescent="0.2">
      <c r="B18614"/>
      <c r="C18614"/>
      <c r="J18614"/>
      <c r="K18614"/>
      <c r="L18614"/>
    </row>
    <row r="18615" spans="2:12" x14ac:dyDescent="0.2">
      <c r="B18615"/>
      <c r="C18615"/>
      <c r="J18615"/>
      <c r="K18615"/>
      <c r="L18615"/>
    </row>
    <row r="18616" spans="2:12" x14ac:dyDescent="0.2">
      <c r="B18616"/>
      <c r="C18616"/>
      <c r="J18616"/>
      <c r="K18616"/>
      <c r="L18616"/>
    </row>
    <row r="18617" spans="2:12" x14ac:dyDescent="0.2">
      <c r="B18617"/>
      <c r="C18617"/>
      <c r="J18617"/>
      <c r="K18617"/>
      <c r="L18617"/>
    </row>
    <row r="18618" spans="2:12" x14ac:dyDescent="0.2">
      <c r="B18618"/>
      <c r="C18618"/>
      <c r="J18618"/>
      <c r="K18618"/>
      <c r="L18618"/>
    </row>
    <row r="18619" spans="2:12" x14ac:dyDescent="0.2">
      <c r="B18619"/>
      <c r="C18619"/>
      <c r="J18619"/>
      <c r="K18619"/>
      <c r="L18619"/>
    </row>
    <row r="18620" spans="2:12" x14ac:dyDescent="0.2">
      <c r="B18620"/>
      <c r="C18620"/>
      <c r="J18620"/>
      <c r="K18620"/>
      <c r="L18620"/>
    </row>
    <row r="18621" spans="2:12" x14ac:dyDescent="0.2">
      <c r="B18621"/>
      <c r="C18621"/>
      <c r="J18621"/>
      <c r="K18621"/>
      <c r="L18621"/>
    </row>
    <row r="18622" spans="2:12" x14ac:dyDescent="0.2">
      <c r="B18622"/>
      <c r="C18622"/>
      <c r="J18622"/>
      <c r="K18622"/>
      <c r="L18622"/>
    </row>
    <row r="18623" spans="2:12" x14ac:dyDescent="0.2">
      <c r="B18623"/>
      <c r="C18623"/>
      <c r="J18623"/>
      <c r="K18623"/>
      <c r="L18623"/>
    </row>
    <row r="18624" spans="2:12" x14ac:dyDescent="0.2">
      <c r="B18624"/>
      <c r="C18624"/>
      <c r="J18624"/>
      <c r="K18624"/>
      <c r="L18624"/>
    </row>
    <row r="18625" spans="2:12" x14ac:dyDescent="0.2">
      <c r="B18625"/>
      <c r="C18625"/>
      <c r="J18625"/>
      <c r="K18625"/>
      <c r="L18625"/>
    </row>
    <row r="18626" spans="2:12" x14ac:dyDescent="0.2">
      <c r="B18626"/>
      <c r="C18626"/>
      <c r="J18626"/>
      <c r="K18626"/>
      <c r="L18626"/>
    </row>
    <row r="18627" spans="2:12" x14ac:dyDescent="0.2">
      <c r="B18627"/>
      <c r="C18627"/>
      <c r="J18627"/>
      <c r="K18627"/>
      <c r="L18627"/>
    </row>
    <row r="18628" spans="2:12" x14ac:dyDescent="0.2">
      <c r="B18628"/>
      <c r="C18628"/>
      <c r="J18628"/>
      <c r="K18628"/>
      <c r="L18628"/>
    </row>
    <row r="18629" spans="2:12" x14ac:dyDescent="0.2">
      <c r="B18629"/>
      <c r="C18629"/>
      <c r="J18629"/>
      <c r="K18629"/>
      <c r="L18629"/>
    </row>
    <row r="18630" spans="2:12" x14ac:dyDescent="0.2">
      <c r="B18630"/>
      <c r="C18630"/>
      <c r="J18630"/>
      <c r="K18630"/>
      <c r="L18630"/>
    </row>
    <row r="18631" spans="2:12" x14ac:dyDescent="0.2">
      <c r="B18631"/>
      <c r="C18631"/>
      <c r="J18631"/>
      <c r="K18631"/>
      <c r="L18631"/>
    </row>
    <row r="18632" spans="2:12" x14ac:dyDescent="0.2">
      <c r="B18632"/>
      <c r="C18632"/>
      <c r="J18632"/>
      <c r="K18632"/>
      <c r="L18632"/>
    </row>
    <row r="18633" spans="2:12" x14ac:dyDescent="0.2">
      <c r="B18633"/>
      <c r="C18633"/>
      <c r="J18633"/>
      <c r="K18633"/>
      <c r="L18633"/>
    </row>
    <row r="18634" spans="2:12" x14ac:dyDescent="0.2">
      <c r="B18634"/>
      <c r="C18634"/>
      <c r="J18634"/>
      <c r="K18634"/>
      <c r="L18634"/>
    </row>
    <row r="18635" spans="2:12" x14ac:dyDescent="0.2">
      <c r="B18635"/>
      <c r="C18635"/>
      <c r="J18635"/>
      <c r="K18635"/>
      <c r="L18635"/>
    </row>
    <row r="18636" spans="2:12" x14ac:dyDescent="0.2">
      <c r="B18636"/>
      <c r="C18636"/>
      <c r="J18636"/>
      <c r="K18636"/>
      <c r="L18636"/>
    </row>
    <row r="18637" spans="2:12" x14ac:dyDescent="0.2">
      <c r="B18637"/>
      <c r="C18637"/>
      <c r="J18637"/>
      <c r="K18637"/>
      <c r="L18637"/>
    </row>
    <row r="18638" spans="2:12" x14ac:dyDescent="0.2">
      <c r="B18638"/>
      <c r="C18638"/>
      <c r="J18638"/>
      <c r="K18638"/>
      <c r="L18638"/>
    </row>
    <row r="18639" spans="2:12" x14ac:dyDescent="0.2">
      <c r="B18639"/>
      <c r="C18639"/>
      <c r="J18639"/>
      <c r="K18639"/>
      <c r="L18639"/>
    </row>
    <row r="18640" spans="2:12" x14ac:dyDescent="0.2">
      <c r="B18640"/>
      <c r="C18640"/>
      <c r="J18640"/>
      <c r="K18640"/>
      <c r="L18640"/>
    </row>
    <row r="18641" spans="2:12" x14ac:dyDescent="0.2">
      <c r="B18641"/>
      <c r="C18641"/>
      <c r="J18641"/>
      <c r="K18641"/>
      <c r="L18641"/>
    </row>
    <row r="18642" spans="2:12" x14ac:dyDescent="0.2">
      <c r="B18642"/>
      <c r="C18642"/>
      <c r="J18642"/>
      <c r="K18642"/>
      <c r="L18642"/>
    </row>
    <row r="18643" spans="2:12" x14ac:dyDescent="0.2">
      <c r="B18643"/>
      <c r="C18643"/>
      <c r="J18643"/>
      <c r="K18643"/>
      <c r="L18643"/>
    </row>
    <row r="18644" spans="2:12" x14ac:dyDescent="0.2">
      <c r="B18644"/>
      <c r="C18644"/>
      <c r="J18644"/>
      <c r="K18644"/>
      <c r="L18644"/>
    </row>
    <row r="18645" spans="2:12" x14ac:dyDescent="0.2">
      <c r="B18645"/>
      <c r="C18645"/>
      <c r="J18645"/>
      <c r="K18645"/>
      <c r="L18645"/>
    </row>
    <row r="18646" spans="2:12" x14ac:dyDescent="0.2">
      <c r="B18646"/>
      <c r="C18646"/>
      <c r="J18646"/>
      <c r="K18646"/>
      <c r="L18646"/>
    </row>
    <row r="18647" spans="2:12" x14ac:dyDescent="0.2">
      <c r="B18647"/>
      <c r="C18647"/>
      <c r="J18647"/>
      <c r="K18647"/>
      <c r="L18647"/>
    </row>
    <row r="18648" spans="2:12" x14ac:dyDescent="0.2">
      <c r="B18648"/>
      <c r="C18648"/>
      <c r="J18648"/>
      <c r="K18648"/>
      <c r="L18648"/>
    </row>
    <row r="18649" spans="2:12" x14ac:dyDescent="0.2">
      <c r="B18649"/>
      <c r="C18649"/>
      <c r="J18649"/>
      <c r="K18649"/>
      <c r="L18649"/>
    </row>
    <row r="18650" spans="2:12" x14ac:dyDescent="0.2">
      <c r="B18650"/>
      <c r="C18650"/>
      <c r="J18650"/>
      <c r="K18650"/>
      <c r="L18650"/>
    </row>
    <row r="18651" spans="2:12" x14ac:dyDescent="0.2">
      <c r="B18651"/>
      <c r="C18651"/>
      <c r="J18651"/>
      <c r="K18651"/>
      <c r="L18651"/>
    </row>
    <row r="18652" spans="2:12" x14ac:dyDescent="0.2">
      <c r="B18652"/>
      <c r="C18652"/>
      <c r="J18652"/>
      <c r="K18652"/>
      <c r="L18652"/>
    </row>
    <row r="18653" spans="2:12" x14ac:dyDescent="0.2">
      <c r="B18653"/>
      <c r="C18653"/>
      <c r="J18653"/>
      <c r="K18653"/>
      <c r="L18653"/>
    </row>
    <row r="18654" spans="2:12" x14ac:dyDescent="0.2">
      <c r="B18654"/>
      <c r="C18654"/>
      <c r="J18654"/>
      <c r="K18654"/>
      <c r="L18654"/>
    </row>
    <row r="18655" spans="2:12" x14ac:dyDescent="0.2">
      <c r="B18655"/>
      <c r="C18655"/>
      <c r="J18655"/>
      <c r="K18655"/>
      <c r="L18655"/>
    </row>
    <row r="18656" spans="2:12" x14ac:dyDescent="0.2">
      <c r="B18656"/>
      <c r="C18656"/>
      <c r="J18656"/>
      <c r="K18656"/>
      <c r="L18656"/>
    </row>
    <row r="18657" spans="2:12" x14ac:dyDescent="0.2">
      <c r="B18657"/>
      <c r="C18657"/>
      <c r="J18657"/>
      <c r="K18657"/>
      <c r="L18657"/>
    </row>
    <row r="18658" spans="2:12" x14ac:dyDescent="0.2">
      <c r="B18658"/>
      <c r="C18658"/>
      <c r="J18658"/>
      <c r="K18658"/>
      <c r="L18658"/>
    </row>
    <row r="18659" spans="2:12" x14ac:dyDescent="0.2">
      <c r="B18659"/>
      <c r="C18659"/>
      <c r="J18659"/>
      <c r="K18659"/>
      <c r="L18659"/>
    </row>
    <row r="18660" spans="2:12" x14ac:dyDescent="0.2">
      <c r="B18660"/>
      <c r="C18660"/>
      <c r="J18660"/>
      <c r="K18660"/>
      <c r="L18660"/>
    </row>
    <row r="18661" spans="2:12" x14ac:dyDescent="0.2">
      <c r="B18661"/>
      <c r="C18661"/>
      <c r="J18661"/>
      <c r="K18661"/>
      <c r="L18661"/>
    </row>
    <row r="18662" spans="2:12" x14ac:dyDescent="0.2">
      <c r="B18662"/>
      <c r="C18662"/>
      <c r="J18662"/>
      <c r="K18662"/>
      <c r="L18662"/>
    </row>
    <row r="18663" spans="2:12" x14ac:dyDescent="0.2">
      <c r="B18663"/>
      <c r="C18663"/>
      <c r="J18663"/>
      <c r="K18663"/>
      <c r="L18663"/>
    </row>
    <row r="18664" spans="2:12" x14ac:dyDescent="0.2">
      <c r="B18664"/>
      <c r="C18664"/>
      <c r="J18664"/>
      <c r="K18664"/>
      <c r="L18664"/>
    </row>
    <row r="18665" spans="2:12" x14ac:dyDescent="0.2">
      <c r="B18665"/>
      <c r="C18665"/>
      <c r="J18665"/>
      <c r="K18665"/>
      <c r="L18665"/>
    </row>
    <row r="18666" spans="2:12" x14ac:dyDescent="0.2">
      <c r="B18666"/>
      <c r="C18666"/>
      <c r="J18666"/>
      <c r="K18666"/>
      <c r="L18666"/>
    </row>
    <row r="18667" spans="2:12" x14ac:dyDescent="0.2">
      <c r="B18667"/>
      <c r="C18667"/>
      <c r="J18667"/>
      <c r="K18667"/>
      <c r="L18667"/>
    </row>
    <row r="18668" spans="2:12" x14ac:dyDescent="0.2">
      <c r="B18668"/>
      <c r="C18668"/>
      <c r="J18668"/>
      <c r="K18668"/>
      <c r="L18668"/>
    </row>
    <row r="18669" spans="2:12" x14ac:dyDescent="0.2">
      <c r="B18669"/>
      <c r="C18669"/>
      <c r="J18669"/>
      <c r="K18669"/>
      <c r="L18669"/>
    </row>
    <row r="18670" spans="2:12" x14ac:dyDescent="0.2">
      <c r="B18670"/>
      <c r="C18670"/>
      <c r="J18670"/>
      <c r="K18670"/>
      <c r="L18670"/>
    </row>
    <row r="18671" spans="2:12" x14ac:dyDescent="0.2">
      <c r="B18671"/>
      <c r="C18671"/>
      <c r="J18671"/>
      <c r="K18671"/>
      <c r="L18671"/>
    </row>
    <row r="18672" spans="2:12" x14ac:dyDescent="0.2">
      <c r="B18672"/>
      <c r="C18672"/>
      <c r="J18672"/>
      <c r="K18672"/>
      <c r="L18672"/>
    </row>
    <row r="18673" spans="2:12" x14ac:dyDescent="0.2">
      <c r="B18673"/>
      <c r="C18673"/>
      <c r="J18673"/>
      <c r="K18673"/>
      <c r="L18673"/>
    </row>
    <row r="18674" spans="2:12" x14ac:dyDescent="0.2">
      <c r="B18674"/>
      <c r="C18674"/>
      <c r="J18674"/>
      <c r="K18674"/>
      <c r="L18674"/>
    </row>
    <row r="18675" spans="2:12" x14ac:dyDescent="0.2">
      <c r="B18675"/>
      <c r="C18675"/>
      <c r="J18675"/>
      <c r="K18675"/>
      <c r="L18675"/>
    </row>
    <row r="18676" spans="2:12" x14ac:dyDescent="0.2">
      <c r="B18676"/>
      <c r="C18676"/>
      <c r="J18676"/>
      <c r="K18676"/>
      <c r="L18676"/>
    </row>
    <row r="18677" spans="2:12" x14ac:dyDescent="0.2">
      <c r="B18677"/>
      <c r="C18677"/>
      <c r="J18677"/>
      <c r="K18677"/>
      <c r="L18677"/>
    </row>
    <row r="18678" spans="2:12" x14ac:dyDescent="0.2">
      <c r="B18678"/>
      <c r="C18678"/>
      <c r="J18678"/>
      <c r="K18678"/>
      <c r="L18678"/>
    </row>
    <row r="18679" spans="2:12" x14ac:dyDescent="0.2">
      <c r="B18679"/>
      <c r="C18679"/>
      <c r="J18679"/>
      <c r="K18679"/>
      <c r="L18679"/>
    </row>
    <row r="18680" spans="2:12" x14ac:dyDescent="0.2">
      <c r="B18680"/>
      <c r="C18680"/>
      <c r="J18680"/>
      <c r="K18680"/>
      <c r="L18680"/>
    </row>
    <row r="18681" spans="2:12" x14ac:dyDescent="0.2">
      <c r="B18681"/>
      <c r="C18681"/>
      <c r="J18681"/>
      <c r="K18681"/>
      <c r="L18681"/>
    </row>
    <row r="18682" spans="2:12" x14ac:dyDescent="0.2">
      <c r="B18682"/>
      <c r="C18682"/>
      <c r="J18682"/>
      <c r="K18682"/>
      <c r="L18682"/>
    </row>
    <row r="18683" spans="2:12" x14ac:dyDescent="0.2">
      <c r="B18683"/>
      <c r="C18683"/>
      <c r="J18683"/>
      <c r="K18683"/>
      <c r="L18683"/>
    </row>
    <row r="18684" spans="2:12" x14ac:dyDescent="0.2">
      <c r="B18684"/>
      <c r="C18684"/>
      <c r="J18684"/>
      <c r="K18684"/>
      <c r="L18684"/>
    </row>
    <row r="18685" spans="2:12" x14ac:dyDescent="0.2">
      <c r="B18685"/>
      <c r="C18685"/>
      <c r="J18685"/>
      <c r="K18685"/>
      <c r="L18685"/>
    </row>
    <row r="18686" spans="2:12" x14ac:dyDescent="0.2">
      <c r="B18686"/>
      <c r="C18686"/>
      <c r="J18686"/>
      <c r="K18686"/>
      <c r="L18686"/>
    </row>
    <row r="18687" spans="2:12" x14ac:dyDescent="0.2">
      <c r="B18687"/>
      <c r="C18687"/>
      <c r="J18687"/>
      <c r="K18687"/>
      <c r="L18687"/>
    </row>
    <row r="18688" spans="2:12" x14ac:dyDescent="0.2">
      <c r="B18688"/>
      <c r="C18688"/>
      <c r="J18688"/>
      <c r="K18688"/>
      <c r="L18688"/>
    </row>
    <row r="18689" spans="2:12" x14ac:dyDescent="0.2">
      <c r="B18689"/>
      <c r="C18689"/>
      <c r="J18689"/>
      <c r="K18689"/>
      <c r="L18689"/>
    </row>
    <row r="18690" spans="2:12" x14ac:dyDescent="0.2">
      <c r="B18690"/>
      <c r="C18690"/>
      <c r="J18690"/>
      <c r="K18690"/>
      <c r="L18690"/>
    </row>
    <row r="18691" spans="2:12" x14ac:dyDescent="0.2">
      <c r="B18691"/>
      <c r="C18691"/>
      <c r="J18691"/>
      <c r="K18691"/>
      <c r="L18691"/>
    </row>
    <row r="18692" spans="2:12" x14ac:dyDescent="0.2">
      <c r="B18692"/>
      <c r="C18692"/>
      <c r="J18692"/>
      <c r="K18692"/>
      <c r="L18692"/>
    </row>
    <row r="18693" spans="2:12" x14ac:dyDescent="0.2">
      <c r="B18693"/>
      <c r="C18693"/>
      <c r="J18693"/>
      <c r="K18693"/>
      <c r="L18693"/>
    </row>
    <row r="18694" spans="2:12" x14ac:dyDescent="0.2">
      <c r="B18694"/>
      <c r="C18694"/>
      <c r="J18694"/>
      <c r="K18694"/>
      <c r="L18694"/>
    </row>
    <row r="18695" spans="2:12" x14ac:dyDescent="0.2">
      <c r="B18695"/>
      <c r="C18695"/>
      <c r="J18695"/>
      <c r="K18695"/>
      <c r="L18695"/>
    </row>
    <row r="18696" spans="2:12" x14ac:dyDescent="0.2">
      <c r="B18696"/>
      <c r="C18696"/>
      <c r="J18696"/>
      <c r="K18696"/>
      <c r="L18696"/>
    </row>
    <row r="18697" spans="2:12" x14ac:dyDescent="0.2">
      <c r="B18697"/>
      <c r="C18697"/>
      <c r="J18697"/>
      <c r="K18697"/>
      <c r="L18697"/>
    </row>
    <row r="18698" spans="2:12" x14ac:dyDescent="0.2">
      <c r="B18698"/>
      <c r="C18698"/>
      <c r="J18698"/>
      <c r="K18698"/>
      <c r="L18698"/>
    </row>
    <row r="18699" spans="2:12" x14ac:dyDescent="0.2">
      <c r="B18699"/>
      <c r="C18699"/>
      <c r="J18699"/>
      <c r="K18699"/>
      <c r="L18699"/>
    </row>
    <row r="18700" spans="2:12" x14ac:dyDescent="0.2">
      <c r="B18700"/>
      <c r="C18700"/>
      <c r="J18700"/>
      <c r="K18700"/>
      <c r="L18700"/>
    </row>
    <row r="18701" spans="2:12" x14ac:dyDescent="0.2">
      <c r="B18701"/>
      <c r="C18701"/>
      <c r="J18701"/>
      <c r="K18701"/>
      <c r="L18701"/>
    </row>
    <row r="18702" spans="2:12" x14ac:dyDescent="0.2">
      <c r="B18702"/>
      <c r="C18702"/>
      <c r="J18702"/>
      <c r="K18702"/>
      <c r="L18702"/>
    </row>
    <row r="18703" spans="2:12" x14ac:dyDescent="0.2">
      <c r="B18703"/>
      <c r="C18703"/>
      <c r="J18703"/>
      <c r="K18703"/>
      <c r="L18703"/>
    </row>
    <row r="18704" spans="2:12" x14ac:dyDescent="0.2">
      <c r="B18704"/>
      <c r="C18704"/>
      <c r="J18704"/>
      <c r="K18704"/>
      <c r="L18704"/>
    </row>
    <row r="18705" spans="2:12" x14ac:dyDescent="0.2">
      <c r="B18705"/>
      <c r="C18705"/>
      <c r="J18705"/>
      <c r="K18705"/>
      <c r="L18705"/>
    </row>
    <row r="18706" spans="2:12" x14ac:dyDescent="0.2">
      <c r="B18706"/>
      <c r="C18706"/>
      <c r="J18706"/>
      <c r="K18706"/>
      <c r="L18706"/>
    </row>
    <row r="18707" spans="2:12" x14ac:dyDescent="0.2">
      <c r="B18707"/>
      <c r="C18707"/>
      <c r="J18707"/>
      <c r="K18707"/>
      <c r="L18707"/>
    </row>
    <row r="18708" spans="2:12" x14ac:dyDescent="0.2">
      <c r="B18708"/>
      <c r="C18708"/>
      <c r="J18708"/>
      <c r="K18708"/>
      <c r="L18708"/>
    </row>
    <row r="18709" spans="2:12" x14ac:dyDescent="0.2">
      <c r="B18709"/>
      <c r="C18709"/>
      <c r="J18709"/>
      <c r="K18709"/>
      <c r="L18709"/>
    </row>
    <row r="18710" spans="2:12" x14ac:dyDescent="0.2">
      <c r="B18710"/>
      <c r="C18710"/>
      <c r="J18710"/>
      <c r="K18710"/>
      <c r="L18710"/>
    </row>
    <row r="18711" spans="2:12" x14ac:dyDescent="0.2">
      <c r="B18711"/>
      <c r="C18711"/>
      <c r="J18711"/>
      <c r="K18711"/>
      <c r="L18711"/>
    </row>
    <row r="18712" spans="2:12" x14ac:dyDescent="0.2">
      <c r="B18712"/>
      <c r="C18712"/>
      <c r="J18712"/>
      <c r="K18712"/>
      <c r="L18712"/>
    </row>
    <row r="18713" spans="2:12" x14ac:dyDescent="0.2">
      <c r="B18713"/>
      <c r="C18713"/>
      <c r="J18713"/>
      <c r="K18713"/>
      <c r="L18713"/>
    </row>
    <row r="18714" spans="2:12" x14ac:dyDescent="0.2">
      <c r="B18714"/>
      <c r="C18714"/>
      <c r="J18714"/>
      <c r="K18714"/>
      <c r="L18714"/>
    </row>
    <row r="18715" spans="2:12" x14ac:dyDescent="0.2">
      <c r="B18715"/>
      <c r="C18715"/>
      <c r="J18715"/>
      <c r="K18715"/>
      <c r="L18715"/>
    </row>
    <row r="18716" spans="2:12" x14ac:dyDescent="0.2">
      <c r="B18716"/>
      <c r="C18716"/>
      <c r="J18716"/>
      <c r="K18716"/>
      <c r="L18716"/>
    </row>
    <row r="18717" spans="2:12" x14ac:dyDescent="0.2">
      <c r="B18717"/>
      <c r="C18717"/>
      <c r="J18717"/>
      <c r="K18717"/>
      <c r="L18717"/>
    </row>
    <row r="18718" spans="2:12" x14ac:dyDescent="0.2">
      <c r="B18718"/>
      <c r="C18718"/>
      <c r="J18718"/>
      <c r="K18718"/>
      <c r="L18718"/>
    </row>
    <row r="18719" spans="2:12" x14ac:dyDescent="0.2">
      <c r="B18719"/>
      <c r="C18719"/>
      <c r="J18719"/>
      <c r="K18719"/>
      <c r="L18719"/>
    </row>
    <row r="18720" spans="2:12" x14ac:dyDescent="0.2">
      <c r="B18720"/>
      <c r="C18720"/>
      <c r="J18720"/>
      <c r="K18720"/>
      <c r="L18720"/>
    </row>
    <row r="18721" spans="2:12" x14ac:dyDescent="0.2">
      <c r="B18721"/>
      <c r="C18721"/>
      <c r="J18721"/>
      <c r="K18721"/>
      <c r="L18721"/>
    </row>
    <row r="18722" spans="2:12" x14ac:dyDescent="0.2">
      <c r="B18722"/>
      <c r="C18722"/>
      <c r="J18722"/>
      <c r="K18722"/>
      <c r="L18722"/>
    </row>
    <row r="18723" spans="2:12" x14ac:dyDescent="0.2">
      <c r="B18723"/>
      <c r="C18723"/>
      <c r="J18723"/>
      <c r="K18723"/>
      <c r="L18723"/>
    </row>
    <row r="18724" spans="2:12" x14ac:dyDescent="0.2">
      <c r="B18724"/>
      <c r="C18724"/>
      <c r="J18724"/>
      <c r="K18724"/>
      <c r="L18724"/>
    </row>
    <row r="18725" spans="2:12" x14ac:dyDescent="0.2">
      <c r="B18725"/>
      <c r="C18725"/>
      <c r="J18725"/>
      <c r="K18725"/>
      <c r="L18725"/>
    </row>
    <row r="18726" spans="2:12" x14ac:dyDescent="0.2">
      <c r="B18726"/>
      <c r="C18726"/>
      <c r="J18726"/>
      <c r="K18726"/>
      <c r="L18726"/>
    </row>
    <row r="18727" spans="2:12" x14ac:dyDescent="0.2">
      <c r="B18727"/>
      <c r="C18727"/>
      <c r="J18727"/>
      <c r="K18727"/>
      <c r="L18727"/>
    </row>
    <row r="18728" spans="2:12" x14ac:dyDescent="0.2">
      <c r="B18728"/>
      <c r="C18728"/>
      <c r="J18728"/>
      <c r="K18728"/>
      <c r="L18728"/>
    </row>
    <row r="18729" spans="2:12" x14ac:dyDescent="0.2">
      <c r="B18729"/>
      <c r="C18729"/>
      <c r="J18729"/>
      <c r="K18729"/>
      <c r="L18729"/>
    </row>
    <row r="18730" spans="2:12" x14ac:dyDescent="0.2">
      <c r="B18730"/>
      <c r="C18730"/>
      <c r="J18730"/>
      <c r="K18730"/>
      <c r="L18730"/>
    </row>
    <row r="18731" spans="2:12" x14ac:dyDescent="0.2">
      <c r="B18731"/>
      <c r="C18731"/>
      <c r="J18731"/>
      <c r="K18731"/>
      <c r="L18731"/>
    </row>
    <row r="18732" spans="2:12" x14ac:dyDescent="0.2">
      <c r="B18732"/>
      <c r="C18732"/>
      <c r="J18732"/>
      <c r="K18732"/>
      <c r="L18732"/>
    </row>
    <row r="18733" spans="2:12" x14ac:dyDescent="0.2">
      <c r="B18733"/>
      <c r="C18733"/>
      <c r="J18733"/>
      <c r="K18733"/>
      <c r="L18733"/>
    </row>
    <row r="18734" spans="2:12" x14ac:dyDescent="0.2">
      <c r="B18734"/>
      <c r="C18734"/>
      <c r="J18734"/>
      <c r="K18734"/>
      <c r="L18734"/>
    </row>
    <row r="18735" spans="2:12" x14ac:dyDescent="0.2">
      <c r="B18735"/>
      <c r="C18735"/>
      <c r="J18735"/>
      <c r="K18735"/>
      <c r="L18735"/>
    </row>
    <row r="18736" spans="2:12" x14ac:dyDescent="0.2">
      <c r="B18736"/>
      <c r="C18736"/>
      <c r="J18736"/>
      <c r="K18736"/>
      <c r="L18736"/>
    </row>
    <row r="18737" spans="2:12" x14ac:dyDescent="0.2">
      <c r="B18737"/>
      <c r="C18737"/>
      <c r="J18737"/>
      <c r="K18737"/>
      <c r="L18737"/>
    </row>
    <row r="18738" spans="2:12" x14ac:dyDescent="0.2">
      <c r="B18738"/>
      <c r="C18738"/>
      <c r="J18738"/>
      <c r="K18738"/>
      <c r="L18738"/>
    </row>
    <row r="18739" spans="2:12" x14ac:dyDescent="0.2">
      <c r="B18739"/>
      <c r="C18739"/>
      <c r="J18739"/>
      <c r="K18739"/>
      <c r="L18739"/>
    </row>
    <row r="18740" spans="2:12" x14ac:dyDescent="0.2">
      <c r="B18740"/>
      <c r="C18740"/>
      <c r="J18740"/>
      <c r="K18740"/>
      <c r="L18740"/>
    </row>
    <row r="18741" spans="2:12" x14ac:dyDescent="0.2">
      <c r="B18741"/>
      <c r="C18741"/>
      <c r="J18741"/>
      <c r="K18741"/>
      <c r="L18741"/>
    </row>
    <row r="18742" spans="2:12" x14ac:dyDescent="0.2">
      <c r="B18742"/>
      <c r="C18742"/>
      <c r="J18742"/>
      <c r="K18742"/>
      <c r="L18742"/>
    </row>
    <row r="18743" spans="2:12" x14ac:dyDescent="0.2">
      <c r="B18743"/>
      <c r="C18743"/>
      <c r="J18743"/>
      <c r="K18743"/>
      <c r="L18743"/>
    </row>
    <row r="18744" spans="2:12" x14ac:dyDescent="0.2">
      <c r="B18744"/>
      <c r="C18744"/>
      <c r="J18744"/>
      <c r="K18744"/>
      <c r="L18744"/>
    </row>
    <row r="18745" spans="2:12" x14ac:dyDescent="0.2">
      <c r="B18745"/>
      <c r="C18745"/>
      <c r="J18745"/>
      <c r="K18745"/>
      <c r="L18745"/>
    </row>
    <row r="18746" spans="2:12" x14ac:dyDescent="0.2">
      <c r="B18746"/>
      <c r="C18746"/>
      <c r="J18746"/>
      <c r="K18746"/>
      <c r="L18746"/>
    </row>
    <row r="18747" spans="2:12" x14ac:dyDescent="0.2">
      <c r="B18747"/>
      <c r="C18747"/>
      <c r="J18747"/>
      <c r="K18747"/>
      <c r="L18747"/>
    </row>
    <row r="18748" spans="2:12" x14ac:dyDescent="0.2">
      <c r="B18748"/>
      <c r="C18748"/>
      <c r="J18748"/>
      <c r="K18748"/>
      <c r="L18748"/>
    </row>
    <row r="18749" spans="2:12" x14ac:dyDescent="0.2">
      <c r="B18749"/>
      <c r="C18749"/>
      <c r="J18749"/>
      <c r="K18749"/>
      <c r="L18749"/>
    </row>
    <row r="18750" spans="2:12" x14ac:dyDescent="0.2">
      <c r="B18750"/>
      <c r="C18750"/>
      <c r="J18750"/>
      <c r="K18750"/>
      <c r="L18750"/>
    </row>
    <row r="18751" spans="2:12" x14ac:dyDescent="0.2">
      <c r="B18751"/>
      <c r="C18751"/>
      <c r="J18751"/>
      <c r="K18751"/>
      <c r="L18751"/>
    </row>
    <row r="18752" spans="2:12" x14ac:dyDescent="0.2">
      <c r="B18752"/>
      <c r="C18752"/>
      <c r="J18752"/>
      <c r="K18752"/>
      <c r="L18752"/>
    </row>
    <row r="18753" spans="2:12" x14ac:dyDescent="0.2">
      <c r="B18753"/>
      <c r="C18753"/>
      <c r="J18753"/>
      <c r="K18753"/>
      <c r="L18753"/>
    </row>
    <row r="18754" spans="2:12" x14ac:dyDescent="0.2">
      <c r="B18754"/>
      <c r="C18754"/>
      <c r="J18754"/>
      <c r="K18754"/>
      <c r="L18754"/>
    </row>
    <row r="18755" spans="2:12" x14ac:dyDescent="0.2">
      <c r="B18755"/>
      <c r="C18755"/>
      <c r="J18755"/>
      <c r="K18755"/>
      <c r="L18755"/>
    </row>
    <row r="18756" spans="2:12" x14ac:dyDescent="0.2">
      <c r="B18756"/>
      <c r="C18756"/>
      <c r="J18756"/>
      <c r="K18756"/>
      <c r="L18756"/>
    </row>
    <row r="18757" spans="2:12" x14ac:dyDescent="0.2">
      <c r="B18757"/>
      <c r="C18757"/>
      <c r="J18757"/>
      <c r="K18757"/>
      <c r="L18757"/>
    </row>
    <row r="18758" spans="2:12" x14ac:dyDescent="0.2">
      <c r="B18758"/>
      <c r="C18758"/>
      <c r="J18758"/>
      <c r="K18758"/>
      <c r="L18758"/>
    </row>
    <row r="18759" spans="2:12" x14ac:dyDescent="0.2">
      <c r="B18759"/>
      <c r="C18759"/>
      <c r="J18759"/>
      <c r="K18759"/>
      <c r="L18759"/>
    </row>
    <row r="18760" spans="2:12" x14ac:dyDescent="0.2">
      <c r="B18760"/>
      <c r="C18760"/>
      <c r="J18760"/>
      <c r="K18760"/>
      <c r="L18760"/>
    </row>
    <row r="18761" spans="2:12" x14ac:dyDescent="0.2">
      <c r="B18761"/>
      <c r="C18761"/>
      <c r="J18761"/>
      <c r="K18761"/>
      <c r="L18761"/>
    </row>
    <row r="18762" spans="2:12" x14ac:dyDescent="0.2">
      <c r="B18762"/>
      <c r="C18762"/>
      <c r="J18762"/>
      <c r="K18762"/>
      <c r="L18762"/>
    </row>
    <row r="18763" spans="2:12" x14ac:dyDescent="0.2">
      <c r="B18763"/>
      <c r="C18763"/>
      <c r="J18763"/>
      <c r="K18763"/>
      <c r="L18763"/>
    </row>
    <row r="18764" spans="2:12" x14ac:dyDescent="0.2">
      <c r="B18764"/>
      <c r="C18764"/>
      <c r="J18764"/>
      <c r="K18764"/>
      <c r="L18764"/>
    </row>
    <row r="18765" spans="2:12" x14ac:dyDescent="0.2">
      <c r="B18765"/>
      <c r="C18765"/>
      <c r="J18765"/>
      <c r="K18765"/>
      <c r="L18765"/>
    </row>
    <row r="18766" spans="2:12" x14ac:dyDescent="0.2">
      <c r="B18766"/>
      <c r="C18766"/>
      <c r="J18766"/>
      <c r="K18766"/>
      <c r="L18766"/>
    </row>
    <row r="18767" spans="2:12" x14ac:dyDescent="0.2">
      <c r="B18767"/>
      <c r="C18767"/>
      <c r="J18767"/>
      <c r="K18767"/>
      <c r="L18767"/>
    </row>
    <row r="18768" spans="2:12" x14ac:dyDescent="0.2">
      <c r="B18768"/>
      <c r="C18768"/>
      <c r="J18768"/>
      <c r="K18768"/>
      <c r="L18768"/>
    </row>
    <row r="18769" spans="2:12" x14ac:dyDescent="0.2">
      <c r="B18769"/>
      <c r="C18769"/>
      <c r="J18769"/>
      <c r="K18769"/>
      <c r="L18769"/>
    </row>
    <row r="18770" spans="2:12" x14ac:dyDescent="0.2">
      <c r="B18770"/>
      <c r="C18770"/>
      <c r="J18770"/>
      <c r="K18770"/>
      <c r="L18770"/>
    </row>
    <row r="18771" spans="2:12" x14ac:dyDescent="0.2">
      <c r="B18771"/>
      <c r="C18771"/>
      <c r="J18771"/>
      <c r="K18771"/>
      <c r="L18771"/>
    </row>
    <row r="18772" spans="2:12" x14ac:dyDescent="0.2">
      <c r="B18772"/>
      <c r="C18772"/>
      <c r="J18772"/>
      <c r="K18772"/>
      <c r="L18772"/>
    </row>
    <row r="18773" spans="2:12" x14ac:dyDescent="0.2">
      <c r="B18773"/>
      <c r="C18773"/>
      <c r="J18773"/>
      <c r="K18773"/>
      <c r="L18773"/>
    </row>
    <row r="18774" spans="2:12" x14ac:dyDescent="0.2">
      <c r="B18774"/>
      <c r="C18774"/>
      <c r="J18774"/>
      <c r="K18774"/>
      <c r="L18774"/>
    </row>
    <row r="18775" spans="2:12" x14ac:dyDescent="0.2">
      <c r="B18775"/>
      <c r="C18775"/>
      <c r="J18775"/>
      <c r="K18775"/>
      <c r="L18775"/>
    </row>
    <row r="18776" spans="2:12" x14ac:dyDescent="0.2">
      <c r="B18776"/>
      <c r="C18776"/>
      <c r="J18776"/>
      <c r="K18776"/>
      <c r="L18776"/>
    </row>
    <row r="18777" spans="2:12" x14ac:dyDescent="0.2">
      <c r="B18777"/>
      <c r="C18777"/>
      <c r="J18777"/>
      <c r="K18777"/>
      <c r="L18777"/>
    </row>
    <row r="18778" spans="2:12" x14ac:dyDescent="0.2">
      <c r="B18778"/>
      <c r="C18778"/>
      <c r="J18778"/>
      <c r="K18778"/>
      <c r="L18778"/>
    </row>
    <row r="18779" spans="2:12" x14ac:dyDescent="0.2">
      <c r="B18779"/>
      <c r="C18779"/>
      <c r="J18779"/>
      <c r="K18779"/>
      <c r="L18779"/>
    </row>
    <row r="18780" spans="2:12" x14ac:dyDescent="0.2">
      <c r="B18780"/>
      <c r="C18780"/>
      <c r="J18780"/>
      <c r="K18780"/>
      <c r="L18780"/>
    </row>
    <row r="18781" spans="2:12" x14ac:dyDescent="0.2">
      <c r="B18781"/>
      <c r="C18781"/>
      <c r="J18781"/>
      <c r="K18781"/>
      <c r="L18781"/>
    </row>
    <row r="18782" spans="2:12" x14ac:dyDescent="0.2">
      <c r="B18782"/>
      <c r="C18782"/>
      <c r="J18782"/>
      <c r="K18782"/>
      <c r="L18782"/>
    </row>
    <row r="18783" spans="2:12" x14ac:dyDescent="0.2">
      <c r="B18783"/>
      <c r="C18783"/>
      <c r="J18783"/>
      <c r="K18783"/>
      <c r="L18783"/>
    </row>
    <row r="18784" spans="2:12" x14ac:dyDescent="0.2">
      <c r="B18784"/>
      <c r="C18784"/>
      <c r="J18784"/>
      <c r="K18784"/>
      <c r="L18784"/>
    </row>
    <row r="18785" spans="2:12" x14ac:dyDescent="0.2">
      <c r="B18785"/>
      <c r="C18785"/>
      <c r="J18785"/>
      <c r="K18785"/>
      <c r="L18785"/>
    </row>
    <row r="18786" spans="2:12" x14ac:dyDescent="0.2">
      <c r="B18786"/>
      <c r="C18786"/>
      <c r="J18786"/>
      <c r="K18786"/>
      <c r="L18786"/>
    </row>
    <row r="18787" spans="2:12" x14ac:dyDescent="0.2">
      <c r="B18787"/>
      <c r="C18787"/>
      <c r="J18787"/>
      <c r="K18787"/>
      <c r="L18787"/>
    </row>
    <row r="18788" spans="2:12" x14ac:dyDescent="0.2">
      <c r="B18788"/>
      <c r="C18788"/>
      <c r="J18788"/>
      <c r="K18788"/>
      <c r="L18788"/>
    </row>
    <row r="18789" spans="2:12" x14ac:dyDescent="0.2">
      <c r="B18789"/>
      <c r="C18789"/>
      <c r="J18789"/>
      <c r="K18789"/>
      <c r="L18789"/>
    </row>
    <row r="18790" spans="2:12" x14ac:dyDescent="0.2">
      <c r="B18790"/>
      <c r="C18790"/>
      <c r="J18790"/>
      <c r="K18790"/>
      <c r="L18790"/>
    </row>
    <row r="18791" spans="2:12" x14ac:dyDescent="0.2">
      <c r="B18791"/>
      <c r="C18791"/>
      <c r="J18791"/>
      <c r="K18791"/>
      <c r="L18791"/>
    </row>
    <row r="18792" spans="2:12" x14ac:dyDescent="0.2">
      <c r="B18792"/>
      <c r="C18792"/>
      <c r="J18792"/>
      <c r="K18792"/>
      <c r="L18792"/>
    </row>
    <row r="18793" spans="2:12" x14ac:dyDescent="0.2">
      <c r="B18793"/>
      <c r="C18793"/>
      <c r="J18793"/>
      <c r="K18793"/>
      <c r="L18793"/>
    </row>
    <row r="18794" spans="2:12" x14ac:dyDescent="0.2">
      <c r="B18794"/>
      <c r="C18794"/>
      <c r="J18794"/>
      <c r="K18794"/>
      <c r="L18794"/>
    </row>
    <row r="18795" spans="2:12" x14ac:dyDescent="0.2">
      <c r="B18795"/>
      <c r="C18795"/>
      <c r="J18795"/>
      <c r="K18795"/>
      <c r="L18795"/>
    </row>
    <row r="18796" spans="2:12" x14ac:dyDescent="0.2">
      <c r="B18796"/>
      <c r="C18796"/>
      <c r="J18796"/>
      <c r="K18796"/>
      <c r="L18796"/>
    </row>
    <row r="18797" spans="2:12" x14ac:dyDescent="0.2">
      <c r="B18797"/>
      <c r="C18797"/>
      <c r="J18797"/>
      <c r="K18797"/>
      <c r="L18797"/>
    </row>
    <row r="18798" spans="2:12" x14ac:dyDescent="0.2">
      <c r="B18798"/>
      <c r="C18798"/>
      <c r="J18798"/>
      <c r="K18798"/>
      <c r="L18798"/>
    </row>
    <row r="18799" spans="2:12" x14ac:dyDescent="0.2">
      <c r="B18799"/>
      <c r="C18799"/>
      <c r="J18799"/>
      <c r="K18799"/>
      <c r="L18799"/>
    </row>
    <row r="18800" spans="2:12" x14ac:dyDescent="0.2">
      <c r="B18800"/>
      <c r="C18800"/>
      <c r="J18800"/>
      <c r="K18800"/>
      <c r="L18800"/>
    </row>
    <row r="18801" spans="2:12" x14ac:dyDescent="0.2">
      <c r="B18801"/>
      <c r="C18801"/>
      <c r="J18801"/>
      <c r="K18801"/>
      <c r="L18801"/>
    </row>
    <row r="18802" spans="2:12" x14ac:dyDescent="0.2">
      <c r="B18802"/>
      <c r="C18802"/>
      <c r="J18802"/>
      <c r="K18802"/>
      <c r="L18802"/>
    </row>
    <row r="18803" spans="2:12" x14ac:dyDescent="0.2">
      <c r="B18803"/>
      <c r="C18803"/>
      <c r="J18803"/>
      <c r="K18803"/>
      <c r="L18803"/>
    </row>
    <row r="18804" spans="2:12" x14ac:dyDescent="0.2">
      <c r="B18804"/>
      <c r="C18804"/>
      <c r="J18804"/>
      <c r="K18804"/>
      <c r="L18804"/>
    </row>
    <row r="18805" spans="2:12" x14ac:dyDescent="0.2">
      <c r="B18805"/>
      <c r="C18805"/>
      <c r="J18805"/>
      <c r="K18805"/>
      <c r="L18805"/>
    </row>
    <row r="18806" spans="2:12" x14ac:dyDescent="0.2">
      <c r="B18806"/>
      <c r="C18806"/>
      <c r="J18806"/>
      <c r="K18806"/>
      <c r="L18806"/>
    </row>
    <row r="18807" spans="2:12" x14ac:dyDescent="0.2">
      <c r="B18807"/>
      <c r="C18807"/>
      <c r="J18807"/>
      <c r="K18807"/>
      <c r="L18807"/>
    </row>
    <row r="18808" spans="2:12" x14ac:dyDescent="0.2">
      <c r="B18808"/>
      <c r="C18808"/>
      <c r="J18808"/>
      <c r="K18808"/>
      <c r="L18808"/>
    </row>
    <row r="18809" spans="2:12" x14ac:dyDescent="0.2">
      <c r="B18809"/>
      <c r="C18809"/>
      <c r="J18809"/>
      <c r="K18809"/>
      <c r="L18809"/>
    </row>
    <row r="18810" spans="2:12" x14ac:dyDescent="0.2">
      <c r="B18810"/>
      <c r="C18810"/>
      <c r="J18810"/>
      <c r="K18810"/>
      <c r="L18810"/>
    </row>
    <row r="18811" spans="2:12" x14ac:dyDescent="0.2">
      <c r="B18811"/>
      <c r="C18811"/>
      <c r="J18811"/>
      <c r="K18811"/>
      <c r="L18811"/>
    </row>
    <row r="18812" spans="2:12" x14ac:dyDescent="0.2">
      <c r="B18812"/>
      <c r="C18812"/>
      <c r="J18812"/>
      <c r="K18812"/>
      <c r="L18812"/>
    </row>
    <row r="18813" spans="2:12" x14ac:dyDescent="0.2">
      <c r="B18813"/>
      <c r="C18813"/>
      <c r="J18813"/>
      <c r="K18813"/>
      <c r="L18813"/>
    </row>
    <row r="18814" spans="2:12" x14ac:dyDescent="0.2">
      <c r="B18814"/>
      <c r="C18814"/>
      <c r="J18814"/>
      <c r="K18814"/>
      <c r="L18814"/>
    </row>
    <row r="18815" spans="2:12" x14ac:dyDescent="0.2">
      <c r="B18815"/>
      <c r="C18815"/>
      <c r="J18815"/>
      <c r="K18815"/>
      <c r="L18815"/>
    </row>
    <row r="18816" spans="2:12" x14ac:dyDescent="0.2">
      <c r="B18816"/>
      <c r="C18816"/>
      <c r="J18816"/>
      <c r="K18816"/>
      <c r="L18816"/>
    </row>
    <row r="18817" spans="2:12" x14ac:dyDescent="0.2">
      <c r="B18817"/>
      <c r="C18817"/>
      <c r="J18817"/>
      <c r="K18817"/>
      <c r="L18817"/>
    </row>
    <row r="18818" spans="2:12" x14ac:dyDescent="0.2">
      <c r="B18818"/>
      <c r="C18818"/>
      <c r="J18818"/>
      <c r="K18818"/>
      <c r="L18818"/>
    </row>
    <row r="18819" spans="2:12" x14ac:dyDescent="0.2">
      <c r="B18819"/>
      <c r="C18819"/>
      <c r="J18819"/>
      <c r="K18819"/>
      <c r="L18819"/>
    </row>
    <row r="18820" spans="2:12" x14ac:dyDescent="0.2">
      <c r="B18820"/>
      <c r="C18820"/>
      <c r="J18820"/>
      <c r="K18820"/>
      <c r="L18820"/>
    </row>
    <row r="18821" spans="2:12" x14ac:dyDescent="0.2">
      <c r="B18821"/>
      <c r="C18821"/>
      <c r="J18821"/>
      <c r="K18821"/>
      <c r="L18821"/>
    </row>
    <row r="18822" spans="2:12" x14ac:dyDescent="0.2">
      <c r="B18822"/>
      <c r="C18822"/>
      <c r="J18822"/>
      <c r="K18822"/>
      <c r="L18822"/>
    </row>
    <row r="18823" spans="2:12" x14ac:dyDescent="0.2">
      <c r="B18823"/>
      <c r="C18823"/>
      <c r="J18823"/>
      <c r="K18823"/>
      <c r="L18823"/>
    </row>
    <row r="18824" spans="2:12" x14ac:dyDescent="0.2">
      <c r="B18824"/>
      <c r="C18824"/>
      <c r="J18824"/>
      <c r="K18824"/>
      <c r="L18824"/>
    </row>
    <row r="18825" spans="2:12" x14ac:dyDescent="0.2">
      <c r="B18825"/>
      <c r="C18825"/>
      <c r="J18825"/>
      <c r="K18825"/>
      <c r="L18825"/>
    </row>
    <row r="18826" spans="2:12" x14ac:dyDescent="0.2">
      <c r="B18826"/>
      <c r="C18826"/>
      <c r="J18826"/>
      <c r="K18826"/>
      <c r="L18826"/>
    </row>
    <row r="18827" spans="2:12" x14ac:dyDescent="0.2">
      <c r="B18827"/>
      <c r="C18827"/>
      <c r="J18827"/>
      <c r="K18827"/>
      <c r="L18827"/>
    </row>
    <row r="18828" spans="2:12" x14ac:dyDescent="0.2">
      <c r="B18828"/>
      <c r="C18828"/>
      <c r="J18828"/>
      <c r="K18828"/>
      <c r="L18828"/>
    </row>
    <row r="18829" spans="2:12" x14ac:dyDescent="0.2">
      <c r="B18829"/>
      <c r="C18829"/>
      <c r="J18829"/>
      <c r="K18829"/>
      <c r="L18829"/>
    </row>
    <row r="18830" spans="2:12" x14ac:dyDescent="0.2">
      <c r="B18830"/>
      <c r="C18830"/>
      <c r="J18830"/>
      <c r="K18830"/>
      <c r="L18830"/>
    </row>
    <row r="18831" spans="2:12" x14ac:dyDescent="0.2">
      <c r="B18831"/>
      <c r="C18831"/>
      <c r="J18831"/>
      <c r="K18831"/>
      <c r="L18831"/>
    </row>
    <row r="18832" spans="2:12" x14ac:dyDescent="0.2">
      <c r="B18832"/>
      <c r="C18832"/>
      <c r="J18832"/>
      <c r="K18832"/>
      <c r="L18832"/>
    </row>
    <row r="18833" spans="2:12" x14ac:dyDescent="0.2">
      <c r="B18833"/>
      <c r="C18833"/>
      <c r="J18833"/>
      <c r="K18833"/>
      <c r="L18833"/>
    </row>
    <row r="18834" spans="2:12" x14ac:dyDescent="0.2">
      <c r="B18834"/>
      <c r="C18834"/>
      <c r="J18834"/>
      <c r="K18834"/>
      <c r="L18834"/>
    </row>
    <row r="18835" spans="2:12" x14ac:dyDescent="0.2">
      <c r="B18835"/>
      <c r="C18835"/>
      <c r="J18835"/>
      <c r="K18835"/>
      <c r="L18835"/>
    </row>
    <row r="18836" spans="2:12" x14ac:dyDescent="0.2">
      <c r="B18836"/>
      <c r="C18836"/>
      <c r="J18836"/>
      <c r="K18836"/>
      <c r="L18836"/>
    </row>
    <row r="18837" spans="2:12" x14ac:dyDescent="0.2">
      <c r="B18837"/>
      <c r="C18837"/>
      <c r="J18837"/>
      <c r="K18837"/>
      <c r="L18837"/>
    </row>
    <row r="18838" spans="2:12" x14ac:dyDescent="0.2">
      <c r="B18838"/>
      <c r="C18838"/>
      <c r="J18838"/>
      <c r="K18838"/>
      <c r="L18838"/>
    </row>
    <row r="18839" spans="2:12" x14ac:dyDescent="0.2">
      <c r="B18839"/>
      <c r="C18839"/>
      <c r="J18839"/>
      <c r="K18839"/>
      <c r="L18839"/>
    </row>
    <row r="18840" spans="2:12" x14ac:dyDescent="0.2">
      <c r="B18840"/>
      <c r="C18840"/>
      <c r="J18840"/>
      <c r="K18840"/>
      <c r="L18840"/>
    </row>
    <row r="18841" spans="2:12" x14ac:dyDescent="0.2">
      <c r="B18841"/>
      <c r="C18841"/>
      <c r="J18841"/>
      <c r="K18841"/>
      <c r="L18841"/>
    </row>
    <row r="18842" spans="2:12" x14ac:dyDescent="0.2">
      <c r="B18842"/>
      <c r="C18842"/>
      <c r="J18842"/>
      <c r="K18842"/>
      <c r="L18842"/>
    </row>
    <row r="18843" spans="2:12" x14ac:dyDescent="0.2">
      <c r="B18843"/>
      <c r="C18843"/>
      <c r="J18843"/>
      <c r="K18843"/>
      <c r="L18843"/>
    </row>
    <row r="18844" spans="2:12" x14ac:dyDescent="0.2">
      <c r="B18844"/>
      <c r="C18844"/>
      <c r="J18844"/>
      <c r="K18844"/>
      <c r="L18844"/>
    </row>
    <row r="18845" spans="2:12" x14ac:dyDescent="0.2">
      <c r="B18845"/>
      <c r="C18845"/>
      <c r="J18845"/>
      <c r="K18845"/>
      <c r="L18845"/>
    </row>
    <row r="18846" spans="2:12" x14ac:dyDescent="0.2">
      <c r="B18846"/>
      <c r="C18846"/>
      <c r="J18846"/>
      <c r="K18846"/>
      <c r="L18846"/>
    </row>
    <row r="18847" spans="2:12" x14ac:dyDescent="0.2">
      <c r="B18847"/>
      <c r="C18847"/>
      <c r="J18847"/>
      <c r="K18847"/>
      <c r="L18847"/>
    </row>
    <row r="18848" spans="2:12" x14ac:dyDescent="0.2">
      <c r="B18848"/>
      <c r="C18848"/>
      <c r="J18848"/>
      <c r="K18848"/>
      <c r="L18848"/>
    </row>
    <row r="18849" spans="2:12" x14ac:dyDescent="0.2">
      <c r="B18849"/>
      <c r="C18849"/>
      <c r="J18849"/>
      <c r="K18849"/>
      <c r="L18849"/>
    </row>
    <row r="18850" spans="2:12" x14ac:dyDescent="0.2">
      <c r="B18850"/>
      <c r="C18850"/>
      <c r="J18850"/>
      <c r="K18850"/>
      <c r="L18850"/>
    </row>
    <row r="18851" spans="2:12" x14ac:dyDescent="0.2">
      <c r="B18851"/>
      <c r="C18851"/>
      <c r="J18851"/>
      <c r="K18851"/>
      <c r="L18851"/>
    </row>
    <row r="18852" spans="2:12" x14ac:dyDescent="0.2">
      <c r="B18852"/>
      <c r="C18852"/>
      <c r="J18852"/>
      <c r="K18852"/>
      <c r="L18852"/>
    </row>
    <row r="18853" spans="2:12" x14ac:dyDescent="0.2">
      <c r="B18853"/>
      <c r="C18853"/>
      <c r="J18853"/>
      <c r="K18853"/>
      <c r="L18853"/>
    </row>
    <row r="18854" spans="2:12" x14ac:dyDescent="0.2">
      <c r="B18854"/>
      <c r="C18854"/>
      <c r="J18854"/>
      <c r="K18854"/>
      <c r="L18854"/>
    </row>
    <row r="18855" spans="2:12" x14ac:dyDescent="0.2">
      <c r="B18855"/>
      <c r="C18855"/>
      <c r="J18855"/>
      <c r="K18855"/>
      <c r="L18855"/>
    </row>
    <row r="18856" spans="2:12" x14ac:dyDescent="0.2">
      <c r="B18856"/>
      <c r="C18856"/>
      <c r="J18856"/>
      <c r="K18856"/>
      <c r="L18856"/>
    </row>
    <row r="18857" spans="2:12" x14ac:dyDescent="0.2">
      <c r="B18857"/>
      <c r="C18857"/>
      <c r="J18857"/>
      <c r="K18857"/>
      <c r="L18857"/>
    </row>
    <row r="18858" spans="2:12" x14ac:dyDescent="0.2">
      <c r="B18858"/>
      <c r="C18858"/>
      <c r="J18858"/>
      <c r="K18858"/>
      <c r="L18858"/>
    </row>
    <row r="18859" spans="2:12" x14ac:dyDescent="0.2">
      <c r="B18859"/>
      <c r="C18859"/>
      <c r="J18859"/>
      <c r="K18859"/>
      <c r="L18859"/>
    </row>
    <row r="18860" spans="2:12" x14ac:dyDescent="0.2">
      <c r="B18860"/>
      <c r="C18860"/>
      <c r="J18860"/>
      <c r="K18860"/>
      <c r="L18860"/>
    </row>
    <row r="18861" spans="2:12" x14ac:dyDescent="0.2">
      <c r="B18861"/>
      <c r="C18861"/>
      <c r="J18861"/>
      <c r="K18861"/>
      <c r="L18861"/>
    </row>
    <row r="18862" spans="2:12" x14ac:dyDescent="0.2">
      <c r="B18862"/>
      <c r="C18862"/>
      <c r="J18862"/>
      <c r="K18862"/>
      <c r="L18862"/>
    </row>
    <row r="18863" spans="2:12" x14ac:dyDescent="0.2">
      <c r="B18863"/>
      <c r="C18863"/>
      <c r="J18863"/>
      <c r="K18863"/>
      <c r="L18863"/>
    </row>
    <row r="18864" spans="2:12" x14ac:dyDescent="0.2">
      <c r="B18864"/>
      <c r="C18864"/>
      <c r="J18864"/>
      <c r="K18864"/>
      <c r="L18864"/>
    </row>
    <row r="18865" spans="2:12" x14ac:dyDescent="0.2">
      <c r="B18865"/>
      <c r="C18865"/>
      <c r="J18865"/>
      <c r="K18865"/>
      <c r="L18865"/>
    </row>
    <row r="18866" spans="2:12" x14ac:dyDescent="0.2">
      <c r="B18866"/>
      <c r="C18866"/>
      <c r="J18866"/>
      <c r="K18866"/>
      <c r="L18866"/>
    </row>
    <row r="18867" spans="2:12" x14ac:dyDescent="0.2">
      <c r="B18867"/>
      <c r="C18867"/>
      <c r="J18867"/>
      <c r="K18867"/>
      <c r="L18867"/>
    </row>
    <row r="18868" spans="2:12" x14ac:dyDescent="0.2">
      <c r="B18868"/>
      <c r="C18868"/>
      <c r="J18868"/>
      <c r="K18868"/>
      <c r="L18868"/>
    </row>
    <row r="18869" spans="2:12" x14ac:dyDescent="0.2">
      <c r="B18869"/>
      <c r="C18869"/>
      <c r="J18869"/>
      <c r="K18869"/>
      <c r="L18869"/>
    </row>
    <row r="18870" spans="2:12" x14ac:dyDescent="0.2">
      <c r="B18870"/>
      <c r="C18870"/>
      <c r="J18870"/>
      <c r="K18870"/>
      <c r="L18870"/>
    </row>
    <row r="18871" spans="2:12" x14ac:dyDescent="0.2">
      <c r="B18871"/>
      <c r="C18871"/>
      <c r="J18871"/>
      <c r="K18871"/>
      <c r="L18871"/>
    </row>
    <row r="18872" spans="2:12" x14ac:dyDescent="0.2">
      <c r="B18872"/>
      <c r="C18872"/>
      <c r="J18872"/>
      <c r="K18872"/>
      <c r="L18872"/>
    </row>
    <row r="18873" spans="2:12" x14ac:dyDescent="0.2">
      <c r="B18873"/>
      <c r="C18873"/>
      <c r="J18873"/>
      <c r="K18873"/>
      <c r="L18873"/>
    </row>
    <row r="18874" spans="2:12" x14ac:dyDescent="0.2">
      <c r="B18874"/>
      <c r="C18874"/>
      <c r="J18874"/>
      <c r="K18874"/>
      <c r="L18874"/>
    </row>
    <row r="18875" spans="2:12" x14ac:dyDescent="0.2">
      <c r="B18875"/>
      <c r="C18875"/>
      <c r="J18875"/>
      <c r="K18875"/>
      <c r="L18875"/>
    </row>
    <row r="18876" spans="2:12" x14ac:dyDescent="0.2">
      <c r="B18876"/>
      <c r="C18876"/>
      <c r="J18876"/>
      <c r="K18876"/>
      <c r="L18876"/>
    </row>
    <row r="18877" spans="2:12" x14ac:dyDescent="0.2">
      <c r="B18877"/>
      <c r="C18877"/>
      <c r="J18877"/>
      <c r="K18877"/>
      <c r="L18877"/>
    </row>
    <row r="18878" spans="2:12" x14ac:dyDescent="0.2">
      <c r="B18878"/>
      <c r="C18878"/>
      <c r="J18878"/>
      <c r="K18878"/>
      <c r="L18878"/>
    </row>
    <row r="18879" spans="2:12" x14ac:dyDescent="0.2">
      <c r="B18879"/>
      <c r="C18879"/>
      <c r="J18879"/>
      <c r="K18879"/>
      <c r="L18879"/>
    </row>
    <row r="18880" spans="2:12" x14ac:dyDescent="0.2">
      <c r="B18880"/>
      <c r="C18880"/>
      <c r="J18880"/>
      <c r="K18880"/>
      <c r="L18880"/>
    </row>
    <row r="18881" spans="2:12" x14ac:dyDescent="0.2">
      <c r="B18881"/>
      <c r="C18881"/>
      <c r="J18881"/>
      <c r="K18881"/>
      <c r="L18881"/>
    </row>
    <row r="18882" spans="2:12" x14ac:dyDescent="0.2">
      <c r="B18882"/>
      <c r="C18882"/>
      <c r="J18882"/>
      <c r="K18882"/>
      <c r="L18882"/>
    </row>
    <row r="18883" spans="2:12" x14ac:dyDescent="0.2">
      <c r="B18883"/>
      <c r="C18883"/>
      <c r="J18883"/>
      <c r="K18883"/>
      <c r="L18883"/>
    </row>
    <row r="18884" spans="2:12" x14ac:dyDescent="0.2">
      <c r="B18884"/>
      <c r="C18884"/>
      <c r="J18884"/>
      <c r="K18884"/>
      <c r="L18884"/>
    </row>
    <row r="18885" spans="2:12" x14ac:dyDescent="0.2">
      <c r="B18885"/>
      <c r="C18885"/>
      <c r="J18885"/>
      <c r="K18885"/>
      <c r="L18885"/>
    </row>
    <row r="18886" spans="2:12" x14ac:dyDescent="0.2">
      <c r="B18886"/>
      <c r="C18886"/>
      <c r="J18886"/>
      <c r="K18886"/>
      <c r="L18886"/>
    </row>
    <row r="18887" spans="2:12" x14ac:dyDescent="0.2">
      <c r="B18887"/>
      <c r="C18887"/>
      <c r="J18887"/>
      <c r="K18887"/>
      <c r="L18887"/>
    </row>
    <row r="18888" spans="2:12" x14ac:dyDescent="0.2">
      <c r="B18888"/>
      <c r="C18888"/>
      <c r="J18888"/>
      <c r="K18888"/>
      <c r="L18888"/>
    </row>
    <row r="18889" spans="2:12" x14ac:dyDescent="0.2">
      <c r="B18889"/>
      <c r="C18889"/>
      <c r="J18889"/>
      <c r="K18889"/>
      <c r="L18889"/>
    </row>
    <row r="18890" spans="2:12" x14ac:dyDescent="0.2">
      <c r="B18890"/>
      <c r="C18890"/>
      <c r="J18890"/>
      <c r="K18890"/>
      <c r="L18890"/>
    </row>
    <row r="18891" spans="2:12" x14ac:dyDescent="0.2">
      <c r="B18891"/>
      <c r="C18891"/>
      <c r="J18891"/>
      <c r="K18891"/>
      <c r="L18891"/>
    </row>
    <row r="18892" spans="2:12" x14ac:dyDescent="0.2">
      <c r="B18892"/>
      <c r="C18892"/>
      <c r="J18892"/>
      <c r="K18892"/>
      <c r="L18892"/>
    </row>
    <row r="18893" spans="2:12" x14ac:dyDescent="0.2">
      <c r="B18893"/>
      <c r="C18893"/>
      <c r="J18893"/>
      <c r="K18893"/>
      <c r="L18893"/>
    </row>
    <row r="18894" spans="2:12" x14ac:dyDescent="0.2">
      <c r="B18894"/>
      <c r="C18894"/>
      <c r="J18894"/>
      <c r="K18894"/>
      <c r="L18894"/>
    </row>
    <row r="18895" spans="2:12" x14ac:dyDescent="0.2">
      <c r="B18895"/>
      <c r="C18895"/>
      <c r="J18895"/>
      <c r="K18895"/>
      <c r="L18895"/>
    </row>
    <row r="18896" spans="2:12" x14ac:dyDescent="0.2">
      <c r="B18896"/>
      <c r="C18896"/>
      <c r="J18896"/>
      <c r="K18896"/>
      <c r="L18896"/>
    </row>
    <row r="18897" spans="2:12" x14ac:dyDescent="0.2">
      <c r="B18897"/>
      <c r="C18897"/>
      <c r="J18897"/>
      <c r="K18897"/>
      <c r="L18897"/>
    </row>
    <row r="18898" spans="2:12" x14ac:dyDescent="0.2">
      <c r="B18898"/>
      <c r="C18898"/>
      <c r="J18898"/>
      <c r="K18898"/>
      <c r="L18898"/>
    </row>
    <row r="18899" spans="2:12" x14ac:dyDescent="0.2">
      <c r="B18899"/>
      <c r="C18899"/>
      <c r="J18899"/>
      <c r="K18899"/>
      <c r="L18899"/>
    </row>
    <row r="18900" spans="2:12" x14ac:dyDescent="0.2">
      <c r="B18900"/>
      <c r="C18900"/>
      <c r="J18900"/>
      <c r="K18900"/>
      <c r="L18900"/>
    </row>
    <row r="18901" spans="2:12" x14ac:dyDescent="0.2">
      <c r="B18901"/>
      <c r="C18901"/>
      <c r="J18901"/>
      <c r="K18901"/>
      <c r="L18901"/>
    </row>
    <row r="18902" spans="2:12" x14ac:dyDescent="0.2">
      <c r="B18902"/>
      <c r="C18902"/>
      <c r="J18902"/>
      <c r="K18902"/>
      <c r="L18902"/>
    </row>
    <row r="18903" spans="2:12" x14ac:dyDescent="0.2">
      <c r="B18903"/>
      <c r="C18903"/>
      <c r="J18903"/>
      <c r="K18903"/>
      <c r="L18903"/>
    </row>
    <row r="18904" spans="2:12" x14ac:dyDescent="0.2">
      <c r="B18904"/>
      <c r="C18904"/>
      <c r="J18904"/>
      <c r="K18904"/>
      <c r="L18904"/>
    </row>
    <row r="18905" spans="2:12" x14ac:dyDescent="0.2">
      <c r="B18905"/>
      <c r="C18905"/>
      <c r="J18905"/>
      <c r="K18905"/>
      <c r="L18905"/>
    </row>
    <row r="18906" spans="2:12" x14ac:dyDescent="0.2">
      <c r="B18906"/>
      <c r="C18906"/>
      <c r="J18906"/>
      <c r="K18906"/>
      <c r="L18906"/>
    </row>
    <row r="18907" spans="2:12" x14ac:dyDescent="0.2">
      <c r="B18907"/>
      <c r="C18907"/>
      <c r="J18907"/>
      <c r="K18907"/>
      <c r="L18907"/>
    </row>
    <row r="18908" spans="2:12" x14ac:dyDescent="0.2">
      <c r="B18908"/>
      <c r="C18908"/>
      <c r="J18908"/>
      <c r="K18908"/>
      <c r="L18908"/>
    </row>
    <row r="18909" spans="2:12" x14ac:dyDescent="0.2">
      <c r="B18909"/>
      <c r="C18909"/>
      <c r="J18909"/>
      <c r="K18909"/>
      <c r="L18909"/>
    </row>
    <row r="18910" spans="2:12" x14ac:dyDescent="0.2">
      <c r="B18910"/>
      <c r="C18910"/>
      <c r="J18910"/>
      <c r="K18910"/>
      <c r="L18910"/>
    </row>
    <row r="18911" spans="2:12" x14ac:dyDescent="0.2">
      <c r="B18911"/>
      <c r="C18911"/>
      <c r="J18911"/>
      <c r="K18911"/>
      <c r="L18911"/>
    </row>
    <row r="18912" spans="2:12" x14ac:dyDescent="0.2">
      <c r="B18912"/>
      <c r="C18912"/>
      <c r="J18912"/>
      <c r="K18912"/>
      <c r="L18912"/>
    </row>
    <row r="18913" spans="2:12" x14ac:dyDescent="0.2">
      <c r="B18913"/>
      <c r="C18913"/>
      <c r="J18913"/>
      <c r="K18913"/>
      <c r="L18913"/>
    </row>
    <row r="18914" spans="2:12" x14ac:dyDescent="0.2">
      <c r="B18914"/>
      <c r="C18914"/>
      <c r="J18914"/>
      <c r="K18914"/>
      <c r="L18914"/>
    </row>
    <row r="18915" spans="2:12" x14ac:dyDescent="0.2">
      <c r="B18915"/>
      <c r="C18915"/>
      <c r="J18915"/>
      <c r="K18915"/>
      <c r="L18915"/>
    </row>
    <row r="18916" spans="2:12" x14ac:dyDescent="0.2">
      <c r="B18916"/>
      <c r="C18916"/>
      <c r="J18916"/>
      <c r="K18916"/>
      <c r="L18916"/>
    </row>
    <row r="18917" spans="2:12" x14ac:dyDescent="0.2">
      <c r="B18917"/>
      <c r="C18917"/>
      <c r="J18917"/>
      <c r="K18917"/>
      <c r="L18917"/>
    </row>
    <row r="18918" spans="2:12" x14ac:dyDescent="0.2">
      <c r="B18918"/>
      <c r="C18918"/>
      <c r="J18918"/>
      <c r="K18918"/>
      <c r="L18918"/>
    </row>
    <row r="18919" spans="2:12" x14ac:dyDescent="0.2">
      <c r="B18919"/>
      <c r="C18919"/>
      <c r="J18919"/>
      <c r="K18919"/>
      <c r="L18919"/>
    </row>
    <row r="18920" spans="2:12" x14ac:dyDescent="0.2">
      <c r="B18920"/>
      <c r="C18920"/>
      <c r="J18920"/>
      <c r="K18920"/>
      <c r="L18920"/>
    </row>
    <row r="18921" spans="2:12" x14ac:dyDescent="0.2">
      <c r="B18921"/>
      <c r="C18921"/>
      <c r="J18921"/>
      <c r="K18921"/>
      <c r="L18921"/>
    </row>
    <row r="18922" spans="2:12" x14ac:dyDescent="0.2">
      <c r="B18922"/>
      <c r="C18922"/>
      <c r="J18922"/>
      <c r="K18922"/>
      <c r="L18922"/>
    </row>
    <row r="18923" spans="2:12" x14ac:dyDescent="0.2">
      <c r="B18923"/>
      <c r="C18923"/>
      <c r="J18923"/>
      <c r="K18923"/>
      <c r="L18923"/>
    </row>
    <row r="18924" spans="2:12" x14ac:dyDescent="0.2">
      <c r="B18924"/>
      <c r="C18924"/>
      <c r="J18924"/>
      <c r="K18924"/>
      <c r="L18924"/>
    </row>
    <row r="18925" spans="2:12" x14ac:dyDescent="0.2">
      <c r="B18925"/>
      <c r="C18925"/>
      <c r="J18925"/>
      <c r="K18925"/>
      <c r="L18925"/>
    </row>
    <row r="18926" spans="2:12" x14ac:dyDescent="0.2">
      <c r="B18926"/>
      <c r="C18926"/>
      <c r="J18926"/>
      <c r="K18926"/>
      <c r="L18926"/>
    </row>
    <row r="18927" spans="2:12" x14ac:dyDescent="0.2">
      <c r="B18927"/>
      <c r="C18927"/>
      <c r="J18927"/>
      <c r="K18927"/>
      <c r="L18927"/>
    </row>
    <row r="18928" spans="2:12" x14ac:dyDescent="0.2">
      <c r="B18928"/>
      <c r="C18928"/>
      <c r="J18928"/>
      <c r="K18928"/>
      <c r="L18928"/>
    </row>
    <row r="18929" spans="2:12" x14ac:dyDescent="0.2">
      <c r="B18929"/>
      <c r="C18929"/>
      <c r="J18929"/>
      <c r="K18929"/>
      <c r="L18929"/>
    </row>
    <row r="18930" spans="2:12" x14ac:dyDescent="0.2">
      <c r="B18930"/>
      <c r="C18930"/>
      <c r="J18930"/>
      <c r="K18930"/>
      <c r="L18930"/>
    </row>
    <row r="18931" spans="2:12" x14ac:dyDescent="0.2">
      <c r="B18931"/>
      <c r="C18931"/>
      <c r="J18931"/>
      <c r="K18931"/>
      <c r="L18931"/>
    </row>
    <row r="18932" spans="2:12" x14ac:dyDescent="0.2">
      <c r="B18932"/>
      <c r="C18932"/>
      <c r="J18932"/>
      <c r="K18932"/>
      <c r="L18932"/>
    </row>
    <row r="18933" spans="2:12" x14ac:dyDescent="0.2">
      <c r="B18933"/>
      <c r="C18933"/>
      <c r="J18933"/>
      <c r="K18933"/>
      <c r="L18933"/>
    </row>
    <row r="18934" spans="2:12" x14ac:dyDescent="0.2">
      <c r="B18934"/>
      <c r="C18934"/>
      <c r="J18934"/>
      <c r="K18934"/>
      <c r="L18934"/>
    </row>
    <row r="18935" spans="2:12" x14ac:dyDescent="0.2">
      <c r="B18935"/>
      <c r="C18935"/>
      <c r="J18935"/>
      <c r="K18935"/>
      <c r="L18935"/>
    </row>
    <row r="18936" spans="2:12" x14ac:dyDescent="0.2">
      <c r="B18936"/>
      <c r="C18936"/>
      <c r="J18936"/>
      <c r="K18936"/>
      <c r="L18936"/>
    </row>
    <row r="18937" spans="2:12" x14ac:dyDescent="0.2">
      <c r="B18937"/>
      <c r="C18937"/>
      <c r="J18937"/>
      <c r="K18937"/>
      <c r="L18937"/>
    </row>
    <row r="18938" spans="2:12" x14ac:dyDescent="0.2">
      <c r="B18938"/>
      <c r="C18938"/>
      <c r="J18938"/>
      <c r="K18938"/>
      <c r="L18938"/>
    </row>
    <row r="18939" spans="2:12" x14ac:dyDescent="0.2">
      <c r="B18939"/>
      <c r="C18939"/>
      <c r="J18939"/>
      <c r="K18939"/>
      <c r="L18939"/>
    </row>
    <row r="18940" spans="2:12" x14ac:dyDescent="0.2">
      <c r="B18940"/>
      <c r="C18940"/>
      <c r="J18940"/>
      <c r="K18940"/>
      <c r="L18940"/>
    </row>
    <row r="18941" spans="2:12" x14ac:dyDescent="0.2">
      <c r="B18941"/>
      <c r="C18941"/>
      <c r="J18941"/>
      <c r="K18941"/>
      <c r="L18941"/>
    </row>
    <row r="18942" spans="2:12" x14ac:dyDescent="0.2">
      <c r="B18942"/>
      <c r="C18942"/>
      <c r="J18942"/>
      <c r="K18942"/>
      <c r="L18942"/>
    </row>
    <row r="18943" spans="2:12" x14ac:dyDescent="0.2">
      <c r="B18943"/>
      <c r="C18943"/>
      <c r="J18943"/>
      <c r="K18943"/>
      <c r="L18943"/>
    </row>
    <row r="18944" spans="2:12" x14ac:dyDescent="0.2">
      <c r="B18944"/>
      <c r="C18944"/>
      <c r="J18944"/>
      <c r="K18944"/>
      <c r="L18944"/>
    </row>
    <row r="18945" spans="2:12" x14ac:dyDescent="0.2">
      <c r="B18945"/>
      <c r="C18945"/>
      <c r="J18945"/>
      <c r="K18945"/>
      <c r="L18945"/>
    </row>
    <row r="18946" spans="2:12" x14ac:dyDescent="0.2">
      <c r="B18946"/>
      <c r="C18946"/>
      <c r="J18946"/>
      <c r="K18946"/>
      <c r="L18946"/>
    </row>
    <row r="18947" spans="2:12" x14ac:dyDescent="0.2">
      <c r="B18947"/>
      <c r="C18947"/>
      <c r="J18947"/>
      <c r="K18947"/>
      <c r="L18947"/>
    </row>
    <row r="18948" spans="2:12" x14ac:dyDescent="0.2">
      <c r="B18948"/>
      <c r="C18948"/>
      <c r="J18948"/>
      <c r="K18948"/>
      <c r="L18948"/>
    </row>
    <row r="18949" spans="2:12" x14ac:dyDescent="0.2">
      <c r="B18949"/>
      <c r="C18949"/>
      <c r="J18949"/>
      <c r="K18949"/>
      <c r="L18949"/>
    </row>
    <row r="18950" spans="2:12" x14ac:dyDescent="0.2">
      <c r="B18950"/>
      <c r="C18950"/>
      <c r="J18950"/>
      <c r="K18950"/>
      <c r="L18950"/>
    </row>
    <row r="18951" spans="2:12" x14ac:dyDescent="0.2">
      <c r="B18951"/>
      <c r="C18951"/>
      <c r="J18951"/>
      <c r="K18951"/>
      <c r="L18951"/>
    </row>
    <row r="18952" spans="2:12" x14ac:dyDescent="0.2">
      <c r="B18952"/>
      <c r="C18952"/>
      <c r="J18952"/>
      <c r="K18952"/>
      <c r="L18952"/>
    </row>
    <row r="18953" spans="2:12" x14ac:dyDescent="0.2">
      <c r="B18953"/>
      <c r="C18953"/>
      <c r="J18953"/>
      <c r="K18953"/>
      <c r="L18953"/>
    </row>
    <row r="18954" spans="2:12" x14ac:dyDescent="0.2">
      <c r="B18954"/>
      <c r="C18954"/>
      <c r="J18954"/>
      <c r="K18954"/>
      <c r="L18954"/>
    </row>
    <row r="18955" spans="2:12" x14ac:dyDescent="0.2">
      <c r="B18955"/>
      <c r="C18955"/>
      <c r="J18955"/>
      <c r="K18955"/>
      <c r="L18955"/>
    </row>
    <row r="18956" spans="2:12" x14ac:dyDescent="0.2">
      <c r="B18956"/>
      <c r="C18956"/>
      <c r="J18956"/>
      <c r="K18956"/>
      <c r="L18956"/>
    </row>
    <row r="18957" spans="2:12" x14ac:dyDescent="0.2">
      <c r="B18957"/>
      <c r="C18957"/>
      <c r="J18957"/>
      <c r="K18957"/>
      <c r="L18957"/>
    </row>
    <row r="18958" spans="2:12" x14ac:dyDescent="0.2">
      <c r="B18958"/>
      <c r="C18958"/>
      <c r="J18958"/>
      <c r="K18958"/>
      <c r="L18958"/>
    </row>
    <row r="18959" spans="2:12" x14ac:dyDescent="0.2">
      <c r="B18959"/>
      <c r="C18959"/>
      <c r="J18959"/>
      <c r="K18959"/>
      <c r="L18959"/>
    </row>
    <row r="18960" spans="2:12" x14ac:dyDescent="0.2">
      <c r="B18960"/>
      <c r="C18960"/>
      <c r="J18960"/>
      <c r="K18960"/>
      <c r="L18960"/>
    </row>
    <row r="18961" spans="2:12" x14ac:dyDescent="0.2">
      <c r="B18961"/>
      <c r="C18961"/>
      <c r="J18961"/>
      <c r="K18961"/>
      <c r="L18961"/>
    </row>
    <row r="18962" spans="2:12" x14ac:dyDescent="0.2">
      <c r="B18962"/>
      <c r="C18962"/>
      <c r="J18962"/>
      <c r="K18962"/>
      <c r="L18962"/>
    </row>
    <row r="18963" spans="2:12" x14ac:dyDescent="0.2">
      <c r="B18963"/>
      <c r="C18963"/>
      <c r="J18963"/>
      <c r="K18963"/>
      <c r="L18963"/>
    </row>
    <row r="18964" spans="2:12" x14ac:dyDescent="0.2">
      <c r="B18964"/>
      <c r="C18964"/>
      <c r="J18964"/>
      <c r="K18964"/>
      <c r="L18964"/>
    </row>
    <row r="18965" spans="2:12" x14ac:dyDescent="0.2">
      <c r="B18965"/>
      <c r="C18965"/>
      <c r="J18965"/>
      <c r="K18965"/>
      <c r="L18965"/>
    </row>
    <row r="18966" spans="2:12" x14ac:dyDescent="0.2">
      <c r="B18966"/>
      <c r="C18966"/>
      <c r="J18966"/>
      <c r="K18966"/>
      <c r="L18966"/>
    </row>
    <row r="18967" spans="2:12" x14ac:dyDescent="0.2">
      <c r="B18967"/>
      <c r="C18967"/>
      <c r="J18967"/>
      <c r="K18967"/>
      <c r="L18967"/>
    </row>
    <row r="18968" spans="2:12" x14ac:dyDescent="0.2">
      <c r="B18968"/>
      <c r="C18968"/>
      <c r="J18968"/>
      <c r="K18968"/>
      <c r="L18968"/>
    </row>
    <row r="18969" spans="2:12" x14ac:dyDescent="0.2">
      <c r="B18969"/>
      <c r="C18969"/>
      <c r="J18969"/>
      <c r="K18969"/>
      <c r="L18969"/>
    </row>
    <row r="18970" spans="2:12" x14ac:dyDescent="0.2">
      <c r="B18970"/>
      <c r="C18970"/>
      <c r="J18970"/>
      <c r="K18970"/>
      <c r="L18970"/>
    </row>
    <row r="18971" spans="2:12" x14ac:dyDescent="0.2">
      <c r="B18971"/>
      <c r="C18971"/>
      <c r="J18971"/>
      <c r="K18971"/>
      <c r="L18971"/>
    </row>
    <row r="18972" spans="2:12" x14ac:dyDescent="0.2">
      <c r="B18972"/>
      <c r="C18972"/>
      <c r="J18972"/>
      <c r="K18972"/>
      <c r="L18972"/>
    </row>
    <row r="18973" spans="2:12" x14ac:dyDescent="0.2">
      <c r="B18973"/>
      <c r="C18973"/>
      <c r="J18973"/>
      <c r="K18973"/>
      <c r="L18973"/>
    </row>
    <row r="18974" spans="2:12" x14ac:dyDescent="0.2">
      <c r="B18974"/>
      <c r="C18974"/>
      <c r="J18974"/>
      <c r="K18974"/>
      <c r="L18974"/>
    </row>
    <row r="18975" spans="2:12" x14ac:dyDescent="0.2">
      <c r="B18975"/>
      <c r="C18975"/>
      <c r="J18975"/>
      <c r="K18975"/>
      <c r="L18975"/>
    </row>
    <row r="18976" spans="2:12" x14ac:dyDescent="0.2">
      <c r="B18976"/>
      <c r="C18976"/>
      <c r="J18976"/>
      <c r="K18976"/>
      <c r="L18976"/>
    </row>
    <row r="18977" spans="2:12" x14ac:dyDescent="0.2">
      <c r="B18977"/>
      <c r="C18977"/>
      <c r="J18977"/>
      <c r="K18977"/>
      <c r="L18977"/>
    </row>
    <row r="18978" spans="2:12" x14ac:dyDescent="0.2">
      <c r="B18978"/>
      <c r="C18978"/>
      <c r="J18978"/>
      <c r="K18978"/>
      <c r="L18978"/>
    </row>
    <row r="18979" spans="2:12" x14ac:dyDescent="0.2">
      <c r="B18979"/>
      <c r="C18979"/>
      <c r="J18979"/>
      <c r="K18979"/>
      <c r="L18979"/>
    </row>
    <row r="18980" spans="2:12" x14ac:dyDescent="0.2">
      <c r="B18980"/>
      <c r="C18980"/>
      <c r="J18980"/>
      <c r="K18980"/>
      <c r="L18980"/>
    </row>
    <row r="18981" spans="2:12" x14ac:dyDescent="0.2">
      <c r="B18981"/>
      <c r="C18981"/>
      <c r="J18981"/>
      <c r="K18981"/>
      <c r="L18981"/>
    </row>
    <row r="18982" spans="2:12" x14ac:dyDescent="0.2">
      <c r="B18982"/>
      <c r="C18982"/>
      <c r="J18982"/>
      <c r="K18982"/>
      <c r="L18982"/>
    </row>
    <row r="18983" spans="2:12" x14ac:dyDescent="0.2">
      <c r="B18983"/>
      <c r="C18983"/>
      <c r="J18983"/>
      <c r="K18983"/>
      <c r="L18983"/>
    </row>
    <row r="18984" spans="2:12" x14ac:dyDescent="0.2">
      <c r="B18984"/>
      <c r="C18984"/>
      <c r="J18984"/>
      <c r="K18984"/>
      <c r="L18984"/>
    </row>
    <row r="18985" spans="2:12" x14ac:dyDescent="0.2">
      <c r="B18985"/>
      <c r="C18985"/>
      <c r="J18985"/>
      <c r="K18985"/>
      <c r="L18985"/>
    </row>
    <row r="18986" spans="2:12" x14ac:dyDescent="0.2">
      <c r="B18986"/>
      <c r="C18986"/>
      <c r="J18986"/>
      <c r="K18986"/>
      <c r="L18986"/>
    </row>
    <row r="18987" spans="2:12" x14ac:dyDescent="0.2">
      <c r="B18987"/>
      <c r="C18987"/>
      <c r="J18987"/>
      <c r="K18987"/>
      <c r="L18987"/>
    </row>
    <row r="18988" spans="2:12" x14ac:dyDescent="0.2">
      <c r="B18988"/>
      <c r="C18988"/>
      <c r="J18988"/>
      <c r="K18988"/>
      <c r="L18988"/>
    </row>
    <row r="18989" spans="2:12" x14ac:dyDescent="0.2">
      <c r="B18989"/>
      <c r="C18989"/>
      <c r="J18989"/>
      <c r="K18989"/>
      <c r="L18989"/>
    </row>
    <row r="18990" spans="2:12" x14ac:dyDescent="0.2">
      <c r="B18990"/>
      <c r="C18990"/>
      <c r="J18990"/>
      <c r="K18990"/>
      <c r="L18990"/>
    </row>
    <row r="18991" spans="2:12" x14ac:dyDescent="0.2">
      <c r="B18991"/>
      <c r="C18991"/>
      <c r="J18991"/>
      <c r="K18991"/>
      <c r="L18991"/>
    </row>
    <row r="18992" spans="2:12" x14ac:dyDescent="0.2">
      <c r="B18992"/>
      <c r="C18992"/>
      <c r="J18992"/>
      <c r="K18992"/>
      <c r="L18992"/>
    </row>
    <row r="18993" spans="2:12" x14ac:dyDescent="0.2">
      <c r="B18993"/>
      <c r="C18993"/>
      <c r="J18993"/>
      <c r="K18993"/>
      <c r="L18993"/>
    </row>
    <row r="18994" spans="2:12" x14ac:dyDescent="0.2">
      <c r="B18994"/>
      <c r="C18994"/>
      <c r="J18994"/>
      <c r="K18994"/>
      <c r="L18994"/>
    </row>
    <row r="18995" spans="2:12" x14ac:dyDescent="0.2">
      <c r="B18995"/>
      <c r="C18995"/>
      <c r="J18995"/>
      <c r="K18995"/>
      <c r="L18995"/>
    </row>
    <row r="18996" spans="2:12" x14ac:dyDescent="0.2">
      <c r="B18996"/>
      <c r="C18996"/>
      <c r="J18996"/>
      <c r="K18996"/>
      <c r="L18996"/>
    </row>
    <row r="18997" spans="2:12" x14ac:dyDescent="0.2">
      <c r="B18997"/>
      <c r="C18997"/>
      <c r="J18997"/>
      <c r="K18997"/>
      <c r="L18997"/>
    </row>
    <row r="18998" spans="2:12" x14ac:dyDescent="0.2">
      <c r="B18998"/>
      <c r="C18998"/>
      <c r="J18998"/>
      <c r="K18998"/>
      <c r="L18998"/>
    </row>
    <row r="18999" spans="2:12" x14ac:dyDescent="0.2">
      <c r="B18999"/>
      <c r="C18999"/>
      <c r="J18999"/>
      <c r="K18999"/>
      <c r="L18999"/>
    </row>
    <row r="19000" spans="2:12" x14ac:dyDescent="0.2">
      <c r="B19000"/>
      <c r="C19000"/>
      <c r="J19000"/>
      <c r="K19000"/>
      <c r="L19000"/>
    </row>
    <row r="19001" spans="2:12" x14ac:dyDescent="0.2">
      <c r="B19001"/>
      <c r="C19001"/>
      <c r="J19001"/>
      <c r="K19001"/>
      <c r="L19001"/>
    </row>
    <row r="19002" spans="2:12" x14ac:dyDescent="0.2">
      <c r="B19002"/>
      <c r="C19002"/>
      <c r="J19002"/>
      <c r="K19002"/>
      <c r="L19002"/>
    </row>
    <row r="19003" spans="2:12" x14ac:dyDescent="0.2">
      <c r="B19003"/>
      <c r="C19003"/>
      <c r="J19003"/>
      <c r="K19003"/>
      <c r="L19003"/>
    </row>
    <row r="19004" spans="2:12" x14ac:dyDescent="0.2">
      <c r="B19004"/>
      <c r="C19004"/>
      <c r="J19004"/>
      <c r="K19004"/>
      <c r="L19004"/>
    </row>
    <row r="19005" spans="2:12" x14ac:dyDescent="0.2">
      <c r="B19005"/>
      <c r="C19005"/>
      <c r="J19005"/>
      <c r="K19005"/>
      <c r="L19005"/>
    </row>
    <row r="19006" spans="2:12" x14ac:dyDescent="0.2">
      <c r="B19006"/>
      <c r="C19006"/>
      <c r="J19006"/>
      <c r="K19006"/>
      <c r="L19006"/>
    </row>
    <row r="19007" spans="2:12" x14ac:dyDescent="0.2">
      <c r="B19007"/>
      <c r="C19007"/>
      <c r="J19007"/>
      <c r="K19007"/>
      <c r="L19007"/>
    </row>
    <row r="19008" spans="2:12" x14ac:dyDescent="0.2">
      <c r="B19008"/>
      <c r="C19008"/>
      <c r="J19008"/>
      <c r="K19008"/>
      <c r="L19008"/>
    </row>
    <row r="19009" spans="2:12" x14ac:dyDescent="0.2">
      <c r="B19009"/>
      <c r="C19009"/>
      <c r="J19009"/>
      <c r="K19009"/>
      <c r="L19009"/>
    </row>
    <row r="19010" spans="2:12" x14ac:dyDescent="0.2">
      <c r="B19010"/>
      <c r="C19010"/>
      <c r="J19010"/>
      <c r="K19010"/>
      <c r="L19010"/>
    </row>
    <row r="19011" spans="2:12" x14ac:dyDescent="0.2">
      <c r="B19011"/>
      <c r="C19011"/>
      <c r="J19011"/>
      <c r="K19011"/>
      <c r="L19011"/>
    </row>
    <row r="19012" spans="2:12" x14ac:dyDescent="0.2">
      <c r="B19012"/>
      <c r="C19012"/>
      <c r="J19012"/>
      <c r="K19012"/>
      <c r="L19012"/>
    </row>
    <row r="19013" spans="2:12" x14ac:dyDescent="0.2">
      <c r="B19013"/>
      <c r="C19013"/>
      <c r="J19013"/>
      <c r="K19013"/>
      <c r="L19013"/>
    </row>
    <row r="19014" spans="2:12" x14ac:dyDescent="0.2">
      <c r="B19014"/>
      <c r="C19014"/>
      <c r="J19014"/>
      <c r="K19014"/>
      <c r="L19014"/>
    </row>
    <row r="19015" spans="2:12" x14ac:dyDescent="0.2">
      <c r="B19015"/>
      <c r="C19015"/>
      <c r="J19015"/>
      <c r="K19015"/>
      <c r="L19015"/>
    </row>
    <row r="19016" spans="2:12" x14ac:dyDescent="0.2">
      <c r="B19016"/>
      <c r="C19016"/>
      <c r="J19016"/>
      <c r="K19016"/>
      <c r="L19016"/>
    </row>
    <row r="19017" spans="2:12" x14ac:dyDescent="0.2">
      <c r="B19017"/>
      <c r="C19017"/>
      <c r="J19017"/>
      <c r="K19017"/>
      <c r="L19017"/>
    </row>
    <row r="19018" spans="2:12" x14ac:dyDescent="0.2">
      <c r="B19018"/>
      <c r="C19018"/>
      <c r="J19018"/>
      <c r="K19018"/>
      <c r="L19018"/>
    </row>
    <row r="19019" spans="2:12" x14ac:dyDescent="0.2">
      <c r="B19019"/>
      <c r="C19019"/>
      <c r="J19019"/>
      <c r="K19019"/>
      <c r="L19019"/>
    </row>
    <row r="19020" spans="2:12" x14ac:dyDescent="0.2">
      <c r="B19020"/>
      <c r="C19020"/>
      <c r="J19020"/>
      <c r="K19020"/>
      <c r="L19020"/>
    </row>
    <row r="19021" spans="2:12" x14ac:dyDescent="0.2">
      <c r="B19021"/>
      <c r="C19021"/>
      <c r="J19021"/>
      <c r="K19021"/>
      <c r="L19021"/>
    </row>
    <row r="19022" spans="2:12" x14ac:dyDescent="0.2">
      <c r="B19022"/>
      <c r="C19022"/>
      <c r="J19022"/>
      <c r="K19022"/>
      <c r="L19022"/>
    </row>
    <row r="19023" spans="2:12" x14ac:dyDescent="0.2">
      <c r="B19023"/>
      <c r="C19023"/>
      <c r="J19023"/>
      <c r="K19023"/>
      <c r="L19023"/>
    </row>
    <row r="19024" spans="2:12" x14ac:dyDescent="0.2">
      <c r="B19024"/>
      <c r="C19024"/>
      <c r="J19024"/>
      <c r="K19024"/>
      <c r="L19024"/>
    </row>
    <row r="19025" spans="2:12" x14ac:dyDescent="0.2">
      <c r="B19025"/>
      <c r="C19025"/>
      <c r="J19025"/>
      <c r="K19025"/>
      <c r="L19025"/>
    </row>
    <row r="19026" spans="2:12" x14ac:dyDescent="0.2">
      <c r="B19026"/>
      <c r="C19026"/>
      <c r="J19026"/>
      <c r="K19026"/>
      <c r="L19026"/>
    </row>
    <row r="19027" spans="2:12" x14ac:dyDescent="0.2">
      <c r="B19027"/>
      <c r="C19027"/>
      <c r="J19027"/>
      <c r="K19027"/>
      <c r="L19027"/>
    </row>
    <row r="19028" spans="2:12" x14ac:dyDescent="0.2">
      <c r="B19028"/>
      <c r="C19028"/>
      <c r="J19028"/>
      <c r="K19028"/>
      <c r="L19028"/>
    </row>
    <row r="19029" spans="2:12" x14ac:dyDescent="0.2">
      <c r="B19029"/>
      <c r="C19029"/>
      <c r="J19029"/>
      <c r="K19029"/>
      <c r="L19029"/>
    </row>
    <row r="19030" spans="2:12" x14ac:dyDescent="0.2">
      <c r="B19030"/>
      <c r="C19030"/>
      <c r="J19030"/>
      <c r="K19030"/>
      <c r="L19030"/>
    </row>
    <row r="19031" spans="2:12" x14ac:dyDescent="0.2">
      <c r="B19031"/>
      <c r="C19031"/>
      <c r="J19031"/>
      <c r="K19031"/>
      <c r="L19031"/>
    </row>
    <row r="19032" spans="2:12" x14ac:dyDescent="0.2">
      <c r="B19032"/>
      <c r="C19032"/>
      <c r="J19032"/>
      <c r="K19032"/>
      <c r="L19032"/>
    </row>
    <row r="19033" spans="2:12" x14ac:dyDescent="0.2">
      <c r="B19033"/>
      <c r="C19033"/>
      <c r="J19033"/>
      <c r="K19033"/>
      <c r="L19033"/>
    </row>
    <row r="19034" spans="2:12" x14ac:dyDescent="0.2">
      <c r="B19034"/>
      <c r="C19034"/>
      <c r="J19034"/>
      <c r="K19034"/>
      <c r="L19034"/>
    </row>
    <row r="19035" spans="2:12" x14ac:dyDescent="0.2">
      <c r="B19035"/>
      <c r="C19035"/>
      <c r="J19035"/>
      <c r="K19035"/>
      <c r="L19035"/>
    </row>
    <row r="19036" spans="2:12" x14ac:dyDescent="0.2">
      <c r="B19036"/>
      <c r="C19036"/>
      <c r="J19036"/>
      <c r="K19036"/>
      <c r="L19036"/>
    </row>
    <row r="19037" spans="2:12" x14ac:dyDescent="0.2">
      <c r="B19037"/>
      <c r="C19037"/>
      <c r="J19037"/>
      <c r="K19037"/>
      <c r="L19037"/>
    </row>
    <row r="19038" spans="2:12" x14ac:dyDescent="0.2">
      <c r="B19038"/>
      <c r="C19038"/>
      <c r="J19038"/>
      <c r="K19038"/>
      <c r="L19038"/>
    </row>
    <row r="19039" spans="2:12" x14ac:dyDescent="0.2">
      <c r="B19039"/>
      <c r="C19039"/>
      <c r="J19039"/>
      <c r="K19039"/>
      <c r="L19039"/>
    </row>
    <row r="19040" spans="2:12" x14ac:dyDescent="0.2">
      <c r="B19040"/>
      <c r="C19040"/>
      <c r="J19040"/>
      <c r="K19040"/>
      <c r="L19040"/>
    </row>
    <row r="19041" spans="2:12" x14ac:dyDescent="0.2">
      <c r="B19041"/>
      <c r="C19041"/>
      <c r="J19041"/>
      <c r="K19041"/>
      <c r="L19041"/>
    </row>
    <row r="19042" spans="2:12" x14ac:dyDescent="0.2">
      <c r="B19042"/>
      <c r="C19042"/>
      <c r="J19042"/>
      <c r="K19042"/>
      <c r="L19042"/>
    </row>
    <row r="19043" spans="2:12" x14ac:dyDescent="0.2">
      <c r="B19043"/>
      <c r="C19043"/>
      <c r="J19043"/>
      <c r="K19043"/>
      <c r="L19043"/>
    </row>
    <row r="19044" spans="2:12" x14ac:dyDescent="0.2">
      <c r="B19044"/>
      <c r="C19044"/>
      <c r="J19044"/>
      <c r="K19044"/>
      <c r="L19044"/>
    </row>
    <row r="19045" spans="2:12" x14ac:dyDescent="0.2">
      <c r="B19045"/>
      <c r="C19045"/>
      <c r="J19045"/>
      <c r="K19045"/>
      <c r="L19045"/>
    </row>
    <row r="19046" spans="2:12" x14ac:dyDescent="0.2">
      <c r="B19046"/>
      <c r="C19046"/>
      <c r="J19046"/>
      <c r="K19046"/>
      <c r="L19046"/>
    </row>
    <row r="19047" spans="2:12" x14ac:dyDescent="0.2">
      <c r="B19047"/>
      <c r="C19047"/>
      <c r="J19047"/>
      <c r="K19047"/>
      <c r="L19047"/>
    </row>
    <row r="19048" spans="2:12" x14ac:dyDescent="0.2">
      <c r="B19048"/>
      <c r="C19048"/>
      <c r="J19048"/>
      <c r="K19048"/>
      <c r="L19048"/>
    </row>
    <row r="19049" spans="2:12" x14ac:dyDescent="0.2">
      <c r="B19049"/>
      <c r="C19049"/>
      <c r="J19049"/>
      <c r="K19049"/>
      <c r="L19049"/>
    </row>
    <row r="19050" spans="2:12" x14ac:dyDescent="0.2">
      <c r="B19050"/>
      <c r="C19050"/>
      <c r="J19050"/>
      <c r="K19050"/>
      <c r="L19050"/>
    </row>
    <row r="19051" spans="2:12" x14ac:dyDescent="0.2">
      <c r="B19051"/>
      <c r="C19051"/>
      <c r="J19051"/>
      <c r="K19051"/>
      <c r="L19051"/>
    </row>
    <row r="19052" spans="2:12" x14ac:dyDescent="0.2">
      <c r="B19052"/>
      <c r="C19052"/>
      <c r="J19052"/>
      <c r="K19052"/>
      <c r="L19052"/>
    </row>
    <row r="19053" spans="2:12" x14ac:dyDescent="0.2">
      <c r="B19053"/>
      <c r="C19053"/>
      <c r="J19053"/>
      <c r="K19053"/>
      <c r="L19053"/>
    </row>
    <row r="19054" spans="2:12" x14ac:dyDescent="0.2">
      <c r="B19054"/>
      <c r="C19054"/>
      <c r="J19054"/>
      <c r="K19054"/>
      <c r="L19054"/>
    </row>
    <row r="19055" spans="2:12" x14ac:dyDescent="0.2">
      <c r="B19055"/>
      <c r="C19055"/>
      <c r="J19055"/>
      <c r="K19055"/>
      <c r="L19055"/>
    </row>
    <row r="19056" spans="2:12" x14ac:dyDescent="0.2">
      <c r="B19056"/>
      <c r="C19056"/>
      <c r="J19056"/>
      <c r="K19056"/>
      <c r="L19056"/>
    </row>
    <row r="19057" spans="2:12" x14ac:dyDescent="0.2">
      <c r="B19057"/>
      <c r="C19057"/>
      <c r="J19057"/>
      <c r="K19057"/>
      <c r="L19057"/>
    </row>
    <row r="19058" spans="2:12" x14ac:dyDescent="0.2">
      <c r="B19058"/>
      <c r="C19058"/>
      <c r="J19058"/>
      <c r="K19058"/>
      <c r="L19058"/>
    </row>
    <row r="19059" spans="2:12" x14ac:dyDescent="0.2">
      <c r="B19059"/>
      <c r="C19059"/>
      <c r="J19059"/>
      <c r="K19059"/>
      <c r="L19059"/>
    </row>
    <row r="19060" spans="2:12" x14ac:dyDescent="0.2">
      <c r="B19060"/>
      <c r="C19060"/>
      <c r="J19060"/>
      <c r="K19060"/>
      <c r="L19060"/>
    </row>
    <row r="19061" spans="2:12" x14ac:dyDescent="0.2">
      <c r="B19061"/>
      <c r="C19061"/>
      <c r="J19061"/>
      <c r="K19061"/>
      <c r="L19061"/>
    </row>
    <row r="19062" spans="2:12" x14ac:dyDescent="0.2">
      <c r="B19062"/>
      <c r="C19062"/>
      <c r="J19062"/>
      <c r="K19062"/>
      <c r="L19062"/>
    </row>
    <row r="19063" spans="2:12" x14ac:dyDescent="0.2">
      <c r="B19063"/>
      <c r="C19063"/>
      <c r="J19063"/>
      <c r="K19063"/>
      <c r="L19063"/>
    </row>
    <row r="19064" spans="2:12" x14ac:dyDescent="0.2">
      <c r="B19064"/>
      <c r="C19064"/>
      <c r="J19064"/>
      <c r="K19064"/>
      <c r="L19064"/>
    </row>
    <row r="19065" spans="2:12" x14ac:dyDescent="0.2">
      <c r="B19065"/>
      <c r="C19065"/>
      <c r="J19065"/>
      <c r="K19065"/>
      <c r="L19065"/>
    </row>
    <row r="19066" spans="2:12" x14ac:dyDescent="0.2">
      <c r="B19066"/>
      <c r="C19066"/>
      <c r="J19066"/>
      <c r="K19066"/>
      <c r="L19066"/>
    </row>
    <row r="19067" spans="2:12" x14ac:dyDescent="0.2">
      <c r="B19067"/>
      <c r="C19067"/>
      <c r="J19067"/>
      <c r="K19067"/>
      <c r="L19067"/>
    </row>
    <row r="19068" spans="2:12" x14ac:dyDescent="0.2">
      <c r="B19068"/>
      <c r="C19068"/>
      <c r="J19068"/>
      <c r="K19068"/>
      <c r="L19068"/>
    </row>
    <row r="19069" spans="2:12" x14ac:dyDescent="0.2">
      <c r="B19069"/>
      <c r="C19069"/>
      <c r="J19069"/>
      <c r="K19069"/>
      <c r="L19069"/>
    </row>
    <row r="19070" spans="2:12" x14ac:dyDescent="0.2">
      <c r="B19070"/>
      <c r="C19070"/>
      <c r="J19070"/>
      <c r="K19070"/>
      <c r="L19070"/>
    </row>
    <row r="19071" spans="2:12" x14ac:dyDescent="0.2">
      <c r="B19071"/>
      <c r="C19071"/>
      <c r="J19071"/>
      <c r="K19071"/>
      <c r="L19071"/>
    </row>
    <row r="19072" spans="2:12" x14ac:dyDescent="0.2">
      <c r="B19072"/>
      <c r="C19072"/>
      <c r="J19072"/>
      <c r="K19072"/>
      <c r="L19072"/>
    </row>
    <row r="19073" spans="2:12" x14ac:dyDescent="0.2">
      <c r="B19073"/>
      <c r="C19073"/>
      <c r="J19073"/>
      <c r="K19073"/>
      <c r="L19073"/>
    </row>
    <row r="19074" spans="2:12" x14ac:dyDescent="0.2">
      <c r="B19074"/>
      <c r="C19074"/>
      <c r="J19074"/>
      <c r="K19074"/>
      <c r="L19074"/>
    </row>
    <row r="19075" spans="2:12" x14ac:dyDescent="0.2">
      <c r="B19075"/>
      <c r="C19075"/>
      <c r="J19075"/>
      <c r="K19075"/>
      <c r="L19075"/>
    </row>
    <row r="19076" spans="2:12" x14ac:dyDescent="0.2">
      <c r="B19076"/>
      <c r="C19076"/>
      <c r="J19076"/>
      <c r="K19076"/>
      <c r="L19076"/>
    </row>
    <row r="19077" spans="2:12" x14ac:dyDescent="0.2">
      <c r="B19077"/>
      <c r="C19077"/>
      <c r="J19077"/>
      <c r="K19077"/>
      <c r="L19077"/>
    </row>
    <row r="19078" spans="2:12" x14ac:dyDescent="0.2">
      <c r="B19078"/>
      <c r="C19078"/>
      <c r="J19078"/>
      <c r="K19078"/>
      <c r="L19078"/>
    </row>
    <row r="19079" spans="2:12" x14ac:dyDescent="0.2">
      <c r="B19079"/>
      <c r="C19079"/>
      <c r="J19079"/>
      <c r="K19079"/>
      <c r="L19079"/>
    </row>
    <row r="19080" spans="2:12" x14ac:dyDescent="0.2">
      <c r="B19080"/>
      <c r="C19080"/>
      <c r="J19080"/>
      <c r="K19080"/>
      <c r="L19080"/>
    </row>
    <row r="19081" spans="2:12" x14ac:dyDescent="0.2">
      <c r="B19081"/>
      <c r="C19081"/>
      <c r="J19081"/>
      <c r="K19081"/>
      <c r="L19081"/>
    </row>
    <row r="19082" spans="2:12" x14ac:dyDescent="0.2">
      <c r="B19082"/>
      <c r="C19082"/>
      <c r="J19082"/>
      <c r="K19082"/>
      <c r="L19082"/>
    </row>
    <row r="19083" spans="2:12" x14ac:dyDescent="0.2">
      <c r="B19083"/>
      <c r="C19083"/>
      <c r="J19083"/>
      <c r="K19083"/>
      <c r="L19083"/>
    </row>
    <row r="19084" spans="2:12" x14ac:dyDescent="0.2">
      <c r="B19084"/>
      <c r="C19084"/>
      <c r="J19084"/>
      <c r="K19084"/>
      <c r="L19084"/>
    </row>
    <row r="19085" spans="2:12" x14ac:dyDescent="0.2">
      <c r="B19085"/>
      <c r="C19085"/>
      <c r="J19085"/>
      <c r="K19085"/>
      <c r="L19085"/>
    </row>
    <row r="19086" spans="2:12" x14ac:dyDescent="0.2">
      <c r="B19086"/>
      <c r="C19086"/>
      <c r="J19086"/>
      <c r="K19086"/>
      <c r="L19086"/>
    </row>
    <row r="19087" spans="2:12" x14ac:dyDescent="0.2">
      <c r="B19087"/>
      <c r="C19087"/>
      <c r="J19087"/>
      <c r="K19087"/>
      <c r="L19087"/>
    </row>
    <row r="19088" spans="2:12" x14ac:dyDescent="0.2">
      <c r="B19088"/>
      <c r="C19088"/>
      <c r="J19088"/>
      <c r="K19088"/>
      <c r="L19088"/>
    </row>
    <row r="19089" spans="2:12" x14ac:dyDescent="0.2">
      <c r="B19089"/>
      <c r="C19089"/>
      <c r="J19089"/>
      <c r="K19089"/>
      <c r="L19089"/>
    </row>
    <row r="19090" spans="2:12" x14ac:dyDescent="0.2">
      <c r="B19090"/>
      <c r="C19090"/>
      <c r="J19090"/>
      <c r="K19090"/>
      <c r="L19090"/>
    </row>
    <row r="19091" spans="2:12" x14ac:dyDescent="0.2">
      <c r="B19091"/>
      <c r="C19091"/>
      <c r="J19091"/>
      <c r="K19091"/>
      <c r="L19091"/>
    </row>
    <row r="19092" spans="2:12" x14ac:dyDescent="0.2">
      <c r="B19092"/>
      <c r="C19092"/>
      <c r="J19092"/>
      <c r="K19092"/>
      <c r="L19092"/>
    </row>
    <row r="19093" spans="2:12" x14ac:dyDescent="0.2">
      <c r="B19093"/>
      <c r="C19093"/>
      <c r="J19093"/>
      <c r="K19093"/>
      <c r="L19093"/>
    </row>
    <row r="19094" spans="2:12" x14ac:dyDescent="0.2">
      <c r="B19094"/>
      <c r="C19094"/>
      <c r="J19094"/>
      <c r="K19094"/>
      <c r="L19094"/>
    </row>
    <row r="19095" spans="2:12" x14ac:dyDescent="0.2">
      <c r="B19095"/>
      <c r="C19095"/>
      <c r="J19095"/>
      <c r="K19095"/>
      <c r="L19095"/>
    </row>
    <row r="19096" spans="2:12" x14ac:dyDescent="0.2">
      <c r="B19096"/>
      <c r="C19096"/>
      <c r="J19096"/>
      <c r="K19096"/>
      <c r="L19096"/>
    </row>
    <row r="19097" spans="2:12" x14ac:dyDescent="0.2">
      <c r="B19097"/>
      <c r="C19097"/>
      <c r="J19097"/>
      <c r="K19097"/>
      <c r="L19097"/>
    </row>
    <row r="19098" spans="2:12" x14ac:dyDescent="0.2">
      <c r="B19098"/>
      <c r="C19098"/>
      <c r="J19098"/>
      <c r="K19098"/>
      <c r="L19098"/>
    </row>
    <row r="19099" spans="2:12" x14ac:dyDescent="0.2">
      <c r="B19099"/>
      <c r="C19099"/>
      <c r="J19099"/>
      <c r="K19099"/>
      <c r="L19099"/>
    </row>
    <row r="19100" spans="2:12" x14ac:dyDescent="0.2">
      <c r="B19100"/>
      <c r="C19100"/>
      <c r="J19100"/>
      <c r="K19100"/>
      <c r="L19100"/>
    </row>
    <row r="19101" spans="2:12" x14ac:dyDescent="0.2">
      <c r="B19101"/>
      <c r="C19101"/>
      <c r="J19101"/>
      <c r="K19101"/>
      <c r="L19101"/>
    </row>
    <row r="19102" spans="2:12" x14ac:dyDescent="0.2">
      <c r="B19102"/>
      <c r="C19102"/>
      <c r="J19102"/>
      <c r="K19102"/>
      <c r="L19102"/>
    </row>
    <row r="19103" spans="2:12" x14ac:dyDescent="0.2">
      <c r="B19103"/>
      <c r="C19103"/>
      <c r="J19103"/>
      <c r="K19103"/>
      <c r="L19103"/>
    </row>
    <row r="19104" spans="2:12" x14ac:dyDescent="0.2">
      <c r="B19104"/>
      <c r="C19104"/>
      <c r="J19104"/>
      <c r="K19104"/>
      <c r="L19104"/>
    </row>
    <row r="19105" spans="2:12" x14ac:dyDescent="0.2">
      <c r="B19105"/>
      <c r="C19105"/>
      <c r="J19105"/>
      <c r="K19105"/>
      <c r="L19105"/>
    </row>
    <row r="19106" spans="2:12" x14ac:dyDescent="0.2">
      <c r="B19106"/>
      <c r="C19106"/>
      <c r="J19106"/>
      <c r="K19106"/>
      <c r="L19106"/>
    </row>
    <row r="19107" spans="2:12" x14ac:dyDescent="0.2">
      <c r="B19107"/>
      <c r="C19107"/>
      <c r="J19107"/>
      <c r="K19107"/>
      <c r="L19107"/>
    </row>
    <row r="19108" spans="2:12" x14ac:dyDescent="0.2">
      <c r="B19108"/>
      <c r="C19108"/>
      <c r="J19108"/>
      <c r="K19108"/>
      <c r="L19108"/>
    </row>
    <row r="19109" spans="2:12" x14ac:dyDescent="0.2">
      <c r="B19109"/>
      <c r="C19109"/>
      <c r="J19109"/>
      <c r="K19109"/>
      <c r="L19109"/>
    </row>
    <row r="19110" spans="2:12" x14ac:dyDescent="0.2">
      <c r="B19110"/>
      <c r="C19110"/>
      <c r="J19110"/>
      <c r="K19110"/>
      <c r="L19110"/>
    </row>
    <row r="19111" spans="2:12" x14ac:dyDescent="0.2">
      <c r="B19111"/>
      <c r="C19111"/>
      <c r="J19111"/>
      <c r="K19111"/>
      <c r="L19111"/>
    </row>
    <row r="19112" spans="2:12" x14ac:dyDescent="0.2">
      <c r="B19112"/>
      <c r="C19112"/>
      <c r="J19112"/>
      <c r="K19112"/>
      <c r="L19112"/>
    </row>
    <row r="19113" spans="2:12" x14ac:dyDescent="0.2">
      <c r="B19113"/>
      <c r="C19113"/>
      <c r="J19113"/>
      <c r="K19113"/>
      <c r="L19113"/>
    </row>
    <row r="19114" spans="2:12" x14ac:dyDescent="0.2">
      <c r="B19114"/>
      <c r="C19114"/>
      <c r="J19114"/>
      <c r="K19114"/>
      <c r="L19114"/>
    </row>
    <row r="19115" spans="2:12" x14ac:dyDescent="0.2">
      <c r="B19115"/>
      <c r="C19115"/>
      <c r="J19115"/>
      <c r="K19115"/>
      <c r="L19115"/>
    </row>
    <row r="19116" spans="2:12" x14ac:dyDescent="0.2">
      <c r="B19116"/>
      <c r="C19116"/>
      <c r="J19116"/>
      <c r="K19116"/>
      <c r="L19116"/>
    </row>
    <row r="19117" spans="2:12" x14ac:dyDescent="0.2">
      <c r="B19117"/>
      <c r="C19117"/>
      <c r="J19117"/>
      <c r="K19117"/>
      <c r="L19117"/>
    </row>
    <row r="19118" spans="2:12" x14ac:dyDescent="0.2">
      <c r="B19118"/>
      <c r="C19118"/>
      <c r="J19118"/>
      <c r="K19118"/>
      <c r="L19118"/>
    </row>
    <row r="19119" spans="2:12" x14ac:dyDescent="0.2">
      <c r="B19119"/>
      <c r="C19119"/>
      <c r="J19119"/>
      <c r="K19119"/>
      <c r="L19119"/>
    </row>
    <row r="19120" spans="2:12" x14ac:dyDescent="0.2">
      <c r="B19120"/>
      <c r="C19120"/>
      <c r="J19120"/>
      <c r="K19120"/>
      <c r="L19120"/>
    </row>
    <row r="19121" spans="2:12" x14ac:dyDescent="0.2">
      <c r="B19121"/>
      <c r="C19121"/>
      <c r="J19121"/>
      <c r="K19121"/>
      <c r="L19121"/>
    </row>
    <row r="19122" spans="2:12" x14ac:dyDescent="0.2">
      <c r="B19122"/>
      <c r="C19122"/>
      <c r="J19122"/>
      <c r="K19122"/>
      <c r="L19122"/>
    </row>
    <row r="19123" spans="2:12" x14ac:dyDescent="0.2">
      <c r="B19123"/>
      <c r="C19123"/>
      <c r="J19123"/>
      <c r="K19123"/>
      <c r="L19123"/>
    </row>
    <row r="19124" spans="2:12" x14ac:dyDescent="0.2">
      <c r="B19124"/>
      <c r="C19124"/>
      <c r="J19124"/>
      <c r="K19124"/>
      <c r="L19124"/>
    </row>
    <row r="19125" spans="2:12" x14ac:dyDescent="0.2">
      <c r="B19125"/>
      <c r="C19125"/>
      <c r="J19125"/>
      <c r="K19125"/>
      <c r="L19125"/>
    </row>
    <row r="19126" spans="2:12" x14ac:dyDescent="0.2">
      <c r="B19126"/>
      <c r="C19126"/>
      <c r="J19126"/>
      <c r="K19126"/>
      <c r="L19126"/>
    </row>
    <row r="19127" spans="2:12" x14ac:dyDescent="0.2">
      <c r="B19127"/>
      <c r="C19127"/>
      <c r="J19127"/>
      <c r="K19127"/>
      <c r="L19127"/>
    </row>
    <row r="19128" spans="2:12" x14ac:dyDescent="0.2">
      <c r="B19128"/>
      <c r="C19128"/>
      <c r="J19128"/>
      <c r="K19128"/>
      <c r="L19128"/>
    </row>
    <row r="19129" spans="2:12" x14ac:dyDescent="0.2">
      <c r="B19129"/>
      <c r="C19129"/>
      <c r="J19129"/>
      <c r="K19129"/>
      <c r="L19129"/>
    </row>
    <row r="19130" spans="2:12" x14ac:dyDescent="0.2">
      <c r="B19130"/>
      <c r="C19130"/>
      <c r="J19130"/>
      <c r="K19130"/>
      <c r="L19130"/>
    </row>
    <row r="19131" spans="2:12" x14ac:dyDescent="0.2">
      <c r="B19131"/>
      <c r="C19131"/>
      <c r="J19131"/>
      <c r="K19131"/>
      <c r="L19131"/>
    </row>
    <row r="19132" spans="2:12" x14ac:dyDescent="0.2">
      <c r="B19132"/>
      <c r="C19132"/>
      <c r="J19132"/>
      <c r="K19132"/>
      <c r="L19132"/>
    </row>
    <row r="19133" spans="2:12" x14ac:dyDescent="0.2">
      <c r="B19133"/>
      <c r="C19133"/>
      <c r="J19133"/>
      <c r="K19133"/>
      <c r="L19133"/>
    </row>
    <row r="19134" spans="2:12" x14ac:dyDescent="0.2">
      <c r="B19134"/>
      <c r="C19134"/>
      <c r="J19134"/>
      <c r="K19134"/>
      <c r="L19134"/>
    </row>
    <row r="19135" spans="2:12" x14ac:dyDescent="0.2">
      <c r="B19135"/>
      <c r="C19135"/>
      <c r="J19135"/>
      <c r="K19135"/>
      <c r="L19135"/>
    </row>
    <row r="19136" spans="2:12" x14ac:dyDescent="0.2">
      <c r="B19136"/>
      <c r="C19136"/>
      <c r="J19136"/>
      <c r="K19136"/>
      <c r="L19136"/>
    </row>
    <row r="19137" spans="2:12" x14ac:dyDescent="0.2">
      <c r="B19137"/>
      <c r="C19137"/>
      <c r="J19137"/>
      <c r="K19137"/>
      <c r="L19137"/>
    </row>
    <row r="19138" spans="2:12" x14ac:dyDescent="0.2">
      <c r="B19138"/>
      <c r="C19138"/>
      <c r="J19138"/>
      <c r="K19138"/>
      <c r="L19138"/>
    </row>
    <row r="19139" spans="2:12" x14ac:dyDescent="0.2">
      <c r="B19139"/>
      <c r="C19139"/>
      <c r="J19139"/>
      <c r="K19139"/>
      <c r="L19139"/>
    </row>
    <row r="19140" spans="2:12" x14ac:dyDescent="0.2">
      <c r="B19140"/>
      <c r="C19140"/>
      <c r="J19140"/>
      <c r="K19140"/>
      <c r="L19140"/>
    </row>
    <row r="19141" spans="2:12" x14ac:dyDescent="0.2">
      <c r="B19141"/>
      <c r="C19141"/>
      <c r="J19141"/>
      <c r="K19141"/>
      <c r="L19141"/>
    </row>
    <row r="19142" spans="2:12" x14ac:dyDescent="0.2">
      <c r="B19142"/>
      <c r="C19142"/>
      <c r="J19142"/>
      <c r="K19142"/>
      <c r="L19142"/>
    </row>
    <row r="19143" spans="2:12" x14ac:dyDescent="0.2">
      <c r="B19143"/>
      <c r="C19143"/>
      <c r="J19143"/>
      <c r="K19143"/>
      <c r="L19143"/>
    </row>
    <row r="19144" spans="2:12" x14ac:dyDescent="0.2">
      <c r="B19144"/>
      <c r="C19144"/>
      <c r="J19144"/>
      <c r="K19144"/>
      <c r="L19144"/>
    </row>
    <row r="19145" spans="2:12" x14ac:dyDescent="0.2">
      <c r="B19145"/>
      <c r="C19145"/>
      <c r="J19145"/>
      <c r="K19145"/>
      <c r="L19145"/>
    </row>
    <row r="19146" spans="2:12" x14ac:dyDescent="0.2">
      <c r="B19146"/>
      <c r="C19146"/>
      <c r="J19146"/>
      <c r="K19146"/>
      <c r="L19146"/>
    </row>
    <row r="19147" spans="2:12" x14ac:dyDescent="0.2">
      <c r="B19147"/>
      <c r="C19147"/>
      <c r="J19147"/>
      <c r="K19147"/>
      <c r="L19147"/>
    </row>
    <row r="19148" spans="2:12" x14ac:dyDescent="0.2">
      <c r="B19148"/>
      <c r="C19148"/>
      <c r="J19148"/>
      <c r="K19148"/>
      <c r="L19148"/>
    </row>
    <row r="19149" spans="2:12" x14ac:dyDescent="0.2">
      <c r="B19149"/>
      <c r="C19149"/>
      <c r="J19149"/>
      <c r="K19149"/>
      <c r="L19149"/>
    </row>
    <row r="19150" spans="2:12" x14ac:dyDescent="0.2">
      <c r="B19150"/>
      <c r="C19150"/>
      <c r="J19150"/>
      <c r="K19150"/>
      <c r="L19150"/>
    </row>
    <row r="19151" spans="2:12" x14ac:dyDescent="0.2">
      <c r="B19151"/>
      <c r="C19151"/>
      <c r="J19151"/>
      <c r="K19151"/>
      <c r="L19151"/>
    </row>
    <row r="19152" spans="2:12" x14ac:dyDescent="0.2">
      <c r="B19152"/>
      <c r="C19152"/>
      <c r="J19152"/>
      <c r="K19152"/>
      <c r="L19152"/>
    </row>
    <row r="19153" spans="2:12" x14ac:dyDescent="0.2">
      <c r="B19153"/>
      <c r="C19153"/>
      <c r="J19153"/>
      <c r="K19153"/>
      <c r="L19153"/>
    </row>
    <row r="19154" spans="2:12" x14ac:dyDescent="0.2">
      <c r="B19154"/>
      <c r="C19154"/>
      <c r="J19154"/>
      <c r="K19154"/>
      <c r="L19154"/>
    </row>
    <row r="19155" spans="2:12" x14ac:dyDescent="0.2">
      <c r="B19155"/>
      <c r="C19155"/>
      <c r="J19155"/>
      <c r="K19155"/>
      <c r="L19155"/>
    </row>
    <row r="19156" spans="2:12" x14ac:dyDescent="0.2">
      <c r="B19156"/>
      <c r="C19156"/>
      <c r="J19156"/>
      <c r="K19156"/>
      <c r="L19156"/>
    </row>
    <row r="19157" spans="2:12" x14ac:dyDescent="0.2">
      <c r="B19157"/>
      <c r="C19157"/>
      <c r="J19157"/>
      <c r="K19157"/>
      <c r="L19157"/>
    </row>
    <row r="19158" spans="2:12" x14ac:dyDescent="0.2">
      <c r="B19158"/>
      <c r="C19158"/>
      <c r="J19158"/>
      <c r="K19158"/>
      <c r="L19158"/>
    </row>
    <row r="19159" spans="2:12" x14ac:dyDescent="0.2">
      <c r="B19159"/>
      <c r="C19159"/>
      <c r="J19159"/>
      <c r="K19159"/>
      <c r="L19159"/>
    </row>
    <row r="19160" spans="2:12" x14ac:dyDescent="0.2">
      <c r="B19160"/>
      <c r="C19160"/>
      <c r="J19160"/>
      <c r="K19160"/>
      <c r="L19160"/>
    </row>
    <row r="19161" spans="2:12" x14ac:dyDescent="0.2">
      <c r="B19161"/>
      <c r="C19161"/>
      <c r="J19161"/>
      <c r="K19161"/>
      <c r="L19161"/>
    </row>
    <row r="19162" spans="2:12" x14ac:dyDescent="0.2">
      <c r="B19162"/>
      <c r="C19162"/>
      <c r="J19162"/>
      <c r="K19162"/>
      <c r="L19162"/>
    </row>
    <row r="19163" spans="2:12" x14ac:dyDescent="0.2">
      <c r="B19163"/>
      <c r="C19163"/>
      <c r="J19163"/>
      <c r="K19163"/>
      <c r="L19163"/>
    </row>
    <row r="19164" spans="2:12" x14ac:dyDescent="0.2">
      <c r="B19164"/>
      <c r="C19164"/>
      <c r="J19164"/>
      <c r="K19164"/>
      <c r="L19164"/>
    </row>
    <row r="19165" spans="2:12" x14ac:dyDescent="0.2">
      <c r="B19165"/>
      <c r="C19165"/>
      <c r="J19165"/>
      <c r="K19165"/>
      <c r="L19165"/>
    </row>
    <row r="19166" spans="2:12" x14ac:dyDescent="0.2">
      <c r="B19166"/>
      <c r="C19166"/>
      <c r="J19166"/>
      <c r="K19166"/>
      <c r="L19166"/>
    </row>
    <row r="19167" spans="2:12" x14ac:dyDescent="0.2">
      <c r="B19167"/>
      <c r="C19167"/>
      <c r="J19167"/>
      <c r="K19167"/>
      <c r="L19167"/>
    </row>
    <row r="19168" spans="2:12" x14ac:dyDescent="0.2">
      <c r="B19168"/>
      <c r="C19168"/>
      <c r="J19168"/>
      <c r="K19168"/>
      <c r="L19168"/>
    </row>
    <row r="19169" spans="2:12" x14ac:dyDescent="0.2">
      <c r="B19169"/>
      <c r="C19169"/>
      <c r="J19169"/>
      <c r="K19169"/>
      <c r="L19169"/>
    </row>
    <row r="19170" spans="2:12" x14ac:dyDescent="0.2">
      <c r="B19170"/>
      <c r="C19170"/>
      <c r="J19170"/>
      <c r="K19170"/>
      <c r="L19170"/>
    </row>
    <row r="19171" spans="2:12" x14ac:dyDescent="0.2">
      <c r="B19171"/>
      <c r="C19171"/>
      <c r="J19171"/>
      <c r="K19171"/>
      <c r="L19171"/>
    </row>
    <row r="19172" spans="2:12" x14ac:dyDescent="0.2">
      <c r="B19172"/>
      <c r="C19172"/>
      <c r="J19172"/>
      <c r="K19172"/>
      <c r="L19172"/>
    </row>
    <row r="19173" spans="2:12" x14ac:dyDescent="0.2">
      <c r="B19173"/>
      <c r="C19173"/>
      <c r="J19173"/>
      <c r="K19173"/>
      <c r="L19173"/>
    </row>
    <row r="19174" spans="2:12" x14ac:dyDescent="0.2">
      <c r="B19174"/>
      <c r="C19174"/>
      <c r="J19174"/>
      <c r="K19174"/>
      <c r="L19174"/>
    </row>
    <row r="19175" spans="2:12" x14ac:dyDescent="0.2">
      <c r="B19175"/>
      <c r="C19175"/>
      <c r="J19175"/>
      <c r="K19175"/>
      <c r="L19175"/>
    </row>
    <row r="19176" spans="2:12" x14ac:dyDescent="0.2">
      <c r="B19176"/>
      <c r="C19176"/>
      <c r="J19176"/>
      <c r="K19176"/>
      <c r="L19176"/>
    </row>
    <row r="19177" spans="2:12" x14ac:dyDescent="0.2">
      <c r="B19177"/>
      <c r="C19177"/>
      <c r="J19177"/>
      <c r="K19177"/>
      <c r="L19177"/>
    </row>
    <row r="19178" spans="2:12" x14ac:dyDescent="0.2">
      <c r="B19178"/>
      <c r="C19178"/>
      <c r="J19178"/>
      <c r="K19178"/>
      <c r="L19178"/>
    </row>
    <row r="19179" spans="2:12" x14ac:dyDescent="0.2">
      <c r="B19179"/>
      <c r="C19179"/>
      <c r="J19179"/>
      <c r="K19179"/>
      <c r="L19179"/>
    </row>
    <row r="19180" spans="2:12" x14ac:dyDescent="0.2">
      <c r="B19180"/>
      <c r="C19180"/>
      <c r="J19180"/>
      <c r="K19180"/>
      <c r="L19180"/>
    </row>
    <row r="19181" spans="2:12" x14ac:dyDescent="0.2">
      <c r="B19181"/>
      <c r="C19181"/>
      <c r="J19181"/>
      <c r="K19181"/>
      <c r="L19181"/>
    </row>
    <row r="19182" spans="2:12" x14ac:dyDescent="0.2">
      <c r="B19182"/>
      <c r="C19182"/>
      <c r="J19182"/>
      <c r="K19182"/>
      <c r="L19182"/>
    </row>
    <row r="19183" spans="2:12" x14ac:dyDescent="0.2">
      <c r="B19183"/>
      <c r="C19183"/>
      <c r="J19183"/>
      <c r="K19183"/>
      <c r="L19183"/>
    </row>
    <row r="19184" spans="2:12" x14ac:dyDescent="0.2">
      <c r="B19184"/>
      <c r="C19184"/>
      <c r="J19184"/>
      <c r="K19184"/>
      <c r="L19184"/>
    </row>
    <row r="19185" spans="2:12" x14ac:dyDescent="0.2">
      <c r="B19185"/>
      <c r="C19185"/>
      <c r="J19185"/>
      <c r="K19185"/>
      <c r="L19185"/>
    </row>
    <row r="19186" spans="2:12" x14ac:dyDescent="0.2">
      <c r="B19186"/>
      <c r="C19186"/>
      <c r="J19186"/>
      <c r="K19186"/>
      <c r="L19186"/>
    </row>
    <row r="19187" spans="2:12" x14ac:dyDescent="0.2">
      <c r="B19187"/>
      <c r="C19187"/>
      <c r="J19187"/>
      <c r="K19187"/>
      <c r="L19187"/>
    </row>
    <row r="19188" spans="2:12" x14ac:dyDescent="0.2">
      <c r="B19188"/>
      <c r="C19188"/>
      <c r="J19188"/>
      <c r="K19188"/>
      <c r="L19188"/>
    </row>
    <row r="19189" spans="2:12" x14ac:dyDescent="0.2">
      <c r="B19189"/>
      <c r="C19189"/>
      <c r="J19189"/>
      <c r="K19189"/>
      <c r="L19189"/>
    </row>
    <row r="19190" spans="2:12" x14ac:dyDescent="0.2">
      <c r="B19190"/>
      <c r="C19190"/>
      <c r="J19190"/>
      <c r="K19190"/>
      <c r="L19190"/>
    </row>
    <row r="19191" spans="2:12" x14ac:dyDescent="0.2">
      <c r="B19191"/>
      <c r="C19191"/>
      <c r="J19191"/>
      <c r="K19191"/>
      <c r="L19191"/>
    </row>
    <row r="19192" spans="2:12" x14ac:dyDescent="0.2">
      <c r="B19192"/>
      <c r="C19192"/>
      <c r="J19192"/>
      <c r="K19192"/>
      <c r="L19192"/>
    </row>
    <row r="19193" spans="2:12" x14ac:dyDescent="0.2">
      <c r="B19193"/>
      <c r="C19193"/>
      <c r="J19193"/>
      <c r="K19193"/>
      <c r="L19193"/>
    </row>
    <row r="19194" spans="2:12" x14ac:dyDescent="0.2">
      <c r="B19194"/>
      <c r="C19194"/>
      <c r="J19194"/>
      <c r="K19194"/>
      <c r="L19194"/>
    </row>
    <row r="19195" spans="2:12" x14ac:dyDescent="0.2">
      <c r="B19195"/>
      <c r="C19195"/>
      <c r="J19195"/>
      <c r="K19195"/>
      <c r="L19195"/>
    </row>
    <row r="19196" spans="2:12" x14ac:dyDescent="0.2">
      <c r="B19196"/>
      <c r="C19196"/>
      <c r="J19196"/>
      <c r="K19196"/>
      <c r="L19196"/>
    </row>
    <row r="19197" spans="2:12" x14ac:dyDescent="0.2">
      <c r="B19197"/>
      <c r="C19197"/>
      <c r="J19197"/>
      <c r="K19197"/>
      <c r="L19197"/>
    </row>
    <row r="19198" spans="2:12" x14ac:dyDescent="0.2">
      <c r="B19198"/>
      <c r="C19198"/>
      <c r="J19198"/>
      <c r="K19198"/>
      <c r="L19198"/>
    </row>
    <row r="19199" spans="2:12" x14ac:dyDescent="0.2">
      <c r="B19199"/>
      <c r="C19199"/>
      <c r="J19199"/>
      <c r="K19199"/>
      <c r="L19199"/>
    </row>
    <row r="19200" spans="2:12" x14ac:dyDescent="0.2">
      <c r="B19200"/>
      <c r="C19200"/>
      <c r="J19200"/>
      <c r="K19200"/>
      <c r="L19200"/>
    </row>
    <row r="19201" spans="2:12" x14ac:dyDescent="0.2">
      <c r="B19201"/>
      <c r="C19201"/>
      <c r="J19201"/>
      <c r="K19201"/>
      <c r="L19201"/>
    </row>
    <row r="19202" spans="2:12" x14ac:dyDescent="0.2">
      <c r="B19202"/>
      <c r="C19202"/>
      <c r="J19202"/>
      <c r="K19202"/>
      <c r="L19202"/>
    </row>
    <row r="19203" spans="2:12" x14ac:dyDescent="0.2">
      <c r="B19203"/>
      <c r="C19203"/>
      <c r="J19203"/>
      <c r="K19203"/>
      <c r="L19203"/>
    </row>
    <row r="19204" spans="2:12" x14ac:dyDescent="0.2">
      <c r="B19204"/>
      <c r="C19204"/>
      <c r="J19204"/>
      <c r="K19204"/>
      <c r="L19204"/>
    </row>
    <row r="19205" spans="2:12" x14ac:dyDescent="0.2">
      <c r="B19205"/>
      <c r="C19205"/>
      <c r="J19205"/>
      <c r="K19205"/>
      <c r="L19205"/>
    </row>
    <row r="19206" spans="2:12" x14ac:dyDescent="0.2">
      <c r="B19206"/>
      <c r="C19206"/>
      <c r="J19206"/>
      <c r="K19206"/>
      <c r="L19206"/>
    </row>
    <row r="19207" spans="2:12" x14ac:dyDescent="0.2">
      <c r="B19207"/>
      <c r="C19207"/>
      <c r="J19207"/>
      <c r="K19207"/>
      <c r="L19207"/>
    </row>
    <row r="19208" spans="2:12" x14ac:dyDescent="0.2">
      <c r="B19208"/>
      <c r="C19208"/>
      <c r="J19208"/>
      <c r="K19208"/>
      <c r="L19208"/>
    </row>
    <row r="19209" spans="2:12" x14ac:dyDescent="0.2">
      <c r="B19209"/>
      <c r="C19209"/>
      <c r="J19209"/>
      <c r="K19209"/>
      <c r="L19209"/>
    </row>
    <row r="19210" spans="2:12" x14ac:dyDescent="0.2">
      <c r="B19210"/>
      <c r="C19210"/>
      <c r="J19210"/>
      <c r="K19210"/>
      <c r="L19210"/>
    </row>
    <row r="19211" spans="2:12" x14ac:dyDescent="0.2">
      <c r="B19211"/>
      <c r="C19211"/>
      <c r="J19211"/>
      <c r="K19211"/>
      <c r="L19211"/>
    </row>
    <row r="19212" spans="2:12" x14ac:dyDescent="0.2">
      <c r="B19212"/>
      <c r="C19212"/>
      <c r="J19212"/>
      <c r="K19212"/>
      <c r="L19212"/>
    </row>
    <row r="19213" spans="2:12" x14ac:dyDescent="0.2">
      <c r="B19213"/>
      <c r="C19213"/>
      <c r="J19213"/>
      <c r="K19213"/>
      <c r="L19213"/>
    </row>
    <row r="19214" spans="2:12" x14ac:dyDescent="0.2">
      <c r="B19214"/>
      <c r="C19214"/>
      <c r="J19214"/>
      <c r="K19214"/>
      <c r="L19214"/>
    </row>
    <row r="19215" spans="2:12" x14ac:dyDescent="0.2">
      <c r="B19215"/>
      <c r="C19215"/>
      <c r="J19215"/>
      <c r="K19215"/>
      <c r="L19215"/>
    </row>
    <row r="19216" spans="2:12" x14ac:dyDescent="0.2">
      <c r="B19216"/>
      <c r="C19216"/>
      <c r="J19216"/>
      <c r="K19216"/>
      <c r="L19216"/>
    </row>
    <row r="19217" spans="2:12" x14ac:dyDescent="0.2">
      <c r="B19217"/>
      <c r="C19217"/>
      <c r="J19217"/>
      <c r="K19217"/>
      <c r="L19217"/>
    </row>
    <row r="19218" spans="2:12" x14ac:dyDescent="0.2">
      <c r="B19218"/>
      <c r="C19218"/>
      <c r="J19218"/>
      <c r="K19218"/>
      <c r="L19218"/>
    </row>
    <row r="19219" spans="2:12" x14ac:dyDescent="0.2">
      <c r="B19219"/>
      <c r="C19219"/>
      <c r="J19219"/>
      <c r="K19219"/>
      <c r="L19219"/>
    </row>
    <row r="19220" spans="2:12" x14ac:dyDescent="0.2">
      <c r="B19220"/>
      <c r="C19220"/>
      <c r="J19220"/>
      <c r="K19220"/>
      <c r="L19220"/>
    </row>
    <row r="19221" spans="2:12" x14ac:dyDescent="0.2">
      <c r="B19221"/>
      <c r="C19221"/>
      <c r="J19221"/>
      <c r="K19221"/>
      <c r="L19221"/>
    </row>
    <row r="19222" spans="2:12" x14ac:dyDescent="0.2">
      <c r="B19222"/>
      <c r="C19222"/>
      <c r="J19222"/>
      <c r="K19222"/>
      <c r="L19222"/>
    </row>
    <row r="19223" spans="2:12" x14ac:dyDescent="0.2">
      <c r="B19223"/>
      <c r="C19223"/>
      <c r="J19223"/>
      <c r="K19223"/>
      <c r="L19223"/>
    </row>
    <row r="19224" spans="2:12" x14ac:dyDescent="0.2">
      <c r="B19224"/>
      <c r="C19224"/>
      <c r="J19224"/>
      <c r="K19224"/>
      <c r="L19224"/>
    </row>
    <row r="19225" spans="2:12" x14ac:dyDescent="0.2">
      <c r="B19225"/>
      <c r="C19225"/>
      <c r="J19225"/>
      <c r="K19225"/>
      <c r="L19225"/>
    </row>
    <row r="19226" spans="2:12" x14ac:dyDescent="0.2">
      <c r="B19226"/>
      <c r="C19226"/>
      <c r="J19226"/>
      <c r="K19226"/>
      <c r="L19226"/>
    </row>
    <row r="19227" spans="2:12" x14ac:dyDescent="0.2">
      <c r="B19227"/>
      <c r="C19227"/>
      <c r="J19227"/>
      <c r="K19227"/>
      <c r="L19227"/>
    </row>
    <row r="19228" spans="2:12" x14ac:dyDescent="0.2">
      <c r="B19228"/>
      <c r="C19228"/>
      <c r="J19228"/>
      <c r="K19228"/>
      <c r="L19228"/>
    </row>
    <row r="19229" spans="2:12" x14ac:dyDescent="0.2">
      <c r="B19229"/>
      <c r="C19229"/>
      <c r="J19229"/>
      <c r="K19229"/>
      <c r="L19229"/>
    </row>
    <row r="19230" spans="2:12" x14ac:dyDescent="0.2">
      <c r="B19230"/>
      <c r="C19230"/>
      <c r="J19230"/>
      <c r="K19230"/>
      <c r="L19230"/>
    </row>
    <row r="19231" spans="2:12" x14ac:dyDescent="0.2">
      <c r="B19231"/>
      <c r="C19231"/>
      <c r="J19231"/>
      <c r="K19231"/>
      <c r="L19231"/>
    </row>
    <row r="19232" spans="2:12" x14ac:dyDescent="0.2">
      <c r="B19232"/>
      <c r="C19232"/>
      <c r="J19232"/>
      <c r="K19232"/>
      <c r="L19232"/>
    </row>
    <row r="19233" spans="2:12" x14ac:dyDescent="0.2">
      <c r="B19233"/>
      <c r="C19233"/>
      <c r="J19233"/>
      <c r="K19233"/>
      <c r="L19233"/>
    </row>
    <row r="19234" spans="2:12" x14ac:dyDescent="0.2">
      <c r="B19234"/>
      <c r="C19234"/>
      <c r="J19234"/>
      <c r="K19234"/>
      <c r="L19234"/>
    </row>
    <row r="19235" spans="2:12" x14ac:dyDescent="0.2">
      <c r="B19235"/>
      <c r="C19235"/>
      <c r="J19235"/>
      <c r="K19235"/>
      <c r="L19235"/>
    </row>
    <row r="19236" spans="2:12" x14ac:dyDescent="0.2">
      <c r="B19236"/>
      <c r="C19236"/>
      <c r="J19236"/>
      <c r="K19236"/>
      <c r="L19236"/>
    </row>
    <row r="19237" spans="2:12" x14ac:dyDescent="0.2">
      <c r="B19237"/>
      <c r="C19237"/>
      <c r="J19237"/>
      <c r="K19237"/>
      <c r="L19237"/>
    </row>
    <row r="19238" spans="2:12" x14ac:dyDescent="0.2">
      <c r="B19238"/>
      <c r="C19238"/>
      <c r="J19238"/>
      <c r="K19238"/>
      <c r="L19238"/>
    </row>
    <row r="19239" spans="2:12" x14ac:dyDescent="0.2">
      <c r="B19239"/>
      <c r="C19239"/>
      <c r="J19239"/>
      <c r="K19239"/>
      <c r="L19239"/>
    </row>
    <row r="19240" spans="2:12" x14ac:dyDescent="0.2">
      <c r="B19240"/>
      <c r="C19240"/>
      <c r="J19240"/>
      <c r="K19240"/>
      <c r="L19240"/>
    </row>
    <row r="19241" spans="2:12" x14ac:dyDescent="0.2">
      <c r="B19241"/>
      <c r="C19241"/>
      <c r="J19241"/>
      <c r="K19241"/>
      <c r="L19241"/>
    </row>
    <row r="19242" spans="2:12" x14ac:dyDescent="0.2">
      <c r="B19242"/>
      <c r="C19242"/>
      <c r="J19242"/>
      <c r="K19242"/>
      <c r="L19242"/>
    </row>
    <row r="19243" spans="2:12" x14ac:dyDescent="0.2">
      <c r="B19243"/>
      <c r="C19243"/>
      <c r="J19243"/>
      <c r="K19243"/>
      <c r="L19243"/>
    </row>
    <row r="19244" spans="2:12" x14ac:dyDescent="0.2">
      <c r="B19244"/>
      <c r="C19244"/>
      <c r="J19244"/>
      <c r="K19244"/>
      <c r="L19244"/>
    </row>
    <row r="19245" spans="2:12" x14ac:dyDescent="0.2">
      <c r="B19245"/>
      <c r="C19245"/>
      <c r="J19245"/>
      <c r="K19245"/>
      <c r="L19245"/>
    </row>
    <row r="19246" spans="2:12" x14ac:dyDescent="0.2">
      <c r="B19246"/>
      <c r="C19246"/>
      <c r="J19246"/>
      <c r="K19246"/>
      <c r="L19246"/>
    </row>
    <row r="19247" spans="2:12" x14ac:dyDescent="0.2">
      <c r="B19247"/>
      <c r="C19247"/>
      <c r="J19247"/>
      <c r="K19247"/>
      <c r="L19247"/>
    </row>
    <row r="19248" spans="2:12" x14ac:dyDescent="0.2">
      <c r="B19248"/>
      <c r="C19248"/>
      <c r="J19248"/>
      <c r="K19248"/>
      <c r="L19248"/>
    </row>
    <row r="19249" spans="2:12" x14ac:dyDescent="0.2">
      <c r="B19249"/>
      <c r="C19249"/>
      <c r="J19249"/>
      <c r="K19249"/>
      <c r="L19249"/>
    </row>
    <row r="19250" spans="2:12" x14ac:dyDescent="0.2">
      <c r="B19250"/>
      <c r="C19250"/>
      <c r="J19250"/>
      <c r="K19250"/>
      <c r="L19250"/>
    </row>
    <row r="19251" spans="2:12" x14ac:dyDescent="0.2">
      <c r="B19251"/>
      <c r="C19251"/>
      <c r="J19251"/>
      <c r="K19251"/>
      <c r="L19251"/>
    </row>
    <row r="19252" spans="2:12" x14ac:dyDescent="0.2">
      <c r="B19252"/>
      <c r="C19252"/>
      <c r="J19252"/>
      <c r="K19252"/>
      <c r="L19252"/>
    </row>
    <row r="19253" spans="2:12" x14ac:dyDescent="0.2">
      <c r="B19253"/>
      <c r="C19253"/>
      <c r="J19253"/>
      <c r="K19253"/>
      <c r="L19253"/>
    </row>
    <row r="19254" spans="2:12" x14ac:dyDescent="0.2">
      <c r="B19254"/>
      <c r="C19254"/>
      <c r="J19254"/>
      <c r="K19254"/>
      <c r="L19254"/>
    </row>
    <row r="19255" spans="2:12" x14ac:dyDescent="0.2">
      <c r="B19255"/>
      <c r="C19255"/>
      <c r="J19255"/>
      <c r="K19255"/>
      <c r="L19255"/>
    </row>
    <row r="19256" spans="2:12" x14ac:dyDescent="0.2">
      <c r="B19256"/>
      <c r="C19256"/>
      <c r="J19256"/>
      <c r="K19256"/>
      <c r="L19256"/>
    </row>
    <row r="19257" spans="2:12" x14ac:dyDescent="0.2">
      <c r="B19257"/>
      <c r="C19257"/>
      <c r="J19257"/>
      <c r="K19257"/>
      <c r="L19257"/>
    </row>
    <row r="19258" spans="2:12" x14ac:dyDescent="0.2">
      <c r="B19258"/>
      <c r="C19258"/>
      <c r="J19258"/>
      <c r="K19258"/>
      <c r="L19258"/>
    </row>
    <row r="19259" spans="2:12" x14ac:dyDescent="0.2">
      <c r="B19259"/>
      <c r="C19259"/>
      <c r="J19259"/>
      <c r="K19259"/>
      <c r="L19259"/>
    </row>
    <row r="19260" spans="2:12" x14ac:dyDescent="0.2">
      <c r="B19260"/>
      <c r="C19260"/>
      <c r="J19260"/>
      <c r="K19260"/>
      <c r="L19260"/>
    </row>
    <row r="19261" spans="2:12" x14ac:dyDescent="0.2">
      <c r="B19261"/>
      <c r="C19261"/>
      <c r="J19261"/>
      <c r="K19261"/>
      <c r="L19261"/>
    </row>
    <row r="19262" spans="2:12" x14ac:dyDescent="0.2">
      <c r="B19262"/>
      <c r="C19262"/>
      <c r="J19262"/>
      <c r="K19262"/>
      <c r="L19262"/>
    </row>
    <row r="19263" spans="2:12" x14ac:dyDescent="0.2">
      <c r="B19263"/>
      <c r="C19263"/>
      <c r="J19263"/>
      <c r="K19263"/>
      <c r="L19263"/>
    </row>
    <row r="19264" spans="2:12" x14ac:dyDescent="0.2">
      <c r="B19264"/>
      <c r="C19264"/>
      <c r="J19264"/>
      <c r="K19264"/>
      <c r="L19264"/>
    </row>
    <row r="19265" spans="2:12" x14ac:dyDescent="0.2">
      <c r="B19265"/>
      <c r="C19265"/>
      <c r="J19265"/>
      <c r="K19265"/>
      <c r="L19265"/>
    </row>
    <row r="19266" spans="2:12" x14ac:dyDescent="0.2">
      <c r="B19266"/>
      <c r="C19266"/>
      <c r="J19266"/>
      <c r="K19266"/>
      <c r="L19266"/>
    </row>
    <row r="19267" spans="2:12" x14ac:dyDescent="0.2">
      <c r="B19267"/>
      <c r="C19267"/>
      <c r="J19267"/>
      <c r="K19267"/>
      <c r="L19267"/>
    </row>
    <row r="19268" spans="2:12" x14ac:dyDescent="0.2">
      <c r="B19268"/>
      <c r="C19268"/>
      <c r="J19268"/>
      <c r="K19268"/>
      <c r="L19268"/>
    </row>
    <row r="19269" spans="2:12" x14ac:dyDescent="0.2">
      <c r="B19269"/>
      <c r="C19269"/>
      <c r="J19269"/>
      <c r="K19269"/>
      <c r="L19269"/>
    </row>
    <row r="19270" spans="2:12" x14ac:dyDescent="0.2">
      <c r="B19270"/>
      <c r="C19270"/>
      <c r="J19270"/>
      <c r="K19270"/>
      <c r="L19270"/>
    </row>
    <row r="19271" spans="2:12" x14ac:dyDescent="0.2">
      <c r="B19271"/>
      <c r="C19271"/>
      <c r="J19271"/>
      <c r="K19271"/>
      <c r="L19271"/>
    </row>
    <row r="19272" spans="2:12" x14ac:dyDescent="0.2">
      <c r="B19272"/>
      <c r="C19272"/>
      <c r="J19272"/>
      <c r="K19272"/>
      <c r="L19272"/>
    </row>
    <row r="19273" spans="2:12" x14ac:dyDescent="0.2">
      <c r="B19273"/>
      <c r="C19273"/>
      <c r="J19273"/>
      <c r="K19273"/>
      <c r="L19273"/>
    </row>
    <row r="19274" spans="2:12" x14ac:dyDescent="0.2">
      <c r="B19274"/>
      <c r="C19274"/>
      <c r="J19274"/>
      <c r="K19274"/>
      <c r="L19274"/>
    </row>
    <row r="19275" spans="2:12" x14ac:dyDescent="0.2">
      <c r="B19275"/>
      <c r="C19275"/>
      <c r="J19275"/>
      <c r="K19275"/>
      <c r="L19275"/>
    </row>
    <row r="19276" spans="2:12" x14ac:dyDescent="0.2">
      <c r="B19276"/>
      <c r="C19276"/>
      <c r="J19276"/>
      <c r="K19276"/>
      <c r="L19276"/>
    </row>
    <row r="19277" spans="2:12" x14ac:dyDescent="0.2">
      <c r="B19277"/>
      <c r="C19277"/>
      <c r="J19277"/>
      <c r="K19277"/>
      <c r="L19277"/>
    </row>
    <row r="19278" spans="2:12" x14ac:dyDescent="0.2">
      <c r="B19278"/>
      <c r="C19278"/>
      <c r="J19278"/>
      <c r="K19278"/>
      <c r="L19278"/>
    </row>
    <row r="19279" spans="2:12" x14ac:dyDescent="0.2">
      <c r="B19279"/>
      <c r="C19279"/>
      <c r="J19279"/>
      <c r="K19279"/>
      <c r="L19279"/>
    </row>
    <row r="19280" spans="2:12" x14ac:dyDescent="0.2">
      <c r="B19280"/>
      <c r="C19280"/>
      <c r="J19280"/>
      <c r="K19280"/>
      <c r="L19280"/>
    </row>
    <row r="19281" spans="2:12" x14ac:dyDescent="0.2">
      <c r="B19281"/>
      <c r="C19281"/>
      <c r="J19281"/>
      <c r="K19281"/>
      <c r="L19281"/>
    </row>
    <row r="19282" spans="2:12" x14ac:dyDescent="0.2">
      <c r="B19282"/>
      <c r="C19282"/>
      <c r="J19282"/>
      <c r="K19282"/>
      <c r="L19282"/>
    </row>
    <row r="19283" spans="2:12" x14ac:dyDescent="0.2">
      <c r="B19283"/>
      <c r="C19283"/>
      <c r="J19283"/>
      <c r="K19283"/>
      <c r="L19283"/>
    </row>
    <row r="19284" spans="2:12" x14ac:dyDescent="0.2">
      <c r="B19284"/>
      <c r="C19284"/>
      <c r="J19284"/>
      <c r="K19284"/>
      <c r="L19284"/>
    </row>
    <row r="19285" spans="2:12" x14ac:dyDescent="0.2">
      <c r="B19285"/>
      <c r="C19285"/>
      <c r="J19285"/>
      <c r="K19285"/>
      <c r="L19285"/>
    </row>
    <row r="19286" spans="2:12" x14ac:dyDescent="0.2">
      <c r="B19286"/>
      <c r="C19286"/>
      <c r="J19286"/>
      <c r="K19286"/>
      <c r="L19286"/>
    </row>
    <row r="19287" spans="2:12" x14ac:dyDescent="0.2">
      <c r="B19287"/>
      <c r="C19287"/>
      <c r="J19287"/>
      <c r="K19287"/>
      <c r="L19287"/>
    </row>
    <row r="19288" spans="2:12" x14ac:dyDescent="0.2">
      <c r="B19288"/>
      <c r="C19288"/>
      <c r="J19288"/>
      <c r="K19288"/>
      <c r="L19288"/>
    </row>
    <row r="19289" spans="2:12" x14ac:dyDescent="0.2">
      <c r="B19289"/>
      <c r="C19289"/>
      <c r="J19289"/>
      <c r="K19289"/>
      <c r="L19289"/>
    </row>
    <row r="19290" spans="2:12" x14ac:dyDescent="0.2">
      <c r="B19290"/>
      <c r="C19290"/>
      <c r="J19290"/>
      <c r="K19290"/>
      <c r="L19290"/>
    </row>
    <row r="19291" spans="2:12" x14ac:dyDescent="0.2">
      <c r="B19291"/>
      <c r="C19291"/>
      <c r="J19291"/>
      <c r="K19291"/>
      <c r="L19291"/>
    </row>
    <row r="19292" spans="2:12" x14ac:dyDescent="0.2">
      <c r="B19292"/>
      <c r="C19292"/>
      <c r="J19292"/>
      <c r="K19292"/>
      <c r="L19292"/>
    </row>
    <row r="19293" spans="2:12" x14ac:dyDescent="0.2">
      <c r="B19293"/>
      <c r="C19293"/>
      <c r="J19293"/>
      <c r="K19293"/>
      <c r="L19293"/>
    </row>
    <row r="19294" spans="2:12" x14ac:dyDescent="0.2">
      <c r="B19294"/>
      <c r="C19294"/>
      <c r="J19294"/>
      <c r="K19294"/>
      <c r="L19294"/>
    </row>
    <row r="19295" spans="2:12" x14ac:dyDescent="0.2">
      <c r="B19295"/>
      <c r="C19295"/>
      <c r="J19295"/>
      <c r="K19295"/>
      <c r="L19295"/>
    </row>
    <row r="19296" spans="2:12" x14ac:dyDescent="0.2">
      <c r="B19296"/>
      <c r="C19296"/>
      <c r="J19296"/>
      <c r="K19296"/>
      <c r="L19296"/>
    </row>
    <row r="19297" spans="2:12" x14ac:dyDescent="0.2">
      <c r="B19297"/>
      <c r="C19297"/>
      <c r="J19297"/>
      <c r="K19297"/>
      <c r="L19297"/>
    </row>
    <row r="19298" spans="2:12" x14ac:dyDescent="0.2">
      <c r="B19298"/>
      <c r="C19298"/>
      <c r="J19298"/>
      <c r="K19298"/>
      <c r="L19298"/>
    </row>
    <row r="19299" spans="2:12" x14ac:dyDescent="0.2">
      <c r="B19299"/>
      <c r="C19299"/>
      <c r="J19299"/>
      <c r="K19299"/>
      <c r="L19299"/>
    </row>
    <row r="19300" spans="2:12" x14ac:dyDescent="0.2">
      <c r="B19300"/>
      <c r="C19300"/>
      <c r="J19300"/>
      <c r="K19300"/>
      <c r="L19300"/>
    </row>
    <row r="19301" spans="2:12" x14ac:dyDescent="0.2">
      <c r="B19301"/>
      <c r="C19301"/>
      <c r="J19301"/>
      <c r="K19301"/>
      <c r="L19301"/>
    </row>
    <row r="19302" spans="2:12" x14ac:dyDescent="0.2">
      <c r="B19302"/>
      <c r="C19302"/>
      <c r="J19302"/>
      <c r="K19302"/>
      <c r="L19302"/>
    </row>
    <row r="19303" spans="2:12" x14ac:dyDescent="0.2">
      <c r="B19303"/>
      <c r="C19303"/>
      <c r="J19303"/>
      <c r="K19303"/>
      <c r="L19303"/>
    </row>
    <row r="19304" spans="2:12" x14ac:dyDescent="0.2">
      <c r="B19304"/>
      <c r="C19304"/>
      <c r="J19304"/>
      <c r="K19304"/>
      <c r="L19304"/>
    </row>
    <row r="19305" spans="2:12" x14ac:dyDescent="0.2">
      <c r="B19305"/>
      <c r="C19305"/>
      <c r="J19305"/>
      <c r="K19305"/>
      <c r="L19305"/>
    </row>
    <row r="19306" spans="2:12" x14ac:dyDescent="0.2">
      <c r="B19306"/>
      <c r="C19306"/>
      <c r="J19306"/>
      <c r="K19306"/>
      <c r="L19306"/>
    </row>
    <row r="19307" spans="2:12" x14ac:dyDescent="0.2">
      <c r="B19307"/>
      <c r="C19307"/>
      <c r="J19307"/>
      <c r="K19307"/>
      <c r="L19307"/>
    </row>
    <row r="19308" spans="2:12" x14ac:dyDescent="0.2">
      <c r="B19308"/>
      <c r="C19308"/>
      <c r="J19308"/>
      <c r="K19308"/>
      <c r="L19308"/>
    </row>
    <row r="19309" spans="2:12" x14ac:dyDescent="0.2">
      <c r="B19309"/>
      <c r="C19309"/>
      <c r="J19309"/>
      <c r="K19309"/>
      <c r="L19309"/>
    </row>
    <row r="19310" spans="2:12" x14ac:dyDescent="0.2">
      <c r="B19310"/>
      <c r="C19310"/>
      <c r="J19310"/>
      <c r="K19310"/>
      <c r="L19310"/>
    </row>
    <row r="19311" spans="2:12" x14ac:dyDescent="0.2">
      <c r="B19311"/>
      <c r="C19311"/>
      <c r="J19311"/>
      <c r="K19311"/>
      <c r="L19311"/>
    </row>
    <row r="19312" spans="2:12" x14ac:dyDescent="0.2">
      <c r="B19312"/>
      <c r="C19312"/>
      <c r="J19312"/>
      <c r="K19312"/>
      <c r="L19312"/>
    </row>
    <row r="19313" spans="2:12" x14ac:dyDescent="0.2">
      <c r="B19313"/>
      <c r="C19313"/>
      <c r="J19313"/>
      <c r="K19313"/>
      <c r="L19313"/>
    </row>
    <row r="19314" spans="2:12" x14ac:dyDescent="0.2">
      <c r="B19314"/>
      <c r="C19314"/>
      <c r="J19314"/>
      <c r="K19314"/>
      <c r="L19314"/>
    </row>
    <row r="19315" spans="2:12" x14ac:dyDescent="0.2">
      <c r="B19315"/>
      <c r="C19315"/>
      <c r="J19315"/>
      <c r="K19315"/>
      <c r="L19315"/>
    </row>
    <row r="19316" spans="2:12" x14ac:dyDescent="0.2">
      <c r="B19316"/>
      <c r="C19316"/>
      <c r="J19316"/>
      <c r="K19316"/>
      <c r="L19316"/>
    </row>
    <row r="19317" spans="2:12" x14ac:dyDescent="0.2">
      <c r="B19317"/>
      <c r="C19317"/>
      <c r="J19317"/>
      <c r="K19317"/>
      <c r="L19317"/>
    </row>
    <row r="19318" spans="2:12" x14ac:dyDescent="0.2">
      <c r="B19318"/>
      <c r="C19318"/>
      <c r="J19318"/>
      <c r="K19318"/>
      <c r="L19318"/>
    </row>
    <row r="19319" spans="2:12" x14ac:dyDescent="0.2">
      <c r="B19319"/>
      <c r="C19319"/>
      <c r="J19319"/>
      <c r="K19319"/>
      <c r="L19319"/>
    </row>
    <row r="19320" spans="2:12" x14ac:dyDescent="0.2">
      <c r="B19320"/>
      <c r="C19320"/>
      <c r="J19320"/>
      <c r="K19320"/>
      <c r="L19320"/>
    </row>
    <row r="19321" spans="2:12" x14ac:dyDescent="0.2">
      <c r="B19321"/>
      <c r="C19321"/>
      <c r="J19321"/>
      <c r="K19321"/>
      <c r="L19321"/>
    </row>
    <row r="19322" spans="2:12" x14ac:dyDescent="0.2">
      <c r="B19322"/>
      <c r="C19322"/>
      <c r="J19322"/>
      <c r="K19322"/>
      <c r="L19322"/>
    </row>
    <row r="19323" spans="2:12" x14ac:dyDescent="0.2">
      <c r="B19323"/>
      <c r="C19323"/>
      <c r="J19323"/>
      <c r="K19323"/>
      <c r="L19323"/>
    </row>
    <row r="19324" spans="2:12" x14ac:dyDescent="0.2">
      <c r="B19324"/>
      <c r="C19324"/>
      <c r="J19324"/>
      <c r="K19324"/>
      <c r="L19324"/>
    </row>
    <row r="19325" spans="2:12" x14ac:dyDescent="0.2">
      <c r="B19325"/>
      <c r="C19325"/>
      <c r="J19325"/>
      <c r="K19325"/>
      <c r="L19325"/>
    </row>
    <row r="19326" spans="2:12" x14ac:dyDescent="0.2">
      <c r="B19326"/>
      <c r="C19326"/>
      <c r="J19326"/>
      <c r="K19326"/>
      <c r="L19326"/>
    </row>
    <row r="19327" spans="2:12" x14ac:dyDescent="0.2">
      <c r="B19327"/>
      <c r="C19327"/>
      <c r="J19327"/>
      <c r="K19327"/>
      <c r="L19327"/>
    </row>
    <row r="19328" spans="2:12" x14ac:dyDescent="0.2">
      <c r="B19328"/>
      <c r="C19328"/>
      <c r="J19328"/>
      <c r="K19328"/>
      <c r="L19328"/>
    </row>
    <row r="19329" spans="2:12" x14ac:dyDescent="0.2">
      <c r="B19329"/>
      <c r="C19329"/>
      <c r="J19329"/>
      <c r="K19329"/>
      <c r="L19329"/>
    </row>
    <row r="19330" spans="2:12" x14ac:dyDescent="0.2">
      <c r="B19330"/>
      <c r="C19330"/>
      <c r="J19330"/>
      <c r="K19330"/>
      <c r="L19330"/>
    </row>
    <row r="19331" spans="2:12" x14ac:dyDescent="0.2">
      <c r="B19331"/>
      <c r="C19331"/>
      <c r="J19331"/>
      <c r="K19331"/>
      <c r="L19331"/>
    </row>
    <row r="19332" spans="2:12" x14ac:dyDescent="0.2">
      <c r="B19332"/>
      <c r="C19332"/>
      <c r="J19332"/>
      <c r="K19332"/>
      <c r="L19332"/>
    </row>
    <row r="19333" spans="2:12" x14ac:dyDescent="0.2">
      <c r="B19333"/>
      <c r="C19333"/>
      <c r="J19333"/>
      <c r="K19333"/>
      <c r="L19333"/>
    </row>
    <row r="19334" spans="2:12" x14ac:dyDescent="0.2">
      <c r="B19334"/>
      <c r="C19334"/>
      <c r="J19334"/>
      <c r="K19334"/>
      <c r="L19334"/>
    </row>
    <row r="19335" spans="2:12" x14ac:dyDescent="0.2">
      <c r="B19335"/>
      <c r="C19335"/>
      <c r="J19335"/>
      <c r="K19335"/>
      <c r="L19335"/>
    </row>
    <row r="19336" spans="2:12" x14ac:dyDescent="0.2">
      <c r="B19336"/>
      <c r="C19336"/>
      <c r="J19336"/>
      <c r="K19336"/>
      <c r="L19336"/>
    </row>
    <row r="19337" spans="2:12" x14ac:dyDescent="0.2">
      <c r="B19337"/>
      <c r="C19337"/>
      <c r="J19337"/>
      <c r="K19337"/>
      <c r="L19337"/>
    </row>
    <row r="19338" spans="2:12" x14ac:dyDescent="0.2">
      <c r="B19338"/>
      <c r="C19338"/>
      <c r="J19338"/>
      <c r="K19338"/>
      <c r="L19338"/>
    </row>
    <row r="19339" spans="2:12" x14ac:dyDescent="0.2">
      <c r="B19339"/>
      <c r="C19339"/>
      <c r="J19339"/>
      <c r="K19339"/>
      <c r="L19339"/>
    </row>
    <row r="19340" spans="2:12" x14ac:dyDescent="0.2">
      <c r="B19340"/>
      <c r="C19340"/>
      <c r="J19340"/>
      <c r="K19340"/>
      <c r="L19340"/>
    </row>
    <row r="19341" spans="2:12" x14ac:dyDescent="0.2">
      <c r="B19341"/>
      <c r="C19341"/>
      <c r="J19341"/>
      <c r="K19341"/>
      <c r="L19341"/>
    </row>
    <row r="19342" spans="2:12" x14ac:dyDescent="0.2">
      <c r="B19342"/>
      <c r="C19342"/>
      <c r="J19342"/>
      <c r="K19342"/>
      <c r="L19342"/>
    </row>
    <row r="19343" spans="2:12" x14ac:dyDescent="0.2">
      <c r="B19343"/>
      <c r="C19343"/>
      <c r="J19343"/>
      <c r="K19343"/>
      <c r="L19343"/>
    </row>
    <row r="19344" spans="2:12" x14ac:dyDescent="0.2">
      <c r="B19344"/>
      <c r="C19344"/>
      <c r="J19344"/>
      <c r="K19344"/>
      <c r="L19344"/>
    </row>
    <row r="19345" spans="2:12" x14ac:dyDescent="0.2">
      <c r="B19345"/>
      <c r="C19345"/>
      <c r="J19345"/>
      <c r="K19345"/>
      <c r="L19345"/>
    </row>
    <row r="19346" spans="2:12" x14ac:dyDescent="0.2">
      <c r="B19346"/>
      <c r="C19346"/>
      <c r="J19346"/>
      <c r="K19346"/>
      <c r="L19346"/>
    </row>
    <row r="19347" spans="2:12" x14ac:dyDescent="0.2">
      <c r="B19347"/>
      <c r="C19347"/>
      <c r="J19347"/>
      <c r="K19347"/>
      <c r="L19347"/>
    </row>
    <row r="19348" spans="2:12" x14ac:dyDescent="0.2">
      <c r="B19348"/>
      <c r="C19348"/>
      <c r="J19348"/>
      <c r="K19348"/>
      <c r="L19348"/>
    </row>
    <row r="19349" spans="2:12" x14ac:dyDescent="0.2">
      <c r="B19349"/>
      <c r="C19349"/>
      <c r="J19349"/>
      <c r="K19349"/>
      <c r="L19349"/>
    </row>
    <row r="19350" spans="2:12" x14ac:dyDescent="0.2">
      <c r="B19350"/>
      <c r="C19350"/>
      <c r="J19350"/>
      <c r="K19350"/>
      <c r="L19350"/>
    </row>
    <row r="19351" spans="2:12" x14ac:dyDescent="0.2">
      <c r="B19351"/>
      <c r="C19351"/>
      <c r="J19351"/>
      <c r="K19351"/>
      <c r="L19351"/>
    </row>
    <row r="19352" spans="2:12" x14ac:dyDescent="0.2">
      <c r="B19352"/>
      <c r="C19352"/>
      <c r="J19352"/>
      <c r="K19352"/>
      <c r="L19352"/>
    </row>
    <row r="19353" spans="2:12" x14ac:dyDescent="0.2">
      <c r="B19353"/>
      <c r="C19353"/>
      <c r="J19353"/>
      <c r="K19353"/>
      <c r="L19353"/>
    </row>
    <row r="19354" spans="2:12" x14ac:dyDescent="0.2">
      <c r="B19354"/>
      <c r="C19354"/>
      <c r="J19354"/>
      <c r="K19354"/>
      <c r="L19354"/>
    </row>
    <row r="19355" spans="2:12" x14ac:dyDescent="0.2">
      <c r="B19355"/>
      <c r="C19355"/>
      <c r="J19355"/>
      <c r="K19355"/>
      <c r="L19355"/>
    </row>
    <row r="19356" spans="2:12" x14ac:dyDescent="0.2">
      <c r="B19356"/>
      <c r="C19356"/>
      <c r="J19356"/>
      <c r="K19356"/>
      <c r="L19356"/>
    </row>
    <row r="19357" spans="2:12" x14ac:dyDescent="0.2">
      <c r="B19357"/>
      <c r="C19357"/>
      <c r="J19357"/>
      <c r="K19357"/>
      <c r="L19357"/>
    </row>
    <row r="19358" spans="2:12" x14ac:dyDescent="0.2">
      <c r="B19358"/>
      <c r="C19358"/>
      <c r="J19358"/>
      <c r="K19358"/>
      <c r="L19358"/>
    </row>
    <row r="19359" spans="2:12" x14ac:dyDescent="0.2">
      <c r="B19359"/>
      <c r="C19359"/>
      <c r="J19359"/>
      <c r="K19359"/>
      <c r="L19359"/>
    </row>
    <row r="19360" spans="2:12" x14ac:dyDescent="0.2">
      <c r="B19360"/>
      <c r="C19360"/>
      <c r="J19360"/>
      <c r="K19360"/>
      <c r="L19360"/>
    </row>
    <row r="19361" spans="2:12" x14ac:dyDescent="0.2">
      <c r="B19361"/>
      <c r="C19361"/>
      <c r="J19361"/>
      <c r="K19361"/>
      <c r="L19361"/>
    </row>
    <row r="19362" spans="2:12" x14ac:dyDescent="0.2">
      <c r="B19362"/>
      <c r="C19362"/>
      <c r="J19362"/>
      <c r="K19362"/>
      <c r="L19362"/>
    </row>
    <row r="19363" spans="2:12" x14ac:dyDescent="0.2">
      <c r="B19363"/>
      <c r="C19363"/>
      <c r="J19363"/>
      <c r="K19363"/>
      <c r="L19363"/>
    </row>
    <row r="19364" spans="2:12" x14ac:dyDescent="0.2">
      <c r="B19364"/>
      <c r="C19364"/>
      <c r="J19364"/>
      <c r="K19364"/>
      <c r="L19364"/>
    </row>
    <row r="19365" spans="2:12" x14ac:dyDescent="0.2">
      <c r="B19365"/>
      <c r="C19365"/>
      <c r="J19365"/>
      <c r="K19365"/>
      <c r="L19365"/>
    </row>
    <row r="19366" spans="2:12" x14ac:dyDescent="0.2">
      <c r="B19366"/>
      <c r="C19366"/>
      <c r="J19366"/>
      <c r="K19366"/>
      <c r="L19366"/>
    </row>
    <row r="19367" spans="2:12" x14ac:dyDescent="0.2">
      <c r="B19367"/>
      <c r="C19367"/>
      <c r="J19367"/>
      <c r="K19367"/>
      <c r="L19367"/>
    </row>
    <row r="19368" spans="2:12" x14ac:dyDescent="0.2">
      <c r="B19368"/>
      <c r="C19368"/>
      <c r="J19368"/>
      <c r="K19368"/>
      <c r="L19368"/>
    </row>
    <row r="19369" spans="2:12" x14ac:dyDescent="0.2">
      <c r="B19369"/>
      <c r="C19369"/>
      <c r="J19369"/>
      <c r="K19369"/>
      <c r="L19369"/>
    </row>
    <row r="19370" spans="2:12" x14ac:dyDescent="0.2">
      <c r="B19370"/>
      <c r="C19370"/>
      <c r="J19370"/>
      <c r="K19370"/>
      <c r="L19370"/>
    </row>
    <row r="19371" spans="2:12" x14ac:dyDescent="0.2">
      <c r="B19371"/>
      <c r="C19371"/>
      <c r="J19371"/>
      <c r="K19371"/>
      <c r="L19371"/>
    </row>
    <row r="19372" spans="2:12" x14ac:dyDescent="0.2">
      <c r="B19372"/>
      <c r="C19372"/>
      <c r="J19372"/>
      <c r="K19372"/>
      <c r="L19372"/>
    </row>
    <row r="19373" spans="2:12" x14ac:dyDescent="0.2">
      <c r="B19373"/>
      <c r="C19373"/>
      <c r="J19373"/>
      <c r="K19373"/>
      <c r="L19373"/>
    </row>
    <row r="19374" spans="2:12" x14ac:dyDescent="0.2">
      <c r="B19374"/>
      <c r="C19374"/>
      <c r="J19374"/>
      <c r="K19374"/>
      <c r="L19374"/>
    </row>
    <row r="19375" spans="2:12" x14ac:dyDescent="0.2">
      <c r="B19375"/>
      <c r="C19375"/>
      <c r="J19375"/>
      <c r="K19375"/>
      <c r="L19375"/>
    </row>
    <row r="19376" spans="2:12" x14ac:dyDescent="0.2">
      <c r="B19376"/>
      <c r="C19376"/>
      <c r="J19376"/>
      <c r="K19376"/>
      <c r="L19376"/>
    </row>
    <row r="19377" spans="2:12" x14ac:dyDescent="0.2">
      <c r="B19377"/>
      <c r="C19377"/>
      <c r="J19377"/>
      <c r="K19377"/>
      <c r="L19377"/>
    </row>
    <row r="19378" spans="2:12" x14ac:dyDescent="0.2">
      <c r="B19378"/>
      <c r="C19378"/>
      <c r="J19378"/>
      <c r="K19378"/>
      <c r="L19378"/>
    </row>
    <row r="19379" spans="2:12" x14ac:dyDescent="0.2">
      <c r="B19379"/>
      <c r="C19379"/>
      <c r="J19379"/>
      <c r="K19379"/>
      <c r="L19379"/>
    </row>
    <row r="19380" spans="2:12" x14ac:dyDescent="0.2">
      <c r="B19380"/>
      <c r="C19380"/>
      <c r="J19380"/>
      <c r="K19380"/>
      <c r="L19380"/>
    </row>
    <row r="19381" spans="2:12" x14ac:dyDescent="0.2">
      <c r="B19381"/>
      <c r="C19381"/>
      <c r="J19381"/>
      <c r="K19381"/>
      <c r="L19381"/>
    </row>
    <row r="19382" spans="2:12" x14ac:dyDescent="0.2">
      <c r="B19382"/>
      <c r="C19382"/>
      <c r="J19382"/>
      <c r="K19382"/>
      <c r="L19382"/>
    </row>
    <row r="19383" spans="2:12" x14ac:dyDescent="0.2">
      <c r="B19383"/>
      <c r="C19383"/>
      <c r="J19383"/>
      <c r="K19383"/>
      <c r="L19383"/>
    </row>
    <row r="19384" spans="2:12" x14ac:dyDescent="0.2">
      <c r="B19384"/>
      <c r="C19384"/>
      <c r="J19384"/>
      <c r="K19384"/>
      <c r="L19384"/>
    </row>
    <row r="19385" spans="2:12" x14ac:dyDescent="0.2">
      <c r="B19385"/>
      <c r="C19385"/>
      <c r="J19385"/>
      <c r="K19385"/>
      <c r="L19385"/>
    </row>
    <row r="19386" spans="2:12" x14ac:dyDescent="0.2">
      <c r="B19386"/>
      <c r="C19386"/>
      <c r="J19386"/>
      <c r="K19386"/>
      <c r="L19386"/>
    </row>
    <row r="19387" spans="2:12" x14ac:dyDescent="0.2">
      <c r="B19387"/>
      <c r="C19387"/>
      <c r="J19387"/>
      <c r="K19387"/>
      <c r="L19387"/>
    </row>
    <row r="19388" spans="2:12" x14ac:dyDescent="0.2">
      <c r="B19388"/>
      <c r="C19388"/>
      <c r="J19388"/>
      <c r="K19388"/>
      <c r="L19388"/>
    </row>
    <row r="19389" spans="2:12" x14ac:dyDescent="0.2">
      <c r="B19389"/>
      <c r="C19389"/>
      <c r="J19389"/>
      <c r="K19389"/>
      <c r="L19389"/>
    </row>
    <row r="19390" spans="2:12" x14ac:dyDescent="0.2">
      <c r="B19390"/>
      <c r="C19390"/>
      <c r="J19390"/>
      <c r="K19390"/>
      <c r="L19390"/>
    </row>
    <row r="19391" spans="2:12" x14ac:dyDescent="0.2">
      <c r="B19391"/>
      <c r="C19391"/>
      <c r="J19391"/>
      <c r="K19391"/>
      <c r="L19391"/>
    </row>
    <row r="19392" spans="2:12" x14ac:dyDescent="0.2">
      <c r="B19392"/>
      <c r="C19392"/>
      <c r="J19392"/>
      <c r="K19392"/>
      <c r="L19392"/>
    </row>
    <row r="19393" spans="2:12" x14ac:dyDescent="0.2">
      <c r="B19393"/>
      <c r="C19393"/>
      <c r="J19393"/>
      <c r="K19393"/>
      <c r="L19393"/>
    </row>
    <row r="19394" spans="2:12" x14ac:dyDescent="0.2">
      <c r="B19394"/>
      <c r="C19394"/>
      <c r="J19394"/>
      <c r="K19394"/>
      <c r="L19394"/>
    </row>
    <row r="19395" spans="2:12" x14ac:dyDescent="0.2">
      <c r="B19395"/>
      <c r="C19395"/>
      <c r="J19395"/>
      <c r="K19395"/>
      <c r="L19395"/>
    </row>
    <row r="19396" spans="2:12" x14ac:dyDescent="0.2">
      <c r="B19396"/>
      <c r="C19396"/>
      <c r="J19396"/>
      <c r="K19396"/>
      <c r="L19396"/>
    </row>
    <row r="19397" spans="2:12" x14ac:dyDescent="0.2">
      <c r="B19397"/>
      <c r="C19397"/>
      <c r="J19397"/>
      <c r="K19397"/>
      <c r="L19397"/>
    </row>
    <row r="19398" spans="2:12" x14ac:dyDescent="0.2">
      <c r="B19398"/>
      <c r="C19398"/>
      <c r="J19398"/>
      <c r="K19398"/>
      <c r="L19398"/>
    </row>
    <row r="19399" spans="2:12" x14ac:dyDescent="0.2">
      <c r="B19399"/>
      <c r="C19399"/>
      <c r="J19399"/>
      <c r="K19399"/>
      <c r="L19399"/>
    </row>
    <row r="19400" spans="2:12" x14ac:dyDescent="0.2">
      <c r="B19400"/>
      <c r="C19400"/>
      <c r="J19400"/>
      <c r="K19400"/>
      <c r="L19400"/>
    </row>
    <row r="19401" spans="2:12" x14ac:dyDescent="0.2">
      <c r="B19401"/>
      <c r="C19401"/>
      <c r="J19401"/>
      <c r="K19401"/>
      <c r="L19401"/>
    </row>
    <row r="19402" spans="2:12" x14ac:dyDescent="0.2">
      <c r="B19402"/>
      <c r="C19402"/>
      <c r="J19402"/>
      <c r="K19402"/>
      <c r="L19402"/>
    </row>
    <row r="19403" spans="2:12" x14ac:dyDescent="0.2">
      <c r="B19403"/>
      <c r="C19403"/>
      <c r="J19403"/>
      <c r="K19403"/>
      <c r="L19403"/>
    </row>
    <row r="19404" spans="2:12" x14ac:dyDescent="0.2">
      <c r="B19404"/>
      <c r="C19404"/>
      <c r="J19404"/>
      <c r="K19404"/>
      <c r="L19404"/>
    </row>
    <row r="19405" spans="2:12" x14ac:dyDescent="0.2">
      <c r="B19405"/>
      <c r="C19405"/>
      <c r="J19405"/>
      <c r="K19405"/>
      <c r="L19405"/>
    </row>
    <row r="19406" spans="2:12" x14ac:dyDescent="0.2">
      <c r="B19406"/>
      <c r="C19406"/>
      <c r="J19406"/>
      <c r="K19406"/>
      <c r="L19406"/>
    </row>
    <row r="19407" spans="2:12" x14ac:dyDescent="0.2">
      <c r="B19407"/>
      <c r="C19407"/>
      <c r="J19407"/>
      <c r="K19407"/>
      <c r="L19407"/>
    </row>
    <row r="19408" spans="2:12" x14ac:dyDescent="0.2">
      <c r="B19408"/>
      <c r="C19408"/>
      <c r="J19408"/>
      <c r="K19408"/>
      <c r="L19408"/>
    </row>
    <row r="19409" spans="2:12" x14ac:dyDescent="0.2">
      <c r="B19409"/>
      <c r="C19409"/>
      <c r="J19409"/>
      <c r="K19409"/>
      <c r="L19409"/>
    </row>
    <row r="19410" spans="2:12" x14ac:dyDescent="0.2">
      <c r="B19410"/>
      <c r="C19410"/>
      <c r="J19410"/>
      <c r="K19410"/>
      <c r="L19410"/>
    </row>
    <row r="19411" spans="2:12" x14ac:dyDescent="0.2">
      <c r="B19411"/>
      <c r="C19411"/>
      <c r="J19411"/>
      <c r="K19411"/>
      <c r="L19411"/>
    </row>
    <row r="19412" spans="2:12" x14ac:dyDescent="0.2">
      <c r="B19412"/>
      <c r="C19412"/>
      <c r="J19412"/>
      <c r="K19412"/>
      <c r="L19412"/>
    </row>
    <row r="19413" spans="2:12" x14ac:dyDescent="0.2">
      <c r="B19413"/>
      <c r="C19413"/>
      <c r="J19413"/>
      <c r="K19413"/>
      <c r="L19413"/>
    </row>
    <row r="19414" spans="2:12" x14ac:dyDescent="0.2">
      <c r="B19414"/>
      <c r="C19414"/>
      <c r="J19414"/>
      <c r="K19414"/>
      <c r="L19414"/>
    </row>
    <row r="19415" spans="2:12" x14ac:dyDescent="0.2">
      <c r="B19415"/>
      <c r="C19415"/>
      <c r="J19415"/>
      <c r="K19415"/>
      <c r="L19415"/>
    </row>
    <row r="19416" spans="2:12" x14ac:dyDescent="0.2">
      <c r="B19416"/>
      <c r="C19416"/>
      <c r="J19416"/>
      <c r="K19416"/>
      <c r="L19416"/>
    </row>
    <row r="19417" spans="2:12" x14ac:dyDescent="0.2">
      <c r="B19417"/>
      <c r="C19417"/>
      <c r="J19417"/>
      <c r="K19417"/>
      <c r="L19417"/>
    </row>
    <row r="19418" spans="2:12" x14ac:dyDescent="0.2">
      <c r="B19418"/>
      <c r="C19418"/>
      <c r="J19418"/>
      <c r="K19418"/>
      <c r="L19418"/>
    </row>
    <row r="19419" spans="2:12" x14ac:dyDescent="0.2">
      <c r="B19419"/>
      <c r="C19419"/>
      <c r="J19419"/>
      <c r="K19419"/>
      <c r="L19419"/>
    </row>
    <row r="19420" spans="2:12" x14ac:dyDescent="0.2">
      <c r="B19420"/>
      <c r="C19420"/>
      <c r="J19420"/>
      <c r="K19420"/>
      <c r="L19420"/>
    </row>
    <row r="19421" spans="2:12" x14ac:dyDescent="0.2">
      <c r="B19421"/>
      <c r="C19421"/>
      <c r="J19421"/>
      <c r="K19421"/>
      <c r="L19421"/>
    </row>
    <row r="19422" spans="2:12" x14ac:dyDescent="0.2">
      <c r="B19422"/>
      <c r="C19422"/>
      <c r="J19422"/>
      <c r="K19422"/>
      <c r="L19422"/>
    </row>
    <row r="19423" spans="2:12" x14ac:dyDescent="0.2">
      <c r="B19423"/>
      <c r="C19423"/>
      <c r="J19423"/>
      <c r="K19423"/>
      <c r="L19423"/>
    </row>
    <row r="19424" spans="2:12" x14ac:dyDescent="0.2">
      <c r="B19424"/>
      <c r="C19424"/>
      <c r="J19424"/>
      <c r="K19424"/>
      <c r="L19424"/>
    </row>
    <row r="19425" spans="2:12" x14ac:dyDescent="0.2">
      <c r="B19425"/>
      <c r="C19425"/>
      <c r="J19425"/>
      <c r="K19425"/>
      <c r="L19425"/>
    </row>
    <row r="19426" spans="2:12" x14ac:dyDescent="0.2">
      <c r="B19426"/>
      <c r="C19426"/>
      <c r="J19426"/>
      <c r="K19426"/>
      <c r="L19426"/>
    </row>
    <row r="19427" spans="2:12" x14ac:dyDescent="0.2">
      <c r="B19427"/>
      <c r="C19427"/>
      <c r="J19427"/>
      <c r="K19427"/>
      <c r="L19427"/>
    </row>
    <row r="19428" spans="2:12" x14ac:dyDescent="0.2">
      <c r="B19428"/>
      <c r="C19428"/>
      <c r="J19428"/>
      <c r="K19428"/>
      <c r="L19428"/>
    </row>
    <row r="19429" spans="2:12" x14ac:dyDescent="0.2">
      <c r="B19429"/>
      <c r="C19429"/>
      <c r="J19429"/>
      <c r="K19429"/>
      <c r="L19429"/>
    </row>
    <row r="19430" spans="2:12" x14ac:dyDescent="0.2">
      <c r="B19430"/>
      <c r="C19430"/>
      <c r="J19430"/>
      <c r="K19430"/>
      <c r="L19430"/>
    </row>
    <row r="19431" spans="2:12" x14ac:dyDescent="0.2">
      <c r="B19431"/>
      <c r="C19431"/>
      <c r="J19431"/>
      <c r="K19431"/>
      <c r="L19431"/>
    </row>
    <row r="19432" spans="2:12" x14ac:dyDescent="0.2">
      <c r="B19432"/>
      <c r="C19432"/>
      <c r="J19432"/>
      <c r="K19432"/>
      <c r="L19432"/>
    </row>
    <row r="19433" spans="2:12" x14ac:dyDescent="0.2">
      <c r="B19433"/>
      <c r="C19433"/>
      <c r="J19433"/>
      <c r="K19433"/>
      <c r="L19433"/>
    </row>
    <row r="19434" spans="2:12" x14ac:dyDescent="0.2">
      <c r="B19434"/>
      <c r="C19434"/>
      <c r="J19434"/>
      <c r="K19434"/>
      <c r="L19434"/>
    </row>
    <row r="19435" spans="2:12" x14ac:dyDescent="0.2">
      <c r="B19435"/>
      <c r="C19435"/>
      <c r="J19435"/>
      <c r="K19435"/>
      <c r="L19435"/>
    </row>
    <row r="19436" spans="2:12" x14ac:dyDescent="0.2">
      <c r="B19436"/>
      <c r="C19436"/>
      <c r="J19436"/>
      <c r="K19436"/>
      <c r="L19436"/>
    </row>
    <row r="19437" spans="2:12" x14ac:dyDescent="0.2">
      <c r="B19437"/>
      <c r="C19437"/>
      <c r="J19437"/>
      <c r="K19437"/>
      <c r="L19437"/>
    </row>
    <row r="19438" spans="2:12" x14ac:dyDescent="0.2">
      <c r="B19438"/>
      <c r="C19438"/>
      <c r="J19438"/>
      <c r="K19438"/>
      <c r="L19438"/>
    </row>
    <row r="19439" spans="2:12" x14ac:dyDescent="0.2">
      <c r="B19439"/>
      <c r="C19439"/>
      <c r="J19439"/>
      <c r="K19439"/>
      <c r="L19439"/>
    </row>
    <row r="19440" spans="2:12" x14ac:dyDescent="0.2">
      <c r="B19440"/>
      <c r="C19440"/>
      <c r="J19440"/>
      <c r="K19440"/>
      <c r="L19440"/>
    </row>
    <row r="19441" spans="2:12" x14ac:dyDescent="0.2">
      <c r="B19441"/>
      <c r="C19441"/>
      <c r="J19441"/>
      <c r="K19441"/>
      <c r="L19441"/>
    </row>
    <row r="19442" spans="2:12" x14ac:dyDescent="0.2">
      <c r="B19442"/>
      <c r="C19442"/>
      <c r="J19442"/>
      <c r="K19442"/>
      <c r="L19442"/>
    </row>
    <row r="19443" spans="2:12" x14ac:dyDescent="0.2">
      <c r="B19443"/>
      <c r="C19443"/>
      <c r="J19443"/>
      <c r="K19443"/>
      <c r="L19443"/>
    </row>
    <row r="19444" spans="2:12" x14ac:dyDescent="0.2">
      <c r="B19444"/>
      <c r="C19444"/>
      <c r="J19444"/>
      <c r="K19444"/>
      <c r="L19444"/>
    </row>
    <row r="19445" spans="2:12" x14ac:dyDescent="0.2">
      <c r="B19445"/>
      <c r="C19445"/>
      <c r="J19445"/>
      <c r="K19445"/>
      <c r="L19445"/>
    </row>
    <row r="19446" spans="2:12" x14ac:dyDescent="0.2">
      <c r="B19446"/>
      <c r="C19446"/>
      <c r="J19446"/>
      <c r="K19446"/>
      <c r="L19446"/>
    </row>
    <row r="19447" spans="2:12" x14ac:dyDescent="0.2">
      <c r="B19447"/>
      <c r="C19447"/>
      <c r="J19447"/>
      <c r="K19447"/>
      <c r="L19447"/>
    </row>
    <row r="19448" spans="2:12" x14ac:dyDescent="0.2">
      <c r="B19448"/>
      <c r="C19448"/>
      <c r="J19448"/>
      <c r="K19448"/>
      <c r="L19448"/>
    </row>
    <row r="19449" spans="2:12" x14ac:dyDescent="0.2">
      <c r="B19449"/>
      <c r="C19449"/>
      <c r="J19449"/>
      <c r="K19449"/>
      <c r="L19449"/>
    </row>
    <row r="19450" spans="2:12" x14ac:dyDescent="0.2">
      <c r="B19450"/>
      <c r="C19450"/>
      <c r="J19450"/>
      <c r="K19450"/>
      <c r="L19450"/>
    </row>
    <row r="19451" spans="2:12" x14ac:dyDescent="0.2">
      <c r="B19451"/>
      <c r="C19451"/>
      <c r="J19451"/>
      <c r="K19451"/>
      <c r="L19451"/>
    </row>
    <row r="19452" spans="2:12" x14ac:dyDescent="0.2">
      <c r="B19452"/>
      <c r="C19452"/>
      <c r="J19452"/>
      <c r="K19452"/>
      <c r="L19452"/>
    </row>
    <row r="19453" spans="2:12" x14ac:dyDescent="0.2">
      <c r="B19453"/>
      <c r="C19453"/>
      <c r="J19453"/>
      <c r="K19453"/>
      <c r="L19453"/>
    </row>
    <row r="19454" spans="2:12" x14ac:dyDescent="0.2">
      <c r="B19454"/>
      <c r="C19454"/>
      <c r="J19454"/>
      <c r="K19454"/>
      <c r="L19454"/>
    </row>
    <row r="19455" spans="2:12" x14ac:dyDescent="0.2">
      <c r="B19455"/>
      <c r="C19455"/>
      <c r="J19455"/>
      <c r="K19455"/>
      <c r="L19455"/>
    </row>
    <row r="19456" spans="2:12" x14ac:dyDescent="0.2">
      <c r="B19456"/>
      <c r="C19456"/>
      <c r="J19456"/>
      <c r="K19456"/>
      <c r="L19456"/>
    </row>
    <row r="19457" spans="2:12" x14ac:dyDescent="0.2">
      <c r="B19457"/>
      <c r="C19457"/>
      <c r="J19457"/>
      <c r="K19457"/>
      <c r="L19457"/>
    </row>
    <row r="19458" spans="2:12" x14ac:dyDescent="0.2">
      <c r="B19458"/>
      <c r="C19458"/>
      <c r="J19458"/>
      <c r="K19458"/>
      <c r="L19458"/>
    </row>
    <row r="19459" spans="2:12" x14ac:dyDescent="0.2">
      <c r="B19459"/>
      <c r="C19459"/>
      <c r="J19459"/>
      <c r="K19459"/>
      <c r="L19459"/>
    </row>
    <row r="19460" spans="2:12" x14ac:dyDescent="0.2">
      <c r="B19460"/>
      <c r="C19460"/>
      <c r="J19460"/>
      <c r="K19460"/>
      <c r="L19460"/>
    </row>
    <row r="19461" spans="2:12" x14ac:dyDescent="0.2">
      <c r="B19461"/>
      <c r="C19461"/>
      <c r="J19461"/>
      <c r="K19461"/>
      <c r="L19461"/>
    </row>
    <row r="19462" spans="2:12" x14ac:dyDescent="0.2">
      <c r="B19462"/>
      <c r="C19462"/>
      <c r="J19462"/>
      <c r="K19462"/>
      <c r="L19462"/>
    </row>
    <row r="19463" spans="2:12" x14ac:dyDescent="0.2">
      <c r="B19463"/>
      <c r="C19463"/>
      <c r="J19463"/>
      <c r="K19463"/>
      <c r="L19463"/>
    </row>
    <row r="19464" spans="2:12" x14ac:dyDescent="0.2">
      <c r="B19464"/>
      <c r="C19464"/>
      <c r="J19464"/>
      <c r="K19464"/>
      <c r="L19464"/>
    </row>
    <row r="19465" spans="2:12" x14ac:dyDescent="0.2">
      <c r="B19465"/>
      <c r="C19465"/>
      <c r="J19465"/>
      <c r="K19465"/>
      <c r="L19465"/>
    </row>
    <row r="19466" spans="2:12" x14ac:dyDescent="0.2">
      <c r="B19466"/>
      <c r="C19466"/>
      <c r="J19466"/>
      <c r="K19466"/>
      <c r="L19466"/>
    </row>
    <row r="19467" spans="2:12" x14ac:dyDescent="0.2">
      <c r="B19467"/>
      <c r="C19467"/>
      <c r="J19467"/>
      <c r="K19467"/>
      <c r="L19467"/>
    </row>
    <row r="19468" spans="2:12" x14ac:dyDescent="0.2">
      <c r="B19468"/>
      <c r="C19468"/>
      <c r="J19468"/>
      <c r="K19468"/>
      <c r="L19468"/>
    </row>
    <row r="19469" spans="2:12" x14ac:dyDescent="0.2">
      <c r="B19469"/>
      <c r="C19469"/>
      <c r="J19469"/>
      <c r="K19469"/>
      <c r="L19469"/>
    </row>
    <row r="19470" spans="2:12" x14ac:dyDescent="0.2">
      <c r="B19470"/>
      <c r="C19470"/>
      <c r="J19470"/>
      <c r="K19470"/>
      <c r="L19470"/>
    </row>
    <row r="19471" spans="2:12" x14ac:dyDescent="0.2">
      <c r="B19471"/>
      <c r="C19471"/>
      <c r="J19471"/>
      <c r="K19471"/>
      <c r="L19471"/>
    </row>
    <row r="19472" spans="2:12" x14ac:dyDescent="0.2">
      <c r="B19472"/>
      <c r="C19472"/>
      <c r="J19472"/>
      <c r="K19472"/>
      <c r="L19472"/>
    </row>
    <row r="19473" spans="2:12" x14ac:dyDescent="0.2">
      <c r="B19473"/>
      <c r="C19473"/>
      <c r="J19473"/>
      <c r="K19473"/>
      <c r="L19473"/>
    </row>
    <row r="19474" spans="2:12" x14ac:dyDescent="0.2">
      <c r="B19474"/>
      <c r="C19474"/>
      <c r="J19474"/>
      <c r="K19474"/>
      <c r="L19474"/>
    </row>
    <row r="19475" spans="2:12" x14ac:dyDescent="0.2">
      <c r="B19475"/>
      <c r="C19475"/>
      <c r="J19475"/>
      <c r="K19475"/>
      <c r="L19475"/>
    </row>
    <row r="19476" spans="2:12" x14ac:dyDescent="0.2">
      <c r="B19476"/>
      <c r="C19476"/>
      <c r="J19476"/>
      <c r="K19476"/>
      <c r="L19476"/>
    </row>
    <row r="19477" spans="2:12" x14ac:dyDescent="0.2">
      <c r="B19477"/>
      <c r="C19477"/>
      <c r="J19477"/>
      <c r="K19477"/>
      <c r="L19477"/>
    </row>
    <row r="19478" spans="2:12" x14ac:dyDescent="0.2">
      <c r="B19478"/>
      <c r="C19478"/>
      <c r="J19478"/>
      <c r="K19478"/>
      <c r="L19478"/>
    </row>
    <row r="19479" spans="2:12" x14ac:dyDescent="0.2">
      <c r="B19479"/>
      <c r="C19479"/>
      <c r="J19479"/>
      <c r="K19479"/>
      <c r="L19479"/>
    </row>
    <row r="19480" spans="2:12" x14ac:dyDescent="0.2">
      <c r="B19480"/>
      <c r="C19480"/>
      <c r="J19480"/>
      <c r="K19480"/>
      <c r="L19480"/>
    </row>
    <row r="19481" spans="2:12" x14ac:dyDescent="0.2">
      <c r="B19481"/>
      <c r="C19481"/>
      <c r="J19481"/>
      <c r="K19481"/>
      <c r="L19481"/>
    </row>
    <row r="19482" spans="2:12" x14ac:dyDescent="0.2">
      <c r="B19482"/>
      <c r="C19482"/>
      <c r="J19482"/>
      <c r="K19482"/>
      <c r="L19482"/>
    </row>
    <row r="19483" spans="2:12" x14ac:dyDescent="0.2">
      <c r="B19483"/>
      <c r="C19483"/>
      <c r="J19483"/>
      <c r="K19483"/>
      <c r="L19483"/>
    </row>
    <row r="19484" spans="2:12" x14ac:dyDescent="0.2">
      <c r="B19484"/>
      <c r="C19484"/>
      <c r="J19484"/>
      <c r="K19484"/>
      <c r="L19484"/>
    </row>
    <row r="19485" spans="2:12" x14ac:dyDescent="0.2">
      <c r="B19485"/>
      <c r="C19485"/>
      <c r="J19485"/>
      <c r="K19485"/>
      <c r="L19485"/>
    </row>
    <row r="19486" spans="2:12" x14ac:dyDescent="0.2">
      <c r="B19486"/>
      <c r="C19486"/>
      <c r="J19486"/>
      <c r="K19486"/>
      <c r="L19486"/>
    </row>
    <row r="19487" spans="2:12" x14ac:dyDescent="0.2">
      <c r="B19487"/>
      <c r="C19487"/>
      <c r="J19487"/>
      <c r="K19487"/>
      <c r="L19487"/>
    </row>
    <row r="19488" spans="2:12" x14ac:dyDescent="0.2">
      <c r="B19488"/>
      <c r="C19488"/>
      <c r="J19488"/>
      <c r="K19488"/>
      <c r="L19488"/>
    </row>
    <row r="19489" spans="2:12" x14ac:dyDescent="0.2">
      <c r="B19489"/>
      <c r="C19489"/>
      <c r="J19489"/>
      <c r="K19489"/>
      <c r="L19489"/>
    </row>
    <row r="19490" spans="2:12" x14ac:dyDescent="0.2">
      <c r="B19490"/>
      <c r="C19490"/>
      <c r="J19490"/>
      <c r="K19490"/>
      <c r="L19490"/>
    </row>
    <row r="19491" spans="2:12" x14ac:dyDescent="0.2">
      <c r="B19491"/>
      <c r="C19491"/>
      <c r="J19491"/>
      <c r="K19491"/>
      <c r="L19491"/>
    </row>
    <row r="19492" spans="2:12" x14ac:dyDescent="0.2">
      <c r="B19492"/>
      <c r="C19492"/>
      <c r="J19492"/>
      <c r="K19492"/>
      <c r="L19492"/>
    </row>
    <row r="19493" spans="2:12" x14ac:dyDescent="0.2">
      <c r="B19493"/>
      <c r="C19493"/>
      <c r="J19493"/>
      <c r="K19493"/>
      <c r="L19493"/>
    </row>
    <row r="19494" spans="2:12" x14ac:dyDescent="0.2">
      <c r="B19494"/>
      <c r="C19494"/>
      <c r="J19494"/>
      <c r="K19494"/>
      <c r="L19494"/>
    </row>
    <row r="19495" spans="2:12" x14ac:dyDescent="0.2">
      <c r="B19495"/>
      <c r="C19495"/>
      <c r="J19495"/>
      <c r="K19495"/>
      <c r="L19495"/>
    </row>
    <row r="19496" spans="2:12" x14ac:dyDescent="0.2">
      <c r="B19496"/>
      <c r="C19496"/>
      <c r="J19496"/>
      <c r="K19496"/>
      <c r="L19496"/>
    </row>
    <row r="19497" spans="2:12" x14ac:dyDescent="0.2">
      <c r="B19497"/>
      <c r="C19497"/>
      <c r="J19497"/>
      <c r="K19497"/>
      <c r="L19497"/>
    </row>
    <row r="19498" spans="2:12" x14ac:dyDescent="0.2">
      <c r="B19498"/>
      <c r="C19498"/>
      <c r="J19498"/>
      <c r="K19498"/>
      <c r="L19498"/>
    </row>
    <row r="19499" spans="2:12" x14ac:dyDescent="0.2">
      <c r="B19499"/>
      <c r="C19499"/>
      <c r="J19499"/>
      <c r="K19499"/>
      <c r="L19499"/>
    </row>
    <row r="19500" spans="2:12" x14ac:dyDescent="0.2">
      <c r="B19500"/>
      <c r="C19500"/>
      <c r="J19500"/>
      <c r="K19500"/>
      <c r="L19500"/>
    </row>
    <row r="19501" spans="2:12" x14ac:dyDescent="0.2">
      <c r="B19501"/>
      <c r="C19501"/>
      <c r="J19501"/>
      <c r="K19501"/>
      <c r="L19501"/>
    </row>
    <row r="19502" spans="2:12" x14ac:dyDescent="0.2">
      <c r="B19502"/>
      <c r="C19502"/>
      <c r="J19502"/>
      <c r="K19502"/>
      <c r="L19502"/>
    </row>
    <row r="19503" spans="2:12" x14ac:dyDescent="0.2">
      <c r="B19503"/>
      <c r="C19503"/>
      <c r="J19503"/>
      <c r="K19503"/>
      <c r="L19503"/>
    </row>
    <row r="19504" spans="2:12" x14ac:dyDescent="0.2">
      <c r="B19504"/>
      <c r="C19504"/>
      <c r="J19504"/>
      <c r="K19504"/>
      <c r="L19504"/>
    </row>
    <row r="19505" spans="2:12" x14ac:dyDescent="0.2">
      <c r="B19505"/>
      <c r="C19505"/>
      <c r="J19505"/>
      <c r="K19505"/>
      <c r="L19505"/>
    </row>
    <row r="19506" spans="2:12" x14ac:dyDescent="0.2">
      <c r="B19506"/>
      <c r="C19506"/>
      <c r="J19506"/>
      <c r="K19506"/>
      <c r="L19506"/>
    </row>
    <row r="19507" spans="2:12" x14ac:dyDescent="0.2">
      <c r="B19507"/>
      <c r="C19507"/>
      <c r="J19507"/>
      <c r="K19507"/>
      <c r="L19507"/>
    </row>
    <row r="19508" spans="2:12" x14ac:dyDescent="0.2">
      <c r="B19508"/>
      <c r="C19508"/>
      <c r="J19508"/>
      <c r="K19508"/>
      <c r="L19508"/>
    </row>
    <row r="19509" spans="2:12" x14ac:dyDescent="0.2">
      <c r="B19509"/>
      <c r="C19509"/>
      <c r="J19509"/>
      <c r="K19509"/>
      <c r="L19509"/>
    </row>
    <row r="19510" spans="2:12" x14ac:dyDescent="0.2">
      <c r="B19510"/>
      <c r="C19510"/>
      <c r="J19510"/>
      <c r="K19510"/>
      <c r="L19510"/>
    </row>
    <row r="19511" spans="2:12" x14ac:dyDescent="0.2">
      <c r="B19511"/>
      <c r="C19511"/>
      <c r="J19511"/>
      <c r="K19511"/>
      <c r="L19511"/>
    </row>
    <row r="19512" spans="2:12" x14ac:dyDescent="0.2">
      <c r="B19512"/>
      <c r="C19512"/>
      <c r="J19512"/>
      <c r="K19512"/>
      <c r="L19512"/>
    </row>
    <row r="19513" spans="2:12" x14ac:dyDescent="0.2">
      <c r="B19513"/>
      <c r="C19513"/>
      <c r="J19513"/>
      <c r="K19513"/>
      <c r="L19513"/>
    </row>
    <row r="19514" spans="2:12" x14ac:dyDescent="0.2">
      <c r="B19514"/>
      <c r="C19514"/>
      <c r="J19514"/>
      <c r="K19514"/>
      <c r="L19514"/>
    </row>
    <row r="19515" spans="2:12" x14ac:dyDescent="0.2">
      <c r="B19515"/>
      <c r="C19515"/>
      <c r="J19515"/>
      <c r="K19515"/>
      <c r="L19515"/>
    </row>
    <row r="19516" spans="2:12" x14ac:dyDescent="0.2">
      <c r="B19516"/>
      <c r="C19516"/>
      <c r="J19516"/>
      <c r="K19516"/>
      <c r="L19516"/>
    </row>
    <row r="19517" spans="2:12" x14ac:dyDescent="0.2">
      <c r="B19517"/>
      <c r="C19517"/>
      <c r="J19517"/>
      <c r="K19517"/>
      <c r="L19517"/>
    </row>
    <row r="19518" spans="2:12" x14ac:dyDescent="0.2">
      <c r="B19518"/>
      <c r="C19518"/>
      <c r="J19518"/>
      <c r="K19518"/>
      <c r="L19518"/>
    </row>
    <row r="19519" spans="2:12" x14ac:dyDescent="0.2">
      <c r="B19519"/>
      <c r="C19519"/>
      <c r="J19519"/>
      <c r="K19519"/>
      <c r="L19519"/>
    </row>
    <row r="19520" spans="2:12" x14ac:dyDescent="0.2">
      <c r="B19520"/>
      <c r="C19520"/>
      <c r="J19520"/>
      <c r="K19520"/>
      <c r="L19520"/>
    </row>
    <row r="19521" spans="2:12" x14ac:dyDescent="0.2">
      <c r="B19521"/>
      <c r="C19521"/>
      <c r="J19521"/>
      <c r="K19521"/>
      <c r="L19521"/>
    </row>
    <row r="19522" spans="2:12" x14ac:dyDescent="0.2">
      <c r="B19522"/>
      <c r="C19522"/>
      <c r="J19522"/>
      <c r="K19522"/>
      <c r="L19522"/>
    </row>
    <row r="19523" spans="2:12" x14ac:dyDescent="0.2">
      <c r="B19523"/>
      <c r="C19523"/>
      <c r="J19523"/>
      <c r="K19523"/>
      <c r="L19523"/>
    </row>
    <row r="19524" spans="2:12" x14ac:dyDescent="0.2">
      <c r="B19524"/>
      <c r="C19524"/>
      <c r="J19524"/>
      <c r="K19524"/>
      <c r="L19524"/>
    </row>
    <row r="19525" spans="2:12" x14ac:dyDescent="0.2">
      <c r="B19525"/>
      <c r="C19525"/>
      <c r="J19525"/>
      <c r="K19525"/>
      <c r="L19525"/>
    </row>
    <row r="19526" spans="2:12" x14ac:dyDescent="0.2">
      <c r="B19526"/>
      <c r="C19526"/>
      <c r="J19526"/>
      <c r="K19526"/>
      <c r="L19526"/>
    </row>
    <row r="19527" spans="2:12" x14ac:dyDescent="0.2">
      <c r="B19527"/>
      <c r="C19527"/>
      <c r="J19527"/>
      <c r="K19527"/>
      <c r="L19527"/>
    </row>
    <row r="19528" spans="2:12" x14ac:dyDescent="0.2">
      <c r="B19528"/>
      <c r="C19528"/>
      <c r="J19528"/>
      <c r="K19528"/>
      <c r="L19528"/>
    </row>
    <row r="19529" spans="2:12" x14ac:dyDescent="0.2">
      <c r="B19529"/>
      <c r="C19529"/>
      <c r="J19529"/>
      <c r="K19529"/>
      <c r="L19529"/>
    </row>
    <row r="19530" spans="2:12" x14ac:dyDescent="0.2">
      <c r="B19530"/>
      <c r="C19530"/>
      <c r="J19530"/>
      <c r="K19530"/>
      <c r="L19530"/>
    </row>
    <row r="19531" spans="2:12" x14ac:dyDescent="0.2">
      <c r="B19531"/>
      <c r="C19531"/>
      <c r="J19531"/>
      <c r="K19531"/>
      <c r="L19531"/>
    </row>
    <row r="19532" spans="2:12" x14ac:dyDescent="0.2">
      <c r="B19532"/>
      <c r="C19532"/>
      <c r="J19532"/>
      <c r="K19532"/>
      <c r="L19532"/>
    </row>
    <row r="19533" spans="2:12" x14ac:dyDescent="0.2">
      <c r="B19533"/>
      <c r="C19533"/>
      <c r="J19533"/>
      <c r="K19533"/>
      <c r="L19533"/>
    </row>
    <row r="19534" spans="2:12" x14ac:dyDescent="0.2">
      <c r="B19534"/>
      <c r="C19534"/>
      <c r="J19534"/>
      <c r="K19534"/>
      <c r="L19534"/>
    </row>
    <row r="19535" spans="2:12" x14ac:dyDescent="0.2">
      <c r="B19535"/>
      <c r="C19535"/>
      <c r="J19535"/>
      <c r="K19535"/>
      <c r="L19535"/>
    </row>
    <row r="19536" spans="2:12" x14ac:dyDescent="0.2">
      <c r="B19536"/>
      <c r="C19536"/>
      <c r="J19536"/>
      <c r="K19536"/>
      <c r="L19536"/>
    </row>
    <row r="19537" spans="2:12" x14ac:dyDescent="0.2">
      <c r="B19537"/>
      <c r="C19537"/>
      <c r="J19537"/>
      <c r="K19537"/>
      <c r="L19537"/>
    </row>
    <row r="19538" spans="2:12" x14ac:dyDescent="0.2">
      <c r="B19538"/>
      <c r="C19538"/>
      <c r="J19538"/>
      <c r="K19538"/>
      <c r="L19538"/>
    </row>
    <row r="19539" spans="2:12" x14ac:dyDescent="0.2">
      <c r="B19539"/>
      <c r="C19539"/>
      <c r="J19539"/>
      <c r="K19539"/>
      <c r="L19539"/>
    </row>
    <row r="19540" spans="2:12" x14ac:dyDescent="0.2">
      <c r="B19540"/>
      <c r="C19540"/>
      <c r="J19540"/>
      <c r="K19540"/>
      <c r="L19540"/>
    </row>
    <row r="19541" spans="2:12" x14ac:dyDescent="0.2">
      <c r="B19541"/>
      <c r="C19541"/>
      <c r="J19541"/>
      <c r="K19541"/>
      <c r="L19541"/>
    </row>
    <row r="19542" spans="2:12" x14ac:dyDescent="0.2">
      <c r="B19542"/>
      <c r="C19542"/>
      <c r="J19542"/>
      <c r="K19542"/>
      <c r="L19542"/>
    </row>
    <row r="19543" spans="2:12" x14ac:dyDescent="0.2">
      <c r="B19543"/>
      <c r="C19543"/>
      <c r="J19543"/>
      <c r="K19543"/>
      <c r="L19543"/>
    </row>
    <row r="19544" spans="2:12" x14ac:dyDescent="0.2">
      <c r="B19544"/>
      <c r="C19544"/>
      <c r="J19544"/>
      <c r="K19544"/>
      <c r="L19544"/>
    </row>
    <row r="19545" spans="2:12" x14ac:dyDescent="0.2">
      <c r="B19545"/>
      <c r="C19545"/>
      <c r="J19545"/>
      <c r="K19545"/>
      <c r="L19545"/>
    </row>
    <row r="19546" spans="2:12" x14ac:dyDescent="0.2">
      <c r="B19546"/>
      <c r="C19546"/>
      <c r="J19546"/>
      <c r="K19546"/>
      <c r="L19546"/>
    </row>
    <row r="19547" spans="2:12" x14ac:dyDescent="0.2">
      <c r="B19547"/>
      <c r="C19547"/>
      <c r="J19547"/>
      <c r="K19547"/>
      <c r="L19547"/>
    </row>
    <row r="19548" spans="2:12" x14ac:dyDescent="0.2">
      <c r="B19548"/>
      <c r="C19548"/>
      <c r="J19548"/>
      <c r="K19548"/>
      <c r="L19548"/>
    </row>
    <row r="19549" spans="2:12" x14ac:dyDescent="0.2">
      <c r="B19549"/>
      <c r="C19549"/>
      <c r="J19549"/>
      <c r="K19549"/>
      <c r="L19549"/>
    </row>
    <row r="19550" spans="2:12" x14ac:dyDescent="0.2">
      <c r="B19550"/>
      <c r="C19550"/>
      <c r="J19550"/>
      <c r="K19550"/>
      <c r="L19550"/>
    </row>
    <row r="19551" spans="2:12" x14ac:dyDescent="0.2">
      <c r="B19551"/>
      <c r="C19551"/>
      <c r="J19551"/>
      <c r="K19551"/>
      <c r="L19551"/>
    </row>
    <row r="19552" spans="2:12" x14ac:dyDescent="0.2">
      <c r="B19552"/>
      <c r="C19552"/>
      <c r="J19552"/>
      <c r="K19552"/>
      <c r="L19552"/>
    </row>
    <row r="19553" spans="2:12" x14ac:dyDescent="0.2">
      <c r="B19553"/>
      <c r="C19553"/>
      <c r="J19553"/>
      <c r="K19553"/>
      <c r="L19553"/>
    </row>
    <row r="19554" spans="2:12" x14ac:dyDescent="0.2">
      <c r="B19554"/>
      <c r="C19554"/>
      <c r="J19554"/>
      <c r="K19554"/>
      <c r="L19554"/>
    </row>
    <row r="19555" spans="2:12" x14ac:dyDescent="0.2">
      <c r="B19555"/>
      <c r="C19555"/>
      <c r="J19555"/>
      <c r="K19555"/>
      <c r="L19555"/>
    </row>
    <row r="19556" spans="2:12" x14ac:dyDescent="0.2">
      <c r="B19556"/>
      <c r="C19556"/>
      <c r="J19556"/>
      <c r="K19556"/>
      <c r="L19556"/>
    </row>
    <row r="19557" spans="2:12" x14ac:dyDescent="0.2">
      <c r="B19557"/>
      <c r="C19557"/>
      <c r="J19557"/>
      <c r="K19557"/>
      <c r="L19557"/>
    </row>
    <row r="19558" spans="2:12" x14ac:dyDescent="0.2">
      <c r="B19558"/>
      <c r="C19558"/>
      <c r="J19558"/>
      <c r="K19558"/>
      <c r="L19558"/>
    </row>
    <row r="19559" spans="2:12" x14ac:dyDescent="0.2">
      <c r="B19559"/>
      <c r="C19559"/>
      <c r="J19559"/>
      <c r="K19559"/>
      <c r="L19559"/>
    </row>
    <row r="19560" spans="2:12" x14ac:dyDescent="0.2">
      <c r="B19560"/>
      <c r="C19560"/>
      <c r="J19560"/>
      <c r="K19560"/>
      <c r="L19560"/>
    </row>
    <row r="19561" spans="2:12" x14ac:dyDescent="0.2">
      <c r="B19561"/>
      <c r="C19561"/>
      <c r="J19561"/>
      <c r="K19561"/>
      <c r="L19561"/>
    </row>
    <row r="19562" spans="2:12" x14ac:dyDescent="0.2">
      <c r="B19562"/>
      <c r="C19562"/>
      <c r="J19562"/>
      <c r="K19562"/>
      <c r="L19562"/>
    </row>
    <row r="19563" spans="2:12" x14ac:dyDescent="0.2">
      <c r="B19563"/>
      <c r="C19563"/>
      <c r="J19563"/>
      <c r="K19563"/>
      <c r="L19563"/>
    </row>
    <row r="19564" spans="2:12" x14ac:dyDescent="0.2">
      <c r="B19564"/>
      <c r="C19564"/>
      <c r="J19564"/>
      <c r="K19564"/>
      <c r="L19564"/>
    </row>
    <row r="19565" spans="2:12" x14ac:dyDescent="0.2">
      <c r="B19565"/>
      <c r="C19565"/>
      <c r="J19565"/>
      <c r="K19565"/>
      <c r="L19565"/>
    </row>
    <row r="19566" spans="2:12" x14ac:dyDescent="0.2">
      <c r="B19566"/>
      <c r="C19566"/>
      <c r="J19566"/>
      <c r="K19566"/>
      <c r="L19566"/>
    </row>
    <row r="19567" spans="2:12" x14ac:dyDescent="0.2">
      <c r="B19567"/>
      <c r="C19567"/>
      <c r="J19567"/>
      <c r="K19567"/>
      <c r="L19567"/>
    </row>
    <row r="19568" spans="2:12" x14ac:dyDescent="0.2">
      <c r="B19568"/>
      <c r="C19568"/>
      <c r="J19568"/>
      <c r="K19568"/>
      <c r="L19568"/>
    </row>
    <row r="19569" spans="2:12" x14ac:dyDescent="0.2">
      <c r="B19569"/>
      <c r="C19569"/>
      <c r="J19569"/>
      <c r="K19569"/>
      <c r="L19569"/>
    </row>
    <row r="19570" spans="2:12" x14ac:dyDescent="0.2">
      <c r="B19570"/>
      <c r="C19570"/>
      <c r="J19570"/>
      <c r="K19570"/>
      <c r="L19570"/>
    </row>
    <row r="19571" spans="2:12" x14ac:dyDescent="0.2">
      <c r="B19571"/>
      <c r="C19571"/>
      <c r="J19571"/>
      <c r="K19571"/>
      <c r="L19571"/>
    </row>
    <row r="19572" spans="2:12" x14ac:dyDescent="0.2">
      <c r="B19572"/>
      <c r="C19572"/>
      <c r="J19572"/>
      <c r="K19572"/>
      <c r="L19572"/>
    </row>
    <row r="19573" spans="2:12" x14ac:dyDescent="0.2">
      <c r="B19573"/>
      <c r="C19573"/>
      <c r="J19573"/>
      <c r="K19573"/>
      <c r="L19573"/>
    </row>
    <row r="19574" spans="2:12" x14ac:dyDescent="0.2">
      <c r="B19574"/>
      <c r="C19574"/>
      <c r="J19574"/>
      <c r="K19574"/>
      <c r="L19574"/>
    </row>
    <row r="19575" spans="2:12" x14ac:dyDescent="0.2">
      <c r="B19575"/>
      <c r="C19575"/>
      <c r="J19575"/>
      <c r="K19575"/>
      <c r="L19575"/>
    </row>
    <row r="19576" spans="2:12" x14ac:dyDescent="0.2">
      <c r="B19576"/>
      <c r="C19576"/>
      <c r="J19576"/>
      <c r="K19576"/>
      <c r="L19576"/>
    </row>
    <row r="19577" spans="2:12" x14ac:dyDescent="0.2">
      <c r="B19577"/>
      <c r="C19577"/>
      <c r="J19577"/>
      <c r="K19577"/>
      <c r="L19577"/>
    </row>
    <row r="19578" spans="2:12" x14ac:dyDescent="0.2">
      <c r="B19578"/>
      <c r="C19578"/>
      <c r="J19578"/>
      <c r="K19578"/>
      <c r="L19578"/>
    </row>
    <row r="19579" spans="2:12" x14ac:dyDescent="0.2">
      <c r="B19579"/>
      <c r="C19579"/>
      <c r="J19579"/>
      <c r="K19579"/>
      <c r="L19579"/>
    </row>
    <row r="19580" spans="2:12" x14ac:dyDescent="0.2">
      <c r="B19580"/>
      <c r="C19580"/>
      <c r="J19580"/>
      <c r="K19580"/>
      <c r="L19580"/>
    </row>
    <row r="19581" spans="2:12" x14ac:dyDescent="0.2">
      <c r="B19581"/>
      <c r="C19581"/>
      <c r="J19581"/>
      <c r="K19581"/>
      <c r="L19581"/>
    </row>
    <row r="19582" spans="2:12" x14ac:dyDescent="0.2">
      <c r="B19582"/>
      <c r="C19582"/>
      <c r="J19582"/>
      <c r="K19582"/>
      <c r="L19582"/>
    </row>
    <row r="19583" spans="2:12" x14ac:dyDescent="0.2">
      <c r="B19583"/>
      <c r="C19583"/>
      <c r="J19583"/>
      <c r="K19583"/>
      <c r="L19583"/>
    </row>
    <row r="19584" spans="2:12" x14ac:dyDescent="0.2">
      <c r="B19584"/>
      <c r="C19584"/>
      <c r="J19584"/>
      <c r="K19584"/>
      <c r="L19584"/>
    </row>
    <row r="19585" spans="2:12" x14ac:dyDescent="0.2">
      <c r="B19585"/>
      <c r="C19585"/>
      <c r="J19585"/>
      <c r="K19585"/>
      <c r="L19585"/>
    </row>
    <row r="19586" spans="2:12" x14ac:dyDescent="0.2">
      <c r="B19586"/>
      <c r="C19586"/>
      <c r="J19586"/>
      <c r="K19586"/>
      <c r="L19586"/>
    </row>
    <row r="19587" spans="2:12" x14ac:dyDescent="0.2">
      <c r="B19587"/>
      <c r="C19587"/>
      <c r="J19587"/>
      <c r="K19587"/>
      <c r="L19587"/>
    </row>
    <row r="19588" spans="2:12" x14ac:dyDescent="0.2">
      <c r="B19588"/>
      <c r="C19588"/>
      <c r="J19588"/>
      <c r="K19588"/>
      <c r="L19588"/>
    </row>
    <row r="19589" spans="2:12" x14ac:dyDescent="0.2">
      <c r="B19589"/>
      <c r="C19589"/>
      <c r="J19589"/>
      <c r="K19589"/>
      <c r="L19589"/>
    </row>
    <row r="19590" spans="2:12" x14ac:dyDescent="0.2">
      <c r="B19590"/>
      <c r="C19590"/>
      <c r="J19590"/>
      <c r="K19590"/>
      <c r="L19590"/>
    </row>
    <row r="19591" spans="2:12" x14ac:dyDescent="0.2">
      <c r="B19591"/>
      <c r="C19591"/>
      <c r="J19591"/>
      <c r="K19591"/>
      <c r="L19591"/>
    </row>
    <row r="19592" spans="2:12" x14ac:dyDescent="0.2">
      <c r="B19592"/>
      <c r="C19592"/>
      <c r="J19592"/>
      <c r="K19592"/>
      <c r="L19592"/>
    </row>
    <row r="19593" spans="2:12" x14ac:dyDescent="0.2">
      <c r="B19593"/>
      <c r="C19593"/>
      <c r="J19593"/>
      <c r="K19593"/>
      <c r="L19593"/>
    </row>
    <row r="19594" spans="2:12" x14ac:dyDescent="0.2">
      <c r="B19594"/>
      <c r="C19594"/>
      <c r="J19594"/>
      <c r="K19594"/>
      <c r="L19594"/>
    </row>
    <row r="19595" spans="2:12" x14ac:dyDescent="0.2">
      <c r="B19595"/>
      <c r="C19595"/>
      <c r="J19595"/>
      <c r="K19595"/>
      <c r="L19595"/>
    </row>
    <row r="19596" spans="2:12" x14ac:dyDescent="0.2">
      <c r="B19596"/>
      <c r="C19596"/>
      <c r="J19596"/>
      <c r="K19596"/>
      <c r="L19596"/>
    </row>
    <row r="19597" spans="2:12" x14ac:dyDescent="0.2">
      <c r="B19597"/>
      <c r="C19597"/>
      <c r="J19597"/>
      <c r="K19597"/>
      <c r="L19597"/>
    </row>
    <row r="19598" spans="2:12" x14ac:dyDescent="0.2">
      <c r="B19598"/>
      <c r="C19598"/>
      <c r="J19598"/>
      <c r="K19598"/>
      <c r="L19598"/>
    </row>
    <row r="19599" spans="2:12" x14ac:dyDescent="0.2">
      <c r="B19599"/>
      <c r="C19599"/>
      <c r="J19599"/>
      <c r="K19599"/>
      <c r="L19599"/>
    </row>
    <row r="19600" spans="2:12" x14ac:dyDescent="0.2">
      <c r="B19600"/>
      <c r="C19600"/>
      <c r="J19600"/>
      <c r="K19600"/>
      <c r="L19600"/>
    </row>
    <row r="19601" spans="2:12" x14ac:dyDescent="0.2">
      <c r="B19601"/>
      <c r="C19601"/>
      <c r="J19601"/>
      <c r="K19601"/>
      <c r="L19601"/>
    </row>
    <row r="19602" spans="2:12" x14ac:dyDescent="0.2">
      <c r="B19602"/>
      <c r="C19602"/>
      <c r="J19602"/>
      <c r="K19602"/>
      <c r="L19602"/>
    </row>
    <row r="19603" spans="2:12" x14ac:dyDescent="0.2">
      <c r="B19603"/>
      <c r="C19603"/>
      <c r="J19603"/>
      <c r="K19603"/>
      <c r="L19603"/>
    </row>
    <row r="19604" spans="2:12" x14ac:dyDescent="0.2">
      <c r="B19604"/>
      <c r="C19604"/>
      <c r="J19604"/>
      <c r="K19604"/>
      <c r="L19604"/>
    </row>
    <row r="19605" spans="2:12" x14ac:dyDescent="0.2">
      <c r="B19605"/>
      <c r="C19605"/>
      <c r="J19605"/>
      <c r="K19605"/>
      <c r="L19605"/>
    </row>
    <row r="19606" spans="2:12" x14ac:dyDescent="0.2">
      <c r="B19606"/>
      <c r="C19606"/>
      <c r="J19606"/>
      <c r="K19606"/>
      <c r="L19606"/>
    </row>
    <row r="19607" spans="2:12" x14ac:dyDescent="0.2">
      <c r="B19607"/>
      <c r="C19607"/>
      <c r="J19607"/>
      <c r="K19607"/>
      <c r="L19607"/>
    </row>
    <row r="19608" spans="2:12" x14ac:dyDescent="0.2">
      <c r="B19608"/>
      <c r="C19608"/>
      <c r="J19608"/>
      <c r="K19608"/>
      <c r="L19608"/>
    </row>
    <row r="19609" spans="2:12" x14ac:dyDescent="0.2">
      <c r="B19609"/>
      <c r="C19609"/>
      <c r="J19609"/>
      <c r="K19609"/>
      <c r="L19609"/>
    </row>
    <row r="19610" spans="2:12" x14ac:dyDescent="0.2">
      <c r="B19610"/>
      <c r="C19610"/>
      <c r="J19610"/>
      <c r="K19610"/>
      <c r="L19610"/>
    </row>
    <row r="19611" spans="2:12" x14ac:dyDescent="0.2">
      <c r="B19611"/>
      <c r="C19611"/>
      <c r="J19611"/>
      <c r="K19611"/>
      <c r="L19611"/>
    </row>
    <row r="19612" spans="2:12" x14ac:dyDescent="0.2">
      <c r="B19612"/>
      <c r="C19612"/>
      <c r="J19612"/>
      <c r="K19612"/>
      <c r="L19612"/>
    </row>
    <row r="19613" spans="2:12" x14ac:dyDescent="0.2">
      <c r="B19613"/>
      <c r="C19613"/>
      <c r="J19613"/>
      <c r="K19613"/>
      <c r="L19613"/>
    </row>
    <row r="19614" spans="2:12" x14ac:dyDescent="0.2">
      <c r="B19614"/>
      <c r="C19614"/>
      <c r="J19614"/>
      <c r="K19614"/>
      <c r="L19614"/>
    </row>
    <row r="19615" spans="2:12" x14ac:dyDescent="0.2">
      <c r="B19615"/>
      <c r="C19615"/>
      <c r="J19615"/>
      <c r="K19615"/>
      <c r="L19615"/>
    </row>
    <row r="19616" spans="2:12" x14ac:dyDescent="0.2">
      <c r="B19616"/>
      <c r="C19616"/>
      <c r="J19616"/>
      <c r="K19616"/>
      <c r="L19616"/>
    </row>
    <row r="19617" spans="2:12" x14ac:dyDescent="0.2">
      <c r="B19617"/>
      <c r="C19617"/>
      <c r="J19617"/>
      <c r="K19617"/>
      <c r="L19617"/>
    </row>
    <row r="19618" spans="2:12" x14ac:dyDescent="0.2">
      <c r="B19618"/>
      <c r="C19618"/>
      <c r="J19618"/>
      <c r="K19618"/>
      <c r="L19618"/>
    </row>
    <row r="19619" spans="2:12" x14ac:dyDescent="0.2">
      <c r="B19619"/>
      <c r="C19619"/>
      <c r="J19619"/>
      <c r="K19619"/>
      <c r="L19619"/>
    </row>
    <row r="19620" spans="2:12" x14ac:dyDescent="0.2">
      <c r="B19620"/>
      <c r="C19620"/>
      <c r="J19620"/>
      <c r="K19620"/>
      <c r="L19620"/>
    </row>
    <row r="19621" spans="2:12" x14ac:dyDescent="0.2">
      <c r="B19621"/>
      <c r="C19621"/>
      <c r="J19621"/>
      <c r="K19621"/>
      <c r="L19621"/>
    </row>
    <row r="19622" spans="2:12" x14ac:dyDescent="0.2">
      <c r="B19622"/>
      <c r="C19622"/>
      <c r="J19622"/>
      <c r="K19622"/>
      <c r="L19622"/>
    </row>
    <row r="19623" spans="2:12" x14ac:dyDescent="0.2">
      <c r="B19623"/>
      <c r="C19623"/>
      <c r="J19623"/>
      <c r="K19623"/>
      <c r="L19623"/>
    </row>
    <row r="19624" spans="2:12" x14ac:dyDescent="0.2">
      <c r="B19624"/>
      <c r="C19624"/>
      <c r="J19624"/>
      <c r="K19624"/>
      <c r="L19624"/>
    </row>
    <row r="19625" spans="2:12" x14ac:dyDescent="0.2">
      <c r="B19625"/>
      <c r="C19625"/>
      <c r="J19625"/>
      <c r="K19625"/>
      <c r="L19625"/>
    </row>
    <row r="19626" spans="2:12" x14ac:dyDescent="0.2">
      <c r="B19626"/>
      <c r="C19626"/>
      <c r="J19626"/>
      <c r="K19626"/>
      <c r="L19626"/>
    </row>
    <row r="19627" spans="2:12" x14ac:dyDescent="0.2">
      <c r="B19627"/>
      <c r="C19627"/>
      <c r="J19627"/>
      <c r="K19627"/>
      <c r="L19627"/>
    </row>
    <row r="19628" spans="2:12" x14ac:dyDescent="0.2">
      <c r="B19628"/>
      <c r="C19628"/>
      <c r="J19628"/>
      <c r="K19628"/>
      <c r="L19628"/>
    </row>
    <row r="19629" spans="2:12" x14ac:dyDescent="0.2">
      <c r="B19629"/>
      <c r="C19629"/>
      <c r="J19629"/>
      <c r="K19629"/>
      <c r="L19629"/>
    </row>
    <row r="19630" spans="2:12" x14ac:dyDescent="0.2">
      <c r="B19630"/>
      <c r="C19630"/>
      <c r="J19630"/>
      <c r="K19630"/>
      <c r="L19630"/>
    </row>
    <row r="19631" spans="2:12" x14ac:dyDescent="0.2">
      <c r="B19631"/>
      <c r="C19631"/>
      <c r="J19631"/>
      <c r="K19631"/>
      <c r="L19631"/>
    </row>
    <row r="19632" spans="2:12" x14ac:dyDescent="0.2">
      <c r="B19632"/>
      <c r="C19632"/>
      <c r="J19632"/>
      <c r="K19632"/>
      <c r="L19632"/>
    </row>
    <row r="19633" spans="2:12" x14ac:dyDescent="0.2">
      <c r="B19633"/>
      <c r="C19633"/>
      <c r="J19633"/>
      <c r="K19633"/>
      <c r="L19633"/>
    </row>
    <row r="19634" spans="2:12" x14ac:dyDescent="0.2">
      <c r="B19634"/>
      <c r="C19634"/>
      <c r="J19634"/>
      <c r="K19634"/>
      <c r="L19634"/>
    </row>
    <row r="19635" spans="2:12" x14ac:dyDescent="0.2">
      <c r="B19635"/>
      <c r="C19635"/>
      <c r="J19635"/>
      <c r="K19635"/>
      <c r="L19635"/>
    </row>
    <row r="19636" spans="2:12" x14ac:dyDescent="0.2">
      <c r="B19636"/>
      <c r="C19636"/>
      <c r="J19636"/>
      <c r="K19636"/>
      <c r="L19636"/>
    </row>
    <row r="19637" spans="2:12" x14ac:dyDescent="0.2">
      <c r="B19637"/>
      <c r="C19637"/>
      <c r="J19637"/>
      <c r="K19637"/>
      <c r="L19637"/>
    </row>
    <row r="19638" spans="2:12" x14ac:dyDescent="0.2">
      <c r="B19638"/>
      <c r="C19638"/>
      <c r="J19638"/>
      <c r="K19638"/>
      <c r="L19638"/>
    </row>
    <row r="19639" spans="2:12" x14ac:dyDescent="0.2">
      <c r="B19639"/>
      <c r="C19639"/>
      <c r="J19639"/>
      <c r="K19639"/>
      <c r="L19639"/>
    </row>
    <row r="19640" spans="2:12" x14ac:dyDescent="0.2">
      <c r="B19640"/>
      <c r="C19640"/>
      <c r="J19640"/>
      <c r="K19640"/>
      <c r="L19640"/>
    </row>
    <row r="19641" spans="2:12" x14ac:dyDescent="0.2">
      <c r="B19641"/>
      <c r="C19641"/>
      <c r="J19641"/>
      <c r="K19641"/>
      <c r="L19641"/>
    </row>
    <row r="19642" spans="2:12" x14ac:dyDescent="0.2">
      <c r="B19642"/>
      <c r="C19642"/>
      <c r="J19642"/>
      <c r="K19642"/>
      <c r="L19642"/>
    </row>
    <row r="19643" spans="2:12" x14ac:dyDescent="0.2">
      <c r="B19643"/>
      <c r="C19643"/>
      <c r="J19643"/>
      <c r="K19643"/>
      <c r="L19643"/>
    </row>
    <row r="19644" spans="2:12" x14ac:dyDescent="0.2">
      <c r="B19644"/>
      <c r="C19644"/>
      <c r="J19644"/>
      <c r="K19644"/>
      <c r="L19644"/>
    </row>
    <row r="19645" spans="2:12" x14ac:dyDescent="0.2">
      <c r="B19645"/>
      <c r="C19645"/>
      <c r="J19645"/>
      <c r="K19645"/>
      <c r="L19645"/>
    </row>
    <row r="19646" spans="2:12" x14ac:dyDescent="0.2">
      <c r="B19646"/>
      <c r="C19646"/>
      <c r="J19646"/>
      <c r="K19646"/>
      <c r="L19646"/>
    </row>
    <row r="19647" spans="2:12" x14ac:dyDescent="0.2">
      <c r="B19647"/>
      <c r="C19647"/>
      <c r="J19647"/>
      <c r="K19647"/>
      <c r="L19647"/>
    </row>
    <row r="19648" spans="2:12" x14ac:dyDescent="0.2">
      <c r="B19648"/>
      <c r="C19648"/>
      <c r="J19648"/>
      <c r="K19648"/>
      <c r="L19648"/>
    </row>
    <row r="19649" spans="2:12" x14ac:dyDescent="0.2">
      <c r="B19649"/>
      <c r="C19649"/>
      <c r="J19649"/>
      <c r="K19649"/>
      <c r="L19649"/>
    </row>
    <row r="19650" spans="2:12" x14ac:dyDescent="0.2">
      <c r="B19650"/>
      <c r="C19650"/>
      <c r="J19650"/>
      <c r="K19650"/>
      <c r="L19650"/>
    </row>
    <row r="19651" spans="2:12" x14ac:dyDescent="0.2">
      <c r="B19651"/>
      <c r="C19651"/>
      <c r="J19651"/>
      <c r="K19651"/>
      <c r="L19651"/>
    </row>
    <row r="19652" spans="2:12" x14ac:dyDescent="0.2">
      <c r="B19652"/>
      <c r="C19652"/>
      <c r="J19652"/>
      <c r="K19652"/>
      <c r="L19652"/>
    </row>
    <row r="19653" spans="2:12" x14ac:dyDescent="0.2">
      <c r="B19653"/>
      <c r="C19653"/>
      <c r="J19653"/>
      <c r="K19653"/>
      <c r="L19653"/>
    </row>
    <row r="19654" spans="2:12" x14ac:dyDescent="0.2">
      <c r="B19654"/>
      <c r="C19654"/>
      <c r="J19654"/>
      <c r="K19654"/>
      <c r="L19654"/>
    </row>
    <row r="19655" spans="2:12" x14ac:dyDescent="0.2">
      <c r="B19655"/>
      <c r="C19655"/>
      <c r="J19655"/>
      <c r="K19655"/>
      <c r="L19655"/>
    </row>
    <row r="19656" spans="2:12" x14ac:dyDescent="0.2">
      <c r="B19656"/>
      <c r="C19656"/>
      <c r="J19656"/>
      <c r="K19656"/>
      <c r="L19656"/>
    </row>
    <row r="19657" spans="2:12" x14ac:dyDescent="0.2">
      <c r="B19657"/>
      <c r="C19657"/>
      <c r="J19657"/>
      <c r="K19657"/>
      <c r="L19657"/>
    </row>
    <row r="19658" spans="2:12" x14ac:dyDescent="0.2">
      <c r="B19658"/>
      <c r="C19658"/>
      <c r="J19658"/>
      <c r="K19658"/>
      <c r="L19658"/>
    </row>
    <row r="19659" spans="2:12" x14ac:dyDescent="0.2">
      <c r="B19659"/>
      <c r="C19659"/>
      <c r="J19659"/>
      <c r="K19659"/>
      <c r="L19659"/>
    </row>
    <row r="19660" spans="2:12" x14ac:dyDescent="0.2">
      <c r="B19660"/>
      <c r="C19660"/>
      <c r="J19660"/>
      <c r="K19660"/>
      <c r="L19660"/>
    </row>
    <row r="19661" spans="2:12" x14ac:dyDescent="0.2">
      <c r="B19661"/>
      <c r="C19661"/>
      <c r="J19661"/>
      <c r="K19661"/>
      <c r="L19661"/>
    </row>
    <row r="19662" spans="2:12" x14ac:dyDescent="0.2">
      <c r="B19662"/>
      <c r="C19662"/>
      <c r="J19662"/>
      <c r="K19662"/>
      <c r="L19662"/>
    </row>
    <row r="19663" spans="2:12" x14ac:dyDescent="0.2">
      <c r="B19663"/>
      <c r="C19663"/>
      <c r="J19663"/>
      <c r="K19663"/>
      <c r="L19663"/>
    </row>
    <row r="19664" spans="2:12" x14ac:dyDescent="0.2">
      <c r="B19664"/>
      <c r="C19664"/>
      <c r="J19664"/>
      <c r="K19664"/>
      <c r="L19664"/>
    </row>
    <row r="19665" spans="2:12" x14ac:dyDescent="0.2">
      <c r="B19665"/>
      <c r="C19665"/>
      <c r="J19665"/>
      <c r="K19665"/>
      <c r="L19665"/>
    </row>
    <row r="19666" spans="2:12" x14ac:dyDescent="0.2">
      <c r="B19666"/>
      <c r="C19666"/>
      <c r="J19666"/>
      <c r="K19666"/>
      <c r="L19666"/>
    </row>
    <row r="19667" spans="2:12" x14ac:dyDescent="0.2">
      <c r="B19667"/>
      <c r="C19667"/>
      <c r="J19667"/>
      <c r="K19667"/>
      <c r="L19667"/>
    </row>
    <row r="19668" spans="2:12" x14ac:dyDescent="0.2">
      <c r="B19668"/>
      <c r="C19668"/>
      <c r="J19668"/>
      <c r="K19668"/>
      <c r="L19668"/>
    </row>
    <row r="19669" spans="2:12" x14ac:dyDescent="0.2">
      <c r="B19669"/>
      <c r="C19669"/>
      <c r="J19669"/>
      <c r="K19669"/>
      <c r="L19669"/>
    </row>
    <row r="19670" spans="2:12" x14ac:dyDescent="0.2">
      <c r="B19670"/>
      <c r="C19670"/>
      <c r="J19670"/>
      <c r="K19670"/>
      <c r="L19670"/>
    </row>
    <row r="19671" spans="2:12" x14ac:dyDescent="0.2">
      <c r="B19671"/>
      <c r="C19671"/>
      <c r="J19671"/>
      <c r="K19671"/>
      <c r="L19671"/>
    </row>
    <row r="19672" spans="2:12" x14ac:dyDescent="0.2">
      <c r="B19672"/>
      <c r="C19672"/>
      <c r="J19672"/>
      <c r="K19672"/>
      <c r="L19672"/>
    </row>
    <row r="19673" spans="2:12" x14ac:dyDescent="0.2">
      <c r="B19673"/>
      <c r="C19673"/>
      <c r="J19673"/>
      <c r="K19673"/>
      <c r="L19673"/>
    </row>
    <row r="19674" spans="2:12" x14ac:dyDescent="0.2">
      <c r="B19674"/>
      <c r="C19674"/>
      <c r="J19674"/>
      <c r="K19674"/>
      <c r="L19674"/>
    </row>
    <row r="19675" spans="2:12" x14ac:dyDescent="0.2">
      <c r="B19675"/>
      <c r="C19675"/>
      <c r="J19675"/>
      <c r="K19675"/>
      <c r="L19675"/>
    </row>
    <row r="19676" spans="2:12" x14ac:dyDescent="0.2">
      <c r="B19676"/>
      <c r="C19676"/>
      <c r="J19676"/>
      <c r="K19676"/>
      <c r="L19676"/>
    </row>
    <row r="19677" spans="2:12" x14ac:dyDescent="0.2">
      <c r="B19677"/>
      <c r="C19677"/>
      <c r="J19677"/>
      <c r="K19677"/>
      <c r="L19677"/>
    </row>
    <row r="19678" spans="2:12" x14ac:dyDescent="0.2">
      <c r="B19678"/>
      <c r="C19678"/>
      <c r="J19678"/>
      <c r="K19678"/>
      <c r="L19678"/>
    </row>
    <row r="19679" spans="2:12" x14ac:dyDescent="0.2">
      <c r="B19679"/>
      <c r="C19679"/>
      <c r="J19679"/>
      <c r="K19679"/>
      <c r="L19679"/>
    </row>
    <row r="19680" spans="2:12" x14ac:dyDescent="0.2">
      <c r="B19680"/>
      <c r="C19680"/>
      <c r="J19680"/>
      <c r="K19680"/>
      <c r="L19680"/>
    </row>
    <row r="19681" spans="2:12" x14ac:dyDescent="0.2">
      <c r="B19681"/>
      <c r="C19681"/>
      <c r="J19681"/>
      <c r="K19681"/>
      <c r="L19681"/>
    </row>
    <row r="19682" spans="2:12" x14ac:dyDescent="0.2">
      <c r="B19682"/>
      <c r="C19682"/>
      <c r="J19682"/>
      <c r="K19682"/>
      <c r="L19682"/>
    </row>
    <row r="19683" spans="2:12" x14ac:dyDescent="0.2">
      <c r="B19683"/>
      <c r="C19683"/>
      <c r="J19683"/>
      <c r="K19683"/>
      <c r="L19683"/>
    </row>
    <row r="19684" spans="2:12" x14ac:dyDescent="0.2">
      <c r="B19684"/>
      <c r="C19684"/>
      <c r="J19684"/>
      <c r="K19684"/>
      <c r="L19684"/>
    </row>
    <row r="19685" spans="2:12" x14ac:dyDescent="0.2">
      <c r="B19685"/>
      <c r="C19685"/>
      <c r="J19685"/>
      <c r="K19685"/>
      <c r="L19685"/>
    </row>
    <row r="19686" spans="2:12" x14ac:dyDescent="0.2">
      <c r="B19686"/>
      <c r="C19686"/>
      <c r="J19686"/>
      <c r="K19686"/>
      <c r="L19686"/>
    </row>
    <row r="19687" spans="2:12" x14ac:dyDescent="0.2">
      <c r="B19687"/>
      <c r="C19687"/>
      <c r="J19687"/>
      <c r="K19687"/>
      <c r="L19687"/>
    </row>
    <row r="19688" spans="2:12" x14ac:dyDescent="0.2">
      <c r="B19688"/>
      <c r="C19688"/>
      <c r="J19688"/>
      <c r="K19688"/>
      <c r="L19688"/>
    </row>
    <row r="19689" spans="2:12" x14ac:dyDescent="0.2">
      <c r="B19689"/>
      <c r="C19689"/>
      <c r="J19689"/>
      <c r="K19689"/>
      <c r="L19689"/>
    </row>
    <row r="19690" spans="2:12" x14ac:dyDescent="0.2">
      <c r="B19690"/>
      <c r="C19690"/>
      <c r="J19690"/>
      <c r="K19690"/>
      <c r="L19690"/>
    </row>
    <row r="19691" spans="2:12" x14ac:dyDescent="0.2">
      <c r="B19691"/>
      <c r="C19691"/>
      <c r="J19691"/>
      <c r="K19691"/>
      <c r="L19691"/>
    </row>
    <row r="19692" spans="2:12" x14ac:dyDescent="0.2">
      <c r="B19692"/>
      <c r="C19692"/>
      <c r="J19692"/>
      <c r="K19692"/>
      <c r="L19692"/>
    </row>
    <row r="19693" spans="2:12" x14ac:dyDescent="0.2">
      <c r="B19693"/>
      <c r="C19693"/>
      <c r="J19693"/>
      <c r="K19693"/>
      <c r="L19693"/>
    </row>
    <row r="19694" spans="2:12" x14ac:dyDescent="0.2">
      <c r="B19694"/>
      <c r="C19694"/>
      <c r="J19694"/>
      <c r="K19694"/>
      <c r="L19694"/>
    </row>
    <row r="19695" spans="2:12" x14ac:dyDescent="0.2">
      <c r="B19695"/>
      <c r="C19695"/>
      <c r="J19695"/>
      <c r="K19695"/>
      <c r="L19695"/>
    </row>
    <row r="19696" spans="2:12" x14ac:dyDescent="0.2">
      <c r="B19696"/>
      <c r="C19696"/>
      <c r="J19696"/>
      <c r="K19696"/>
      <c r="L19696"/>
    </row>
    <row r="19697" spans="2:12" x14ac:dyDescent="0.2">
      <c r="B19697"/>
      <c r="C19697"/>
      <c r="J19697"/>
      <c r="K19697"/>
      <c r="L19697"/>
    </row>
    <row r="19698" spans="2:12" x14ac:dyDescent="0.2">
      <c r="B19698"/>
      <c r="C19698"/>
      <c r="J19698"/>
      <c r="K19698"/>
      <c r="L19698"/>
    </row>
    <row r="19699" spans="2:12" x14ac:dyDescent="0.2">
      <c r="B19699"/>
      <c r="C19699"/>
      <c r="J19699"/>
      <c r="K19699"/>
      <c r="L19699"/>
    </row>
    <row r="19700" spans="2:12" x14ac:dyDescent="0.2">
      <c r="B19700"/>
      <c r="C19700"/>
      <c r="J19700"/>
      <c r="K19700"/>
      <c r="L19700"/>
    </row>
    <row r="19701" spans="2:12" x14ac:dyDescent="0.2">
      <c r="B19701"/>
      <c r="C19701"/>
      <c r="J19701"/>
      <c r="K19701"/>
      <c r="L19701"/>
    </row>
    <row r="19702" spans="2:12" x14ac:dyDescent="0.2">
      <c r="B19702"/>
      <c r="C19702"/>
      <c r="J19702"/>
      <c r="K19702"/>
      <c r="L19702"/>
    </row>
    <row r="19703" spans="2:12" x14ac:dyDescent="0.2">
      <c r="B19703"/>
      <c r="C19703"/>
      <c r="J19703"/>
      <c r="K19703"/>
      <c r="L19703"/>
    </row>
    <row r="19704" spans="2:12" x14ac:dyDescent="0.2">
      <c r="B19704"/>
      <c r="C19704"/>
      <c r="J19704"/>
      <c r="K19704"/>
      <c r="L19704"/>
    </row>
    <row r="19705" spans="2:12" x14ac:dyDescent="0.2">
      <c r="B19705"/>
      <c r="C19705"/>
      <c r="J19705"/>
      <c r="K19705"/>
      <c r="L19705"/>
    </row>
    <row r="19706" spans="2:12" x14ac:dyDescent="0.2">
      <c r="B19706"/>
      <c r="C19706"/>
      <c r="J19706"/>
      <c r="K19706"/>
      <c r="L19706"/>
    </row>
    <row r="19707" spans="2:12" x14ac:dyDescent="0.2">
      <c r="B19707"/>
      <c r="C19707"/>
      <c r="J19707"/>
      <c r="K19707"/>
      <c r="L19707"/>
    </row>
    <row r="19708" spans="2:12" x14ac:dyDescent="0.2">
      <c r="B19708"/>
      <c r="C19708"/>
      <c r="J19708"/>
      <c r="K19708"/>
      <c r="L19708"/>
    </row>
    <row r="19709" spans="2:12" x14ac:dyDescent="0.2">
      <c r="B19709"/>
      <c r="C19709"/>
      <c r="J19709"/>
      <c r="K19709"/>
      <c r="L19709"/>
    </row>
    <row r="19710" spans="2:12" x14ac:dyDescent="0.2">
      <c r="B19710"/>
      <c r="C19710"/>
      <c r="J19710"/>
      <c r="K19710"/>
      <c r="L19710"/>
    </row>
    <row r="19711" spans="2:12" x14ac:dyDescent="0.2">
      <c r="B19711"/>
      <c r="C19711"/>
      <c r="J19711"/>
      <c r="K19711"/>
      <c r="L19711"/>
    </row>
    <row r="19712" spans="2:12" x14ac:dyDescent="0.2">
      <c r="B19712"/>
      <c r="C19712"/>
      <c r="J19712"/>
      <c r="K19712"/>
      <c r="L19712"/>
    </row>
    <row r="19713" spans="2:12" x14ac:dyDescent="0.2">
      <c r="B19713"/>
      <c r="C19713"/>
      <c r="J19713"/>
      <c r="K19713"/>
      <c r="L19713"/>
    </row>
    <row r="19714" spans="2:12" x14ac:dyDescent="0.2">
      <c r="B19714"/>
      <c r="C19714"/>
      <c r="J19714"/>
      <c r="K19714"/>
      <c r="L19714"/>
    </row>
    <row r="19715" spans="2:12" x14ac:dyDescent="0.2">
      <c r="B19715"/>
      <c r="C19715"/>
      <c r="J19715"/>
      <c r="K19715"/>
      <c r="L19715"/>
    </row>
    <row r="19716" spans="2:12" x14ac:dyDescent="0.2">
      <c r="B19716"/>
      <c r="C19716"/>
      <c r="J19716"/>
      <c r="K19716"/>
      <c r="L19716"/>
    </row>
    <row r="19717" spans="2:12" x14ac:dyDescent="0.2">
      <c r="B19717"/>
      <c r="C19717"/>
      <c r="J19717"/>
      <c r="K19717"/>
      <c r="L19717"/>
    </row>
    <row r="19718" spans="2:12" x14ac:dyDescent="0.2">
      <c r="B19718"/>
      <c r="C19718"/>
      <c r="J19718"/>
      <c r="K19718"/>
      <c r="L19718"/>
    </row>
    <row r="19719" spans="2:12" x14ac:dyDescent="0.2">
      <c r="B19719"/>
      <c r="C19719"/>
      <c r="J19719"/>
      <c r="K19719"/>
      <c r="L19719"/>
    </row>
    <row r="19720" spans="2:12" x14ac:dyDescent="0.2">
      <c r="B19720"/>
      <c r="C19720"/>
      <c r="J19720"/>
      <c r="K19720"/>
      <c r="L19720"/>
    </row>
    <row r="19721" spans="2:12" x14ac:dyDescent="0.2">
      <c r="B19721"/>
      <c r="C19721"/>
      <c r="J19721"/>
      <c r="K19721"/>
      <c r="L19721"/>
    </row>
    <row r="19722" spans="2:12" x14ac:dyDescent="0.2">
      <c r="B19722"/>
      <c r="C19722"/>
      <c r="J19722"/>
      <c r="K19722"/>
      <c r="L19722"/>
    </row>
    <row r="19723" spans="2:12" x14ac:dyDescent="0.2">
      <c r="B19723"/>
      <c r="C19723"/>
      <c r="J19723"/>
      <c r="K19723"/>
      <c r="L19723"/>
    </row>
    <row r="19724" spans="2:12" x14ac:dyDescent="0.2">
      <c r="B19724"/>
      <c r="C19724"/>
      <c r="J19724"/>
      <c r="K19724"/>
      <c r="L19724"/>
    </row>
    <row r="19725" spans="2:12" x14ac:dyDescent="0.2">
      <c r="B19725"/>
      <c r="C19725"/>
      <c r="J19725"/>
      <c r="K19725"/>
      <c r="L19725"/>
    </row>
    <row r="19726" spans="2:12" x14ac:dyDescent="0.2">
      <c r="B19726"/>
      <c r="C19726"/>
      <c r="J19726"/>
      <c r="K19726"/>
      <c r="L19726"/>
    </row>
    <row r="19727" spans="2:12" x14ac:dyDescent="0.2">
      <c r="B19727"/>
      <c r="C19727"/>
      <c r="J19727"/>
      <c r="K19727"/>
      <c r="L19727"/>
    </row>
    <row r="19728" spans="2:12" x14ac:dyDescent="0.2">
      <c r="B19728"/>
      <c r="C19728"/>
      <c r="J19728"/>
      <c r="K19728"/>
      <c r="L19728"/>
    </row>
    <row r="19729" spans="2:12" x14ac:dyDescent="0.2">
      <c r="B19729"/>
      <c r="C19729"/>
      <c r="J19729"/>
      <c r="K19729"/>
      <c r="L19729"/>
    </row>
    <row r="19730" spans="2:12" x14ac:dyDescent="0.2">
      <c r="B19730"/>
      <c r="C19730"/>
      <c r="J19730"/>
      <c r="K19730"/>
      <c r="L19730"/>
    </row>
    <row r="19731" spans="2:12" x14ac:dyDescent="0.2">
      <c r="B19731"/>
      <c r="C19731"/>
      <c r="J19731"/>
      <c r="K19731"/>
      <c r="L19731"/>
    </row>
    <row r="19732" spans="2:12" x14ac:dyDescent="0.2">
      <c r="B19732"/>
      <c r="C19732"/>
      <c r="J19732"/>
      <c r="K19732"/>
      <c r="L19732"/>
    </row>
    <row r="19733" spans="2:12" x14ac:dyDescent="0.2">
      <c r="B19733"/>
      <c r="C19733"/>
      <c r="J19733"/>
      <c r="K19733"/>
      <c r="L19733"/>
    </row>
    <row r="19734" spans="2:12" x14ac:dyDescent="0.2">
      <c r="B19734"/>
      <c r="C19734"/>
      <c r="J19734"/>
      <c r="K19734"/>
      <c r="L19734"/>
    </row>
    <row r="19735" spans="2:12" x14ac:dyDescent="0.2">
      <c r="B19735"/>
      <c r="C19735"/>
      <c r="J19735"/>
      <c r="K19735"/>
      <c r="L19735"/>
    </row>
    <row r="19736" spans="2:12" x14ac:dyDescent="0.2">
      <c r="B19736"/>
      <c r="C19736"/>
      <c r="J19736"/>
      <c r="K19736"/>
      <c r="L19736"/>
    </row>
    <row r="19737" spans="2:12" x14ac:dyDescent="0.2">
      <c r="B19737"/>
      <c r="C19737"/>
      <c r="J19737"/>
      <c r="K19737"/>
      <c r="L19737"/>
    </row>
    <row r="19738" spans="2:12" x14ac:dyDescent="0.2">
      <c r="B19738"/>
      <c r="C19738"/>
      <c r="J19738"/>
      <c r="K19738"/>
      <c r="L19738"/>
    </row>
    <row r="19739" spans="2:12" x14ac:dyDescent="0.2">
      <c r="B19739"/>
      <c r="C19739"/>
      <c r="J19739"/>
      <c r="K19739"/>
      <c r="L19739"/>
    </row>
    <row r="19740" spans="2:12" x14ac:dyDescent="0.2">
      <c r="B19740"/>
      <c r="C19740"/>
      <c r="J19740"/>
      <c r="K19740"/>
      <c r="L19740"/>
    </row>
    <row r="19741" spans="2:12" x14ac:dyDescent="0.2">
      <c r="B19741"/>
      <c r="C19741"/>
      <c r="J19741"/>
      <c r="K19741"/>
      <c r="L19741"/>
    </row>
    <row r="19742" spans="2:12" x14ac:dyDescent="0.2">
      <c r="B19742"/>
      <c r="C19742"/>
      <c r="J19742"/>
      <c r="K19742"/>
      <c r="L19742"/>
    </row>
    <row r="19743" spans="2:12" x14ac:dyDescent="0.2">
      <c r="B19743"/>
      <c r="C19743"/>
      <c r="J19743"/>
      <c r="K19743"/>
      <c r="L19743"/>
    </row>
    <row r="19744" spans="2:12" x14ac:dyDescent="0.2">
      <c r="B19744"/>
      <c r="C19744"/>
      <c r="J19744"/>
      <c r="K19744"/>
      <c r="L19744"/>
    </row>
    <row r="19745" spans="2:12" x14ac:dyDescent="0.2">
      <c r="B19745"/>
      <c r="C19745"/>
      <c r="J19745"/>
      <c r="K19745"/>
      <c r="L19745"/>
    </row>
    <row r="19746" spans="2:12" x14ac:dyDescent="0.2">
      <c r="B19746"/>
      <c r="C19746"/>
      <c r="J19746"/>
      <c r="K19746"/>
      <c r="L19746"/>
    </row>
    <row r="19747" spans="2:12" x14ac:dyDescent="0.2">
      <c r="B19747"/>
      <c r="C19747"/>
      <c r="J19747"/>
      <c r="K19747"/>
      <c r="L19747"/>
    </row>
    <row r="19748" spans="2:12" x14ac:dyDescent="0.2">
      <c r="B19748"/>
      <c r="C19748"/>
      <c r="J19748"/>
      <c r="K19748"/>
      <c r="L19748"/>
    </row>
    <row r="19749" spans="2:12" x14ac:dyDescent="0.2">
      <c r="B19749"/>
      <c r="C19749"/>
      <c r="J19749"/>
      <c r="K19749"/>
      <c r="L19749"/>
    </row>
    <row r="19750" spans="2:12" x14ac:dyDescent="0.2">
      <c r="B19750"/>
      <c r="C19750"/>
      <c r="J19750"/>
      <c r="K19750"/>
      <c r="L19750"/>
    </row>
    <row r="19751" spans="2:12" x14ac:dyDescent="0.2">
      <c r="B19751"/>
      <c r="C19751"/>
      <c r="J19751"/>
      <c r="K19751"/>
      <c r="L19751"/>
    </row>
    <row r="19752" spans="2:12" x14ac:dyDescent="0.2">
      <c r="B19752"/>
      <c r="C19752"/>
      <c r="J19752"/>
      <c r="K19752"/>
      <c r="L19752"/>
    </row>
    <row r="19753" spans="2:12" x14ac:dyDescent="0.2">
      <c r="B19753"/>
      <c r="C19753"/>
      <c r="J19753"/>
      <c r="K19753"/>
      <c r="L19753"/>
    </row>
    <row r="19754" spans="2:12" x14ac:dyDescent="0.2">
      <c r="B19754"/>
      <c r="C19754"/>
      <c r="J19754"/>
      <c r="K19754"/>
      <c r="L19754"/>
    </row>
    <row r="19755" spans="2:12" x14ac:dyDescent="0.2">
      <c r="B19755"/>
      <c r="C19755"/>
      <c r="J19755"/>
      <c r="K19755"/>
      <c r="L19755"/>
    </row>
    <row r="19756" spans="2:12" x14ac:dyDescent="0.2">
      <c r="B19756"/>
      <c r="C19756"/>
      <c r="J19756"/>
      <c r="K19756"/>
      <c r="L19756"/>
    </row>
    <row r="19757" spans="2:12" x14ac:dyDescent="0.2">
      <c r="B19757"/>
      <c r="C19757"/>
      <c r="J19757"/>
      <c r="K19757"/>
      <c r="L19757"/>
    </row>
    <row r="19758" spans="2:12" x14ac:dyDescent="0.2">
      <c r="B19758"/>
      <c r="C19758"/>
      <c r="J19758"/>
      <c r="K19758"/>
      <c r="L19758"/>
    </row>
    <row r="19759" spans="2:12" x14ac:dyDescent="0.2">
      <c r="B19759"/>
      <c r="C19759"/>
      <c r="J19759"/>
      <c r="K19759"/>
      <c r="L19759"/>
    </row>
    <row r="19760" spans="2:12" x14ac:dyDescent="0.2">
      <c r="B19760"/>
      <c r="C19760"/>
      <c r="J19760"/>
      <c r="K19760"/>
      <c r="L19760"/>
    </row>
    <row r="19761" spans="2:12" x14ac:dyDescent="0.2">
      <c r="B19761"/>
      <c r="C19761"/>
      <c r="J19761"/>
      <c r="K19761"/>
      <c r="L19761"/>
    </row>
    <row r="19762" spans="2:12" x14ac:dyDescent="0.2">
      <c r="B19762"/>
      <c r="C19762"/>
      <c r="J19762"/>
      <c r="K19762"/>
      <c r="L19762"/>
    </row>
    <row r="19763" spans="2:12" x14ac:dyDescent="0.2">
      <c r="B19763"/>
      <c r="C19763"/>
      <c r="J19763"/>
      <c r="K19763"/>
      <c r="L19763"/>
    </row>
    <row r="19764" spans="2:12" x14ac:dyDescent="0.2">
      <c r="B19764"/>
      <c r="C19764"/>
      <c r="J19764"/>
      <c r="K19764"/>
      <c r="L19764"/>
    </row>
    <row r="19765" spans="2:12" x14ac:dyDescent="0.2">
      <c r="B19765"/>
      <c r="C19765"/>
      <c r="J19765"/>
      <c r="K19765"/>
      <c r="L19765"/>
    </row>
    <row r="19766" spans="2:12" x14ac:dyDescent="0.2">
      <c r="B19766"/>
      <c r="C19766"/>
      <c r="J19766"/>
      <c r="K19766"/>
      <c r="L19766"/>
    </row>
    <row r="19767" spans="2:12" x14ac:dyDescent="0.2">
      <c r="B19767"/>
      <c r="C19767"/>
      <c r="J19767"/>
      <c r="K19767"/>
      <c r="L19767"/>
    </row>
    <row r="19768" spans="2:12" x14ac:dyDescent="0.2">
      <c r="B19768"/>
      <c r="C19768"/>
      <c r="J19768"/>
      <c r="K19768"/>
      <c r="L19768"/>
    </row>
    <row r="19769" spans="2:12" x14ac:dyDescent="0.2">
      <c r="B19769"/>
      <c r="C19769"/>
      <c r="J19769"/>
      <c r="K19769"/>
      <c r="L19769"/>
    </row>
    <row r="19770" spans="2:12" x14ac:dyDescent="0.2">
      <c r="B19770"/>
      <c r="C19770"/>
      <c r="J19770"/>
      <c r="K19770"/>
      <c r="L19770"/>
    </row>
    <row r="19771" spans="2:12" x14ac:dyDescent="0.2">
      <c r="B19771"/>
      <c r="C19771"/>
      <c r="J19771"/>
      <c r="K19771"/>
      <c r="L19771"/>
    </row>
    <row r="19772" spans="2:12" x14ac:dyDescent="0.2">
      <c r="B19772"/>
      <c r="C19772"/>
      <c r="J19772"/>
      <c r="K19772"/>
      <c r="L19772"/>
    </row>
    <row r="19773" spans="2:12" x14ac:dyDescent="0.2">
      <c r="B19773"/>
      <c r="C19773"/>
      <c r="J19773"/>
      <c r="K19773"/>
      <c r="L19773"/>
    </row>
    <row r="19774" spans="2:12" x14ac:dyDescent="0.2">
      <c r="B19774"/>
      <c r="C19774"/>
      <c r="J19774"/>
      <c r="K19774"/>
      <c r="L19774"/>
    </row>
    <row r="19775" spans="2:12" x14ac:dyDescent="0.2">
      <c r="B19775"/>
      <c r="C19775"/>
      <c r="J19775"/>
      <c r="K19775"/>
      <c r="L19775"/>
    </row>
    <row r="19776" spans="2:12" x14ac:dyDescent="0.2">
      <c r="B19776"/>
      <c r="C19776"/>
      <c r="J19776"/>
      <c r="K19776"/>
      <c r="L19776"/>
    </row>
    <row r="19777" spans="2:12" x14ac:dyDescent="0.2">
      <c r="B19777"/>
      <c r="C19777"/>
      <c r="J19777"/>
      <c r="K19777"/>
      <c r="L19777"/>
    </row>
    <row r="19778" spans="2:12" x14ac:dyDescent="0.2">
      <c r="B19778"/>
      <c r="C19778"/>
      <c r="J19778"/>
      <c r="K19778"/>
      <c r="L19778"/>
    </row>
    <row r="19779" spans="2:12" x14ac:dyDescent="0.2">
      <c r="B19779"/>
      <c r="C19779"/>
      <c r="J19779"/>
      <c r="K19779"/>
      <c r="L19779"/>
    </row>
    <row r="19780" spans="2:12" x14ac:dyDescent="0.2">
      <c r="B19780"/>
      <c r="C19780"/>
      <c r="J19780"/>
      <c r="K19780"/>
      <c r="L19780"/>
    </row>
    <row r="19781" spans="2:12" x14ac:dyDescent="0.2">
      <c r="B19781"/>
      <c r="C19781"/>
      <c r="J19781"/>
      <c r="K19781"/>
      <c r="L19781"/>
    </row>
    <row r="19782" spans="2:12" x14ac:dyDescent="0.2">
      <c r="B19782"/>
      <c r="C19782"/>
      <c r="J19782"/>
      <c r="K19782"/>
      <c r="L19782"/>
    </row>
    <row r="19783" spans="2:12" x14ac:dyDescent="0.2">
      <c r="B19783"/>
      <c r="C19783"/>
      <c r="J19783"/>
      <c r="K19783"/>
      <c r="L19783"/>
    </row>
    <row r="19784" spans="2:12" x14ac:dyDescent="0.2">
      <c r="B19784"/>
      <c r="C19784"/>
      <c r="J19784"/>
      <c r="K19784"/>
      <c r="L19784"/>
    </row>
    <row r="19785" spans="2:12" x14ac:dyDescent="0.2">
      <c r="B19785"/>
      <c r="C19785"/>
      <c r="J19785"/>
      <c r="K19785"/>
      <c r="L19785"/>
    </row>
    <row r="19786" spans="2:12" x14ac:dyDescent="0.2">
      <c r="B19786"/>
      <c r="C19786"/>
      <c r="J19786"/>
      <c r="K19786"/>
      <c r="L19786"/>
    </row>
    <row r="19787" spans="2:12" x14ac:dyDescent="0.2">
      <c r="B19787"/>
      <c r="C19787"/>
      <c r="J19787"/>
      <c r="K19787"/>
      <c r="L19787"/>
    </row>
    <row r="19788" spans="2:12" x14ac:dyDescent="0.2">
      <c r="B19788"/>
      <c r="C19788"/>
      <c r="J19788"/>
      <c r="K19788"/>
      <c r="L19788"/>
    </row>
    <row r="19789" spans="2:12" x14ac:dyDescent="0.2">
      <c r="B19789"/>
      <c r="C19789"/>
      <c r="J19789"/>
      <c r="K19789"/>
      <c r="L19789"/>
    </row>
    <row r="19790" spans="2:12" x14ac:dyDescent="0.2">
      <c r="B19790"/>
      <c r="C19790"/>
      <c r="J19790"/>
      <c r="K19790"/>
      <c r="L19790"/>
    </row>
    <row r="19791" spans="2:12" x14ac:dyDescent="0.2">
      <c r="B19791"/>
      <c r="C19791"/>
      <c r="J19791"/>
      <c r="K19791"/>
      <c r="L19791"/>
    </row>
    <row r="19792" spans="2:12" x14ac:dyDescent="0.2">
      <c r="B19792"/>
      <c r="C19792"/>
      <c r="J19792"/>
      <c r="K19792"/>
      <c r="L19792"/>
    </row>
    <row r="19793" spans="2:12" x14ac:dyDescent="0.2">
      <c r="B19793"/>
      <c r="C19793"/>
      <c r="J19793"/>
      <c r="K19793"/>
      <c r="L19793"/>
    </row>
    <row r="19794" spans="2:12" x14ac:dyDescent="0.2">
      <c r="B19794"/>
      <c r="C19794"/>
      <c r="J19794"/>
      <c r="K19794"/>
      <c r="L19794"/>
    </row>
    <row r="19795" spans="2:12" x14ac:dyDescent="0.2">
      <c r="B19795"/>
      <c r="C19795"/>
      <c r="J19795"/>
      <c r="K19795"/>
      <c r="L19795"/>
    </row>
    <row r="19796" spans="2:12" x14ac:dyDescent="0.2">
      <c r="B19796"/>
      <c r="C19796"/>
      <c r="J19796"/>
      <c r="K19796"/>
      <c r="L19796"/>
    </row>
    <row r="19797" spans="2:12" x14ac:dyDescent="0.2">
      <c r="B19797"/>
      <c r="C19797"/>
      <c r="J19797"/>
      <c r="K19797"/>
      <c r="L19797"/>
    </row>
    <row r="19798" spans="2:12" x14ac:dyDescent="0.2">
      <c r="B19798"/>
      <c r="C19798"/>
      <c r="J19798"/>
      <c r="K19798"/>
      <c r="L19798"/>
    </row>
    <row r="19799" spans="2:12" x14ac:dyDescent="0.2">
      <c r="B19799"/>
      <c r="C19799"/>
      <c r="J19799"/>
      <c r="K19799"/>
      <c r="L19799"/>
    </row>
    <row r="19800" spans="2:12" x14ac:dyDescent="0.2">
      <c r="B19800"/>
      <c r="C19800"/>
      <c r="J19800"/>
      <c r="K19800"/>
      <c r="L19800"/>
    </row>
    <row r="19801" spans="2:12" x14ac:dyDescent="0.2">
      <c r="B19801"/>
      <c r="C19801"/>
      <c r="J19801"/>
      <c r="K19801"/>
      <c r="L19801"/>
    </row>
    <row r="19802" spans="2:12" x14ac:dyDescent="0.2">
      <c r="B19802"/>
      <c r="C19802"/>
      <c r="J19802"/>
      <c r="K19802"/>
      <c r="L19802"/>
    </row>
    <row r="19803" spans="2:12" x14ac:dyDescent="0.2">
      <c r="B19803"/>
      <c r="C19803"/>
      <c r="J19803"/>
      <c r="K19803"/>
      <c r="L19803"/>
    </row>
    <row r="19804" spans="2:12" x14ac:dyDescent="0.2">
      <c r="B19804"/>
      <c r="C19804"/>
      <c r="J19804"/>
      <c r="K19804"/>
      <c r="L19804"/>
    </row>
    <row r="19805" spans="2:12" x14ac:dyDescent="0.2">
      <c r="B19805"/>
      <c r="C19805"/>
      <c r="J19805"/>
      <c r="K19805"/>
      <c r="L19805"/>
    </row>
    <row r="19806" spans="2:12" x14ac:dyDescent="0.2">
      <c r="B19806"/>
      <c r="C19806"/>
      <c r="J19806"/>
      <c r="K19806"/>
      <c r="L19806"/>
    </row>
    <row r="19807" spans="2:12" x14ac:dyDescent="0.2">
      <c r="B19807"/>
      <c r="C19807"/>
      <c r="J19807"/>
      <c r="K19807"/>
      <c r="L19807"/>
    </row>
    <row r="19808" spans="2:12" x14ac:dyDescent="0.2">
      <c r="B19808"/>
      <c r="C19808"/>
      <c r="J19808"/>
      <c r="K19808"/>
      <c r="L19808"/>
    </row>
    <row r="19809" spans="2:12" x14ac:dyDescent="0.2">
      <c r="B19809"/>
      <c r="C19809"/>
      <c r="J19809"/>
      <c r="K19809"/>
      <c r="L19809"/>
    </row>
    <row r="19810" spans="2:12" x14ac:dyDescent="0.2">
      <c r="B19810"/>
      <c r="C19810"/>
      <c r="J19810"/>
      <c r="K19810"/>
      <c r="L19810"/>
    </row>
    <row r="19811" spans="2:12" x14ac:dyDescent="0.2">
      <c r="B19811"/>
      <c r="C19811"/>
      <c r="J19811"/>
      <c r="K19811"/>
      <c r="L19811"/>
    </row>
    <row r="19812" spans="2:12" x14ac:dyDescent="0.2">
      <c r="B19812"/>
      <c r="C19812"/>
      <c r="J19812"/>
      <c r="K19812"/>
      <c r="L19812"/>
    </row>
    <row r="19813" spans="2:12" x14ac:dyDescent="0.2">
      <c r="B19813"/>
      <c r="C19813"/>
      <c r="J19813"/>
      <c r="K19813"/>
      <c r="L19813"/>
    </row>
    <row r="19814" spans="2:12" x14ac:dyDescent="0.2">
      <c r="B19814"/>
      <c r="C19814"/>
      <c r="J19814"/>
      <c r="K19814"/>
      <c r="L19814"/>
    </row>
    <row r="19815" spans="2:12" x14ac:dyDescent="0.2">
      <c r="B19815"/>
      <c r="C19815"/>
      <c r="J19815"/>
      <c r="K19815"/>
      <c r="L19815"/>
    </row>
    <row r="19816" spans="2:12" x14ac:dyDescent="0.2">
      <c r="B19816"/>
      <c r="C19816"/>
      <c r="J19816"/>
      <c r="K19816"/>
      <c r="L19816"/>
    </row>
    <row r="19817" spans="2:12" x14ac:dyDescent="0.2">
      <c r="B19817"/>
      <c r="C19817"/>
      <c r="J19817"/>
      <c r="K19817"/>
      <c r="L19817"/>
    </row>
    <row r="19818" spans="2:12" x14ac:dyDescent="0.2">
      <c r="B19818"/>
      <c r="C19818"/>
      <c r="J19818"/>
      <c r="K19818"/>
      <c r="L19818"/>
    </row>
    <row r="19819" spans="2:12" x14ac:dyDescent="0.2">
      <c r="B19819"/>
      <c r="C19819"/>
      <c r="J19819"/>
      <c r="K19819"/>
      <c r="L19819"/>
    </row>
    <row r="19820" spans="2:12" x14ac:dyDescent="0.2">
      <c r="B19820"/>
      <c r="C19820"/>
      <c r="J19820"/>
      <c r="K19820"/>
      <c r="L19820"/>
    </row>
    <row r="19821" spans="2:12" x14ac:dyDescent="0.2">
      <c r="B19821"/>
      <c r="C19821"/>
      <c r="J19821"/>
      <c r="K19821"/>
      <c r="L19821"/>
    </row>
    <row r="19822" spans="2:12" x14ac:dyDescent="0.2">
      <c r="B19822"/>
      <c r="C19822"/>
      <c r="J19822"/>
      <c r="K19822"/>
      <c r="L19822"/>
    </row>
    <row r="19823" spans="2:12" x14ac:dyDescent="0.2">
      <c r="B19823"/>
      <c r="C19823"/>
      <c r="J19823"/>
      <c r="K19823"/>
      <c r="L19823"/>
    </row>
    <row r="19824" spans="2:12" x14ac:dyDescent="0.2">
      <c r="B19824"/>
      <c r="C19824"/>
      <c r="J19824"/>
      <c r="K19824"/>
      <c r="L19824"/>
    </row>
    <row r="19825" spans="2:12" x14ac:dyDescent="0.2">
      <c r="B19825"/>
      <c r="C19825"/>
      <c r="J19825"/>
      <c r="K19825"/>
      <c r="L19825"/>
    </row>
    <row r="19826" spans="2:12" x14ac:dyDescent="0.2">
      <c r="B19826"/>
      <c r="C19826"/>
      <c r="J19826"/>
      <c r="K19826"/>
      <c r="L19826"/>
    </row>
    <row r="19827" spans="2:12" x14ac:dyDescent="0.2">
      <c r="B19827"/>
      <c r="C19827"/>
      <c r="J19827"/>
      <c r="K19827"/>
      <c r="L19827"/>
    </row>
    <row r="19828" spans="2:12" x14ac:dyDescent="0.2">
      <c r="B19828"/>
      <c r="C19828"/>
      <c r="J19828"/>
      <c r="K19828"/>
      <c r="L19828"/>
    </row>
    <row r="19829" spans="2:12" x14ac:dyDescent="0.2">
      <c r="B19829"/>
      <c r="C19829"/>
      <c r="J19829"/>
      <c r="K19829"/>
      <c r="L19829"/>
    </row>
    <row r="19830" spans="2:12" x14ac:dyDescent="0.2">
      <c r="B19830"/>
      <c r="C19830"/>
      <c r="J19830"/>
      <c r="K19830"/>
      <c r="L19830"/>
    </row>
    <row r="19831" spans="2:12" x14ac:dyDescent="0.2">
      <c r="B19831"/>
      <c r="C19831"/>
      <c r="J19831"/>
      <c r="K19831"/>
      <c r="L19831"/>
    </row>
    <row r="19832" spans="2:12" x14ac:dyDescent="0.2">
      <c r="B19832"/>
      <c r="C19832"/>
      <c r="J19832"/>
      <c r="K19832"/>
      <c r="L19832"/>
    </row>
    <row r="19833" spans="2:12" x14ac:dyDescent="0.2">
      <c r="B19833"/>
      <c r="C19833"/>
      <c r="J19833"/>
      <c r="K19833"/>
      <c r="L19833"/>
    </row>
    <row r="19834" spans="2:12" x14ac:dyDescent="0.2">
      <c r="B19834"/>
      <c r="C19834"/>
      <c r="J19834"/>
      <c r="K19834"/>
      <c r="L19834"/>
    </row>
    <row r="19835" spans="2:12" x14ac:dyDescent="0.2">
      <c r="B19835"/>
      <c r="C19835"/>
      <c r="J19835"/>
      <c r="K19835"/>
      <c r="L19835"/>
    </row>
    <row r="19836" spans="2:12" x14ac:dyDescent="0.2">
      <c r="B19836"/>
      <c r="C19836"/>
      <c r="J19836"/>
      <c r="K19836"/>
      <c r="L19836"/>
    </row>
    <row r="19837" spans="2:12" x14ac:dyDescent="0.2">
      <c r="B19837"/>
      <c r="C19837"/>
      <c r="J19837"/>
      <c r="K19837"/>
      <c r="L19837"/>
    </row>
    <row r="19838" spans="2:12" x14ac:dyDescent="0.2">
      <c r="B19838"/>
      <c r="C19838"/>
      <c r="J19838"/>
      <c r="K19838"/>
      <c r="L19838"/>
    </row>
    <row r="19839" spans="2:12" x14ac:dyDescent="0.2">
      <c r="B19839"/>
      <c r="C19839"/>
      <c r="J19839"/>
      <c r="K19839"/>
      <c r="L19839"/>
    </row>
    <row r="19840" spans="2:12" x14ac:dyDescent="0.2">
      <c r="B19840"/>
      <c r="C19840"/>
      <c r="J19840"/>
      <c r="K19840"/>
      <c r="L19840"/>
    </row>
    <row r="19841" spans="2:12" x14ac:dyDescent="0.2">
      <c r="B19841"/>
      <c r="C19841"/>
      <c r="J19841"/>
      <c r="K19841"/>
      <c r="L19841"/>
    </row>
    <row r="19842" spans="2:12" x14ac:dyDescent="0.2">
      <c r="B19842"/>
      <c r="C19842"/>
      <c r="J19842"/>
      <c r="K19842"/>
      <c r="L19842"/>
    </row>
    <row r="19843" spans="2:12" x14ac:dyDescent="0.2">
      <c r="B19843"/>
      <c r="C19843"/>
      <c r="J19843"/>
      <c r="K19843"/>
      <c r="L19843"/>
    </row>
    <row r="19844" spans="2:12" x14ac:dyDescent="0.2">
      <c r="B19844"/>
      <c r="C19844"/>
      <c r="J19844"/>
      <c r="K19844"/>
      <c r="L19844"/>
    </row>
    <row r="19845" spans="2:12" x14ac:dyDescent="0.2">
      <c r="B19845"/>
      <c r="C19845"/>
      <c r="J19845"/>
      <c r="K19845"/>
      <c r="L19845"/>
    </row>
    <row r="19846" spans="2:12" x14ac:dyDescent="0.2">
      <c r="B19846"/>
      <c r="C19846"/>
      <c r="J19846"/>
      <c r="K19846"/>
      <c r="L19846"/>
    </row>
    <row r="19847" spans="2:12" x14ac:dyDescent="0.2">
      <c r="B19847"/>
      <c r="C19847"/>
      <c r="J19847"/>
      <c r="K19847"/>
      <c r="L19847"/>
    </row>
    <row r="19848" spans="2:12" x14ac:dyDescent="0.2">
      <c r="B19848"/>
      <c r="C19848"/>
      <c r="J19848"/>
      <c r="K19848"/>
      <c r="L19848"/>
    </row>
    <row r="19849" spans="2:12" x14ac:dyDescent="0.2">
      <c r="B19849"/>
      <c r="C19849"/>
      <c r="J19849"/>
      <c r="K19849"/>
      <c r="L19849"/>
    </row>
    <row r="19850" spans="2:12" x14ac:dyDescent="0.2">
      <c r="B19850"/>
      <c r="C19850"/>
      <c r="J19850"/>
      <c r="K19850"/>
      <c r="L19850"/>
    </row>
    <row r="19851" spans="2:12" x14ac:dyDescent="0.2">
      <c r="B19851"/>
      <c r="C19851"/>
      <c r="J19851"/>
      <c r="K19851"/>
      <c r="L19851"/>
    </row>
    <row r="19852" spans="2:12" x14ac:dyDescent="0.2">
      <c r="B19852"/>
      <c r="C19852"/>
      <c r="J19852"/>
      <c r="K19852"/>
      <c r="L19852"/>
    </row>
    <row r="19853" spans="2:12" x14ac:dyDescent="0.2">
      <c r="B19853"/>
      <c r="C19853"/>
      <c r="J19853"/>
      <c r="K19853"/>
      <c r="L19853"/>
    </row>
    <row r="19854" spans="2:12" x14ac:dyDescent="0.2">
      <c r="B19854"/>
      <c r="C19854"/>
      <c r="J19854"/>
      <c r="K19854"/>
      <c r="L19854"/>
    </row>
    <row r="19855" spans="2:12" x14ac:dyDescent="0.2">
      <c r="B19855"/>
      <c r="C19855"/>
      <c r="J19855"/>
      <c r="K19855"/>
      <c r="L19855"/>
    </row>
    <row r="19856" spans="2:12" x14ac:dyDescent="0.2">
      <c r="B19856"/>
      <c r="C19856"/>
      <c r="J19856"/>
      <c r="K19856"/>
      <c r="L19856"/>
    </row>
    <row r="19857" spans="2:12" x14ac:dyDescent="0.2">
      <c r="B19857"/>
      <c r="C19857"/>
      <c r="J19857"/>
      <c r="K19857"/>
      <c r="L19857"/>
    </row>
    <row r="19858" spans="2:12" x14ac:dyDescent="0.2">
      <c r="B19858"/>
      <c r="C19858"/>
      <c r="J19858"/>
      <c r="K19858"/>
      <c r="L19858"/>
    </row>
    <row r="19859" spans="2:12" x14ac:dyDescent="0.2">
      <c r="B19859"/>
      <c r="C19859"/>
      <c r="J19859"/>
      <c r="K19859"/>
      <c r="L19859"/>
    </row>
    <row r="19860" spans="2:12" x14ac:dyDescent="0.2">
      <c r="B19860"/>
      <c r="C19860"/>
      <c r="J19860"/>
      <c r="K19860"/>
      <c r="L19860"/>
    </row>
    <row r="19861" spans="2:12" x14ac:dyDescent="0.2">
      <c r="B19861"/>
      <c r="C19861"/>
      <c r="J19861"/>
      <c r="K19861"/>
      <c r="L19861"/>
    </row>
    <row r="19862" spans="2:12" x14ac:dyDescent="0.2">
      <c r="B19862"/>
      <c r="C19862"/>
      <c r="J19862"/>
      <c r="K19862"/>
      <c r="L19862"/>
    </row>
    <row r="19863" spans="2:12" x14ac:dyDescent="0.2">
      <c r="B19863"/>
      <c r="C19863"/>
      <c r="J19863"/>
      <c r="K19863"/>
      <c r="L19863"/>
    </row>
    <row r="19864" spans="2:12" x14ac:dyDescent="0.2">
      <c r="B19864"/>
      <c r="C19864"/>
      <c r="J19864"/>
      <c r="K19864"/>
      <c r="L19864"/>
    </row>
    <row r="19865" spans="2:12" x14ac:dyDescent="0.2">
      <c r="B19865"/>
      <c r="C19865"/>
      <c r="J19865"/>
      <c r="K19865"/>
      <c r="L19865"/>
    </row>
    <row r="19866" spans="2:12" x14ac:dyDescent="0.2">
      <c r="B19866"/>
      <c r="C19866"/>
      <c r="J19866"/>
      <c r="K19866"/>
      <c r="L19866"/>
    </row>
    <row r="19867" spans="2:12" x14ac:dyDescent="0.2">
      <c r="B19867"/>
      <c r="C19867"/>
      <c r="J19867"/>
      <c r="K19867"/>
      <c r="L19867"/>
    </row>
    <row r="19868" spans="2:12" x14ac:dyDescent="0.2">
      <c r="B19868"/>
      <c r="C19868"/>
      <c r="J19868"/>
      <c r="K19868"/>
      <c r="L19868"/>
    </row>
    <row r="19869" spans="2:12" x14ac:dyDescent="0.2">
      <c r="B19869"/>
      <c r="C19869"/>
      <c r="J19869"/>
      <c r="K19869"/>
      <c r="L19869"/>
    </row>
    <row r="19870" spans="2:12" x14ac:dyDescent="0.2">
      <c r="B19870"/>
      <c r="C19870"/>
      <c r="J19870"/>
      <c r="K19870"/>
      <c r="L19870"/>
    </row>
    <row r="19871" spans="2:12" x14ac:dyDescent="0.2">
      <c r="B19871"/>
      <c r="C19871"/>
      <c r="J19871"/>
      <c r="K19871"/>
      <c r="L19871"/>
    </row>
    <row r="19872" spans="2:12" x14ac:dyDescent="0.2">
      <c r="B19872"/>
      <c r="C19872"/>
      <c r="J19872"/>
      <c r="K19872"/>
      <c r="L19872"/>
    </row>
    <row r="19873" spans="2:12" x14ac:dyDescent="0.2">
      <c r="B19873"/>
      <c r="C19873"/>
      <c r="J19873"/>
      <c r="K19873"/>
      <c r="L19873"/>
    </row>
    <row r="19874" spans="2:12" x14ac:dyDescent="0.2">
      <c r="B19874"/>
      <c r="C19874"/>
      <c r="J19874"/>
      <c r="K19874"/>
      <c r="L19874"/>
    </row>
    <row r="19875" spans="2:12" x14ac:dyDescent="0.2">
      <c r="B19875"/>
      <c r="C19875"/>
      <c r="J19875"/>
      <c r="K19875"/>
      <c r="L19875"/>
    </row>
    <row r="19876" spans="2:12" x14ac:dyDescent="0.2">
      <c r="B19876"/>
      <c r="C19876"/>
      <c r="J19876"/>
      <c r="K19876"/>
      <c r="L19876"/>
    </row>
    <row r="19877" spans="2:12" x14ac:dyDescent="0.2">
      <c r="B19877"/>
      <c r="C19877"/>
      <c r="J19877"/>
      <c r="K19877"/>
      <c r="L19877"/>
    </row>
    <row r="19878" spans="2:12" x14ac:dyDescent="0.2">
      <c r="B19878"/>
      <c r="C19878"/>
      <c r="J19878"/>
      <c r="K19878"/>
      <c r="L19878"/>
    </row>
    <row r="19879" spans="2:12" x14ac:dyDescent="0.2">
      <c r="B19879"/>
      <c r="C19879"/>
      <c r="J19879"/>
      <c r="K19879"/>
      <c r="L19879"/>
    </row>
    <row r="19880" spans="2:12" x14ac:dyDescent="0.2">
      <c r="B19880"/>
      <c r="C19880"/>
      <c r="J19880"/>
      <c r="K19880"/>
      <c r="L19880"/>
    </row>
    <row r="19881" spans="2:12" x14ac:dyDescent="0.2">
      <c r="B19881"/>
      <c r="C19881"/>
      <c r="J19881"/>
      <c r="K19881"/>
      <c r="L19881"/>
    </row>
    <row r="19882" spans="2:12" x14ac:dyDescent="0.2">
      <c r="B19882"/>
      <c r="C19882"/>
      <c r="J19882"/>
      <c r="K19882"/>
      <c r="L19882"/>
    </row>
    <row r="19883" spans="2:12" x14ac:dyDescent="0.2">
      <c r="B19883"/>
      <c r="C19883"/>
      <c r="J19883"/>
      <c r="K19883"/>
      <c r="L19883"/>
    </row>
    <row r="19884" spans="2:12" x14ac:dyDescent="0.2">
      <c r="B19884"/>
      <c r="C19884"/>
      <c r="J19884"/>
      <c r="K19884"/>
      <c r="L19884"/>
    </row>
    <row r="19885" spans="2:12" x14ac:dyDescent="0.2">
      <c r="B19885"/>
      <c r="C19885"/>
      <c r="J19885"/>
      <c r="K19885"/>
      <c r="L19885"/>
    </row>
    <row r="19886" spans="2:12" x14ac:dyDescent="0.2">
      <c r="B19886"/>
      <c r="C19886"/>
      <c r="J19886"/>
      <c r="K19886"/>
      <c r="L19886"/>
    </row>
    <row r="19887" spans="2:12" x14ac:dyDescent="0.2">
      <c r="B19887"/>
      <c r="C19887"/>
      <c r="J19887"/>
      <c r="K19887"/>
      <c r="L19887"/>
    </row>
    <row r="19888" spans="2:12" x14ac:dyDescent="0.2">
      <c r="B19888"/>
      <c r="C19888"/>
      <c r="J19888"/>
      <c r="K19888"/>
      <c r="L19888"/>
    </row>
    <row r="19889" spans="2:12" x14ac:dyDescent="0.2">
      <c r="B19889"/>
      <c r="C19889"/>
      <c r="J19889"/>
      <c r="K19889"/>
      <c r="L19889"/>
    </row>
    <row r="19890" spans="2:12" x14ac:dyDescent="0.2">
      <c r="B19890"/>
      <c r="C19890"/>
      <c r="J19890"/>
      <c r="K19890"/>
      <c r="L19890"/>
    </row>
    <row r="19891" spans="2:12" x14ac:dyDescent="0.2">
      <c r="B19891"/>
      <c r="C19891"/>
      <c r="J19891"/>
      <c r="K19891"/>
      <c r="L19891"/>
    </row>
    <row r="19892" spans="2:12" x14ac:dyDescent="0.2">
      <c r="B19892"/>
      <c r="C19892"/>
      <c r="J19892"/>
      <c r="K19892"/>
      <c r="L19892"/>
    </row>
    <row r="19893" spans="2:12" x14ac:dyDescent="0.2">
      <c r="B19893"/>
      <c r="C19893"/>
      <c r="J19893"/>
      <c r="K19893"/>
      <c r="L19893"/>
    </row>
    <row r="19894" spans="2:12" x14ac:dyDescent="0.2">
      <c r="B19894"/>
      <c r="C19894"/>
      <c r="J19894"/>
      <c r="K19894"/>
      <c r="L19894"/>
    </row>
    <row r="19895" spans="2:12" x14ac:dyDescent="0.2">
      <c r="B19895"/>
      <c r="C19895"/>
      <c r="J19895"/>
      <c r="K19895"/>
      <c r="L19895"/>
    </row>
    <row r="19896" spans="2:12" x14ac:dyDescent="0.2">
      <c r="B19896"/>
      <c r="C19896"/>
      <c r="J19896"/>
      <c r="K19896"/>
      <c r="L19896"/>
    </row>
    <row r="19897" spans="2:12" x14ac:dyDescent="0.2">
      <c r="B19897"/>
      <c r="C19897"/>
      <c r="J19897"/>
      <c r="K19897"/>
      <c r="L19897"/>
    </row>
    <row r="19898" spans="2:12" x14ac:dyDescent="0.2">
      <c r="B19898"/>
      <c r="C19898"/>
      <c r="J19898"/>
      <c r="K19898"/>
      <c r="L19898"/>
    </row>
    <row r="19899" spans="2:12" x14ac:dyDescent="0.2">
      <c r="B19899"/>
      <c r="C19899"/>
      <c r="J19899"/>
      <c r="K19899"/>
      <c r="L19899"/>
    </row>
    <row r="19900" spans="2:12" x14ac:dyDescent="0.2">
      <c r="B19900"/>
      <c r="C19900"/>
      <c r="J19900"/>
      <c r="K19900"/>
      <c r="L19900"/>
    </row>
    <row r="19901" spans="2:12" x14ac:dyDescent="0.2">
      <c r="B19901"/>
      <c r="C19901"/>
      <c r="J19901"/>
      <c r="K19901"/>
      <c r="L19901"/>
    </row>
    <row r="19902" spans="2:12" x14ac:dyDescent="0.2">
      <c r="B19902"/>
      <c r="C19902"/>
      <c r="J19902"/>
      <c r="K19902"/>
      <c r="L19902"/>
    </row>
    <row r="19903" spans="2:12" x14ac:dyDescent="0.2">
      <c r="B19903"/>
      <c r="C19903"/>
      <c r="J19903"/>
      <c r="K19903"/>
      <c r="L19903"/>
    </row>
    <row r="19904" spans="2:12" x14ac:dyDescent="0.2">
      <c r="B19904"/>
      <c r="C19904"/>
      <c r="J19904"/>
      <c r="K19904"/>
      <c r="L19904"/>
    </row>
    <row r="19905" spans="2:12" x14ac:dyDescent="0.2">
      <c r="B19905"/>
      <c r="C19905"/>
      <c r="J19905"/>
      <c r="K19905"/>
      <c r="L19905"/>
    </row>
    <row r="19906" spans="2:12" x14ac:dyDescent="0.2">
      <c r="B19906"/>
      <c r="C19906"/>
      <c r="J19906"/>
      <c r="K19906"/>
      <c r="L19906"/>
    </row>
    <row r="19907" spans="2:12" x14ac:dyDescent="0.2">
      <c r="B19907"/>
      <c r="C19907"/>
      <c r="J19907"/>
      <c r="K19907"/>
      <c r="L19907"/>
    </row>
    <row r="19908" spans="2:12" x14ac:dyDescent="0.2">
      <c r="B19908"/>
      <c r="C19908"/>
      <c r="J19908"/>
      <c r="K19908"/>
      <c r="L19908"/>
    </row>
    <row r="19909" spans="2:12" x14ac:dyDescent="0.2">
      <c r="B19909"/>
      <c r="C19909"/>
      <c r="J19909"/>
      <c r="K19909"/>
      <c r="L19909"/>
    </row>
    <row r="19910" spans="2:12" x14ac:dyDescent="0.2">
      <c r="B19910"/>
      <c r="C19910"/>
      <c r="J19910"/>
      <c r="K19910"/>
      <c r="L19910"/>
    </row>
    <row r="19911" spans="2:12" x14ac:dyDescent="0.2">
      <c r="B19911"/>
      <c r="C19911"/>
      <c r="J19911"/>
      <c r="K19911"/>
      <c r="L19911"/>
    </row>
    <row r="19912" spans="2:12" x14ac:dyDescent="0.2">
      <c r="B19912"/>
      <c r="C19912"/>
      <c r="J19912"/>
      <c r="K19912"/>
      <c r="L19912"/>
    </row>
    <row r="19913" spans="2:12" x14ac:dyDescent="0.2">
      <c r="B19913"/>
      <c r="C19913"/>
      <c r="J19913"/>
      <c r="K19913"/>
      <c r="L19913"/>
    </row>
    <row r="19914" spans="2:12" x14ac:dyDescent="0.2">
      <c r="B19914"/>
      <c r="C19914"/>
      <c r="J19914"/>
      <c r="K19914"/>
      <c r="L19914"/>
    </row>
    <row r="19915" spans="2:12" x14ac:dyDescent="0.2">
      <c r="B19915"/>
      <c r="C19915"/>
      <c r="J19915"/>
      <c r="K19915"/>
      <c r="L19915"/>
    </row>
    <row r="19916" spans="2:12" x14ac:dyDescent="0.2">
      <c r="B19916"/>
      <c r="C19916"/>
      <c r="J19916"/>
      <c r="K19916"/>
      <c r="L19916"/>
    </row>
    <row r="19917" spans="2:12" x14ac:dyDescent="0.2">
      <c r="B19917"/>
      <c r="C19917"/>
      <c r="J19917"/>
      <c r="K19917"/>
      <c r="L19917"/>
    </row>
    <row r="19918" spans="2:12" x14ac:dyDescent="0.2">
      <c r="B19918"/>
      <c r="C19918"/>
      <c r="J19918"/>
      <c r="K19918"/>
      <c r="L19918"/>
    </row>
    <row r="19919" spans="2:12" x14ac:dyDescent="0.2">
      <c r="B19919"/>
      <c r="C19919"/>
      <c r="J19919"/>
      <c r="K19919"/>
      <c r="L19919"/>
    </row>
    <row r="19920" spans="2:12" x14ac:dyDescent="0.2">
      <c r="B19920"/>
      <c r="C19920"/>
      <c r="J19920"/>
      <c r="K19920"/>
      <c r="L19920"/>
    </row>
    <row r="19921" spans="2:12" x14ac:dyDescent="0.2">
      <c r="B19921"/>
      <c r="C19921"/>
      <c r="J19921"/>
      <c r="K19921"/>
      <c r="L19921"/>
    </row>
    <row r="19922" spans="2:12" x14ac:dyDescent="0.2">
      <c r="B19922"/>
      <c r="C19922"/>
      <c r="J19922"/>
      <c r="K19922"/>
      <c r="L19922"/>
    </row>
    <row r="19923" spans="2:12" x14ac:dyDescent="0.2">
      <c r="B19923"/>
      <c r="C19923"/>
      <c r="J19923"/>
      <c r="K19923"/>
      <c r="L19923"/>
    </row>
    <row r="19924" spans="2:12" x14ac:dyDescent="0.2">
      <c r="B19924"/>
      <c r="C19924"/>
      <c r="J19924"/>
      <c r="K19924"/>
      <c r="L19924"/>
    </row>
    <row r="19925" spans="2:12" x14ac:dyDescent="0.2">
      <c r="B19925"/>
      <c r="C19925"/>
      <c r="J19925"/>
      <c r="K19925"/>
      <c r="L19925"/>
    </row>
    <row r="19926" spans="2:12" x14ac:dyDescent="0.2">
      <c r="B19926"/>
      <c r="C19926"/>
      <c r="J19926"/>
      <c r="K19926"/>
      <c r="L19926"/>
    </row>
    <row r="19927" spans="2:12" x14ac:dyDescent="0.2">
      <c r="B19927"/>
      <c r="C19927"/>
      <c r="J19927"/>
      <c r="K19927"/>
      <c r="L19927"/>
    </row>
    <row r="19928" spans="2:12" x14ac:dyDescent="0.2">
      <c r="B19928"/>
      <c r="C19928"/>
      <c r="J19928"/>
      <c r="K19928"/>
      <c r="L19928"/>
    </row>
    <row r="19929" spans="2:12" x14ac:dyDescent="0.2">
      <c r="B19929"/>
      <c r="C19929"/>
      <c r="J19929"/>
      <c r="K19929"/>
      <c r="L19929"/>
    </row>
    <row r="19930" spans="2:12" x14ac:dyDescent="0.2">
      <c r="B19930"/>
      <c r="C19930"/>
      <c r="J19930"/>
      <c r="K19930"/>
      <c r="L19930"/>
    </row>
    <row r="19931" spans="2:12" x14ac:dyDescent="0.2">
      <c r="B19931"/>
      <c r="C19931"/>
      <c r="J19931"/>
      <c r="K19931"/>
      <c r="L19931"/>
    </row>
    <row r="19932" spans="2:12" x14ac:dyDescent="0.2">
      <c r="B19932"/>
      <c r="C19932"/>
      <c r="J19932"/>
      <c r="K19932"/>
      <c r="L19932"/>
    </row>
    <row r="19933" spans="2:12" x14ac:dyDescent="0.2">
      <c r="B19933"/>
      <c r="C19933"/>
      <c r="J19933"/>
      <c r="K19933"/>
      <c r="L19933"/>
    </row>
    <row r="19934" spans="2:12" x14ac:dyDescent="0.2">
      <c r="B19934"/>
      <c r="C19934"/>
      <c r="J19934"/>
      <c r="K19934"/>
      <c r="L19934"/>
    </row>
    <row r="19935" spans="2:12" x14ac:dyDescent="0.2">
      <c r="B19935"/>
      <c r="C19935"/>
      <c r="J19935"/>
      <c r="K19935"/>
      <c r="L19935"/>
    </row>
    <row r="19936" spans="2:12" x14ac:dyDescent="0.2">
      <c r="B19936"/>
      <c r="C19936"/>
      <c r="J19936"/>
      <c r="K19936"/>
      <c r="L19936"/>
    </row>
    <row r="19937" spans="2:12" x14ac:dyDescent="0.2">
      <c r="B19937"/>
      <c r="C19937"/>
      <c r="J19937"/>
      <c r="K19937"/>
      <c r="L19937"/>
    </row>
    <row r="19938" spans="2:12" x14ac:dyDescent="0.2">
      <c r="B19938"/>
      <c r="C19938"/>
      <c r="J19938"/>
      <c r="K19938"/>
      <c r="L19938"/>
    </row>
    <row r="19939" spans="2:12" x14ac:dyDescent="0.2">
      <c r="B19939"/>
      <c r="C19939"/>
      <c r="J19939"/>
      <c r="K19939"/>
      <c r="L19939"/>
    </row>
    <row r="19940" spans="2:12" x14ac:dyDescent="0.2">
      <c r="B19940"/>
      <c r="C19940"/>
      <c r="J19940"/>
      <c r="K19940"/>
      <c r="L19940"/>
    </row>
    <row r="19941" spans="2:12" x14ac:dyDescent="0.2">
      <c r="B19941"/>
      <c r="C19941"/>
      <c r="J19941"/>
      <c r="K19941"/>
      <c r="L19941"/>
    </row>
    <row r="19942" spans="2:12" x14ac:dyDescent="0.2">
      <c r="B19942"/>
      <c r="C19942"/>
      <c r="J19942"/>
      <c r="K19942"/>
      <c r="L19942"/>
    </row>
    <row r="19943" spans="2:12" x14ac:dyDescent="0.2">
      <c r="B19943"/>
      <c r="C19943"/>
      <c r="J19943"/>
      <c r="K19943"/>
      <c r="L19943"/>
    </row>
    <row r="19944" spans="2:12" x14ac:dyDescent="0.2">
      <c r="B19944"/>
      <c r="C19944"/>
      <c r="J19944"/>
      <c r="K19944"/>
      <c r="L19944"/>
    </row>
    <row r="19945" spans="2:12" x14ac:dyDescent="0.2">
      <c r="B19945"/>
      <c r="C19945"/>
      <c r="J19945"/>
      <c r="K19945"/>
      <c r="L19945"/>
    </row>
    <row r="19946" spans="2:12" x14ac:dyDescent="0.2">
      <c r="B19946"/>
      <c r="C19946"/>
      <c r="J19946"/>
      <c r="K19946"/>
      <c r="L19946"/>
    </row>
    <row r="19947" spans="2:12" x14ac:dyDescent="0.2">
      <c r="B19947"/>
      <c r="C19947"/>
      <c r="J19947"/>
      <c r="K19947"/>
      <c r="L19947"/>
    </row>
    <row r="19948" spans="2:12" x14ac:dyDescent="0.2">
      <c r="B19948"/>
      <c r="C19948"/>
      <c r="J19948"/>
      <c r="K19948"/>
      <c r="L19948"/>
    </row>
    <row r="19949" spans="2:12" x14ac:dyDescent="0.2">
      <c r="B19949"/>
      <c r="C19949"/>
      <c r="J19949"/>
      <c r="K19949"/>
      <c r="L19949"/>
    </row>
    <row r="19950" spans="2:12" x14ac:dyDescent="0.2">
      <c r="B19950"/>
      <c r="C19950"/>
      <c r="J19950"/>
      <c r="K19950"/>
      <c r="L19950"/>
    </row>
    <row r="19951" spans="2:12" x14ac:dyDescent="0.2">
      <c r="B19951"/>
      <c r="C19951"/>
      <c r="J19951"/>
      <c r="K19951"/>
      <c r="L19951"/>
    </row>
    <row r="19952" spans="2:12" x14ac:dyDescent="0.2">
      <c r="B19952"/>
      <c r="C19952"/>
      <c r="J19952"/>
      <c r="K19952"/>
      <c r="L19952"/>
    </row>
    <row r="19953" spans="2:12" x14ac:dyDescent="0.2">
      <c r="B19953"/>
      <c r="C19953"/>
      <c r="J19953"/>
      <c r="K19953"/>
      <c r="L19953"/>
    </row>
    <row r="19954" spans="2:12" x14ac:dyDescent="0.2">
      <c r="B19954"/>
      <c r="C19954"/>
      <c r="J19954"/>
      <c r="K19954"/>
      <c r="L19954"/>
    </row>
    <row r="19955" spans="2:12" x14ac:dyDescent="0.2">
      <c r="B19955"/>
      <c r="C19955"/>
      <c r="J19955"/>
      <c r="K19955"/>
      <c r="L19955"/>
    </row>
    <row r="19956" spans="2:12" x14ac:dyDescent="0.2">
      <c r="B19956"/>
      <c r="C19956"/>
      <c r="J19956"/>
      <c r="K19956"/>
      <c r="L19956"/>
    </row>
    <row r="19957" spans="2:12" x14ac:dyDescent="0.2">
      <c r="B19957"/>
      <c r="C19957"/>
      <c r="J19957"/>
      <c r="K19957"/>
      <c r="L19957"/>
    </row>
    <row r="19958" spans="2:12" x14ac:dyDescent="0.2">
      <c r="B19958"/>
      <c r="C19958"/>
      <c r="J19958"/>
      <c r="K19958"/>
      <c r="L19958"/>
    </row>
    <row r="19959" spans="2:12" x14ac:dyDescent="0.2">
      <c r="B19959"/>
      <c r="C19959"/>
      <c r="J19959"/>
      <c r="K19959"/>
      <c r="L19959"/>
    </row>
    <row r="19960" spans="2:12" x14ac:dyDescent="0.2">
      <c r="B19960"/>
      <c r="C19960"/>
      <c r="J19960"/>
      <c r="K19960"/>
      <c r="L19960"/>
    </row>
    <row r="19961" spans="2:12" x14ac:dyDescent="0.2">
      <c r="B19961"/>
      <c r="C19961"/>
      <c r="J19961"/>
      <c r="K19961"/>
      <c r="L19961"/>
    </row>
    <row r="19962" spans="2:12" x14ac:dyDescent="0.2">
      <c r="B19962"/>
      <c r="C19962"/>
      <c r="J19962"/>
      <c r="K19962"/>
      <c r="L19962"/>
    </row>
    <row r="19963" spans="2:12" x14ac:dyDescent="0.2">
      <c r="B19963"/>
      <c r="C19963"/>
      <c r="J19963"/>
      <c r="K19963"/>
      <c r="L19963"/>
    </row>
    <row r="19964" spans="2:12" x14ac:dyDescent="0.2">
      <c r="B19964"/>
      <c r="C19964"/>
      <c r="J19964"/>
      <c r="K19964"/>
      <c r="L19964"/>
    </row>
    <row r="19965" spans="2:12" x14ac:dyDescent="0.2">
      <c r="B19965"/>
      <c r="C19965"/>
      <c r="J19965"/>
      <c r="K19965"/>
      <c r="L19965"/>
    </row>
    <row r="19966" spans="2:12" x14ac:dyDescent="0.2">
      <c r="B19966"/>
      <c r="C19966"/>
      <c r="J19966"/>
      <c r="K19966"/>
      <c r="L19966"/>
    </row>
    <row r="19967" spans="2:12" x14ac:dyDescent="0.2">
      <c r="B19967"/>
      <c r="C19967"/>
      <c r="J19967"/>
      <c r="K19967"/>
      <c r="L19967"/>
    </row>
    <row r="19968" spans="2:12" x14ac:dyDescent="0.2">
      <c r="B19968"/>
      <c r="C19968"/>
      <c r="J19968"/>
      <c r="K19968"/>
      <c r="L19968"/>
    </row>
    <row r="19969" spans="2:12" x14ac:dyDescent="0.2">
      <c r="B19969"/>
      <c r="C19969"/>
      <c r="J19969"/>
      <c r="K19969"/>
      <c r="L19969"/>
    </row>
    <row r="19970" spans="2:12" x14ac:dyDescent="0.2">
      <c r="B19970"/>
      <c r="C19970"/>
      <c r="J19970"/>
      <c r="K19970"/>
      <c r="L19970"/>
    </row>
    <row r="19971" spans="2:12" x14ac:dyDescent="0.2">
      <c r="B19971"/>
      <c r="C19971"/>
      <c r="J19971"/>
      <c r="K19971"/>
      <c r="L19971"/>
    </row>
    <row r="19972" spans="2:12" x14ac:dyDescent="0.2">
      <c r="B19972"/>
      <c r="C19972"/>
      <c r="J19972"/>
      <c r="K19972"/>
      <c r="L19972"/>
    </row>
    <row r="19973" spans="2:12" x14ac:dyDescent="0.2">
      <c r="B19973"/>
      <c r="C19973"/>
      <c r="J19973"/>
      <c r="K19973"/>
      <c r="L19973"/>
    </row>
    <row r="19974" spans="2:12" x14ac:dyDescent="0.2">
      <c r="B19974"/>
      <c r="C19974"/>
      <c r="J19974"/>
      <c r="K19974"/>
      <c r="L19974"/>
    </row>
    <row r="19975" spans="2:12" x14ac:dyDescent="0.2">
      <c r="B19975"/>
      <c r="C19975"/>
      <c r="J19975"/>
      <c r="K19975"/>
      <c r="L19975"/>
    </row>
    <row r="19976" spans="2:12" x14ac:dyDescent="0.2">
      <c r="B19976"/>
      <c r="C19976"/>
      <c r="J19976"/>
      <c r="K19976"/>
      <c r="L19976"/>
    </row>
    <row r="19977" spans="2:12" x14ac:dyDescent="0.2">
      <c r="B19977"/>
      <c r="C19977"/>
      <c r="J19977"/>
      <c r="K19977"/>
      <c r="L19977"/>
    </row>
    <row r="19978" spans="2:12" x14ac:dyDescent="0.2">
      <c r="B19978"/>
      <c r="C19978"/>
      <c r="J19978"/>
      <c r="K19978"/>
      <c r="L19978"/>
    </row>
    <row r="19979" spans="2:12" x14ac:dyDescent="0.2">
      <c r="B19979"/>
      <c r="C19979"/>
      <c r="J19979"/>
      <c r="K19979"/>
      <c r="L19979"/>
    </row>
    <row r="19980" spans="2:12" x14ac:dyDescent="0.2">
      <c r="B19980"/>
      <c r="C19980"/>
      <c r="J19980"/>
      <c r="K19980"/>
      <c r="L19980"/>
    </row>
    <row r="19981" spans="2:12" x14ac:dyDescent="0.2">
      <c r="B19981"/>
      <c r="C19981"/>
      <c r="J19981"/>
      <c r="K19981"/>
      <c r="L19981"/>
    </row>
    <row r="19982" spans="2:12" x14ac:dyDescent="0.2">
      <c r="B19982"/>
      <c r="C19982"/>
      <c r="J19982"/>
      <c r="K19982"/>
      <c r="L19982"/>
    </row>
    <row r="19983" spans="2:12" x14ac:dyDescent="0.2">
      <c r="B19983"/>
      <c r="C19983"/>
      <c r="J19983"/>
      <c r="K19983"/>
      <c r="L19983"/>
    </row>
    <row r="19984" spans="2:12" x14ac:dyDescent="0.2">
      <c r="B19984"/>
      <c r="C19984"/>
      <c r="J19984"/>
      <c r="K19984"/>
      <c r="L19984"/>
    </row>
    <row r="19985" spans="2:12" x14ac:dyDescent="0.2">
      <c r="B19985"/>
      <c r="C19985"/>
      <c r="J19985"/>
      <c r="K19985"/>
      <c r="L19985"/>
    </row>
    <row r="19986" spans="2:12" x14ac:dyDescent="0.2">
      <c r="B19986"/>
      <c r="C19986"/>
      <c r="J19986"/>
      <c r="K19986"/>
      <c r="L19986"/>
    </row>
    <row r="19987" spans="2:12" x14ac:dyDescent="0.2">
      <c r="B19987"/>
      <c r="C19987"/>
      <c r="J19987"/>
      <c r="K19987"/>
      <c r="L19987"/>
    </row>
    <row r="19988" spans="2:12" x14ac:dyDescent="0.2">
      <c r="B19988"/>
      <c r="C19988"/>
      <c r="J19988"/>
      <c r="K19988"/>
      <c r="L19988"/>
    </row>
    <row r="19989" spans="2:12" x14ac:dyDescent="0.2">
      <c r="B19989"/>
      <c r="C19989"/>
      <c r="J19989"/>
      <c r="K19989"/>
      <c r="L19989"/>
    </row>
    <row r="19990" spans="2:12" x14ac:dyDescent="0.2">
      <c r="B19990"/>
      <c r="C19990"/>
      <c r="J19990"/>
      <c r="K19990"/>
      <c r="L19990"/>
    </row>
    <row r="19991" spans="2:12" x14ac:dyDescent="0.2">
      <c r="B19991"/>
      <c r="C19991"/>
      <c r="J19991"/>
      <c r="K19991"/>
      <c r="L19991"/>
    </row>
    <row r="19992" spans="2:12" x14ac:dyDescent="0.2">
      <c r="B19992"/>
      <c r="C19992"/>
      <c r="J19992"/>
      <c r="K19992"/>
      <c r="L19992"/>
    </row>
    <row r="19993" spans="2:12" x14ac:dyDescent="0.2">
      <c r="B19993"/>
      <c r="C19993"/>
      <c r="J19993"/>
      <c r="K19993"/>
      <c r="L19993"/>
    </row>
    <row r="19994" spans="2:12" x14ac:dyDescent="0.2">
      <c r="B19994"/>
      <c r="C19994"/>
      <c r="J19994"/>
      <c r="K19994"/>
      <c r="L19994"/>
    </row>
    <row r="19995" spans="2:12" x14ac:dyDescent="0.2">
      <c r="B19995"/>
      <c r="C19995"/>
      <c r="J19995"/>
      <c r="K19995"/>
      <c r="L19995"/>
    </row>
    <row r="19996" spans="2:12" x14ac:dyDescent="0.2">
      <c r="B19996"/>
      <c r="C19996"/>
      <c r="J19996"/>
      <c r="K19996"/>
      <c r="L19996"/>
    </row>
    <row r="19997" spans="2:12" x14ac:dyDescent="0.2">
      <c r="B19997"/>
      <c r="C19997"/>
      <c r="J19997"/>
      <c r="K19997"/>
      <c r="L19997"/>
    </row>
    <row r="19998" spans="2:12" x14ac:dyDescent="0.2">
      <c r="B19998"/>
      <c r="C19998"/>
      <c r="J19998"/>
      <c r="K19998"/>
      <c r="L19998"/>
    </row>
    <row r="19999" spans="2:12" x14ac:dyDescent="0.2">
      <c r="B19999"/>
      <c r="C19999"/>
      <c r="J19999"/>
      <c r="K19999"/>
      <c r="L19999"/>
    </row>
    <row r="20000" spans="2:12" x14ac:dyDescent="0.2">
      <c r="B20000"/>
      <c r="C20000"/>
      <c r="J20000"/>
      <c r="K20000"/>
      <c r="L20000"/>
    </row>
    <row r="20001" spans="2:12" x14ac:dyDescent="0.2">
      <c r="B20001"/>
      <c r="C20001"/>
      <c r="J20001"/>
      <c r="K20001"/>
      <c r="L20001"/>
    </row>
    <row r="20002" spans="2:12" x14ac:dyDescent="0.2">
      <c r="B20002"/>
      <c r="C20002"/>
      <c r="J20002"/>
      <c r="K20002"/>
      <c r="L20002"/>
    </row>
    <row r="20003" spans="2:12" x14ac:dyDescent="0.2">
      <c r="B20003"/>
      <c r="C20003"/>
      <c r="J20003"/>
      <c r="K20003"/>
      <c r="L20003"/>
    </row>
    <row r="20004" spans="2:12" x14ac:dyDescent="0.2">
      <c r="B20004"/>
      <c r="C20004"/>
      <c r="J20004"/>
      <c r="K20004"/>
      <c r="L20004"/>
    </row>
    <row r="20005" spans="2:12" x14ac:dyDescent="0.2">
      <c r="B20005"/>
      <c r="C20005"/>
      <c r="J20005"/>
      <c r="K20005"/>
      <c r="L20005"/>
    </row>
    <row r="20006" spans="2:12" x14ac:dyDescent="0.2">
      <c r="B20006"/>
      <c r="C20006"/>
      <c r="J20006"/>
      <c r="K20006"/>
      <c r="L20006"/>
    </row>
    <row r="20007" spans="2:12" x14ac:dyDescent="0.2">
      <c r="B20007"/>
      <c r="C20007"/>
      <c r="J20007"/>
      <c r="K20007"/>
      <c r="L20007"/>
    </row>
    <row r="20008" spans="2:12" x14ac:dyDescent="0.2">
      <c r="B20008"/>
      <c r="C20008"/>
      <c r="J20008"/>
      <c r="K20008"/>
      <c r="L20008"/>
    </row>
    <row r="20009" spans="2:12" x14ac:dyDescent="0.2">
      <c r="B20009"/>
      <c r="C20009"/>
      <c r="J20009"/>
      <c r="K20009"/>
      <c r="L20009"/>
    </row>
    <row r="20010" spans="2:12" x14ac:dyDescent="0.2">
      <c r="B20010"/>
      <c r="C20010"/>
      <c r="J20010"/>
      <c r="K20010"/>
      <c r="L20010"/>
    </row>
    <row r="20011" spans="2:12" x14ac:dyDescent="0.2">
      <c r="B20011"/>
      <c r="C20011"/>
      <c r="J20011"/>
      <c r="K20011"/>
      <c r="L20011"/>
    </row>
    <row r="20012" spans="2:12" x14ac:dyDescent="0.2">
      <c r="B20012"/>
      <c r="C20012"/>
      <c r="J20012"/>
      <c r="K20012"/>
      <c r="L20012"/>
    </row>
    <row r="20013" spans="2:12" x14ac:dyDescent="0.2">
      <c r="B20013"/>
      <c r="C20013"/>
      <c r="J20013"/>
      <c r="K20013"/>
      <c r="L20013"/>
    </row>
    <row r="20014" spans="2:12" x14ac:dyDescent="0.2">
      <c r="B20014"/>
      <c r="C20014"/>
      <c r="J20014"/>
      <c r="K20014"/>
      <c r="L20014"/>
    </row>
    <row r="20015" spans="2:12" x14ac:dyDescent="0.2">
      <c r="B20015"/>
      <c r="C20015"/>
      <c r="J20015"/>
      <c r="K20015"/>
      <c r="L20015"/>
    </row>
    <row r="20016" spans="2:12" x14ac:dyDescent="0.2">
      <c r="B20016"/>
      <c r="C20016"/>
      <c r="J20016"/>
      <c r="K20016"/>
      <c r="L20016"/>
    </row>
    <row r="20017" spans="2:12" x14ac:dyDescent="0.2">
      <c r="B20017"/>
      <c r="C20017"/>
      <c r="J20017"/>
      <c r="K20017"/>
      <c r="L20017"/>
    </row>
    <row r="20018" spans="2:12" x14ac:dyDescent="0.2">
      <c r="B20018"/>
      <c r="C20018"/>
      <c r="J20018"/>
      <c r="K20018"/>
      <c r="L20018"/>
    </row>
    <row r="20019" spans="2:12" x14ac:dyDescent="0.2">
      <c r="B20019"/>
      <c r="C20019"/>
      <c r="J20019"/>
      <c r="K20019"/>
      <c r="L20019"/>
    </row>
    <row r="20020" spans="2:12" x14ac:dyDescent="0.2">
      <c r="B20020"/>
      <c r="C20020"/>
      <c r="J20020"/>
      <c r="K20020"/>
      <c r="L20020"/>
    </row>
    <row r="20021" spans="2:12" x14ac:dyDescent="0.2">
      <c r="B20021"/>
      <c r="C20021"/>
      <c r="J20021"/>
      <c r="K20021"/>
      <c r="L20021"/>
    </row>
    <row r="20022" spans="2:12" x14ac:dyDescent="0.2">
      <c r="B20022"/>
      <c r="C20022"/>
      <c r="J20022"/>
      <c r="K20022"/>
      <c r="L20022"/>
    </row>
    <row r="20023" spans="2:12" x14ac:dyDescent="0.2">
      <c r="B20023"/>
      <c r="C20023"/>
      <c r="J20023"/>
      <c r="K20023"/>
      <c r="L20023"/>
    </row>
    <row r="20024" spans="2:12" x14ac:dyDescent="0.2">
      <c r="B20024"/>
      <c r="C20024"/>
      <c r="J20024"/>
      <c r="K20024"/>
      <c r="L20024"/>
    </row>
    <row r="20025" spans="2:12" x14ac:dyDescent="0.2">
      <c r="B20025"/>
      <c r="C20025"/>
      <c r="J20025"/>
      <c r="K20025"/>
      <c r="L20025"/>
    </row>
    <row r="20026" spans="2:12" x14ac:dyDescent="0.2">
      <c r="B20026"/>
      <c r="C20026"/>
      <c r="J20026"/>
      <c r="K20026"/>
      <c r="L20026"/>
    </row>
    <row r="20027" spans="2:12" x14ac:dyDescent="0.2">
      <c r="B20027"/>
      <c r="C20027"/>
      <c r="J20027"/>
      <c r="K20027"/>
      <c r="L20027"/>
    </row>
    <row r="20028" spans="2:12" x14ac:dyDescent="0.2">
      <c r="B20028"/>
      <c r="C20028"/>
      <c r="J20028"/>
      <c r="K20028"/>
      <c r="L20028"/>
    </row>
    <row r="20029" spans="2:12" x14ac:dyDescent="0.2">
      <c r="B20029"/>
      <c r="C20029"/>
      <c r="J20029"/>
      <c r="K20029"/>
      <c r="L20029"/>
    </row>
    <row r="20030" spans="2:12" x14ac:dyDescent="0.2">
      <c r="B20030"/>
      <c r="C20030"/>
      <c r="J20030"/>
      <c r="K20030"/>
      <c r="L20030"/>
    </row>
    <row r="20031" spans="2:12" x14ac:dyDescent="0.2">
      <c r="B20031"/>
      <c r="C20031"/>
      <c r="J20031"/>
      <c r="K20031"/>
      <c r="L20031"/>
    </row>
    <row r="20032" spans="2:12" x14ac:dyDescent="0.2">
      <c r="B20032"/>
      <c r="C20032"/>
      <c r="J20032"/>
      <c r="K20032"/>
      <c r="L20032"/>
    </row>
    <row r="20033" spans="2:12" x14ac:dyDescent="0.2">
      <c r="B20033"/>
      <c r="C20033"/>
      <c r="J20033"/>
      <c r="K20033"/>
      <c r="L20033"/>
    </row>
    <row r="20034" spans="2:12" x14ac:dyDescent="0.2">
      <c r="B20034"/>
      <c r="C20034"/>
      <c r="J20034"/>
      <c r="K20034"/>
      <c r="L20034"/>
    </row>
    <row r="20035" spans="2:12" x14ac:dyDescent="0.2">
      <c r="B20035"/>
      <c r="C20035"/>
      <c r="J20035"/>
      <c r="K20035"/>
      <c r="L20035"/>
    </row>
    <row r="20036" spans="2:12" x14ac:dyDescent="0.2">
      <c r="B20036"/>
      <c r="C20036"/>
      <c r="J20036"/>
      <c r="K20036"/>
      <c r="L20036"/>
    </row>
    <row r="20037" spans="2:12" x14ac:dyDescent="0.2">
      <c r="B20037"/>
      <c r="C20037"/>
      <c r="J20037"/>
      <c r="K20037"/>
      <c r="L20037"/>
    </row>
    <row r="20038" spans="2:12" x14ac:dyDescent="0.2">
      <c r="B20038"/>
      <c r="C20038"/>
      <c r="J20038"/>
      <c r="K20038"/>
      <c r="L20038"/>
    </row>
    <row r="20039" spans="2:12" x14ac:dyDescent="0.2">
      <c r="B20039"/>
      <c r="C20039"/>
      <c r="J20039"/>
      <c r="K20039"/>
      <c r="L20039"/>
    </row>
    <row r="20040" spans="2:12" x14ac:dyDescent="0.2">
      <c r="B20040"/>
      <c r="C20040"/>
      <c r="J20040"/>
      <c r="K20040"/>
      <c r="L20040"/>
    </row>
    <row r="20041" spans="2:12" x14ac:dyDescent="0.2">
      <c r="B20041"/>
      <c r="C20041"/>
      <c r="J20041"/>
      <c r="K20041"/>
      <c r="L20041"/>
    </row>
    <row r="20042" spans="2:12" x14ac:dyDescent="0.2">
      <c r="B20042"/>
      <c r="C20042"/>
      <c r="J20042"/>
      <c r="K20042"/>
      <c r="L20042"/>
    </row>
    <row r="20043" spans="2:12" x14ac:dyDescent="0.2">
      <c r="B20043"/>
      <c r="C20043"/>
      <c r="J20043"/>
      <c r="K20043"/>
      <c r="L20043"/>
    </row>
    <row r="20044" spans="2:12" x14ac:dyDescent="0.2">
      <c r="B20044"/>
      <c r="C20044"/>
      <c r="J20044"/>
      <c r="K20044"/>
      <c r="L20044"/>
    </row>
    <row r="20045" spans="2:12" x14ac:dyDescent="0.2">
      <c r="B20045"/>
      <c r="C20045"/>
      <c r="J20045"/>
      <c r="K20045"/>
      <c r="L20045"/>
    </row>
    <row r="20046" spans="2:12" x14ac:dyDescent="0.2">
      <c r="B20046"/>
      <c r="C20046"/>
      <c r="J20046"/>
      <c r="K20046"/>
      <c r="L20046"/>
    </row>
    <row r="20047" spans="2:12" x14ac:dyDescent="0.2">
      <c r="B20047"/>
      <c r="C20047"/>
      <c r="J20047"/>
      <c r="K20047"/>
      <c r="L20047"/>
    </row>
    <row r="20048" spans="2:12" x14ac:dyDescent="0.2">
      <c r="B20048"/>
      <c r="C20048"/>
      <c r="J20048"/>
      <c r="K20048"/>
      <c r="L20048"/>
    </row>
    <row r="20049" spans="2:12" x14ac:dyDescent="0.2">
      <c r="B20049"/>
      <c r="C20049"/>
      <c r="J20049"/>
      <c r="K20049"/>
      <c r="L20049"/>
    </row>
    <row r="20050" spans="2:12" x14ac:dyDescent="0.2">
      <c r="B20050"/>
      <c r="C20050"/>
      <c r="J20050"/>
      <c r="K20050"/>
      <c r="L20050"/>
    </row>
    <row r="20051" spans="2:12" x14ac:dyDescent="0.2">
      <c r="B20051"/>
      <c r="C20051"/>
      <c r="J20051"/>
      <c r="K20051"/>
      <c r="L20051"/>
    </row>
    <row r="20052" spans="2:12" x14ac:dyDescent="0.2">
      <c r="B20052"/>
      <c r="C20052"/>
      <c r="J20052"/>
      <c r="K20052"/>
      <c r="L20052"/>
    </row>
    <row r="20053" spans="2:12" x14ac:dyDescent="0.2">
      <c r="B20053"/>
      <c r="C20053"/>
      <c r="J20053"/>
      <c r="K20053"/>
      <c r="L20053"/>
    </row>
    <row r="20054" spans="2:12" x14ac:dyDescent="0.2">
      <c r="B20054"/>
      <c r="C20054"/>
      <c r="J20054"/>
      <c r="K20054"/>
      <c r="L20054"/>
    </row>
    <row r="20055" spans="2:12" x14ac:dyDescent="0.2">
      <c r="B20055"/>
      <c r="C20055"/>
      <c r="J20055"/>
      <c r="K20055"/>
      <c r="L20055"/>
    </row>
    <row r="20056" spans="2:12" x14ac:dyDescent="0.2">
      <c r="B20056"/>
      <c r="C20056"/>
      <c r="J20056"/>
      <c r="K20056"/>
      <c r="L20056"/>
    </row>
    <row r="20057" spans="2:12" x14ac:dyDescent="0.2">
      <c r="B20057"/>
      <c r="C20057"/>
      <c r="J20057"/>
      <c r="K20057"/>
      <c r="L20057"/>
    </row>
    <row r="20058" spans="2:12" x14ac:dyDescent="0.2">
      <c r="B20058"/>
      <c r="C20058"/>
      <c r="J20058"/>
      <c r="K20058"/>
      <c r="L20058"/>
    </row>
    <row r="20059" spans="2:12" x14ac:dyDescent="0.2">
      <c r="B20059"/>
      <c r="C20059"/>
      <c r="J20059"/>
      <c r="K20059"/>
      <c r="L20059"/>
    </row>
    <row r="20060" spans="2:12" x14ac:dyDescent="0.2">
      <c r="B20060"/>
      <c r="C20060"/>
      <c r="J20060"/>
      <c r="K20060"/>
      <c r="L20060"/>
    </row>
    <row r="20061" spans="2:12" x14ac:dyDescent="0.2">
      <c r="B20061"/>
      <c r="C20061"/>
      <c r="J20061"/>
      <c r="K20061"/>
      <c r="L20061"/>
    </row>
    <row r="20062" spans="2:12" x14ac:dyDescent="0.2">
      <c r="B20062"/>
      <c r="C20062"/>
      <c r="J20062"/>
      <c r="K20062"/>
      <c r="L20062"/>
    </row>
    <row r="20063" spans="2:12" x14ac:dyDescent="0.2">
      <c r="B20063"/>
      <c r="C20063"/>
      <c r="J20063"/>
      <c r="K20063"/>
      <c r="L20063"/>
    </row>
    <row r="20064" spans="2:12" x14ac:dyDescent="0.2">
      <c r="B20064"/>
      <c r="C20064"/>
      <c r="J20064"/>
      <c r="K20064"/>
      <c r="L20064"/>
    </row>
    <row r="20065" spans="2:12" x14ac:dyDescent="0.2">
      <c r="B20065"/>
      <c r="C20065"/>
      <c r="J20065"/>
      <c r="K20065"/>
      <c r="L20065"/>
    </row>
    <row r="20066" spans="2:12" x14ac:dyDescent="0.2">
      <c r="B20066"/>
      <c r="C20066"/>
      <c r="J20066"/>
      <c r="K20066"/>
      <c r="L20066"/>
    </row>
    <row r="20067" spans="2:12" x14ac:dyDescent="0.2">
      <c r="B20067"/>
      <c r="C20067"/>
      <c r="J20067"/>
      <c r="K20067"/>
      <c r="L20067"/>
    </row>
    <row r="20068" spans="2:12" x14ac:dyDescent="0.2">
      <c r="B20068"/>
      <c r="C20068"/>
      <c r="J20068"/>
      <c r="K20068"/>
      <c r="L20068"/>
    </row>
    <row r="20069" spans="2:12" x14ac:dyDescent="0.2">
      <c r="B20069"/>
      <c r="C20069"/>
      <c r="J20069"/>
      <c r="K20069"/>
      <c r="L20069"/>
    </row>
    <row r="20070" spans="2:12" x14ac:dyDescent="0.2">
      <c r="B20070"/>
      <c r="C20070"/>
      <c r="J20070"/>
      <c r="K20070"/>
      <c r="L20070"/>
    </row>
    <row r="20071" spans="2:12" x14ac:dyDescent="0.2">
      <c r="B20071"/>
      <c r="C20071"/>
      <c r="J20071"/>
      <c r="K20071"/>
      <c r="L20071"/>
    </row>
    <row r="20072" spans="2:12" x14ac:dyDescent="0.2">
      <c r="B20072"/>
      <c r="C20072"/>
      <c r="J20072"/>
      <c r="K20072"/>
      <c r="L20072"/>
    </row>
    <row r="20073" spans="2:12" x14ac:dyDescent="0.2">
      <c r="B20073"/>
      <c r="C20073"/>
      <c r="J20073"/>
      <c r="K20073"/>
      <c r="L20073"/>
    </row>
    <row r="20074" spans="2:12" x14ac:dyDescent="0.2">
      <c r="B20074"/>
      <c r="C20074"/>
      <c r="J20074"/>
      <c r="K20074"/>
      <c r="L20074"/>
    </row>
    <row r="20075" spans="2:12" x14ac:dyDescent="0.2">
      <c r="B20075"/>
      <c r="C20075"/>
      <c r="J20075"/>
      <c r="K20075"/>
      <c r="L20075"/>
    </row>
    <row r="20076" spans="2:12" x14ac:dyDescent="0.2">
      <c r="B20076"/>
      <c r="C20076"/>
      <c r="J20076"/>
      <c r="K20076"/>
      <c r="L20076"/>
    </row>
    <row r="20077" spans="2:12" x14ac:dyDescent="0.2">
      <c r="B20077"/>
      <c r="C20077"/>
      <c r="J20077"/>
      <c r="K20077"/>
      <c r="L20077"/>
    </row>
    <row r="20078" spans="2:12" x14ac:dyDescent="0.2">
      <c r="B20078"/>
      <c r="C20078"/>
      <c r="J20078"/>
      <c r="K20078"/>
      <c r="L20078"/>
    </row>
    <row r="20079" spans="2:12" x14ac:dyDescent="0.2">
      <c r="B20079"/>
      <c r="C20079"/>
      <c r="J20079"/>
      <c r="K20079"/>
      <c r="L20079"/>
    </row>
    <row r="20080" spans="2:12" x14ac:dyDescent="0.2">
      <c r="B20080"/>
      <c r="C20080"/>
      <c r="J20080"/>
      <c r="K20080"/>
      <c r="L20080"/>
    </row>
    <row r="20081" spans="2:12" x14ac:dyDescent="0.2">
      <c r="B20081"/>
      <c r="C20081"/>
      <c r="J20081"/>
      <c r="K20081"/>
      <c r="L20081"/>
    </row>
    <row r="20082" spans="2:12" x14ac:dyDescent="0.2">
      <c r="B20082"/>
      <c r="C20082"/>
      <c r="J20082"/>
      <c r="K20082"/>
      <c r="L20082"/>
    </row>
    <row r="20083" spans="2:12" x14ac:dyDescent="0.2">
      <c r="B20083"/>
      <c r="C20083"/>
      <c r="J20083"/>
      <c r="K20083"/>
      <c r="L20083"/>
    </row>
    <row r="20084" spans="2:12" x14ac:dyDescent="0.2">
      <c r="B20084"/>
      <c r="C20084"/>
      <c r="J20084"/>
      <c r="K20084"/>
      <c r="L20084"/>
    </row>
    <row r="20085" spans="2:12" x14ac:dyDescent="0.2">
      <c r="B20085"/>
      <c r="C20085"/>
      <c r="J20085"/>
      <c r="K20085"/>
      <c r="L20085"/>
    </row>
    <row r="20086" spans="2:12" x14ac:dyDescent="0.2">
      <c r="B20086"/>
      <c r="C20086"/>
      <c r="J20086"/>
      <c r="K20086"/>
      <c r="L20086"/>
    </row>
    <row r="20087" spans="2:12" x14ac:dyDescent="0.2">
      <c r="B20087"/>
      <c r="C20087"/>
      <c r="J20087"/>
      <c r="K20087"/>
      <c r="L20087"/>
    </row>
    <row r="20088" spans="2:12" x14ac:dyDescent="0.2">
      <c r="B20088"/>
      <c r="C20088"/>
      <c r="J20088"/>
      <c r="K20088"/>
      <c r="L20088"/>
    </row>
    <row r="20089" spans="2:12" x14ac:dyDescent="0.2">
      <c r="B20089"/>
      <c r="C20089"/>
      <c r="J20089"/>
      <c r="K20089"/>
      <c r="L20089"/>
    </row>
    <row r="20090" spans="2:12" x14ac:dyDescent="0.2">
      <c r="B20090"/>
      <c r="C20090"/>
      <c r="J20090"/>
      <c r="K20090"/>
      <c r="L20090"/>
    </row>
    <row r="20091" spans="2:12" x14ac:dyDescent="0.2">
      <c r="B20091"/>
      <c r="C20091"/>
      <c r="J20091"/>
      <c r="K20091"/>
      <c r="L20091"/>
    </row>
    <row r="20092" spans="2:12" x14ac:dyDescent="0.2">
      <c r="B20092"/>
      <c r="C20092"/>
      <c r="J20092"/>
      <c r="K20092"/>
      <c r="L20092"/>
    </row>
    <row r="20093" spans="2:12" x14ac:dyDescent="0.2">
      <c r="B20093"/>
      <c r="C20093"/>
      <c r="J20093"/>
      <c r="K20093"/>
      <c r="L20093"/>
    </row>
    <row r="20094" spans="2:12" x14ac:dyDescent="0.2">
      <c r="B20094"/>
      <c r="C20094"/>
      <c r="J20094"/>
      <c r="K20094"/>
      <c r="L20094"/>
    </row>
    <row r="20095" spans="2:12" x14ac:dyDescent="0.2">
      <c r="B20095"/>
      <c r="C20095"/>
      <c r="J20095"/>
      <c r="K20095"/>
      <c r="L20095"/>
    </row>
    <row r="20096" spans="2:12" x14ac:dyDescent="0.2">
      <c r="B20096"/>
      <c r="C20096"/>
      <c r="J20096"/>
      <c r="K20096"/>
      <c r="L20096"/>
    </row>
    <row r="20097" spans="2:12" x14ac:dyDescent="0.2">
      <c r="B20097"/>
      <c r="C20097"/>
      <c r="J20097"/>
      <c r="K20097"/>
      <c r="L20097"/>
    </row>
    <row r="20098" spans="2:12" x14ac:dyDescent="0.2">
      <c r="B20098"/>
      <c r="C20098"/>
      <c r="J20098"/>
      <c r="K20098"/>
      <c r="L20098"/>
    </row>
    <row r="20099" spans="2:12" x14ac:dyDescent="0.2">
      <c r="B20099"/>
      <c r="C20099"/>
      <c r="J20099"/>
      <c r="K20099"/>
      <c r="L20099"/>
    </row>
    <row r="20100" spans="2:12" x14ac:dyDescent="0.2">
      <c r="B20100"/>
      <c r="C20100"/>
      <c r="J20100"/>
      <c r="K20100"/>
      <c r="L20100"/>
    </row>
    <row r="20101" spans="2:12" x14ac:dyDescent="0.2">
      <c r="B20101"/>
      <c r="C20101"/>
      <c r="J20101"/>
      <c r="K20101"/>
      <c r="L20101"/>
    </row>
    <row r="20102" spans="2:12" x14ac:dyDescent="0.2">
      <c r="B20102"/>
      <c r="C20102"/>
      <c r="J20102"/>
      <c r="K20102"/>
      <c r="L20102"/>
    </row>
    <row r="20103" spans="2:12" x14ac:dyDescent="0.2">
      <c r="B20103"/>
      <c r="C20103"/>
      <c r="J20103"/>
      <c r="K20103"/>
      <c r="L20103"/>
    </row>
    <row r="20104" spans="2:12" x14ac:dyDescent="0.2">
      <c r="B20104"/>
      <c r="C20104"/>
      <c r="J20104"/>
      <c r="K20104"/>
      <c r="L20104"/>
    </row>
    <row r="20105" spans="2:12" x14ac:dyDescent="0.2">
      <c r="B20105"/>
      <c r="C20105"/>
      <c r="J20105"/>
      <c r="K20105"/>
      <c r="L20105"/>
    </row>
    <row r="20106" spans="2:12" x14ac:dyDescent="0.2">
      <c r="B20106"/>
      <c r="C20106"/>
      <c r="J20106"/>
      <c r="K20106"/>
      <c r="L20106"/>
    </row>
    <row r="20107" spans="2:12" x14ac:dyDescent="0.2">
      <c r="B20107"/>
      <c r="C20107"/>
      <c r="J20107"/>
      <c r="K20107"/>
      <c r="L20107"/>
    </row>
    <row r="20108" spans="2:12" x14ac:dyDescent="0.2">
      <c r="B20108"/>
      <c r="C20108"/>
      <c r="J20108"/>
      <c r="K20108"/>
      <c r="L20108"/>
    </row>
    <row r="20109" spans="2:12" x14ac:dyDescent="0.2">
      <c r="B20109"/>
      <c r="C20109"/>
      <c r="J20109"/>
      <c r="K20109"/>
      <c r="L20109"/>
    </row>
    <row r="20110" spans="2:12" x14ac:dyDescent="0.2">
      <c r="B20110"/>
      <c r="C20110"/>
      <c r="J20110"/>
      <c r="K20110"/>
      <c r="L20110"/>
    </row>
    <row r="20111" spans="2:12" x14ac:dyDescent="0.2">
      <c r="B20111"/>
      <c r="C20111"/>
      <c r="J20111"/>
      <c r="K20111"/>
      <c r="L20111"/>
    </row>
    <row r="20112" spans="2:12" x14ac:dyDescent="0.2">
      <c r="B20112"/>
      <c r="C20112"/>
      <c r="J20112"/>
      <c r="K20112"/>
      <c r="L20112"/>
    </row>
    <row r="20113" spans="2:12" x14ac:dyDescent="0.2">
      <c r="B20113"/>
      <c r="C20113"/>
      <c r="J20113"/>
      <c r="K20113"/>
      <c r="L20113"/>
    </row>
    <row r="20114" spans="2:12" x14ac:dyDescent="0.2">
      <c r="B20114"/>
      <c r="C20114"/>
      <c r="J20114"/>
      <c r="K20114"/>
      <c r="L20114"/>
    </row>
    <row r="20115" spans="2:12" x14ac:dyDescent="0.2">
      <c r="B20115"/>
      <c r="C20115"/>
      <c r="J20115"/>
      <c r="K20115"/>
      <c r="L20115"/>
    </row>
    <row r="20116" spans="2:12" x14ac:dyDescent="0.2">
      <c r="B20116"/>
      <c r="C20116"/>
      <c r="J20116"/>
      <c r="K20116"/>
      <c r="L20116"/>
    </row>
    <row r="20117" spans="2:12" x14ac:dyDescent="0.2">
      <c r="B20117"/>
      <c r="C20117"/>
      <c r="J20117"/>
      <c r="K20117"/>
      <c r="L20117"/>
    </row>
    <row r="20118" spans="2:12" x14ac:dyDescent="0.2">
      <c r="B20118"/>
      <c r="C20118"/>
      <c r="J20118"/>
      <c r="K20118"/>
      <c r="L20118"/>
    </row>
    <row r="20119" spans="2:12" x14ac:dyDescent="0.2">
      <c r="B20119"/>
      <c r="C20119"/>
      <c r="J20119"/>
      <c r="K20119"/>
      <c r="L20119"/>
    </row>
    <row r="20120" spans="2:12" x14ac:dyDescent="0.2">
      <c r="B20120"/>
      <c r="C20120"/>
      <c r="J20120"/>
      <c r="K20120"/>
      <c r="L20120"/>
    </row>
    <row r="20121" spans="2:12" x14ac:dyDescent="0.2">
      <c r="B20121"/>
      <c r="C20121"/>
      <c r="J20121"/>
      <c r="K20121"/>
      <c r="L20121"/>
    </row>
    <row r="20122" spans="2:12" x14ac:dyDescent="0.2">
      <c r="B20122"/>
      <c r="C20122"/>
      <c r="J20122"/>
      <c r="K20122"/>
      <c r="L20122"/>
    </row>
    <row r="20123" spans="2:12" x14ac:dyDescent="0.2">
      <c r="B20123"/>
      <c r="C20123"/>
      <c r="J20123"/>
      <c r="K20123"/>
      <c r="L20123"/>
    </row>
    <row r="20124" spans="2:12" x14ac:dyDescent="0.2">
      <c r="B20124"/>
      <c r="C20124"/>
      <c r="J20124"/>
      <c r="K20124"/>
      <c r="L20124"/>
    </row>
    <row r="20125" spans="2:12" x14ac:dyDescent="0.2">
      <c r="B20125"/>
      <c r="C20125"/>
      <c r="J20125"/>
      <c r="K20125"/>
      <c r="L20125"/>
    </row>
    <row r="20126" spans="2:12" x14ac:dyDescent="0.2">
      <c r="B20126"/>
      <c r="C20126"/>
      <c r="J20126"/>
      <c r="K20126"/>
      <c r="L20126"/>
    </row>
    <row r="20127" spans="2:12" x14ac:dyDescent="0.2">
      <c r="B20127"/>
      <c r="C20127"/>
      <c r="J20127"/>
      <c r="K20127"/>
      <c r="L20127"/>
    </row>
    <row r="20128" spans="2:12" x14ac:dyDescent="0.2">
      <c r="B20128"/>
      <c r="C20128"/>
      <c r="J20128"/>
      <c r="K20128"/>
      <c r="L20128"/>
    </row>
    <row r="20129" spans="2:12" x14ac:dyDescent="0.2">
      <c r="B20129"/>
      <c r="C20129"/>
      <c r="J20129"/>
      <c r="K20129"/>
      <c r="L20129"/>
    </row>
    <row r="20130" spans="2:12" x14ac:dyDescent="0.2">
      <c r="B20130"/>
      <c r="C20130"/>
      <c r="J20130"/>
      <c r="K20130"/>
      <c r="L20130"/>
    </row>
    <row r="20131" spans="2:12" x14ac:dyDescent="0.2">
      <c r="B20131"/>
      <c r="C20131"/>
      <c r="J20131"/>
      <c r="K20131"/>
      <c r="L20131"/>
    </row>
    <row r="20132" spans="2:12" x14ac:dyDescent="0.2">
      <c r="B20132"/>
      <c r="C20132"/>
      <c r="J20132"/>
      <c r="K20132"/>
      <c r="L20132"/>
    </row>
    <row r="20133" spans="2:12" x14ac:dyDescent="0.2">
      <c r="B20133"/>
      <c r="C20133"/>
      <c r="J20133"/>
      <c r="K20133"/>
      <c r="L20133"/>
    </row>
    <row r="20134" spans="2:12" x14ac:dyDescent="0.2">
      <c r="B20134"/>
      <c r="C20134"/>
      <c r="J20134"/>
      <c r="K20134"/>
      <c r="L20134"/>
    </row>
    <row r="20135" spans="2:12" x14ac:dyDescent="0.2">
      <c r="B20135"/>
      <c r="C20135"/>
      <c r="J20135"/>
      <c r="K20135"/>
      <c r="L20135"/>
    </row>
    <row r="20136" spans="2:12" x14ac:dyDescent="0.2">
      <c r="B20136"/>
      <c r="C20136"/>
      <c r="J20136"/>
      <c r="K20136"/>
      <c r="L20136"/>
    </row>
    <row r="20137" spans="2:12" x14ac:dyDescent="0.2">
      <c r="B20137"/>
      <c r="C20137"/>
      <c r="J20137"/>
      <c r="K20137"/>
      <c r="L20137"/>
    </row>
    <row r="20138" spans="2:12" x14ac:dyDescent="0.2">
      <c r="B20138"/>
      <c r="C20138"/>
      <c r="J20138"/>
      <c r="K20138"/>
      <c r="L20138"/>
    </row>
    <row r="20139" spans="2:12" x14ac:dyDescent="0.2">
      <c r="B20139"/>
      <c r="C20139"/>
      <c r="J20139"/>
      <c r="K20139"/>
      <c r="L20139"/>
    </row>
    <row r="20140" spans="2:12" x14ac:dyDescent="0.2">
      <c r="B20140"/>
      <c r="C20140"/>
      <c r="J20140"/>
      <c r="K20140"/>
      <c r="L20140"/>
    </row>
    <row r="20141" spans="2:12" x14ac:dyDescent="0.2">
      <c r="B20141"/>
      <c r="C20141"/>
      <c r="J20141"/>
      <c r="K20141"/>
      <c r="L20141"/>
    </row>
    <row r="20142" spans="2:12" x14ac:dyDescent="0.2">
      <c r="B20142"/>
      <c r="C20142"/>
      <c r="J20142"/>
      <c r="K20142"/>
      <c r="L20142"/>
    </row>
    <row r="20143" spans="2:12" x14ac:dyDescent="0.2">
      <c r="B20143"/>
      <c r="C20143"/>
      <c r="J20143"/>
      <c r="K20143"/>
      <c r="L20143"/>
    </row>
    <row r="20144" spans="2:12" x14ac:dyDescent="0.2">
      <c r="B20144"/>
      <c r="C20144"/>
      <c r="J20144"/>
      <c r="K20144"/>
      <c r="L20144"/>
    </row>
    <row r="20145" spans="2:12" x14ac:dyDescent="0.2">
      <c r="B20145"/>
      <c r="C20145"/>
      <c r="J20145"/>
      <c r="K20145"/>
      <c r="L20145"/>
    </row>
    <row r="20146" spans="2:12" x14ac:dyDescent="0.2">
      <c r="B20146"/>
      <c r="C20146"/>
      <c r="J20146"/>
      <c r="K20146"/>
      <c r="L20146"/>
    </row>
    <row r="20147" spans="2:12" x14ac:dyDescent="0.2">
      <c r="B20147"/>
      <c r="C20147"/>
      <c r="J20147"/>
      <c r="K20147"/>
      <c r="L20147"/>
    </row>
    <row r="20148" spans="2:12" x14ac:dyDescent="0.2">
      <c r="B20148"/>
      <c r="C20148"/>
      <c r="J20148"/>
      <c r="K20148"/>
      <c r="L20148"/>
    </row>
    <row r="20149" spans="2:12" x14ac:dyDescent="0.2">
      <c r="B20149"/>
      <c r="C20149"/>
      <c r="J20149"/>
      <c r="K20149"/>
      <c r="L20149"/>
    </row>
    <row r="20150" spans="2:12" x14ac:dyDescent="0.2">
      <c r="B20150"/>
      <c r="C20150"/>
      <c r="J20150"/>
      <c r="K20150"/>
      <c r="L20150"/>
    </row>
    <row r="20151" spans="2:12" x14ac:dyDescent="0.2">
      <c r="B20151"/>
      <c r="C20151"/>
      <c r="J20151"/>
      <c r="K20151"/>
      <c r="L20151"/>
    </row>
    <row r="20152" spans="2:12" x14ac:dyDescent="0.2">
      <c r="B20152"/>
      <c r="C20152"/>
      <c r="J20152"/>
      <c r="K20152"/>
      <c r="L20152"/>
    </row>
    <row r="20153" spans="2:12" x14ac:dyDescent="0.2">
      <c r="B20153"/>
      <c r="C20153"/>
      <c r="J20153"/>
      <c r="K20153"/>
      <c r="L20153"/>
    </row>
    <row r="20154" spans="2:12" x14ac:dyDescent="0.2">
      <c r="B20154"/>
      <c r="C20154"/>
      <c r="J20154"/>
      <c r="K20154"/>
      <c r="L20154"/>
    </row>
    <row r="20155" spans="2:12" x14ac:dyDescent="0.2">
      <c r="B20155"/>
      <c r="C20155"/>
      <c r="J20155"/>
      <c r="K20155"/>
      <c r="L20155"/>
    </row>
    <row r="20156" spans="2:12" x14ac:dyDescent="0.2">
      <c r="B20156"/>
      <c r="C20156"/>
      <c r="J20156"/>
      <c r="K20156"/>
      <c r="L20156"/>
    </row>
    <row r="20157" spans="2:12" x14ac:dyDescent="0.2">
      <c r="B20157"/>
      <c r="C20157"/>
      <c r="J20157"/>
      <c r="K20157"/>
      <c r="L20157"/>
    </row>
    <row r="20158" spans="2:12" x14ac:dyDescent="0.2">
      <c r="B20158"/>
      <c r="C20158"/>
      <c r="J20158"/>
      <c r="K20158"/>
      <c r="L20158"/>
    </row>
    <row r="20159" spans="2:12" x14ac:dyDescent="0.2">
      <c r="B20159"/>
      <c r="C20159"/>
      <c r="J20159"/>
      <c r="K20159"/>
      <c r="L20159"/>
    </row>
    <row r="20160" spans="2:12" x14ac:dyDescent="0.2">
      <c r="B20160"/>
      <c r="C20160"/>
      <c r="J20160"/>
      <c r="K20160"/>
      <c r="L20160"/>
    </row>
    <row r="20161" spans="2:12" x14ac:dyDescent="0.2">
      <c r="B20161"/>
      <c r="C20161"/>
      <c r="J20161"/>
      <c r="K20161"/>
      <c r="L20161"/>
    </row>
    <row r="20162" spans="2:12" x14ac:dyDescent="0.2">
      <c r="B20162"/>
      <c r="C20162"/>
      <c r="J20162"/>
      <c r="K20162"/>
      <c r="L20162"/>
    </row>
    <row r="20163" spans="2:12" x14ac:dyDescent="0.2">
      <c r="B20163"/>
      <c r="C20163"/>
      <c r="J20163"/>
      <c r="K20163"/>
      <c r="L20163"/>
    </row>
    <row r="20164" spans="2:12" x14ac:dyDescent="0.2">
      <c r="B20164"/>
      <c r="C20164"/>
      <c r="J20164"/>
      <c r="K20164"/>
      <c r="L20164"/>
    </row>
    <row r="20165" spans="2:12" x14ac:dyDescent="0.2">
      <c r="B20165"/>
      <c r="C20165"/>
      <c r="J20165"/>
      <c r="K20165"/>
      <c r="L20165"/>
    </row>
    <row r="20166" spans="2:12" x14ac:dyDescent="0.2">
      <c r="B20166"/>
      <c r="C20166"/>
      <c r="J20166"/>
      <c r="K20166"/>
      <c r="L20166"/>
    </row>
    <row r="20167" spans="2:12" x14ac:dyDescent="0.2">
      <c r="B20167"/>
      <c r="C20167"/>
      <c r="J20167"/>
      <c r="K20167"/>
      <c r="L20167"/>
    </row>
    <row r="20168" spans="2:12" x14ac:dyDescent="0.2">
      <c r="B20168"/>
      <c r="C20168"/>
      <c r="J20168"/>
      <c r="K20168"/>
      <c r="L20168"/>
    </row>
    <row r="20169" spans="2:12" x14ac:dyDescent="0.2">
      <c r="B20169"/>
      <c r="C20169"/>
      <c r="J20169"/>
      <c r="K20169"/>
      <c r="L20169"/>
    </row>
    <row r="20170" spans="2:12" x14ac:dyDescent="0.2">
      <c r="B20170"/>
      <c r="C20170"/>
      <c r="J20170"/>
      <c r="K20170"/>
      <c r="L20170"/>
    </row>
    <row r="20171" spans="2:12" x14ac:dyDescent="0.2">
      <c r="B20171"/>
      <c r="C20171"/>
      <c r="J20171"/>
      <c r="K20171"/>
      <c r="L20171"/>
    </row>
    <row r="20172" spans="2:12" x14ac:dyDescent="0.2">
      <c r="B20172"/>
      <c r="C20172"/>
      <c r="J20172"/>
      <c r="K20172"/>
      <c r="L20172"/>
    </row>
    <row r="20173" spans="2:12" x14ac:dyDescent="0.2">
      <c r="B20173"/>
      <c r="C20173"/>
      <c r="J20173"/>
      <c r="K20173"/>
      <c r="L20173"/>
    </row>
    <row r="20174" spans="2:12" x14ac:dyDescent="0.2">
      <c r="B20174"/>
      <c r="C20174"/>
      <c r="J20174"/>
      <c r="K20174"/>
      <c r="L20174"/>
    </row>
    <row r="20175" spans="2:12" x14ac:dyDescent="0.2">
      <c r="B20175"/>
      <c r="C20175"/>
      <c r="J20175"/>
      <c r="K20175"/>
      <c r="L20175"/>
    </row>
    <row r="20176" spans="2:12" x14ac:dyDescent="0.2">
      <c r="B20176"/>
      <c r="C20176"/>
      <c r="J20176"/>
      <c r="K20176"/>
      <c r="L20176"/>
    </row>
    <row r="20177" spans="2:12" x14ac:dyDescent="0.2">
      <c r="B20177"/>
      <c r="C20177"/>
      <c r="J20177"/>
      <c r="K20177"/>
      <c r="L20177"/>
    </row>
    <row r="20178" spans="2:12" x14ac:dyDescent="0.2">
      <c r="B20178"/>
      <c r="C20178"/>
      <c r="J20178"/>
      <c r="K20178"/>
      <c r="L20178"/>
    </row>
    <row r="20179" spans="2:12" x14ac:dyDescent="0.2">
      <c r="B20179"/>
      <c r="C20179"/>
      <c r="J20179"/>
      <c r="K20179"/>
      <c r="L20179"/>
    </row>
    <row r="20180" spans="2:12" x14ac:dyDescent="0.2">
      <c r="B20180"/>
      <c r="C20180"/>
      <c r="J20180"/>
      <c r="K20180"/>
      <c r="L20180"/>
    </row>
    <row r="20181" spans="2:12" x14ac:dyDescent="0.2">
      <c r="B20181"/>
      <c r="C20181"/>
      <c r="J20181"/>
      <c r="K20181"/>
      <c r="L20181"/>
    </row>
    <row r="20182" spans="2:12" x14ac:dyDescent="0.2">
      <c r="B20182"/>
      <c r="C20182"/>
      <c r="J20182"/>
      <c r="K20182"/>
      <c r="L20182"/>
    </row>
    <row r="20183" spans="2:12" x14ac:dyDescent="0.2">
      <c r="B20183"/>
      <c r="C20183"/>
      <c r="J20183"/>
      <c r="K20183"/>
      <c r="L20183"/>
    </row>
    <row r="20184" spans="2:12" x14ac:dyDescent="0.2">
      <c r="B20184"/>
      <c r="C20184"/>
      <c r="J20184"/>
      <c r="K20184"/>
      <c r="L20184"/>
    </row>
    <row r="20185" spans="2:12" x14ac:dyDescent="0.2">
      <c r="B20185"/>
      <c r="C20185"/>
      <c r="J20185"/>
      <c r="K20185"/>
      <c r="L20185"/>
    </row>
    <row r="20186" spans="2:12" x14ac:dyDescent="0.2">
      <c r="B20186"/>
      <c r="C20186"/>
      <c r="J20186"/>
      <c r="K20186"/>
      <c r="L20186"/>
    </row>
    <row r="20187" spans="2:12" x14ac:dyDescent="0.2">
      <c r="B20187"/>
      <c r="C20187"/>
      <c r="J20187"/>
      <c r="K20187"/>
      <c r="L20187"/>
    </row>
    <row r="20188" spans="2:12" x14ac:dyDescent="0.2">
      <c r="B20188"/>
      <c r="C20188"/>
      <c r="J20188"/>
      <c r="K20188"/>
      <c r="L20188"/>
    </row>
    <row r="20189" spans="2:12" x14ac:dyDescent="0.2">
      <c r="B20189"/>
      <c r="C20189"/>
      <c r="J20189"/>
      <c r="K20189"/>
      <c r="L20189"/>
    </row>
    <row r="20190" spans="2:12" x14ac:dyDescent="0.2">
      <c r="B20190"/>
      <c r="C20190"/>
      <c r="J20190"/>
      <c r="K20190"/>
      <c r="L20190"/>
    </row>
    <row r="20191" spans="2:12" x14ac:dyDescent="0.2">
      <c r="B20191"/>
      <c r="C20191"/>
      <c r="J20191"/>
      <c r="K20191"/>
      <c r="L20191"/>
    </row>
    <row r="20192" spans="2:12" x14ac:dyDescent="0.2">
      <c r="B20192"/>
      <c r="C20192"/>
      <c r="J20192"/>
      <c r="K20192"/>
      <c r="L20192"/>
    </row>
    <row r="20193" spans="2:12" x14ac:dyDescent="0.2">
      <c r="B20193"/>
      <c r="C20193"/>
      <c r="J20193"/>
      <c r="K20193"/>
      <c r="L20193"/>
    </row>
    <row r="20194" spans="2:12" x14ac:dyDescent="0.2">
      <c r="B20194"/>
      <c r="C20194"/>
      <c r="J20194"/>
      <c r="K20194"/>
      <c r="L20194"/>
    </row>
    <row r="20195" spans="2:12" x14ac:dyDescent="0.2">
      <c r="B20195"/>
      <c r="C20195"/>
      <c r="J20195"/>
      <c r="K20195"/>
      <c r="L20195"/>
    </row>
    <row r="20196" spans="2:12" x14ac:dyDescent="0.2">
      <c r="B20196"/>
      <c r="C20196"/>
      <c r="J20196"/>
      <c r="K20196"/>
      <c r="L20196"/>
    </row>
    <row r="20197" spans="2:12" x14ac:dyDescent="0.2">
      <c r="B20197"/>
      <c r="C20197"/>
      <c r="J20197"/>
      <c r="K20197"/>
      <c r="L20197"/>
    </row>
    <row r="20198" spans="2:12" x14ac:dyDescent="0.2">
      <c r="B20198"/>
      <c r="C20198"/>
      <c r="J20198"/>
      <c r="K20198"/>
      <c r="L20198"/>
    </row>
    <row r="20199" spans="2:12" x14ac:dyDescent="0.2">
      <c r="B20199"/>
      <c r="C20199"/>
      <c r="J20199"/>
      <c r="K20199"/>
      <c r="L20199"/>
    </row>
    <row r="20200" spans="2:12" x14ac:dyDescent="0.2">
      <c r="B20200"/>
      <c r="C20200"/>
      <c r="J20200"/>
      <c r="K20200"/>
      <c r="L20200"/>
    </row>
    <row r="20201" spans="2:12" x14ac:dyDescent="0.2">
      <c r="B20201"/>
      <c r="C20201"/>
      <c r="J20201"/>
      <c r="K20201"/>
      <c r="L20201"/>
    </row>
    <row r="20202" spans="2:12" x14ac:dyDescent="0.2">
      <c r="B20202"/>
      <c r="C20202"/>
      <c r="J20202"/>
      <c r="K20202"/>
      <c r="L20202"/>
    </row>
    <row r="20203" spans="2:12" x14ac:dyDescent="0.2">
      <c r="B20203"/>
      <c r="C20203"/>
      <c r="J20203"/>
      <c r="K20203"/>
      <c r="L20203"/>
    </row>
    <row r="20204" spans="2:12" x14ac:dyDescent="0.2">
      <c r="B20204"/>
      <c r="C20204"/>
      <c r="J20204"/>
      <c r="K20204"/>
      <c r="L20204"/>
    </row>
    <row r="20205" spans="2:12" x14ac:dyDescent="0.2">
      <c r="B20205"/>
      <c r="C20205"/>
      <c r="J20205"/>
      <c r="K20205"/>
      <c r="L20205"/>
    </row>
    <row r="20206" spans="2:12" x14ac:dyDescent="0.2">
      <c r="B20206"/>
      <c r="C20206"/>
      <c r="J20206"/>
      <c r="K20206"/>
      <c r="L20206"/>
    </row>
    <row r="20207" spans="2:12" x14ac:dyDescent="0.2">
      <c r="B20207"/>
      <c r="C20207"/>
      <c r="J20207"/>
      <c r="K20207"/>
      <c r="L20207"/>
    </row>
    <row r="20208" spans="2:12" x14ac:dyDescent="0.2">
      <c r="B20208"/>
      <c r="C20208"/>
      <c r="J20208"/>
      <c r="K20208"/>
      <c r="L20208"/>
    </row>
    <row r="20209" spans="2:12" x14ac:dyDescent="0.2">
      <c r="B20209"/>
      <c r="C20209"/>
      <c r="J20209"/>
      <c r="K20209"/>
      <c r="L20209"/>
    </row>
    <row r="20210" spans="2:12" x14ac:dyDescent="0.2">
      <c r="B20210"/>
      <c r="C20210"/>
      <c r="J20210"/>
      <c r="K20210"/>
      <c r="L20210"/>
    </row>
    <row r="20211" spans="2:12" x14ac:dyDescent="0.2">
      <c r="B20211"/>
      <c r="C20211"/>
      <c r="J20211"/>
      <c r="K20211"/>
      <c r="L20211"/>
    </row>
    <row r="20212" spans="2:12" x14ac:dyDescent="0.2">
      <c r="B20212"/>
      <c r="C20212"/>
      <c r="J20212"/>
      <c r="K20212"/>
      <c r="L20212"/>
    </row>
    <row r="20213" spans="2:12" x14ac:dyDescent="0.2">
      <c r="B20213"/>
      <c r="C20213"/>
      <c r="J20213"/>
      <c r="K20213"/>
      <c r="L20213"/>
    </row>
    <row r="20214" spans="2:12" x14ac:dyDescent="0.2">
      <c r="B20214"/>
      <c r="C20214"/>
      <c r="J20214"/>
      <c r="K20214"/>
      <c r="L20214"/>
    </row>
    <row r="20215" spans="2:12" x14ac:dyDescent="0.2">
      <c r="B20215"/>
      <c r="C20215"/>
      <c r="J20215"/>
      <c r="K20215"/>
      <c r="L20215"/>
    </row>
    <row r="20216" spans="2:12" x14ac:dyDescent="0.2">
      <c r="B20216"/>
      <c r="C20216"/>
      <c r="J20216"/>
      <c r="K20216"/>
      <c r="L20216"/>
    </row>
    <row r="20217" spans="2:12" x14ac:dyDescent="0.2">
      <c r="B20217"/>
      <c r="C20217"/>
      <c r="J20217"/>
      <c r="K20217"/>
      <c r="L20217"/>
    </row>
    <row r="20218" spans="2:12" x14ac:dyDescent="0.2">
      <c r="B20218"/>
      <c r="C20218"/>
      <c r="J20218"/>
      <c r="K20218"/>
      <c r="L20218"/>
    </row>
    <row r="20219" spans="2:12" x14ac:dyDescent="0.2">
      <c r="B20219"/>
      <c r="C20219"/>
      <c r="J20219"/>
      <c r="K20219"/>
      <c r="L20219"/>
    </row>
    <row r="20220" spans="2:12" x14ac:dyDescent="0.2">
      <c r="B20220"/>
      <c r="C20220"/>
      <c r="J20220"/>
      <c r="K20220"/>
      <c r="L20220"/>
    </row>
    <row r="20221" spans="2:12" x14ac:dyDescent="0.2">
      <c r="B20221"/>
      <c r="C20221"/>
      <c r="J20221"/>
      <c r="K20221"/>
      <c r="L20221"/>
    </row>
    <row r="20222" spans="2:12" x14ac:dyDescent="0.2">
      <c r="B20222"/>
      <c r="C20222"/>
      <c r="J20222"/>
      <c r="K20222"/>
      <c r="L20222"/>
    </row>
    <row r="20223" spans="2:12" x14ac:dyDescent="0.2">
      <c r="B20223"/>
      <c r="C20223"/>
      <c r="J20223"/>
      <c r="K20223"/>
      <c r="L20223"/>
    </row>
    <row r="20224" spans="2:12" x14ac:dyDescent="0.2">
      <c r="B20224"/>
      <c r="C20224"/>
      <c r="J20224"/>
      <c r="K20224"/>
      <c r="L20224"/>
    </row>
    <row r="20225" spans="2:12" x14ac:dyDescent="0.2">
      <c r="B20225"/>
      <c r="C20225"/>
      <c r="J20225"/>
      <c r="K20225"/>
      <c r="L20225"/>
    </row>
    <row r="20226" spans="2:12" x14ac:dyDescent="0.2">
      <c r="B20226"/>
      <c r="C20226"/>
      <c r="J20226"/>
      <c r="K20226"/>
      <c r="L20226"/>
    </row>
    <row r="20227" spans="2:12" x14ac:dyDescent="0.2">
      <c r="B20227"/>
      <c r="C20227"/>
      <c r="J20227"/>
      <c r="K20227"/>
      <c r="L20227"/>
    </row>
    <row r="20228" spans="2:12" x14ac:dyDescent="0.2">
      <c r="B20228"/>
      <c r="C20228"/>
      <c r="J20228"/>
      <c r="K20228"/>
      <c r="L20228"/>
    </row>
    <row r="20229" spans="2:12" x14ac:dyDescent="0.2">
      <c r="B20229"/>
      <c r="C20229"/>
      <c r="J20229"/>
      <c r="K20229"/>
      <c r="L20229"/>
    </row>
    <row r="20230" spans="2:12" x14ac:dyDescent="0.2">
      <c r="B20230"/>
      <c r="C20230"/>
      <c r="J20230"/>
      <c r="K20230"/>
      <c r="L20230"/>
    </row>
    <row r="20231" spans="2:12" x14ac:dyDescent="0.2">
      <c r="B20231"/>
      <c r="C20231"/>
      <c r="J20231"/>
      <c r="K20231"/>
      <c r="L20231"/>
    </row>
    <row r="20232" spans="2:12" x14ac:dyDescent="0.2">
      <c r="B20232"/>
      <c r="C20232"/>
      <c r="J20232"/>
      <c r="K20232"/>
      <c r="L20232"/>
    </row>
    <row r="20233" spans="2:12" x14ac:dyDescent="0.2">
      <c r="B20233"/>
      <c r="C20233"/>
      <c r="J20233"/>
      <c r="K20233"/>
      <c r="L20233"/>
    </row>
    <row r="20234" spans="2:12" x14ac:dyDescent="0.2">
      <c r="B20234"/>
      <c r="C20234"/>
      <c r="J20234"/>
      <c r="K20234"/>
      <c r="L20234"/>
    </row>
    <row r="20235" spans="2:12" x14ac:dyDescent="0.2">
      <c r="B20235"/>
      <c r="C20235"/>
      <c r="J20235"/>
      <c r="K20235"/>
      <c r="L20235"/>
    </row>
    <row r="20236" spans="2:12" x14ac:dyDescent="0.2">
      <c r="B20236"/>
      <c r="C20236"/>
      <c r="J20236"/>
      <c r="K20236"/>
      <c r="L20236"/>
    </row>
    <row r="20237" spans="2:12" x14ac:dyDescent="0.2">
      <c r="B20237"/>
      <c r="C20237"/>
      <c r="J20237"/>
      <c r="K20237"/>
      <c r="L20237"/>
    </row>
    <row r="20238" spans="2:12" x14ac:dyDescent="0.2">
      <c r="B20238"/>
      <c r="C20238"/>
      <c r="J20238"/>
      <c r="K20238"/>
      <c r="L20238"/>
    </row>
    <row r="20239" spans="2:12" x14ac:dyDescent="0.2">
      <c r="B20239"/>
      <c r="C20239"/>
      <c r="J20239"/>
      <c r="K20239"/>
      <c r="L20239"/>
    </row>
    <row r="20240" spans="2:12" x14ac:dyDescent="0.2">
      <c r="B20240"/>
      <c r="C20240"/>
      <c r="J20240"/>
      <c r="K20240"/>
      <c r="L20240"/>
    </row>
    <row r="20241" spans="2:12" x14ac:dyDescent="0.2">
      <c r="B20241"/>
      <c r="C20241"/>
      <c r="J20241"/>
      <c r="K20241"/>
      <c r="L20241"/>
    </row>
    <row r="20242" spans="2:12" x14ac:dyDescent="0.2">
      <c r="B20242"/>
      <c r="C20242"/>
      <c r="J20242"/>
      <c r="K20242"/>
      <c r="L20242"/>
    </row>
    <row r="20243" spans="2:12" x14ac:dyDescent="0.2">
      <c r="B20243"/>
      <c r="C20243"/>
      <c r="J20243"/>
      <c r="K20243"/>
      <c r="L20243"/>
    </row>
    <row r="20244" spans="2:12" x14ac:dyDescent="0.2">
      <c r="B20244"/>
      <c r="C20244"/>
      <c r="J20244"/>
      <c r="K20244"/>
      <c r="L20244"/>
    </row>
    <row r="20245" spans="2:12" x14ac:dyDescent="0.2">
      <c r="B20245"/>
      <c r="C20245"/>
      <c r="J20245"/>
      <c r="K20245"/>
      <c r="L20245"/>
    </row>
    <row r="20246" spans="2:12" x14ac:dyDescent="0.2">
      <c r="B20246"/>
      <c r="C20246"/>
      <c r="J20246"/>
      <c r="K20246"/>
      <c r="L20246"/>
    </row>
    <row r="20247" spans="2:12" x14ac:dyDescent="0.2">
      <c r="B20247"/>
      <c r="C20247"/>
      <c r="J20247"/>
      <c r="K20247"/>
      <c r="L20247"/>
    </row>
    <row r="20248" spans="2:12" x14ac:dyDescent="0.2">
      <c r="B20248"/>
      <c r="C20248"/>
      <c r="J20248"/>
      <c r="K20248"/>
      <c r="L20248"/>
    </row>
    <row r="20249" spans="2:12" x14ac:dyDescent="0.2">
      <c r="B20249"/>
      <c r="C20249"/>
      <c r="J20249"/>
      <c r="K20249"/>
      <c r="L20249"/>
    </row>
    <row r="20250" spans="2:12" x14ac:dyDescent="0.2">
      <c r="B20250"/>
      <c r="C20250"/>
      <c r="J20250"/>
      <c r="K20250"/>
      <c r="L20250"/>
    </row>
    <row r="20251" spans="2:12" x14ac:dyDescent="0.2">
      <c r="B20251"/>
      <c r="C20251"/>
      <c r="J20251"/>
      <c r="K20251"/>
      <c r="L20251"/>
    </row>
    <row r="20252" spans="2:12" x14ac:dyDescent="0.2">
      <c r="B20252"/>
      <c r="C20252"/>
      <c r="J20252"/>
      <c r="K20252"/>
      <c r="L20252"/>
    </row>
    <row r="20253" spans="2:12" x14ac:dyDescent="0.2">
      <c r="B20253"/>
      <c r="C20253"/>
      <c r="J20253"/>
      <c r="K20253"/>
      <c r="L20253"/>
    </row>
    <row r="20254" spans="2:12" x14ac:dyDescent="0.2">
      <c r="B20254"/>
      <c r="C20254"/>
      <c r="J20254"/>
      <c r="K20254"/>
      <c r="L20254"/>
    </row>
    <row r="20255" spans="2:12" x14ac:dyDescent="0.2">
      <c r="B20255"/>
      <c r="C20255"/>
      <c r="J20255"/>
      <c r="K20255"/>
      <c r="L20255"/>
    </row>
    <row r="20256" spans="2:12" x14ac:dyDescent="0.2">
      <c r="B20256"/>
      <c r="C20256"/>
      <c r="J20256"/>
      <c r="K20256"/>
      <c r="L20256"/>
    </row>
    <row r="20257" spans="2:12" x14ac:dyDescent="0.2">
      <c r="B20257"/>
      <c r="C20257"/>
      <c r="J20257"/>
      <c r="K20257"/>
      <c r="L20257"/>
    </row>
    <row r="20258" spans="2:12" x14ac:dyDescent="0.2">
      <c r="B20258"/>
      <c r="C20258"/>
      <c r="J20258"/>
      <c r="K20258"/>
      <c r="L20258"/>
    </row>
    <row r="20259" spans="2:12" x14ac:dyDescent="0.2">
      <c r="B20259"/>
      <c r="C20259"/>
      <c r="J20259"/>
      <c r="K20259"/>
      <c r="L20259"/>
    </row>
    <row r="20260" spans="2:12" x14ac:dyDescent="0.2">
      <c r="B20260"/>
      <c r="C20260"/>
      <c r="J20260"/>
      <c r="K20260"/>
      <c r="L20260"/>
    </row>
    <row r="20261" spans="2:12" x14ac:dyDescent="0.2">
      <c r="B20261"/>
      <c r="C20261"/>
      <c r="J20261"/>
      <c r="K20261"/>
      <c r="L20261"/>
    </row>
    <row r="20262" spans="2:12" x14ac:dyDescent="0.2">
      <c r="B20262"/>
      <c r="C20262"/>
      <c r="J20262"/>
      <c r="K20262"/>
      <c r="L20262"/>
    </row>
    <row r="20263" spans="2:12" x14ac:dyDescent="0.2">
      <c r="B20263"/>
      <c r="C20263"/>
      <c r="J20263"/>
      <c r="K20263"/>
      <c r="L20263"/>
    </row>
    <row r="20264" spans="2:12" x14ac:dyDescent="0.2">
      <c r="B20264"/>
      <c r="C20264"/>
      <c r="J20264"/>
      <c r="K20264"/>
      <c r="L20264"/>
    </row>
    <row r="20265" spans="2:12" x14ac:dyDescent="0.2">
      <c r="B20265"/>
      <c r="C20265"/>
      <c r="J20265"/>
      <c r="K20265"/>
      <c r="L20265"/>
    </row>
    <row r="20266" spans="2:12" x14ac:dyDescent="0.2">
      <c r="B20266"/>
      <c r="C20266"/>
      <c r="J20266"/>
      <c r="K20266"/>
      <c r="L20266"/>
    </row>
    <row r="20267" spans="2:12" x14ac:dyDescent="0.2">
      <c r="B20267"/>
      <c r="C20267"/>
      <c r="J20267"/>
      <c r="K20267"/>
      <c r="L20267"/>
    </row>
    <row r="20268" spans="2:12" x14ac:dyDescent="0.2">
      <c r="B20268"/>
      <c r="C20268"/>
      <c r="J20268"/>
      <c r="K20268"/>
      <c r="L20268"/>
    </row>
    <row r="20269" spans="2:12" x14ac:dyDescent="0.2">
      <c r="B20269"/>
      <c r="C20269"/>
      <c r="J20269"/>
      <c r="K20269"/>
      <c r="L20269"/>
    </row>
    <row r="20270" spans="2:12" x14ac:dyDescent="0.2">
      <c r="B20270"/>
      <c r="C20270"/>
      <c r="J20270"/>
      <c r="K20270"/>
      <c r="L20270"/>
    </row>
    <row r="20271" spans="2:12" x14ac:dyDescent="0.2">
      <c r="B20271"/>
      <c r="C20271"/>
      <c r="J20271"/>
      <c r="K20271"/>
      <c r="L20271"/>
    </row>
    <row r="20272" spans="2:12" x14ac:dyDescent="0.2">
      <c r="B20272"/>
      <c r="C20272"/>
      <c r="J20272"/>
      <c r="K20272"/>
      <c r="L20272"/>
    </row>
    <row r="20273" spans="2:12" x14ac:dyDescent="0.2">
      <c r="B20273"/>
      <c r="C20273"/>
      <c r="J20273"/>
      <c r="K20273"/>
      <c r="L20273"/>
    </row>
    <row r="20274" spans="2:12" x14ac:dyDescent="0.2">
      <c r="B20274"/>
      <c r="C20274"/>
      <c r="J20274"/>
      <c r="K20274"/>
      <c r="L20274"/>
    </row>
    <row r="20275" spans="2:12" x14ac:dyDescent="0.2">
      <c r="B20275"/>
      <c r="C20275"/>
      <c r="J20275"/>
      <c r="K20275"/>
      <c r="L20275"/>
    </row>
    <row r="20276" spans="2:12" x14ac:dyDescent="0.2">
      <c r="B20276"/>
      <c r="C20276"/>
      <c r="J20276"/>
      <c r="K20276"/>
      <c r="L20276"/>
    </row>
    <row r="20277" spans="2:12" x14ac:dyDescent="0.2">
      <c r="B20277"/>
      <c r="C20277"/>
      <c r="J20277"/>
      <c r="K20277"/>
      <c r="L20277"/>
    </row>
    <row r="20278" spans="2:12" x14ac:dyDescent="0.2">
      <c r="B20278"/>
      <c r="C20278"/>
      <c r="J20278"/>
      <c r="K20278"/>
      <c r="L20278"/>
    </row>
    <row r="20279" spans="2:12" x14ac:dyDescent="0.2">
      <c r="B20279"/>
      <c r="C20279"/>
      <c r="J20279"/>
      <c r="K20279"/>
      <c r="L20279"/>
    </row>
    <row r="20280" spans="2:12" x14ac:dyDescent="0.2">
      <c r="B20280"/>
      <c r="C20280"/>
      <c r="J20280"/>
      <c r="K20280"/>
      <c r="L20280"/>
    </row>
    <row r="20281" spans="2:12" x14ac:dyDescent="0.2">
      <c r="B20281"/>
      <c r="C20281"/>
      <c r="J20281"/>
      <c r="K20281"/>
      <c r="L20281"/>
    </row>
    <row r="20282" spans="2:12" x14ac:dyDescent="0.2">
      <c r="B20282"/>
      <c r="C20282"/>
      <c r="J20282"/>
      <c r="K20282"/>
      <c r="L20282"/>
    </row>
    <row r="20283" spans="2:12" x14ac:dyDescent="0.2">
      <c r="B20283"/>
      <c r="C20283"/>
      <c r="J20283"/>
      <c r="K20283"/>
      <c r="L20283"/>
    </row>
    <row r="20284" spans="2:12" x14ac:dyDescent="0.2">
      <c r="B20284"/>
      <c r="C20284"/>
      <c r="J20284"/>
      <c r="K20284"/>
      <c r="L20284"/>
    </row>
    <row r="20285" spans="2:12" x14ac:dyDescent="0.2">
      <c r="B20285"/>
      <c r="C20285"/>
      <c r="J20285"/>
      <c r="K20285"/>
      <c r="L20285"/>
    </row>
    <row r="20286" spans="2:12" x14ac:dyDescent="0.2">
      <c r="B20286"/>
      <c r="C20286"/>
      <c r="J20286"/>
      <c r="K20286"/>
      <c r="L20286"/>
    </row>
    <row r="20287" spans="2:12" x14ac:dyDescent="0.2">
      <c r="B20287"/>
      <c r="C20287"/>
      <c r="J20287"/>
      <c r="K20287"/>
      <c r="L20287"/>
    </row>
    <row r="20288" spans="2:12" x14ac:dyDescent="0.2">
      <c r="B20288"/>
      <c r="C20288"/>
      <c r="J20288"/>
      <c r="K20288"/>
      <c r="L20288"/>
    </row>
    <row r="20289" spans="2:12" x14ac:dyDescent="0.2">
      <c r="B20289"/>
      <c r="C20289"/>
      <c r="J20289"/>
      <c r="K20289"/>
      <c r="L20289"/>
    </row>
    <row r="20290" spans="2:12" x14ac:dyDescent="0.2">
      <c r="B20290"/>
      <c r="C20290"/>
      <c r="J20290"/>
      <c r="K20290"/>
      <c r="L20290"/>
    </row>
    <row r="20291" spans="2:12" x14ac:dyDescent="0.2">
      <c r="B20291"/>
      <c r="C20291"/>
      <c r="J20291"/>
      <c r="K20291"/>
      <c r="L20291"/>
    </row>
    <row r="20292" spans="2:12" x14ac:dyDescent="0.2">
      <c r="B20292"/>
      <c r="C20292"/>
      <c r="J20292"/>
      <c r="K20292"/>
      <c r="L20292"/>
    </row>
    <row r="20293" spans="2:12" x14ac:dyDescent="0.2">
      <c r="B20293"/>
      <c r="C20293"/>
      <c r="J20293"/>
      <c r="K20293"/>
      <c r="L20293"/>
    </row>
    <row r="20294" spans="2:12" x14ac:dyDescent="0.2">
      <c r="B20294"/>
      <c r="C20294"/>
      <c r="J20294"/>
      <c r="K20294"/>
      <c r="L20294"/>
    </row>
    <row r="20295" spans="2:12" x14ac:dyDescent="0.2">
      <c r="B20295"/>
      <c r="C20295"/>
      <c r="J20295"/>
      <c r="K20295"/>
      <c r="L20295"/>
    </row>
    <row r="20296" spans="2:12" x14ac:dyDescent="0.2">
      <c r="B20296"/>
      <c r="C20296"/>
      <c r="J20296"/>
      <c r="K20296"/>
      <c r="L20296"/>
    </row>
    <row r="20297" spans="2:12" x14ac:dyDescent="0.2">
      <c r="B20297"/>
      <c r="C20297"/>
      <c r="J20297"/>
      <c r="K20297"/>
      <c r="L20297"/>
    </row>
    <row r="20298" spans="2:12" x14ac:dyDescent="0.2">
      <c r="B20298"/>
      <c r="C20298"/>
      <c r="J20298"/>
      <c r="K20298"/>
      <c r="L20298"/>
    </row>
    <row r="20299" spans="2:12" x14ac:dyDescent="0.2">
      <c r="B20299"/>
      <c r="C20299"/>
      <c r="J20299"/>
      <c r="K20299"/>
      <c r="L20299"/>
    </row>
    <row r="20300" spans="2:12" x14ac:dyDescent="0.2">
      <c r="B20300"/>
      <c r="C20300"/>
      <c r="J20300"/>
      <c r="K20300"/>
      <c r="L20300"/>
    </row>
    <row r="20301" spans="2:12" x14ac:dyDescent="0.2">
      <c r="B20301"/>
      <c r="C20301"/>
      <c r="J20301"/>
      <c r="K20301"/>
      <c r="L20301"/>
    </row>
    <row r="20302" spans="2:12" x14ac:dyDescent="0.2">
      <c r="B20302"/>
      <c r="C20302"/>
      <c r="J20302"/>
      <c r="K20302"/>
      <c r="L20302"/>
    </row>
    <row r="20303" spans="2:12" x14ac:dyDescent="0.2">
      <c r="B20303"/>
      <c r="C20303"/>
      <c r="J20303"/>
      <c r="K20303"/>
      <c r="L20303"/>
    </row>
    <row r="20304" spans="2:12" x14ac:dyDescent="0.2">
      <c r="B20304"/>
      <c r="C20304"/>
      <c r="J20304"/>
      <c r="K20304"/>
      <c r="L20304"/>
    </row>
    <row r="20305" spans="2:12" x14ac:dyDescent="0.2">
      <c r="B20305"/>
      <c r="C20305"/>
      <c r="J20305"/>
      <c r="K20305"/>
      <c r="L20305"/>
    </row>
    <row r="20306" spans="2:12" x14ac:dyDescent="0.2">
      <c r="B20306"/>
      <c r="C20306"/>
      <c r="J20306"/>
      <c r="K20306"/>
      <c r="L20306"/>
    </row>
    <row r="20307" spans="2:12" x14ac:dyDescent="0.2">
      <c r="B20307"/>
      <c r="C20307"/>
      <c r="J20307"/>
      <c r="K20307"/>
      <c r="L20307"/>
    </row>
    <row r="20308" spans="2:12" x14ac:dyDescent="0.2">
      <c r="B20308"/>
      <c r="C20308"/>
      <c r="J20308"/>
      <c r="K20308"/>
      <c r="L20308"/>
    </row>
    <row r="20309" spans="2:12" x14ac:dyDescent="0.2">
      <c r="B20309"/>
      <c r="C20309"/>
      <c r="J20309"/>
      <c r="K20309"/>
      <c r="L20309"/>
    </row>
    <row r="20310" spans="2:12" x14ac:dyDescent="0.2">
      <c r="B20310"/>
      <c r="C20310"/>
      <c r="J20310"/>
      <c r="K20310"/>
      <c r="L20310"/>
    </row>
    <row r="20311" spans="2:12" x14ac:dyDescent="0.2">
      <c r="B20311"/>
      <c r="C20311"/>
      <c r="J20311"/>
      <c r="K20311"/>
      <c r="L20311"/>
    </row>
    <row r="20312" spans="2:12" x14ac:dyDescent="0.2">
      <c r="B20312"/>
      <c r="C20312"/>
      <c r="J20312"/>
      <c r="K20312"/>
      <c r="L20312"/>
    </row>
    <row r="20313" spans="2:12" x14ac:dyDescent="0.2">
      <c r="B20313"/>
      <c r="C20313"/>
      <c r="J20313"/>
      <c r="K20313"/>
      <c r="L20313"/>
    </row>
    <row r="20314" spans="2:12" x14ac:dyDescent="0.2">
      <c r="B20314"/>
      <c r="C20314"/>
      <c r="J20314"/>
      <c r="K20314"/>
      <c r="L20314"/>
    </row>
    <row r="20315" spans="2:12" x14ac:dyDescent="0.2">
      <c r="B20315"/>
      <c r="C20315"/>
      <c r="J20315"/>
      <c r="K20315"/>
      <c r="L20315"/>
    </row>
    <row r="20316" spans="2:12" x14ac:dyDescent="0.2">
      <c r="B20316"/>
      <c r="C20316"/>
      <c r="J20316"/>
      <c r="K20316"/>
      <c r="L20316"/>
    </row>
    <row r="20317" spans="2:12" x14ac:dyDescent="0.2">
      <c r="B20317"/>
      <c r="C20317"/>
      <c r="J20317"/>
      <c r="K20317"/>
      <c r="L20317"/>
    </row>
    <row r="20318" spans="2:12" x14ac:dyDescent="0.2">
      <c r="B20318"/>
      <c r="C20318"/>
      <c r="J20318"/>
      <c r="K20318"/>
      <c r="L20318"/>
    </row>
    <row r="20319" spans="2:12" x14ac:dyDescent="0.2">
      <c r="B20319"/>
      <c r="C20319"/>
      <c r="J20319"/>
      <c r="K20319"/>
      <c r="L20319"/>
    </row>
    <row r="20320" spans="2:12" x14ac:dyDescent="0.2">
      <c r="B20320"/>
      <c r="C20320"/>
      <c r="J20320"/>
      <c r="K20320"/>
      <c r="L20320"/>
    </row>
    <row r="20321" spans="2:12" x14ac:dyDescent="0.2">
      <c r="B20321"/>
      <c r="C20321"/>
      <c r="J20321"/>
      <c r="K20321"/>
      <c r="L20321"/>
    </row>
    <row r="20322" spans="2:12" x14ac:dyDescent="0.2">
      <c r="B20322"/>
      <c r="C20322"/>
      <c r="J20322"/>
      <c r="K20322"/>
      <c r="L20322"/>
    </row>
    <row r="20323" spans="2:12" x14ac:dyDescent="0.2">
      <c r="B20323"/>
      <c r="C20323"/>
      <c r="J20323"/>
      <c r="K20323"/>
      <c r="L20323"/>
    </row>
    <row r="20324" spans="2:12" x14ac:dyDescent="0.2">
      <c r="B20324"/>
      <c r="C20324"/>
      <c r="J20324"/>
      <c r="K20324"/>
      <c r="L20324"/>
    </row>
    <row r="20325" spans="2:12" x14ac:dyDescent="0.2">
      <c r="B20325"/>
      <c r="C20325"/>
      <c r="J20325"/>
      <c r="K20325"/>
      <c r="L20325"/>
    </row>
    <row r="20326" spans="2:12" x14ac:dyDescent="0.2">
      <c r="B20326"/>
      <c r="C20326"/>
      <c r="J20326"/>
      <c r="K20326"/>
      <c r="L20326"/>
    </row>
    <row r="20327" spans="2:12" x14ac:dyDescent="0.2">
      <c r="B20327"/>
      <c r="C20327"/>
      <c r="J20327"/>
      <c r="K20327"/>
      <c r="L20327"/>
    </row>
    <row r="20328" spans="2:12" x14ac:dyDescent="0.2">
      <c r="B20328"/>
      <c r="C20328"/>
      <c r="J20328"/>
      <c r="K20328"/>
      <c r="L20328"/>
    </row>
    <row r="20329" spans="2:12" x14ac:dyDescent="0.2">
      <c r="B20329"/>
      <c r="C20329"/>
      <c r="J20329"/>
      <c r="K20329"/>
      <c r="L20329"/>
    </row>
    <row r="20330" spans="2:12" x14ac:dyDescent="0.2">
      <c r="B20330"/>
      <c r="C20330"/>
      <c r="J20330"/>
      <c r="K20330"/>
      <c r="L20330"/>
    </row>
    <row r="20331" spans="2:12" x14ac:dyDescent="0.2">
      <c r="B20331"/>
      <c r="C20331"/>
      <c r="J20331"/>
      <c r="K20331"/>
      <c r="L20331"/>
    </row>
    <row r="20332" spans="2:12" x14ac:dyDescent="0.2">
      <c r="B20332"/>
      <c r="C20332"/>
      <c r="J20332"/>
      <c r="K20332"/>
      <c r="L20332"/>
    </row>
    <row r="20333" spans="2:12" x14ac:dyDescent="0.2">
      <c r="B20333"/>
      <c r="C20333"/>
      <c r="J20333"/>
      <c r="K20333"/>
      <c r="L20333"/>
    </row>
    <row r="20334" spans="2:12" x14ac:dyDescent="0.2">
      <c r="B20334"/>
      <c r="C20334"/>
      <c r="J20334"/>
      <c r="K20334"/>
      <c r="L20334"/>
    </row>
    <row r="20335" spans="2:12" x14ac:dyDescent="0.2">
      <c r="B20335"/>
      <c r="C20335"/>
      <c r="J20335"/>
      <c r="K20335"/>
      <c r="L20335"/>
    </row>
    <row r="20336" spans="2:12" x14ac:dyDescent="0.2">
      <c r="B20336"/>
      <c r="C20336"/>
      <c r="J20336"/>
      <c r="K20336"/>
      <c r="L20336"/>
    </row>
    <row r="20337" spans="2:12" x14ac:dyDescent="0.2">
      <c r="B20337"/>
      <c r="C20337"/>
      <c r="J20337"/>
      <c r="K20337"/>
      <c r="L20337"/>
    </row>
    <row r="20338" spans="2:12" x14ac:dyDescent="0.2">
      <c r="B20338"/>
      <c r="C20338"/>
      <c r="J20338"/>
      <c r="K20338"/>
      <c r="L20338"/>
    </row>
    <row r="20339" spans="2:12" x14ac:dyDescent="0.2">
      <c r="B20339"/>
      <c r="C20339"/>
      <c r="J20339"/>
      <c r="K20339"/>
      <c r="L20339"/>
    </row>
    <row r="20340" spans="2:12" x14ac:dyDescent="0.2">
      <c r="B20340"/>
      <c r="C20340"/>
      <c r="J20340"/>
      <c r="K20340"/>
      <c r="L20340"/>
    </row>
    <row r="20341" spans="2:12" x14ac:dyDescent="0.2">
      <c r="B20341"/>
      <c r="C20341"/>
      <c r="J20341"/>
      <c r="K20341"/>
      <c r="L20341"/>
    </row>
    <row r="20342" spans="2:12" x14ac:dyDescent="0.2">
      <c r="B20342"/>
      <c r="C20342"/>
      <c r="J20342"/>
      <c r="K20342"/>
      <c r="L20342"/>
    </row>
    <row r="20343" spans="2:12" x14ac:dyDescent="0.2">
      <c r="B20343"/>
      <c r="C20343"/>
      <c r="J20343"/>
      <c r="K20343"/>
      <c r="L20343"/>
    </row>
    <row r="20344" spans="2:12" x14ac:dyDescent="0.2">
      <c r="B20344"/>
      <c r="C20344"/>
      <c r="J20344"/>
      <c r="K20344"/>
      <c r="L20344"/>
    </row>
    <row r="20345" spans="2:12" x14ac:dyDescent="0.2">
      <c r="B20345"/>
      <c r="C20345"/>
      <c r="J20345"/>
      <c r="K20345"/>
      <c r="L20345"/>
    </row>
    <row r="20346" spans="2:12" x14ac:dyDescent="0.2">
      <c r="B20346"/>
      <c r="C20346"/>
      <c r="J20346"/>
      <c r="K20346"/>
      <c r="L20346"/>
    </row>
    <row r="20347" spans="2:12" x14ac:dyDescent="0.2">
      <c r="B20347"/>
      <c r="C20347"/>
      <c r="J20347"/>
      <c r="K20347"/>
      <c r="L20347"/>
    </row>
    <row r="20348" spans="2:12" x14ac:dyDescent="0.2">
      <c r="B20348"/>
      <c r="C20348"/>
      <c r="J20348"/>
      <c r="K20348"/>
      <c r="L20348"/>
    </row>
    <row r="20349" spans="2:12" x14ac:dyDescent="0.2">
      <c r="B20349"/>
      <c r="C20349"/>
      <c r="J20349"/>
      <c r="K20349"/>
      <c r="L20349"/>
    </row>
    <row r="20350" spans="2:12" x14ac:dyDescent="0.2">
      <c r="B20350"/>
      <c r="C20350"/>
      <c r="J20350"/>
      <c r="K20350"/>
      <c r="L20350"/>
    </row>
    <row r="20351" spans="2:12" x14ac:dyDescent="0.2">
      <c r="B20351"/>
      <c r="C20351"/>
      <c r="J20351"/>
      <c r="K20351"/>
      <c r="L20351"/>
    </row>
    <row r="20352" spans="2:12" x14ac:dyDescent="0.2">
      <c r="B20352"/>
      <c r="C20352"/>
      <c r="J20352"/>
      <c r="K20352"/>
      <c r="L20352"/>
    </row>
    <row r="20353" spans="2:12" x14ac:dyDescent="0.2">
      <c r="B20353"/>
      <c r="C20353"/>
      <c r="J20353"/>
      <c r="K20353"/>
      <c r="L20353"/>
    </row>
    <row r="20354" spans="2:12" x14ac:dyDescent="0.2">
      <c r="B20354"/>
      <c r="C20354"/>
      <c r="J20354"/>
      <c r="K20354"/>
      <c r="L20354"/>
    </row>
    <row r="20355" spans="2:12" x14ac:dyDescent="0.2">
      <c r="B20355"/>
      <c r="C20355"/>
      <c r="J20355"/>
      <c r="K20355"/>
      <c r="L20355"/>
    </row>
    <row r="20356" spans="2:12" x14ac:dyDescent="0.2">
      <c r="B20356"/>
      <c r="C20356"/>
      <c r="J20356"/>
      <c r="K20356"/>
      <c r="L20356"/>
    </row>
    <row r="20357" spans="2:12" x14ac:dyDescent="0.2">
      <c r="B20357"/>
      <c r="C20357"/>
      <c r="J20357"/>
      <c r="K20357"/>
      <c r="L20357"/>
    </row>
    <row r="20358" spans="2:12" x14ac:dyDescent="0.2">
      <c r="B20358"/>
      <c r="C20358"/>
      <c r="J20358"/>
      <c r="K20358"/>
      <c r="L20358"/>
    </row>
    <row r="20359" spans="2:12" x14ac:dyDescent="0.2">
      <c r="B20359"/>
      <c r="C20359"/>
      <c r="J20359"/>
      <c r="K20359"/>
      <c r="L20359"/>
    </row>
    <row r="20360" spans="2:12" x14ac:dyDescent="0.2">
      <c r="B20360"/>
      <c r="C20360"/>
      <c r="J20360"/>
      <c r="K20360"/>
      <c r="L20360"/>
    </row>
    <row r="20361" spans="2:12" x14ac:dyDescent="0.2">
      <c r="B20361"/>
      <c r="C20361"/>
      <c r="J20361"/>
      <c r="K20361"/>
      <c r="L20361"/>
    </row>
    <row r="20362" spans="2:12" x14ac:dyDescent="0.2">
      <c r="B20362"/>
      <c r="C20362"/>
      <c r="J20362"/>
      <c r="K20362"/>
      <c r="L20362"/>
    </row>
    <row r="20363" spans="2:12" x14ac:dyDescent="0.2">
      <c r="B20363"/>
      <c r="C20363"/>
      <c r="J20363"/>
      <c r="K20363"/>
      <c r="L20363"/>
    </row>
    <row r="20364" spans="2:12" x14ac:dyDescent="0.2">
      <c r="B20364"/>
      <c r="C20364"/>
      <c r="J20364"/>
      <c r="K20364"/>
      <c r="L20364"/>
    </row>
    <row r="20365" spans="2:12" x14ac:dyDescent="0.2">
      <c r="B20365"/>
      <c r="C20365"/>
      <c r="J20365"/>
      <c r="K20365"/>
      <c r="L20365"/>
    </row>
    <row r="20366" spans="2:12" x14ac:dyDescent="0.2">
      <c r="B20366"/>
      <c r="C20366"/>
      <c r="J20366"/>
      <c r="K20366"/>
      <c r="L20366"/>
    </row>
    <row r="20367" spans="2:12" x14ac:dyDescent="0.2">
      <c r="B20367"/>
      <c r="C20367"/>
      <c r="J20367"/>
      <c r="K20367"/>
      <c r="L20367"/>
    </row>
    <row r="20368" spans="2:12" x14ac:dyDescent="0.2">
      <c r="B20368"/>
      <c r="C20368"/>
      <c r="J20368"/>
      <c r="K20368"/>
      <c r="L20368"/>
    </row>
    <row r="20369" spans="2:12" x14ac:dyDescent="0.2">
      <c r="B20369"/>
      <c r="C20369"/>
      <c r="J20369"/>
      <c r="K20369"/>
      <c r="L20369"/>
    </row>
    <row r="20370" spans="2:12" x14ac:dyDescent="0.2">
      <c r="B20370"/>
      <c r="C20370"/>
      <c r="J20370"/>
      <c r="K20370"/>
      <c r="L20370"/>
    </row>
    <row r="20371" spans="2:12" x14ac:dyDescent="0.2">
      <c r="B20371"/>
      <c r="C20371"/>
      <c r="J20371"/>
      <c r="K20371"/>
      <c r="L20371"/>
    </row>
    <row r="20372" spans="2:12" x14ac:dyDescent="0.2">
      <c r="B20372"/>
      <c r="C20372"/>
      <c r="J20372"/>
      <c r="K20372"/>
      <c r="L20372"/>
    </row>
    <row r="20373" spans="2:12" x14ac:dyDescent="0.2">
      <c r="B20373"/>
      <c r="C20373"/>
      <c r="J20373"/>
      <c r="K20373"/>
      <c r="L20373"/>
    </row>
    <row r="20374" spans="2:12" x14ac:dyDescent="0.2">
      <c r="B20374"/>
      <c r="C20374"/>
      <c r="J20374"/>
      <c r="K20374"/>
      <c r="L20374"/>
    </row>
    <row r="20375" spans="2:12" x14ac:dyDescent="0.2">
      <c r="B20375"/>
      <c r="C20375"/>
      <c r="J20375"/>
      <c r="K20375"/>
      <c r="L20375"/>
    </row>
    <row r="20376" spans="2:12" x14ac:dyDescent="0.2">
      <c r="B20376"/>
      <c r="C20376"/>
      <c r="J20376"/>
      <c r="K20376"/>
      <c r="L20376"/>
    </row>
    <row r="20377" spans="2:12" x14ac:dyDescent="0.2">
      <c r="B20377"/>
      <c r="C20377"/>
      <c r="J20377"/>
      <c r="K20377"/>
      <c r="L20377"/>
    </row>
    <row r="20378" spans="2:12" x14ac:dyDescent="0.2">
      <c r="B20378"/>
      <c r="C20378"/>
      <c r="J20378"/>
      <c r="K20378"/>
      <c r="L20378"/>
    </row>
    <row r="20379" spans="2:12" x14ac:dyDescent="0.2">
      <c r="B20379"/>
      <c r="C20379"/>
      <c r="J20379"/>
      <c r="K20379"/>
      <c r="L20379"/>
    </row>
    <row r="20380" spans="2:12" x14ac:dyDescent="0.2">
      <c r="B20380"/>
      <c r="C20380"/>
      <c r="J20380"/>
      <c r="K20380"/>
      <c r="L20380"/>
    </row>
    <row r="20381" spans="2:12" x14ac:dyDescent="0.2">
      <c r="B20381"/>
      <c r="C20381"/>
      <c r="J20381"/>
      <c r="K20381"/>
      <c r="L20381"/>
    </row>
    <row r="20382" spans="2:12" x14ac:dyDescent="0.2">
      <c r="B20382"/>
      <c r="C20382"/>
      <c r="J20382"/>
      <c r="K20382"/>
      <c r="L20382"/>
    </row>
    <row r="20383" spans="2:12" x14ac:dyDescent="0.2">
      <c r="B20383"/>
      <c r="C20383"/>
      <c r="J20383"/>
      <c r="K20383"/>
      <c r="L20383"/>
    </row>
    <row r="20384" spans="2:12" x14ac:dyDescent="0.2">
      <c r="B20384"/>
      <c r="C20384"/>
      <c r="J20384"/>
      <c r="K20384"/>
      <c r="L20384"/>
    </row>
    <row r="20385" spans="2:12" x14ac:dyDescent="0.2">
      <c r="B20385"/>
      <c r="C20385"/>
      <c r="J20385"/>
      <c r="K20385"/>
      <c r="L20385"/>
    </row>
    <row r="20386" spans="2:12" x14ac:dyDescent="0.2">
      <c r="B20386"/>
      <c r="C20386"/>
      <c r="J20386"/>
      <c r="K20386"/>
      <c r="L20386"/>
    </row>
    <row r="20387" spans="2:12" x14ac:dyDescent="0.2">
      <c r="B20387"/>
      <c r="C20387"/>
      <c r="J20387"/>
      <c r="K20387"/>
      <c r="L20387"/>
    </row>
    <row r="20388" spans="2:12" x14ac:dyDescent="0.2">
      <c r="B20388"/>
      <c r="C20388"/>
      <c r="J20388"/>
      <c r="K20388"/>
      <c r="L20388"/>
    </row>
    <row r="20389" spans="2:12" x14ac:dyDescent="0.2">
      <c r="B20389"/>
      <c r="C20389"/>
      <c r="J20389"/>
      <c r="K20389"/>
      <c r="L20389"/>
    </row>
    <row r="20390" spans="2:12" x14ac:dyDescent="0.2">
      <c r="B20390"/>
      <c r="C20390"/>
      <c r="J20390"/>
      <c r="K20390"/>
      <c r="L20390"/>
    </row>
    <row r="20391" spans="2:12" x14ac:dyDescent="0.2">
      <c r="B20391"/>
      <c r="C20391"/>
      <c r="J20391"/>
      <c r="K20391"/>
      <c r="L20391"/>
    </row>
    <row r="20392" spans="2:12" x14ac:dyDescent="0.2">
      <c r="B20392"/>
      <c r="C20392"/>
      <c r="J20392"/>
      <c r="K20392"/>
      <c r="L20392"/>
    </row>
    <row r="20393" spans="2:12" x14ac:dyDescent="0.2">
      <c r="B20393"/>
      <c r="C20393"/>
      <c r="J20393"/>
      <c r="K20393"/>
      <c r="L20393"/>
    </row>
    <row r="20394" spans="2:12" x14ac:dyDescent="0.2">
      <c r="B20394"/>
      <c r="C20394"/>
      <c r="J20394"/>
      <c r="K20394"/>
      <c r="L20394"/>
    </row>
    <row r="20395" spans="2:12" x14ac:dyDescent="0.2">
      <c r="B20395"/>
      <c r="C20395"/>
      <c r="J20395"/>
      <c r="K20395"/>
      <c r="L20395"/>
    </row>
    <row r="20396" spans="2:12" x14ac:dyDescent="0.2">
      <c r="B20396"/>
      <c r="C20396"/>
      <c r="J20396"/>
      <c r="K20396"/>
      <c r="L20396"/>
    </row>
    <row r="20397" spans="2:12" x14ac:dyDescent="0.2">
      <c r="B20397"/>
      <c r="C20397"/>
      <c r="J20397"/>
      <c r="K20397"/>
      <c r="L20397"/>
    </row>
    <row r="20398" spans="2:12" x14ac:dyDescent="0.2">
      <c r="B20398"/>
      <c r="C20398"/>
      <c r="J20398"/>
      <c r="K20398"/>
      <c r="L20398"/>
    </row>
    <row r="20399" spans="2:12" x14ac:dyDescent="0.2">
      <c r="B20399"/>
      <c r="C20399"/>
      <c r="J20399"/>
      <c r="K20399"/>
      <c r="L20399"/>
    </row>
    <row r="20400" spans="2:12" x14ac:dyDescent="0.2">
      <c r="B20400"/>
      <c r="C20400"/>
      <c r="J20400"/>
      <c r="K20400"/>
      <c r="L20400"/>
    </row>
    <row r="20401" spans="2:12" x14ac:dyDescent="0.2">
      <c r="B20401"/>
      <c r="C20401"/>
      <c r="J20401"/>
      <c r="K20401"/>
      <c r="L20401"/>
    </row>
    <row r="20402" spans="2:12" x14ac:dyDescent="0.2">
      <c r="B20402"/>
      <c r="C20402"/>
      <c r="J20402"/>
      <c r="K20402"/>
      <c r="L20402"/>
    </row>
    <row r="20403" spans="2:12" x14ac:dyDescent="0.2">
      <c r="B20403"/>
      <c r="C20403"/>
      <c r="J20403"/>
      <c r="K20403"/>
      <c r="L20403"/>
    </row>
    <row r="20404" spans="2:12" x14ac:dyDescent="0.2">
      <c r="B20404"/>
      <c r="C20404"/>
      <c r="J20404"/>
      <c r="K20404"/>
      <c r="L20404"/>
    </row>
    <row r="20405" spans="2:12" x14ac:dyDescent="0.2">
      <c r="B20405"/>
      <c r="C20405"/>
      <c r="J20405"/>
      <c r="K20405"/>
      <c r="L20405"/>
    </row>
    <row r="20406" spans="2:12" x14ac:dyDescent="0.2">
      <c r="B20406"/>
      <c r="C20406"/>
      <c r="J20406"/>
      <c r="K20406"/>
      <c r="L20406"/>
    </row>
    <row r="20407" spans="2:12" x14ac:dyDescent="0.2">
      <c r="B20407"/>
      <c r="C20407"/>
      <c r="J20407"/>
      <c r="K20407"/>
      <c r="L20407"/>
    </row>
    <row r="20408" spans="2:12" x14ac:dyDescent="0.2">
      <c r="B20408"/>
      <c r="C20408"/>
      <c r="J20408"/>
      <c r="K20408"/>
      <c r="L20408"/>
    </row>
    <row r="20409" spans="2:12" x14ac:dyDescent="0.2">
      <c r="B20409"/>
      <c r="C20409"/>
      <c r="J20409"/>
      <c r="K20409"/>
      <c r="L20409"/>
    </row>
    <row r="20410" spans="2:12" x14ac:dyDescent="0.2">
      <c r="B20410"/>
      <c r="C20410"/>
      <c r="J20410"/>
      <c r="K20410"/>
      <c r="L20410"/>
    </row>
    <row r="20411" spans="2:12" x14ac:dyDescent="0.2">
      <c r="B20411"/>
      <c r="C20411"/>
      <c r="J20411"/>
      <c r="K20411"/>
      <c r="L20411"/>
    </row>
    <row r="20412" spans="2:12" x14ac:dyDescent="0.2">
      <c r="B20412"/>
      <c r="C20412"/>
      <c r="J20412"/>
      <c r="K20412"/>
      <c r="L20412"/>
    </row>
    <row r="20413" spans="2:12" x14ac:dyDescent="0.2">
      <c r="B20413"/>
      <c r="C20413"/>
      <c r="J20413"/>
      <c r="K20413"/>
      <c r="L20413"/>
    </row>
    <row r="20414" spans="2:12" x14ac:dyDescent="0.2">
      <c r="B20414"/>
      <c r="C20414"/>
      <c r="J20414"/>
      <c r="K20414"/>
      <c r="L20414"/>
    </row>
    <row r="20415" spans="2:12" x14ac:dyDescent="0.2">
      <c r="B20415"/>
      <c r="C20415"/>
      <c r="J20415"/>
      <c r="K20415"/>
      <c r="L20415"/>
    </row>
    <row r="20416" spans="2:12" x14ac:dyDescent="0.2">
      <c r="B20416"/>
      <c r="C20416"/>
      <c r="J20416"/>
      <c r="K20416"/>
      <c r="L20416"/>
    </row>
    <row r="20417" spans="2:12" x14ac:dyDescent="0.2">
      <c r="B20417"/>
      <c r="C20417"/>
      <c r="J20417"/>
      <c r="K20417"/>
      <c r="L20417"/>
    </row>
    <row r="20418" spans="2:12" x14ac:dyDescent="0.2">
      <c r="B20418"/>
      <c r="C20418"/>
      <c r="J20418"/>
      <c r="K20418"/>
      <c r="L20418"/>
    </row>
    <row r="20419" spans="2:12" x14ac:dyDescent="0.2">
      <c r="B20419"/>
      <c r="C20419"/>
      <c r="J20419"/>
      <c r="K20419"/>
      <c r="L20419"/>
    </row>
    <row r="20420" spans="2:12" x14ac:dyDescent="0.2">
      <c r="B20420"/>
      <c r="C20420"/>
      <c r="J20420"/>
      <c r="K20420"/>
      <c r="L20420"/>
    </row>
    <row r="20421" spans="2:12" x14ac:dyDescent="0.2">
      <c r="B20421"/>
      <c r="C20421"/>
      <c r="J20421"/>
      <c r="K20421"/>
      <c r="L20421"/>
    </row>
    <row r="20422" spans="2:12" x14ac:dyDescent="0.2">
      <c r="B20422"/>
      <c r="C20422"/>
      <c r="J20422"/>
      <c r="K20422"/>
      <c r="L20422"/>
    </row>
    <row r="20423" spans="2:12" x14ac:dyDescent="0.2">
      <c r="B20423"/>
      <c r="C20423"/>
      <c r="J20423"/>
      <c r="K20423"/>
      <c r="L20423"/>
    </row>
    <row r="20424" spans="2:12" x14ac:dyDescent="0.2">
      <c r="B20424"/>
      <c r="C20424"/>
      <c r="J20424"/>
      <c r="K20424"/>
      <c r="L20424"/>
    </row>
    <row r="20425" spans="2:12" x14ac:dyDescent="0.2">
      <c r="B20425"/>
      <c r="C20425"/>
      <c r="J20425"/>
      <c r="K20425"/>
      <c r="L20425"/>
    </row>
    <row r="20426" spans="2:12" x14ac:dyDescent="0.2">
      <c r="B20426"/>
      <c r="C20426"/>
      <c r="J20426"/>
      <c r="K20426"/>
      <c r="L20426"/>
    </row>
    <row r="20427" spans="2:12" x14ac:dyDescent="0.2">
      <c r="B20427"/>
      <c r="C20427"/>
      <c r="J20427"/>
      <c r="K20427"/>
      <c r="L20427"/>
    </row>
    <row r="20428" spans="2:12" x14ac:dyDescent="0.2">
      <c r="B20428"/>
      <c r="C20428"/>
      <c r="J20428"/>
      <c r="K20428"/>
      <c r="L20428"/>
    </row>
    <row r="20429" spans="2:12" x14ac:dyDescent="0.2">
      <c r="B20429"/>
      <c r="C20429"/>
      <c r="J20429"/>
      <c r="K20429"/>
      <c r="L20429"/>
    </row>
    <row r="20430" spans="2:12" x14ac:dyDescent="0.2">
      <c r="B20430"/>
      <c r="C20430"/>
      <c r="J20430"/>
      <c r="K20430"/>
      <c r="L20430"/>
    </row>
    <row r="20431" spans="2:12" x14ac:dyDescent="0.2">
      <c r="B20431"/>
      <c r="C20431"/>
      <c r="J20431"/>
      <c r="K20431"/>
      <c r="L20431"/>
    </row>
    <row r="20432" spans="2:12" x14ac:dyDescent="0.2">
      <c r="B20432"/>
      <c r="C20432"/>
      <c r="J20432"/>
      <c r="K20432"/>
      <c r="L20432"/>
    </row>
    <row r="20433" spans="2:12" x14ac:dyDescent="0.2">
      <c r="B20433"/>
      <c r="C20433"/>
      <c r="J20433"/>
      <c r="K20433"/>
      <c r="L20433"/>
    </row>
    <row r="20434" spans="2:12" x14ac:dyDescent="0.2">
      <c r="B20434"/>
      <c r="C20434"/>
      <c r="J20434"/>
      <c r="K20434"/>
      <c r="L20434"/>
    </row>
    <row r="20435" spans="2:12" x14ac:dyDescent="0.2">
      <c r="B20435"/>
      <c r="C20435"/>
      <c r="J20435"/>
      <c r="K20435"/>
      <c r="L20435"/>
    </row>
    <row r="20436" spans="2:12" x14ac:dyDescent="0.2">
      <c r="B20436"/>
      <c r="C20436"/>
      <c r="J20436"/>
      <c r="K20436"/>
      <c r="L20436"/>
    </row>
    <row r="20437" spans="2:12" x14ac:dyDescent="0.2">
      <c r="B20437"/>
      <c r="C20437"/>
      <c r="J20437"/>
      <c r="K20437"/>
      <c r="L20437"/>
    </row>
    <row r="20438" spans="2:12" x14ac:dyDescent="0.2">
      <c r="B20438"/>
      <c r="C20438"/>
      <c r="J20438"/>
      <c r="K20438"/>
      <c r="L20438"/>
    </row>
    <row r="20439" spans="2:12" x14ac:dyDescent="0.2">
      <c r="B20439"/>
      <c r="C20439"/>
      <c r="J20439"/>
      <c r="K20439"/>
      <c r="L20439"/>
    </row>
    <row r="20440" spans="2:12" x14ac:dyDescent="0.2">
      <c r="B20440"/>
      <c r="C20440"/>
      <c r="J20440"/>
      <c r="K20440"/>
      <c r="L20440"/>
    </row>
    <row r="20441" spans="2:12" x14ac:dyDescent="0.2">
      <c r="B20441"/>
      <c r="C20441"/>
      <c r="J20441"/>
      <c r="K20441"/>
      <c r="L20441"/>
    </row>
    <row r="20442" spans="2:12" x14ac:dyDescent="0.2">
      <c r="B20442"/>
      <c r="C20442"/>
      <c r="J20442"/>
      <c r="K20442"/>
      <c r="L20442"/>
    </row>
    <row r="20443" spans="2:12" x14ac:dyDescent="0.2">
      <c r="B20443"/>
      <c r="C20443"/>
      <c r="J20443"/>
      <c r="K20443"/>
      <c r="L20443"/>
    </row>
    <row r="20444" spans="2:12" x14ac:dyDescent="0.2">
      <c r="B20444"/>
      <c r="C20444"/>
      <c r="J20444"/>
      <c r="K20444"/>
      <c r="L20444"/>
    </row>
    <row r="20445" spans="2:12" x14ac:dyDescent="0.2">
      <c r="B20445"/>
      <c r="C20445"/>
      <c r="J20445"/>
      <c r="K20445"/>
      <c r="L20445"/>
    </row>
    <row r="20446" spans="2:12" x14ac:dyDescent="0.2">
      <c r="B20446"/>
      <c r="C20446"/>
      <c r="J20446"/>
      <c r="K20446"/>
      <c r="L20446"/>
    </row>
    <row r="20447" spans="2:12" x14ac:dyDescent="0.2">
      <c r="B20447"/>
      <c r="C20447"/>
      <c r="J20447"/>
      <c r="K20447"/>
      <c r="L20447"/>
    </row>
    <row r="20448" spans="2:12" x14ac:dyDescent="0.2">
      <c r="B20448"/>
      <c r="C20448"/>
      <c r="J20448"/>
      <c r="K20448"/>
      <c r="L20448"/>
    </row>
    <row r="20449" spans="2:12" x14ac:dyDescent="0.2">
      <c r="B20449"/>
      <c r="C20449"/>
      <c r="J20449"/>
      <c r="K20449"/>
      <c r="L20449"/>
    </row>
    <row r="20450" spans="2:12" x14ac:dyDescent="0.2">
      <c r="B20450"/>
      <c r="C20450"/>
      <c r="J20450"/>
      <c r="K20450"/>
      <c r="L20450"/>
    </row>
    <row r="20451" spans="2:12" x14ac:dyDescent="0.2">
      <c r="B20451"/>
      <c r="C20451"/>
      <c r="J20451"/>
      <c r="K20451"/>
      <c r="L20451"/>
    </row>
    <row r="20452" spans="2:12" x14ac:dyDescent="0.2">
      <c r="B20452"/>
      <c r="C20452"/>
      <c r="J20452"/>
      <c r="K20452"/>
      <c r="L20452"/>
    </row>
    <row r="20453" spans="2:12" x14ac:dyDescent="0.2">
      <c r="B20453"/>
      <c r="C20453"/>
      <c r="J20453"/>
      <c r="K20453"/>
      <c r="L20453"/>
    </row>
    <row r="20454" spans="2:12" x14ac:dyDescent="0.2">
      <c r="B20454"/>
      <c r="C20454"/>
      <c r="J20454"/>
      <c r="K20454"/>
      <c r="L20454"/>
    </row>
    <row r="20455" spans="2:12" x14ac:dyDescent="0.2">
      <c r="B20455"/>
      <c r="C20455"/>
      <c r="J20455"/>
      <c r="K20455"/>
      <c r="L20455"/>
    </row>
    <row r="20456" spans="2:12" x14ac:dyDescent="0.2">
      <c r="B20456"/>
      <c r="C20456"/>
      <c r="J20456"/>
      <c r="K20456"/>
      <c r="L20456"/>
    </row>
    <row r="20457" spans="2:12" x14ac:dyDescent="0.2">
      <c r="B20457"/>
      <c r="C20457"/>
      <c r="J20457"/>
      <c r="K20457"/>
      <c r="L20457"/>
    </row>
    <row r="20458" spans="2:12" x14ac:dyDescent="0.2">
      <c r="B20458"/>
      <c r="C20458"/>
      <c r="J20458"/>
      <c r="K20458"/>
      <c r="L20458"/>
    </row>
    <row r="20459" spans="2:12" x14ac:dyDescent="0.2">
      <c r="B20459"/>
      <c r="C20459"/>
      <c r="J20459"/>
      <c r="K20459"/>
      <c r="L20459"/>
    </row>
    <row r="20460" spans="2:12" x14ac:dyDescent="0.2">
      <c r="B20460"/>
      <c r="C20460"/>
      <c r="J20460"/>
      <c r="K20460"/>
      <c r="L20460"/>
    </row>
    <row r="20461" spans="2:12" x14ac:dyDescent="0.2">
      <c r="B20461"/>
      <c r="C20461"/>
      <c r="J20461"/>
      <c r="K20461"/>
      <c r="L20461"/>
    </row>
    <row r="20462" spans="2:12" x14ac:dyDescent="0.2">
      <c r="B20462"/>
      <c r="C20462"/>
      <c r="J20462"/>
      <c r="K20462"/>
      <c r="L20462"/>
    </row>
    <row r="20463" spans="2:12" x14ac:dyDescent="0.2">
      <c r="B20463"/>
      <c r="C20463"/>
      <c r="J20463"/>
      <c r="K20463"/>
      <c r="L20463"/>
    </row>
    <row r="20464" spans="2:12" x14ac:dyDescent="0.2">
      <c r="B20464"/>
      <c r="C20464"/>
      <c r="J20464"/>
      <c r="K20464"/>
      <c r="L20464"/>
    </row>
    <row r="20465" spans="2:12" x14ac:dyDescent="0.2">
      <c r="B20465"/>
      <c r="C20465"/>
      <c r="J20465"/>
      <c r="K20465"/>
      <c r="L20465"/>
    </row>
    <row r="20466" spans="2:12" x14ac:dyDescent="0.2">
      <c r="B20466"/>
      <c r="C20466"/>
      <c r="J20466"/>
      <c r="K20466"/>
      <c r="L20466"/>
    </row>
    <row r="20467" spans="2:12" x14ac:dyDescent="0.2">
      <c r="B20467"/>
      <c r="C20467"/>
      <c r="J20467"/>
      <c r="K20467"/>
      <c r="L20467"/>
    </row>
    <row r="20468" spans="2:12" x14ac:dyDescent="0.2">
      <c r="B20468"/>
      <c r="C20468"/>
      <c r="J20468"/>
      <c r="K20468"/>
      <c r="L20468"/>
    </row>
    <row r="20469" spans="2:12" x14ac:dyDescent="0.2">
      <c r="B20469"/>
      <c r="C20469"/>
      <c r="J20469"/>
      <c r="K20469"/>
      <c r="L20469"/>
    </row>
    <row r="20470" spans="2:12" x14ac:dyDescent="0.2">
      <c r="B20470"/>
      <c r="C20470"/>
      <c r="J20470"/>
      <c r="K20470"/>
      <c r="L20470"/>
    </row>
    <row r="20471" spans="2:12" x14ac:dyDescent="0.2">
      <c r="B20471"/>
      <c r="C20471"/>
      <c r="J20471"/>
      <c r="K20471"/>
      <c r="L20471"/>
    </row>
    <row r="20472" spans="2:12" x14ac:dyDescent="0.2">
      <c r="B20472"/>
      <c r="C20472"/>
      <c r="J20472"/>
      <c r="K20472"/>
      <c r="L20472"/>
    </row>
    <row r="20473" spans="2:12" x14ac:dyDescent="0.2">
      <c r="B20473"/>
      <c r="C20473"/>
      <c r="J20473"/>
      <c r="K20473"/>
      <c r="L20473"/>
    </row>
    <row r="20474" spans="2:12" x14ac:dyDescent="0.2">
      <c r="B20474"/>
      <c r="C20474"/>
      <c r="J20474"/>
      <c r="K20474"/>
      <c r="L20474"/>
    </row>
    <row r="20475" spans="2:12" x14ac:dyDescent="0.2">
      <c r="B20475"/>
      <c r="C20475"/>
      <c r="J20475"/>
      <c r="K20475"/>
      <c r="L20475"/>
    </row>
    <row r="20476" spans="2:12" x14ac:dyDescent="0.2">
      <c r="B20476"/>
      <c r="C20476"/>
      <c r="J20476"/>
      <c r="K20476"/>
      <c r="L20476"/>
    </row>
    <row r="20477" spans="2:12" x14ac:dyDescent="0.2">
      <c r="B20477"/>
      <c r="C20477"/>
      <c r="J20477"/>
      <c r="K20477"/>
      <c r="L20477"/>
    </row>
    <row r="20478" spans="2:12" x14ac:dyDescent="0.2">
      <c r="B20478"/>
      <c r="C20478"/>
      <c r="J20478"/>
      <c r="K20478"/>
      <c r="L20478"/>
    </row>
    <row r="20479" spans="2:12" x14ac:dyDescent="0.2">
      <c r="B20479"/>
      <c r="C20479"/>
      <c r="J20479"/>
      <c r="K20479"/>
      <c r="L20479"/>
    </row>
    <row r="20480" spans="2:12" x14ac:dyDescent="0.2">
      <c r="B20480"/>
      <c r="C20480"/>
      <c r="J20480"/>
      <c r="K20480"/>
      <c r="L20480"/>
    </row>
    <row r="20481" spans="2:12" x14ac:dyDescent="0.2">
      <c r="B20481"/>
      <c r="C20481"/>
      <c r="J20481"/>
      <c r="K20481"/>
      <c r="L20481"/>
    </row>
    <row r="20482" spans="2:12" x14ac:dyDescent="0.2">
      <c r="B20482"/>
      <c r="C20482"/>
      <c r="J20482"/>
      <c r="K20482"/>
      <c r="L20482"/>
    </row>
    <row r="20483" spans="2:12" x14ac:dyDescent="0.2">
      <c r="B20483"/>
      <c r="C20483"/>
      <c r="J20483"/>
      <c r="K20483"/>
      <c r="L20483"/>
    </row>
    <row r="20484" spans="2:12" x14ac:dyDescent="0.2">
      <c r="B20484"/>
      <c r="C20484"/>
      <c r="J20484"/>
      <c r="K20484"/>
      <c r="L20484"/>
    </row>
    <row r="20485" spans="2:12" x14ac:dyDescent="0.2">
      <c r="B20485"/>
      <c r="C20485"/>
      <c r="J20485"/>
      <c r="K20485"/>
      <c r="L20485"/>
    </row>
    <row r="20486" spans="2:12" x14ac:dyDescent="0.2">
      <c r="B20486"/>
      <c r="C20486"/>
      <c r="J20486"/>
      <c r="K20486"/>
      <c r="L20486"/>
    </row>
    <row r="20487" spans="2:12" x14ac:dyDescent="0.2">
      <c r="B20487"/>
      <c r="C20487"/>
      <c r="J20487"/>
      <c r="K20487"/>
      <c r="L20487"/>
    </row>
    <row r="20488" spans="2:12" x14ac:dyDescent="0.2">
      <c r="B20488"/>
      <c r="C20488"/>
      <c r="J20488"/>
      <c r="K20488"/>
      <c r="L20488"/>
    </row>
    <row r="20489" spans="2:12" x14ac:dyDescent="0.2">
      <c r="B20489"/>
      <c r="C20489"/>
      <c r="J20489"/>
      <c r="K20489"/>
      <c r="L20489"/>
    </row>
    <row r="20490" spans="2:12" x14ac:dyDescent="0.2">
      <c r="B20490"/>
      <c r="C20490"/>
      <c r="J20490"/>
      <c r="K20490"/>
      <c r="L20490"/>
    </row>
    <row r="20491" spans="2:12" x14ac:dyDescent="0.2">
      <c r="B20491"/>
      <c r="C20491"/>
      <c r="J20491"/>
      <c r="K20491"/>
      <c r="L20491"/>
    </row>
    <row r="20492" spans="2:12" x14ac:dyDescent="0.2">
      <c r="B20492"/>
      <c r="C20492"/>
      <c r="J20492"/>
      <c r="K20492"/>
      <c r="L20492"/>
    </row>
    <row r="20493" spans="2:12" x14ac:dyDescent="0.2">
      <c r="B20493"/>
      <c r="C20493"/>
      <c r="J20493"/>
      <c r="K20493"/>
      <c r="L20493"/>
    </row>
    <row r="20494" spans="2:12" x14ac:dyDescent="0.2">
      <c r="B20494"/>
      <c r="C20494"/>
      <c r="J20494"/>
      <c r="K20494"/>
      <c r="L20494"/>
    </row>
    <row r="20495" spans="2:12" x14ac:dyDescent="0.2">
      <c r="B20495"/>
      <c r="C20495"/>
      <c r="J20495"/>
      <c r="K20495"/>
      <c r="L20495"/>
    </row>
    <row r="20496" spans="2:12" x14ac:dyDescent="0.2">
      <c r="B20496"/>
      <c r="C20496"/>
      <c r="J20496"/>
      <c r="K20496"/>
      <c r="L20496"/>
    </row>
    <row r="20497" spans="2:12" x14ac:dyDescent="0.2">
      <c r="B20497"/>
      <c r="C20497"/>
      <c r="J20497"/>
      <c r="K20497"/>
      <c r="L20497"/>
    </row>
    <row r="20498" spans="2:12" x14ac:dyDescent="0.2">
      <c r="B20498"/>
      <c r="C20498"/>
      <c r="J20498"/>
      <c r="K20498"/>
      <c r="L20498"/>
    </row>
    <row r="20499" spans="2:12" x14ac:dyDescent="0.2">
      <c r="B20499"/>
      <c r="C20499"/>
      <c r="J20499"/>
      <c r="K20499"/>
      <c r="L20499"/>
    </row>
    <row r="20500" spans="2:12" x14ac:dyDescent="0.2">
      <c r="B20500"/>
      <c r="C20500"/>
      <c r="J20500"/>
      <c r="K20500"/>
      <c r="L20500"/>
    </row>
    <row r="20501" spans="2:12" x14ac:dyDescent="0.2">
      <c r="B20501"/>
      <c r="C20501"/>
      <c r="J20501"/>
      <c r="K20501"/>
      <c r="L20501"/>
    </row>
    <row r="20502" spans="2:12" x14ac:dyDescent="0.2">
      <c r="B20502"/>
      <c r="C20502"/>
      <c r="J20502"/>
      <c r="K20502"/>
      <c r="L20502"/>
    </row>
    <row r="20503" spans="2:12" x14ac:dyDescent="0.2">
      <c r="B20503"/>
      <c r="C20503"/>
      <c r="J20503"/>
      <c r="K20503"/>
      <c r="L20503"/>
    </row>
    <row r="20504" spans="2:12" x14ac:dyDescent="0.2">
      <c r="B20504"/>
      <c r="C20504"/>
      <c r="J20504"/>
      <c r="K20504"/>
      <c r="L20504"/>
    </row>
    <row r="20505" spans="2:12" x14ac:dyDescent="0.2">
      <c r="B20505"/>
      <c r="C20505"/>
      <c r="J20505"/>
      <c r="K20505"/>
      <c r="L20505"/>
    </row>
    <row r="20506" spans="2:12" x14ac:dyDescent="0.2">
      <c r="B20506"/>
      <c r="C20506"/>
      <c r="J20506"/>
      <c r="K20506"/>
      <c r="L20506"/>
    </row>
    <row r="20507" spans="2:12" x14ac:dyDescent="0.2">
      <c r="B20507"/>
      <c r="C20507"/>
      <c r="J20507"/>
      <c r="K20507"/>
      <c r="L20507"/>
    </row>
    <row r="20508" spans="2:12" x14ac:dyDescent="0.2">
      <c r="B20508"/>
      <c r="C20508"/>
      <c r="J20508"/>
      <c r="K20508"/>
      <c r="L20508"/>
    </row>
    <row r="20509" spans="2:12" x14ac:dyDescent="0.2">
      <c r="B20509"/>
      <c r="C20509"/>
      <c r="J20509"/>
      <c r="K20509"/>
      <c r="L20509"/>
    </row>
    <row r="20510" spans="2:12" x14ac:dyDescent="0.2">
      <c r="B20510"/>
      <c r="C20510"/>
      <c r="J20510"/>
      <c r="K20510"/>
      <c r="L20510"/>
    </row>
    <row r="20511" spans="2:12" x14ac:dyDescent="0.2">
      <c r="B20511"/>
      <c r="C20511"/>
      <c r="J20511"/>
      <c r="K20511"/>
      <c r="L20511"/>
    </row>
    <row r="20512" spans="2:12" x14ac:dyDescent="0.2">
      <c r="B20512"/>
      <c r="C20512"/>
      <c r="J20512"/>
      <c r="K20512"/>
      <c r="L20512"/>
    </row>
    <row r="20513" spans="2:12" x14ac:dyDescent="0.2">
      <c r="B20513"/>
      <c r="C20513"/>
      <c r="J20513"/>
      <c r="K20513"/>
      <c r="L20513"/>
    </row>
    <row r="20514" spans="2:12" x14ac:dyDescent="0.2">
      <c r="B20514"/>
      <c r="C20514"/>
      <c r="J20514"/>
      <c r="K20514"/>
      <c r="L20514"/>
    </row>
    <row r="20515" spans="2:12" x14ac:dyDescent="0.2">
      <c r="B20515"/>
      <c r="C20515"/>
      <c r="J20515"/>
      <c r="K20515"/>
      <c r="L20515"/>
    </row>
    <row r="20516" spans="2:12" x14ac:dyDescent="0.2">
      <c r="B20516"/>
      <c r="C20516"/>
      <c r="J20516"/>
      <c r="K20516"/>
      <c r="L20516"/>
    </row>
    <row r="20517" spans="2:12" x14ac:dyDescent="0.2">
      <c r="B20517"/>
      <c r="C20517"/>
      <c r="J20517"/>
      <c r="K20517"/>
      <c r="L20517"/>
    </row>
    <row r="20518" spans="2:12" x14ac:dyDescent="0.2">
      <c r="B20518"/>
      <c r="C20518"/>
      <c r="J20518"/>
      <c r="K20518"/>
      <c r="L20518"/>
    </row>
    <row r="20519" spans="2:12" x14ac:dyDescent="0.2">
      <c r="B20519"/>
      <c r="C20519"/>
      <c r="J20519"/>
      <c r="K20519"/>
      <c r="L20519"/>
    </row>
    <row r="20520" spans="2:12" x14ac:dyDescent="0.2">
      <c r="B20520"/>
      <c r="C20520"/>
      <c r="J20520"/>
      <c r="K20520"/>
      <c r="L20520"/>
    </row>
    <row r="20521" spans="2:12" x14ac:dyDescent="0.2">
      <c r="B20521"/>
      <c r="C20521"/>
      <c r="J20521"/>
      <c r="K20521"/>
      <c r="L20521"/>
    </row>
    <row r="20522" spans="2:12" x14ac:dyDescent="0.2">
      <c r="B20522"/>
      <c r="C20522"/>
      <c r="J20522"/>
      <c r="K20522"/>
      <c r="L20522"/>
    </row>
    <row r="20523" spans="2:12" x14ac:dyDescent="0.2">
      <c r="B20523"/>
      <c r="C20523"/>
      <c r="J20523"/>
      <c r="K20523"/>
      <c r="L20523"/>
    </row>
    <row r="20524" spans="2:12" x14ac:dyDescent="0.2">
      <c r="B20524"/>
      <c r="C20524"/>
      <c r="J20524"/>
      <c r="K20524"/>
      <c r="L20524"/>
    </row>
    <row r="20525" spans="2:12" x14ac:dyDescent="0.2">
      <c r="B20525"/>
      <c r="C20525"/>
      <c r="J20525"/>
      <c r="K20525"/>
      <c r="L20525"/>
    </row>
    <row r="20526" spans="2:12" x14ac:dyDescent="0.2">
      <c r="B20526"/>
      <c r="C20526"/>
      <c r="J20526"/>
      <c r="K20526"/>
      <c r="L20526"/>
    </row>
    <row r="20527" spans="2:12" x14ac:dyDescent="0.2">
      <c r="B20527"/>
      <c r="C20527"/>
      <c r="J20527"/>
      <c r="K20527"/>
      <c r="L20527"/>
    </row>
    <row r="20528" spans="2:12" x14ac:dyDescent="0.2">
      <c r="B20528"/>
      <c r="C20528"/>
      <c r="J20528"/>
      <c r="K20528"/>
      <c r="L20528"/>
    </row>
    <row r="20529" spans="2:12" x14ac:dyDescent="0.2">
      <c r="B20529"/>
      <c r="C20529"/>
      <c r="J20529"/>
      <c r="K20529"/>
      <c r="L20529"/>
    </row>
    <row r="20530" spans="2:12" x14ac:dyDescent="0.2">
      <c r="B20530"/>
      <c r="C20530"/>
      <c r="J20530"/>
      <c r="K20530"/>
      <c r="L20530"/>
    </row>
    <row r="20531" spans="2:12" x14ac:dyDescent="0.2">
      <c r="B20531"/>
      <c r="C20531"/>
      <c r="J20531"/>
      <c r="K20531"/>
      <c r="L20531"/>
    </row>
    <row r="20532" spans="2:12" x14ac:dyDescent="0.2">
      <c r="B20532"/>
      <c r="C20532"/>
      <c r="J20532"/>
      <c r="K20532"/>
      <c r="L20532"/>
    </row>
    <row r="20533" spans="2:12" x14ac:dyDescent="0.2">
      <c r="B20533"/>
      <c r="C20533"/>
      <c r="J20533"/>
      <c r="K20533"/>
      <c r="L20533"/>
    </row>
    <row r="20534" spans="2:12" x14ac:dyDescent="0.2">
      <c r="B20534"/>
      <c r="C20534"/>
      <c r="J20534"/>
      <c r="K20534"/>
      <c r="L20534"/>
    </row>
    <row r="20535" spans="2:12" x14ac:dyDescent="0.2">
      <c r="B20535"/>
      <c r="C20535"/>
      <c r="J20535"/>
      <c r="K20535"/>
      <c r="L20535"/>
    </row>
    <row r="20536" spans="2:12" x14ac:dyDescent="0.2">
      <c r="B20536"/>
      <c r="C20536"/>
      <c r="J20536"/>
      <c r="K20536"/>
      <c r="L20536"/>
    </row>
    <row r="20537" spans="2:12" x14ac:dyDescent="0.2">
      <c r="B20537"/>
      <c r="C20537"/>
      <c r="J20537"/>
      <c r="K20537"/>
      <c r="L20537"/>
    </row>
    <row r="20538" spans="2:12" x14ac:dyDescent="0.2">
      <c r="B20538"/>
      <c r="C20538"/>
      <c r="J20538"/>
      <c r="K20538"/>
      <c r="L20538"/>
    </row>
    <row r="20539" spans="2:12" x14ac:dyDescent="0.2">
      <c r="B20539"/>
      <c r="C20539"/>
      <c r="J20539"/>
      <c r="K20539"/>
      <c r="L20539"/>
    </row>
    <row r="20540" spans="2:12" x14ac:dyDescent="0.2">
      <c r="B20540"/>
      <c r="C20540"/>
      <c r="J20540"/>
      <c r="K20540"/>
      <c r="L20540"/>
    </row>
    <row r="20541" spans="2:12" x14ac:dyDescent="0.2">
      <c r="B20541"/>
      <c r="C20541"/>
      <c r="J20541"/>
      <c r="K20541"/>
      <c r="L20541"/>
    </row>
    <row r="20542" spans="2:12" x14ac:dyDescent="0.2">
      <c r="B20542"/>
      <c r="C20542"/>
      <c r="J20542"/>
      <c r="K20542"/>
      <c r="L20542"/>
    </row>
    <row r="20543" spans="2:12" x14ac:dyDescent="0.2">
      <c r="B20543"/>
      <c r="C20543"/>
      <c r="J20543"/>
      <c r="K20543"/>
      <c r="L20543"/>
    </row>
    <row r="20544" spans="2:12" x14ac:dyDescent="0.2">
      <c r="B20544"/>
      <c r="C20544"/>
      <c r="J20544"/>
      <c r="K20544"/>
      <c r="L20544"/>
    </row>
    <row r="20545" spans="2:12" x14ac:dyDescent="0.2">
      <c r="B20545"/>
      <c r="C20545"/>
      <c r="J20545"/>
      <c r="K20545"/>
      <c r="L20545"/>
    </row>
    <row r="20546" spans="2:12" x14ac:dyDescent="0.2">
      <c r="B20546"/>
      <c r="C20546"/>
      <c r="J20546"/>
      <c r="K20546"/>
      <c r="L20546"/>
    </row>
    <row r="20547" spans="2:12" x14ac:dyDescent="0.2">
      <c r="B20547"/>
      <c r="C20547"/>
      <c r="J20547"/>
      <c r="K20547"/>
      <c r="L20547"/>
    </row>
    <row r="20548" spans="2:12" x14ac:dyDescent="0.2">
      <c r="B20548"/>
      <c r="C20548"/>
      <c r="J20548"/>
      <c r="K20548"/>
      <c r="L20548"/>
    </row>
    <row r="20549" spans="2:12" x14ac:dyDescent="0.2">
      <c r="B20549"/>
      <c r="C20549"/>
      <c r="J20549"/>
      <c r="K20549"/>
      <c r="L20549"/>
    </row>
    <row r="20550" spans="2:12" x14ac:dyDescent="0.2">
      <c r="B20550"/>
      <c r="C20550"/>
      <c r="J20550"/>
      <c r="K20550"/>
      <c r="L20550"/>
    </row>
    <row r="20551" spans="2:12" x14ac:dyDescent="0.2">
      <c r="B20551"/>
      <c r="C20551"/>
      <c r="J20551"/>
      <c r="K20551"/>
      <c r="L20551"/>
    </row>
    <row r="20552" spans="2:12" x14ac:dyDescent="0.2">
      <c r="B20552"/>
      <c r="C20552"/>
      <c r="J20552"/>
      <c r="K20552"/>
      <c r="L20552"/>
    </row>
    <row r="20553" spans="2:12" x14ac:dyDescent="0.2">
      <c r="B20553"/>
      <c r="C20553"/>
      <c r="J20553"/>
      <c r="K20553"/>
      <c r="L20553"/>
    </row>
    <row r="20554" spans="2:12" x14ac:dyDescent="0.2">
      <c r="B20554"/>
      <c r="C20554"/>
      <c r="J20554"/>
      <c r="K20554"/>
      <c r="L20554"/>
    </row>
    <row r="20555" spans="2:12" x14ac:dyDescent="0.2">
      <c r="B20555"/>
      <c r="C20555"/>
      <c r="J20555"/>
      <c r="K20555"/>
      <c r="L20555"/>
    </row>
    <row r="20556" spans="2:12" x14ac:dyDescent="0.2">
      <c r="B20556"/>
      <c r="C20556"/>
      <c r="J20556"/>
      <c r="K20556"/>
      <c r="L20556"/>
    </row>
    <row r="20557" spans="2:12" x14ac:dyDescent="0.2">
      <c r="B20557"/>
      <c r="C20557"/>
      <c r="J20557"/>
      <c r="K20557"/>
      <c r="L20557"/>
    </row>
    <row r="20558" spans="2:12" x14ac:dyDescent="0.2">
      <c r="B20558"/>
      <c r="C20558"/>
      <c r="J20558"/>
      <c r="K20558"/>
      <c r="L20558"/>
    </row>
    <row r="20559" spans="2:12" x14ac:dyDescent="0.2">
      <c r="B20559"/>
      <c r="C20559"/>
      <c r="J20559"/>
      <c r="K20559"/>
      <c r="L20559"/>
    </row>
    <row r="20560" spans="2:12" x14ac:dyDescent="0.2">
      <c r="B20560"/>
      <c r="C20560"/>
      <c r="J20560"/>
      <c r="K20560"/>
      <c r="L20560"/>
    </row>
    <row r="20561" spans="2:12" x14ac:dyDescent="0.2">
      <c r="B20561"/>
      <c r="C20561"/>
      <c r="J20561"/>
      <c r="K20561"/>
      <c r="L20561"/>
    </row>
    <row r="20562" spans="2:12" x14ac:dyDescent="0.2">
      <c r="B20562"/>
      <c r="C20562"/>
      <c r="J20562"/>
      <c r="K20562"/>
      <c r="L20562"/>
    </row>
    <row r="20563" spans="2:12" x14ac:dyDescent="0.2">
      <c r="B20563"/>
      <c r="C20563"/>
      <c r="J20563"/>
      <c r="K20563"/>
      <c r="L20563"/>
    </row>
    <row r="20564" spans="2:12" x14ac:dyDescent="0.2">
      <c r="B20564"/>
      <c r="C20564"/>
      <c r="J20564"/>
      <c r="K20564"/>
      <c r="L20564"/>
    </row>
    <row r="20565" spans="2:12" x14ac:dyDescent="0.2">
      <c r="B20565"/>
      <c r="C20565"/>
      <c r="J20565"/>
      <c r="K20565"/>
      <c r="L20565"/>
    </row>
    <row r="20566" spans="2:12" x14ac:dyDescent="0.2">
      <c r="B20566"/>
      <c r="C20566"/>
      <c r="J20566"/>
      <c r="K20566"/>
      <c r="L20566"/>
    </row>
    <row r="20567" spans="2:12" x14ac:dyDescent="0.2">
      <c r="B20567"/>
      <c r="C20567"/>
      <c r="J20567"/>
      <c r="K20567"/>
      <c r="L20567"/>
    </row>
    <row r="20568" spans="2:12" x14ac:dyDescent="0.2">
      <c r="B20568"/>
      <c r="C20568"/>
      <c r="J20568"/>
      <c r="K20568"/>
      <c r="L20568"/>
    </row>
    <row r="20569" spans="2:12" x14ac:dyDescent="0.2">
      <c r="B20569"/>
      <c r="C20569"/>
      <c r="J20569"/>
      <c r="K20569"/>
      <c r="L20569"/>
    </row>
    <row r="20570" spans="2:12" x14ac:dyDescent="0.2">
      <c r="B20570"/>
      <c r="C20570"/>
      <c r="J20570"/>
      <c r="K20570"/>
      <c r="L20570"/>
    </row>
    <row r="20571" spans="2:12" x14ac:dyDescent="0.2">
      <c r="B20571"/>
      <c r="C20571"/>
      <c r="J20571"/>
      <c r="K20571"/>
      <c r="L20571"/>
    </row>
    <row r="20572" spans="2:12" x14ac:dyDescent="0.2">
      <c r="B20572"/>
      <c r="C20572"/>
      <c r="J20572"/>
      <c r="K20572"/>
      <c r="L20572"/>
    </row>
    <row r="20573" spans="2:12" x14ac:dyDescent="0.2">
      <c r="B20573"/>
      <c r="C20573"/>
      <c r="J20573"/>
      <c r="K20573"/>
      <c r="L20573"/>
    </row>
    <row r="20574" spans="2:12" x14ac:dyDescent="0.2">
      <c r="B20574"/>
      <c r="C20574"/>
      <c r="J20574"/>
      <c r="K20574"/>
      <c r="L20574"/>
    </row>
    <row r="20575" spans="2:12" x14ac:dyDescent="0.2">
      <c r="B20575"/>
      <c r="C20575"/>
      <c r="J20575"/>
      <c r="K20575"/>
      <c r="L20575"/>
    </row>
    <row r="20576" spans="2:12" x14ac:dyDescent="0.2">
      <c r="B20576"/>
      <c r="C20576"/>
      <c r="J20576"/>
      <c r="K20576"/>
      <c r="L20576"/>
    </row>
    <row r="20577" spans="2:12" x14ac:dyDescent="0.2">
      <c r="B20577"/>
      <c r="C20577"/>
      <c r="J20577"/>
      <c r="K20577"/>
      <c r="L20577"/>
    </row>
    <row r="20578" spans="2:12" x14ac:dyDescent="0.2">
      <c r="B20578"/>
      <c r="C20578"/>
      <c r="J20578"/>
      <c r="K20578"/>
      <c r="L20578"/>
    </row>
    <row r="20579" spans="2:12" x14ac:dyDescent="0.2">
      <c r="B20579"/>
      <c r="C20579"/>
      <c r="J20579"/>
      <c r="K20579"/>
      <c r="L20579"/>
    </row>
    <row r="20580" spans="2:12" x14ac:dyDescent="0.2">
      <c r="B20580"/>
      <c r="C20580"/>
      <c r="J20580"/>
      <c r="K20580"/>
      <c r="L20580"/>
    </row>
    <row r="20581" spans="2:12" x14ac:dyDescent="0.2">
      <c r="B20581"/>
      <c r="C20581"/>
      <c r="J20581"/>
      <c r="K20581"/>
      <c r="L20581"/>
    </row>
    <row r="20582" spans="2:12" x14ac:dyDescent="0.2">
      <c r="B20582"/>
      <c r="C20582"/>
      <c r="J20582"/>
      <c r="K20582"/>
      <c r="L20582"/>
    </row>
    <row r="20583" spans="2:12" x14ac:dyDescent="0.2">
      <c r="B20583"/>
      <c r="C20583"/>
      <c r="J20583"/>
      <c r="K20583"/>
      <c r="L20583"/>
    </row>
    <row r="20584" spans="2:12" x14ac:dyDescent="0.2">
      <c r="B20584"/>
      <c r="C20584"/>
      <c r="J20584"/>
      <c r="K20584"/>
      <c r="L20584"/>
    </row>
    <row r="20585" spans="2:12" x14ac:dyDescent="0.2">
      <c r="B20585"/>
      <c r="C20585"/>
      <c r="J20585"/>
      <c r="K20585"/>
      <c r="L20585"/>
    </row>
    <row r="20586" spans="2:12" x14ac:dyDescent="0.2">
      <c r="B20586"/>
      <c r="C20586"/>
      <c r="J20586"/>
      <c r="K20586"/>
      <c r="L20586"/>
    </row>
    <row r="20587" spans="2:12" x14ac:dyDescent="0.2">
      <c r="B20587"/>
      <c r="C20587"/>
      <c r="J20587"/>
      <c r="K20587"/>
      <c r="L20587"/>
    </row>
    <row r="20588" spans="2:12" x14ac:dyDescent="0.2">
      <c r="B20588"/>
      <c r="C20588"/>
      <c r="J20588"/>
      <c r="K20588"/>
      <c r="L20588"/>
    </row>
    <row r="20589" spans="2:12" x14ac:dyDescent="0.2">
      <c r="B20589"/>
      <c r="C20589"/>
      <c r="J20589"/>
      <c r="K20589"/>
      <c r="L20589"/>
    </row>
    <row r="20590" spans="2:12" x14ac:dyDescent="0.2">
      <c r="B20590"/>
      <c r="C20590"/>
      <c r="J20590"/>
      <c r="K20590"/>
      <c r="L20590"/>
    </row>
    <row r="20591" spans="2:12" x14ac:dyDescent="0.2">
      <c r="B20591"/>
      <c r="C20591"/>
      <c r="J20591"/>
      <c r="K20591"/>
      <c r="L20591"/>
    </row>
    <row r="20592" spans="2:12" x14ac:dyDescent="0.2">
      <c r="B20592"/>
      <c r="C20592"/>
      <c r="J20592"/>
      <c r="K20592"/>
      <c r="L20592"/>
    </row>
    <row r="20593" spans="2:12" x14ac:dyDescent="0.2">
      <c r="B20593"/>
      <c r="C20593"/>
      <c r="J20593"/>
      <c r="K20593"/>
      <c r="L20593"/>
    </row>
    <row r="20594" spans="2:12" x14ac:dyDescent="0.2">
      <c r="B20594"/>
      <c r="C20594"/>
      <c r="J20594"/>
      <c r="K20594"/>
      <c r="L20594"/>
    </row>
    <row r="20595" spans="2:12" x14ac:dyDescent="0.2">
      <c r="B20595"/>
      <c r="C20595"/>
      <c r="J20595"/>
      <c r="K20595"/>
      <c r="L20595"/>
    </row>
    <row r="20596" spans="2:12" x14ac:dyDescent="0.2">
      <c r="B20596"/>
      <c r="C20596"/>
      <c r="J20596"/>
      <c r="K20596"/>
      <c r="L20596"/>
    </row>
    <row r="20597" spans="2:12" x14ac:dyDescent="0.2">
      <c r="B20597"/>
      <c r="C20597"/>
      <c r="J20597"/>
      <c r="K20597"/>
      <c r="L20597"/>
    </row>
    <row r="20598" spans="2:12" x14ac:dyDescent="0.2">
      <c r="B20598"/>
      <c r="C20598"/>
      <c r="J20598"/>
      <c r="K20598"/>
      <c r="L20598"/>
    </row>
    <row r="20599" spans="2:12" x14ac:dyDescent="0.2">
      <c r="B20599"/>
      <c r="C20599"/>
      <c r="J20599"/>
      <c r="K20599"/>
      <c r="L20599"/>
    </row>
    <row r="20600" spans="2:12" x14ac:dyDescent="0.2">
      <c r="B20600"/>
      <c r="C20600"/>
      <c r="J20600"/>
      <c r="K20600"/>
      <c r="L20600"/>
    </row>
    <row r="20601" spans="2:12" x14ac:dyDescent="0.2">
      <c r="B20601"/>
      <c r="C20601"/>
      <c r="J20601"/>
      <c r="K20601"/>
      <c r="L20601"/>
    </row>
    <row r="20602" spans="2:12" x14ac:dyDescent="0.2">
      <c r="B20602"/>
      <c r="C20602"/>
      <c r="J20602"/>
      <c r="K20602"/>
      <c r="L20602"/>
    </row>
    <row r="20603" spans="2:12" x14ac:dyDescent="0.2">
      <c r="B20603"/>
      <c r="C20603"/>
      <c r="J20603"/>
      <c r="K20603"/>
      <c r="L20603"/>
    </row>
    <row r="20604" spans="2:12" x14ac:dyDescent="0.2">
      <c r="B20604"/>
      <c r="C20604"/>
      <c r="J20604"/>
      <c r="K20604"/>
      <c r="L20604"/>
    </row>
    <row r="20605" spans="2:12" x14ac:dyDescent="0.2">
      <c r="B20605"/>
      <c r="C20605"/>
      <c r="J20605"/>
      <c r="K20605"/>
      <c r="L20605"/>
    </row>
    <row r="20606" spans="2:12" x14ac:dyDescent="0.2">
      <c r="B20606"/>
      <c r="C20606"/>
      <c r="J20606"/>
      <c r="K20606"/>
      <c r="L20606"/>
    </row>
    <row r="20607" spans="2:12" x14ac:dyDescent="0.2">
      <c r="B20607"/>
      <c r="C20607"/>
      <c r="J20607"/>
      <c r="K20607"/>
      <c r="L20607"/>
    </row>
    <row r="20608" spans="2:12" x14ac:dyDescent="0.2">
      <c r="B20608"/>
      <c r="C20608"/>
      <c r="J20608"/>
      <c r="K20608"/>
      <c r="L20608"/>
    </row>
    <row r="20609" spans="2:12" x14ac:dyDescent="0.2">
      <c r="B20609"/>
      <c r="C20609"/>
      <c r="J20609"/>
      <c r="K20609"/>
      <c r="L20609"/>
    </row>
    <row r="20610" spans="2:12" x14ac:dyDescent="0.2">
      <c r="B20610"/>
      <c r="C20610"/>
      <c r="J20610"/>
      <c r="K20610"/>
      <c r="L20610"/>
    </row>
    <row r="20611" spans="2:12" x14ac:dyDescent="0.2">
      <c r="B20611"/>
      <c r="C20611"/>
      <c r="J20611"/>
      <c r="K20611"/>
      <c r="L20611"/>
    </row>
    <row r="20612" spans="2:12" x14ac:dyDescent="0.2">
      <c r="B20612"/>
      <c r="C20612"/>
      <c r="J20612"/>
      <c r="K20612"/>
      <c r="L20612"/>
    </row>
    <row r="20613" spans="2:12" x14ac:dyDescent="0.2">
      <c r="B20613"/>
      <c r="C20613"/>
      <c r="J20613"/>
      <c r="K20613"/>
      <c r="L20613"/>
    </row>
    <row r="20614" spans="2:12" x14ac:dyDescent="0.2">
      <c r="B20614"/>
      <c r="C20614"/>
      <c r="J20614"/>
      <c r="K20614"/>
      <c r="L20614"/>
    </row>
    <row r="20615" spans="2:12" x14ac:dyDescent="0.2">
      <c r="B20615"/>
      <c r="C20615"/>
      <c r="J20615"/>
      <c r="K20615"/>
      <c r="L20615"/>
    </row>
    <row r="20616" spans="2:12" x14ac:dyDescent="0.2">
      <c r="B20616"/>
      <c r="C20616"/>
      <c r="J20616"/>
      <c r="K20616"/>
      <c r="L20616"/>
    </row>
    <row r="20617" spans="2:12" x14ac:dyDescent="0.2">
      <c r="B20617"/>
      <c r="C20617"/>
      <c r="J20617"/>
      <c r="K20617"/>
      <c r="L20617"/>
    </row>
    <row r="20618" spans="2:12" x14ac:dyDescent="0.2">
      <c r="B20618"/>
      <c r="C20618"/>
      <c r="J20618"/>
      <c r="K20618"/>
      <c r="L20618"/>
    </row>
    <row r="20619" spans="2:12" x14ac:dyDescent="0.2">
      <c r="B20619"/>
      <c r="C20619"/>
      <c r="J20619"/>
      <c r="K20619"/>
      <c r="L20619"/>
    </row>
    <row r="20620" spans="2:12" x14ac:dyDescent="0.2">
      <c r="B20620"/>
      <c r="C20620"/>
      <c r="J20620"/>
      <c r="K20620"/>
      <c r="L20620"/>
    </row>
    <row r="20621" spans="2:12" x14ac:dyDescent="0.2">
      <c r="B20621"/>
      <c r="C20621"/>
      <c r="J20621"/>
      <c r="K20621"/>
      <c r="L20621"/>
    </row>
    <row r="20622" spans="2:12" x14ac:dyDescent="0.2">
      <c r="B20622"/>
      <c r="C20622"/>
      <c r="J20622"/>
      <c r="K20622"/>
      <c r="L20622"/>
    </row>
    <row r="20623" spans="2:12" x14ac:dyDescent="0.2">
      <c r="B20623"/>
      <c r="C20623"/>
      <c r="J20623"/>
      <c r="K20623"/>
      <c r="L20623"/>
    </row>
    <row r="20624" spans="2:12" x14ac:dyDescent="0.2">
      <c r="B20624"/>
      <c r="C20624"/>
      <c r="J20624"/>
      <c r="K20624"/>
      <c r="L20624"/>
    </row>
    <row r="20625" spans="2:12" x14ac:dyDescent="0.2">
      <c r="B20625"/>
      <c r="C20625"/>
      <c r="J20625"/>
      <c r="K20625"/>
      <c r="L20625"/>
    </row>
    <row r="20626" spans="2:12" x14ac:dyDescent="0.2">
      <c r="B20626"/>
      <c r="C20626"/>
      <c r="J20626"/>
      <c r="K20626"/>
      <c r="L20626"/>
    </row>
    <row r="20627" spans="2:12" x14ac:dyDescent="0.2">
      <c r="B20627"/>
      <c r="C20627"/>
      <c r="J20627"/>
      <c r="K20627"/>
      <c r="L20627"/>
    </row>
    <row r="20628" spans="2:12" x14ac:dyDescent="0.2">
      <c r="B20628"/>
      <c r="C20628"/>
      <c r="J20628"/>
      <c r="K20628"/>
      <c r="L20628"/>
    </row>
    <row r="20629" spans="2:12" x14ac:dyDescent="0.2">
      <c r="B20629"/>
      <c r="C20629"/>
      <c r="J20629"/>
      <c r="K20629"/>
      <c r="L20629"/>
    </row>
    <row r="20630" spans="2:12" x14ac:dyDescent="0.2">
      <c r="B20630"/>
      <c r="C20630"/>
      <c r="J20630"/>
      <c r="K20630"/>
      <c r="L20630"/>
    </row>
    <row r="20631" spans="2:12" x14ac:dyDescent="0.2">
      <c r="B20631"/>
      <c r="C20631"/>
      <c r="J20631"/>
      <c r="K20631"/>
      <c r="L20631"/>
    </row>
    <row r="20632" spans="2:12" x14ac:dyDescent="0.2">
      <c r="B20632"/>
      <c r="C20632"/>
      <c r="J20632"/>
      <c r="K20632"/>
      <c r="L20632"/>
    </row>
    <row r="20633" spans="2:12" x14ac:dyDescent="0.2">
      <c r="B20633"/>
      <c r="C20633"/>
      <c r="J20633"/>
      <c r="K20633"/>
      <c r="L20633"/>
    </row>
    <row r="20634" spans="2:12" x14ac:dyDescent="0.2">
      <c r="B20634"/>
      <c r="C20634"/>
      <c r="J20634"/>
      <c r="K20634"/>
      <c r="L20634"/>
    </row>
    <row r="20635" spans="2:12" x14ac:dyDescent="0.2">
      <c r="B20635"/>
      <c r="C20635"/>
      <c r="J20635"/>
      <c r="K20635"/>
      <c r="L20635"/>
    </row>
    <row r="20636" spans="2:12" x14ac:dyDescent="0.2">
      <c r="B20636"/>
      <c r="C20636"/>
      <c r="J20636"/>
      <c r="K20636"/>
      <c r="L20636"/>
    </row>
    <row r="20637" spans="2:12" x14ac:dyDescent="0.2">
      <c r="B20637"/>
      <c r="C20637"/>
      <c r="J20637"/>
      <c r="K20637"/>
      <c r="L20637"/>
    </row>
    <row r="20638" spans="2:12" x14ac:dyDescent="0.2">
      <c r="B20638"/>
      <c r="C20638"/>
      <c r="J20638"/>
      <c r="K20638"/>
      <c r="L20638"/>
    </row>
    <row r="20639" spans="2:12" x14ac:dyDescent="0.2">
      <c r="B20639"/>
      <c r="C20639"/>
      <c r="J20639"/>
      <c r="K20639"/>
      <c r="L20639"/>
    </row>
    <row r="20640" spans="2:12" x14ac:dyDescent="0.2">
      <c r="B20640"/>
      <c r="C20640"/>
      <c r="J20640"/>
      <c r="K20640"/>
      <c r="L20640"/>
    </row>
    <row r="20641" spans="2:12" x14ac:dyDescent="0.2">
      <c r="B20641"/>
      <c r="C20641"/>
      <c r="J20641"/>
      <c r="K20641"/>
      <c r="L20641"/>
    </row>
    <row r="20642" spans="2:12" x14ac:dyDescent="0.2">
      <c r="B20642"/>
      <c r="C20642"/>
      <c r="J20642"/>
      <c r="K20642"/>
      <c r="L20642"/>
    </row>
    <row r="20643" spans="2:12" x14ac:dyDescent="0.2">
      <c r="B20643"/>
      <c r="C20643"/>
      <c r="J20643"/>
      <c r="K20643"/>
      <c r="L20643"/>
    </row>
    <row r="20644" spans="2:12" x14ac:dyDescent="0.2">
      <c r="B20644"/>
      <c r="C20644"/>
      <c r="J20644"/>
      <c r="K20644"/>
      <c r="L20644"/>
    </row>
    <row r="20645" spans="2:12" x14ac:dyDescent="0.2">
      <c r="B20645"/>
      <c r="C20645"/>
      <c r="J20645"/>
      <c r="K20645"/>
      <c r="L20645"/>
    </row>
    <row r="20646" spans="2:12" x14ac:dyDescent="0.2">
      <c r="B20646"/>
      <c r="C20646"/>
      <c r="J20646"/>
      <c r="K20646"/>
      <c r="L20646"/>
    </row>
    <row r="20647" spans="2:12" x14ac:dyDescent="0.2">
      <c r="B20647"/>
      <c r="C20647"/>
      <c r="J20647"/>
      <c r="K20647"/>
      <c r="L20647"/>
    </row>
    <row r="20648" spans="2:12" x14ac:dyDescent="0.2">
      <c r="B20648"/>
      <c r="C20648"/>
      <c r="J20648"/>
      <c r="K20648"/>
      <c r="L20648"/>
    </row>
    <row r="20649" spans="2:12" x14ac:dyDescent="0.2">
      <c r="B20649"/>
      <c r="C20649"/>
      <c r="J20649"/>
      <c r="K20649"/>
      <c r="L20649"/>
    </row>
    <row r="20650" spans="2:12" x14ac:dyDescent="0.2">
      <c r="B20650"/>
      <c r="C20650"/>
      <c r="J20650"/>
      <c r="K20650"/>
      <c r="L20650"/>
    </row>
    <row r="20651" spans="2:12" x14ac:dyDescent="0.2">
      <c r="B20651"/>
      <c r="C20651"/>
      <c r="J20651"/>
      <c r="K20651"/>
      <c r="L20651"/>
    </row>
    <row r="20652" spans="2:12" x14ac:dyDescent="0.2">
      <c r="B20652"/>
      <c r="C20652"/>
      <c r="J20652"/>
      <c r="K20652"/>
      <c r="L20652"/>
    </row>
    <row r="20653" spans="2:12" x14ac:dyDescent="0.2">
      <c r="B20653"/>
      <c r="C20653"/>
      <c r="J20653"/>
      <c r="K20653"/>
      <c r="L20653"/>
    </row>
    <row r="20654" spans="2:12" x14ac:dyDescent="0.2">
      <c r="B20654"/>
      <c r="C20654"/>
      <c r="J20654"/>
      <c r="K20654"/>
      <c r="L20654"/>
    </row>
    <row r="20655" spans="2:12" x14ac:dyDescent="0.2">
      <c r="B20655"/>
      <c r="C20655"/>
      <c r="J20655"/>
      <c r="K20655"/>
      <c r="L20655"/>
    </row>
    <row r="20656" spans="2:12" x14ac:dyDescent="0.2">
      <c r="B20656"/>
      <c r="C20656"/>
      <c r="J20656"/>
      <c r="K20656"/>
      <c r="L20656"/>
    </row>
    <row r="20657" spans="2:12" x14ac:dyDescent="0.2">
      <c r="B20657"/>
      <c r="C20657"/>
      <c r="J20657"/>
      <c r="K20657"/>
      <c r="L20657"/>
    </row>
    <row r="20658" spans="2:12" x14ac:dyDescent="0.2">
      <c r="B20658"/>
      <c r="C20658"/>
      <c r="J20658"/>
      <c r="K20658"/>
      <c r="L20658"/>
    </row>
    <row r="20659" spans="2:12" x14ac:dyDescent="0.2">
      <c r="B20659"/>
      <c r="C20659"/>
      <c r="J20659"/>
      <c r="K20659"/>
      <c r="L20659"/>
    </row>
    <row r="20660" spans="2:12" x14ac:dyDescent="0.2">
      <c r="B20660"/>
      <c r="C20660"/>
      <c r="J20660"/>
      <c r="K20660"/>
      <c r="L20660"/>
    </row>
    <row r="20661" spans="2:12" x14ac:dyDescent="0.2">
      <c r="B20661"/>
      <c r="C20661"/>
      <c r="J20661"/>
      <c r="K20661"/>
      <c r="L20661"/>
    </row>
    <row r="20662" spans="2:12" x14ac:dyDescent="0.2">
      <c r="B20662"/>
      <c r="C20662"/>
      <c r="J20662"/>
      <c r="K20662"/>
      <c r="L20662"/>
    </row>
    <row r="20663" spans="2:12" x14ac:dyDescent="0.2">
      <c r="B20663"/>
      <c r="C20663"/>
      <c r="J20663"/>
      <c r="K20663"/>
      <c r="L20663"/>
    </row>
    <row r="20664" spans="2:12" x14ac:dyDescent="0.2">
      <c r="B20664"/>
      <c r="C20664"/>
      <c r="J20664"/>
      <c r="K20664"/>
      <c r="L20664"/>
    </row>
    <row r="20665" spans="2:12" x14ac:dyDescent="0.2">
      <c r="B20665"/>
      <c r="C20665"/>
      <c r="J20665"/>
      <c r="K20665"/>
      <c r="L20665"/>
    </row>
    <row r="20666" spans="2:12" x14ac:dyDescent="0.2">
      <c r="B20666"/>
      <c r="C20666"/>
      <c r="J20666"/>
      <c r="K20666"/>
      <c r="L20666"/>
    </row>
    <row r="20667" spans="2:12" x14ac:dyDescent="0.2">
      <c r="B20667"/>
      <c r="C20667"/>
      <c r="J20667"/>
      <c r="K20667"/>
      <c r="L20667"/>
    </row>
    <row r="20668" spans="2:12" x14ac:dyDescent="0.2">
      <c r="B20668"/>
      <c r="C20668"/>
      <c r="J20668"/>
      <c r="K20668"/>
      <c r="L20668"/>
    </row>
    <row r="20669" spans="2:12" x14ac:dyDescent="0.2">
      <c r="B20669"/>
      <c r="C20669"/>
      <c r="J20669"/>
      <c r="K20669"/>
      <c r="L20669"/>
    </row>
    <row r="20670" spans="2:12" x14ac:dyDescent="0.2">
      <c r="B20670"/>
      <c r="C20670"/>
      <c r="J20670"/>
      <c r="K20670"/>
      <c r="L20670"/>
    </row>
    <row r="20671" spans="2:12" x14ac:dyDescent="0.2">
      <c r="B20671"/>
      <c r="C20671"/>
      <c r="J20671"/>
      <c r="K20671"/>
      <c r="L20671"/>
    </row>
    <row r="20672" spans="2:12" x14ac:dyDescent="0.2">
      <c r="B20672"/>
      <c r="C20672"/>
      <c r="J20672"/>
      <c r="K20672"/>
      <c r="L20672"/>
    </row>
    <row r="20673" spans="2:12" x14ac:dyDescent="0.2">
      <c r="B20673"/>
      <c r="C20673"/>
      <c r="J20673"/>
      <c r="K20673"/>
      <c r="L20673"/>
    </row>
    <row r="20674" spans="2:12" x14ac:dyDescent="0.2">
      <c r="B20674"/>
      <c r="C20674"/>
      <c r="J20674"/>
      <c r="K20674"/>
      <c r="L20674"/>
    </row>
    <row r="20675" spans="2:12" x14ac:dyDescent="0.2">
      <c r="B20675"/>
      <c r="C20675"/>
      <c r="J20675"/>
      <c r="K20675"/>
      <c r="L20675"/>
    </row>
    <row r="20676" spans="2:12" x14ac:dyDescent="0.2">
      <c r="B20676"/>
      <c r="C20676"/>
      <c r="J20676"/>
      <c r="K20676"/>
      <c r="L20676"/>
    </row>
    <row r="20677" spans="2:12" x14ac:dyDescent="0.2">
      <c r="B20677"/>
      <c r="C20677"/>
      <c r="J20677"/>
      <c r="K20677"/>
      <c r="L20677"/>
    </row>
    <row r="20678" spans="2:12" x14ac:dyDescent="0.2">
      <c r="B20678"/>
      <c r="C20678"/>
      <c r="J20678"/>
      <c r="K20678"/>
      <c r="L20678"/>
    </row>
    <row r="20679" spans="2:12" x14ac:dyDescent="0.2">
      <c r="B20679"/>
      <c r="C20679"/>
      <c r="J20679"/>
      <c r="K20679"/>
      <c r="L20679"/>
    </row>
    <row r="20680" spans="2:12" x14ac:dyDescent="0.2">
      <c r="B20680"/>
      <c r="C20680"/>
      <c r="J20680"/>
      <c r="K20680"/>
      <c r="L20680"/>
    </row>
    <row r="20681" spans="2:12" x14ac:dyDescent="0.2">
      <c r="B20681"/>
      <c r="C20681"/>
      <c r="J20681"/>
      <c r="K20681"/>
      <c r="L20681"/>
    </row>
    <row r="20682" spans="2:12" x14ac:dyDescent="0.2">
      <c r="B20682"/>
      <c r="C20682"/>
      <c r="J20682"/>
      <c r="K20682"/>
      <c r="L20682"/>
    </row>
    <row r="20683" spans="2:12" x14ac:dyDescent="0.2">
      <c r="B20683"/>
      <c r="C20683"/>
      <c r="J20683"/>
      <c r="K20683"/>
      <c r="L20683"/>
    </row>
    <row r="20684" spans="2:12" x14ac:dyDescent="0.2">
      <c r="B20684"/>
      <c r="C20684"/>
      <c r="J20684"/>
      <c r="K20684"/>
      <c r="L20684"/>
    </row>
    <row r="20685" spans="2:12" x14ac:dyDescent="0.2">
      <c r="B20685"/>
      <c r="C20685"/>
      <c r="J20685"/>
      <c r="K20685"/>
      <c r="L20685"/>
    </row>
    <row r="20686" spans="2:12" x14ac:dyDescent="0.2">
      <c r="B20686"/>
      <c r="C20686"/>
      <c r="J20686"/>
      <c r="K20686"/>
      <c r="L20686"/>
    </row>
    <row r="20687" spans="2:12" x14ac:dyDescent="0.2">
      <c r="B20687"/>
      <c r="C20687"/>
      <c r="J20687"/>
      <c r="K20687"/>
      <c r="L20687"/>
    </row>
    <row r="20688" spans="2:12" x14ac:dyDescent="0.2">
      <c r="B20688"/>
      <c r="C20688"/>
      <c r="J20688"/>
      <c r="K20688"/>
      <c r="L20688"/>
    </row>
    <row r="20689" spans="2:12" x14ac:dyDescent="0.2">
      <c r="B20689"/>
      <c r="C20689"/>
      <c r="J20689"/>
      <c r="K20689"/>
      <c r="L20689"/>
    </row>
    <row r="20690" spans="2:12" x14ac:dyDescent="0.2">
      <c r="B20690"/>
      <c r="C20690"/>
      <c r="J20690"/>
      <c r="K20690"/>
      <c r="L20690"/>
    </row>
    <row r="20691" spans="2:12" x14ac:dyDescent="0.2">
      <c r="B20691"/>
      <c r="C20691"/>
      <c r="J20691"/>
      <c r="K20691"/>
      <c r="L20691"/>
    </row>
    <row r="20692" spans="2:12" x14ac:dyDescent="0.2">
      <c r="B20692"/>
      <c r="C20692"/>
      <c r="J20692"/>
      <c r="K20692"/>
      <c r="L20692"/>
    </row>
    <row r="20693" spans="2:12" x14ac:dyDescent="0.2">
      <c r="B20693"/>
      <c r="C20693"/>
      <c r="J20693"/>
      <c r="K20693"/>
      <c r="L20693"/>
    </row>
    <row r="20694" spans="2:12" x14ac:dyDescent="0.2">
      <c r="B20694"/>
      <c r="C20694"/>
      <c r="J20694"/>
      <c r="K20694"/>
      <c r="L20694"/>
    </row>
    <row r="20695" spans="2:12" x14ac:dyDescent="0.2">
      <c r="B20695"/>
      <c r="C20695"/>
      <c r="J20695"/>
      <c r="K20695"/>
      <c r="L20695"/>
    </row>
    <row r="20696" spans="2:12" x14ac:dyDescent="0.2">
      <c r="B20696"/>
      <c r="C20696"/>
      <c r="J20696"/>
      <c r="K20696"/>
      <c r="L20696"/>
    </row>
    <row r="20697" spans="2:12" x14ac:dyDescent="0.2">
      <c r="B20697"/>
      <c r="C20697"/>
      <c r="J20697"/>
      <c r="K20697"/>
      <c r="L20697"/>
    </row>
    <row r="20698" spans="2:12" x14ac:dyDescent="0.2">
      <c r="B20698"/>
      <c r="C20698"/>
      <c r="J20698"/>
      <c r="K20698"/>
      <c r="L20698"/>
    </row>
    <row r="20699" spans="2:12" x14ac:dyDescent="0.2">
      <c r="B20699"/>
      <c r="C20699"/>
      <c r="J20699"/>
      <c r="K20699"/>
      <c r="L20699"/>
    </row>
    <row r="20700" spans="2:12" x14ac:dyDescent="0.2">
      <c r="B20700"/>
      <c r="C20700"/>
      <c r="J20700"/>
      <c r="K20700"/>
      <c r="L20700"/>
    </row>
    <row r="20701" spans="2:12" x14ac:dyDescent="0.2">
      <c r="B20701"/>
      <c r="C20701"/>
      <c r="J20701"/>
      <c r="K20701"/>
      <c r="L20701"/>
    </row>
    <row r="20702" spans="2:12" x14ac:dyDescent="0.2">
      <c r="B20702"/>
      <c r="C20702"/>
      <c r="J20702"/>
      <c r="K20702"/>
      <c r="L20702"/>
    </row>
    <row r="20703" spans="2:12" x14ac:dyDescent="0.2">
      <c r="B20703"/>
      <c r="C20703"/>
      <c r="J20703"/>
      <c r="K20703"/>
      <c r="L20703"/>
    </row>
    <row r="20704" spans="2:12" x14ac:dyDescent="0.2">
      <c r="B20704"/>
      <c r="C20704"/>
      <c r="J20704"/>
      <c r="K20704"/>
      <c r="L20704"/>
    </row>
    <row r="20705" spans="2:12" x14ac:dyDescent="0.2">
      <c r="B20705"/>
      <c r="C20705"/>
      <c r="J20705"/>
      <c r="K20705"/>
      <c r="L20705"/>
    </row>
    <row r="20706" spans="2:12" x14ac:dyDescent="0.2">
      <c r="B20706"/>
      <c r="C20706"/>
      <c r="J20706"/>
      <c r="K20706"/>
      <c r="L20706"/>
    </row>
    <row r="20707" spans="2:12" x14ac:dyDescent="0.2">
      <c r="B20707"/>
      <c r="C20707"/>
      <c r="J20707"/>
      <c r="K20707"/>
      <c r="L20707"/>
    </row>
    <row r="20708" spans="2:12" x14ac:dyDescent="0.2">
      <c r="B20708"/>
      <c r="C20708"/>
      <c r="J20708"/>
      <c r="K20708"/>
      <c r="L20708"/>
    </row>
    <row r="20709" spans="2:12" x14ac:dyDescent="0.2">
      <c r="B20709"/>
      <c r="C20709"/>
      <c r="J20709"/>
      <c r="K20709"/>
      <c r="L20709"/>
    </row>
    <row r="20710" spans="2:12" x14ac:dyDescent="0.2">
      <c r="B20710"/>
      <c r="C20710"/>
      <c r="J20710"/>
      <c r="K20710"/>
      <c r="L20710"/>
    </row>
    <row r="20711" spans="2:12" x14ac:dyDescent="0.2">
      <c r="B20711"/>
      <c r="C20711"/>
      <c r="J20711"/>
      <c r="K20711"/>
      <c r="L20711"/>
    </row>
    <row r="20712" spans="2:12" x14ac:dyDescent="0.2">
      <c r="B20712"/>
      <c r="C20712"/>
      <c r="J20712"/>
      <c r="K20712"/>
      <c r="L20712"/>
    </row>
    <row r="20713" spans="2:12" x14ac:dyDescent="0.2">
      <c r="B20713"/>
      <c r="C20713"/>
      <c r="J20713"/>
      <c r="K20713"/>
      <c r="L20713"/>
    </row>
    <row r="20714" spans="2:12" x14ac:dyDescent="0.2">
      <c r="B20714"/>
      <c r="C20714"/>
      <c r="J20714"/>
      <c r="K20714"/>
      <c r="L20714"/>
    </row>
    <row r="20715" spans="2:12" x14ac:dyDescent="0.2">
      <c r="B20715"/>
      <c r="C20715"/>
      <c r="J20715"/>
      <c r="K20715"/>
      <c r="L20715"/>
    </row>
    <row r="20716" spans="2:12" x14ac:dyDescent="0.2">
      <c r="B20716"/>
      <c r="C20716"/>
      <c r="J20716"/>
      <c r="K20716"/>
      <c r="L20716"/>
    </row>
    <row r="20717" spans="2:12" x14ac:dyDescent="0.2">
      <c r="B20717"/>
      <c r="C20717"/>
      <c r="J20717"/>
      <c r="K20717"/>
      <c r="L20717"/>
    </row>
    <row r="20718" spans="2:12" x14ac:dyDescent="0.2">
      <c r="B20718"/>
      <c r="C20718"/>
      <c r="J20718"/>
      <c r="K20718"/>
      <c r="L20718"/>
    </row>
    <row r="20719" spans="2:12" x14ac:dyDescent="0.2">
      <c r="B20719"/>
      <c r="C20719"/>
      <c r="J20719"/>
      <c r="K20719"/>
      <c r="L20719"/>
    </row>
    <row r="20720" spans="2:12" x14ac:dyDescent="0.2">
      <c r="B20720"/>
      <c r="C20720"/>
      <c r="J20720"/>
      <c r="K20720"/>
      <c r="L20720"/>
    </row>
    <row r="20721" spans="2:12" x14ac:dyDescent="0.2">
      <c r="B20721"/>
      <c r="C20721"/>
      <c r="J20721"/>
      <c r="K20721"/>
      <c r="L20721"/>
    </row>
    <row r="20722" spans="2:12" x14ac:dyDescent="0.2">
      <c r="B20722"/>
      <c r="C20722"/>
      <c r="J20722"/>
      <c r="K20722"/>
      <c r="L20722"/>
    </row>
    <row r="20723" spans="2:12" x14ac:dyDescent="0.2">
      <c r="B20723"/>
      <c r="C20723"/>
      <c r="J20723"/>
      <c r="K20723"/>
      <c r="L20723"/>
    </row>
    <row r="20724" spans="2:12" x14ac:dyDescent="0.2">
      <c r="B20724"/>
      <c r="C20724"/>
      <c r="J20724"/>
      <c r="K20724"/>
      <c r="L20724"/>
    </row>
    <row r="20725" spans="2:12" x14ac:dyDescent="0.2">
      <c r="B20725"/>
      <c r="C20725"/>
      <c r="J20725"/>
      <c r="K20725"/>
      <c r="L20725"/>
    </row>
    <row r="20726" spans="2:12" x14ac:dyDescent="0.2">
      <c r="B20726"/>
      <c r="C20726"/>
      <c r="J20726"/>
      <c r="K20726"/>
      <c r="L20726"/>
    </row>
    <row r="20727" spans="2:12" x14ac:dyDescent="0.2">
      <c r="B20727"/>
      <c r="C20727"/>
      <c r="J20727"/>
      <c r="K20727"/>
      <c r="L20727"/>
    </row>
    <row r="20728" spans="2:12" x14ac:dyDescent="0.2">
      <c r="B20728"/>
      <c r="C20728"/>
      <c r="J20728"/>
      <c r="K20728"/>
      <c r="L20728"/>
    </row>
    <row r="20729" spans="2:12" x14ac:dyDescent="0.2">
      <c r="B20729"/>
      <c r="C20729"/>
      <c r="J20729"/>
      <c r="K20729"/>
      <c r="L20729"/>
    </row>
    <row r="20730" spans="2:12" x14ac:dyDescent="0.2">
      <c r="B20730"/>
      <c r="C20730"/>
      <c r="J20730"/>
      <c r="K20730"/>
      <c r="L20730"/>
    </row>
    <row r="20731" spans="2:12" x14ac:dyDescent="0.2">
      <c r="B20731"/>
      <c r="C20731"/>
      <c r="J20731"/>
      <c r="K20731"/>
      <c r="L20731"/>
    </row>
    <row r="20732" spans="2:12" x14ac:dyDescent="0.2">
      <c r="B20732"/>
      <c r="C20732"/>
      <c r="J20732"/>
      <c r="K20732"/>
      <c r="L20732"/>
    </row>
    <row r="20733" spans="2:12" x14ac:dyDescent="0.2">
      <c r="B20733"/>
      <c r="C20733"/>
      <c r="J20733"/>
      <c r="K20733"/>
      <c r="L20733"/>
    </row>
    <row r="20734" spans="2:12" x14ac:dyDescent="0.2">
      <c r="B20734"/>
      <c r="C20734"/>
      <c r="J20734"/>
      <c r="K20734"/>
      <c r="L20734"/>
    </row>
    <row r="20735" spans="2:12" x14ac:dyDescent="0.2">
      <c r="B20735"/>
      <c r="C20735"/>
      <c r="J20735"/>
      <c r="K20735"/>
      <c r="L20735"/>
    </row>
    <row r="20736" spans="2:12" x14ac:dyDescent="0.2">
      <c r="B20736"/>
      <c r="C20736"/>
      <c r="J20736"/>
      <c r="K20736"/>
      <c r="L20736"/>
    </row>
    <row r="20737" spans="2:12" x14ac:dyDescent="0.2">
      <c r="B20737"/>
      <c r="C20737"/>
      <c r="J20737"/>
      <c r="K20737"/>
      <c r="L20737"/>
    </row>
    <row r="20738" spans="2:12" x14ac:dyDescent="0.2">
      <c r="B20738"/>
      <c r="C20738"/>
      <c r="J20738"/>
      <c r="K20738"/>
      <c r="L20738"/>
    </row>
    <row r="20739" spans="2:12" x14ac:dyDescent="0.2">
      <c r="B20739"/>
      <c r="C20739"/>
      <c r="J20739"/>
      <c r="K20739"/>
      <c r="L20739"/>
    </row>
    <row r="20740" spans="2:12" x14ac:dyDescent="0.2">
      <c r="B20740"/>
      <c r="C20740"/>
      <c r="J20740"/>
      <c r="K20740"/>
      <c r="L20740"/>
    </row>
    <row r="20741" spans="2:12" x14ac:dyDescent="0.2">
      <c r="B20741"/>
      <c r="C20741"/>
      <c r="J20741"/>
      <c r="K20741"/>
      <c r="L20741"/>
    </row>
    <row r="20742" spans="2:12" x14ac:dyDescent="0.2">
      <c r="B20742"/>
      <c r="C20742"/>
      <c r="J20742"/>
      <c r="K20742"/>
      <c r="L20742"/>
    </row>
    <row r="20743" spans="2:12" x14ac:dyDescent="0.2">
      <c r="B20743"/>
      <c r="C20743"/>
      <c r="J20743"/>
      <c r="K20743"/>
      <c r="L20743"/>
    </row>
    <row r="20744" spans="2:12" x14ac:dyDescent="0.2">
      <c r="B20744"/>
      <c r="C20744"/>
      <c r="J20744"/>
      <c r="K20744"/>
      <c r="L20744"/>
    </row>
    <row r="20745" spans="2:12" x14ac:dyDescent="0.2">
      <c r="B20745"/>
      <c r="C20745"/>
      <c r="J20745"/>
      <c r="K20745"/>
      <c r="L20745"/>
    </row>
    <row r="20746" spans="2:12" x14ac:dyDescent="0.2">
      <c r="B20746"/>
      <c r="C20746"/>
      <c r="J20746"/>
      <c r="K20746"/>
      <c r="L20746"/>
    </row>
    <row r="20747" spans="2:12" x14ac:dyDescent="0.2">
      <c r="B20747"/>
      <c r="C20747"/>
      <c r="J20747"/>
      <c r="K20747"/>
      <c r="L20747"/>
    </row>
    <row r="20748" spans="2:12" x14ac:dyDescent="0.2">
      <c r="B20748"/>
      <c r="C20748"/>
      <c r="J20748"/>
      <c r="K20748"/>
      <c r="L20748"/>
    </row>
    <row r="20749" spans="2:12" x14ac:dyDescent="0.2">
      <c r="B20749"/>
      <c r="C20749"/>
      <c r="J20749"/>
      <c r="K20749"/>
      <c r="L20749"/>
    </row>
    <row r="20750" spans="2:12" x14ac:dyDescent="0.2">
      <c r="B20750"/>
      <c r="C20750"/>
      <c r="J20750"/>
      <c r="K20750"/>
      <c r="L20750"/>
    </row>
    <row r="20751" spans="2:12" x14ac:dyDescent="0.2">
      <c r="B20751"/>
      <c r="C20751"/>
      <c r="J20751"/>
      <c r="K20751"/>
      <c r="L20751"/>
    </row>
    <row r="20752" spans="2:12" x14ac:dyDescent="0.2">
      <c r="B20752"/>
      <c r="C20752"/>
      <c r="J20752"/>
      <c r="K20752"/>
      <c r="L20752"/>
    </row>
    <row r="20753" spans="2:12" x14ac:dyDescent="0.2">
      <c r="B20753"/>
      <c r="C20753"/>
      <c r="J20753"/>
      <c r="K20753"/>
      <c r="L20753"/>
    </row>
    <row r="20754" spans="2:12" x14ac:dyDescent="0.2">
      <c r="B20754"/>
      <c r="C20754"/>
      <c r="J20754"/>
      <c r="K20754"/>
      <c r="L20754"/>
    </row>
    <row r="20755" spans="2:12" x14ac:dyDescent="0.2">
      <c r="B20755"/>
      <c r="C20755"/>
      <c r="J20755"/>
      <c r="K20755"/>
      <c r="L20755"/>
    </row>
    <row r="20756" spans="2:12" x14ac:dyDescent="0.2">
      <c r="B20756"/>
      <c r="C20756"/>
      <c r="J20756"/>
      <c r="K20756"/>
      <c r="L20756"/>
    </row>
    <row r="20757" spans="2:12" x14ac:dyDescent="0.2">
      <c r="B20757"/>
      <c r="C20757"/>
      <c r="J20757"/>
      <c r="K20757"/>
      <c r="L20757"/>
    </row>
    <row r="20758" spans="2:12" x14ac:dyDescent="0.2">
      <c r="B20758"/>
      <c r="C20758"/>
      <c r="J20758"/>
      <c r="K20758"/>
      <c r="L20758"/>
    </row>
    <row r="20759" spans="2:12" x14ac:dyDescent="0.2">
      <c r="B20759"/>
      <c r="C20759"/>
      <c r="J20759"/>
      <c r="K20759"/>
      <c r="L20759"/>
    </row>
    <row r="20760" spans="2:12" x14ac:dyDescent="0.2">
      <c r="B20760"/>
      <c r="C20760"/>
      <c r="J20760"/>
      <c r="K20760"/>
      <c r="L20760"/>
    </row>
    <row r="20761" spans="2:12" x14ac:dyDescent="0.2">
      <c r="B20761"/>
      <c r="C20761"/>
      <c r="J20761"/>
      <c r="K20761"/>
      <c r="L20761"/>
    </row>
    <row r="20762" spans="2:12" x14ac:dyDescent="0.2">
      <c r="B20762"/>
      <c r="C20762"/>
      <c r="J20762"/>
      <c r="K20762"/>
      <c r="L20762"/>
    </row>
    <row r="20763" spans="2:12" x14ac:dyDescent="0.2">
      <c r="B20763"/>
      <c r="C20763"/>
      <c r="J20763"/>
      <c r="K20763"/>
      <c r="L20763"/>
    </row>
    <row r="20764" spans="2:12" x14ac:dyDescent="0.2">
      <c r="B20764"/>
      <c r="C20764"/>
      <c r="J20764"/>
      <c r="K20764"/>
      <c r="L20764"/>
    </row>
    <row r="20765" spans="2:12" x14ac:dyDescent="0.2">
      <c r="B20765"/>
      <c r="C20765"/>
      <c r="J20765"/>
      <c r="K20765"/>
      <c r="L20765"/>
    </row>
    <row r="20766" spans="2:12" x14ac:dyDescent="0.2">
      <c r="B20766"/>
      <c r="C20766"/>
      <c r="J20766"/>
      <c r="K20766"/>
      <c r="L20766"/>
    </row>
    <row r="20767" spans="2:12" x14ac:dyDescent="0.2">
      <c r="B20767"/>
      <c r="C20767"/>
      <c r="J20767"/>
      <c r="K20767"/>
      <c r="L20767"/>
    </row>
    <row r="20768" spans="2:12" x14ac:dyDescent="0.2">
      <c r="B20768"/>
      <c r="C20768"/>
      <c r="J20768"/>
      <c r="K20768"/>
      <c r="L20768"/>
    </row>
    <row r="20769" spans="2:12" x14ac:dyDescent="0.2">
      <c r="B20769"/>
      <c r="C20769"/>
      <c r="J20769"/>
      <c r="K20769"/>
      <c r="L20769"/>
    </row>
    <row r="20770" spans="2:12" x14ac:dyDescent="0.2">
      <c r="B20770"/>
      <c r="C20770"/>
      <c r="J20770"/>
      <c r="K20770"/>
      <c r="L20770"/>
    </row>
    <row r="20771" spans="2:12" x14ac:dyDescent="0.2">
      <c r="B20771"/>
      <c r="C20771"/>
      <c r="J20771"/>
      <c r="K20771"/>
      <c r="L20771"/>
    </row>
    <row r="20772" spans="2:12" x14ac:dyDescent="0.2">
      <c r="B20772"/>
      <c r="C20772"/>
      <c r="J20772"/>
      <c r="K20772"/>
      <c r="L20772"/>
    </row>
    <row r="20773" spans="2:12" x14ac:dyDescent="0.2">
      <c r="B20773"/>
      <c r="C20773"/>
      <c r="J20773"/>
      <c r="K20773"/>
      <c r="L20773"/>
    </row>
    <row r="20774" spans="2:12" x14ac:dyDescent="0.2">
      <c r="B20774"/>
      <c r="C20774"/>
      <c r="J20774"/>
      <c r="K20774"/>
      <c r="L20774"/>
    </row>
    <row r="20775" spans="2:12" x14ac:dyDescent="0.2">
      <c r="B20775"/>
      <c r="C20775"/>
      <c r="J20775"/>
      <c r="K20775"/>
      <c r="L20775"/>
    </row>
    <row r="20776" spans="2:12" x14ac:dyDescent="0.2">
      <c r="B20776"/>
      <c r="C20776"/>
      <c r="J20776"/>
      <c r="K20776"/>
      <c r="L20776"/>
    </row>
    <row r="20777" spans="2:12" x14ac:dyDescent="0.2">
      <c r="B20777"/>
      <c r="C20777"/>
      <c r="J20777"/>
      <c r="K20777"/>
      <c r="L20777"/>
    </row>
    <row r="20778" spans="2:12" x14ac:dyDescent="0.2">
      <c r="B20778"/>
      <c r="C20778"/>
      <c r="J20778"/>
      <c r="K20778"/>
      <c r="L20778"/>
    </row>
    <row r="20779" spans="2:12" x14ac:dyDescent="0.2">
      <c r="B20779"/>
      <c r="C20779"/>
      <c r="J20779"/>
      <c r="K20779"/>
      <c r="L20779"/>
    </row>
    <row r="20780" spans="2:12" x14ac:dyDescent="0.2">
      <c r="B20780"/>
      <c r="C20780"/>
      <c r="J20780"/>
      <c r="K20780"/>
      <c r="L20780"/>
    </row>
    <row r="20781" spans="2:12" x14ac:dyDescent="0.2">
      <c r="B20781"/>
      <c r="C20781"/>
      <c r="J20781"/>
      <c r="K20781"/>
      <c r="L20781"/>
    </row>
    <row r="20782" spans="2:12" x14ac:dyDescent="0.2">
      <c r="B20782"/>
      <c r="C20782"/>
      <c r="J20782"/>
      <c r="K20782"/>
      <c r="L20782"/>
    </row>
    <row r="20783" spans="2:12" x14ac:dyDescent="0.2">
      <c r="B20783"/>
      <c r="C20783"/>
      <c r="J20783"/>
      <c r="K20783"/>
      <c r="L20783"/>
    </row>
    <row r="20784" spans="2:12" x14ac:dyDescent="0.2">
      <c r="B20784"/>
      <c r="C20784"/>
      <c r="J20784"/>
      <c r="K20784"/>
      <c r="L20784"/>
    </row>
    <row r="20785" spans="2:12" x14ac:dyDescent="0.2">
      <c r="B20785"/>
      <c r="C20785"/>
      <c r="J20785"/>
      <c r="K20785"/>
      <c r="L20785"/>
    </row>
    <row r="20786" spans="2:12" x14ac:dyDescent="0.2">
      <c r="B20786"/>
      <c r="C20786"/>
      <c r="J20786"/>
      <c r="K20786"/>
      <c r="L20786"/>
    </row>
    <row r="20787" spans="2:12" x14ac:dyDescent="0.2">
      <c r="B20787"/>
      <c r="C20787"/>
      <c r="J20787"/>
      <c r="K20787"/>
      <c r="L20787"/>
    </row>
    <row r="20788" spans="2:12" x14ac:dyDescent="0.2">
      <c r="B20788"/>
      <c r="C20788"/>
      <c r="J20788"/>
      <c r="K20788"/>
      <c r="L20788"/>
    </row>
    <row r="20789" spans="2:12" x14ac:dyDescent="0.2">
      <c r="B20789"/>
      <c r="C20789"/>
      <c r="J20789"/>
      <c r="K20789"/>
      <c r="L20789"/>
    </row>
    <row r="20790" spans="2:12" x14ac:dyDescent="0.2">
      <c r="B20790"/>
      <c r="C20790"/>
      <c r="J20790"/>
      <c r="K20790"/>
      <c r="L20790"/>
    </row>
    <row r="20791" spans="2:12" x14ac:dyDescent="0.2">
      <c r="B20791"/>
      <c r="C20791"/>
      <c r="J20791"/>
      <c r="K20791"/>
      <c r="L20791"/>
    </row>
    <row r="20792" spans="2:12" x14ac:dyDescent="0.2">
      <c r="B20792"/>
      <c r="C20792"/>
      <c r="J20792"/>
      <c r="K20792"/>
      <c r="L20792"/>
    </row>
    <row r="20793" spans="2:12" x14ac:dyDescent="0.2">
      <c r="B20793"/>
      <c r="C20793"/>
      <c r="J20793"/>
      <c r="K20793"/>
      <c r="L20793"/>
    </row>
    <row r="20794" spans="2:12" x14ac:dyDescent="0.2">
      <c r="B20794"/>
      <c r="C20794"/>
      <c r="J20794"/>
      <c r="K20794"/>
      <c r="L20794"/>
    </row>
    <row r="20795" spans="2:12" x14ac:dyDescent="0.2">
      <c r="B20795"/>
      <c r="C20795"/>
      <c r="J20795"/>
      <c r="K20795"/>
      <c r="L20795"/>
    </row>
    <row r="20796" spans="2:12" x14ac:dyDescent="0.2">
      <c r="B20796"/>
      <c r="C20796"/>
      <c r="J20796"/>
      <c r="K20796"/>
      <c r="L20796"/>
    </row>
    <row r="20797" spans="2:12" x14ac:dyDescent="0.2">
      <c r="B20797"/>
      <c r="C20797"/>
      <c r="J20797"/>
      <c r="K20797"/>
      <c r="L20797"/>
    </row>
    <row r="20798" spans="2:12" x14ac:dyDescent="0.2">
      <c r="B20798"/>
      <c r="C20798"/>
      <c r="J20798"/>
      <c r="K20798"/>
      <c r="L20798"/>
    </row>
    <row r="20799" spans="2:12" x14ac:dyDescent="0.2">
      <c r="B20799"/>
      <c r="C20799"/>
      <c r="J20799"/>
      <c r="K20799"/>
      <c r="L20799"/>
    </row>
    <row r="20800" spans="2:12" x14ac:dyDescent="0.2">
      <c r="B20800"/>
      <c r="C20800"/>
      <c r="J20800"/>
      <c r="K20800"/>
      <c r="L20800"/>
    </row>
    <row r="20801" spans="2:12" x14ac:dyDescent="0.2">
      <c r="B20801"/>
      <c r="C20801"/>
      <c r="J20801"/>
      <c r="K20801"/>
      <c r="L20801"/>
    </row>
    <row r="20802" spans="2:12" x14ac:dyDescent="0.2">
      <c r="B20802"/>
      <c r="C20802"/>
      <c r="J20802"/>
      <c r="K20802"/>
      <c r="L20802"/>
    </row>
    <row r="20803" spans="2:12" x14ac:dyDescent="0.2">
      <c r="B20803"/>
      <c r="C20803"/>
      <c r="J20803"/>
      <c r="K20803"/>
      <c r="L20803"/>
    </row>
    <row r="20804" spans="2:12" x14ac:dyDescent="0.2">
      <c r="B20804"/>
      <c r="C20804"/>
      <c r="J20804"/>
      <c r="K20804"/>
      <c r="L20804"/>
    </row>
    <row r="20805" spans="2:12" x14ac:dyDescent="0.2">
      <c r="B20805"/>
      <c r="C20805"/>
      <c r="J20805"/>
      <c r="K20805"/>
      <c r="L20805"/>
    </row>
    <row r="20806" spans="2:12" x14ac:dyDescent="0.2">
      <c r="B20806"/>
      <c r="C20806"/>
      <c r="J20806"/>
      <c r="K20806"/>
      <c r="L20806"/>
    </row>
    <row r="20807" spans="2:12" x14ac:dyDescent="0.2">
      <c r="B20807"/>
      <c r="C20807"/>
      <c r="J20807"/>
      <c r="K20807"/>
      <c r="L20807"/>
    </row>
    <row r="20808" spans="2:12" x14ac:dyDescent="0.2">
      <c r="B20808"/>
      <c r="C20808"/>
      <c r="J20808"/>
      <c r="K20808"/>
      <c r="L20808"/>
    </row>
    <row r="20809" spans="2:12" x14ac:dyDescent="0.2">
      <c r="B20809"/>
      <c r="C20809"/>
      <c r="J20809"/>
      <c r="K20809"/>
      <c r="L20809"/>
    </row>
    <row r="20810" spans="2:12" x14ac:dyDescent="0.2">
      <c r="B20810"/>
      <c r="C20810"/>
      <c r="J20810"/>
      <c r="K20810"/>
      <c r="L20810"/>
    </row>
    <row r="20811" spans="2:12" x14ac:dyDescent="0.2">
      <c r="B20811"/>
      <c r="C20811"/>
      <c r="J20811"/>
      <c r="K20811"/>
      <c r="L20811"/>
    </row>
    <row r="20812" spans="2:12" x14ac:dyDescent="0.2">
      <c r="B20812"/>
      <c r="C20812"/>
      <c r="J20812"/>
      <c r="K20812"/>
      <c r="L20812"/>
    </row>
    <row r="20813" spans="2:12" x14ac:dyDescent="0.2">
      <c r="B20813"/>
      <c r="C20813"/>
      <c r="J20813"/>
      <c r="K20813"/>
      <c r="L20813"/>
    </row>
    <row r="20814" spans="2:12" x14ac:dyDescent="0.2">
      <c r="B20814"/>
      <c r="C20814"/>
      <c r="J20814"/>
      <c r="K20814"/>
      <c r="L20814"/>
    </row>
    <row r="20815" spans="2:12" x14ac:dyDescent="0.2">
      <c r="B20815"/>
      <c r="C20815"/>
      <c r="J20815"/>
      <c r="K20815"/>
      <c r="L20815"/>
    </row>
    <row r="20816" spans="2:12" x14ac:dyDescent="0.2">
      <c r="B20816"/>
      <c r="C20816"/>
      <c r="J20816"/>
      <c r="K20816"/>
      <c r="L20816"/>
    </row>
    <row r="20817" spans="2:12" x14ac:dyDescent="0.2">
      <c r="B20817"/>
      <c r="C20817"/>
      <c r="J20817"/>
      <c r="K20817"/>
      <c r="L20817"/>
    </row>
    <row r="20818" spans="2:12" x14ac:dyDescent="0.2">
      <c r="B20818"/>
      <c r="C20818"/>
      <c r="J20818"/>
      <c r="K20818"/>
      <c r="L20818"/>
    </row>
    <row r="20819" spans="2:12" x14ac:dyDescent="0.2">
      <c r="B20819"/>
      <c r="C20819"/>
      <c r="J20819"/>
      <c r="K20819"/>
      <c r="L20819"/>
    </row>
    <row r="20820" spans="2:12" x14ac:dyDescent="0.2">
      <c r="B20820"/>
      <c r="C20820"/>
      <c r="J20820"/>
      <c r="K20820"/>
      <c r="L20820"/>
    </row>
    <row r="20821" spans="2:12" x14ac:dyDescent="0.2">
      <c r="B20821"/>
      <c r="C20821"/>
      <c r="J20821"/>
      <c r="K20821"/>
      <c r="L20821"/>
    </row>
    <row r="20822" spans="2:12" x14ac:dyDescent="0.2">
      <c r="B20822"/>
      <c r="C20822"/>
      <c r="J20822"/>
      <c r="K20822"/>
      <c r="L20822"/>
    </row>
    <row r="20823" spans="2:12" x14ac:dyDescent="0.2">
      <c r="B20823"/>
      <c r="C20823"/>
      <c r="J20823"/>
      <c r="K20823"/>
      <c r="L20823"/>
    </row>
    <row r="20824" spans="2:12" x14ac:dyDescent="0.2">
      <c r="B20824"/>
      <c r="C20824"/>
      <c r="J20824"/>
      <c r="K20824"/>
      <c r="L20824"/>
    </row>
    <row r="20825" spans="2:12" x14ac:dyDescent="0.2">
      <c r="B20825"/>
      <c r="C20825"/>
      <c r="J20825"/>
      <c r="K20825"/>
      <c r="L20825"/>
    </row>
    <row r="20826" spans="2:12" x14ac:dyDescent="0.2">
      <c r="B20826"/>
      <c r="C20826"/>
      <c r="J20826"/>
      <c r="K20826"/>
      <c r="L20826"/>
    </row>
    <row r="20827" spans="2:12" x14ac:dyDescent="0.2">
      <c r="B20827"/>
      <c r="C20827"/>
      <c r="J20827"/>
      <c r="K20827"/>
      <c r="L20827"/>
    </row>
    <row r="20828" spans="2:12" x14ac:dyDescent="0.2">
      <c r="B20828"/>
      <c r="C20828"/>
      <c r="J20828"/>
      <c r="K20828"/>
      <c r="L20828"/>
    </row>
    <row r="20829" spans="2:12" x14ac:dyDescent="0.2">
      <c r="B20829"/>
      <c r="C20829"/>
      <c r="J20829"/>
      <c r="K20829"/>
      <c r="L20829"/>
    </row>
    <row r="20830" spans="2:12" x14ac:dyDescent="0.2">
      <c r="B20830"/>
      <c r="C20830"/>
      <c r="J20830"/>
      <c r="K20830"/>
      <c r="L20830"/>
    </row>
    <row r="20831" spans="2:12" x14ac:dyDescent="0.2">
      <c r="B20831"/>
      <c r="C20831"/>
      <c r="J20831"/>
      <c r="K20831"/>
      <c r="L20831"/>
    </row>
    <row r="20832" spans="2:12" x14ac:dyDescent="0.2">
      <c r="B20832"/>
      <c r="C20832"/>
      <c r="J20832"/>
      <c r="K20832"/>
      <c r="L20832"/>
    </row>
    <row r="20833" spans="2:12" x14ac:dyDescent="0.2">
      <c r="B20833"/>
      <c r="C20833"/>
      <c r="J20833"/>
      <c r="K20833"/>
      <c r="L20833"/>
    </row>
    <row r="20834" spans="2:12" x14ac:dyDescent="0.2">
      <c r="B20834"/>
      <c r="C20834"/>
      <c r="J20834"/>
      <c r="K20834"/>
      <c r="L20834"/>
    </row>
    <row r="20835" spans="2:12" x14ac:dyDescent="0.2">
      <c r="B20835"/>
      <c r="C20835"/>
      <c r="J20835"/>
      <c r="K20835"/>
      <c r="L20835"/>
    </row>
    <row r="20836" spans="2:12" x14ac:dyDescent="0.2">
      <c r="B20836"/>
      <c r="C20836"/>
      <c r="J20836"/>
      <c r="K20836"/>
      <c r="L20836"/>
    </row>
    <row r="20837" spans="2:12" x14ac:dyDescent="0.2">
      <c r="B20837"/>
      <c r="C20837"/>
      <c r="J20837"/>
      <c r="K20837"/>
      <c r="L20837"/>
    </row>
    <row r="20838" spans="2:12" x14ac:dyDescent="0.2">
      <c r="B20838"/>
      <c r="C20838"/>
      <c r="J20838"/>
      <c r="K20838"/>
      <c r="L20838"/>
    </row>
    <row r="20839" spans="2:12" x14ac:dyDescent="0.2">
      <c r="B20839"/>
      <c r="C20839"/>
      <c r="J20839"/>
      <c r="K20839"/>
      <c r="L20839"/>
    </row>
    <row r="20840" spans="2:12" x14ac:dyDescent="0.2">
      <c r="B20840"/>
      <c r="C20840"/>
      <c r="J20840"/>
      <c r="K20840"/>
      <c r="L20840"/>
    </row>
    <row r="20841" spans="2:12" x14ac:dyDescent="0.2">
      <c r="B20841"/>
      <c r="C20841"/>
      <c r="J20841"/>
      <c r="K20841"/>
      <c r="L20841"/>
    </row>
    <row r="20842" spans="2:12" x14ac:dyDescent="0.2">
      <c r="B20842"/>
      <c r="C20842"/>
      <c r="J20842"/>
      <c r="K20842"/>
      <c r="L20842"/>
    </row>
    <row r="20843" spans="2:12" x14ac:dyDescent="0.2">
      <c r="B20843"/>
      <c r="C20843"/>
      <c r="J20843"/>
      <c r="K20843"/>
      <c r="L20843"/>
    </row>
    <row r="20844" spans="2:12" x14ac:dyDescent="0.2">
      <c r="B20844"/>
      <c r="C20844"/>
      <c r="J20844"/>
      <c r="K20844"/>
      <c r="L20844"/>
    </row>
    <row r="20845" spans="2:12" x14ac:dyDescent="0.2">
      <c r="B20845"/>
      <c r="C20845"/>
      <c r="J20845"/>
      <c r="K20845"/>
      <c r="L20845"/>
    </row>
    <row r="20846" spans="2:12" x14ac:dyDescent="0.2">
      <c r="B20846"/>
      <c r="C20846"/>
      <c r="J20846"/>
      <c r="K20846"/>
      <c r="L20846"/>
    </row>
    <row r="20847" spans="2:12" x14ac:dyDescent="0.2">
      <c r="B20847"/>
      <c r="C20847"/>
      <c r="J20847"/>
      <c r="K20847"/>
      <c r="L20847"/>
    </row>
    <row r="20848" spans="2:12" x14ac:dyDescent="0.2">
      <c r="B20848"/>
      <c r="C20848"/>
      <c r="J20848"/>
      <c r="K20848"/>
      <c r="L20848"/>
    </row>
    <row r="20849" spans="2:12" x14ac:dyDescent="0.2">
      <c r="B20849"/>
      <c r="C20849"/>
      <c r="J20849"/>
      <c r="K20849"/>
      <c r="L20849"/>
    </row>
    <row r="20850" spans="2:12" x14ac:dyDescent="0.2">
      <c r="B20850"/>
      <c r="C20850"/>
      <c r="J20850"/>
      <c r="K20850"/>
      <c r="L20850"/>
    </row>
    <row r="20851" spans="2:12" x14ac:dyDescent="0.2">
      <c r="B20851"/>
      <c r="C20851"/>
      <c r="J20851"/>
      <c r="K20851"/>
      <c r="L20851"/>
    </row>
    <row r="20852" spans="2:12" x14ac:dyDescent="0.2">
      <c r="B20852"/>
      <c r="C20852"/>
      <c r="J20852"/>
      <c r="K20852"/>
      <c r="L20852"/>
    </row>
    <row r="20853" spans="2:12" x14ac:dyDescent="0.2">
      <c r="B20853"/>
      <c r="C20853"/>
      <c r="J20853"/>
      <c r="K20853"/>
      <c r="L20853"/>
    </row>
    <row r="20854" spans="2:12" x14ac:dyDescent="0.2">
      <c r="B20854"/>
      <c r="C20854"/>
      <c r="J20854"/>
      <c r="K20854"/>
      <c r="L20854"/>
    </row>
    <row r="20855" spans="2:12" x14ac:dyDescent="0.2">
      <c r="B20855"/>
      <c r="C20855"/>
      <c r="J20855"/>
      <c r="K20855"/>
      <c r="L20855"/>
    </row>
    <row r="20856" spans="2:12" x14ac:dyDescent="0.2">
      <c r="B20856"/>
      <c r="C20856"/>
      <c r="J20856"/>
      <c r="K20856"/>
      <c r="L20856"/>
    </row>
    <row r="20857" spans="2:12" x14ac:dyDescent="0.2">
      <c r="B20857"/>
      <c r="C20857"/>
      <c r="J20857"/>
      <c r="K20857"/>
      <c r="L20857"/>
    </row>
    <row r="20858" spans="2:12" x14ac:dyDescent="0.2">
      <c r="B20858"/>
      <c r="C20858"/>
      <c r="J20858"/>
      <c r="K20858"/>
      <c r="L20858"/>
    </row>
    <row r="20859" spans="2:12" x14ac:dyDescent="0.2">
      <c r="B20859"/>
      <c r="C20859"/>
      <c r="J20859"/>
      <c r="K20859"/>
      <c r="L20859"/>
    </row>
    <row r="20860" spans="2:12" x14ac:dyDescent="0.2">
      <c r="B20860"/>
      <c r="C20860"/>
      <c r="J20860"/>
      <c r="K20860"/>
      <c r="L20860"/>
    </row>
    <row r="20861" spans="2:12" x14ac:dyDescent="0.2">
      <c r="B20861"/>
      <c r="C20861"/>
      <c r="J20861"/>
      <c r="K20861"/>
      <c r="L20861"/>
    </row>
    <row r="20862" spans="2:12" x14ac:dyDescent="0.2">
      <c r="B20862"/>
      <c r="C20862"/>
      <c r="J20862"/>
      <c r="K20862"/>
      <c r="L20862"/>
    </row>
    <row r="20863" spans="2:12" x14ac:dyDescent="0.2">
      <c r="B20863"/>
      <c r="C20863"/>
      <c r="J20863"/>
      <c r="K20863"/>
      <c r="L20863"/>
    </row>
    <row r="20864" spans="2:12" x14ac:dyDescent="0.2">
      <c r="B20864"/>
      <c r="C20864"/>
      <c r="J20864"/>
      <c r="K20864"/>
      <c r="L20864"/>
    </row>
    <row r="20865" spans="2:12" x14ac:dyDescent="0.2">
      <c r="B20865"/>
      <c r="C20865"/>
      <c r="J20865"/>
      <c r="K20865"/>
      <c r="L20865"/>
    </row>
    <row r="20866" spans="2:12" x14ac:dyDescent="0.2">
      <c r="B20866"/>
      <c r="C20866"/>
      <c r="J20866"/>
      <c r="K20866"/>
      <c r="L20866"/>
    </row>
    <row r="20867" spans="2:12" x14ac:dyDescent="0.2">
      <c r="B20867"/>
      <c r="C20867"/>
      <c r="J20867"/>
      <c r="K20867"/>
      <c r="L20867"/>
    </row>
    <row r="20868" spans="2:12" x14ac:dyDescent="0.2">
      <c r="B20868"/>
      <c r="C20868"/>
      <c r="J20868"/>
      <c r="K20868"/>
      <c r="L20868"/>
    </row>
    <row r="20869" spans="2:12" x14ac:dyDescent="0.2">
      <c r="B20869"/>
      <c r="C20869"/>
      <c r="J20869"/>
      <c r="K20869"/>
      <c r="L20869"/>
    </row>
    <row r="20870" spans="2:12" x14ac:dyDescent="0.2">
      <c r="B20870"/>
      <c r="C20870"/>
      <c r="J20870"/>
      <c r="K20870"/>
      <c r="L20870"/>
    </row>
    <row r="20871" spans="2:12" x14ac:dyDescent="0.2">
      <c r="B20871"/>
      <c r="C20871"/>
      <c r="J20871"/>
      <c r="K20871"/>
      <c r="L20871"/>
    </row>
    <row r="20872" spans="2:12" x14ac:dyDescent="0.2">
      <c r="B20872"/>
      <c r="C20872"/>
      <c r="J20872"/>
      <c r="K20872"/>
      <c r="L20872"/>
    </row>
    <row r="20873" spans="2:12" x14ac:dyDescent="0.2">
      <c r="B20873"/>
      <c r="C20873"/>
      <c r="J20873"/>
      <c r="K20873"/>
      <c r="L20873"/>
    </row>
    <row r="20874" spans="2:12" x14ac:dyDescent="0.2">
      <c r="B20874"/>
      <c r="C20874"/>
      <c r="J20874"/>
      <c r="K20874"/>
      <c r="L20874"/>
    </row>
    <row r="20875" spans="2:12" x14ac:dyDescent="0.2">
      <c r="B20875"/>
      <c r="C20875"/>
      <c r="J20875"/>
      <c r="K20875"/>
      <c r="L20875"/>
    </row>
    <row r="20876" spans="2:12" x14ac:dyDescent="0.2">
      <c r="B20876"/>
      <c r="C20876"/>
      <c r="J20876"/>
      <c r="K20876"/>
      <c r="L20876"/>
    </row>
    <row r="20877" spans="2:12" x14ac:dyDescent="0.2">
      <c r="B20877"/>
      <c r="C20877"/>
      <c r="J20877"/>
      <c r="K20877"/>
      <c r="L20877"/>
    </row>
    <row r="20878" spans="2:12" x14ac:dyDescent="0.2">
      <c r="B20878"/>
      <c r="C20878"/>
      <c r="J20878"/>
      <c r="K20878"/>
      <c r="L20878"/>
    </row>
    <row r="20879" spans="2:12" x14ac:dyDescent="0.2">
      <c r="B20879"/>
      <c r="C20879"/>
      <c r="J20879"/>
      <c r="K20879"/>
      <c r="L20879"/>
    </row>
    <row r="20880" spans="2:12" x14ac:dyDescent="0.2">
      <c r="B20880"/>
      <c r="C20880"/>
      <c r="J20880"/>
      <c r="K20880"/>
      <c r="L20880"/>
    </row>
    <row r="20881" spans="2:12" x14ac:dyDescent="0.2">
      <c r="B20881"/>
      <c r="C20881"/>
      <c r="J20881"/>
      <c r="K20881"/>
      <c r="L20881"/>
    </row>
    <row r="20882" spans="2:12" x14ac:dyDescent="0.2">
      <c r="B20882"/>
      <c r="C20882"/>
      <c r="J20882"/>
      <c r="K20882"/>
      <c r="L20882"/>
    </row>
    <row r="20883" spans="2:12" x14ac:dyDescent="0.2">
      <c r="B20883"/>
      <c r="C20883"/>
      <c r="J20883"/>
      <c r="K20883"/>
      <c r="L20883"/>
    </row>
    <row r="20884" spans="2:12" x14ac:dyDescent="0.2">
      <c r="B20884"/>
      <c r="C20884"/>
      <c r="J20884"/>
      <c r="K20884"/>
      <c r="L20884"/>
    </row>
    <row r="20885" spans="2:12" x14ac:dyDescent="0.2">
      <c r="B20885"/>
      <c r="C20885"/>
      <c r="J20885"/>
      <c r="K20885"/>
      <c r="L20885"/>
    </row>
    <row r="20886" spans="2:12" x14ac:dyDescent="0.2">
      <c r="B20886"/>
      <c r="C20886"/>
      <c r="J20886"/>
      <c r="K20886"/>
      <c r="L20886"/>
    </row>
    <row r="20887" spans="2:12" x14ac:dyDescent="0.2">
      <c r="B20887"/>
      <c r="C20887"/>
      <c r="J20887"/>
      <c r="K20887"/>
      <c r="L20887"/>
    </row>
    <row r="20888" spans="2:12" x14ac:dyDescent="0.2">
      <c r="B20888"/>
      <c r="C20888"/>
      <c r="J20888"/>
      <c r="K20888"/>
      <c r="L20888"/>
    </row>
    <row r="20889" spans="2:12" x14ac:dyDescent="0.2">
      <c r="B20889"/>
      <c r="C20889"/>
      <c r="J20889"/>
      <c r="K20889"/>
      <c r="L20889"/>
    </row>
    <row r="20890" spans="2:12" x14ac:dyDescent="0.2">
      <c r="B20890"/>
      <c r="C20890"/>
      <c r="J20890"/>
      <c r="K20890"/>
      <c r="L20890"/>
    </row>
    <row r="20891" spans="2:12" x14ac:dyDescent="0.2">
      <c r="B20891"/>
      <c r="C20891"/>
      <c r="J20891"/>
      <c r="K20891"/>
      <c r="L20891"/>
    </row>
    <row r="20892" spans="2:12" x14ac:dyDescent="0.2">
      <c r="B20892"/>
      <c r="C20892"/>
      <c r="J20892"/>
      <c r="K20892"/>
      <c r="L20892"/>
    </row>
    <row r="20893" spans="2:12" x14ac:dyDescent="0.2">
      <c r="B20893"/>
      <c r="C20893"/>
      <c r="J20893"/>
      <c r="K20893"/>
      <c r="L20893"/>
    </row>
    <row r="20894" spans="2:12" x14ac:dyDescent="0.2">
      <c r="B20894"/>
      <c r="C20894"/>
      <c r="J20894"/>
      <c r="K20894"/>
      <c r="L20894"/>
    </row>
    <row r="20895" spans="2:12" x14ac:dyDescent="0.2">
      <c r="B20895"/>
      <c r="C20895"/>
      <c r="J20895"/>
      <c r="K20895"/>
      <c r="L20895"/>
    </row>
    <row r="20896" spans="2:12" x14ac:dyDescent="0.2">
      <c r="B20896"/>
      <c r="C20896"/>
      <c r="J20896"/>
      <c r="K20896"/>
      <c r="L20896"/>
    </row>
    <row r="20897" spans="2:12" x14ac:dyDescent="0.2">
      <c r="B20897"/>
      <c r="C20897"/>
      <c r="J20897"/>
      <c r="K20897"/>
      <c r="L20897"/>
    </row>
    <row r="20898" spans="2:12" x14ac:dyDescent="0.2">
      <c r="B20898"/>
      <c r="C20898"/>
      <c r="J20898"/>
      <c r="K20898"/>
      <c r="L20898"/>
    </row>
    <row r="20899" spans="2:12" x14ac:dyDescent="0.2">
      <c r="B20899"/>
      <c r="C20899"/>
      <c r="J20899"/>
      <c r="K20899"/>
      <c r="L20899"/>
    </row>
    <row r="20900" spans="2:12" x14ac:dyDescent="0.2">
      <c r="B20900"/>
      <c r="C20900"/>
      <c r="J20900"/>
      <c r="K20900"/>
      <c r="L20900"/>
    </row>
    <row r="20901" spans="2:12" x14ac:dyDescent="0.2">
      <c r="B20901"/>
      <c r="C20901"/>
      <c r="J20901"/>
      <c r="K20901"/>
      <c r="L20901"/>
    </row>
    <row r="20902" spans="2:12" x14ac:dyDescent="0.2">
      <c r="B20902"/>
      <c r="C20902"/>
      <c r="J20902"/>
      <c r="K20902"/>
      <c r="L20902"/>
    </row>
    <row r="20903" spans="2:12" x14ac:dyDescent="0.2">
      <c r="B20903"/>
      <c r="C20903"/>
      <c r="J20903"/>
      <c r="K20903"/>
      <c r="L20903"/>
    </row>
    <row r="20904" spans="2:12" x14ac:dyDescent="0.2">
      <c r="B20904"/>
      <c r="C20904"/>
      <c r="J20904"/>
      <c r="K20904"/>
      <c r="L20904"/>
    </row>
    <row r="20905" spans="2:12" x14ac:dyDescent="0.2">
      <c r="B20905"/>
      <c r="C20905"/>
      <c r="J20905"/>
      <c r="K20905"/>
      <c r="L20905"/>
    </row>
    <row r="20906" spans="2:12" x14ac:dyDescent="0.2">
      <c r="B20906"/>
      <c r="C20906"/>
      <c r="J20906"/>
      <c r="K20906"/>
      <c r="L20906"/>
    </row>
    <row r="20907" spans="2:12" x14ac:dyDescent="0.2">
      <c r="B20907"/>
      <c r="C20907"/>
      <c r="J20907"/>
      <c r="K20907"/>
      <c r="L20907"/>
    </row>
    <row r="20908" spans="2:12" x14ac:dyDescent="0.2">
      <c r="B20908"/>
      <c r="C20908"/>
      <c r="J20908"/>
      <c r="K20908"/>
      <c r="L20908"/>
    </row>
    <row r="20909" spans="2:12" x14ac:dyDescent="0.2">
      <c r="B20909"/>
      <c r="C20909"/>
      <c r="J20909"/>
      <c r="K20909"/>
      <c r="L20909"/>
    </row>
    <row r="20910" spans="2:12" x14ac:dyDescent="0.2">
      <c r="B20910"/>
      <c r="C20910"/>
      <c r="J20910"/>
      <c r="K20910"/>
      <c r="L20910"/>
    </row>
    <row r="20911" spans="2:12" x14ac:dyDescent="0.2">
      <c r="B20911"/>
      <c r="C20911"/>
      <c r="J20911"/>
      <c r="K20911"/>
      <c r="L20911"/>
    </row>
    <row r="20912" spans="2:12" x14ac:dyDescent="0.2">
      <c r="B20912"/>
      <c r="C20912"/>
      <c r="J20912"/>
      <c r="K20912"/>
      <c r="L20912"/>
    </row>
    <row r="20913" spans="2:12" x14ac:dyDescent="0.2">
      <c r="B20913"/>
      <c r="C20913"/>
      <c r="J20913"/>
      <c r="K20913"/>
      <c r="L20913"/>
    </row>
    <row r="20914" spans="2:12" x14ac:dyDescent="0.2">
      <c r="B20914"/>
      <c r="C20914"/>
      <c r="J20914"/>
      <c r="K20914"/>
      <c r="L20914"/>
    </row>
    <row r="20915" spans="2:12" x14ac:dyDescent="0.2">
      <c r="B20915"/>
      <c r="C20915"/>
      <c r="J20915"/>
      <c r="K20915"/>
      <c r="L20915"/>
    </row>
    <row r="20916" spans="2:12" x14ac:dyDescent="0.2">
      <c r="B20916"/>
      <c r="C20916"/>
      <c r="J20916"/>
      <c r="K20916"/>
      <c r="L20916"/>
    </row>
    <row r="20917" spans="2:12" x14ac:dyDescent="0.2">
      <c r="B20917"/>
      <c r="C20917"/>
      <c r="J20917"/>
      <c r="K20917"/>
      <c r="L20917"/>
    </row>
    <row r="20918" spans="2:12" x14ac:dyDescent="0.2">
      <c r="B20918"/>
      <c r="C20918"/>
      <c r="J20918"/>
      <c r="K20918"/>
      <c r="L20918"/>
    </row>
    <row r="20919" spans="2:12" x14ac:dyDescent="0.2">
      <c r="B20919"/>
      <c r="C20919"/>
      <c r="J20919"/>
      <c r="K20919"/>
      <c r="L20919"/>
    </row>
    <row r="20920" spans="2:12" x14ac:dyDescent="0.2">
      <c r="B20920"/>
      <c r="C20920"/>
      <c r="J20920"/>
      <c r="K20920"/>
      <c r="L20920"/>
    </row>
    <row r="20921" spans="2:12" x14ac:dyDescent="0.2">
      <c r="B20921"/>
      <c r="C20921"/>
      <c r="J20921"/>
      <c r="K20921"/>
      <c r="L20921"/>
    </row>
    <row r="20922" spans="2:12" x14ac:dyDescent="0.2">
      <c r="B20922"/>
      <c r="C20922"/>
      <c r="J20922"/>
      <c r="K20922"/>
      <c r="L20922"/>
    </row>
    <row r="20923" spans="2:12" x14ac:dyDescent="0.2">
      <c r="B20923"/>
      <c r="C20923"/>
      <c r="J20923"/>
      <c r="K20923"/>
      <c r="L20923"/>
    </row>
    <row r="20924" spans="2:12" x14ac:dyDescent="0.2">
      <c r="B20924"/>
      <c r="C20924"/>
      <c r="J20924"/>
      <c r="K20924"/>
      <c r="L20924"/>
    </row>
    <row r="20925" spans="2:12" x14ac:dyDescent="0.2">
      <c r="B20925"/>
      <c r="C20925"/>
      <c r="J20925"/>
      <c r="K20925"/>
      <c r="L20925"/>
    </row>
    <row r="20926" spans="2:12" x14ac:dyDescent="0.2">
      <c r="B20926"/>
      <c r="C20926"/>
      <c r="J20926"/>
      <c r="K20926"/>
      <c r="L20926"/>
    </row>
    <row r="20927" spans="2:12" x14ac:dyDescent="0.2">
      <c r="B20927"/>
      <c r="C20927"/>
      <c r="J20927"/>
      <c r="K20927"/>
      <c r="L20927"/>
    </row>
    <row r="20928" spans="2:12" x14ac:dyDescent="0.2">
      <c r="B20928"/>
      <c r="C20928"/>
      <c r="J20928"/>
      <c r="K20928"/>
      <c r="L20928"/>
    </row>
    <row r="20929" spans="2:12" x14ac:dyDescent="0.2">
      <c r="B20929"/>
      <c r="C20929"/>
      <c r="J20929"/>
      <c r="K20929"/>
      <c r="L20929"/>
    </row>
    <row r="20930" spans="2:12" x14ac:dyDescent="0.2">
      <c r="B20930"/>
      <c r="C20930"/>
      <c r="J20930"/>
      <c r="K20930"/>
      <c r="L20930"/>
    </row>
    <row r="20931" spans="2:12" x14ac:dyDescent="0.2">
      <c r="B20931"/>
      <c r="C20931"/>
      <c r="J20931"/>
      <c r="K20931"/>
      <c r="L20931"/>
    </row>
    <row r="20932" spans="2:12" x14ac:dyDescent="0.2">
      <c r="B20932"/>
      <c r="C20932"/>
      <c r="J20932"/>
      <c r="K20932"/>
      <c r="L20932"/>
    </row>
    <row r="20933" spans="2:12" x14ac:dyDescent="0.2">
      <c r="B20933"/>
      <c r="C20933"/>
      <c r="J20933"/>
      <c r="K20933"/>
      <c r="L20933"/>
    </row>
    <row r="20934" spans="2:12" x14ac:dyDescent="0.2">
      <c r="B20934"/>
      <c r="C20934"/>
      <c r="J20934"/>
      <c r="K20934"/>
      <c r="L20934"/>
    </row>
    <row r="20935" spans="2:12" x14ac:dyDescent="0.2">
      <c r="B20935"/>
      <c r="C20935"/>
      <c r="J20935"/>
      <c r="K20935"/>
      <c r="L20935"/>
    </row>
    <row r="20936" spans="2:12" x14ac:dyDescent="0.2">
      <c r="B20936"/>
      <c r="C20936"/>
      <c r="J20936"/>
      <c r="K20936"/>
      <c r="L20936"/>
    </row>
    <row r="20937" spans="2:12" x14ac:dyDescent="0.2">
      <c r="B20937"/>
      <c r="C20937"/>
      <c r="J20937"/>
      <c r="K20937"/>
      <c r="L20937"/>
    </row>
    <row r="20938" spans="2:12" x14ac:dyDescent="0.2">
      <c r="B20938"/>
      <c r="C20938"/>
      <c r="J20938"/>
      <c r="K20938"/>
      <c r="L20938"/>
    </row>
    <row r="20939" spans="2:12" x14ac:dyDescent="0.2">
      <c r="B20939"/>
      <c r="C20939"/>
      <c r="J20939"/>
      <c r="K20939"/>
      <c r="L20939"/>
    </row>
    <row r="20940" spans="2:12" x14ac:dyDescent="0.2">
      <c r="B20940"/>
      <c r="C20940"/>
      <c r="J20940"/>
      <c r="K20940"/>
      <c r="L20940"/>
    </row>
    <row r="20941" spans="2:12" x14ac:dyDescent="0.2">
      <c r="B20941"/>
      <c r="C20941"/>
      <c r="J20941"/>
      <c r="K20941"/>
      <c r="L20941"/>
    </row>
    <row r="20942" spans="2:12" x14ac:dyDescent="0.2">
      <c r="B20942"/>
      <c r="C20942"/>
      <c r="J20942"/>
      <c r="K20942"/>
      <c r="L20942"/>
    </row>
    <row r="20943" spans="2:12" x14ac:dyDescent="0.2">
      <c r="B20943"/>
      <c r="C20943"/>
      <c r="J20943"/>
      <c r="K20943"/>
      <c r="L20943"/>
    </row>
    <row r="20944" spans="2:12" x14ac:dyDescent="0.2">
      <c r="B20944"/>
      <c r="C20944"/>
      <c r="J20944"/>
      <c r="K20944"/>
      <c r="L20944"/>
    </row>
    <row r="20945" spans="2:12" x14ac:dyDescent="0.2">
      <c r="B20945"/>
      <c r="C20945"/>
      <c r="J20945"/>
      <c r="K20945"/>
      <c r="L20945"/>
    </row>
    <row r="20946" spans="2:12" x14ac:dyDescent="0.2">
      <c r="B20946"/>
      <c r="C20946"/>
      <c r="J20946"/>
      <c r="K20946"/>
      <c r="L20946"/>
    </row>
    <row r="20947" spans="2:12" x14ac:dyDescent="0.2">
      <c r="B20947"/>
      <c r="C20947"/>
      <c r="J20947"/>
      <c r="K20947"/>
      <c r="L20947"/>
    </row>
    <row r="20948" spans="2:12" x14ac:dyDescent="0.2">
      <c r="B20948"/>
      <c r="C20948"/>
      <c r="J20948"/>
      <c r="K20948"/>
      <c r="L20948"/>
    </row>
    <row r="20949" spans="2:12" x14ac:dyDescent="0.2">
      <c r="B20949"/>
      <c r="C20949"/>
      <c r="J20949"/>
      <c r="K20949"/>
      <c r="L20949"/>
    </row>
    <row r="20950" spans="2:12" x14ac:dyDescent="0.2">
      <c r="B20950"/>
      <c r="C20950"/>
      <c r="J20950"/>
      <c r="K20950"/>
      <c r="L20950"/>
    </row>
    <row r="20951" spans="2:12" x14ac:dyDescent="0.2">
      <c r="B20951"/>
      <c r="C20951"/>
      <c r="J20951"/>
      <c r="K20951"/>
      <c r="L20951"/>
    </row>
    <row r="20952" spans="2:12" x14ac:dyDescent="0.2">
      <c r="B20952"/>
      <c r="C20952"/>
      <c r="J20952"/>
      <c r="K20952"/>
      <c r="L20952"/>
    </row>
    <row r="20953" spans="2:12" x14ac:dyDescent="0.2">
      <c r="B20953"/>
      <c r="C20953"/>
      <c r="J20953"/>
      <c r="K20953"/>
      <c r="L20953"/>
    </row>
    <row r="20954" spans="2:12" x14ac:dyDescent="0.2">
      <c r="B20954"/>
      <c r="C20954"/>
      <c r="J20954"/>
      <c r="K20954"/>
      <c r="L20954"/>
    </row>
    <row r="20955" spans="2:12" x14ac:dyDescent="0.2">
      <c r="B20955"/>
      <c r="C20955"/>
      <c r="J20955"/>
      <c r="K20955"/>
      <c r="L20955"/>
    </row>
    <row r="20956" spans="2:12" x14ac:dyDescent="0.2">
      <c r="B20956"/>
      <c r="C20956"/>
      <c r="J20956"/>
      <c r="K20956"/>
      <c r="L20956"/>
    </row>
    <row r="20957" spans="2:12" x14ac:dyDescent="0.2">
      <c r="B20957"/>
      <c r="C20957"/>
      <c r="J20957"/>
      <c r="K20957"/>
      <c r="L20957"/>
    </row>
    <row r="20958" spans="2:12" x14ac:dyDescent="0.2">
      <c r="B20958"/>
      <c r="C20958"/>
      <c r="J20958"/>
      <c r="K20958"/>
      <c r="L20958"/>
    </row>
    <row r="20959" spans="2:12" x14ac:dyDescent="0.2">
      <c r="B20959"/>
      <c r="C20959"/>
      <c r="J20959"/>
      <c r="K20959"/>
      <c r="L20959"/>
    </row>
    <row r="20960" spans="2:12" x14ac:dyDescent="0.2">
      <c r="B20960"/>
      <c r="C20960"/>
      <c r="J20960"/>
      <c r="K20960"/>
      <c r="L20960"/>
    </row>
    <row r="20961" spans="2:12" x14ac:dyDescent="0.2">
      <c r="B20961"/>
      <c r="C20961"/>
      <c r="J20961"/>
      <c r="K20961"/>
      <c r="L20961"/>
    </row>
    <row r="20962" spans="2:12" x14ac:dyDescent="0.2">
      <c r="B20962"/>
      <c r="C20962"/>
      <c r="J20962"/>
      <c r="K20962"/>
      <c r="L20962"/>
    </row>
    <row r="20963" spans="2:12" x14ac:dyDescent="0.2">
      <c r="B20963"/>
      <c r="C20963"/>
      <c r="J20963"/>
      <c r="K20963"/>
      <c r="L20963"/>
    </row>
    <row r="20964" spans="2:12" x14ac:dyDescent="0.2">
      <c r="B20964"/>
      <c r="C20964"/>
      <c r="J20964"/>
      <c r="K20964"/>
      <c r="L20964"/>
    </row>
    <row r="20965" spans="2:12" x14ac:dyDescent="0.2">
      <c r="B20965"/>
      <c r="C20965"/>
      <c r="J20965"/>
      <c r="K20965"/>
      <c r="L20965"/>
    </row>
    <row r="20966" spans="2:12" x14ac:dyDescent="0.2">
      <c r="B20966"/>
      <c r="C20966"/>
      <c r="J20966"/>
      <c r="K20966"/>
      <c r="L20966"/>
    </row>
    <row r="20967" spans="2:12" x14ac:dyDescent="0.2">
      <c r="B20967"/>
      <c r="C20967"/>
      <c r="J20967"/>
      <c r="K20967"/>
      <c r="L20967"/>
    </row>
    <row r="20968" spans="2:12" x14ac:dyDescent="0.2">
      <c r="B20968"/>
      <c r="C20968"/>
      <c r="J20968"/>
      <c r="K20968"/>
      <c r="L20968"/>
    </row>
    <row r="20969" spans="2:12" x14ac:dyDescent="0.2">
      <c r="B20969"/>
      <c r="C20969"/>
      <c r="J20969"/>
      <c r="K20969"/>
      <c r="L20969"/>
    </row>
    <row r="20970" spans="2:12" x14ac:dyDescent="0.2">
      <c r="B20970"/>
      <c r="C20970"/>
      <c r="J20970"/>
      <c r="K20970"/>
      <c r="L20970"/>
    </row>
    <row r="20971" spans="2:12" x14ac:dyDescent="0.2">
      <c r="B20971"/>
      <c r="C20971"/>
      <c r="J20971"/>
      <c r="K20971"/>
      <c r="L20971"/>
    </row>
    <row r="20972" spans="2:12" x14ac:dyDescent="0.2">
      <c r="B20972"/>
      <c r="C20972"/>
      <c r="J20972"/>
      <c r="K20972"/>
      <c r="L20972"/>
    </row>
    <row r="20973" spans="2:12" x14ac:dyDescent="0.2">
      <c r="B20973"/>
      <c r="C20973"/>
      <c r="J20973"/>
      <c r="K20973"/>
      <c r="L20973"/>
    </row>
    <row r="20974" spans="2:12" x14ac:dyDescent="0.2">
      <c r="B20974"/>
      <c r="C20974"/>
      <c r="J20974"/>
      <c r="K20974"/>
      <c r="L20974"/>
    </row>
    <row r="20975" spans="2:12" x14ac:dyDescent="0.2">
      <c r="B20975"/>
      <c r="C20975"/>
      <c r="J20975"/>
      <c r="K20975"/>
      <c r="L20975"/>
    </row>
    <row r="20976" spans="2:12" x14ac:dyDescent="0.2">
      <c r="B20976"/>
      <c r="C20976"/>
      <c r="J20976"/>
      <c r="K20976"/>
      <c r="L20976"/>
    </row>
    <row r="20977" spans="2:12" x14ac:dyDescent="0.2">
      <c r="B20977"/>
      <c r="C20977"/>
      <c r="J20977"/>
      <c r="K20977"/>
      <c r="L20977"/>
    </row>
    <row r="20978" spans="2:12" x14ac:dyDescent="0.2">
      <c r="B20978"/>
      <c r="C20978"/>
      <c r="J20978"/>
      <c r="K20978"/>
      <c r="L20978"/>
    </row>
    <row r="20979" spans="2:12" x14ac:dyDescent="0.2">
      <c r="B20979"/>
      <c r="C20979"/>
      <c r="J20979"/>
      <c r="K20979"/>
      <c r="L20979"/>
    </row>
    <row r="20980" spans="2:12" x14ac:dyDescent="0.2">
      <c r="B20980"/>
      <c r="C20980"/>
      <c r="J20980"/>
      <c r="K20980"/>
      <c r="L20980"/>
    </row>
    <row r="20981" spans="2:12" x14ac:dyDescent="0.2">
      <c r="B20981"/>
      <c r="C20981"/>
      <c r="J20981"/>
      <c r="K20981"/>
      <c r="L20981"/>
    </row>
    <row r="20982" spans="2:12" x14ac:dyDescent="0.2">
      <c r="B20982"/>
      <c r="C20982"/>
      <c r="J20982"/>
      <c r="K20982"/>
      <c r="L20982"/>
    </row>
    <row r="20983" spans="2:12" x14ac:dyDescent="0.2">
      <c r="B20983"/>
      <c r="C20983"/>
      <c r="J20983"/>
      <c r="K20983"/>
      <c r="L20983"/>
    </row>
    <row r="20984" spans="2:12" x14ac:dyDescent="0.2">
      <c r="B20984"/>
      <c r="C20984"/>
      <c r="J20984"/>
      <c r="K20984"/>
      <c r="L20984"/>
    </row>
    <row r="20985" spans="2:12" x14ac:dyDescent="0.2">
      <c r="B20985"/>
      <c r="C20985"/>
      <c r="J20985"/>
      <c r="K20985"/>
      <c r="L20985"/>
    </row>
    <row r="20986" spans="2:12" x14ac:dyDescent="0.2">
      <c r="B20986"/>
      <c r="C20986"/>
      <c r="J20986"/>
      <c r="K20986"/>
      <c r="L20986"/>
    </row>
    <row r="20987" spans="2:12" x14ac:dyDescent="0.2">
      <c r="B20987"/>
      <c r="C20987"/>
      <c r="J20987"/>
      <c r="K20987"/>
      <c r="L20987"/>
    </row>
    <row r="20988" spans="2:12" x14ac:dyDescent="0.2">
      <c r="B20988"/>
      <c r="C20988"/>
      <c r="J20988"/>
      <c r="K20988"/>
      <c r="L20988"/>
    </row>
    <row r="20989" spans="2:12" x14ac:dyDescent="0.2">
      <c r="B20989"/>
      <c r="C20989"/>
      <c r="J20989"/>
      <c r="K20989"/>
      <c r="L20989"/>
    </row>
    <row r="20990" spans="2:12" x14ac:dyDescent="0.2">
      <c r="B20990"/>
      <c r="C20990"/>
      <c r="J20990"/>
      <c r="K20990"/>
      <c r="L20990"/>
    </row>
    <row r="20991" spans="2:12" x14ac:dyDescent="0.2">
      <c r="B20991"/>
      <c r="C20991"/>
      <c r="J20991"/>
      <c r="K20991"/>
      <c r="L20991"/>
    </row>
    <row r="20992" spans="2:12" x14ac:dyDescent="0.2">
      <c r="B20992"/>
      <c r="C20992"/>
      <c r="J20992"/>
      <c r="K20992"/>
      <c r="L20992"/>
    </row>
    <row r="20993" spans="2:12" x14ac:dyDescent="0.2">
      <c r="B20993"/>
      <c r="C20993"/>
      <c r="J20993"/>
      <c r="K20993"/>
      <c r="L20993"/>
    </row>
    <row r="20994" spans="2:12" x14ac:dyDescent="0.2">
      <c r="B20994"/>
      <c r="C20994"/>
      <c r="J20994"/>
      <c r="K20994"/>
      <c r="L20994"/>
    </row>
    <row r="20995" spans="2:12" x14ac:dyDescent="0.2">
      <c r="B20995"/>
      <c r="C20995"/>
      <c r="J20995"/>
      <c r="K20995"/>
      <c r="L20995"/>
    </row>
    <row r="20996" spans="2:12" x14ac:dyDescent="0.2">
      <c r="B20996"/>
      <c r="C20996"/>
      <c r="J20996"/>
      <c r="K20996"/>
      <c r="L20996"/>
    </row>
    <row r="20997" spans="2:12" x14ac:dyDescent="0.2">
      <c r="B20997"/>
      <c r="C20997"/>
      <c r="J20997"/>
      <c r="K20997"/>
      <c r="L20997"/>
    </row>
    <row r="20998" spans="2:12" x14ac:dyDescent="0.2">
      <c r="B20998"/>
      <c r="C20998"/>
      <c r="J20998"/>
      <c r="K20998"/>
      <c r="L20998"/>
    </row>
    <row r="20999" spans="2:12" x14ac:dyDescent="0.2">
      <c r="B20999"/>
      <c r="C20999"/>
      <c r="J20999"/>
      <c r="K20999"/>
      <c r="L20999"/>
    </row>
    <row r="21000" spans="2:12" x14ac:dyDescent="0.2">
      <c r="B21000"/>
      <c r="C21000"/>
      <c r="J21000"/>
      <c r="K21000"/>
      <c r="L21000"/>
    </row>
    <row r="21001" spans="2:12" x14ac:dyDescent="0.2">
      <c r="B21001"/>
      <c r="C21001"/>
      <c r="J21001"/>
      <c r="K21001"/>
      <c r="L21001"/>
    </row>
    <row r="21002" spans="2:12" x14ac:dyDescent="0.2">
      <c r="B21002"/>
      <c r="C21002"/>
      <c r="J21002"/>
      <c r="K21002"/>
      <c r="L21002"/>
    </row>
    <row r="21003" spans="2:12" x14ac:dyDescent="0.2">
      <c r="B21003"/>
      <c r="C21003"/>
      <c r="J21003"/>
      <c r="K21003"/>
      <c r="L21003"/>
    </row>
    <row r="21004" spans="2:12" x14ac:dyDescent="0.2">
      <c r="B21004"/>
      <c r="C21004"/>
      <c r="J21004"/>
      <c r="K21004"/>
      <c r="L21004"/>
    </row>
    <row r="21005" spans="2:12" x14ac:dyDescent="0.2">
      <c r="B21005"/>
      <c r="C21005"/>
      <c r="J21005"/>
      <c r="K21005"/>
      <c r="L21005"/>
    </row>
    <row r="21006" spans="2:12" x14ac:dyDescent="0.2">
      <c r="B21006"/>
      <c r="C21006"/>
      <c r="J21006"/>
      <c r="K21006"/>
      <c r="L21006"/>
    </row>
    <row r="21007" spans="2:12" x14ac:dyDescent="0.2">
      <c r="B21007"/>
      <c r="C21007"/>
      <c r="J21007"/>
      <c r="K21007"/>
      <c r="L21007"/>
    </row>
    <row r="21008" spans="2:12" x14ac:dyDescent="0.2">
      <c r="B21008"/>
      <c r="C21008"/>
      <c r="J21008"/>
      <c r="K21008"/>
      <c r="L21008"/>
    </row>
    <row r="21009" spans="2:12" x14ac:dyDescent="0.2">
      <c r="B21009"/>
      <c r="C21009"/>
      <c r="J21009"/>
      <c r="K21009"/>
      <c r="L21009"/>
    </row>
    <row r="21010" spans="2:12" x14ac:dyDescent="0.2">
      <c r="B21010"/>
      <c r="C21010"/>
      <c r="J21010"/>
      <c r="K21010"/>
      <c r="L21010"/>
    </row>
    <row r="21011" spans="2:12" x14ac:dyDescent="0.2">
      <c r="B21011"/>
      <c r="C21011"/>
      <c r="J21011"/>
      <c r="K21011"/>
      <c r="L21011"/>
    </row>
    <row r="21012" spans="2:12" x14ac:dyDescent="0.2">
      <c r="B21012"/>
      <c r="C21012"/>
      <c r="J21012"/>
      <c r="K21012"/>
      <c r="L21012"/>
    </row>
    <row r="21013" spans="2:12" x14ac:dyDescent="0.2">
      <c r="B21013"/>
      <c r="C21013"/>
      <c r="J21013"/>
      <c r="K21013"/>
      <c r="L21013"/>
    </row>
    <row r="21014" spans="2:12" x14ac:dyDescent="0.2">
      <c r="B21014"/>
      <c r="C21014"/>
      <c r="J21014"/>
      <c r="K21014"/>
      <c r="L21014"/>
    </row>
    <row r="21015" spans="2:12" x14ac:dyDescent="0.2">
      <c r="B21015"/>
      <c r="C21015"/>
      <c r="J21015"/>
      <c r="K21015"/>
      <c r="L21015"/>
    </row>
    <row r="21016" spans="2:12" x14ac:dyDescent="0.2">
      <c r="B21016"/>
      <c r="C21016"/>
      <c r="J21016"/>
      <c r="K21016"/>
      <c r="L21016"/>
    </row>
    <row r="21017" spans="2:12" x14ac:dyDescent="0.2">
      <c r="B21017"/>
      <c r="C21017"/>
      <c r="J21017"/>
      <c r="K21017"/>
      <c r="L21017"/>
    </row>
    <row r="21018" spans="2:12" x14ac:dyDescent="0.2">
      <c r="B21018"/>
      <c r="C21018"/>
      <c r="J21018"/>
      <c r="K21018"/>
      <c r="L21018"/>
    </row>
    <row r="21019" spans="2:12" x14ac:dyDescent="0.2">
      <c r="B21019"/>
      <c r="C21019"/>
      <c r="J21019"/>
      <c r="K21019"/>
      <c r="L21019"/>
    </row>
    <row r="21020" spans="2:12" x14ac:dyDescent="0.2">
      <c r="B21020"/>
      <c r="C21020"/>
      <c r="J21020"/>
      <c r="K21020"/>
      <c r="L21020"/>
    </row>
    <row r="21021" spans="2:12" x14ac:dyDescent="0.2">
      <c r="B21021"/>
      <c r="C21021"/>
      <c r="J21021"/>
      <c r="K21021"/>
      <c r="L21021"/>
    </row>
    <row r="21022" spans="2:12" x14ac:dyDescent="0.2">
      <c r="B21022"/>
      <c r="C21022"/>
      <c r="J21022"/>
      <c r="K21022"/>
      <c r="L21022"/>
    </row>
    <row r="21023" spans="2:12" x14ac:dyDescent="0.2">
      <c r="B21023"/>
      <c r="C21023"/>
      <c r="J21023"/>
      <c r="K21023"/>
      <c r="L21023"/>
    </row>
    <row r="21024" spans="2:12" x14ac:dyDescent="0.2">
      <c r="B21024"/>
      <c r="C21024"/>
      <c r="J21024"/>
      <c r="K21024"/>
      <c r="L21024"/>
    </row>
    <row r="21025" spans="2:12" x14ac:dyDescent="0.2">
      <c r="B21025"/>
      <c r="C21025"/>
      <c r="J21025"/>
      <c r="K21025"/>
      <c r="L21025"/>
    </row>
    <row r="21026" spans="2:12" x14ac:dyDescent="0.2">
      <c r="B21026"/>
      <c r="C21026"/>
      <c r="J21026"/>
      <c r="K21026"/>
      <c r="L21026"/>
    </row>
    <row r="21027" spans="2:12" x14ac:dyDescent="0.2">
      <c r="B21027"/>
      <c r="C21027"/>
      <c r="J21027"/>
      <c r="K21027"/>
      <c r="L21027"/>
    </row>
    <row r="21028" spans="2:12" x14ac:dyDescent="0.2">
      <c r="B21028"/>
      <c r="C21028"/>
      <c r="J21028"/>
      <c r="K21028"/>
      <c r="L21028"/>
    </row>
    <row r="21029" spans="2:12" x14ac:dyDescent="0.2">
      <c r="B21029"/>
      <c r="C21029"/>
      <c r="J21029"/>
      <c r="K21029"/>
      <c r="L21029"/>
    </row>
    <row r="21030" spans="2:12" x14ac:dyDescent="0.2">
      <c r="B21030"/>
      <c r="C21030"/>
      <c r="J21030"/>
      <c r="K21030"/>
      <c r="L21030"/>
    </row>
    <row r="21031" spans="2:12" x14ac:dyDescent="0.2">
      <c r="B21031"/>
      <c r="C21031"/>
      <c r="J21031"/>
      <c r="K21031"/>
      <c r="L21031"/>
    </row>
    <row r="21032" spans="2:12" x14ac:dyDescent="0.2">
      <c r="B21032"/>
      <c r="C21032"/>
      <c r="J21032"/>
      <c r="K21032"/>
      <c r="L21032"/>
    </row>
    <row r="21033" spans="2:12" x14ac:dyDescent="0.2">
      <c r="B21033"/>
      <c r="C21033"/>
      <c r="J21033"/>
      <c r="K21033"/>
      <c r="L21033"/>
    </row>
    <row r="21034" spans="2:12" x14ac:dyDescent="0.2">
      <c r="B21034"/>
      <c r="C21034"/>
      <c r="J21034"/>
      <c r="K21034"/>
      <c r="L21034"/>
    </row>
    <row r="21035" spans="2:12" x14ac:dyDescent="0.2">
      <c r="B21035"/>
      <c r="C21035"/>
      <c r="J21035"/>
      <c r="K21035"/>
      <c r="L21035"/>
    </row>
    <row r="21036" spans="2:12" x14ac:dyDescent="0.2">
      <c r="B21036"/>
      <c r="C21036"/>
      <c r="J21036"/>
      <c r="K21036"/>
      <c r="L21036"/>
    </row>
    <row r="21037" spans="2:12" x14ac:dyDescent="0.2">
      <c r="B21037"/>
      <c r="C21037"/>
      <c r="J21037"/>
      <c r="K21037"/>
      <c r="L21037"/>
    </row>
    <row r="21038" spans="2:12" x14ac:dyDescent="0.2">
      <c r="B21038"/>
      <c r="C21038"/>
      <c r="J21038"/>
      <c r="K21038"/>
      <c r="L21038"/>
    </row>
    <row r="21039" spans="2:12" x14ac:dyDescent="0.2">
      <c r="B21039"/>
      <c r="C21039"/>
      <c r="J21039"/>
      <c r="K21039"/>
      <c r="L21039"/>
    </row>
    <row r="21040" spans="2:12" x14ac:dyDescent="0.2">
      <c r="B21040"/>
      <c r="C21040"/>
      <c r="J21040"/>
      <c r="K21040"/>
      <c r="L21040"/>
    </row>
    <row r="21041" spans="2:12" x14ac:dyDescent="0.2">
      <c r="B21041"/>
      <c r="C21041"/>
      <c r="J21041"/>
      <c r="K21041"/>
      <c r="L21041"/>
    </row>
    <row r="21042" spans="2:12" x14ac:dyDescent="0.2">
      <c r="B21042"/>
      <c r="C21042"/>
      <c r="J21042"/>
      <c r="K21042"/>
      <c r="L21042"/>
    </row>
    <row r="21043" spans="2:12" x14ac:dyDescent="0.2">
      <c r="B21043"/>
      <c r="C21043"/>
      <c r="J21043"/>
      <c r="K21043"/>
      <c r="L21043"/>
    </row>
    <row r="21044" spans="2:12" x14ac:dyDescent="0.2">
      <c r="B21044"/>
      <c r="C21044"/>
      <c r="J21044"/>
      <c r="K21044"/>
      <c r="L21044"/>
    </row>
    <row r="21045" spans="2:12" x14ac:dyDescent="0.2">
      <c r="B21045"/>
      <c r="C21045"/>
      <c r="J21045"/>
      <c r="K21045"/>
      <c r="L21045"/>
    </row>
    <row r="21046" spans="2:12" x14ac:dyDescent="0.2">
      <c r="B21046"/>
      <c r="C21046"/>
      <c r="J21046"/>
      <c r="K21046"/>
      <c r="L21046"/>
    </row>
    <row r="21047" spans="2:12" x14ac:dyDescent="0.2">
      <c r="B21047"/>
      <c r="C21047"/>
      <c r="J21047"/>
      <c r="K21047"/>
      <c r="L21047"/>
    </row>
    <row r="21048" spans="2:12" x14ac:dyDescent="0.2">
      <c r="B21048"/>
      <c r="C21048"/>
      <c r="J21048"/>
      <c r="K21048"/>
      <c r="L21048"/>
    </row>
    <row r="21049" spans="2:12" x14ac:dyDescent="0.2">
      <c r="B21049"/>
      <c r="C21049"/>
      <c r="J21049"/>
      <c r="K21049"/>
      <c r="L21049"/>
    </row>
    <row r="21050" spans="2:12" x14ac:dyDescent="0.2">
      <c r="B21050"/>
      <c r="C21050"/>
      <c r="J21050"/>
      <c r="K21050"/>
      <c r="L21050"/>
    </row>
    <row r="21051" spans="2:12" x14ac:dyDescent="0.2">
      <c r="B21051"/>
      <c r="C21051"/>
      <c r="J21051"/>
      <c r="K21051"/>
      <c r="L21051"/>
    </row>
    <row r="21052" spans="2:12" x14ac:dyDescent="0.2">
      <c r="B21052"/>
      <c r="C21052"/>
      <c r="J21052"/>
      <c r="K21052"/>
      <c r="L21052"/>
    </row>
    <row r="21053" spans="2:12" x14ac:dyDescent="0.2">
      <c r="B21053"/>
      <c r="C21053"/>
      <c r="J21053"/>
      <c r="K21053"/>
      <c r="L21053"/>
    </row>
    <row r="21054" spans="2:12" x14ac:dyDescent="0.2">
      <c r="B21054"/>
      <c r="C21054"/>
      <c r="J21054"/>
      <c r="K21054"/>
      <c r="L21054"/>
    </row>
    <row r="21055" spans="2:12" x14ac:dyDescent="0.2">
      <c r="B21055"/>
      <c r="C21055"/>
      <c r="J21055"/>
      <c r="K21055"/>
      <c r="L21055"/>
    </row>
    <row r="21056" spans="2:12" x14ac:dyDescent="0.2">
      <c r="B21056"/>
      <c r="C21056"/>
      <c r="J21056"/>
      <c r="K21056"/>
      <c r="L21056"/>
    </row>
    <row r="21057" spans="2:12" x14ac:dyDescent="0.2">
      <c r="B21057"/>
      <c r="C21057"/>
      <c r="J21057"/>
      <c r="K21057"/>
      <c r="L21057"/>
    </row>
    <row r="21058" spans="2:12" x14ac:dyDescent="0.2">
      <c r="B21058"/>
      <c r="C21058"/>
      <c r="J21058"/>
      <c r="K21058"/>
      <c r="L21058"/>
    </row>
    <row r="21059" spans="2:12" x14ac:dyDescent="0.2">
      <c r="B21059"/>
      <c r="C21059"/>
      <c r="J21059"/>
      <c r="K21059"/>
      <c r="L21059"/>
    </row>
    <row r="21060" spans="2:12" x14ac:dyDescent="0.2">
      <c r="B21060"/>
      <c r="C21060"/>
      <c r="J21060"/>
      <c r="K21060"/>
      <c r="L21060"/>
    </row>
    <row r="21061" spans="2:12" x14ac:dyDescent="0.2">
      <c r="B21061"/>
      <c r="C21061"/>
      <c r="J21061"/>
      <c r="K21061"/>
      <c r="L21061"/>
    </row>
    <row r="21062" spans="2:12" x14ac:dyDescent="0.2">
      <c r="B21062"/>
      <c r="C21062"/>
      <c r="J21062"/>
      <c r="K21062"/>
      <c r="L21062"/>
    </row>
    <row r="21063" spans="2:12" x14ac:dyDescent="0.2">
      <c r="B21063"/>
      <c r="C21063"/>
      <c r="J21063"/>
      <c r="K21063"/>
      <c r="L21063"/>
    </row>
    <row r="21064" spans="2:12" x14ac:dyDescent="0.2">
      <c r="B21064"/>
      <c r="C21064"/>
      <c r="J21064"/>
      <c r="K21064"/>
      <c r="L21064"/>
    </row>
    <row r="21065" spans="2:12" x14ac:dyDescent="0.2">
      <c r="B21065"/>
      <c r="C21065"/>
      <c r="J21065"/>
      <c r="K21065"/>
      <c r="L21065"/>
    </row>
    <row r="21066" spans="2:12" x14ac:dyDescent="0.2">
      <c r="B21066"/>
      <c r="C21066"/>
      <c r="J21066"/>
      <c r="K21066"/>
      <c r="L21066"/>
    </row>
    <row r="21067" spans="2:12" x14ac:dyDescent="0.2">
      <c r="B21067"/>
      <c r="C21067"/>
      <c r="J21067"/>
      <c r="K21067"/>
      <c r="L21067"/>
    </row>
    <row r="21068" spans="2:12" x14ac:dyDescent="0.2">
      <c r="B21068"/>
      <c r="C21068"/>
      <c r="J21068"/>
      <c r="K21068"/>
      <c r="L21068"/>
    </row>
    <row r="21069" spans="2:12" x14ac:dyDescent="0.2">
      <c r="B21069"/>
      <c r="C21069"/>
      <c r="J21069"/>
      <c r="K21069"/>
      <c r="L21069"/>
    </row>
    <row r="21070" spans="2:12" x14ac:dyDescent="0.2">
      <c r="B21070"/>
      <c r="C21070"/>
      <c r="J21070"/>
      <c r="K21070"/>
      <c r="L21070"/>
    </row>
    <row r="21071" spans="2:12" x14ac:dyDescent="0.2">
      <c r="B21071"/>
      <c r="C21071"/>
      <c r="J21071"/>
      <c r="K21071"/>
      <c r="L21071"/>
    </row>
    <row r="21072" spans="2:12" x14ac:dyDescent="0.2">
      <c r="B21072"/>
      <c r="C21072"/>
      <c r="J21072"/>
      <c r="K21072"/>
      <c r="L21072"/>
    </row>
    <row r="21073" spans="2:12" x14ac:dyDescent="0.2">
      <c r="B21073"/>
      <c r="C21073"/>
      <c r="J21073"/>
      <c r="K21073"/>
      <c r="L21073"/>
    </row>
    <row r="21074" spans="2:12" x14ac:dyDescent="0.2">
      <c r="B21074"/>
      <c r="C21074"/>
      <c r="J21074"/>
      <c r="K21074"/>
      <c r="L21074"/>
    </row>
    <row r="21075" spans="2:12" x14ac:dyDescent="0.2">
      <c r="B21075"/>
      <c r="C21075"/>
      <c r="J21075"/>
      <c r="K21075"/>
      <c r="L21075"/>
    </row>
    <row r="21076" spans="2:12" x14ac:dyDescent="0.2">
      <c r="B21076"/>
      <c r="C21076"/>
      <c r="J21076"/>
      <c r="K21076"/>
      <c r="L21076"/>
    </row>
    <row r="21077" spans="2:12" x14ac:dyDescent="0.2">
      <c r="B21077"/>
      <c r="C21077"/>
      <c r="J21077"/>
      <c r="K21077"/>
      <c r="L21077"/>
    </row>
    <row r="21078" spans="2:12" x14ac:dyDescent="0.2">
      <c r="B21078"/>
      <c r="C21078"/>
      <c r="J21078"/>
      <c r="K21078"/>
      <c r="L21078"/>
    </row>
    <row r="21079" spans="2:12" x14ac:dyDescent="0.2">
      <c r="B21079"/>
      <c r="C21079"/>
      <c r="J21079"/>
      <c r="K21079"/>
      <c r="L21079"/>
    </row>
    <row r="21080" spans="2:12" x14ac:dyDescent="0.2">
      <c r="B21080"/>
      <c r="C21080"/>
      <c r="J21080"/>
      <c r="K21080"/>
      <c r="L21080"/>
    </row>
    <row r="21081" spans="2:12" x14ac:dyDescent="0.2">
      <c r="B21081"/>
      <c r="C21081"/>
      <c r="J21081"/>
      <c r="K21081"/>
      <c r="L21081"/>
    </row>
    <row r="21082" spans="2:12" x14ac:dyDescent="0.2">
      <c r="B21082"/>
      <c r="C21082"/>
      <c r="J21082"/>
      <c r="K21082"/>
      <c r="L21082"/>
    </row>
    <row r="21083" spans="2:12" x14ac:dyDescent="0.2">
      <c r="B21083"/>
      <c r="C21083"/>
      <c r="J21083"/>
      <c r="K21083"/>
      <c r="L21083"/>
    </row>
    <row r="21084" spans="2:12" x14ac:dyDescent="0.2">
      <c r="B21084"/>
      <c r="C21084"/>
      <c r="J21084"/>
      <c r="K21084"/>
      <c r="L21084"/>
    </row>
    <row r="21085" spans="2:12" x14ac:dyDescent="0.2">
      <c r="B21085"/>
      <c r="C21085"/>
      <c r="J21085"/>
      <c r="K21085"/>
      <c r="L21085"/>
    </row>
    <row r="21086" spans="2:12" x14ac:dyDescent="0.2">
      <c r="B21086"/>
      <c r="C21086"/>
      <c r="J21086"/>
      <c r="K21086"/>
      <c r="L21086"/>
    </row>
    <row r="21087" spans="2:12" x14ac:dyDescent="0.2">
      <c r="B21087"/>
      <c r="C21087"/>
      <c r="J21087"/>
      <c r="K21087"/>
      <c r="L21087"/>
    </row>
    <row r="21088" spans="2:12" x14ac:dyDescent="0.2">
      <c r="B21088"/>
      <c r="C21088"/>
      <c r="J21088"/>
      <c r="K21088"/>
      <c r="L21088"/>
    </row>
    <row r="21089" spans="2:12" x14ac:dyDescent="0.2">
      <c r="B21089"/>
      <c r="C21089"/>
      <c r="J21089"/>
      <c r="K21089"/>
      <c r="L21089"/>
    </row>
    <row r="21090" spans="2:12" x14ac:dyDescent="0.2">
      <c r="B21090"/>
      <c r="C21090"/>
      <c r="J21090"/>
      <c r="K21090"/>
      <c r="L21090"/>
    </row>
    <row r="21091" spans="2:12" x14ac:dyDescent="0.2">
      <c r="B21091"/>
      <c r="C21091"/>
      <c r="J21091"/>
      <c r="K21091"/>
      <c r="L21091"/>
    </row>
    <row r="21092" spans="2:12" x14ac:dyDescent="0.2">
      <c r="B21092"/>
      <c r="C21092"/>
      <c r="J21092"/>
      <c r="K21092"/>
      <c r="L21092"/>
    </row>
    <row r="21093" spans="2:12" x14ac:dyDescent="0.2">
      <c r="B21093"/>
      <c r="C21093"/>
      <c r="J21093"/>
      <c r="K21093"/>
      <c r="L21093"/>
    </row>
    <row r="21094" spans="2:12" x14ac:dyDescent="0.2">
      <c r="B21094"/>
      <c r="C21094"/>
      <c r="J21094"/>
      <c r="K21094"/>
      <c r="L21094"/>
    </row>
    <row r="21095" spans="2:12" x14ac:dyDescent="0.2">
      <c r="B21095"/>
      <c r="C21095"/>
      <c r="J21095"/>
      <c r="K21095"/>
      <c r="L21095"/>
    </row>
    <row r="21096" spans="2:12" x14ac:dyDescent="0.2">
      <c r="B21096"/>
      <c r="C21096"/>
      <c r="J21096"/>
      <c r="K21096"/>
      <c r="L21096"/>
    </row>
    <row r="21097" spans="2:12" x14ac:dyDescent="0.2">
      <c r="B21097"/>
      <c r="C21097"/>
      <c r="J21097"/>
      <c r="K21097"/>
      <c r="L21097"/>
    </row>
    <row r="21098" spans="2:12" x14ac:dyDescent="0.2">
      <c r="B21098"/>
      <c r="C21098"/>
      <c r="J21098"/>
      <c r="K21098"/>
      <c r="L21098"/>
    </row>
    <row r="21099" spans="2:12" x14ac:dyDescent="0.2">
      <c r="B21099"/>
      <c r="C21099"/>
      <c r="J21099"/>
      <c r="K21099"/>
      <c r="L21099"/>
    </row>
    <row r="21100" spans="2:12" x14ac:dyDescent="0.2">
      <c r="B21100"/>
      <c r="C21100"/>
      <c r="J21100"/>
      <c r="K21100"/>
      <c r="L21100"/>
    </row>
    <row r="21101" spans="2:12" x14ac:dyDescent="0.2">
      <c r="B21101"/>
      <c r="C21101"/>
      <c r="J21101"/>
      <c r="K21101"/>
      <c r="L21101"/>
    </row>
    <row r="21102" spans="2:12" x14ac:dyDescent="0.2">
      <c r="B21102"/>
      <c r="C21102"/>
      <c r="J21102"/>
      <c r="K21102"/>
      <c r="L21102"/>
    </row>
    <row r="21103" spans="2:12" x14ac:dyDescent="0.2">
      <c r="B21103"/>
      <c r="C21103"/>
      <c r="J21103"/>
      <c r="K21103"/>
      <c r="L21103"/>
    </row>
    <row r="21104" spans="2:12" x14ac:dyDescent="0.2">
      <c r="B21104"/>
      <c r="C21104"/>
      <c r="J21104"/>
      <c r="K21104"/>
      <c r="L21104"/>
    </row>
    <row r="21105" spans="2:12" x14ac:dyDescent="0.2">
      <c r="B21105"/>
      <c r="C21105"/>
      <c r="J21105"/>
      <c r="K21105"/>
      <c r="L21105"/>
    </row>
    <row r="21106" spans="2:12" x14ac:dyDescent="0.2">
      <c r="B21106"/>
      <c r="C21106"/>
      <c r="J21106"/>
      <c r="K21106"/>
      <c r="L21106"/>
    </row>
    <row r="21107" spans="2:12" x14ac:dyDescent="0.2">
      <c r="B21107"/>
      <c r="C21107"/>
      <c r="J21107"/>
      <c r="K21107"/>
      <c r="L21107"/>
    </row>
    <row r="21108" spans="2:12" x14ac:dyDescent="0.2">
      <c r="B21108"/>
      <c r="C21108"/>
      <c r="J21108"/>
      <c r="K21108"/>
      <c r="L21108"/>
    </row>
    <row r="21109" spans="2:12" x14ac:dyDescent="0.2">
      <c r="B21109"/>
      <c r="C21109"/>
      <c r="J21109"/>
      <c r="K21109"/>
      <c r="L21109"/>
    </row>
    <row r="21110" spans="2:12" x14ac:dyDescent="0.2">
      <c r="B21110"/>
      <c r="C21110"/>
      <c r="J21110"/>
      <c r="K21110"/>
      <c r="L21110"/>
    </row>
    <row r="21111" spans="2:12" x14ac:dyDescent="0.2">
      <c r="B21111"/>
      <c r="C21111"/>
      <c r="J21111"/>
      <c r="K21111"/>
      <c r="L21111"/>
    </row>
    <row r="21112" spans="2:12" x14ac:dyDescent="0.2">
      <c r="B21112"/>
      <c r="C21112"/>
      <c r="J21112"/>
      <c r="K21112"/>
      <c r="L21112"/>
    </row>
    <row r="21113" spans="2:12" x14ac:dyDescent="0.2">
      <c r="B21113"/>
      <c r="C21113"/>
      <c r="J21113"/>
      <c r="K21113"/>
      <c r="L21113"/>
    </row>
    <row r="21114" spans="2:12" x14ac:dyDescent="0.2">
      <c r="B21114"/>
      <c r="C21114"/>
      <c r="J21114"/>
      <c r="K21114"/>
      <c r="L21114"/>
    </row>
    <row r="21115" spans="2:12" x14ac:dyDescent="0.2">
      <c r="B21115"/>
      <c r="C21115"/>
      <c r="J21115"/>
      <c r="K21115"/>
      <c r="L21115"/>
    </row>
    <row r="21116" spans="2:12" x14ac:dyDescent="0.2">
      <c r="B21116"/>
      <c r="C21116"/>
      <c r="J21116"/>
      <c r="K21116"/>
      <c r="L21116"/>
    </row>
    <row r="21117" spans="2:12" x14ac:dyDescent="0.2">
      <c r="B21117"/>
      <c r="C21117"/>
      <c r="J21117"/>
      <c r="K21117"/>
      <c r="L21117"/>
    </row>
    <row r="21118" spans="2:12" x14ac:dyDescent="0.2">
      <c r="B21118"/>
      <c r="C21118"/>
      <c r="J21118"/>
      <c r="K21118"/>
      <c r="L21118"/>
    </row>
    <row r="21119" spans="2:12" x14ac:dyDescent="0.2">
      <c r="B21119"/>
      <c r="C21119"/>
      <c r="J21119"/>
      <c r="K21119"/>
      <c r="L21119"/>
    </row>
    <row r="21120" spans="2:12" x14ac:dyDescent="0.2">
      <c r="B21120"/>
      <c r="C21120"/>
      <c r="J21120"/>
      <c r="K21120"/>
      <c r="L21120"/>
    </row>
    <row r="21121" spans="2:12" x14ac:dyDescent="0.2">
      <c r="B21121"/>
      <c r="C21121"/>
      <c r="J21121"/>
      <c r="K21121"/>
      <c r="L21121"/>
    </row>
    <row r="21122" spans="2:12" x14ac:dyDescent="0.2">
      <c r="B21122"/>
      <c r="C21122"/>
      <c r="J21122"/>
      <c r="K21122"/>
      <c r="L21122"/>
    </row>
    <row r="21123" spans="2:12" x14ac:dyDescent="0.2">
      <c r="B21123"/>
      <c r="C21123"/>
      <c r="J21123"/>
      <c r="K21123"/>
      <c r="L21123"/>
    </row>
    <row r="21124" spans="2:12" x14ac:dyDescent="0.2">
      <c r="B21124"/>
      <c r="C21124"/>
      <c r="J21124"/>
      <c r="K21124"/>
      <c r="L21124"/>
    </row>
    <row r="21125" spans="2:12" x14ac:dyDescent="0.2">
      <c r="B21125"/>
      <c r="C21125"/>
      <c r="J21125"/>
      <c r="K21125"/>
      <c r="L21125"/>
    </row>
    <row r="21126" spans="2:12" x14ac:dyDescent="0.2">
      <c r="B21126"/>
      <c r="C21126"/>
      <c r="J21126"/>
      <c r="K21126"/>
      <c r="L21126"/>
    </row>
    <row r="21127" spans="2:12" x14ac:dyDescent="0.2">
      <c r="B21127"/>
      <c r="C21127"/>
      <c r="J21127"/>
      <c r="K21127"/>
      <c r="L21127"/>
    </row>
    <row r="21128" spans="2:12" x14ac:dyDescent="0.2">
      <c r="B21128"/>
      <c r="C21128"/>
      <c r="J21128"/>
      <c r="K21128"/>
      <c r="L21128"/>
    </row>
    <row r="21129" spans="2:12" x14ac:dyDescent="0.2">
      <c r="B21129"/>
      <c r="C21129"/>
      <c r="J21129"/>
      <c r="K21129"/>
      <c r="L21129"/>
    </row>
    <row r="21130" spans="2:12" x14ac:dyDescent="0.2">
      <c r="B21130"/>
      <c r="C21130"/>
      <c r="J21130"/>
      <c r="K21130"/>
      <c r="L21130"/>
    </row>
    <row r="21131" spans="2:12" x14ac:dyDescent="0.2">
      <c r="B21131"/>
      <c r="C21131"/>
      <c r="J21131"/>
      <c r="K21131"/>
      <c r="L21131"/>
    </row>
    <row r="21132" spans="2:12" x14ac:dyDescent="0.2">
      <c r="B21132"/>
      <c r="C21132"/>
      <c r="J21132"/>
      <c r="K21132"/>
      <c r="L21132"/>
    </row>
    <row r="21133" spans="2:12" x14ac:dyDescent="0.2">
      <c r="B21133"/>
      <c r="C21133"/>
      <c r="J21133"/>
      <c r="K21133"/>
      <c r="L21133"/>
    </row>
    <row r="21134" spans="2:12" x14ac:dyDescent="0.2">
      <c r="B21134"/>
      <c r="C21134"/>
      <c r="J21134"/>
      <c r="K21134"/>
      <c r="L21134"/>
    </row>
    <row r="21135" spans="2:12" x14ac:dyDescent="0.2">
      <c r="B21135"/>
      <c r="C21135"/>
      <c r="J21135"/>
      <c r="K21135"/>
      <c r="L21135"/>
    </row>
    <row r="21136" spans="2:12" x14ac:dyDescent="0.2">
      <c r="B21136"/>
      <c r="C21136"/>
      <c r="J21136"/>
      <c r="K21136"/>
      <c r="L21136"/>
    </row>
    <row r="21137" spans="2:12" x14ac:dyDescent="0.2">
      <c r="B21137"/>
      <c r="C21137"/>
      <c r="J21137"/>
      <c r="K21137"/>
      <c r="L21137"/>
    </row>
    <row r="21138" spans="2:12" x14ac:dyDescent="0.2">
      <c r="B21138"/>
      <c r="C21138"/>
      <c r="J21138"/>
      <c r="K21138"/>
      <c r="L21138"/>
    </row>
    <row r="21139" spans="2:12" x14ac:dyDescent="0.2">
      <c r="B21139"/>
      <c r="C21139"/>
      <c r="J21139"/>
      <c r="K21139"/>
      <c r="L21139"/>
    </row>
    <row r="21140" spans="2:12" x14ac:dyDescent="0.2">
      <c r="B21140"/>
      <c r="C21140"/>
      <c r="J21140"/>
      <c r="K21140"/>
      <c r="L21140"/>
    </row>
    <row r="21141" spans="2:12" x14ac:dyDescent="0.2">
      <c r="B21141"/>
      <c r="C21141"/>
      <c r="J21141"/>
      <c r="K21141"/>
      <c r="L21141"/>
    </row>
    <row r="21142" spans="2:12" x14ac:dyDescent="0.2">
      <c r="B21142"/>
      <c r="C21142"/>
      <c r="J21142"/>
      <c r="K21142"/>
      <c r="L21142"/>
    </row>
    <row r="21143" spans="2:12" x14ac:dyDescent="0.2">
      <c r="B21143"/>
      <c r="C21143"/>
      <c r="J21143"/>
      <c r="K21143"/>
      <c r="L21143"/>
    </row>
    <row r="21144" spans="2:12" x14ac:dyDescent="0.2">
      <c r="B21144"/>
      <c r="C21144"/>
      <c r="J21144"/>
      <c r="K21144"/>
      <c r="L21144"/>
    </row>
    <row r="21145" spans="2:12" x14ac:dyDescent="0.2">
      <c r="B21145"/>
      <c r="C21145"/>
      <c r="J21145"/>
      <c r="K21145"/>
      <c r="L21145"/>
    </row>
    <row r="21146" spans="2:12" x14ac:dyDescent="0.2">
      <c r="B21146"/>
      <c r="C21146"/>
      <c r="J21146"/>
      <c r="K21146"/>
      <c r="L21146"/>
    </row>
    <row r="21147" spans="2:12" x14ac:dyDescent="0.2">
      <c r="B21147"/>
      <c r="C21147"/>
      <c r="J21147"/>
      <c r="K21147"/>
      <c r="L21147"/>
    </row>
    <row r="21148" spans="2:12" x14ac:dyDescent="0.2">
      <c r="B21148"/>
      <c r="C21148"/>
      <c r="J21148"/>
      <c r="K21148"/>
      <c r="L21148"/>
    </row>
    <row r="21149" spans="2:12" x14ac:dyDescent="0.2">
      <c r="B21149"/>
      <c r="C21149"/>
      <c r="J21149"/>
      <c r="K21149"/>
      <c r="L21149"/>
    </row>
    <row r="21150" spans="2:12" x14ac:dyDescent="0.2">
      <c r="B21150"/>
      <c r="C21150"/>
      <c r="J21150"/>
      <c r="K21150"/>
      <c r="L21150"/>
    </row>
    <row r="21151" spans="2:12" x14ac:dyDescent="0.2">
      <c r="B21151"/>
      <c r="C21151"/>
      <c r="J21151"/>
      <c r="K21151"/>
      <c r="L21151"/>
    </row>
    <row r="21152" spans="2:12" x14ac:dyDescent="0.2">
      <c r="B21152"/>
      <c r="C21152"/>
      <c r="J21152"/>
      <c r="K21152"/>
      <c r="L21152"/>
    </row>
    <row r="21153" spans="2:12" x14ac:dyDescent="0.2">
      <c r="B21153"/>
      <c r="C21153"/>
      <c r="J21153"/>
      <c r="K21153"/>
      <c r="L21153"/>
    </row>
    <row r="21154" spans="2:12" x14ac:dyDescent="0.2">
      <c r="B21154"/>
      <c r="C21154"/>
      <c r="J21154"/>
      <c r="K21154"/>
      <c r="L21154"/>
    </row>
    <row r="21155" spans="2:12" x14ac:dyDescent="0.2">
      <c r="B21155"/>
      <c r="C21155"/>
      <c r="J21155"/>
      <c r="K21155"/>
      <c r="L21155"/>
    </row>
    <row r="21156" spans="2:12" x14ac:dyDescent="0.2">
      <c r="B21156"/>
      <c r="C21156"/>
      <c r="J21156"/>
      <c r="K21156"/>
      <c r="L21156"/>
    </row>
    <row r="21157" spans="2:12" x14ac:dyDescent="0.2">
      <c r="B21157"/>
      <c r="C21157"/>
      <c r="J21157"/>
      <c r="K21157"/>
      <c r="L21157"/>
    </row>
    <row r="21158" spans="2:12" x14ac:dyDescent="0.2">
      <c r="B21158"/>
      <c r="C21158"/>
      <c r="J21158"/>
      <c r="K21158"/>
      <c r="L21158"/>
    </row>
    <row r="21159" spans="2:12" x14ac:dyDescent="0.2">
      <c r="B21159"/>
      <c r="C21159"/>
      <c r="J21159"/>
      <c r="K21159"/>
      <c r="L21159"/>
    </row>
    <row r="21160" spans="2:12" x14ac:dyDescent="0.2">
      <c r="B21160"/>
      <c r="C21160"/>
      <c r="J21160"/>
      <c r="K21160"/>
      <c r="L21160"/>
    </row>
    <row r="21161" spans="2:12" x14ac:dyDescent="0.2">
      <c r="B21161"/>
      <c r="C21161"/>
      <c r="J21161"/>
      <c r="K21161"/>
      <c r="L21161"/>
    </row>
    <row r="21162" spans="2:12" x14ac:dyDescent="0.2">
      <c r="B21162"/>
      <c r="C21162"/>
      <c r="J21162"/>
      <c r="K21162"/>
      <c r="L21162"/>
    </row>
    <row r="21163" spans="2:12" x14ac:dyDescent="0.2">
      <c r="B21163"/>
      <c r="C21163"/>
      <c r="J21163"/>
      <c r="K21163"/>
      <c r="L21163"/>
    </row>
    <row r="21164" spans="2:12" x14ac:dyDescent="0.2">
      <c r="B21164"/>
      <c r="C21164"/>
      <c r="J21164"/>
      <c r="K21164"/>
      <c r="L21164"/>
    </row>
    <row r="21165" spans="2:12" x14ac:dyDescent="0.2">
      <c r="B21165"/>
      <c r="C21165"/>
      <c r="J21165"/>
      <c r="K21165"/>
      <c r="L21165"/>
    </row>
    <row r="21166" spans="2:12" x14ac:dyDescent="0.2">
      <c r="B21166"/>
      <c r="C21166"/>
      <c r="J21166"/>
      <c r="K21166"/>
      <c r="L21166"/>
    </row>
    <row r="21167" spans="2:12" x14ac:dyDescent="0.2">
      <c r="B21167"/>
      <c r="C21167"/>
      <c r="J21167"/>
      <c r="K21167"/>
      <c r="L21167"/>
    </row>
    <row r="21168" spans="2:12" x14ac:dyDescent="0.2">
      <c r="B21168"/>
      <c r="C21168"/>
      <c r="J21168"/>
      <c r="K21168"/>
      <c r="L21168"/>
    </row>
    <row r="21169" spans="2:12" x14ac:dyDescent="0.2">
      <c r="B21169"/>
      <c r="C21169"/>
      <c r="J21169"/>
      <c r="K21169"/>
      <c r="L21169"/>
    </row>
    <row r="21170" spans="2:12" x14ac:dyDescent="0.2">
      <c r="B21170"/>
      <c r="C21170"/>
      <c r="J21170"/>
      <c r="K21170"/>
      <c r="L21170"/>
    </row>
    <row r="21171" spans="2:12" x14ac:dyDescent="0.2">
      <c r="B21171"/>
      <c r="C21171"/>
      <c r="J21171"/>
      <c r="K21171"/>
      <c r="L21171"/>
    </row>
    <row r="21172" spans="2:12" x14ac:dyDescent="0.2">
      <c r="B21172"/>
      <c r="C21172"/>
      <c r="J21172"/>
      <c r="K21172"/>
      <c r="L21172"/>
    </row>
    <row r="21173" spans="2:12" x14ac:dyDescent="0.2">
      <c r="B21173"/>
      <c r="C21173"/>
      <c r="J21173"/>
      <c r="K21173"/>
      <c r="L21173"/>
    </row>
    <row r="21174" spans="2:12" x14ac:dyDescent="0.2">
      <c r="B21174"/>
      <c r="C21174"/>
      <c r="J21174"/>
      <c r="K21174"/>
      <c r="L21174"/>
    </row>
    <row r="21175" spans="2:12" x14ac:dyDescent="0.2">
      <c r="B21175"/>
      <c r="C21175"/>
      <c r="J21175"/>
      <c r="K21175"/>
      <c r="L21175"/>
    </row>
    <row r="21176" spans="2:12" x14ac:dyDescent="0.2">
      <c r="B21176"/>
      <c r="C21176"/>
      <c r="J21176"/>
      <c r="K21176"/>
      <c r="L21176"/>
    </row>
    <row r="21177" spans="2:12" x14ac:dyDescent="0.2">
      <c r="B21177"/>
      <c r="C21177"/>
      <c r="J21177"/>
      <c r="K21177"/>
      <c r="L21177"/>
    </row>
    <row r="21178" spans="2:12" x14ac:dyDescent="0.2">
      <c r="B21178"/>
      <c r="C21178"/>
      <c r="J21178"/>
      <c r="K21178"/>
      <c r="L21178"/>
    </row>
    <row r="21179" spans="2:12" x14ac:dyDescent="0.2">
      <c r="B21179"/>
      <c r="C21179"/>
      <c r="J21179"/>
      <c r="K21179"/>
      <c r="L21179"/>
    </row>
    <row r="21180" spans="2:12" x14ac:dyDescent="0.2">
      <c r="B21180"/>
      <c r="C21180"/>
      <c r="J21180"/>
      <c r="K21180"/>
      <c r="L21180"/>
    </row>
    <row r="21181" spans="2:12" x14ac:dyDescent="0.2">
      <c r="B21181"/>
      <c r="C21181"/>
      <c r="J21181"/>
      <c r="K21181"/>
      <c r="L21181"/>
    </row>
    <row r="21182" spans="2:12" x14ac:dyDescent="0.2">
      <c r="B21182"/>
      <c r="C21182"/>
      <c r="J21182"/>
      <c r="K21182"/>
      <c r="L21182"/>
    </row>
    <row r="21183" spans="2:12" x14ac:dyDescent="0.2">
      <c r="B21183"/>
      <c r="C21183"/>
      <c r="J21183"/>
      <c r="K21183"/>
      <c r="L21183"/>
    </row>
    <row r="21184" spans="2:12" x14ac:dyDescent="0.2">
      <c r="B21184"/>
      <c r="C21184"/>
      <c r="J21184"/>
      <c r="K21184"/>
      <c r="L21184"/>
    </row>
    <row r="21185" spans="2:12" x14ac:dyDescent="0.2">
      <c r="B21185"/>
      <c r="C21185"/>
      <c r="J21185"/>
      <c r="K21185"/>
      <c r="L21185"/>
    </row>
    <row r="21186" spans="2:12" x14ac:dyDescent="0.2">
      <c r="B21186"/>
      <c r="C21186"/>
      <c r="J21186"/>
      <c r="K21186"/>
      <c r="L21186"/>
    </row>
    <row r="21187" spans="2:12" x14ac:dyDescent="0.2">
      <c r="B21187"/>
      <c r="C21187"/>
      <c r="J21187"/>
      <c r="K21187"/>
      <c r="L21187"/>
    </row>
    <row r="21188" spans="2:12" x14ac:dyDescent="0.2">
      <c r="B21188"/>
      <c r="C21188"/>
      <c r="J21188"/>
      <c r="K21188"/>
      <c r="L21188"/>
    </row>
    <row r="21189" spans="2:12" x14ac:dyDescent="0.2">
      <c r="B21189"/>
      <c r="C21189"/>
      <c r="J21189"/>
      <c r="K21189"/>
      <c r="L21189"/>
    </row>
    <row r="21190" spans="2:12" x14ac:dyDescent="0.2">
      <c r="B21190"/>
      <c r="C21190"/>
      <c r="J21190"/>
      <c r="K21190"/>
      <c r="L21190"/>
    </row>
    <row r="21191" spans="2:12" x14ac:dyDescent="0.2">
      <c r="B21191"/>
      <c r="C21191"/>
      <c r="J21191"/>
      <c r="K21191"/>
      <c r="L21191"/>
    </row>
    <row r="21192" spans="2:12" x14ac:dyDescent="0.2">
      <c r="B21192"/>
      <c r="C21192"/>
      <c r="J21192"/>
      <c r="K21192"/>
      <c r="L21192"/>
    </row>
    <row r="21193" spans="2:12" x14ac:dyDescent="0.2">
      <c r="B21193"/>
      <c r="C21193"/>
      <c r="J21193"/>
      <c r="K21193"/>
      <c r="L21193"/>
    </row>
    <row r="21194" spans="2:12" x14ac:dyDescent="0.2">
      <c r="B21194"/>
      <c r="C21194"/>
      <c r="J21194"/>
      <c r="K21194"/>
      <c r="L21194"/>
    </row>
    <row r="21195" spans="2:12" x14ac:dyDescent="0.2">
      <c r="B21195"/>
      <c r="C21195"/>
      <c r="J21195"/>
      <c r="K21195"/>
      <c r="L21195"/>
    </row>
    <row r="21196" spans="2:12" x14ac:dyDescent="0.2">
      <c r="B21196"/>
      <c r="C21196"/>
      <c r="J21196"/>
      <c r="K21196"/>
      <c r="L21196"/>
    </row>
    <row r="21197" spans="2:12" x14ac:dyDescent="0.2">
      <c r="B21197"/>
      <c r="C21197"/>
      <c r="J21197"/>
      <c r="K21197"/>
      <c r="L21197"/>
    </row>
    <row r="21198" spans="2:12" x14ac:dyDescent="0.2">
      <c r="B21198"/>
      <c r="C21198"/>
      <c r="J21198"/>
      <c r="K21198"/>
      <c r="L21198"/>
    </row>
    <row r="21199" spans="2:12" x14ac:dyDescent="0.2">
      <c r="B21199"/>
      <c r="C21199"/>
      <c r="J21199"/>
      <c r="K21199"/>
      <c r="L21199"/>
    </row>
    <row r="21200" spans="2:12" x14ac:dyDescent="0.2">
      <c r="B21200"/>
      <c r="C21200"/>
      <c r="J21200"/>
      <c r="K21200"/>
      <c r="L21200"/>
    </row>
    <row r="21201" spans="2:12" x14ac:dyDescent="0.2">
      <c r="B21201"/>
      <c r="C21201"/>
      <c r="J21201"/>
      <c r="K21201"/>
      <c r="L21201"/>
    </row>
    <row r="21202" spans="2:12" x14ac:dyDescent="0.2">
      <c r="B21202"/>
      <c r="C21202"/>
      <c r="J21202"/>
      <c r="K21202"/>
      <c r="L21202"/>
    </row>
    <row r="21203" spans="2:12" x14ac:dyDescent="0.2">
      <c r="B21203"/>
      <c r="C21203"/>
      <c r="J21203"/>
      <c r="K21203"/>
      <c r="L21203"/>
    </row>
    <row r="21204" spans="2:12" x14ac:dyDescent="0.2">
      <c r="B21204"/>
      <c r="C21204"/>
      <c r="J21204"/>
      <c r="K21204"/>
      <c r="L21204"/>
    </row>
    <row r="21205" spans="2:12" x14ac:dyDescent="0.2">
      <c r="B21205"/>
      <c r="C21205"/>
      <c r="J21205"/>
      <c r="K21205"/>
      <c r="L21205"/>
    </row>
    <row r="21206" spans="2:12" x14ac:dyDescent="0.2">
      <c r="B21206"/>
      <c r="C21206"/>
      <c r="J21206"/>
      <c r="K21206"/>
      <c r="L21206"/>
    </row>
    <row r="21207" spans="2:12" x14ac:dyDescent="0.2">
      <c r="B21207"/>
      <c r="C21207"/>
      <c r="J21207"/>
      <c r="K21207"/>
      <c r="L21207"/>
    </row>
    <row r="21208" spans="2:12" x14ac:dyDescent="0.2">
      <c r="B21208"/>
      <c r="C21208"/>
      <c r="J21208"/>
      <c r="K21208"/>
      <c r="L21208"/>
    </row>
    <row r="21209" spans="2:12" x14ac:dyDescent="0.2">
      <c r="B21209"/>
      <c r="C21209"/>
      <c r="J21209"/>
      <c r="K21209"/>
      <c r="L21209"/>
    </row>
    <row r="21210" spans="2:12" x14ac:dyDescent="0.2">
      <c r="B21210"/>
      <c r="C21210"/>
      <c r="J21210"/>
      <c r="K21210"/>
      <c r="L21210"/>
    </row>
    <row r="21211" spans="2:12" x14ac:dyDescent="0.2">
      <c r="B21211"/>
      <c r="C21211"/>
      <c r="J21211"/>
      <c r="K21211"/>
      <c r="L21211"/>
    </row>
    <row r="21212" spans="2:12" x14ac:dyDescent="0.2">
      <c r="B21212"/>
      <c r="C21212"/>
      <c r="J21212"/>
      <c r="K21212"/>
      <c r="L21212"/>
    </row>
    <row r="21213" spans="2:12" x14ac:dyDescent="0.2">
      <c r="B21213"/>
      <c r="C21213"/>
      <c r="J21213"/>
      <c r="K21213"/>
      <c r="L21213"/>
    </row>
    <row r="21214" spans="2:12" x14ac:dyDescent="0.2">
      <c r="B21214"/>
      <c r="C21214"/>
      <c r="J21214"/>
      <c r="K21214"/>
      <c r="L21214"/>
    </row>
    <row r="21215" spans="2:12" x14ac:dyDescent="0.2">
      <c r="B21215"/>
      <c r="C21215"/>
      <c r="J21215"/>
      <c r="K21215"/>
      <c r="L21215"/>
    </row>
    <row r="21216" spans="2:12" x14ac:dyDescent="0.2">
      <c r="B21216"/>
      <c r="C21216"/>
      <c r="J21216"/>
      <c r="K21216"/>
      <c r="L21216"/>
    </row>
    <row r="21217" spans="2:12" x14ac:dyDescent="0.2">
      <c r="B21217"/>
      <c r="C21217"/>
      <c r="J21217"/>
      <c r="K21217"/>
      <c r="L21217"/>
    </row>
    <row r="21218" spans="2:12" x14ac:dyDescent="0.2">
      <c r="B21218"/>
      <c r="C21218"/>
      <c r="J21218"/>
      <c r="K21218"/>
      <c r="L21218"/>
    </row>
    <row r="21219" spans="2:12" x14ac:dyDescent="0.2">
      <c r="B21219"/>
      <c r="C21219"/>
      <c r="J21219"/>
      <c r="K21219"/>
      <c r="L21219"/>
    </row>
    <row r="21220" spans="2:12" x14ac:dyDescent="0.2">
      <c r="B21220"/>
      <c r="C21220"/>
      <c r="J21220"/>
      <c r="K21220"/>
      <c r="L21220"/>
    </row>
    <row r="21221" spans="2:12" x14ac:dyDescent="0.2">
      <c r="B21221"/>
      <c r="C21221"/>
      <c r="J21221"/>
      <c r="K21221"/>
      <c r="L21221"/>
    </row>
    <row r="21222" spans="2:12" x14ac:dyDescent="0.2">
      <c r="B21222"/>
      <c r="C21222"/>
      <c r="J21222"/>
      <c r="K21222"/>
      <c r="L21222"/>
    </row>
    <row r="21223" spans="2:12" x14ac:dyDescent="0.2">
      <c r="B21223"/>
      <c r="C21223"/>
      <c r="J21223"/>
      <c r="K21223"/>
      <c r="L21223"/>
    </row>
    <row r="21224" spans="2:12" x14ac:dyDescent="0.2">
      <c r="B21224"/>
      <c r="C21224"/>
      <c r="J21224"/>
      <c r="K21224"/>
      <c r="L21224"/>
    </row>
    <row r="21225" spans="2:12" x14ac:dyDescent="0.2">
      <c r="B21225"/>
      <c r="C21225"/>
      <c r="J21225"/>
      <c r="K21225"/>
      <c r="L21225"/>
    </row>
    <row r="21226" spans="2:12" x14ac:dyDescent="0.2">
      <c r="B21226"/>
      <c r="C21226"/>
      <c r="J21226"/>
      <c r="K21226"/>
      <c r="L21226"/>
    </row>
    <row r="21227" spans="2:12" x14ac:dyDescent="0.2">
      <c r="B21227"/>
      <c r="C21227"/>
      <c r="J21227"/>
      <c r="K21227"/>
      <c r="L21227"/>
    </row>
    <row r="21228" spans="2:12" x14ac:dyDescent="0.2">
      <c r="B21228"/>
      <c r="C21228"/>
      <c r="J21228"/>
      <c r="K21228"/>
      <c r="L21228"/>
    </row>
    <row r="21229" spans="2:12" x14ac:dyDescent="0.2">
      <c r="B21229"/>
      <c r="C21229"/>
      <c r="J21229"/>
      <c r="K21229"/>
      <c r="L21229"/>
    </row>
    <row r="21230" spans="2:12" x14ac:dyDescent="0.2">
      <c r="B21230"/>
      <c r="C21230"/>
      <c r="J21230"/>
      <c r="K21230"/>
      <c r="L21230"/>
    </row>
    <row r="21231" spans="2:12" x14ac:dyDescent="0.2">
      <c r="B21231"/>
      <c r="C21231"/>
      <c r="J21231"/>
      <c r="K21231"/>
      <c r="L21231"/>
    </row>
    <row r="21232" spans="2:12" x14ac:dyDescent="0.2">
      <c r="B21232"/>
      <c r="C21232"/>
      <c r="J21232"/>
      <c r="K21232"/>
      <c r="L21232"/>
    </row>
    <row r="21233" spans="2:12" x14ac:dyDescent="0.2">
      <c r="B21233"/>
      <c r="C21233"/>
      <c r="J21233"/>
      <c r="K21233"/>
      <c r="L21233"/>
    </row>
    <row r="21234" spans="2:12" x14ac:dyDescent="0.2">
      <c r="B21234"/>
      <c r="C21234"/>
      <c r="J21234"/>
      <c r="K21234"/>
      <c r="L21234"/>
    </row>
    <row r="21235" spans="2:12" x14ac:dyDescent="0.2">
      <c r="B21235"/>
      <c r="C21235"/>
      <c r="J21235"/>
      <c r="K21235"/>
      <c r="L21235"/>
    </row>
    <row r="21236" spans="2:12" x14ac:dyDescent="0.2">
      <c r="B21236"/>
      <c r="C21236"/>
      <c r="J21236"/>
      <c r="K21236"/>
      <c r="L21236"/>
    </row>
    <row r="21237" spans="2:12" x14ac:dyDescent="0.2">
      <c r="B21237"/>
      <c r="C21237"/>
      <c r="J21237"/>
      <c r="K21237"/>
      <c r="L21237"/>
    </row>
    <row r="21238" spans="2:12" x14ac:dyDescent="0.2">
      <c r="B21238"/>
      <c r="C21238"/>
      <c r="J21238"/>
      <c r="K21238"/>
      <c r="L21238"/>
    </row>
    <row r="21239" spans="2:12" x14ac:dyDescent="0.2">
      <c r="B21239"/>
      <c r="C21239"/>
      <c r="J21239"/>
      <c r="K21239"/>
      <c r="L21239"/>
    </row>
    <row r="21240" spans="2:12" x14ac:dyDescent="0.2">
      <c r="B21240"/>
      <c r="C21240"/>
      <c r="J21240"/>
      <c r="K21240"/>
      <c r="L21240"/>
    </row>
    <row r="21241" spans="2:12" x14ac:dyDescent="0.2">
      <c r="B21241"/>
      <c r="C21241"/>
      <c r="J21241"/>
      <c r="K21241"/>
      <c r="L21241"/>
    </row>
    <row r="21242" spans="2:12" x14ac:dyDescent="0.2">
      <c r="B21242"/>
      <c r="C21242"/>
      <c r="J21242"/>
      <c r="K21242"/>
      <c r="L21242"/>
    </row>
    <row r="21243" spans="2:12" x14ac:dyDescent="0.2">
      <c r="B21243"/>
      <c r="C21243"/>
      <c r="J21243"/>
      <c r="K21243"/>
      <c r="L21243"/>
    </row>
    <row r="21244" spans="2:12" x14ac:dyDescent="0.2">
      <c r="B21244"/>
      <c r="C21244"/>
      <c r="J21244"/>
      <c r="K21244"/>
      <c r="L21244"/>
    </row>
    <row r="21245" spans="2:12" x14ac:dyDescent="0.2">
      <c r="B21245"/>
      <c r="C21245"/>
      <c r="J21245"/>
      <c r="K21245"/>
      <c r="L21245"/>
    </row>
    <row r="21246" spans="2:12" x14ac:dyDescent="0.2">
      <c r="B21246"/>
      <c r="C21246"/>
      <c r="J21246"/>
      <c r="K21246"/>
      <c r="L21246"/>
    </row>
    <row r="21247" spans="2:12" x14ac:dyDescent="0.2">
      <c r="B21247"/>
      <c r="C21247"/>
      <c r="J21247"/>
      <c r="K21247"/>
      <c r="L21247"/>
    </row>
    <row r="21248" spans="2:12" x14ac:dyDescent="0.2">
      <c r="B21248"/>
      <c r="C21248"/>
      <c r="J21248"/>
      <c r="K21248"/>
      <c r="L21248"/>
    </row>
    <row r="21249" spans="2:12" x14ac:dyDescent="0.2">
      <c r="B21249"/>
      <c r="C21249"/>
      <c r="J21249"/>
      <c r="K21249"/>
      <c r="L21249"/>
    </row>
    <row r="21250" spans="2:12" x14ac:dyDescent="0.2">
      <c r="B21250"/>
      <c r="C21250"/>
      <c r="J21250"/>
      <c r="K21250"/>
      <c r="L21250"/>
    </row>
    <row r="21251" spans="2:12" x14ac:dyDescent="0.2">
      <c r="B21251"/>
      <c r="C21251"/>
      <c r="J21251"/>
      <c r="K21251"/>
      <c r="L21251"/>
    </row>
    <row r="21252" spans="2:12" x14ac:dyDescent="0.2">
      <c r="B21252"/>
      <c r="C21252"/>
      <c r="J21252"/>
      <c r="K21252"/>
      <c r="L21252"/>
    </row>
    <row r="21253" spans="2:12" x14ac:dyDescent="0.2">
      <c r="B21253"/>
      <c r="C21253"/>
      <c r="J21253"/>
      <c r="K21253"/>
      <c r="L21253"/>
    </row>
    <row r="21254" spans="2:12" x14ac:dyDescent="0.2">
      <c r="B21254"/>
      <c r="C21254"/>
      <c r="J21254"/>
      <c r="K21254"/>
      <c r="L21254"/>
    </row>
    <row r="21255" spans="2:12" x14ac:dyDescent="0.2">
      <c r="B21255"/>
      <c r="C21255"/>
      <c r="J21255"/>
      <c r="K21255"/>
      <c r="L21255"/>
    </row>
    <row r="21256" spans="2:12" x14ac:dyDescent="0.2">
      <c r="B21256"/>
      <c r="C21256"/>
      <c r="J21256"/>
      <c r="K21256"/>
      <c r="L21256"/>
    </row>
    <row r="21257" spans="2:12" x14ac:dyDescent="0.2">
      <c r="B21257"/>
      <c r="C21257"/>
      <c r="J21257"/>
      <c r="K21257"/>
      <c r="L21257"/>
    </row>
    <row r="21258" spans="2:12" x14ac:dyDescent="0.2">
      <c r="B21258"/>
      <c r="C21258"/>
      <c r="J21258"/>
      <c r="K21258"/>
      <c r="L21258"/>
    </row>
    <row r="21259" spans="2:12" x14ac:dyDescent="0.2">
      <c r="B21259"/>
      <c r="C21259"/>
      <c r="J21259"/>
      <c r="K21259"/>
      <c r="L21259"/>
    </row>
    <row r="21260" spans="2:12" x14ac:dyDescent="0.2">
      <c r="B21260"/>
      <c r="C21260"/>
      <c r="J21260"/>
      <c r="K21260"/>
      <c r="L21260"/>
    </row>
    <row r="21261" spans="2:12" x14ac:dyDescent="0.2">
      <c r="B21261"/>
      <c r="C21261"/>
      <c r="J21261"/>
      <c r="K21261"/>
      <c r="L21261"/>
    </row>
    <row r="21262" spans="2:12" x14ac:dyDescent="0.2">
      <c r="B21262"/>
      <c r="C21262"/>
      <c r="J21262"/>
      <c r="K21262"/>
      <c r="L21262"/>
    </row>
    <row r="21263" spans="2:12" x14ac:dyDescent="0.2">
      <c r="B21263"/>
      <c r="C21263"/>
      <c r="J21263"/>
      <c r="K21263"/>
      <c r="L21263"/>
    </row>
    <row r="21264" spans="2:12" x14ac:dyDescent="0.2">
      <c r="B21264"/>
      <c r="C21264"/>
      <c r="J21264"/>
      <c r="K21264"/>
      <c r="L21264"/>
    </row>
    <row r="21265" spans="2:12" x14ac:dyDescent="0.2">
      <c r="B21265"/>
      <c r="C21265"/>
      <c r="J21265"/>
      <c r="K21265"/>
      <c r="L21265"/>
    </row>
    <row r="21266" spans="2:12" x14ac:dyDescent="0.2">
      <c r="B21266"/>
      <c r="C21266"/>
      <c r="J21266"/>
      <c r="K21266"/>
      <c r="L21266"/>
    </row>
    <row r="21267" spans="2:12" x14ac:dyDescent="0.2">
      <c r="B21267"/>
      <c r="C21267"/>
      <c r="J21267"/>
      <c r="K21267"/>
      <c r="L21267"/>
    </row>
    <row r="21268" spans="2:12" x14ac:dyDescent="0.2">
      <c r="B21268"/>
      <c r="C21268"/>
      <c r="J21268"/>
      <c r="K21268"/>
      <c r="L21268"/>
    </row>
    <row r="21269" spans="2:12" x14ac:dyDescent="0.2">
      <c r="B21269"/>
      <c r="C21269"/>
      <c r="J21269"/>
      <c r="K21269"/>
      <c r="L21269"/>
    </row>
    <row r="21270" spans="2:12" x14ac:dyDescent="0.2">
      <c r="B21270"/>
      <c r="C21270"/>
      <c r="J21270"/>
      <c r="K21270"/>
      <c r="L21270"/>
    </row>
    <row r="21271" spans="2:12" x14ac:dyDescent="0.2">
      <c r="B21271"/>
      <c r="C21271"/>
      <c r="J21271"/>
      <c r="K21271"/>
      <c r="L21271"/>
    </row>
    <row r="21272" spans="2:12" x14ac:dyDescent="0.2">
      <c r="B21272"/>
      <c r="C21272"/>
      <c r="J21272"/>
      <c r="K21272"/>
      <c r="L21272"/>
    </row>
    <row r="21273" spans="2:12" x14ac:dyDescent="0.2">
      <c r="B21273"/>
      <c r="C21273"/>
      <c r="J21273"/>
      <c r="K21273"/>
      <c r="L21273"/>
    </row>
    <row r="21274" spans="2:12" x14ac:dyDescent="0.2">
      <c r="B21274"/>
      <c r="C21274"/>
      <c r="J21274"/>
      <c r="K21274"/>
      <c r="L21274"/>
    </row>
    <row r="21275" spans="2:12" x14ac:dyDescent="0.2">
      <c r="B21275"/>
      <c r="C21275"/>
      <c r="J21275"/>
      <c r="K21275"/>
      <c r="L21275"/>
    </row>
    <row r="21276" spans="2:12" x14ac:dyDescent="0.2">
      <c r="B21276"/>
      <c r="C21276"/>
      <c r="J21276"/>
      <c r="K21276"/>
      <c r="L21276"/>
    </row>
    <row r="21277" spans="2:12" x14ac:dyDescent="0.2">
      <c r="B21277"/>
      <c r="C21277"/>
      <c r="J21277"/>
      <c r="K21277"/>
      <c r="L21277"/>
    </row>
    <row r="21278" spans="2:12" x14ac:dyDescent="0.2">
      <c r="B21278"/>
      <c r="C21278"/>
      <c r="J21278"/>
      <c r="K21278"/>
      <c r="L21278"/>
    </row>
    <row r="21279" spans="2:12" x14ac:dyDescent="0.2">
      <c r="B21279"/>
      <c r="C21279"/>
      <c r="J21279"/>
      <c r="K21279"/>
      <c r="L21279"/>
    </row>
    <row r="21280" spans="2:12" x14ac:dyDescent="0.2">
      <c r="B21280"/>
      <c r="C21280"/>
      <c r="J21280"/>
      <c r="K21280"/>
      <c r="L21280"/>
    </row>
    <row r="21281" spans="2:12" x14ac:dyDescent="0.2">
      <c r="B21281"/>
      <c r="C21281"/>
      <c r="J21281"/>
      <c r="K21281"/>
      <c r="L21281"/>
    </row>
    <row r="21282" spans="2:12" x14ac:dyDescent="0.2">
      <c r="B21282"/>
      <c r="C21282"/>
      <c r="J21282"/>
      <c r="K21282"/>
      <c r="L21282"/>
    </row>
    <row r="21283" spans="2:12" x14ac:dyDescent="0.2">
      <c r="B21283"/>
      <c r="C21283"/>
      <c r="J21283"/>
      <c r="K21283"/>
      <c r="L21283"/>
    </row>
    <row r="21284" spans="2:12" x14ac:dyDescent="0.2">
      <c r="B21284"/>
      <c r="C21284"/>
      <c r="J21284"/>
      <c r="K21284"/>
      <c r="L21284"/>
    </row>
    <row r="21285" spans="2:12" x14ac:dyDescent="0.2">
      <c r="B21285"/>
      <c r="C21285"/>
      <c r="J21285"/>
      <c r="K21285"/>
      <c r="L21285"/>
    </row>
    <row r="21286" spans="2:12" x14ac:dyDescent="0.2">
      <c r="B21286"/>
      <c r="C21286"/>
      <c r="J21286"/>
      <c r="K21286"/>
      <c r="L21286"/>
    </row>
    <row r="21287" spans="2:12" x14ac:dyDescent="0.2">
      <c r="B21287"/>
      <c r="C21287"/>
      <c r="J21287"/>
      <c r="K21287"/>
      <c r="L21287"/>
    </row>
    <row r="21288" spans="2:12" x14ac:dyDescent="0.2">
      <c r="B21288"/>
      <c r="C21288"/>
      <c r="J21288"/>
      <c r="K21288"/>
      <c r="L21288"/>
    </row>
    <row r="21289" spans="2:12" x14ac:dyDescent="0.2">
      <c r="B21289"/>
      <c r="C21289"/>
      <c r="J21289"/>
      <c r="K21289"/>
      <c r="L21289"/>
    </row>
    <row r="21290" spans="2:12" x14ac:dyDescent="0.2">
      <c r="B21290"/>
      <c r="C21290"/>
      <c r="J21290"/>
      <c r="K21290"/>
      <c r="L21290"/>
    </row>
    <row r="21291" spans="2:12" x14ac:dyDescent="0.2">
      <c r="B21291"/>
      <c r="C21291"/>
      <c r="J21291"/>
      <c r="K21291"/>
      <c r="L21291"/>
    </row>
    <row r="21292" spans="2:12" x14ac:dyDescent="0.2">
      <c r="B21292"/>
      <c r="C21292"/>
      <c r="J21292"/>
      <c r="K21292"/>
      <c r="L21292"/>
    </row>
    <row r="21293" spans="2:12" x14ac:dyDescent="0.2">
      <c r="B21293"/>
      <c r="C21293"/>
      <c r="J21293"/>
      <c r="K21293"/>
      <c r="L21293"/>
    </row>
    <row r="21294" spans="2:12" x14ac:dyDescent="0.2">
      <c r="B21294"/>
      <c r="C21294"/>
      <c r="J21294"/>
      <c r="K21294"/>
      <c r="L21294"/>
    </row>
    <row r="21295" spans="2:12" x14ac:dyDescent="0.2">
      <c r="B21295"/>
      <c r="C21295"/>
      <c r="J21295"/>
      <c r="K21295"/>
      <c r="L21295"/>
    </row>
    <row r="21296" spans="2:12" x14ac:dyDescent="0.2">
      <c r="B21296"/>
      <c r="C21296"/>
      <c r="J21296"/>
      <c r="K21296"/>
      <c r="L21296"/>
    </row>
    <row r="21297" spans="2:12" x14ac:dyDescent="0.2">
      <c r="B21297"/>
      <c r="C21297"/>
      <c r="J21297"/>
      <c r="K21297"/>
      <c r="L21297"/>
    </row>
    <row r="21298" spans="2:12" x14ac:dyDescent="0.2">
      <c r="B21298"/>
      <c r="C21298"/>
      <c r="J21298"/>
      <c r="K21298"/>
      <c r="L21298"/>
    </row>
    <row r="21299" spans="2:12" x14ac:dyDescent="0.2">
      <c r="B21299"/>
      <c r="C21299"/>
      <c r="J21299"/>
      <c r="K21299"/>
      <c r="L21299"/>
    </row>
    <row r="21300" spans="2:12" x14ac:dyDescent="0.2">
      <c r="B21300"/>
      <c r="C21300"/>
      <c r="J21300"/>
      <c r="K21300"/>
      <c r="L21300"/>
    </row>
    <row r="21301" spans="2:12" x14ac:dyDescent="0.2">
      <c r="B21301"/>
      <c r="C21301"/>
      <c r="J21301"/>
      <c r="K21301"/>
      <c r="L21301"/>
    </row>
    <row r="21302" spans="2:12" x14ac:dyDescent="0.2">
      <c r="B21302"/>
      <c r="C21302"/>
      <c r="J21302"/>
      <c r="K21302"/>
      <c r="L21302"/>
    </row>
    <row r="21303" spans="2:12" x14ac:dyDescent="0.2">
      <c r="B21303"/>
      <c r="C21303"/>
      <c r="J21303"/>
      <c r="K21303"/>
      <c r="L21303"/>
    </row>
    <row r="21304" spans="2:12" x14ac:dyDescent="0.2">
      <c r="B21304"/>
      <c r="C21304"/>
      <c r="J21304"/>
      <c r="K21304"/>
      <c r="L21304"/>
    </row>
    <row r="21305" spans="2:12" x14ac:dyDescent="0.2">
      <c r="B21305"/>
      <c r="C21305"/>
      <c r="J21305"/>
      <c r="K21305"/>
      <c r="L21305"/>
    </row>
    <row r="21306" spans="2:12" x14ac:dyDescent="0.2">
      <c r="B21306"/>
      <c r="C21306"/>
      <c r="J21306"/>
      <c r="K21306"/>
      <c r="L21306"/>
    </row>
    <row r="21307" spans="2:12" x14ac:dyDescent="0.2">
      <c r="B21307"/>
      <c r="C21307"/>
      <c r="J21307"/>
      <c r="K21307"/>
      <c r="L21307"/>
    </row>
    <row r="21308" spans="2:12" x14ac:dyDescent="0.2">
      <c r="B21308"/>
      <c r="C21308"/>
      <c r="J21308"/>
      <c r="K21308"/>
      <c r="L21308"/>
    </row>
    <row r="21309" spans="2:12" x14ac:dyDescent="0.2">
      <c r="B21309"/>
      <c r="C21309"/>
      <c r="J21309"/>
      <c r="K21309"/>
      <c r="L21309"/>
    </row>
    <row r="21310" spans="2:12" x14ac:dyDescent="0.2">
      <c r="B21310"/>
      <c r="C21310"/>
      <c r="J21310"/>
      <c r="K21310"/>
      <c r="L21310"/>
    </row>
    <row r="21311" spans="2:12" x14ac:dyDescent="0.2">
      <c r="B21311"/>
      <c r="C21311"/>
      <c r="J21311"/>
      <c r="K21311"/>
      <c r="L21311"/>
    </row>
    <row r="21312" spans="2:12" x14ac:dyDescent="0.2">
      <c r="B21312"/>
      <c r="C21312"/>
      <c r="J21312"/>
      <c r="K21312"/>
      <c r="L21312"/>
    </row>
    <row r="21313" spans="2:12" x14ac:dyDescent="0.2">
      <c r="B21313"/>
      <c r="C21313"/>
      <c r="J21313"/>
      <c r="K21313"/>
      <c r="L21313"/>
    </row>
    <row r="21314" spans="2:12" x14ac:dyDescent="0.2">
      <c r="B21314"/>
      <c r="C21314"/>
      <c r="J21314"/>
      <c r="K21314"/>
      <c r="L21314"/>
    </row>
    <row r="21315" spans="2:12" x14ac:dyDescent="0.2">
      <c r="B21315"/>
      <c r="C21315"/>
      <c r="J21315"/>
      <c r="K21315"/>
      <c r="L21315"/>
    </row>
    <row r="21316" spans="2:12" x14ac:dyDescent="0.2">
      <c r="B21316"/>
      <c r="C21316"/>
      <c r="J21316"/>
      <c r="K21316"/>
      <c r="L21316"/>
    </row>
    <row r="21317" spans="2:12" x14ac:dyDescent="0.2">
      <c r="B21317"/>
      <c r="C21317"/>
      <c r="J21317"/>
      <c r="K21317"/>
      <c r="L21317"/>
    </row>
    <row r="21318" spans="2:12" x14ac:dyDescent="0.2">
      <c r="B21318"/>
      <c r="C21318"/>
      <c r="J21318"/>
      <c r="K21318"/>
      <c r="L21318"/>
    </row>
    <row r="21319" spans="2:12" x14ac:dyDescent="0.2">
      <c r="B21319"/>
      <c r="C21319"/>
      <c r="J21319"/>
      <c r="K21319"/>
      <c r="L21319"/>
    </row>
    <row r="21320" spans="2:12" x14ac:dyDescent="0.2">
      <c r="B21320"/>
      <c r="C21320"/>
      <c r="J21320"/>
      <c r="K21320"/>
      <c r="L21320"/>
    </row>
    <row r="21321" spans="2:12" x14ac:dyDescent="0.2">
      <c r="B21321"/>
      <c r="C21321"/>
      <c r="J21321"/>
      <c r="K21321"/>
      <c r="L21321"/>
    </row>
    <row r="21322" spans="2:12" x14ac:dyDescent="0.2">
      <c r="B21322"/>
      <c r="C21322"/>
      <c r="J21322"/>
      <c r="K21322"/>
      <c r="L21322"/>
    </row>
    <row r="21323" spans="2:12" x14ac:dyDescent="0.2">
      <c r="B21323"/>
      <c r="C21323"/>
      <c r="J21323"/>
      <c r="K21323"/>
      <c r="L21323"/>
    </row>
    <row r="21324" spans="2:12" x14ac:dyDescent="0.2">
      <c r="B21324"/>
      <c r="C21324"/>
      <c r="J21324"/>
      <c r="K21324"/>
      <c r="L21324"/>
    </row>
    <row r="21325" spans="2:12" x14ac:dyDescent="0.2">
      <c r="B21325"/>
      <c r="C21325"/>
      <c r="J21325"/>
      <c r="K21325"/>
      <c r="L21325"/>
    </row>
    <row r="21326" spans="2:12" x14ac:dyDescent="0.2">
      <c r="B21326"/>
      <c r="C21326"/>
      <c r="J21326"/>
      <c r="K21326"/>
      <c r="L21326"/>
    </row>
    <row r="21327" spans="2:12" x14ac:dyDescent="0.2">
      <c r="B21327"/>
      <c r="C21327"/>
      <c r="J21327"/>
      <c r="K21327"/>
      <c r="L21327"/>
    </row>
    <row r="21328" spans="2:12" x14ac:dyDescent="0.2">
      <c r="B21328"/>
      <c r="C21328"/>
      <c r="J21328"/>
      <c r="K21328"/>
      <c r="L21328"/>
    </row>
    <row r="21329" spans="2:12" x14ac:dyDescent="0.2">
      <c r="B21329"/>
      <c r="C21329"/>
      <c r="J21329"/>
      <c r="K21329"/>
      <c r="L21329"/>
    </row>
    <row r="21330" spans="2:12" x14ac:dyDescent="0.2">
      <c r="B21330"/>
      <c r="C21330"/>
      <c r="J21330"/>
      <c r="K21330"/>
      <c r="L21330"/>
    </row>
    <row r="21331" spans="2:12" x14ac:dyDescent="0.2">
      <c r="B21331"/>
      <c r="C21331"/>
      <c r="J21331"/>
      <c r="K21331"/>
      <c r="L21331"/>
    </row>
    <row r="21332" spans="2:12" x14ac:dyDescent="0.2">
      <c r="B21332"/>
      <c r="C21332"/>
      <c r="J21332"/>
      <c r="K21332"/>
      <c r="L21332"/>
    </row>
    <row r="21333" spans="2:12" x14ac:dyDescent="0.2">
      <c r="B21333"/>
      <c r="C21333"/>
      <c r="J21333"/>
      <c r="K21333"/>
      <c r="L21333"/>
    </row>
    <row r="21334" spans="2:12" x14ac:dyDescent="0.2">
      <c r="B21334"/>
      <c r="C21334"/>
      <c r="J21334"/>
      <c r="K21334"/>
      <c r="L21334"/>
    </row>
    <row r="21335" spans="2:12" x14ac:dyDescent="0.2">
      <c r="B21335"/>
      <c r="C21335"/>
      <c r="J21335"/>
      <c r="K21335"/>
      <c r="L21335"/>
    </row>
    <row r="21336" spans="2:12" x14ac:dyDescent="0.2">
      <c r="B21336"/>
      <c r="C21336"/>
      <c r="J21336"/>
      <c r="K21336"/>
      <c r="L21336"/>
    </row>
    <row r="21337" spans="2:12" x14ac:dyDescent="0.2">
      <c r="B21337"/>
      <c r="C21337"/>
      <c r="J21337"/>
      <c r="K21337"/>
      <c r="L21337"/>
    </row>
    <row r="21338" spans="2:12" x14ac:dyDescent="0.2">
      <c r="B21338"/>
      <c r="C21338"/>
      <c r="J21338"/>
      <c r="K21338"/>
      <c r="L21338"/>
    </row>
    <row r="21339" spans="2:12" x14ac:dyDescent="0.2">
      <c r="B21339"/>
      <c r="C21339"/>
      <c r="J21339"/>
      <c r="K21339"/>
      <c r="L21339"/>
    </row>
    <row r="21340" spans="2:12" x14ac:dyDescent="0.2">
      <c r="B21340"/>
      <c r="C21340"/>
      <c r="J21340"/>
      <c r="K21340"/>
      <c r="L21340"/>
    </row>
    <row r="21341" spans="2:12" x14ac:dyDescent="0.2">
      <c r="B21341"/>
      <c r="C21341"/>
      <c r="J21341"/>
      <c r="K21341"/>
      <c r="L21341"/>
    </row>
    <row r="21342" spans="2:12" x14ac:dyDescent="0.2">
      <c r="B21342"/>
      <c r="C21342"/>
      <c r="J21342"/>
      <c r="K21342"/>
      <c r="L21342"/>
    </row>
    <row r="21343" spans="2:12" x14ac:dyDescent="0.2">
      <c r="B21343"/>
      <c r="C21343"/>
      <c r="J21343"/>
      <c r="K21343"/>
      <c r="L21343"/>
    </row>
    <row r="21344" spans="2:12" x14ac:dyDescent="0.2">
      <c r="B21344"/>
      <c r="C21344"/>
      <c r="J21344"/>
      <c r="K21344"/>
      <c r="L21344"/>
    </row>
    <row r="21345" spans="2:12" x14ac:dyDescent="0.2">
      <c r="B21345"/>
      <c r="C21345"/>
      <c r="J21345"/>
      <c r="K21345"/>
      <c r="L21345"/>
    </row>
    <row r="21346" spans="2:12" x14ac:dyDescent="0.2">
      <c r="B21346"/>
      <c r="C21346"/>
      <c r="J21346"/>
      <c r="K21346"/>
      <c r="L21346"/>
    </row>
    <row r="21347" spans="2:12" x14ac:dyDescent="0.2">
      <c r="B21347"/>
      <c r="C21347"/>
      <c r="J21347"/>
      <c r="K21347"/>
      <c r="L21347"/>
    </row>
    <row r="21348" spans="2:12" x14ac:dyDescent="0.2">
      <c r="B21348"/>
      <c r="C21348"/>
      <c r="J21348"/>
      <c r="K21348"/>
      <c r="L21348"/>
    </row>
    <row r="21349" spans="2:12" x14ac:dyDescent="0.2">
      <c r="B21349"/>
      <c r="C21349"/>
      <c r="J21349"/>
      <c r="K21349"/>
      <c r="L21349"/>
    </row>
    <row r="21350" spans="2:12" x14ac:dyDescent="0.2">
      <c r="B21350"/>
      <c r="C21350"/>
      <c r="J21350"/>
      <c r="K21350"/>
      <c r="L21350"/>
    </row>
    <row r="21351" spans="2:12" x14ac:dyDescent="0.2">
      <c r="B21351"/>
      <c r="C21351"/>
      <c r="J21351"/>
      <c r="K21351"/>
      <c r="L21351"/>
    </row>
    <row r="21352" spans="2:12" x14ac:dyDescent="0.2">
      <c r="B21352"/>
      <c r="C21352"/>
      <c r="J21352"/>
      <c r="K21352"/>
      <c r="L21352"/>
    </row>
    <row r="21353" spans="2:12" x14ac:dyDescent="0.2">
      <c r="B21353"/>
      <c r="C21353"/>
      <c r="J21353"/>
      <c r="K21353"/>
      <c r="L21353"/>
    </row>
    <row r="21354" spans="2:12" x14ac:dyDescent="0.2">
      <c r="B21354"/>
      <c r="C21354"/>
      <c r="J21354"/>
      <c r="K21354"/>
      <c r="L21354"/>
    </row>
    <row r="21355" spans="2:12" x14ac:dyDescent="0.2">
      <c r="B21355"/>
      <c r="C21355"/>
      <c r="J21355"/>
      <c r="K21355"/>
      <c r="L21355"/>
    </row>
    <row r="21356" spans="2:12" x14ac:dyDescent="0.2">
      <c r="B21356"/>
      <c r="C21356"/>
      <c r="J21356"/>
      <c r="K21356"/>
      <c r="L21356"/>
    </row>
    <row r="21357" spans="2:12" x14ac:dyDescent="0.2">
      <c r="B21357"/>
      <c r="C21357"/>
      <c r="J21357"/>
      <c r="K21357"/>
      <c r="L21357"/>
    </row>
    <row r="21358" spans="2:12" x14ac:dyDescent="0.2">
      <c r="B21358"/>
      <c r="C21358"/>
      <c r="J21358"/>
      <c r="K21358"/>
      <c r="L21358"/>
    </row>
    <row r="21359" spans="2:12" x14ac:dyDescent="0.2">
      <c r="B21359"/>
      <c r="C21359"/>
      <c r="J21359"/>
      <c r="K21359"/>
      <c r="L21359"/>
    </row>
    <row r="21360" spans="2:12" x14ac:dyDescent="0.2">
      <c r="B21360"/>
      <c r="C21360"/>
      <c r="J21360"/>
      <c r="K21360"/>
      <c r="L21360"/>
    </row>
    <row r="21361" spans="2:12" x14ac:dyDescent="0.2">
      <c r="B21361"/>
      <c r="C21361"/>
      <c r="J21361"/>
      <c r="K21361"/>
      <c r="L21361"/>
    </row>
    <row r="21362" spans="2:12" x14ac:dyDescent="0.2">
      <c r="B21362"/>
      <c r="C21362"/>
      <c r="J21362"/>
      <c r="K21362"/>
      <c r="L21362"/>
    </row>
    <row r="21363" spans="2:12" x14ac:dyDescent="0.2">
      <c r="B21363"/>
      <c r="C21363"/>
      <c r="J21363"/>
      <c r="K21363"/>
      <c r="L21363"/>
    </row>
    <row r="21364" spans="2:12" x14ac:dyDescent="0.2">
      <c r="B21364"/>
      <c r="C21364"/>
      <c r="J21364"/>
      <c r="K21364"/>
      <c r="L21364"/>
    </row>
    <row r="21365" spans="2:12" x14ac:dyDescent="0.2">
      <c r="B21365"/>
      <c r="C21365"/>
      <c r="J21365"/>
      <c r="K21365"/>
      <c r="L21365"/>
    </row>
    <row r="21366" spans="2:12" x14ac:dyDescent="0.2">
      <c r="B21366"/>
      <c r="C21366"/>
      <c r="J21366"/>
      <c r="K21366"/>
      <c r="L21366"/>
    </row>
    <row r="21367" spans="2:12" x14ac:dyDescent="0.2">
      <c r="B21367"/>
      <c r="C21367"/>
      <c r="J21367"/>
      <c r="K21367"/>
      <c r="L21367"/>
    </row>
    <row r="21368" spans="2:12" x14ac:dyDescent="0.2">
      <c r="B21368"/>
      <c r="C21368"/>
      <c r="J21368"/>
      <c r="K21368"/>
      <c r="L21368"/>
    </row>
    <row r="21369" spans="2:12" x14ac:dyDescent="0.2">
      <c r="B21369"/>
      <c r="C21369"/>
      <c r="J21369"/>
      <c r="K21369"/>
      <c r="L21369"/>
    </row>
    <row r="21370" spans="2:12" x14ac:dyDescent="0.2">
      <c r="B21370"/>
      <c r="C21370"/>
      <c r="J21370"/>
      <c r="K21370"/>
      <c r="L21370"/>
    </row>
    <row r="21371" spans="2:12" x14ac:dyDescent="0.2">
      <c r="B21371"/>
      <c r="C21371"/>
      <c r="J21371"/>
      <c r="K21371"/>
      <c r="L21371"/>
    </row>
    <row r="21372" spans="2:12" x14ac:dyDescent="0.2">
      <c r="B21372"/>
      <c r="C21372"/>
      <c r="J21372"/>
      <c r="K21372"/>
      <c r="L21372"/>
    </row>
    <row r="21373" spans="2:12" x14ac:dyDescent="0.2">
      <c r="B21373"/>
      <c r="C21373"/>
      <c r="J21373"/>
      <c r="K21373"/>
      <c r="L21373"/>
    </row>
    <row r="21374" spans="2:12" x14ac:dyDescent="0.2">
      <c r="B21374"/>
      <c r="C21374"/>
      <c r="J21374"/>
      <c r="K21374"/>
      <c r="L21374"/>
    </row>
    <row r="21375" spans="2:12" x14ac:dyDescent="0.2">
      <c r="B21375"/>
      <c r="C21375"/>
      <c r="J21375"/>
      <c r="K21375"/>
      <c r="L21375"/>
    </row>
    <row r="21376" spans="2:12" x14ac:dyDescent="0.2">
      <c r="B21376"/>
      <c r="C21376"/>
      <c r="J21376"/>
      <c r="K21376"/>
      <c r="L21376"/>
    </row>
    <row r="21377" spans="2:12" x14ac:dyDescent="0.2">
      <c r="B21377"/>
      <c r="C21377"/>
      <c r="J21377"/>
      <c r="K21377"/>
      <c r="L21377"/>
    </row>
    <row r="21378" spans="2:12" x14ac:dyDescent="0.2">
      <c r="B21378"/>
      <c r="C21378"/>
      <c r="J21378"/>
      <c r="K21378"/>
      <c r="L21378"/>
    </row>
    <row r="21379" spans="2:12" x14ac:dyDescent="0.2">
      <c r="B21379"/>
      <c r="C21379"/>
      <c r="J21379"/>
      <c r="K21379"/>
      <c r="L21379"/>
    </row>
    <row r="21380" spans="2:12" x14ac:dyDescent="0.2">
      <c r="B21380"/>
      <c r="C21380"/>
      <c r="J21380"/>
      <c r="K21380"/>
      <c r="L21380"/>
    </row>
    <row r="21381" spans="2:12" x14ac:dyDescent="0.2">
      <c r="B21381"/>
      <c r="C21381"/>
      <c r="J21381"/>
      <c r="K21381"/>
      <c r="L21381"/>
    </row>
    <row r="21382" spans="2:12" x14ac:dyDescent="0.2">
      <c r="B21382"/>
      <c r="C21382"/>
      <c r="J21382"/>
      <c r="K21382"/>
      <c r="L21382"/>
    </row>
    <row r="21383" spans="2:12" x14ac:dyDescent="0.2">
      <c r="B21383"/>
      <c r="C21383"/>
      <c r="J21383"/>
      <c r="K21383"/>
      <c r="L21383"/>
    </row>
    <row r="21384" spans="2:12" x14ac:dyDescent="0.2">
      <c r="B21384"/>
      <c r="C21384"/>
      <c r="J21384"/>
      <c r="K21384"/>
      <c r="L21384"/>
    </row>
    <row r="21385" spans="2:12" x14ac:dyDescent="0.2">
      <c r="B21385"/>
      <c r="C21385"/>
      <c r="J21385"/>
      <c r="K21385"/>
      <c r="L21385"/>
    </row>
    <row r="21386" spans="2:12" x14ac:dyDescent="0.2">
      <c r="B21386"/>
      <c r="C21386"/>
      <c r="J21386"/>
      <c r="K21386"/>
      <c r="L21386"/>
    </row>
    <row r="21387" spans="2:12" x14ac:dyDescent="0.2">
      <c r="B21387"/>
      <c r="C21387"/>
      <c r="J21387"/>
      <c r="K21387"/>
      <c r="L21387"/>
    </row>
    <row r="21388" spans="2:12" x14ac:dyDescent="0.2">
      <c r="B21388"/>
      <c r="C21388"/>
      <c r="J21388"/>
      <c r="K21388"/>
      <c r="L21388"/>
    </row>
    <row r="21389" spans="2:12" x14ac:dyDescent="0.2">
      <c r="B21389"/>
      <c r="C21389"/>
      <c r="J21389"/>
      <c r="K21389"/>
      <c r="L21389"/>
    </row>
    <row r="21390" spans="2:12" x14ac:dyDescent="0.2">
      <c r="B21390"/>
      <c r="C21390"/>
      <c r="J21390"/>
      <c r="K21390"/>
      <c r="L21390"/>
    </row>
    <row r="21391" spans="2:12" x14ac:dyDescent="0.2">
      <c r="B21391"/>
      <c r="C21391"/>
      <c r="J21391"/>
      <c r="K21391"/>
      <c r="L21391"/>
    </row>
    <row r="21392" spans="2:12" x14ac:dyDescent="0.2">
      <c r="B21392"/>
      <c r="C21392"/>
      <c r="J21392"/>
      <c r="K21392"/>
      <c r="L21392"/>
    </row>
    <row r="21393" spans="2:12" x14ac:dyDescent="0.2">
      <c r="B21393"/>
      <c r="C21393"/>
      <c r="J21393"/>
      <c r="K21393"/>
      <c r="L21393"/>
    </row>
    <row r="21394" spans="2:12" x14ac:dyDescent="0.2">
      <c r="B21394"/>
      <c r="C21394"/>
      <c r="J21394"/>
      <c r="K21394"/>
      <c r="L21394"/>
    </row>
    <row r="21395" spans="2:12" x14ac:dyDescent="0.2">
      <c r="B21395"/>
      <c r="C21395"/>
      <c r="J21395"/>
      <c r="K21395"/>
      <c r="L21395"/>
    </row>
    <row r="21396" spans="2:12" x14ac:dyDescent="0.2">
      <c r="B21396"/>
      <c r="C21396"/>
      <c r="J21396"/>
      <c r="K21396"/>
      <c r="L21396"/>
    </row>
    <row r="21397" spans="2:12" x14ac:dyDescent="0.2">
      <c r="B21397"/>
      <c r="C21397"/>
      <c r="J21397"/>
      <c r="K21397"/>
      <c r="L21397"/>
    </row>
    <row r="21398" spans="2:12" x14ac:dyDescent="0.2">
      <c r="B21398"/>
      <c r="C21398"/>
      <c r="J21398"/>
      <c r="K21398"/>
      <c r="L21398"/>
    </row>
    <row r="21399" spans="2:12" x14ac:dyDescent="0.2">
      <c r="B21399"/>
      <c r="C21399"/>
      <c r="J21399"/>
      <c r="K21399"/>
      <c r="L21399"/>
    </row>
    <row r="21400" spans="2:12" x14ac:dyDescent="0.2">
      <c r="B21400"/>
      <c r="C21400"/>
      <c r="J21400"/>
      <c r="K21400"/>
      <c r="L21400"/>
    </row>
    <row r="21401" spans="2:12" x14ac:dyDescent="0.2">
      <c r="B21401"/>
      <c r="C21401"/>
      <c r="J21401"/>
      <c r="K21401"/>
      <c r="L21401"/>
    </row>
    <row r="21402" spans="2:12" x14ac:dyDescent="0.2">
      <c r="B21402"/>
      <c r="C21402"/>
      <c r="J21402"/>
      <c r="K21402"/>
      <c r="L21402"/>
    </row>
    <row r="21403" spans="2:12" x14ac:dyDescent="0.2">
      <c r="B21403"/>
      <c r="C21403"/>
      <c r="J21403"/>
      <c r="K21403"/>
      <c r="L21403"/>
    </row>
    <row r="21404" spans="2:12" x14ac:dyDescent="0.2">
      <c r="B21404"/>
      <c r="C21404"/>
      <c r="J21404"/>
      <c r="K21404"/>
      <c r="L21404"/>
    </row>
    <row r="21405" spans="2:12" x14ac:dyDescent="0.2">
      <c r="B21405"/>
      <c r="C21405"/>
      <c r="J21405"/>
      <c r="K21405"/>
      <c r="L21405"/>
    </row>
    <row r="21406" spans="2:12" x14ac:dyDescent="0.2">
      <c r="B21406"/>
      <c r="C21406"/>
      <c r="J21406"/>
      <c r="K21406"/>
      <c r="L21406"/>
    </row>
    <row r="21407" spans="2:12" x14ac:dyDescent="0.2">
      <c r="B21407"/>
      <c r="C21407"/>
      <c r="J21407"/>
      <c r="K21407"/>
      <c r="L21407"/>
    </row>
    <row r="21408" spans="2:12" x14ac:dyDescent="0.2">
      <c r="B21408"/>
      <c r="C21408"/>
      <c r="J21408"/>
      <c r="K21408"/>
      <c r="L21408"/>
    </row>
    <row r="21409" spans="2:12" x14ac:dyDescent="0.2">
      <c r="B21409"/>
      <c r="C21409"/>
      <c r="J21409"/>
      <c r="K21409"/>
      <c r="L21409"/>
    </row>
    <row r="21410" spans="2:12" x14ac:dyDescent="0.2">
      <c r="B21410"/>
      <c r="C21410"/>
      <c r="J21410"/>
      <c r="K21410"/>
      <c r="L21410"/>
    </row>
    <row r="21411" spans="2:12" x14ac:dyDescent="0.2">
      <c r="B21411"/>
      <c r="C21411"/>
      <c r="J21411"/>
      <c r="K21411"/>
      <c r="L21411"/>
    </row>
    <row r="21412" spans="2:12" x14ac:dyDescent="0.2">
      <c r="B21412"/>
      <c r="C21412"/>
      <c r="J21412"/>
      <c r="K21412"/>
      <c r="L21412"/>
    </row>
    <row r="21413" spans="2:12" x14ac:dyDescent="0.2">
      <c r="B21413"/>
      <c r="C21413"/>
      <c r="J21413"/>
      <c r="K21413"/>
      <c r="L21413"/>
    </row>
    <row r="21414" spans="2:12" x14ac:dyDescent="0.2">
      <c r="B21414"/>
      <c r="C21414"/>
      <c r="J21414"/>
      <c r="K21414"/>
      <c r="L21414"/>
    </row>
    <row r="21415" spans="2:12" x14ac:dyDescent="0.2">
      <c r="B21415"/>
      <c r="C21415"/>
      <c r="J21415"/>
      <c r="K21415"/>
      <c r="L21415"/>
    </row>
    <row r="21416" spans="2:12" x14ac:dyDescent="0.2">
      <c r="B21416"/>
      <c r="C21416"/>
      <c r="J21416"/>
      <c r="K21416"/>
      <c r="L21416"/>
    </row>
    <row r="21417" spans="2:12" x14ac:dyDescent="0.2">
      <c r="B21417"/>
      <c r="C21417"/>
      <c r="J21417"/>
      <c r="K21417"/>
      <c r="L21417"/>
    </row>
    <row r="21418" spans="2:12" x14ac:dyDescent="0.2">
      <c r="B21418"/>
      <c r="C21418"/>
      <c r="J21418"/>
      <c r="K21418"/>
      <c r="L21418"/>
    </row>
    <row r="21419" spans="2:12" x14ac:dyDescent="0.2">
      <c r="B21419"/>
      <c r="C21419"/>
      <c r="J21419"/>
      <c r="K21419"/>
      <c r="L21419"/>
    </row>
    <row r="21420" spans="2:12" x14ac:dyDescent="0.2">
      <c r="B21420"/>
      <c r="C21420"/>
      <c r="J21420"/>
      <c r="K21420"/>
      <c r="L21420"/>
    </row>
    <row r="21421" spans="2:12" x14ac:dyDescent="0.2">
      <c r="B21421"/>
      <c r="C21421"/>
      <c r="J21421"/>
      <c r="K21421"/>
      <c r="L21421"/>
    </row>
    <row r="21422" spans="2:12" x14ac:dyDescent="0.2">
      <c r="B21422"/>
      <c r="C21422"/>
      <c r="J21422"/>
      <c r="K21422"/>
      <c r="L21422"/>
    </row>
    <row r="21423" spans="2:12" x14ac:dyDescent="0.2">
      <c r="B21423"/>
      <c r="C21423"/>
      <c r="J21423"/>
      <c r="K21423"/>
      <c r="L21423"/>
    </row>
    <row r="21424" spans="2:12" x14ac:dyDescent="0.2">
      <c r="B21424"/>
      <c r="C21424"/>
      <c r="J21424"/>
      <c r="K21424"/>
      <c r="L21424"/>
    </row>
    <row r="21425" spans="2:12" x14ac:dyDescent="0.2">
      <c r="B21425"/>
      <c r="C21425"/>
      <c r="J21425"/>
      <c r="K21425"/>
      <c r="L21425"/>
    </row>
    <row r="21426" spans="2:12" x14ac:dyDescent="0.2">
      <c r="B21426"/>
      <c r="C21426"/>
      <c r="J21426"/>
      <c r="K21426"/>
      <c r="L21426"/>
    </row>
    <row r="21427" spans="2:12" x14ac:dyDescent="0.2">
      <c r="B21427"/>
      <c r="C21427"/>
      <c r="J21427"/>
      <c r="K21427"/>
      <c r="L21427"/>
    </row>
    <row r="21428" spans="2:12" x14ac:dyDescent="0.2">
      <c r="B21428"/>
      <c r="C21428"/>
      <c r="J21428"/>
      <c r="K21428"/>
      <c r="L21428"/>
    </row>
    <row r="21429" spans="2:12" x14ac:dyDescent="0.2">
      <c r="B21429"/>
      <c r="C21429"/>
      <c r="J21429"/>
      <c r="K21429"/>
      <c r="L21429"/>
    </row>
    <row r="21430" spans="2:12" x14ac:dyDescent="0.2">
      <c r="B21430"/>
      <c r="C21430"/>
      <c r="J21430"/>
      <c r="K21430"/>
      <c r="L21430"/>
    </row>
    <row r="21431" spans="2:12" x14ac:dyDescent="0.2">
      <c r="B21431"/>
      <c r="C21431"/>
      <c r="J21431"/>
      <c r="K21431"/>
      <c r="L21431"/>
    </row>
    <row r="21432" spans="2:12" x14ac:dyDescent="0.2">
      <c r="B21432"/>
      <c r="C21432"/>
      <c r="J21432"/>
      <c r="K21432"/>
      <c r="L21432"/>
    </row>
    <row r="21433" spans="2:12" x14ac:dyDescent="0.2">
      <c r="B21433"/>
      <c r="C21433"/>
      <c r="J21433"/>
      <c r="K21433"/>
      <c r="L21433"/>
    </row>
    <row r="21434" spans="2:12" x14ac:dyDescent="0.2">
      <c r="B21434"/>
      <c r="C21434"/>
      <c r="J21434"/>
      <c r="K21434"/>
      <c r="L21434"/>
    </row>
    <row r="21435" spans="2:12" x14ac:dyDescent="0.2">
      <c r="B21435"/>
      <c r="C21435"/>
      <c r="J21435"/>
      <c r="K21435"/>
      <c r="L21435"/>
    </row>
    <row r="21436" spans="2:12" x14ac:dyDescent="0.2">
      <c r="B21436"/>
      <c r="C21436"/>
      <c r="J21436"/>
      <c r="K21436"/>
      <c r="L21436"/>
    </row>
    <row r="21437" spans="2:12" x14ac:dyDescent="0.2">
      <c r="B21437"/>
      <c r="C21437"/>
      <c r="J21437"/>
      <c r="K21437"/>
      <c r="L21437"/>
    </row>
    <row r="21438" spans="2:12" x14ac:dyDescent="0.2">
      <c r="B21438"/>
      <c r="C21438"/>
      <c r="J21438"/>
      <c r="K21438"/>
      <c r="L21438"/>
    </row>
    <row r="21439" spans="2:12" x14ac:dyDescent="0.2">
      <c r="B21439"/>
      <c r="C21439"/>
      <c r="J21439"/>
      <c r="K21439"/>
      <c r="L21439"/>
    </row>
    <row r="21440" spans="2:12" x14ac:dyDescent="0.2">
      <c r="B21440"/>
      <c r="C21440"/>
      <c r="J21440"/>
      <c r="K21440"/>
      <c r="L21440"/>
    </row>
    <row r="21441" spans="2:12" x14ac:dyDescent="0.2">
      <c r="B21441"/>
      <c r="C21441"/>
      <c r="J21441"/>
      <c r="K21441"/>
      <c r="L21441"/>
    </row>
    <row r="21442" spans="2:12" x14ac:dyDescent="0.2">
      <c r="B21442"/>
      <c r="C21442"/>
      <c r="J21442"/>
      <c r="K21442"/>
      <c r="L21442"/>
    </row>
    <row r="21443" spans="2:12" x14ac:dyDescent="0.2">
      <c r="B21443"/>
      <c r="C21443"/>
      <c r="J21443"/>
      <c r="K21443"/>
      <c r="L21443"/>
    </row>
    <row r="21444" spans="2:12" x14ac:dyDescent="0.2">
      <c r="B21444"/>
      <c r="C21444"/>
      <c r="J21444"/>
      <c r="K21444"/>
      <c r="L21444"/>
    </row>
    <row r="21445" spans="2:12" x14ac:dyDescent="0.2">
      <c r="B21445"/>
      <c r="C21445"/>
      <c r="J21445"/>
      <c r="K21445"/>
      <c r="L21445"/>
    </row>
    <row r="21446" spans="2:12" x14ac:dyDescent="0.2">
      <c r="B21446"/>
      <c r="C21446"/>
      <c r="J21446"/>
      <c r="K21446"/>
      <c r="L21446"/>
    </row>
    <row r="21447" spans="2:12" x14ac:dyDescent="0.2">
      <c r="B21447"/>
      <c r="C21447"/>
      <c r="J21447"/>
      <c r="K21447"/>
      <c r="L21447"/>
    </row>
    <row r="21448" spans="2:12" x14ac:dyDescent="0.2">
      <c r="B21448"/>
      <c r="C21448"/>
      <c r="J21448"/>
      <c r="K21448"/>
      <c r="L21448"/>
    </row>
    <row r="21449" spans="2:12" x14ac:dyDescent="0.2">
      <c r="B21449"/>
      <c r="C21449"/>
      <c r="J21449"/>
      <c r="K21449"/>
      <c r="L21449"/>
    </row>
    <row r="21450" spans="2:12" x14ac:dyDescent="0.2">
      <c r="B21450"/>
      <c r="C21450"/>
      <c r="J21450"/>
      <c r="K21450"/>
      <c r="L21450"/>
    </row>
    <row r="21451" spans="2:12" x14ac:dyDescent="0.2">
      <c r="B21451"/>
      <c r="C21451"/>
      <c r="J21451"/>
      <c r="K21451"/>
      <c r="L21451"/>
    </row>
    <row r="21452" spans="2:12" x14ac:dyDescent="0.2">
      <c r="B21452"/>
      <c r="C21452"/>
      <c r="J21452"/>
      <c r="K21452"/>
      <c r="L21452"/>
    </row>
    <row r="21453" spans="2:12" x14ac:dyDescent="0.2">
      <c r="B21453"/>
      <c r="C21453"/>
      <c r="J21453"/>
      <c r="K21453"/>
      <c r="L21453"/>
    </row>
    <row r="21454" spans="2:12" x14ac:dyDescent="0.2">
      <c r="B21454"/>
      <c r="C21454"/>
      <c r="J21454"/>
      <c r="K21454"/>
      <c r="L21454"/>
    </row>
    <row r="21455" spans="2:12" x14ac:dyDescent="0.2">
      <c r="B21455"/>
      <c r="C21455"/>
      <c r="J21455"/>
      <c r="K21455"/>
      <c r="L21455"/>
    </row>
    <row r="21456" spans="2:12" x14ac:dyDescent="0.2">
      <c r="B21456"/>
      <c r="C21456"/>
      <c r="J21456"/>
      <c r="K21456"/>
      <c r="L21456"/>
    </row>
    <row r="21457" spans="2:12" x14ac:dyDescent="0.2">
      <c r="B21457"/>
      <c r="C21457"/>
      <c r="J21457"/>
      <c r="K21457"/>
      <c r="L21457"/>
    </row>
    <row r="21458" spans="2:12" x14ac:dyDescent="0.2">
      <c r="B21458"/>
      <c r="C21458"/>
      <c r="J21458"/>
      <c r="K21458"/>
      <c r="L21458"/>
    </row>
    <row r="21459" spans="2:12" x14ac:dyDescent="0.2">
      <c r="B21459"/>
      <c r="C21459"/>
      <c r="J21459"/>
      <c r="K21459"/>
      <c r="L21459"/>
    </row>
    <row r="21460" spans="2:12" x14ac:dyDescent="0.2">
      <c r="B21460"/>
      <c r="C21460"/>
      <c r="J21460"/>
      <c r="K21460"/>
      <c r="L21460"/>
    </row>
    <row r="21461" spans="2:12" x14ac:dyDescent="0.2">
      <c r="B21461"/>
      <c r="C21461"/>
      <c r="J21461"/>
      <c r="K21461"/>
      <c r="L21461"/>
    </row>
    <row r="21462" spans="2:12" x14ac:dyDescent="0.2">
      <c r="B21462"/>
      <c r="C21462"/>
      <c r="J21462"/>
      <c r="K21462"/>
      <c r="L21462"/>
    </row>
    <row r="21463" spans="2:12" x14ac:dyDescent="0.2">
      <c r="B21463"/>
      <c r="C21463"/>
      <c r="J21463"/>
      <c r="K21463"/>
      <c r="L21463"/>
    </row>
    <row r="21464" spans="2:12" x14ac:dyDescent="0.2">
      <c r="B21464"/>
      <c r="C21464"/>
      <c r="J21464"/>
      <c r="K21464"/>
      <c r="L21464"/>
    </row>
    <row r="21465" spans="2:12" x14ac:dyDescent="0.2">
      <c r="B21465"/>
      <c r="C21465"/>
      <c r="J21465"/>
      <c r="K21465"/>
      <c r="L21465"/>
    </row>
    <row r="21466" spans="2:12" x14ac:dyDescent="0.2">
      <c r="B21466"/>
      <c r="C21466"/>
      <c r="J21466"/>
      <c r="K21466"/>
      <c r="L21466"/>
    </row>
    <row r="21467" spans="2:12" x14ac:dyDescent="0.2">
      <c r="B21467"/>
      <c r="C21467"/>
      <c r="J21467"/>
      <c r="K21467"/>
      <c r="L21467"/>
    </row>
    <row r="21468" spans="2:12" x14ac:dyDescent="0.2">
      <c r="B21468"/>
      <c r="C21468"/>
      <c r="J21468"/>
      <c r="K21468"/>
      <c r="L21468"/>
    </row>
    <row r="21469" spans="2:12" x14ac:dyDescent="0.2">
      <c r="B21469"/>
      <c r="C21469"/>
      <c r="J21469"/>
      <c r="K21469"/>
      <c r="L21469"/>
    </row>
    <row r="21470" spans="2:12" x14ac:dyDescent="0.2">
      <c r="B21470"/>
      <c r="C21470"/>
      <c r="J21470"/>
      <c r="K21470"/>
      <c r="L21470"/>
    </row>
    <row r="21471" spans="2:12" x14ac:dyDescent="0.2">
      <c r="B21471"/>
      <c r="C21471"/>
      <c r="J21471"/>
      <c r="K21471"/>
      <c r="L21471"/>
    </row>
    <row r="21472" spans="2:12" x14ac:dyDescent="0.2">
      <c r="B21472"/>
      <c r="C21472"/>
      <c r="J21472"/>
      <c r="K21472"/>
      <c r="L21472"/>
    </row>
    <row r="21473" spans="2:12" x14ac:dyDescent="0.2">
      <c r="B21473"/>
      <c r="C21473"/>
      <c r="J21473"/>
      <c r="K21473"/>
      <c r="L21473"/>
    </row>
    <row r="21474" spans="2:12" x14ac:dyDescent="0.2">
      <c r="B21474"/>
      <c r="C21474"/>
      <c r="J21474"/>
      <c r="K21474"/>
      <c r="L21474"/>
    </row>
    <row r="21475" spans="2:12" x14ac:dyDescent="0.2">
      <c r="B21475"/>
      <c r="C21475"/>
      <c r="J21475"/>
      <c r="K21475"/>
      <c r="L21475"/>
    </row>
    <row r="21476" spans="2:12" x14ac:dyDescent="0.2">
      <c r="B21476"/>
      <c r="C21476"/>
      <c r="J21476"/>
      <c r="K21476"/>
      <c r="L21476"/>
    </row>
    <row r="21477" spans="2:12" x14ac:dyDescent="0.2">
      <c r="B21477"/>
      <c r="C21477"/>
      <c r="J21477"/>
      <c r="K21477"/>
      <c r="L21477"/>
    </row>
    <row r="21478" spans="2:12" x14ac:dyDescent="0.2">
      <c r="B21478"/>
      <c r="C21478"/>
      <c r="J21478"/>
      <c r="K21478"/>
      <c r="L21478"/>
    </row>
    <row r="21479" spans="2:12" x14ac:dyDescent="0.2">
      <c r="B21479"/>
      <c r="C21479"/>
      <c r="J21479"/>
      <c r="K21479"/>
      <c r="L21479"/>
    </row>
    <row r="21480" spans="2:12" x14ac:dyDescent="0.2">
      <c r="B21480"/>
      <c r="C21480"/>
      <c r="J21480"/>
      <c r="K21480"/>
      <c r="L21480"/>
    </row>
    <row r="21481" spans="2:12" x14ac:dyDescent="0.2">
      <c r="B21481"/>
      <c r="C21481"/>
      <c r="J21481"/>
      <c r="K21481"/>
      <c r="L21481"/>
    </row>
    <row r="21482" spans="2:12" x14ac:dyDescent="0.2">
      <c r="B21482"/>
      <c r="C21482"/>
      <c r="J21482"/>
      <c r="K21482"/>
      <c r="L21482"/>
    </row>
    <row r="21483" spans="2:12" x14ac:dyDescent="0.2">
      <c r="B21483"/>
      <c r="C21483"/>
      <c r="J21483"/>
      <c r="K21483"/>
      <c r="L21483"/>
    </row>
    <row r="21484" spans="2:12" x14ac:dyDescent="0.2">
      <c r="B21484"/>
      <c r="C21484"/>
      <c r="J21484"/>
      <c r="K21484"/>
      <c r="L21484"/>
    </row>
    <row r="21485" spans="2:12" x14ac:dyDescent="0.2">
      <c r="B21485"/>
      <c r="C21485"/>
      <c r="J21485"/>
      <c r="K21485"/>
      <c r="L21485"/>
    </row>
    <row r="21486" spans="2:12" x14ac:dyDescent="0.2">
      <c r="B21486"/>
      <c r="C21486"/>
      <c r="J21486"/>
      <c r="K21486"/>
      <c r="L21486"/>
    </row>
    <row r="21487" spans="2:12" x14ac:dyDescent="0.2">
      <c r="B21487"/>
      <c r="C21487"/>
      <c r="J21487"/>
      <c r="K21487"/>
      <c r="L21487"/>
    </row>
    <row r="21488" spans="2:12" x14ac:dyDescent="0.2">
      <c r="B21488"/>
      <c r="C21488"/>
      <c r="J21488"/>
      <c r="K21488"/>
      <c r="L21488"/>
    </row>
    <row r="21489" spans="2:12" x14ac:dyDescent="0.2">
      <c r="B21489"/>
      <c r="C21489"/>
      <c r="J21489"/>
      <c r="K21489"/>
      <c r="L21489"/>
    </row>
    <row r="21490" spans="2:12" x14ac:dyDescent="0.2">
      <c r="B21490"/>
      <c r="C21490"/>
      <c r="J21490"/>
      <c r="K21490"/>
      <c r="L21490"/>
    </row>
    <row r="21491" spans="2:12" x14ac:dyDescent="0.2">
      <c r="B21491"/>
      <c r="C21491"/>
      <c r="J21491"/>
      <c r="K21491"/>
      <c r="L21491"/>
    </row>
    <row r="21492" spans="2:12" x14ac:dyDescent="0.2">
      <c r="B21492"/>
      <c r="C21492"/>
      <c r="J21492"/>
      <c r="K21492"/>
      <c r="L21492"/>
    </row>
    <row r="21493" spans="2:12" x14ac:dyDescent="0.2">
      <c r="B21493"/>
      <c r="C21493"/>
      <c r="J21493"/>
      <c r="K21493"/>
      <c r="L21493"/>
    </row>
    <row r="21494" spans="2:12" x14ac:dyDescent="0.2">
      <c r="B21494"/>
      <c r="C21494"/>
      <c r="J21494"/>
      <c r="K21494"/>
      <c r="L21494"/>
    </row>
    <row r="21495" spans="2:12" x14ac:dyDescent="0.2">
      <c r="B21495"/>
      <c r="C21495"/>
      <c r="J21495"/>
      <c r="K21495"/>
      <c r="L21495"/>
    </row>
    <row r="21496" spans="2:12" x14ac:dyDescent="0.2">
      <c r="B21496"/>
      <c r="C21496"/>
      <c r="J21496"/>
      <c r="K21496"/>
      <c r="L21496"/>
    </row>
    <row r="21497" spans="2:12" x14ac:dyDescent="0.2">
      <c r="B21497"/>
      <c r="C21497"/>
      <c r="J21497"/>
      <c r="K21497"/>
      <c r="L21497"/>
    </row>
    <row r="21498" spans="2:12" x14ac:dyDescent="0.2">
      <c r="B21498"/>
      <c r="C21498"/>
      <c r="J21498"/>
      <c r="K21498"/>
      <c r="L21498"/>
    </row>
    <row r="21499" spans="2:12" x14ac:dyDescent="0.2">
      <c r="B21499"/>
      <c r="C21499"/>
      <c r="J21499"/>
      <c r="K21499"/>
      <c r="L21499"/>
    </row>
    <row r="21500" spans="2:12" x14ac:dyDescent="0.2">
      <c r="B21500"/>
      <c r="C21500"/>
      <c r="J21500"/>
      <c r="K21500"/>
      <c r="L21500"/>
    </row>
    <row r="21501" spans="2:12" x14ac:dyDescent="0.2">
      <c r="B21501"/>
      <c r="C21501"/>
      <c r="J21501"/>
      <c r="K21501"/>
      <c r="L21501"/>
    </row>
    <row r="21502" spans="2:12" x14ac:dyDescent="0.2">
      <c r="B21502"/>
      <c r="C21502"/>
      <c r="J21502"/>
      <c r="K21502"/>
      <c r="L21502"/>
    </row>
    <row r="21503" spans="2:12" x14ac:dyDescent="0.2">
      <c r="B21503"/>
      <c r="C21503"/>
      <c r="J21503"/>
      <c r="K21503"/>
      <c r="L21503"/>
    </row>
    <row r="21504" spans="2:12" x14ac:dyDescent="0.2">
      <c r="B21504"/>
      <c r="C21504"/>
      <c r="J21504"/>
      <c r="K21504"/>
      <c r="L21504"/>
    </row>
    <row r="21505" spans="2:12" x14ac:dyDescent="0.2">
      <c r="B21505"/>
      <c r="C21505"/>
      <c r="J21505"/>
      <c r="K21505"/>
      <c r="L21505"/>
    </row>
    <row r="21506" spans="2:12" x14ac:dyDescent="0.2">
      <c r="B21506"/>
      <c r="C21506"/>
      <c r="J21506"/>
      <c r="K21506"/>
      <c r="L21506"/>
    </row>
    <row r="21507" spans="2:12" x14ac:dyDescent="0.2">
      <c r="B21507"/>
      <c r="C21507"/>
      <c r="J21507"/>
      <c r="K21507"/>
      <c r="L21507"/>
    </row>
    <row r="21508" spans="2:12" x14ac:dyDescent="0.2">
      <c r="B21508"/>
      <c r="C21508"/>
      <c r="J21508"/>
      <c r="K21508"/>
      <c r="L21508"/>
    </row>
    <row r="21509" spans="2:12" x14ac:dyDescent="0.2">
      <c r="B21509"/>
      <c r="C21509"/>
      <c r="J21509"/>
      <c r="K21509"/>
      <c r="L21509"/>
    </row>
    <row r="21510" spans="2:12" x14ac:dyDescent="0.2">
      <c r="B21510"/>
      <c r="C21510"/>
      <c r="J21510"/>
      <c r="K21510"/>
      <c r="L21510"/>
    </row>
    <row r="21511" spans="2:12" x14ac:dyDescent="0.2">
      <c r="B21511"/>
      <c r="C21511"/>
      <c r="J21511"/>
      <c r="K21511"/>
      <c r="L21511"/>
    </row>
    <row r="21512" spans="2:12" x14ac:dyDescent="0.2">
      <c r="B21512"/>
      <c r="C21512"/>
      <c r="J21512"/>
      <c r="K21512"/>
      <c r="L21512"/>
    </row>
    <row r="21513" spans="2:12" x14ac:dyDescent="0.2">
      <c r="B21513"/>
      <c r="C21513"/>
      <c r="J21513"/>
      <c r="K21513"/>
      <c r="L21513"/>
    </row>
    <row r="21514" spans="2:12" x14ac:dyDescent="0.2">
      <c r="B21514"/>
      <c r="C21514"/>
      <c r="J21514"/>
      <c r="K21514"/>
      <c r="L21514"/>
    </row>
    <row r="21515" spans="2:12" x14ac:dyDescent="0.2">
      <c r="B21515"/>
      <c r="C21515"/>
      <c r="J21515"/>
      <c r="K21515"/>
      <c r="L21515"/>
    </row>
    <row r="21516" spans="2:12" x14ac:dyDescent="0.2">
      <c r="B21516"/>
      <c r="C21516"/>
      <c r="J21516"/>
      <c r="K21516"/>
      <c r="L21516"/>
    </row>
    <row r="21517" spans="2:12" x14ac:dyDescent="0.2">
      <c r="B21517"/>
      <c r="C21517"/>
      <c r="J21517"/>
      <c r="K21517"/>
      <c r="L21517"/>
    </row>
    <row r="21518" spans="2:12" x14ac:dyDescent="0.2">
      <c r="B21518"/>
      <c r="C21518"/>
      <c r="J21518"/>
      <c r="K21518"/>
      <c r="L21518"/>
    </row>
    <row r="21519" spans="2:12" x14ac:dyDescent="0.2">
      <c r="B21519"/>
      <c r="C21519"/>
      <c r="J21519"/>
      <c r="K21519"/>
      <c r="L21519"/>
    </row>
    <row r="21520" spans="2:12" x14ac:dyDescent="0.2">
      <c r="B21520"/>
      <c r="C21520"/>
      <c r="J21520"/>
      <c r="K21520"/>
      <c r="L21520"/>
    </row>
    <row r="21521" spans="2:12" x14ac:dyDescent="0.2">
      <c r="B21521"/>
      <c r="C21521"/>
      <c r="J21521"/>
      <c r="K21521"/>
      <c r="L21521"/>
    </row>
    <row r="21522" spans="2:12" x14ac:dyDescent="0.2">
      <c r="B21522"/>
      <c r="C21522"/>
      <c r="J21522"/>
      <c r="K21522"/>
      <c r="L21522"/>
    </row>
    <row r="21523" spans="2:12" x14ac:dyDescent="0.2">
      <c r="B21523"/>
      <c r="C21523"/>
      <c r="J21523"/>
      <c r="K21523"/>
      <c r="L21523"/>
    </row>
    <row r="21524" spans="2:12" x14ac:dyDescent="0.2">
      <c r="B21524"/>
      <c r="C21524"/>
      <c r="J21524"/>
      <c r="K21524"/>
      <c r="L21524"/>
    </row>
    <row r="21525" spans="2:12" x14ac:dyDescent="0.2">
      <c r="B21525"/>
      <c r="C21525"/>
      <c r="J21525"/>
      <c r="K21525"/>
      <c r="L21525"/>
    </row>
    <row r="21526" spans="2:12" x14ac:dyDescent="0.2">
      <c r="B21526"/>
      <c r="C21526"/>
      <c r="J21526"/>
      <c r="K21526"/>
      <c r="L21526"/>
    </row>
    <row r="21527" spans="2:12" x14ac:dyDescent="0.2">
      <c r="B21527"/>
      <c r="C21527"/>
      <c r="J21527"/>
      <c r="K21527"/>
      <c r="L21527"/>
    </row>
    <row r="21528" spans="2:12" x14ac:dyDescent="0.2">
      <c r="B21528"/>
      <c r="C21528"/>
      <c r="J21528"/>
      <c r="K21528"/>
      <c r="L21528"/>
    </row>
    <row r="21529" spans="2:12" x14ac:dyDescent="0.2">
      <c r="B21529"/>
      <c r="C21529"/>
      <c r="J21529"/>
      <c r="K21529"/>
      <c r="L21529"/>
    </row>
    <row r="21530" spans="2:12" x14ac:dyDescent="0.2">
      <c r="B21530"/>
      <c r="C21530"/>
      <c r="J21530"/>
      <c r="K21530"/>
      <c r="L21530"/>
    </row>
    <row r="21531" spans="2:12" x14ac:dyDescent="0.2">
      <c r="B21531"/>
      <c r="C21531"/>
      <c r="J21531"/>
      <c r="K21531"/>
      <c r="L21531"/>
    </row>
    <row r="21532" spans="2:12" x14ac:dyDescent="0.2">
      <c r="B21532"/>
      <c r="C21532"/>
      <c r="J21532"/>
      <c r="K21532"/>
      <c r="L21532"/>
    </row>
    <row r="21533" spans="2:12" x14ac:dyDescent="0.2">
      <c r="B21533"/>
      <c r="C21533"/>
      <c r="J21533"/>
      <c r="K21533"/>
      <c r="L21533"/>
    </row>
    <row r="21534" spans="2:12" x14ac:dyDescent="0.2">
      <c r="B21534"/>
      <c r="C21534"/>
      <c r="J21534"/>
      <c r="K21534"/>
      <c r="L21534"/>
    </row>
    <row r="21535" spans="2:12" x14ac:dyDescent="0.2">
      <c r="B21535"/>
      <c r="C21535"/>
      <c r="J21535"/>
      <c r="K21535"/>
      <c r="L21535"/>
    </row>
    <row r="21536" spans="2:12" x14ac:dyDescent="0.2">
      <c r="B21536"/>
      <c r="C21536"/>
      <c r="J21536"/>
      <c r="K21536"/>
      <c r="L21536"/>
    </row>
    <row r="21537" spans="2:12" x14ac:dyDescent="0.2">
      <c r="B21537"/>
      <c r="C21537"/>
      <c r="J21537"/>
      <c r="K21537"/>
      <c r="L21537"/>
    </row>
    <row r="21538" spans="2:12" x14ac:dyDescent="0.2">
      <c r="B21538"/>
      <c r="C21538"/>
      <c r="J21538"/>
      <c r="K21538"/>
      <c r="L21538"/>
    </row>
    <row r="21539" spans="2:12" x14ac:dyDescent="0.2">
      <c r="B21539"/>
      <c r="C21539"/>
      <c r="J21539"/>
      <c r="K21539"/>
      <c r="L21539"/>
    </row>
    <row r="21540" spans="2:12" x14ac:dyDescent="0.2">
      <c r="B21540"/>
      <c r="C21540"/>
      <c r="J21540"/>
      <c r="K21540"/>
      <c r="L21540"/>
    </row>
    <row r="21541" spans="2:12" x14ac:dyDescent="0.2">
      <c r="B21541"/>
      <c r="C21541"/>
      <c r="J21541"/>
      <c r="K21541"/>
      <c r="L21541"/>
    </row>
    <row r="21542" spans="2:12" x14ac:dyDescent="0.2">
      <c r="B21542"/>
      <c r="C21542"/>
      <c r="J21542"/>
      <c r="K21542"/>
      <c r="L21542"/>
    </row>
    <row r="21543" spans="2:12" x14ac:dyDescent="0.2">
      <c r="B21543"/>
      <c r="C21543"/>
      <c r="J21543"/>
      <c r="K21543"/>
      <c r="L21543"/>
    </row>
    <row r="21544" spans="2:12" x14ac:dyDescent="0.2">
      <c r="B21544"/>
      <c r="C21544"/>
      <c r="J21544"/>
      <c r="K21544"/>
      <c r="L21544"/>
    </row>
    <row r="21545" spans="2:12" x14ac:dyDescent="0.2">
      <c r="B21545"/>
      <c r="C21545"/>
      <c r="J21545"/>
      <c r="K21545"/>
      <c r="L21545"/>
    </row>
    <row r="21546" spans="2:12" x14ac:dyDescent="0.2">
      <c r="B21546"/>
      <c r="C21546"/>
      <c r="J21546"/>
      <c r="K21546"/>
      <c r="L21546"/>
    </row>
    <row r="21547" spans="2:12" x14ac:dyDescent="0.2">
      <c r="B21547"/>
      <c r="C21547"/>
      <c r="J21547"/>
      <c r="K21547"/>
      <c r="L21547"/>
    </row>
    <row r="21548" spans="2:12" x14ac:dyDescent="0.2">
      <c r="B21548"/>
      <c r="C21548"/>
      <c r="J21548"/>
      <c r="K21548"/>
      <c r="L21548"/>
    </row>
    <row r="21549" spans="2:12" x14ac:dyDescent="0.2">
      <c r="B21549"/>
      <c r="C21549"/>
      <c r="J21549"/>
      <c r="K21549"/>
      <c r="L21549"/>
    </row>
    <row r="21550" spans="2:12" x14ac:dyDescent="0.2">
      <c r="B21550"/>
      <c r="C21550"/>
      <c r="J21550"/>
      <c r="K21550"/>
      <c r="L21550"/>
    </row>
    <row r="21551" spans="2:12" x14ac:dyDescent="0.2">
      <c r="B21551"/>
      <c r="C21551"/>
      <c r="J21551"/>
      <c r="K21551"/>
      <c r="L21551"/>
    </row>
    <row r="21552" spans="2:12" x14ac:dyDescent="0.2">
      <c r="B21552"/>
      <c r="C21552"/>
      <c r="J21552"/>
      <c r="K21552"/>
      <c r="L21552"/>
    </row>
    <row r="21553" spans="2:12" x14ac:dyDescent="0.2">
      <c r="B21553"/>
      <c r="C21553"/>
      <c r="J21553"/>
      <c r="K21553"/>
      <c r="L21553"/>
    </row>
    <row r="21554" spans="2:12" x14ac:dyDescent="0.2">
      <c r="B21554"/>
      <c r="C21554"/>
      <c r="J21554"/>
      <c r="K21554"/>
      <c r="L21554"/>
    </row>
    <row r="21555" spans="2:12" x14ac:dyDescent="0.2">
      <c r="B21555"/>
      <c r="C21555"/>
      <c r="J21555"/>
      <c r="K21555"/>
      <c r="L21555"/>
    </row>
    <row r="21556" spans="2:12" x14ac:dyDescent="0.2">
      <c r="B21556"/>
      <c r="C21556"/>
      <c r="J21556"/>
      <c r="K21556"/>
      <c r="L21556"/>
    </row>
    <row r="21557" spans="2:12" x14ac:dyDescent="0.2">
      <c r="B21557"/>
      <c r="C21557"/>
      <c r="J21557"/>
      <c r="K21557"/>
      <c r="L21557"/>
    </row>
    <row r="21558" spans="2:12" x14ac:dyDescent="0.2">
      <c r="B21558"/>
      <c r="C21558"/>
      <c r="J21558"/>
      <c r="K21558"/>
      <c r="L21558"/>
    </row>
    <row r="21559" spans="2:12" x14ac:dyDescent="0.2">
      <c r="B21559"/>
      <c r="C21559"/>
      <c r="J21559"/>
      <c r="K21559"/>
      <c r="L21559"/>
    </row>
    <row r="21560" spans="2:12" x14ac:dyDescent="0.2">
      <c r="B21560"/>
      <c r="C21560"/>
      <c r="J21560"/>
      <c r="K21560"/>
      <c r="L21560"/>
    </row>
    <row r="21561" spans="2:12" x14ac:dyDescent="0.2">
      <c r="B21561"/>
      <c r="C21561"/>
      <c r="J21561"/>
      <c r="K21561"/>
      <c r="L21561"/>
    </row>
    <row r="21562" spans="2:12" x14ac:dyDescent="0.2">
      <c r="B21562"/>
      <c r="C21562"/>
      <c r="J21562"/>
      <c r="K21562"/>
      <c r="L21562"/>
    </row>
    <row r="21563" spans="2:12" x14ac:dyDescent="0.2">
      <c r="B21563"/>
      <c r="C21563"/>
      <c r="J21563"/>
      <c r="K21563"/>
      <c r="L21563"/>
    </row>
    <row r="21564" spans="2:12" x14ac:dyDescent="0.2">
      <c r="B21564"/>
      <c r="C21564"/>
      <c r="J21564"/>
      <c r="K21564"/>
      <c r="L21564"/>
    </row>
    <row r="21565" spans="2:12" x14ac:dyDescent="0.2">
      <c r="B21565"/>
      <c r="C21565"/>
      <c r="J21565"/>
      <c r="K21565"/>
      <c r="L21565"/>
    </row>
    <row r="21566" spans="2:12" x14ac:dyDescent="0.2">
      <c r="B21566"/>
      <c r="C21566"/>
      <c r="J21566"/>
      <c r="K21566"/>
      <c r="L21566"/>
    </row>
    <row r="21567" spans="2:12" x14ac:dyDescent="0.2">
      <c r="B21567"/>
      <c r="C21567"/>
      <c r="J21567"/>
      <c r="K21567"/>
      <c r="L21567"/>
    </row>
    <row r="21568" spans="2:12" x14ac:dyDescent="0.2">
      <c r="B21568"/>
      <c r="C21568"/>
      <c r="J21568"/>
      <c r="K21568"/>
      <c r="L21568"/>
    </row>
    <row r="21569" spans="2:12" x14ac:dyDescent="0.2">
      <c r="B21569"/>
      <c r="C21569"/>
      <c r="J21569"/>
      <c r="K21569"/>
      <c r="L21569"/>
    </row>
    <row r="21570" spans="2:12" x14ac:dyDescent="0.2">
      <c r="B21570"/>
      <c r="C21570"/>
      <c r="J21570"/>
      <c r="K21570"/>
      <c r="L21570"/>
    </row>
    <row r="21571" spans="2:12" x14ac:dyDescent="0.2">
      <c r="B21571"/>
      <c r="C21571"/>
      <c r="J21571"/>
      <c r="K21571"/>
      <c r="L21571"/>
    </row>
    <row r="21572" spans="2:12" x14ac:dyDescent="0.2">
      <c r="B21572"/>
      <c r="C21572"/>
      <c r="J21572"/>
      <c r="K21572"/>
      <c r="L21572"/>
    </row>
    <row r="21573" spans="2:12" x14ac:dyDescent="0.2">
      <c r="B21573"/>
      <c r="C21573"/>
      <c r="J21573"/>
      <c r="K21573"/>
      <c r="L21573"/>
    </row>
    <row r="21574" spans="2:12" x14ac:dyDescent="0.2">
      <c r="B21574"/>
      <c r="C21574"/>
      <c r="J21574"/>
      <c r="K21574"/>
      <c r="L21574"/>
    </row>
    <row r="21575" spans="2:12" x14ac:dyDescent="0.2">
      <c r="B21575"/>
      <c r="C21575"/>
      <c r="J21575"/>
      <c r="K21575"/>
      <c r="L21575"/>
    </row>
    <row r="21576" spans="2:12" x14ac:dyDescent="0.2">
      <c r="B21576"/>
      <c r="C21576"/>
      <c r="J21576"/>
      <c r="K21576"/>
      <c r="L21576"/>
    </row>
    <row r="21577" spans="2:12" x14ac:dyDescent="0.2">
      <c r="B21577"/>
      <c r="C21577"/>
      <c r="J21577"/>
      <c r="K21577"/>
      <c r="L21577"/>
    </row>
    <row r="21578" spans="2:12" x14ac:dyDescent="0.2">
      <c r="B21578"/>
      <c r="C21578"/>
      <c r="J21578"/>
      <c r="K21578"/>
      <c r="L21578"/>
    </row>
    <row r="21579" spans="2:12" x14ac:dyDescent="0.2">
      <c r="B21579"/>
      <c r="C21579"/>
      <c r="J21579"/>
      <c r="K21579"/>
      <c r="L21579"/>
    </row>
    <row r="21580" spans="2:12" x14ac:dyDescent="0.2">
      <c r="B21580"/>
      <c r="C21580"/>
      <c r="J21580"/>
      <c r="K21580"/>
      <c r="L21580"/>
    </row>
    <row r="21581" spans="2:12" x14ac:dyDescent="0.2">
      <c r="B21581"/>
      <c r="C21581"/>
      <c r="J21581"/>
      <c r="K21581"/>
      <c r="L21581"/>
    </row>
    <row r="21582" spans="2:12" x14ac:dyDescent="0.2">
      <c r="B21582"/>
      <c r="C21582"/>
      <c r="J21582"/>
      <c r="K21582"/>
      <c r="L21582"/>
    </row>
    <row r="21583" spans="2:12" x14ac:dyDescent="0.2">
      <c r="B21583"/>
      <c r="C21583"/>
      <c r="J21583"/>
      <c r="K21583"/>
      <c r="L21583"/>
    </row>
    <row r="21584" spans="2:12" x14ac:dyDescent="0.2">
      <c r="B21584"/>
      <c r="C21584"/>
      <c r="J21584"/>
      <c r="K21584"/>
      <c r="L21584"/>
    </row>
    <row r="21585" spans="2:12" x14ac:dyDescent="0.2">
      <c r="B21585"/>
      <c r="C21585"/>
      <c r="J21585"/>
      <c r="K21585"/>
      <c r="L21585"/>
    </row>
    <row r="21586" spans="2:12" x14ac:dyDescent="0.2">
      <c r="B21586"/>
      <c r="C21586"/>
      <c r="J21586"/>
      <c r="K21586"/>
      <c r="L21586"/>
    </row>
    <row r="21587" spans="2:12" x14ac:dyDescent="0.2">
      <c r="B21587"/>
      <c r="C21587"/>
      <c r="J21587"/>
      <c r="K21587"/>
      <c r="L21587"/>
    </row>
    <row r="21588" spans="2:12" x14ac:dyDescent="0.2">
      <c r="B21588"/>
      <c r="C21588"/>
      <c r="J21588"/>
      <c r="K21588"/>
      <c r="L21588"/>
    </row>
    <row r="21589" spans="2:12" x14ac:dyDescent="0.2">
      <c r="B21589"/>
      <c r="C21589"/>
      <c r="J21589"/>
      <c r="K21589"/>
      <c r="L21589"/>
    </row>
    <row r="21590" spans="2:12" x14ac:dyDescent="0.2">
      <c r="B21590"/>
      <c r="C21590"/>
      <c r="J21590"/>
      <c r="K21590"/>
      <c r="L21590"/>
    </row>
    <row r="21591" spans="2:12" x14ac:dyDescent="0.2">
      <c r="B21591"/>
      <c r="C21591"/>
      <c r="J21591"/>
      <c r="K21591"/>
      <c r="L21591"/>
    </row>
    <row r="21592" spans="2:12" x14ac:dyDescent="0.2">
      <c r="B21592"/>
      <c r="C21592"/>
      <c r="J21592"/>
      <c r="K21592"/>
      <c r="L21592"/>
    </row>
    <row r="21593" spans="2:12" x14ac:dyDescent="0.2">
      <c r="B21593"/>
      <c r="C21593"/>
      <c r="J21593"/>
      <c r="K21593"/>
      <c r="L21593"/>
    </row>
    <row r="21594" spans="2:12" x14ac:dyDescent="0.2">
      <c r="B21594"/>
      <c r="C21594"/>
      <c r="J21594"/>
      <c r="K21594"/>
      <c r="L21594"/>
    </row>
    <row r="21595" spans="2:12" x14ac:dyDescent="0.2">
      <c r="B21595"/>
      <c r="C21595"/>
      <c r="J21595"/>
      <c r="K21595"/>
      <c r="L21595"/>
    </row>
    <row r="21596" spans="2:12" x14ac:dyDescent="0.2">
      <c r="B21596"/>
      <c r="C21596"/>
      <c r="J21596"/>
      <c r="K21596"/>
      <c r="L21596"/>
    </row>
    <row r="21597" spans="2:12" x14ac:dyDescent="0.2">
      <c r="B21597"/>
      <c r="C21597"/>
      <c r="J21597"/>
      <c r="K21597"/>
      <c r="L21597"/>
    </row>
    <row r="21598" spans="2:12" x14ac:dyDescent="0.2">
      <c r="B21598"/>
      <c r="C21598"/>
      <c r="J21598"/>
      <c r="K21598"/>
      <c r="L21598"/>
    </row>
    <row r="21599" spans="2:12" x14ac:dyDescent="0.2">
      <c r="B21599"/>
      <c r="C21599"/>
      <c r="J21599"/>
      <c r="K21599"/>
      <c r="L21599"/>
    </row>
    <row r="21600" spans="2:12" x14ac:dyDescent="0.2">
      <c r="B21600"/>
      <c r="C21600"/>
      <c r="J21600"/>
      <c r="K21600"/>
      <c r="L21600"/>
    </row>
    <row r="21601" spans="2:12" x14ac:dyDescent="0.2">
      <c r="B21601"/>
      <c r="C21601"/>
      <c r="J21601"/>
      <c r="K21601"/>
      <c r="L21601"/>
    </row>
    <row r="21602" spans="2:12" x14ac:dyDescent="0.2">
      <c r="B21602"/>
      <c r="C21602"/>
      <c r="J21602"/>
      <c r="K21602"/>
      <c r="L21602"/>
    </row>
    <row r="21603" spans="2:12" x14ac:dyDescent="0.2">
      <c r="B21603"/>
      <c r="C21603"/>
      <c r="J21603"/>
      <c r="K21603"/>
      <c r="L21603"/>
    </row>
    <row r="21604" spans="2:12" x14ac:dyDescent="0.2">
      <c r="B21604"/>
      <c r="C21604"/>
      <c r="J21604"/>
      <c r="K21604"/>
      <c r="L21604"/>
    </row>
    <row r="21605" spans="2:12" x14ac:dyDescent="0.2">
      <c r="B21605"/>
      <c r="C21605"/>
      <c r="J21605"/>
      <c r="K21605"/>
      <c r="L21605"/>
    </row>
    <row r="21606" spans="2:12" x14ac:dyDescent="0.2">
      <c r="B21606"/>
      <c r="C21606"/>
      <c r="J21606"/>
      <c r="K21606"/>
      <c r="L21606"/>
    </row>
    <row r="21607" spans="2:12" x14ac:dyDescent="0.2">
      <c r="B21607"/>
      <c r="C21607"/>
      <c r="J21607"/>
      <c r="K21607"/>
      <c r="L21607"/>
    </row>
    <row r="21608" spans="2:12" x14ac:dyDescent="0.2">
      <c r="B21608"/>
      <c r="C21608"/>
      <c r="J21608"/>
      <c r="K21608"/>
      <c r="L21608"/>
    </row>
    <row r="21609" spans="2:12" x14ac:dyDescent="0.2">
      <c r="B21609"/>
      <c r="C21609"/>
      <c r="J21609"/>
      <c r="K21609"/>
      <c r="L21609"/>
    </row>
    <row r="21610" spans="2:12" x14ac:dyDescent="0.2">
      <c r="B21610"/>
      <c r="C21610"/>
      <c r="J21610"/>
      <c r="K21610"/>
      <c r="L21610"/>
    </row>
    <row r="21611" spans="2:12" x14ac:dyDescent="0.2">
      <c r="B21611"/>
      <c r="C21611"/>
      <c r="J21611"/>
      <c r="K21611"/>
      <c r="L21611"/>
    </row>
    <row r="21612" spans="2:12" x14ac:dyDescent="0.2">
      <c r="B21612"/>
      <c r="C21612"/>
      <c r="J21612"/>
      <c r="K21612"/>
      <c r="L21612"/>
    </row>
    <row r="21613" spans="2:12" x14ac:dyDescent="0.2">
      <c r="B21613"/>
      <c r="C21613"/>
      <c r="J21613"/>
      <c r="K21613"/>
      <c r="L21613"/>
    </row>
    <row r="21614" spans="2:12" x14ac:dyDescent="0.2">
      <c r="B21614"/>
      <c r="C21614"/>
      <c r="J21614"/>
      <c r="K21614"/>
      <c r="L21614"/>
    </row>
    <row r="21615" spans="2:12" x14ac:dyDescent="0.2">
      <c r="B21615"/>
      <c r="C21615"/>
      <c r="J21615"/>
      <c r="K21615"/>
      <c r="L21615"/>
    </row>
    <row r="21616" spans="2:12" x14ac:dyDescent="0.2">
      <c r="B21616"/>
      <c r="C21616"/>
      <c r="J21616"/>
      <c r="K21616"/>
      <c r="L21616"/>
    </row>
    <row r="21617" spans="2:12" x14ac:dyDescent="0.2">
      <c r="B21617"/>
      <c r="C21617"/>
      <c r="J21617"/>
      <c r="K21617"/>
      <c r="L21617"/>
    </row>
    <row r="21618" spans="2:12" x14ac:dyDescent="0.2">
      <c r="B21618"/>
      <c r="C21618"/>
      <c r="J21618"/>
      <c r="K21618"/>
      <c r="L21618"/>
    </row>
    <row r="21619" spans="2:12" x14ac:dyDescent="0.2">
      <c r="B21619"/>
      <c r="C21619"/>
      <c r="J21619"/>
      <c r="K21619"/>
      <c r="L21619"/>
    </row>
    <row r="21620" spans="2:12" x14ac:dyDescent="0.2">
      <c r="B21620"/>
      <c r="C21620"/>
      <c r="J21620"/>
      <c r="K21620"/>
      <c r="L21620"/>
    </row>
    <row r="21621" spans="2:12" x14ac:dyDescent="0.2">
      <c r="B21621"/>
      <c r="C21621"/>
      <c r="J21621"/>
      <c r="K21621"/>
      <c r="L21621"/>
    </row>
    <row r="21622" spans="2:12" x14ac:dyDescent="0.2">
      <c r="B21622"/>
      <c r="C21622"/>
      <c r="J21622"/>
      <c r="K21622"/>
      <c r="L21622"/>
    </row>
    <row r="21623" spans="2:12" x14ac:dyDescent="0.2">
      <c r="B21623"/>
      <c r="C21623"/>
      <c r="J21623"/>
      <c r="K21623"/>
      <c r="L21623"/>
    </row>
    <row r="21624" spans="2:12" x14ac:dyDescent="0.2">
      <c r="B21624"/>
      <c r="C21624"/>
      <c r="J21624"/>
      <c r="K21624"/>
      <c r="L21624"/>
    </row>
    <row r="21625" spans="2:12" x14ac:dyDescent="0.2">
      <c r="B21625"/>
      <c r="C21625"/>
      <c r="J21625"/>
      <c r="K21625"/>
      <c r="L21625"/>
    </row>
    <row r="21626" spans="2:12" x14ac:dyDescent="0.2">
      <c r="B21626"/>
      <c r="C21626"/>
      <c r="J21626"/>
      <c r="K21626"/>
      <c r="L21626"/>
    </row>
    <row r="21627" spans="2:12" x14ac:dyDescent="0.2">
      <c r="B21627"/>
      <c r="C21627"/>
      <c r="J21627"/>
      <c r="K21627"/>
      <c r="L21627"/>
    </row>
    <row r="21628" spans="2:12" x14ac:dyDescent="0.2">
      <c r="B21628"/>
      <c r="C21628"/>
      <c r="J21628"/>
      <c r="K21628"/>
      <c r="L21628"/>
    </row>
    <row r="21629" spans="2:12" x14ac:dyDescent="0.2">
      <c r="B21629"/>
      <c r="C21629"/>
      <c r="J21629"/>
      <c r="K21629"/>
      <c r="L21629"/>
    </row>
    <row r="21630" spans="2:12" x14ac:dyDescent="0.2">
      <c r="B21630"/>
      <c r="C21630"/>
      <c r="J21630"/>
      <c r="K21630"/>
      <c r="L21630"/>
    </row>
    <row r="21631" spans="2:12" x14ac:dyDescent="0.2">
      <c r="B21631"/>
      <c r="C21631"/>
      <c r="J21631"/>
      <c r="K21631"/>
      <c r="L21631"/>
    </row>
    <row r="21632" spans="2:12" x14ac:dyDescent="0.2">
      <c r="B21632"/>
      <c r="C21632"/>
      <c r="J21632"/>
      <c r="K21632"/>
      <c r="L21632"/>
    </row>
    <row r="21633" spans="2:12" x14ac:dyDescent="0.2">
      <c r="B21633"/>
      <c r="C21633"/>
      <c r="J21633"/>
      <c r="K21633"/>
      <c r="L21633"/>
    </row>
    <row r="21634" spans="2:12" x14ac:dyDescent="0.2">
      <c r="B21634"/>
      <c r="C21634"/>
      <c r="J21634"/>
      <c r="K21634"/>
      <c r="L21634"/>
    </row>
    <row r="21635" spans="2:12" x14ac:dyDescent="0.2">
      <c r="B21635"/>
      <c r="C21635"/>
      <c r="J21635"/>
      <c r="K21635"/>
      <c r="L21635"/>
    </row>
    <row r="21636" spans="2:12" x14ac:dyDescent="0.2">
      <c r="B21636"/>
      <c r="C21636"/>
      <c r="J21636"/>
      <c r="K21636"/>
      <c r="L21636"/>
    </row>
    <row r="21637" spans="2:12" x14ac:dyDescent="0.2">
      <c r="B21637"/>
      <c r="C21637"/>
      <c r="J21637"/>
      <c r="K21637"/>
      <c r="L21637"/>
    </row>
    <row r="21638" spans="2:12" x14ac:dyDescent="0.2">
      <c r="B21638"/>
      <c r="C21638"/>
      <c r="J21638"/>
      <c r="K21638"/>
      <c r="L21638"/>
    </row>
    <row r="21639" spans="2:12" x14ac:dyDescent="0.2">
      <c r="B21639"/>
      <c r="C21639"/>
      <c r="J21639"/>
      <c r="K21639"/>
      <c r="L21639"/>
    </row>
    <row r="21640" spans="2:12" x14ac:dyDescent="0.2">
      <c r="B21640"/>
      <c r="C21640"/>
      <c r="J21640"/>
      <c r="K21640"/>
      <c r="L21640"/>
    </row>
    <row r="21641" spans="2:12" x14ac:dyDescent="0.2">
      <c r="B21641"/>
      <c r="C21641"/>
      <c r="J21641"/>
      <c r="K21641"/>
      <c r="L21641"/>
    </row>
    <row r="21642" spans="2:12" x14ac:dyDescent="0.2">
      <c r="B21642"/>
      <c r="C21642"/>
      <c r="J21642"/>
      <c r="K21642"/>
      <c r="L21642"/>
    </row>
    <row r="21643" spans="2:12" x14ac:dyDescent="0.2">
      <c r="B21643"/>
      <c r="C21643"/>
      <c r="J21643"/>
      <c r="K21643"/>
      <c r="L21643"/>
    </row>
    <row r="21644" spans="2:12" x14ac:dyDescent="0.2">
      <c r="B21644"/>
      <c r="C21644"/>
      <c r="J21644"/>
      <c r="K21644"/>
      <c r="L21644"/>
    </row>
    <row r="21645" spans="2:12" x14ac:dyDescent="0.2">
      <c r="B21645"/>
      <c r="C21645"/>
      <c r="J21645"/>
      <c r="K21645"/>
      <c r="L21645"/>
    </row>
    <row r="21646" spans="2:12" x14ac:dyDescent="0.2">
      <c r="B21646"/>
      <c r="C21646"/>
      <c r="J21646"/>
      <c r="K21646"/>
      <c r="L21646"/>
    </row>
    <row r="21647" spans="2:12" x14ac:dyDescent="0.2">
      <c r="B21647"/>
      <c r="C21647"/>
      <c r="J21647"/>
      <c r="K21647"/>
      <c r="L21647"/>
    </row>
    <row r="21648" spans="2:12" x14ac:dyDescent="0.2">
      <c r="B21648"/>
      <c r="C21648"/>
      <c r="J21648"/>
      <c r="K21648"/>
      <c r="L21648"/>
    </row>
    <row r="21649" spans="2:12" x14ac:dyDescent="0.2">
      <c r="B21649"/>
      <c r="C21649"/>
      <c r="J21649"/>
      <c r="K21649"/>
      <c r="L21649"/>
    </row>
    <row r="21650" spans="2:12" x14ac:dyDescent="0.2">
      <c r="B21650"/>
      <c r="C21650"/>
      <c r="J21650"/>
      <c r="K21650"/>
      <c r="L21650"/>
    </row>
    <row r="21651" spans="2:12" x14ac:dyDescent="0.2">
      <c r="B21651"/>
      <c r="C21651"/>
      <c r="J21651"/>
      <c r="K21651"/>
      <c r="L21651"/>
    </row>
    <row r="21652" spans="2:12" x14ac:dyDescent="0.2">
      <c r="B21652"/>
      <c r="C21652"/>
      <c r="J21652"/>
      <c r="K21652"/>
      <c r="L21652"/>
    </row>
    <row r="21653" spans="2:12" x14ac:dyDescent="0.2">
      <c r="B21653"/>
      <c r="C21653"/>
      <c r="J21653"/>
      <c r="K21653"/>
      <c r="L21653"/>
    </row>
    <row r="21654" spans="2:12" x14ac:dyDescent="0.2">
      <c r="B21654"/>
      <c r="C21654"/>
      <c r="J21654"/>
      <c r="K21654"/>
      <c r="L21654"/>
    </row>
    <row r="21655" spans="2:12" x14ac:dyDescent="0.2">
      <c r="B21655"/>
      <c r="C21655"/>
      <c r="J21655"/>
      <c r="K21655"/>
      <c r="L21655"/>
    </row>
    <row r="21656" spans="2:12" x14ac:dyDescent="0.2">
      <c r="B21656"/>
      <c r="C21656"/>
      <c r="J21656"/>
      <c r="K21656"/>
      <c r="L21656"/>
    </row>
    <row r="21657" spans="2:12" x14ac:dyDescent="0.2">
      <c r="B21657"/>
      <c r="C21657"/>
      <c r="J21657"/>
      <c r="K21657"/>
      <c r="L21657"/>
    </row>
    <row r="21658" spans="2:12" x14ac:dyDescent="0.2">
      <c r="B21658"/>
      <c r="C21658"/>
      <c r="J21658"/>
      <c r="K21658"/>
      <c r="L21658"/>
    </row>
    <row r="21659" spans="2:12" x14ac:dyDescent="0.2">
      <c r="B21659"/>
      <c r="C21659"/>
      <c r="J21659"/>
      <c r="K21659"/>
      <c r="L21659"/>
    </row>
    <row r="21660" spans="2:12" x14ac:dyDescent="0.2">
      <c r="B21660"/>
      <c r="C21660"/>
      <c r="J21660"/>
      <c r="K21660"/>
      <c r="L21660"/>
    </row>
    <row r="21661" spans="2:12" x14ac:dyDescent="0.2">
      <c r="B21661"/>
      <c r="C21661"/>
      <c r="J21661"/>
      <c r="K21661"/>
      <c r="L21661"/>
    </row>
    <row r="21662" spans="2:12" x14ac:dyDescent="0.2">
      <c r="B21662"/>
      <c r="C21662"/>
      <c r="J21662"/>
      <c r="K21662"/>
      <c r="L21662"/>
    </row>
    <row r="21663" spans="2:12" x14ac:dyDescent="0.2">
      <c r="B21663"/>
      <c r="C21663"/>
      <c r="J21663"/>
      <c r="K21663"/>
      <c r="L21663"/>
    </row>
    <row r="21664" spans="2:12" x14ac:dyDescent="0.2">
      <c r="B21664"/>
      <c r="C21664"/>
      <c r="J21664"/>
      <c r="K21664"/>
      <c r="L21664"/>
    </row>
    <row r="21665" spans="2:12" x14ac:dyDescent="0.2">
      <c r="B21665"/>
      <c r="C21665"/>
      <c r="J21665"/>
      <c r="K21665"/>
      <c r="L21665"/>
    </row>
    <row r="21666" spans="2:12" x14ac:dyDescent="0.2">
      <c r="B21666"/>
      <c r="C21666"/>
      <c r="J21666"/>
      <c r="K21666"/>
      <c r="L21666"/>
    </row>
    <row r="21667" spans="2:12" x14ac:dyDescent="0.2">
      <c r="B21667"/>
      <c r="C21667"/>
      <c r="J21667"/>
      <c r="K21667"/>
      <c r="L21667"/>
    </row>
    <row r="21668" spans="2:12" x14ac:dyDescent="0.2">
      <c r="B21668"/>
      <c r="C21668"/>
      <c r="J21668"/>
      <c r="K21668"/>
      <c r="L21668"/>
    </row>
    <row r="21669" spans="2:12" x14ac:dyDescent="0.2">
      <c r="B21669"/>
      <c r="C21669"/>
      <c r="J21669"/>
      <c r="K21669"/>
      <c r="L21669"/>
    </row>
    <row r="21670" spans="2:12" x14ac:dyDescent="0.2">
      <c r="B21670"/>
      <c r="C21670"/>
      <c r="J21670"/>
      <c r="K21670"/>
      <c r="L21670"/>
    </row>
    <row r="21671" spans="2:12" x14ac:dyDescent="0.2">
      <c r="B21671"/>
      <c r="C21671"/>
      <c r="J21671"/>
      <c r="K21671"/>
      <c r="L21671"/>
    </row>
    <row r="21672" spans="2:12" x14ac:dyDescent="0.2">
      <c r="B21672"/>
      <c r="C21672"/>
      <c r="J21672"/>
      <c r="K21672"/>
      <c r="L21672"/>
    </row>
    <row r="21673" spans="2:12" x14ac:dyDescent="0.2">
      <c r="B21673"/>
      <c r="C21673"/>
      <c r="J21673"/>
      <c r="K21673"/>
      <c r="L21673"/>
    </row>
    <row r="21674" spans="2:12" x14ac:dyDescent="0.2">
      <c r="B21674"/>
      <c r="C21674"/>
      <c r="J21674"/>
      <c r="K21674"/>
      <c r="L21674"/>
    </row>
    <row r="21675" spans="2:12" x14ac:dyDescent="0.2">
      <c r="B21675"/>
      <c r="C21675"/>
      <c r="J21675"/>
      <c r="K21675"/>
      <c r="L21675"/>
    </row>
    <row r="21676" spans="2:12" x14ac:dyDescent="0.2">
      <c r="B21676"/>
      <c r="C21676"/>
      <c r="J21676"/>
      <c r="K21676"/>
      <c r="L21676"/>
    </row>
    <row r="21677" spans="2:12" x14ac:dyDescent="0.2">
      <c r="B21677"/>
      <c r="C21677"/>
      <c r="J21677"/>
      <c r="K21677"/>
      <c r="L21677"/>
    </row>
    <row r="21678" spans="2:12" x14ac:dyDescent="0.2">
      <c r="B21678"/>
      <c r="C21678"/>
      <c r="J21678"/>
      <c r="K21678"/>
      <c r="L21678"/>
    </row>
    <row r="21679" spans="2:12" x14ac:dyDescent="0.2">
      <c r="B21679"/>
      <c r="C21679"/>
      <c r="J21679"/>
      <c r="K21679"/>
      <c r="L21679"/>
    </row>
    <row r="21680" spans="2:12" x14ac:dyDescent="0.2">
      <c r="B21680"/>
      <c r="C21680"/>
      <c r="J21680"/>
      <c r="K21680"/>
      <c r="L21680"/>
    </row>
    <row r="21681" spans="2:12" x14ac:dyDescent="0.2">
      <c r="B21681"/>
      <c r="C21681"/>
      <c r="J21681"/>
      <c r="K21681"/>
      <c r="L21681"/>
    </row>
    <row r="21682" spans="2:12" x14ac:dyDescent="0.2">
      <c r="B21682"/>
      <c r="C21682"/>
      <c r="J21682"/>
      <c r="K21682"/>
      <c r="L21682"/>
    </row>
    <row r="21683" spans="2:12" x14ac:dyDescent="0.2">
      <c r="B21683"/>
      <c r="C21683"/>
      <c r="J21683"/>
      <c r="K21683"/>
      <c r="L21683"/>
    </row>
    <row r="21684" spans="2:12" x14ac:dyDescent="0.2">
      <c r="B21684"/>
      <c r="C21684"/>
      <c r="J21684"/>
      <c r="K21684"/>
      <c r="L21684"/>
    </row>
    <row r="21685" spans="2:12" x14ac:dyDescent="0.2">
      <c r="B21685"/>
      <c r="C21685"/>
      <c r="J21685"/>
      <c r="K21685"/>
      <c r="L21685"/>
    </row>
    <row r="21686" spans="2:12" x14ac:dyDescent="0.2">
      <c r="B21686"/>
      <c r="C21686"/>
      <c r="J21686"/>
      <c r="K21686"/>
      <c r="L21686"/>
    </row>
    <row r="21687" spans="2:12" x14ac:dyDescent="0.2">
      <c r="B21687"/>
      <c r="C21687"/>
      <c r="J21687"/>
      <c r="K21687"/>
      <c r="L21687"/>
    </row>
    <row r="21688" spans="2:12" x14ac:dyDescent="0.2">
      <c r="B21688"/>
      <c r="C21688"/>
      <c r="J21688"/>
      <c r="K21688"/>
      <c r="L21688"/>
    </row>
    <row r="21689" spans="2:12" x14ac:dyDescent="0.2">
      <c r="B21689"/>
      <c r="C21689"/>
      <c r="J21689"/>
      <c r="K21689"/>
      <c r="L21689"/>
    </row>
    <row r="21690" spans="2:12" x14ac:dyDescent="0.2">
      <c r="B21690"/>
      <c r="C21690"/>
      <c r="J21690"/>
      <c r="K21690"/>
      <c r="L21690"/>
    </row>
    <row r="21691" spans="2:12" x14ac:dyDescent="0.2">
      <c r="B21691"/>
      <c r="C21691"/>
      <c r="J21691"/>
      <c r="K21691"/>
      <c r="L21691"/>
    </row>
    <row r="21692" spans="2:12" x14ac:dyDescent="0.2">
      <c r="B21692"/>
      <c r="C21692"/>
      <c r="J21692"/>
      <c r="K21692"/>
      <c r="L21692"/>
    </row>
    <row r="21693" spans="2:12" x14ac:dyDescent="0.2">
      <c r="B21693"/>
      <c r="C21693"/>
      <c r="J21693"/>
      <c r="K21693"/>
      <c r="L21693"/>
    </row>
    <row r="21694" spans="2:12" x14ac:dyDescent="0.2">
      <c r="B21694"/>
      <c r="C21694"/>
      <c r="J21694"/>
      <c r="K21694"/>
      <c r="L21694"/>
    </row>
    <row r="21695" spans="2:12" x14ac:dyDescent="0.2">
      <c r="B21695"/>
      <c r="C21695"/>
      <c r="J21695"/>
      <c r="K21695"/>
      <c r="L21695"/>
    </row>
    <row r="21696" spans="2:12" x14ac:dyDescent="0.2">
      <c r="B21696"/>
      <c r="C21696"/>
      <c r="J21696"/>
      <c r="K21696"/>
      <c r="L21696"/>
    </row>
    <row r="21697" spans="2:12" x14ac:dyDescent="0.2">
      <c r="B21697"/>
      <c r="C21697"/>
      <c r="J21697"/>
      <c r="K21697"/>
      <c r="L21697"/>
    </row>
    <row r="21698" spans="2:12" x14ac:dyDescent="0.2">
      <c r="B21698"/>
      <c r="C21698"/>
      <c r="J21698"/>
      <c r="K21698"/>
      <c r="L21698"/>
    </row>
    <row r="21699" spans="2:12" x14ac:dyDescent="0.2">
      <c r="B21699"/>
      <c r="C21699"/>
      <c r="J21699"/>
      <c r="K21699"/>
      <c r="L21699"/>
    </row>
    <row r="21700" spans="2:12" x14ac:dyDescent="0.2">
      <c r="B21700"/>
      <c r="C21700"/>
      <c r="J21700"/>
      <c r="K21700"/>
      <c r="L21700"/>
    </row>
    <row r="21701" spans="2:12" x14ac:dyDescent="0.2">
      <c r="B21701"/>
      <c r="C21701"/>
      <c r="J21701"/>
      <c r="K21701"/>
      <c r="L21701"/>
    </row>
    <row r="21702" spans="2:12" x14ac:dyDescent="0.2">
      <c r="B21702"/>
      <c r="C21702"/>
      <c r="J21702"/>
      <c r="K21702"/>
      <c r="L21702"/>
    </row>
    <row r="21703" spans="2:12" x14ac:dyDescent="0.2">
      <c r="B21703"/>
      <c r="C21703"/>
      <c r="J21703"/>
      <c r="K21703"/>
      <c r="L21703"/>
    </row>
    <row r="21704" spans="2:12" x14ac:dyDescent="0.2">
      <c r="B21704"/>
      <c r="C21704"/>
      <c r="J21704"/>
      <c r="K21704"/>
      <c r="L21704"/>
    </row>
    <row r="21705" spans="2:12" x14ac:dyDescent="0.2">
      <c r="B21705"/>
      <c r="C21705"/>
      <c r="J21705"/>
      <c r="K21705"/>
      <c r="L21705"/>
    </row>
    <row r="21706" spans="2:12" x14ac:dyDescent="0.2">
      <c r="B21706"/>
      <c r="C21706"/>
      <c r="J21706"/>
      <c r="K21706"/>
      <c r="L21706"/>
    </row>
    <row r="21707" spans="2:12" x14ac:dyDescent="0.2">
      <c r="B21707"/>
      <c r="C21707"/>
      <c r="J21707"/>
      <c r="K21707"/>
      <c r="L21707"/>
    </row>
    <row r="21708" spans="2:12" x14ac:dyDescent="0.2">
      <c r="B21708"/>
      <c r="C21708"/>
      <c r="J21708"/>
      <c r="K21708"/>
      <c r="L21708"/>
    </row>
    <row r="21709" spans="2:12" x14ac:dyDescent="0.2">
      <c r="B21709"/>
      <c r="C21709"/>
      <c r="J21709"/>
      <c r="K21709"/>
      <c r="L21709"/>
    </row>
    <row r="21710" spans="2:12" x14ac:dyDescent="0.2">
      <c r="B21710"/>
      <c r="C21710"/>
      <c r="J21710"/>
      <c r="K21710"/>
      <c r="L21710"/>
    </row>
    <row r="21711" spans="2:12" x14ac:dyDescent="0.2">
      <c r="B21711"/>
      <c r="C21711"/>
      <c r="J21711"/>
      <c r="K21711"/>
      <c r="L21711"/>
    </row>
    <row r="21712" spans="2:12" x14ac:dyDescent="0.2">
      <c r="B21712"/>
      <c r="C21712"/>
      <c r="J21712"/>
      <c r="K21712"/>
      <c r="L21712"/>
    </row>
    <row r="21713" spans="2:12" x14ac:dyDescent="0.2">
      <c r="B21713"/>
      <c r="C21713"/>
      <c r="J21713"/>
      <c r="K21713"/>
      <c r="L21713"/>
    </row>
    <row r="21714" spans="2:12" x14ac:dyDescent="0.2">
      <c r="B21714"/>
      <c r="C21714"/>
      <c r="J21714"/>
      <c r="K21714"/>
      <c r="L21714"/>
    </row>
    <row r="21715" spans="2:12" x14ac:dyDescent="0.2">
      <c r="B21715"/>
      <c r="C21715"/>
      <c r="J21715"/>
      <c r="K21715"/>
      <c r="L21715"/>
    </row>
    <row r="21716" spans="2:12" x14ac:dyDescent="0.2">
      <c r="B21716"/>
      <c r="C21716"/>
      <c r="J21716"/>
      <c r="K21716"/>
      <c r="L21716"/>
    </row>
    <row r="21717" spans="2:12" x14ac:dyDescent="0.2">
      <c r="B21717"/>
      <c r="C21717"/>
      <c r="J21717"/>
      <c r="K21717"/>
      <c r="L21717"/>
    </row>
    <row r="21718" spans="2:12" x14ac:dyDescent="0.2">
      <c r="B21718"/>
      <c r="C21718"/>
      <c r="J21718"/>
      <c r="K21718"/>
      <c r="L21718"/>
    </row>
    <row r="21719" spans="2:12" x14ac:dyDescent="0.2">
      <c r="B21719"/>
      <c r="C21719"/>
      <c r="J21719"/>
      <c r="K21719"/>
      <c r="L21719"/>
    </row>
    <row r="21720" spans="2:12" x14ac:dyDescent="0.2">
      <c r="B21720"/>
      <c r="C21720"/>
      <c r="J21720"/>
      <c r="K21720"/>
      <c r="L21720"/>
    </row>
    <row r="21721" spans="2:12" x14ac:dyDescent="0.2">
      <c r="B21721"/>
      <c r="C21721"/>
      <c r="J21721"/>
      <c r="K21721"/>
      <c r="L21721"/>
    </row>
    <row r="21722" spans="2:12" x14ac:dyDescent="0.2">
      <c r="B21722"/>
      <c r="C21722"/>
      <c r="J21722"/>
      <c r="K21722"/>
      <c r="L21722"/>
    </row>
    <row r="21723" spans="2:12" x14ac:dyDescent="0.2">
      <c r="B21723"/>
      <c r="C21723"/>
      <c r="J21723"/>
      <c r="K21723"/>
      <c r="L21723"/>
    </row>
    <row r="21724" spans="2:12" x14ac:dyDescent="0.2">
      <c r="B21724"/>
      <c r="C21724"/>
      <c r="J21724"/>
      <c r="K21724"/>
      <c r="L21724"/>
    </row>
    <row r="21725" spans="2:12" x14ac:dyDescent="0.2">
      <c r="B21725"/>
      <c r="C21725"/>
      <c r="J21725"/>
      <c r="K21725"/>
      <c r="L21725"/>
    </row>
    <row r="21726" spans="2:12" x14ac:dyDescent="0.2">
      <c r="B21726"/>
      <c r="C21726"/>
      <c r="J21726"/>
      <c r="K21726"/>
      <c r="L21726"/>
    </row>
    <row r="21727" spans="2:12" x14ac:dyDescent="0.2">
      <c r="B21727"/>
      <c r="C21727"/>
      <c r="J21727"/>
      <c r="K21727"/>
      <c r="L21727"/>
    </row>
    <row r="21728" spans="2:12" x14ac:dyDescent="0.2">
      <c r="B21728"/>
      <c r="C21728"/>
      <c r="J21728"/>
      <c r="K21728"/>
      <c r="L21728"/>
    </row>
    <row r="21729" spans="2:12" x14ac:dyDescent="0.2">
      <c r="B21729"/>
      <c r="C21729"/>
      <c r="J21729"/>
      <c r="K21729"/>
      <c r="L21729"/>
    </row>
    <row r="21730" spans="2:12" x14ac:dyDescent="0.2">
      <c r="B21730"/>
      <c r="C21730"/>
      <c r="J21730"/>
      <c r="K21730"/>
      <c r="L21730"/>
    </row>
    <row r="21731" spans="2:12" x14ac:dyDescent="0.2">
      <c r="B21731"/>
      <c r="C21731"/>
      <c r="J21731"/>
      <c r="K21731"/>
      <c r="L21731"/>
    </row>
    <row r="21732" spans="2:12" x14ac:dyDescent="0.2">
      <c r="B21732"/>
      <c r="C21732"/>
      <c r="J21732"/>
      <c r="K21732"/>
      <c r="L21732"/>
    </row>
    <row r="21733" spans="2:12" x14ac:dyDescent="0.2">
      <c r="B21733"/>
      <c r="C21733"/>
      <c r="J21733"/>
      <c r="K21733"/>
      <c r="L21733"/>
    </row>
    <row r="21734" spans="2:12" x14ac:dyDescent="0.2">
      <c r="B21734"/>
      <c r="C21734"/>
      <c r="J21734"/>
      <c r="K21734"/>
      <c r="L21734"/>
    </row>
    <row r="21735" spans="2:12" x14ac:dyDescent="0.2">
      <c r="B21735"/>
      <c r="C21735"/>
      <c r="J21735"/>
      <c r="K21735"/>
      <c r="L21735"/>
    </row>
    <row r="21736" spans="2:12" x14ac:dyDescent="0.2">
      <c r="B21736"/>
      <c r="C21736"/>
      <c r="J21736"/>
      <c r="K21736"/>
      <c r="L21736"/>
    </row>
    <row r="21737" spans="2:12" x14ac:dyDescent="0.2">
      <c r="B21737"/>
      <c r="C21737"/>
      <c r="J21737"/>
      <c r="K21737"/>
      <c r="L21737"/>
    </row>
    <row r="21738" spans="2:12" x14ac:dyDescent="0.2">
      <c r="B21738"/>
      <c r="C21738"/>
      <c r="J21738"/>
      <c r="K21738"/>
      <c r="L21738"/>
    </row>
    <row r="21739" spans="2:12" x14ac:dyDescent="0.2">
      <c r="B21739"/>
      <c r="C21739"/>
      <c r="J21739"/>
      <c r="K21739"/>
      <c r="L21739"/>
    </row>
    <row r="21740" spans="2:12" x14ac:dyDescent="0.2">
      <c r="B21740"/>
      <c r="C21740"/>
      <c r="J21740"/>
      <c r="K21740"/>
      <c r="L21740"/>
    </row>
    <row r="21741" spans="2:12" x14ac:dyDescent="0.2">
      <c r="B21741"/>
      <c r="C21741"/>
      <c r="J21741"/>
      <c r="K21741"/>
      <c r="L21741"/>
    </row>
    <row r="21742" spans="2:12" x14ac:dyDescent="0.2">
      <c r="B21742"/>
      <c r="C21742"/>
      <c r="J21742"/>
      <c r="K21742"/>
      <c r="L21742"/>
    </row>
    <row r="21743" spans="2:12" x14ac:dyDescent="0.2">
      <c r="B21743"/>
      <c r="C21743"/>
      <c r="J21743"/>
      <c r="K21743"/>
      <c r="L21743"/>
    </row>
    <row r="21744" spans="2:12" x14ac:dyDescent="0.2">
      <c r="B21744"/>
      <c r="C21744"/>
      <c r="J21744"/>
      <c r="K21744"/>
      <c r="L21744"/>
    </row>
    <row r="21745" spans="2:12" x14ac:dyDescent="0.2">
      <c r="B21745"/>
      <c r="C21745"/>
      <c r="J21745"/>
      <c r="K21745"/>
      <c r="L21745"/>
    </row>
    <row r="21746" spans="2:12" x14ac:dyDescent="0.2">
      <c r="B21746"/>
      <c r="C21746"/>
      <c r="J21746"/>
      <c r="K21746"/>
      <c r="L21746"/>
    </row>
    <row r="21747" spans="2:12" x14ac:dyDescent="0.2">
      <c r="B21747"/>
      <c r="C21747"/>
      <c r="J21747"/>
      <c r="K21747"/>
      <c r="L21747"/>
    </row>
    <row r="21748" spans="2:12" x14ac:dyDescent="0.2">
      <c r="B21748"/>
      <c r="C21748"/>
      <c r="J21748"/>
      <c r="K21748"/>
      <c r="L21748"/>
    </row>
    <row r="21749" spans="2:12" x14ac:dyDescent="0.2">
      <c r="B21749"/>
      <c r="C21749"/>
      <c r="J21749"/>
      <c r="K21749"/>
      <c r="L21749"/>
    </row>
    <row r="21750" spans="2:12" x14ac:dyDescent="0.2">
      <c r="B21750"/>
      <c r="C21750"/>
      <c r="J21750"/>
      <c r="K21750"/>
      <c r="L21750"/>
    </row>
    <row r="21751" spans="2:12" x14ac:dyDescent="0.2">
      <c r="B21751"/>
      <c r="C21751"/>
      <c r="J21751"/>
      <c r="K21751"/>
      <c r="L21751"/>
    </row>
    <row r="21752" spans="2:12" x14ac:dyDescent="0.2">
      <c r="B21752"/>
      <c r="C21752"/>
      <c r="J21752"/>
      <c r="K21752"/>
      <c r="L21752"/>
    </row>
    <row r="21753" spans="2:12" x14ac:dyDescent="0.2">
      <c r="B21753"/>
      <c r="C21753"/>
      <c r="J21753"/>
      <c r="K21753"/>
      <c r="L21753"/>
    </row>
    <row r="21754" spans="2:12" x14ac:dyDescent="0.2">
      <c r="B21754"/>
      <c r="C21754"/>
      <c r="J21754"/>
      <c r="K21754"/>
      <c r="L21754"/>
    </row>
    <row r="21755" spans="2:12" x14ac:dyDescent="0.2">
      <c r="B21755"/>
      <c r="C21755"/>
      <c r="J21755"/>
      <c r="K21755"/>
      <c r="L21755"/>
    </row>
    <row r="21756" spans="2:12" x14ac:dyDescent="0.2">
      <c r="B21756"/>
      <c r="C21756"/>
      <c r="J21756"/>
      <c r="K21756"/>
      <c r="L21756"/>
    </row>
    <row r="21757" spans="2:12" x14ac:dyDescent="0.2">
      <c r="B21757"/>
      <c r="C21757"/>
      <c r="J21757"/>
      <c r="K21757"/>
      <c r="L21757"/>
    </row>
    <row r="21758" spans="2:12" x14ac:dyDescent="0.2">
      <c r="B21758"/>
      <c r="C21758"/>
      <c r="J21758"/>
      <c r="K21758"/>
      <c r="L21758"/>
    </row>
    <row r="21759" spans="2:12" x14ac:dyDescent="0.2">
      <c r="B21759"/>
      <c r="C21759"/>
      <c r="J21759"/>
      <c r="K21759"/>
      <c r="L21759"/>
    </row>
    <row r="21760" spans="2:12" x14ac:dyDescent="0.2">
      <c r="B21760"/>
      <c r="C21760"/>
      <c r="J21760"/>
      <c r="K21760"/>
      <c r="L21760"/>
    </row>
    <row r="21761" spans="2:12" x14ac:dyDescent="0.2">
      <c r="B21761"/>
      <c r="C21761"/>
      <c r="J21761"/>
      <c r="K21761"/>
      <c r="L21761"/>
    </row>
    <row r="21762" spans="2:12" x14ac:dyDescent="0.2">
      <c r="B21762"/>
      <c r="C21762"/>
      <c r="J21762"/>
      <c r="K21762"/>
      <c r="L21762"/>
    </row>
    <row r="21763" spans="2:12" x14ac:dyDescent="0.2">
      <c r="B21763"/>
      <c r="C21763"/>
      <c r="J21763"/>
      <c r="K21763"/>
      <c r="L21763"/>
    </row>
    <row r="21764" spans="2:12" x14ac:dyDescent="0.2">
      <c r="B21764"/>
      <c r="C21764"/>
      <c r="J21764"/>
      <c r="K21764"/>
      <c r="L21764"/>
    </row>
    <row r="21765" spans="2:12" x14ac:dyDescent="0.2">
      <c r="B21765"/>
      <c r="C21765"/>
      <c r="J21765"/>
      <c r="K21765"/>
      <c r="L21765"/>
    </row>
    <row r="21766" spans="2:12" x14ac:dyDescent="0.2">
      <c r="B21766"/>
      <c r="C21766"/>
      <c r="J21766"/>
      <c r="K21766"/>
      <c r="L21766"/>
    </row>
    <row r="21767" spans="2:12" x14ac:dyDescent="0.2">
      <c r="B21767"/>
      <c r="C21767"/>
      <c r="J21767"/>
      <c r="K21767"/>
      <c r="L21767"/>
    </row>
    <row r="21768" spans="2:12" x14ac:dyDescent="0.2">
      <c r="B21768"/>
      <c r="C21768"/>
      <c r="J21768"/>
      <c r="K21768"/>
      <c r="L21768"/>
    </row>
    <row r="21769" spans="2:12" x14ac:dyDescent="0.2">
      <c r="B21769"/>
      <c r="C21769"/>
      <c r="J21769"/>
      <c r="K21769"/>
      <c r="L21769"/>
    </row>
    <row r="21770" spans="2:12" x14ac:dyDescent="0.2">
      <c r="B21770"/>
      <c r="C21770"/>
      <c r="J21770"/>
      <c r="K21770"/>
      <c r="L21770"/>
    </row>
    <row r="21771" spans="2:12" x14ac:dyDescent="0.2">
      <c r="B21771"/>
      <c r="C21771"/>
      <c r="J21771"/>
      <c r="K21771"/>
      <c r="L21771"/>
    </row>
    <row r="21772" spans="2:12" x14ac:dyDescent="0.2">
      <c r="B21772"/>
      <c r="C21772"/>
      <c r="J21772"/>
      <c r="K21772"/>
      <c r="L21772"/>
    </row>
    <row r="21773" spans="2:12" x14ac:dyDescent="0.2">
      <c r="B21773"/>
      <c r="C21773"/>
      <c r="J21773"/>
      <c r="K21773"/>
      <c r="L21773"/>
    </row>
    <row r="21774" spans="2:12" x14ac:dyDescent="0.2">
      <c r="B21774"/>
      <c r="C21774"/>
      <c r="J21774"/>
      <c r="K21774"/>
      <c r="L21774"/>
    </row>
    <row r="21775" spans="2:12" x14ac:dyDescent="0.2">
      <c r="B21775"/>
      <c r="C21775"/>
      <c r="J21775"/>
      <c r="K21775"/>
      <c r="L21775"/>
    </row>
    <row r="21776" spans="2:12" x14ac:dyDescent="0.2">
      <c r="B21776"/>
      <c r="C21776"/>
      <c r="J21776"/>
      <c r="K21776"/>
      <c r="L21776"/>
    </row>
    <row r="21777" spans="2:12" x14ac:dyDescent="0.2">
      <c r="B21777"/>
      <c r="C21777"/>
      <c r="J21777"/>
      <c r="K21777"/>
      <c r="L21777"/>
    </row>
    <row r="21778" spans="2:12" x14ac:dyDescent="0.2">
      <c r="B21778"/>
      <c r="C21778"/>
      <c r="J21778"/>
      <c r="K21778"/>
      <c r="L21778"/>
    </row>
    <row r="21779" spans="2:12" x14ac:dyDescent="0.2">
      <c r="B21779"/>
      <c r="C21779"/>
      <c r="J21779"/>
      <c r="K21779"/>
      <c r="L21779"/>
    </row>
    <row r="21780" spans="2:12" x14ac:dyDescent="0.2">
      <c r="B21780"/>
      <c r="C21780"/>
      <c r="J21780"/>
      <c r="K21780"/>
      <c r="L21780"/>
    </row>
    <row r="21781" spans="2:12" x14ac:dyDescent="0.2">
      <c r="B21781"/>
      <c r="C21781"/>
      <c r="J21781"/>
      <c r="K21781"/>
      <c r="L21781"/>
    </row>
    <row r="21782" spans="2:12" x14ac:dyDescent="0.2">
      <c r="B21782"/>
      <c r="C21782"/>
      <c r="J21782"/>
      <c r="K21782"/>
      <c r="L21782"/>
    </row>
    <row r="21783" spans="2:12" x14ac:dyDescent="0.2">
      <c r="B21783"/>
      <c r="C21783"/>
      <c r="J21783"/>
      <c r="K21783"/>
      <c r="L21783"/>
    </row>
    <row r="21784" spans="2:12" x14ac:dyDescent="0.2">
      <c r="B21784"/>
      <c r="C21784"/>
      <c r="J21784"/>
      <c r="K21784"/>
      <c r="L21784"/>
    </row>
    <row r="21785" spans="2:12" x14ac:dyDescent="0.2">
      <c r="B21785"/>
      <c r="C21785"/>
      <c r="J21785"/>
      <c r="K21785"/>
      <c r="L21785"/>
    </row>
    <row r="21786" spans="2:12" x14ac:dyDescent="0.2">
      <c r="B21786"/>
      <c r="C21786"/>
      <c r="J21786"/>
      <c r="K21786"/>
      <c r="L21786"/>
    </row>
    <row r="21787" spans="2:12" x14ac:dyDescent="0.2">
      <c r="B21787"/>
      <c r="C21787"/>
      <c r="J21787"/>
      <c r="K21787"/>
      <c r="L21787"/>
    </row>
    <row r="21788" spans="2:12" x14ac:dyDescent="0.2">
      <c r="B21788"/>
      <c r="C21788"/>
      <c r="J21788"/>
      <c r="K21788"/>
      <c r="L21788"/>
    </row>
    <row r="21789" spans="2:12" x14ac:dyDescent="0.2">
      <c r="B21789"/>
      <c r="C21789"/>
      <c r="J21789"/>
      <c r="K21789"/>
      <c r="L21789"/>
    </row>
    <row r="21790" spans="2:12" x14ac:dyDescent="0.2">
      <c r="B21790"/>
      <c r="C21790"/>
      <c r="J21790"/>
      <c r="K21790"/>
      <c r="L21790"/>
    </row>
    <row r="21791" spans="2:12" x14ac:dyDescent="0.2">
      <c r="B21791"/>
      <c r="C21791"/>
      <c r="J21791"/>
      <c r="K21791"/>
      <c r="L21791"/>
    </row>
    <row r="21792" spans="2:12" x14ac:dyDescent="0.2">
      <c r="B21792"/>
      <c r="C21792"/>
      <c r="J21792"/>
      <c r="K21792"/>
      <c r="L21792"/>
    </row>
    <row r="21793" spans="2:12" x14ac:dyDescent="0.2">
      <c r="B21793"/>
      <c r="C21793"/>
      <c r="J21793"/>
      <c r="K21793"/>
      <c r="L21793"/>
    </row>
    <row r="21794" spans="2:12" x14ac:dyDescent="0.2">
      <c r="B21794"/>
      <c r="C21794"/>
      <c r="J21794"/>
      <c r="K21794"/>
      <c r="L21794"/>
    </row>
    <row r="21795" spans="2:12" x14ac:dyDescent="0.2">
      <c r="B21795"/>
      <c r="C21795"/>
      <c r="J21795"/>
      <c r="K21795"/>
      <c r="L21795"/>
    </row>
    <row r="21796" spans="2:12" x14ac:dyDescent="0.2">
      <c r="B21796"/>
      <c r="C21796"/>
      <c r="J21796"/>
      <c r="K21796"/>
      <c r="L21796"/>
    </row>
    <row r="21797" spans="2:12" x14ac:dyDescent="0.2">
      <c r="B21797"/>
      <c r="C21797"/>
      <c r="J21797"/>
      <c r="K21797"/>
      <c r="L21797"/>
    </row>
    <row r="21798" spans="2:12" x14ac:dyDescent="0.2">
      <c r="B21798"/>
      <c r="C21798"/>
      <c r="J21798"/>
      <c r="K21798"/>
      <c r="L21798"/>
    </row>
    <row r="21799" spans="2:12" x14ac:dyDescent="0.2">
      <c r="B21799"/>
      <c r="C21799"/>
      <c r="J21799"/>
      <c r="K21799"/>
      <c r="L21799"/>
    </row>
    <row r="21800" spans="2:12" x14ac:dyDescent="0.2">
      <c r="B21800"/>
      <c r="C21800"/>
      <c r="J21800"/>
      <c r="K21800"/>
      <c r="L21800"/>
    </row>
    <row r="21801" spans="2:12" x14ac:dyDescent="0.2">
      <c r="B21801"/>
      <c r="C21801"/>
      <c r="J21801"/>
      <c r="K21801"/>
      <c r="L21801"/>
    </row>
    <row r="21802" spans="2:12" x14ac:dyDescent="0.2">
      <c r="B21802"/>
      <c r="C21802"/>
      <c r="J21802"/>
      <c r="K21802"/>
      <c r="L21802"/>
    </row>
    <row r="21803" spans="2:12" x14ac:dyDescent="0.2">
      <c r="B21803"/>
      <c r="C21803"/>
      <c r="J21803"/>
      <c r="K21803"/>
      <c r="L21803"/>
    </row>
    <row r="21804" spans="2:12" x14ac:dyDescent="0.2">
      <c r="B21804"/>
      <c r="C21804"/>
      <c r="J21804"/>
      <c r="K21804"/>
      <c r="L21804"/>
    </row>
    <row r="21805" spans="2:12" x14ac:dyDescent="0.2">
      <c r="B21805"/>
      <c r="C21805"/>
      <c r="J21805"/>
      <c r="K21805"/>
      <c r="L21805"/>
    </row>
    <row r="21806" spans="2:12" x14ac:dyDescent="0.2">
      <c r="B21806"/>
      <c r="C21806"/>
      <c r="J21806"/>
      <c r="K21806"/>
      <c r="L21806"/>
    </row>
    <row r="21807" spans="2:12" x14ac:dyDescent="0.2">
      <c r="B21807"/>
      <c r="C21807"/>
      <c r="J21807"/>
      <c r="K21807"/>
      <c r="L21807"/>
    </row>
    <row r="21808" spans="2:12" x14ac:dyDescent="0.2">
      <c r="B21808"/>
      <c r="C21808"/>
      <c r="J21808"/>
      <c r="K21808"/>
      <c r="L21808"/>
    </row>
    <row r="21809" spans="2:12" x14ac:dyDescent="0.2">
      <c r="B21809"/>
      <c r="C21809"/>
      <c r="J21809"/>
      <c r="K21809"/>
      <c r="L21809"/>
    </row>
    <row r="21810" spans="2:12" x14ac:dyDescent="0.2">
      <c r="B21810"/>
      <c r="C21810"/>
      <c r="J21810"/>
      <c r="K21810"/>
      <c r="L21810"/>
    </row>
    <row r="21811" spans="2:12" x14ac:dyDescent="0.2">
      <c r="B21811"/>
      <c r="C21811"/>
      <c r="J21811"/>
      <c r="K21811"/>
      <c r="L21811"/>
    </row>
    <row r="21812" spans="2:12" x14ac:dyDescent="0.2">
      <c r="B21812"/>
      <c r="C21812"/>
      <c r="J21812"/>
      <c r="K21812"/>
      <c r="L21812"/>
    </row>
    <row r="21813" spans="2:12" x14ac:dyDescent="0.2">
      <c r="B21813"/>
      <c r="C21813"/>
      <c r="J21813"/>
      <c r="K21813"/>
      <c r="L21813"/>
    </row>
    <row r="21814" spans="2:12" x14ac:dyDescent="0.2">
      <c r="B21814"/>
      <c r="C21814"/>
      <c r="J21814"/>
      <c r="K21814"/>
      <c r="L21814"/>
    </row>
    <row r="21815" spans="2:12" x14ac:dyDescent="0.2">
      <c r="B21815"/>
      <c r="C21815"/>
      <c r="J21815"/>
      <c r="K21815"/>
      <c r="L21815"/>
    </row>
    <row r="21816" spans="2:12" x14ac:dyDescent="0.2">
      <c r="B21816"/>
      <c r="C21816"/>
      <c r="J21816"/>
      <c r="K21816"/>
      <c r="L21816"/>
    </row>
    <row r="21817" spans="2:12" x14ac:dyDescent="0.2">
      <c r="B21817"/>
      <c r="C21817"/>
      <c r="J21817"/>
      <c r="K21817"/>
      <c r="L21817"/>
    </row>
    <row r="21818" spans="2:12" x14ac:dyDescent="0.2">
      <c r="B21818"/>
      <c r="C21818"/>
      <c r="J21818"/>
      <c r="K21818"/>
      <c r="L21818"/>
    </row>
    <row r="21819" spans="2:12" x14ac:dyDescent="0.2">
      <c r="B21819"/>
      <c r="C21819"/>
      <c r="J21819"/>
      <c r="K21819"/>
      <c r="L21819"/>
    </row>
    <row r="21820" spans="2:12" x14ac:dyDescent="0.2">
      <c r="B21820"/>
      <c r="C21820"/>
      <c r="J21820"/>
      <c r="K21820"/>
      <c r="L21820"/>
    </row>
    <row r="21821" spans="2:12" x14ac:dyDescent="0.2">
      <c r="B21821"/>
      <c r="C21821"/>
      <c r="J21821"/>
      <c r="K21821"/>
      <c r="L21821"/>
    </row>
    <row r="21822" spans="2:12" x14ac:dyDescent="0.2">
      <c r="B21822"/>
      <c r="C21822"/>
      <c r="J21822"/>
      <c r="K21822"/>
      <c r="L21822"/>
    </row>
    <row r="21823" spans="2:12" x14ac:dyDescent="0.2">
      <c r="B21823"/>
      <c r="C21823"/>
      <c r="J21823"/>
      <c r="K21823"/>
      <c r="L21823"/>
    </row>
    <row r="21824" spans="2:12" x14ac:dyDescent="0.2">
      <c r="B21824"/>
      <c r="C21824"/>
      <c r="J21824"/>
      <c r="K21824"/>
      <c r="L21824"/>
    </row>
    <row r="21825" spans="2:12" x14ac:dyDescent="0.2">
      <c r="B21825"/>
      <c r="C21825"/>
      <c r="J21825"/>
      <c r="K21825"/>
      <c r="L21825"/>
    </row>
    <row r="21826" spans="2:12" x14ac:dyDescent="0.2">
      <c r="B21826"/>
      <c r="C21826"/>
      <c r="J21826"/>
      <c r="K21826"/>
      <c r="L21826"/>
    </row>
    <row r="21827" spans="2:12" x14ac:dyDescent="0.2">
      <c r="B21827"/>
      <c r="C21827"/>
      <c r="J21827"/>
      <c r="K21827"/>
      <c r="L21827"/>
    </row>
    <row r="21828" spans="2:12" x14ac:dyDescent="0.2">
      <c r="B21828"/>
      <c r="C21828"/>
      <c r="J21828"/>
      <c r="K21828"/>
      <c r="L21828"/>
    </row>
    <row r="21829" spans="2:12" x14ac:dyDescent="0.2">
      <c r="B21829"/>
      <c r="C21829"/>
      <c r="J21829"/>
      <c r="K21829"/>
      <c r="L21829"/>
    </row>
    <row r="21830" spans="2:12" x14ac:dyDescent="0.2">
      <c r="B21830"/>
      <c r="C21830"/>
      <c r="J21830"/>
      <c r="K21830"/>
      <c r="L21830"/>
    </row>
    <row r="21831" spans="2:12" x14ac:dyDescent="0.2">
      <c r="B21831"/>
      <c r="C21831"/>
      <c r="J21831"/>
      <c r="K21831"/>
      <c r="L21831"/>
    </row>
    <row r="21832" spans="2:12" x14ac:dyDescent="0.2">
      <c r="B21832"/>
      <c r="C21832"/>
      <c r="J21832"/>
      <c r="K21832"/>
      <c r="L21832"/>
    </row>
    <row r="21833" spans="2:12" x14ac:dyDescent="0.2">
      <c r="B21833"/>
      <c r="C21833"/>
      <c r="J21833"/>
      <c r="K21833"/>
      <c r="L21833"/>
    </row>
    <row r="21834" spans="2:12" x14ac:dyDescent="0.2">
      <c r="B21834"/>
      <c r="C21834"/>
      <c r="J21834"/>
      <c r="K21834"/>
      <c r="L21834"/>
    </row>
    <row r="21835" spans="2:12" x14ac:dyDescent="0.2">
      <c r="B21835"/>
      <c r="C21835"/>
      <c r="J21835"/>
      <c r="K21835"/>
      <c r="L21835"/>
    </row>
    <row r="21836" spans="2:12" x14ac:dyDescent="0.2">
      <c r="B21836"/>
      <c r="C21836"/>
      <c r="J21836"/>
      <c r="K21836"/>
      <c r="L21836"/>
    </row>
    <row r="21837" spans="2:12" x14ac:dyDescent="0.2">
      <c r="B21837"/>
      <c r="C21837"/>
      <c r="J21837"/>
      <c r="K21837"/>
      <c r="L21837"/>
    </row>
    <row r="21838" spans="2:12" x14ac:dyDescent="0.2">
      <c r="B21838"/>
      <c r="C21838"/>
      <c r="J21838"/>
      <c r="K21838"/>
      <c r="L21838"/>
    </row>
    <row r="21839" spans="2:12" x14ac:dyDescent="0.2">
      <c r="B21839"/>
      <c r="C21839"/>
      <c r="J21839"/>
      <c r="K21839"/>
      <c r="L21839"/>
    </row>
    <row r="21840" spans="2:12" x14ac:dyDescent="0.2">
      <c r="B21840"/>
      <c r="C21840"/>
      <c r="J21840"/>
      <c r="K21840"/>
      <c r="L21840"/>
    </row>
    <row r="21841" spans="2:12" x14ac:dyDescent="0.2">
      <c r="B21841"/>
      <c r="C21841"/>
      <c r="J21841"/>
      <c r="K21841"/>
      <c r="L21841"/>
    </row>
    <row r="21842" spans="2:12" x14ac:dyDescent="0.2">
      <c r="B21842"/>
      <c r="C21842"/>
      <c r="J21842"/>
      <c r="K21842"/>
      <c r="L21842"/>
    </row>
    <row r="21843" spans="2:12" x14ac:dyDescent="0.2">
      <c r="B21843"/>
      <c r="C21843"/>
      <c r="J21843"/>
      <c r="K21843"/>
      <c r="L21843"/>
    </row>
    <row r="21844" spans="2:12" x14ac:dyDescent="0.2">
      <c r="B21844"/>
      <c r="C21844"/>
      <c r="J21844"/>
      <c r="K21844"/>
      <c r="L21844"/>
    </row>
    <row r="21845" spans="2:12" x14ac:dyDescent="0.2">
      <c r="B21845"/>
      <c r="C21845"/>
      <c r="J21845"/>
      <c r="K21845"/>
      <c r="L21845"/>
    </row>
    <row r="21846" spans="2:12" x14ac:dyDescent="0.2">
      <c r="B21846"/>
      <c r="C21846"/>
      <c r="J21846"/>
      <c r="K21846"/>
      <c r="L21846"/>
    </row>
    <row r="21847" spans="2:12" x14ac:dyDescent="0.2">
      <c r="B21847"/>
      <c r="C21847"/>
      <c r="J21847"/>
      <c r="K21847"/>
      <c r="L21847"/>
    </row>
    <row r="21848" spans="2:12" x14ac:dyDescent="0.2">
      <c r="B21848"/>
      <c r="C21848"/>
      <c r="J21848"/>
      <c r="K21848"/>
      <c r="L21848"/>
    </row>
    <row r="21849" spans="2:12" x14ac:dyDescent="0.2">
      <c r="B21849"/>
      <c r="C21849"/>
      <c r="J21849"/>
      <c r="K21849"/>
      <c r="L21849"/>
    </row>
    <row r="21850" spans="2:12" x14ac:dyDescent="0.2">
      <c r="B21850"/>
      <c r="C21850"/>
      <c r="J21850"/>
      <c r="K21850"/>
      <c r="L21850"/>
    </row>
    <row r="21851" spans="2:12" x14ac:dyDescent="0.2">
      <c r="B21851"/>
      <c r="C21851"/>
      <c r="J21851"/>
      <c r="K21851"/>
      <c r="L21851"/>
    </row>
    <row r="21852" spans="2:12" x14ac:dyDescent="0.2">
      <c r="B21852"/>
      <c r="C21852"/>
      <c r="J21852"/>
      <c r="K21852"/>
      <c r="L21852"/>
    </row>
    <row r="21853" spans="2:12" x14ac:dyDescent="0.2">
      <c r="B21853"/>
      <c r="C21853"/>
      <c r="J21853"/>
      <c r="K21853"/>
      <c r="L21853"/>
    </row>
    <row r="21854" spans="2:12" x14ac:dyDescent="0.2">
      <c r="B21854"/>
      <c r="C21854"/>
      <c r="J21854"/>
      <c r="K21854"/>
      <c r="L21854"/>
    </row>
    <row r="21855" spans="2:12" x14ac:dyDescent="0.2">
      <c r="B21855"/>
      <c r="C21855"/>
      <c r="J21855"/>
      <c r="K21855"/>
      <c r="L21855"/>
    </row>
    <row r="21856" spans="2:12" x14ac:dyDescent="0.2">
      <c r="B21856"/>
      <c r="C21856"/>
      <c r="J21856"/>
      <c r="K21856"/>
      <c r="L21856"/>
    </row>
    <row r="21857" spans="2:12" x14ac:dyDescent="0.2">
      <c r="B21857"/>
      <c r="C21857"/>
      <c r="J21857"/>
      <c r="K21857"/>
      <c r="L21857"/>
    </row>
    <row r="21858" spans="2:12" x14ac:dyDescent="0.2">
      <c r="B21858"/>
      <c r="C21858"/>
      <c r="J21858"/>
      <c r="K21858"/>
      <c r="L21858"/>
    </row>
    <row r="21859" spans="2:12" x14ac:dyDescent="0.2">
      <c r="B21859"/>
      <c r="C21859"/>
      <c r="J21859"/>
      <c r="K21859"/>
      <c r="L21859"/>
    </row>
    <row r="21860" spans="2:12" x14ac:dyDescent="0.2">
      <c r="B21860"/>
      <c r="C21860"/>
      <c r="J21860"/>
      <c r="K21860"/>
      <c r="L21860"/>
    </row>
    <row r="21861" spans="2:12" x14ac:dyDescent="0.2">
      <c r="B21861"/>
      <c r="C21861"/>
      <c r="J21861"/>
      <c r="K21861"/>
      <c r="L21861"/>
    </row>
    <row r="21862" spans="2:12" x14ac:dyDescent="0.2">
      <c r="B21862"/>
      <c r="C21862"/>
      <c r="J21862"/>
      <c r="K21862"/>
      <c r="L21862"/>
    </row>
    <row r="21863" spans="2:12" x14ac:dyDescent="0.2">
      <c r="B21863"/>
      <c r="C21863"/>
      <c r="J21863"/>
      <c r="K21863"/>
      <c r="L21863"/>
    </row>
    <row r="21864" spans="2:12" x14ac:dyDescent="0.2">
      <c r="B21864"/>
      <c r="C21864"/>
      <c r="J21864"/>
      <c r="K21864"/>
      <c r="L21864"/>
    </row>
    <row r="21865" spans="2:12" x14ac:dyDescent="0.2">
      <c r="B21865"/>
      <c r="C21865"/>
      <c r="J21865"/>
      <c r="K21865"/>
      <c r="L21865"/>
    </row>
    <row r="21866" spans="2:12" x14ac:dyDescent="0.2">
      <c r="B21866"/>
      <c r="C21866"/>
      <c r="J21866"/>
      <c r="K21866"/>
      <c r="L21866"/>
    </row>
    <row r="21867" spans="2:12" x14ac:dyDescent="0.2">
      <c r="B21867"/>
      <c r="C21867"/>
      <c r="J21867"/>
      <c r="K21867"/>
      <c r="L21867"/>
    </row>
    <row r="21868" spans="2:12" x14ac:dyDescent="0.2">
      <c r="B21868"/>
      <c r="C21868"/>
      <c r="J21868"/>
      <c r="K21868"/>
      <c r="L21868"/>
    </row>
    <row r="21869" spans="2:12" x14ac:dyDescent="0.2">
      <c r="B21869"/>
      <c r="C21869"/>
      <c r="J21869"/>
      <c r="K21869"/>
      <c r="L21869"/>
    </row>
    <row r="21870" spans="2:12" x14ac:dyDescent="0.2">
      <c r="B21870"/>
      <c r="C21870"/>
      <c r="J21870"/>
      <c r="K21870"/>
      <c r="L21870"/>
    </row>
    <row r="21871" spans="2:12" x14ac:dyDescent="0.2">
      <c r="B21871"/>
      <c r="C21871"/>
      <c r="J21871"/>
      <c r="K21871"/>
      <c r="L21871"/>
    </row>
    <row r="21872" spans="2:12" x14ac:dyDescent="0.2">
      <c r="B21872"/>
      <c r="C21872"/>
      <c r="J21872"/>
      <c r="K21872"/>
      <c r="L21872"/>
    </row>
    <row r="21873" spans="2:12" x14ac:dyDescent="0.2">
      <c r="B21873"/>
      <c r="C21873"/>
      <c r="J21873"/>
      <c r="K21873"/>
      <c r="L21873"/>
    </row>
    <row r="21874" spans="2:12" x14ac:dyDescent="0.2">
      <c r="B21874"/>
      <c r="C21874"/>
      <c r="J21874"/>
      <c r="K21874"/>
      <c r="L21874"/>
    </row>
    <row r="21875" spans="2:12" x14ac:dyDescent="0.2">
      <c r="B21875"/>
      <c r="C21875"/>
      <c r="J21875"/>
      <c r="K21875"/>
      <c r="L21875"/>
    </row>
    <row r="21876" spans="2:12" x14ac:dyDescent="0.2">
      <c r="B21876"/>
      <c r="C21876"/>
      <c r="J21876"/>
      <c r="K21876"/>
      <c r="L21876"/>
    </row>
    <row r="21877" spans="2:12" x14ac:dyDescent="0.2">
      <c r="B21877"/>
      <c r="C21877"/>
      <c r="J21877"/>
      <c r="K21877"/>
      <c r="L21877"/>
    </row>
    <row r="21878" spans="2:12" x14ac:dyDescent="0.2">
      <c r="B21878"/>
      <c r="C21878"/>
      <c r="J21878"/>
      <c r="K21878"/>
      <c r="L21878"/>
    </row>
    <row r="21879" spans="2:12" x14ac:dyDescent="0.2">
      <c r="B21879"/>
      <c r="C21879"/>
      <c r="J21879"/>
      <c r="K21879"/>
      <c r="L21879"/>
    </row>
    <row r="21880" spans="2:12" x14ac:dyDescent="0.2">
      <c r="B21880"/>
      <c r="C21880"/>
      <c r="J21880"/>
      <c r="K21880"/>
      <c r="L21880"/>
    </row>
    <row r="21881" spans="2:12" x14ac:dyDescent="0.2">
      <c r="B21881"/>
      <c r="C21881"/>
      <c r="J21881"/>
      <c r="K21881"/>
      <c r="L21881"/>
    </row>
    <row r="21882" spans="2:12" x14ac:dyDescent="0.2">
      <c r="B21882"/>
      <c r="C21882"/>
      <c r="J21882"/>
      <c r="K21882"/>
      <c r="L21882"/>
    </row>
    <row r="21883" spans="2:12" x14ac:dyDescent="0.2">
      <c r="B21883"/>
      <c r="C21883"/>
      <c r="J21883"/>
      <c r="K21883"/>
      <c r="L21883"/>
    </row>
    <row r="21884" spans="2:12" x14ac:dyDescent="0.2">
      <c r="B21884"/>
      <c r="C21884"/>
      <c r="J21884"/>
      <c r="K21884"/>
      <c r="L21884"/>
    </row>
    <row r="21885" spans="2:12" x14ac:dyDescent="0.2">
      <c r="B21885"/>
      <c r="C21885"/>
      <c r="J21885"/>
      <c r="K21885"/>
      <c r="L21885"/>
    </row>
    <row r="21886" spans="2:12" x14ac:dyDescent="0.2">
      <c r="B21886"/>
      <c r="C21886"/>
      <c r="J21886"/>
      <c r="K21886"/>
      <c r="L21886"/>
    </row>
    <row r="21887" spans="2:12" x14ac:dyDescent="0.2">
      <c r="B21887"/>
      <c r="C21887"/>
      <c r="J21887"/>
      <c r="K21887"/>
      <c r="L21887"/>
    </row>
    <row r="21888" spans="2:12" x14ac:dyDescent="0.2">
      <c r="B21888"/>
      <c r="C21888"/>
      <c r="J21888"/>
      <c r="K21888"/>
      <c r="L21888"/>
    </row>
    <row r="21889" spans="2:12" x14ac:dyDescent="0.2">
      <c r="B21889"/>
      <c r="C21889"/>
      <c r="J21889"/>
      <c r="K21889"/>
      <c r="L21889"/>
    </row>
    <row r="21890" spans="2:12" x14ac:dyDescent="0.2">
      <c r="B21890"/>
      <c r="C21890"/>
      <c r="J21890"/>
      <c r="K21890"/>
      <c r="L21890"/>
    </row>
    <row r="21891" spans="2:12" x14ac:dyDescent="0.2">
      <c r="B21891"/>
      <c r="C21891"/>
      <c r="J21891"/>
      <c r="K21891"/>
      <c r="L21891"/>
    </row>
    <row r="21892" spans="2:12" x14ac:dyDescent="0.2">
      <c r="B21892"/>
      <c r="C21892"/>
      <c r="J21892"/>
      <c r="K21892"/>
      <c r="L21892"/>
    </row>
    <row r="21893" spans="2:12" x14ac:dyDescent="0.2">
      <c r="B21893"/>
      <c r="C21893"/>
      <c r="J21893"/>
      <c r="K21893"/>
      <c r="L21893"/>
    </row>
    <row r="21894" spans="2:12" x14ac:dyDescent="0.2">
      <c r="B21894"/>
      <c r="C21894"/>
      <c r="J21894"/>
      <c r="K21894"/>
      <c r="L21894"/>
    </row>
    <row r="21895" spans="2:12" x14ac:dyDescent="0.2">
      <c r="B21895"/>
      <c r="C21895"/>
      <c r="J21895"/>
      <c r="K21895"/>
      <c r="L21895"/>
    </row>
    <row r="21896" spans="2:12" x14ac:dyDescent="0.2">
      <c r="B21896"/>
      <c r="C21896"/>
      <c r="J21896"/>
      <c r="K21896"/>
      <c r="L21896"/>
    </row>
    <row r="21897" spans="2:12" x14ac:dyDescent="0.2">
      <c r="B21897"/>
      <c r="C21897"/>
      <c r="J21897"/>
      <c r="K21897"/>
      <c r="L21897"/>
    </row>
    <row r="21898" spans="2:12" x14ac:dyDescent="0.2">
      <c r="B21898"/>
      <c r="C21898"/>
      <c r="J21898"/>
      <c r="K21898"/>
      <c r="L21898"/>
    </row>
    <row r="21899" spans="2:12" x14ac:dyDescent="0.2">
      <c r="B21899"/>
      <c r="C21899"/>
      <c r="J21899"/>
      <c r="K21899"/>
      <c r="L21899"/>
    </row>
    <row r="21900" spans="2:12" x14ac:dyDescent="0.2">
      <c r="B21900"/>
      <c r="C21900"/>
      <c r="J21900"/>
      <c r="K21900"/>
      <c r="L21900"/>
    </row>
    <row r="21901" spans="2:12" x14ac:dyDescent="0.2">
      <c r="B21901"/>
      <c r="C21901"/>
      <c r="J21901"/>
      <c r="K21901"/>
      <c r="L21901"/>
    </row>
    <row r="21902" spans="2:12" x14ac:dyDescent="0.2">
      <c r="B21902"/>
      <c r="C21902"/>
      <c r="J21902"/>
      <c r="K21902"/>
      <c r="L21902"/>
    </row>
    <row r="21903" spans="2:12" x14ac:dyDescent="0.2">
      <c r="B21903"/>
      <c r="C21903"/>
      <c r="J21903"/>
      <c r="K21903"/>
      <c r="L21903"/>
    </row>
    <row r="21904" spans="2:12" x14ac:dyDescent="0.2">
      <c r="B21904"/>
      <c r="C21904"/>
      <c r="J21904"/>
      <c r="K21904"/>
      <c r="L21904"/>
    </row>
    <row r="21905" spans="2:12" x14ac:dyDescent="0.2">
      <c r="B21905"/>
      <c r="C21905"/>
      <c r="J21905"/>
      <c r="K21905"/>
      <c r="L21905"/>
    </row>
    <row r="21906" spans="2:12" x14ac:dyDescent="0.2">
      <c r="B21906"/>
      <c r="C21906"/>
      <c r="J21906"/>
      <c r="K21906"/>
      <c r="L21906"/>
    </row>
    <row r="21907" spans="2:12" x14ac:dyDescent="0.2">
      <c r="B21907"/>
      <c r="C21907"/>
      <c r="J21907"/>
      <c r="K21907"/>
      <c r="L21907"/>
    </row>
    <row r="21908" spans="2:12" x14ac:dyDescent="0.2">
      <c r="B21908"/>
      <c r="C21908"/>
      <c r="J21908"/>
      <c r="K21908"/>
      <c r="L21908"/>
    </row>
    <row r="21909" spans="2:12" x14ac:dyDescent="0.2">
      <c r="B21909"/>
      <c r="C21909"/>
      <c r="J21909"/>
      <c r="K21909"/>
      <c r="L21909"/>
    </row>
    <row r="21910" spans="2:12" x14ac:dyDescent="0.2">
      <c r="B21910"/>
      <c r="C21910"/>
      <c r="J21910"/>
      <c r="K21910"/>
      <c r="L21910"/>
    </row>
    <row r="21911" spans="2:12" x14ac:dyDescent="0.2">
      <c r="B21911"/>
      <c r="C21911"/>
      <c r="J21911"/>
      <c r="K21911"/>
      <c r="L21911"/>
    </row>
    <row r="21912" spans="2:12" x14ac:dyDescent="0.2">
      <c r="B21912"/>
      <c r="C21912"/>
      <c r="J21912"/>
      <c r="K21912"/>
      <c r="L21912"/>
    </row>
    <row r="21913" spans="2:12" x14ac:dyDescent="0.2">
      <c r="B21913"/>
      <c r="C21913"/>
      <c r="J21913"/>
      <c r="K21913"/>
      <c r="L21913"/>
    </row>
    <row r="21914" spans="2:12" x14ac:dyDescent="0.2">
      <c r="B21914"/>
      <c r="C21914"/>
      <c r="J21914"/>
      <c r="K21914"/>
      <c r="L21914"/>
    </row>
    <row r="21915" spans="2:12" x14ac:dyDescent="0.2">
      <c r="B21915"/>
      <c r="C21915"/>
      <c r="J21915"/>
      <c r="K21915"/>
      <c r="L21915"/>
    </row>
    <row r="21916" spans="2:12" x14ac:dyDescent="0.2">
      <c r="B21916"/>
      <c r="C21916"/>
      <c r="J21916"/>
      <c r="K21916"/>
      <c r="L21916"/>
    </row>
    <row r="21917" spans="2:12" x14ac:dyDescent="0.2">
      <c r="B21917"/>
      <c r="C21917"/>
      <c r="J21917"/>
      <c r="K21917"/>
      <c r="L21917"/>
    </row>
    <row r="21918" spans="2:12" x14ac:dyDescent="0.2">
      <c r="B21918"/>
      <c r="C21918"/>
      <c r="J21918"/>
      <c r="K21918"/>
      <c r="L21918"/>
    </row>
    <row r="21919" spans="2:12" x14ac:dyDescent="0.2">
      <c r="B21919"/>
      <c r="C21919"/>
      <c r="J21919"/>
      <c r="K21919"/>
      <c r="L21919"/>
    </row>
    <row r="21920" spans="2:12" x14ac:dyDescent="0.2">
      <c r="B21920"/>
      <c r="C21920"/>
      <c r="J21920"/>
      <c r="K21920"/>
      <c r="L21920"/>
    </row>
    <row r="21921" spans="2:12" x14ac:dyDescent="0.2">
      <c r="B21921"/>
      <c r="C21921"/>
      <c r="J21921"/>
      <c r="K21921"/>
      <c r="L21921"/>
    </row>
    <row r="21922" spans="2:12" x14ac:dyDescent="0.2">
      <c r="B21922"/>
      <c r="C21922"/>
      <c r="J21922"/>
      <c r="K21922"/>
      <c r="L21922"/>
    </row>
    <row r="21923" spans="2:12" x14ac:dyDescent="0.2">
      <c r="B21923"/>
      <c r="C21923"/>
      <c r="J21923"/>
      <c r="K21923"/>
      <c r="L21923"/>
    </row>
    <row r="21924" spans="2:12" x14ac:dyDescent="0.2">
      <c r="B21924"/>
      <c r="C21924"/>
      <c r="J21924"/>
      <c r="K21924"/>
      <c r="L21924"/>
    </row>
    <row r="21925" spans="2:12" x14ac:dyDescent="0.2">
      <c r="B21925"/>
      <c r="C21925"/>
      <c r="J21925"/>
      <c r="K21925"/>
      <c r="L21925"/>
    </row>
    <row r="21926" spans="2:12" x14ac:dyDescent="0.2">
      <c r="B21926"/>
      <c r="C21926"/>
      <c r="J21926"/>
      <c r="K21926"/>
      <c r="L21926"/>
    </row>
    <row r="21927" spans="2:12" x14ac:dyDescent="0.2">
      <c r="B21927"/>
      <c r="C21927"/>
      <c r="J21927"/>
      <c r="K21927"/>
      <c r="L21927"/>
    </row>
    <row r="21928" spans="2:12" x14ac:dyDescent="0.2">
      <c r="B21928"/>
      <c r="C21928"/>
      <c r="J21928"/>
      <c r="K21928"/>
      <c r="L21928"/>
    </row>
    <row r="21929" spans="2:12" x14ac:dyDescent="0.2">
      <c r="B21929"/>
      <c r="C21929"/>
      <c r="J21929"/>
      <c r="K21929"/>
      <c r="L21929"/>
    </row>
    <row r="21930" spans="2:12" x14ac:dyDescent="0.2">
      <c r="B21930"/>
      <c r="C21930"/>
      <c r="J21930"/>
      <c r="K21930"/>
      <c r="L21930"/>
    </row>
    <row r="21931" spans="2:12" x14ac:dyDescent="0.2">
      <c r="B21931"/>
      <c r="C21931"/>
      <c r="J21931"/>
      <c r="K21931"/>
      <c r="L21931"/>
    </row>
    <row r="21932" spans="2:12" x14ac:dyDescent="0.2">
      <c r="B21932"/>
      <c r="C21932"/>
      <c r="J21932"/>
      <c r="K21932"/>
      <c r="L21932"/>
    </row>
    <row r="21933" spans="2:12" x14ac:dyDescent="0.2">
      <c r="B21933"/>
      <c r="C21933"/>
      <c r="J21933"/>
      <c r="K21933"/>
      <c r="L21933"/>
    </row>
    <row r="21934" spans="2:12" x14ac:dyDescent="0.2">
      <c r="B21934"/>
      <c r="C21934"/>
      <c r="J21934"/>
      <c r="K21934"/>
      <c r="L21934"/>
    </row>
    <row r="21935" spans="2:12" x14ac:dyDescent="0.2">
      <c r="B21935"/>
      <c r="C21935"/>
      <c r="J21935"/>
      <c r="K21935"/>
      <c r="L21935"/>
    </row>
    <row r="21936" spans="2:12" x14ac:dyDescent="0.2">
      <c r="B21936"/>
      <c r="C21936"/>
      <c r="J21936"/>
      <c r="K21936"/>
      <c r="L21936"/>
    </row>
    <row r="21937" spans="2:12" x14ac:dyDescent="0.2">
      <c r="B21937"/>
      <c r="C21937"/>
      <c r="J21937"/>
      <c r="K21937"/>
      <c r="L21937"/>
    </row>
    <row r="21938" spans="2:12" x14ac:dyDescent="0.2">
      <c r="B21938"/>
      <c r="C21938"/>
      <c r="J21938"/>
      <c r="K21938"/>
      <c r="L21938"/>
    </row>
    <row r="21939" spans="2:12" x14ac:dyDescent="0.2">
      <c r="B21939"/>
      <c r="C21939"/>
      <c r="J21939"/>
      <c r="K21939"/>
      <c r="L21939"/>
    </row>
    <row r="21940" spans="2:12" x14ac:dyDescent="0.2">
      <c r="B21940"/>
      <c r="C21940"/>
      <c r="J21940"/>
      <c r="K21940"/>
      <c r="L21940"/>
    </row>
    <row r="21941" spans="2:12" x14ac:dyDescent="0.2">
      <c r="B21941"/>
      <c r="C21941"/>
      <c r="J21941"/>
      <c r="K21941"/>
      <c r="L21941"/>
    </row>
    <row r="21942" spans="2:12" x14ac:dyDescent="0.2">
      <c r="B21942"/>
      <c r="C21942"/>
      <c r="J21942"/>
      <c r="K21942"/>
      <c r="L21942"/>
    </row>
    <row r="21943" spans="2:12" x14ac:dyDescent="0.2">
      <c r="B21943"/>
      <c r="C21943"/>
      <c r="J21943"/>
      <c r="K21943"/>
      <c r="L21943"/>
    </row>
    <row r="21944" spans="2:12" x14ac:dyDescent="0.2">
      <c r="B21944"/>
      <c r="C21944"/>
      <c r="J21944"/>
      <c r="K21944"/>
      <c r="L21944"/>
    </row>
    <row r="21945" spans="2:12" x14ac:dyDescent="0.2">
      <c r="B21945"/>
      <c r="C21945"/>
      <c r="J21945"/>
      <c r="K21945"/>
      <c r="L21945"/>
    </row>
    <row r="21946" spans="2:12" x14ac:dyDescent="0.2">
      <c r="B21946"/>
      <c r="C21946"/>
      <c r="J21946"/>
      <c r="K21946"/>
      <c r="L21946"/>
    </row>
    <row r="21947" spans="2:12" x14ac:dyDescent="0.2">
      <c r="B21947"/>
      <c r="C21947"/>
      <c r="J21947"/>
      <c r="K21947"/>
      <c r="L21947"/>
    </row>
    <row r="21948" spans="2:12" x14ac:dyDescent="0.2">
      <c r="B21948"/>
      <c r="C21948"/>
      <c r="J21948"/>
      <c r="K21948"/>
      <c r="L21948"/>
    </row>
    <row r="21949" spans="2:12" x14ac:dyDescent="0.2">
      <c r="B21949"/>
      <c r="C21949"/>
      <c r="J21949"/>
      <c r="K21949"/>
      <c r="L21949"/>
    </row>
    <row r="21950" spans="2:12" x14ac:dyDescent="0.2">
      <c r="B21950"/>
      <c r="C21950"/>
      <c r="J21950"/>
      <c r="K21950"/>
      <c r="L21950"/>
    </row>
    <row r="21951" spans="2:12" x14ac:dyDescent="0.2">
      <c r="B21951"/>
      <c r="C21951"/>
      <c r="J21951"/>
      <c r="K21951"/>
      <c r="L21951"/>
    </row>
    <row r="21952" spans="2:12" x14ac:dyDescent="0.2">
      <c r="B21952"/>
      <c r="C21952"/>
      <c r="J21952"/>
      <c r="K21952"/>
      <c r="L21952"/>
    </row>
    <row r="21953" spans="2:12" x14ac:dyDescent="0.2">
      <c r="B21953"/>
      <c r="C21953"/>
      <c r="J21953"/>
      <c r="K21953"/>
      <c r="L21953"/>
    </row>
    <row r="21954" spans="2:12" x14ac:dyDescent="0.2">
      <c r="B21954"/>
      <c r="C21954"/>
      <c r="J21954"/>
      <c r="K21954"/>
      <c r="L21954"/>
    </row>
    <row r="21955" spans="2:12" x14ac:dyDescent="0.2">
      <c r="B21955"/>
      <c r="C21955"/>
      <c r="J21955"/>
      <c r="K21955"/>
      <c r="L21955"/>
    </row>
    <row r="21956" spans="2:12" x14ac:dyDescent="0.2">
      <c r="B21956"/>
      <c r="C21956"/>
      <c r="J21956"/>
      <c r="K21956"/>
      <c r="L21956"/>
    </row>
    <row r="21957" spans="2:12" x14ac:dyDescent="0.2">
      <c r="B21957"/>
      <c r="C21957"/>
      <c r="J21957"/>
      <c r="K21957"/>
      <c r="L21957"/>
    </row>
    <row r="21958" spans="2:12" x14ac:dyDescent="0.2">
      <c r="B21958"/>
      <c r="C21958"/>
      <c r="J21958"/>
      <c r="K21958"/>
      <c r="L21958"/>
    </row>
    <row r="21959" spans="2:12" x14ac:dyDescent="0.2">
      <c r="B21959"/>
      <c r="C21959"/>
      <c r="J21959"/>
      <c r="K21959"/>
      <c r="L21959"/>
    </row>
    <row r="21960" spans="2:12" x14ac:dyDescent="0.2">
      <c r="B21960"/>
      <c r="C21960"/>
      <c r="J21960"/>
      <c r="K21960"/>
      <c r="L21960"/>
    </row>
    <row r="21961" spans="2:12" x14ac:dyDescent="0.2">
      <c r="B21961"/>
      <c r="C21961"/>
      <c r="J21961"/>
      <c r="K21961"/>
      <c r="L21961"/>
    </row>
    <row r="21962" spans="2:12" x14ac:dyDescent="0.2">
      <c r="B21962"/>
      <c r="C21962"/>
      <c r="J21962"/>
      <c r="K21962"/>
      <c r="L21962"/>
    </row>
    <row r="21963" spans="2:12" x14ac:dyDescent="0.2">
      <c r="B21963"/>
      <c r="C21963"/>
      <c r="J21963"/>
      <c r="K21963"/>
      <c r="L21963"/>
    </row>
    <row r="21964" spans="2:12" x14ac:dyDescent="0.2">
      <c r="B21964"/>
      <c r="C21964"/>
      <c r="J21964"/>
      <c r="K21964"/>
      <c r="L21964"/>
    </row>
    <row r="21965" spans="2:12" x14ac:dyDescent="0.2">
      <c r="B21965"/>
      <c r="C21965"/>
      <c r="J21965"/>
      <c r="K21965"/>
      <c r="L21965"/>
    </row>
    <row r="21966" spans="2:12" x14ac:dyDescent="0.2">
      <c r="B21966"/>
      <c r="C21966"/>
      <c r="J21966"/>
      <c r="K21966"/>
      <c r="L21966"/>
    </row>
    <row r="21967" spans="2:12" x14ac:dyDescent="0.2">
      <c r="B21967"/>
      <c r="C21967"/>
      <c r="J21967"/>
      <c r="K21967"/>
      <c r="L21967"/>
    </row>
    <row r="21968" spans="2:12" x14ac:dyDescent="0.2">
      <c r="B21968"/>
      <c r="C21968"/>
      <c r="J21968"/>
      <c r="K21968"/>
      <c r="L21968"/>
    </row>
    <row r="21969" spans="2:12" x14ac:dyDescent="0.2">
      <c r="B21969"/>
      <c r="C21969"/>
      <c r="J21969"/>
      <c r="K21969"/>
      <c r="L21969"/>
    </row>
    <row r="21970" spans="2:12" x14ac:dyDescent="0.2">
      <c r="B21970"/>
      <c r="C21970"/>
      <c r="J21970"/>
      <c r="K21970"/>
      <c r="L21970"/>
    </row>
    <row r="21971" spans="2:12" x14ac:dyDescent="0.2">
      <c r="B21971"/>
      <c r="C21971"/>
      <c r="J21971"/>
      <c r="K21971"/>
      <c r="L21971"/>
    </row>
    <row r="21972" spans="2:12" x14ac:dyDescent="0.2">
      <c r="B21972"/>
      <c r="C21972"/>
      <c r="J21972"/>
      <c r="K21972"/>
      <c r="L21972"/>
    </row>
    <row r="21973" spans="2:12" x14ac:dyDescent="0.2">
      <c r="B21973"/>
      <c r="C21973"/>
      <c r="J21973"/>
      <c r="K21973"/>
      <c r="L21973"/>
    </row>
    <row r="21974" spans="2:12" x14ac:dyDescent="0.2">
      <c r="B21974"/>
      <c r="C21974"/>
      <c r="J21974"/>
      <c r="K21974"/>
      <c r="L21974"/>
    </row>
    <row r="21975" spans="2:12" x14ac:dyDescent="0.2">
      <c r="B21975"/>
      <c r="C21975"/>
      <c r="J21975"/>
      <c r="K21975"/>
      <c r="L21975"/>
    </row>
    <row r="21976" spans="2:12" x14ac:dyDescent="0.2">
      <c r="B21976"/>
      <c r="C21976"/>
      <c r="J21976"/>
      <c r="K21976"/>
      <c r="L21976"/>
    </row>
    <row r="21977" spans="2:12" x14ac:dyDescent="0.2">
      <c r="B21977"/>
      <c r="C21977"/>
      <c r="J21977"/>
      <c r="K21977"/>
      <c r="L21977"/>
    </row>
    <row r="21978" spans="2:12" x14ac:dyDescent="0.2">
      <c r="B21978"/>
      <c r="C21978"/>
      <c r="J21978"/>
      <c r="K21978"/>
      <c r="L21978"/>
    </row>
    <row r="21979" spans="2:12" x14ac:dyDescent="0.2">
      <c r="B21979"/>
      <c r="C21979"/>
      <c r="J21979"/>
      <c r="K21979"/>
      <c r="L21979"/>
    </row>
    <row r="21980" spans="2:12" x14ac:dyDescent="0.2">
      <c r="B21980"/>
      <c r="C21980"/>
      <c r="J21980"/>
      <c r="K21980"/>
      <c r="L21980"/>
    </row>
    <row r="21981" spans="2:12" x14ac:dyDescent="0.2">
      <c r="B21981"/>
      <c r="C21981"/>
      <c r="J21981"/>
      <c r="K21981"/>
      <c r="L21981"/>
    </row>
    <row r="21982" spans="2:12" x14ac:dyDescent="0.2">
      <c r="B21982"/>
      <c r="C21982"/>
      <c r="J21982"/>
      <c r="K21982"/>
      <c r="L21982"/>
    </row>
    <row r="21983" spans="2:12" x14ac:dyDescent="0.2">
      <c r="B21983"/>
      <c r="C21983"/>
      <c r="J21983"/>
      <c r="K21983"/>
      <c r="L21983"/>
    </row>
    <row r="21984" spans="2:12" x14ac:dyDescent="0.2">
      <c r="B21984"/>
      <c r="C21984"/>
      <c r="J21984"/>
      <c r="K21984"/>
      <c r="L21984"/>
    </row>
    <row r="21985" spans="2:12" x14ac:dyDescent="0.2">
      <c r="B21985"/>
      <c r="C21985"/>
      <c r="J21985"/>
      <c r="K21985"/>
      <c r="L21985"/>
    </row>
    <row r="21986" spans="2:12" x14ac:dyDescent="0.2">
      <c r="B21986"/>
      <c r="C21986"/>
      <c r="J21986"/>
      <c r="K21986"/>
      <c r="L21986"/>
    </row>
    <row r="21987" spans="2:12" x14ac:dyDescent="0.2">
      <c r="B21987"/>
      <c r="C21987"/>
      <c r="J21987"/>
      <c r="K21987"/>
      <c r="L21987"/>
    </row>
    <row r="21988" spans="2:12" x14ac:dyDescent="0.2">
      <c r="B21988"/>
      <c r="C21988"/>
      <c r="J21988"/>
      <c r="K21988"/>
      <c r="L21988"/>
    </row>
    <row r="21989" spans="2:12" x14ac:dyDescent="0.2">
      <c r="B21989"/>
      <c r="C21989"/>
      <c r="J21989"/>
      <c r="K21989"/>
      <c r="L21989"/>
    </row>
    <row r="21990" spans="2:12" x14ac:dyDescent="0.2">
      <c r="B21990"/>
      <c r="C21990"/>
      <c r="J21990"/>
      <c r="K21990"/>
      <c r="L21990"/>
    </row>
    <row r="21991" spans="2:12" x14ac:dyDescent="0.2">
      <c r="B21991"/>
      <c r="C21991"/>
      <c r="J21991"/>
      <c r="K21991"/>
      <c r="L21991"/>
    </row>
    <row r="21992" spans="2:12" x14ac:dyDescent="0.2">
      <c r="B21992"/>
      <c r="C21992"/>
      <c r="J21992"/>
      <c r="K21992"/>
      <c r="L21992"/>
    </row>
    <row r="21993" spans="2:12" x14ac:dyDescent="0.2">
      <c r="B21993"/>
      <c r="C21993"/>
      <c r="J21993"/>
      <c r="K21993"/>
      <c r="L21993"/>
    </row>
    <row r="21994" spans="2:12" x14ac:dyDescent="0.2">
      <c r="B21994"/>
      <c r="C21994"/>
      <c r="J21994"/>
      <c r="K21994"/>
      <c r="L21994"/>
    </row>
    <row r="21995" spans="2:12" x14ac:dyDescent="0.2">
      <c r="B21995"/>
      <c r="C21995"/>
      <c r="J21995"/>
      <c r="K21995"/>
      <c r="L21995"/>
    </row>
    <row r="21996" spans="2:12" x14ac:dyDescent="0.2">
      <c r="B21996"/>
      <c r="C21996"/>
      <c r="J21996"/>
      <c r="K21996"/>
      <c r="L21996"/>
    </row>
    <row r="21997" spans="2:12" x14ac:dyDescent="0.2">
      <c r="B21997"/>
      <c r="C21997"/>
      <c r="J21997"/>
      <c r="K21997"/>
      <c r="L21997"/>
    </row>
    <row r="21998" spans="2:12" x14ac:dyDescent="0.2">
      <c r="B21998"/>
      <c r="C21998"/>
      <c r="J21998"/>
      <c r="K21998"/>
      <c r="L21998"/>
    </row>
    <row r="21999" spans="2:12" x14ac:dyDescent="0.2">
      <c r="B21999"/>
      <c r="C21999"/>
      <c r="J21999"/>
      <c r="K21999"/>
      <c r="L21999"/>
    </row>
    <row r="22000" spans="2:12" x14ac:dyDescent="0.2">
      <c r="B22000"/>
      <c r="C22000"/>
      <c r="J22000"/>
      <c r="K22000"/>
      <c r="L22000"/>
    </row>
    <row r="22001" spans="2:12" x14ac:dyDescent="0.2">
      <c r="B22001"/>
      <c r="C22001"/>
      <c r="J22001"/>
      <c r="K22001"/>
      <c r="L22001"/>
    </row>
    <row r="22002" spans="2:12" x14ac:dyDescent="0.2">
      <c r="B22002"/>
      <c r="C22002"/>
      <c r="J22002"/>
      <c r="K22002"/>
      <c r="L22002"/>
    </row>
    <row r="22003" spans="2:12" x14ac:dyDescent="0.2">
      <c r="B22003"/>
      <c r="C22003"/>
      <c r="J22003"/>
      <c r="K22003"/>
      <c r="L22003"/>
    </row>
    <row r="22004" spans="2:12" x14ac:dyDescent="0.2">
      <c r="B22004"/>
      <c r="C22004"/>
      <c r="J22004"/>
      <c r="K22004"/>
      <c r="L22004"/>
    </row>
    <row r="22005" spans="2:12" x14ac:dyDescent="0.2">
      <c r="B22005"/>
      <c r="C22005"/>
      <c r="J22005"/>
      <c r="K22005"/>
      <c r="L22005"/>
    </row>
    <row r="22006" spans="2:12" x14ac:dyDescent="0.2">
      <c r="B22006"/>
      <c r="C22006"/>
      <c r="J22006"/>
      <c r="K22006"/>
      <c r="L22006"/>
    </row>
    <row r="22007" spans="2:12" x14ac:dyDescent="0.2">
      <c r="B22007"/>
      <c r="C22007"/>
      <c r="J22007"/>
      <c r="K22007"/>
      <c r="L22007"/>
    </row>
    <row r="22008" spans="2:12" x14ac:dyDescent="0.2">
      <c r="B22008"/>
      <c r="C22008"/>
      <c r="J22008"/>
      <c r="K22008"/>
      <c r="L22008"/>
    </row>
    <row r="22009" spans="2:12" x14ac:dyDescent="0.2">
      <c r="B22009"/>
      <c r="C22009"/>
      <c r="J22009"/>
      <c r="K22009"/>
      <c r="L22009"/>
    </row>
    <row r="22010" spans="2:12" x14ac:dyDescent="0.2">
      <c r="B22010"/>
      <c r="C22010"/>
      <c r="J22010"/>
      <c r="K22010"/>
      <c r="L22010"/>
    </row>
    <row r="22011" spans="2:12" x14ac:dyDescent="0.2">
      <c r="B22011"/>
      <c r="C22011"/>
      <c r="J22011"/>
      <c r="K22011"/>
      <c r="L22011"/>
    </row>
    <row r="22012" spans="2:12" x14ac:dyDescent="0.2">
      <c r="B22012"/>
      <c r="C22012"/>
      <c r="J22012"/>
      <c r="K22012"/>
      <c r="L22012"/>
    </row>
    <row r="22013" spans="2:12" x14ac:dyDescent="0.2">
      <c r="B22013"/>
      <c r="C22013"/>
      <c r="J22013"/>
      <c r="K22013"/>
      <c r="L22013"/>
    </row>
    <row r="22014" spans="2:12" x14ac:dyDescent="0.2">
      <c r="B22014"/>
      <c r="C22014"/>
      <c r="J22014"/>
      <c r="K22014"/>
      <c r="L22014"/>
    </row>
    <row r="22015" spans="2:12" x14ac:dyDescent="0.2">
      <c r="B22015"/>
      <c r="C22015"/>
      <c r="J22015"/>
      <c r="K22015"/>
      <c r="L22015"/>
    </row>
    <row r="22016" spans="2:12" x14ac:dyDescent="0.2">
      <c r="B22016"/>
      <c r="C22016"/>
      <c r="J22016"/>
      <c r="K22016"/>
      <c r="L22016"/>
    </row>
    <row r="22017" spans="2:12" x14ac:dyDescent="0.2">
      <c r="B22017"/>
      <c r="C22017"/>
      <c r="J22017"/>
      <c r="K22017"/>
      <c r="L22017"/>
    </row>
    <row r="22018" spans="2:12" x14ac:dyDescent="0.2">
      <c r="B22018"/>
      <c r="C22018"/>
      <c r="J22018"/>
      <c r="K22018"/>
      <c r="L22018"/>
    </row>
    <row r="22019" spans="2:12" x14ac:dyDescent="0.2">
      <c r="B22019"/>
      <c r="C22019"/>
      <c r="J22019"/>
      <c r="K22019"/>
      <c r="L22019"/>
    </row>
    <row r="22020" spans="2:12" x14ac:dyDescent="0.2">
      <c r="B22020"/>
      <c r="C22020"/>
      <c r="J22020"/>
      <c r="K22020"/>
      <c r="L22020"/>
    </row>
    <row r="22021" spans="2:12" x14ac:dyDescent="0.2">
      <c r="B22021"/>
      <c r="C22021"/>
      <c r="J22021"/>
      <c r="K22021"/>
      <c r="L22021"/>
    </row>
    <row r="22022" spans="2:12" x14ac:dyDescent="0.2">
      <c r="B22022"/>
      <c r="C22022"/>
      <c r="J22022"/>
      <c r="K22022"/>
      <c r="L22022"/>
    </row>
    <row r="22023" spans="2:12" x14ac:dyDescent="0.2">
      <c r="B22023"/>
      <c r="C22023"/>
      <c r="J22023"/>
      <c r="K22023"/>
      <c r="L22023"/>
    </row>
    <row r="22024" spans="2:12" x14ac:dyDescent="0.2">
      <c r="B22024"/>
      <c r="C22024"/>
      <c r="J22024"/>
      <c r="K22024"/>
      <c r="L22024"/>
    </row>
    <row r="22025" spans="2:12" x14ac:dyDescent="0.2">
      <c r="B22025"/>
      <c r="C22025"/>
      <c r="J22025"/>
      <c r="K22025"/>
      <c r="L22025"/>
    </row>
    <row r="22026" spans="2:12" x14ac:dyDescent="0.2">
      <c r="B22026"/>
      <c r="C22026"/>
      <c r="J22026"/>
      <c r="K22026"/>
      <c r="L22026"/>
    </row>
    <row r="22027" spans="2:12" x14ac:dyDescent="0.2">
      <c r="B22027"/>
      <c r="C22027"/>
      <c r="J22027"/>
      <c r="K22027"/>
      <c r="L22027"/>
    </row>
    <row r="22028" spans="2:12" x14ac:dyDescent="0.2">
      <c r="B22028"/>
      <c r="C22028"/>
      <c r="J22028"/>
      <c r="K22028"/>
      <c r="L22028"/>
    </row>
    <row r="22029" spans="2:12" x14ac:dyDescent="0.2">
      <c r="B22029"/>
      <c r="C22029"/>
      <c r="J22029"/>
      <c r="K22029"/>
      <c r="L22029"/>
    </row>
    <row r="22030" spans="2:12" x14ac:dyDescent="0.2">
      <c r="B22030"/>
      <c r="C22030"/>
      <c r="J22030"/>
      <c r="K22030"/>
      <c r="L22030"/>
    </row>
    <row r="22031" spans="2:12" x14ac:dyDescent="0.2">
      <c r="B22031"/>
      <c r="C22031"/>
      <c r="J22031"/>
      <c r="K22031"/>
      <c r="L22031"/>
    </row>
    <row r="22032" spans="2:12" x14ac:dyDescent="0.2">
      <c r="B22032"/>
      <c r="C22032"/>
      <c r="J22032"/>
      <c r="K22032"/>
      <c r="L22032"/>
    </row>
    <row r="22033" spans="2:12" x14ac:dyDescent="0.2">
      <c r="B22033"/>
      <c r="C22033"/>
      <c r="J22033"/>
      <c r="K22033"/>
      <c r="L22033"/>
    </row>
    <row r="22034" spans="2:12" x14ac:dyDescent="0.2">
      <c r="B22034"/>
      <c r="C22034"/>
      <c r="J22034"/>
      <c r="K22034"/>
      <c r="L22034"/>
    </row>
    <row r="22035" spans="2:12" x14ac:dyDescent="0.2">
      <c r="B22035"/>
      <c r="C22035"/>
      <c r="J22035"/>
      <c r="K22035"/>
      <c r="L22035"/>
    </row>
    <row r="22036" spans="2:12" x14ac:dyDescent="0.2">
      <c r="B22036"/>
      <c r="C22036"/>
      <c r="J22036"/>
      <c r="K22036"/>
      <c r="L22036"/>
    </row>
    <row r="22037" spans="2:12" x14ac:dyDescent="0.2">
      <c r="B22037"/>
      <c r="C22037"/>
      <c r="J22037"/>
      <c r="K22037"/>
      <c r="L22037"/>
    </row>
    <row r="22038" spans="2:12" x14ac:dyDescent="0.2">
      <c r="B22038"/>
      <c r="C22038"/>
      <c r="J22038"/>
      <c r="K22038"/>
      <c r="L22038"/>
    </row>
    <row r="22039" spans="2:12" x14ac:dyDescent="0.2">
      <c r="B22039"/>
      <c r="C22039"/>
      <c r="J22039"/>
      <c r="K22039"/>
      <c r="L22039"/>
    </row>
    <row r="22040" spans="2:12" x14ac:dyDescent="0.2">
      <c r="B22040"/>
      <c r="C22040"/>
      <c r="J22040"/>
      <c r="K22040"/>
      <c r="L22040"/>
    </row>
    <row r="22041" spans="2:12" x14ac:dyDescent="0.2">
      <c r="B22041"/>
      <c r="C22041"/>
      <c r="J22041"/>
      <c r="K22041"/>
      <c r="L22041"/>
    </row>
    <row r="22042" spans="2:12" x14ac:dyDescent="0.2">
      <c r="B22042"/>
      <c r="C22042"/>
      <c r="J22042"/>
      <c r="K22042"/>
      <c r="L22042"/>
    </row>
    <row r="22043" spans="2:12" x14ac:dyDescent="0.2">
      <c r="B22043"/>
      <c r="C22043"/>
      <c r="J22043"/>
      <c r="K22043"/>
      <c r="L22043"/>
    </row>
    <row r="22044" spans="2:12" x14ac:dyDescent="0.2">
      <c r="B22044"/>
      <c r="C22044"/>
      <c r="J22044"/>
      <c r="K22044"/>
      <c r="L22044"/>
    </row>
    <row r="22045" spans="2:12" x14ac:dyDescent="0.2">
      <c r="B22045"/>
      <c r="C22045"/>
      <c r="J22045"/>
      <c r="K22045"/>
      <c r="L22045"/>
    </row>
    <row r="22046" spans="2:12" x14ac:dyDescent="0.2">
      <c r="B22046"/>
      <c r="C22046"/>
      <c r="J22046"/>
      <c r="K22046"/>
      <c r="L22046"/>
    </row>
    <row r="22047" spans="2:12" x14ac:dyDescent="0.2">
      <c r="B22047"/>
      <c r="C22047"/>
      <c r="J22047"/>
      <c r="K22047"/>
      <c r="L22047"/>
    </row>
    <row r="22048" spans="2:12" x14ac:dyDescent="0.2">
      <c r="B22048"/>
      <c r="C22048"/>
      <c r="J22048"/>
      <c r="K22048"/>
      <c r="L22048"/>
    </row>
    <row r="22049" spans="2:12" x14ac:dyDescent="0.2">
      <c r="B22049"/>
      <c r="C22049"/>
      <c r="J22049"/>
      <c r="K22049"/>
      <c r="L22049"/>
    </row>
    <row r="22050" spans="2:12" x14ac:dyDescent="0.2">
      <c r="B22050"/>
      <c r="C22050"/>
      <c r="J22050"/>
      <c r="K22050"/>
      <c r="L22050"/>
    </row>
    <row r="22051" spans="2:12" x14ac:dyDescent="0.2">
      <c r="B22051"/>
      <c r="C22051"/>
      <c r="J22051"/>
      <c r="K22051"/>
      <c r="L22051"/>
    </row>
    <row r="22052" spans="2:12" x14ac:dyDescent="0.2">
      <c r="B22052"/>
      <c r="C22052"/>
      <c r="J22052"/>
      <c r="K22052"/>
      <c r="L22052"/>
    </row>
    <row r="22053" spans="2:12" x14ac:dyDescent="0.2">
      <c r="B22053"/>
      <c r="C22053"/>
      <c r="J22053"/>
      <c r="K22053"/>
      <c r="L22053"/>
    </row>
    <row r="22054" spans="2:12" x14ac:dyDescent="0.2">
      <c r="B22054"/>
      <c r="C22054"/>
      <c r="J22054"/>
      <c r="K22054"/>
      <c r="L22054"/>
    </row>
    <row r="22055" spans="2:12" x14ac:dyDescent="0.2">
      <c r="B22055"/>
      <c r="C22055"/>
      <c r="J22055"/>
      <c r="K22055"/>
      <c r="L22055"/>
    </row>
    <row r="22056" spans="2:12" x14ac:dyDescent="0.2">
      <c r="B22056"/>
      <c r="C22056"/>
      <c r="J22056"/>
      <c r="K22056"/>
      <c r="L22056"/>
    </row>
    <row r="22057" spans="2:12" x14ac:dyDescent="0.2">
      <c r="B22057"/>
      <c r="C22057"/>
      <c r="J22057"/>
      <c r="K22057"/>
      <c r="L22057"/>
    </row>
    <row r="22058" spans="2:12" x14ac:dyDescent="0.2">
      <c r="B22058"/>
      <c r="C22058"/>
      <c r="J22058"/>
      <c r="K22058"/>
      <c r="L22058"/>
    </row>
    <row r="22059" spans="2:12" x14ac:dyDescent="0.2">
      <c r="B22059"/>
      <c r="C22059"/>
      <c r="J22059"/>
      <c r="K22059"/>
      <c r="L22059"/>
    </row>
    <row r="22060" spans="2:12" x14ac:dyDescent="0.2">
      <c r="B22060"/>
      <c r="C22060"/>
      <c r="J22060"/>
      <c r="K22060"/>
      <c r="L22060"/>
    </row>
    <row r="22061" spans="2:12" x14ac:dyDescent="0.2">
      <c r="B22061"/>
      <c r="C22061"/>
      <c r="J22061"/>
      <c r="K22061"/>
      <c r="L22061"/>
    </row>
    <row r="22062" spans="2:12" x14ac:dyDescent="0.2">
      <c r="B22062"/>
      <c r="C22062"/>
      <c r="J22062"/>
      <c r="K22062"/>
      <c r="L22062"/>
    </row>
    <row r="22063" spans="2:12" x14ac:dyDescent="0.2">
      <c r="B22063"/>
      <c r="C22063"/>
      <c r="J22063"/>
      <c r="K22063"/>
      <c r="L22063"/>
    </row>
    <row r="22064" spans="2:12" x14ac:dyDescent="0.2">
      <c r="B22064"/>
      <c r="C22064"/>
      <c r="J22064"/>
      <c r="K22064"/>
      <c r="L22064"/>
    </row>
    <row r="22065" spans="2:12" x14ac:dyDescent="0.2">
      <c r="B22065"/>
      <c r="C22065"/>
      <c r="J22065"/>
      <c r="K22065"/>
      <c r="L22065"/>
    </row>
    <row r="22066" spans="2:12" x14ac:dyDescent="0.2">
      <c r="B22066"/>
      <c r="C22066"/>
      <c r="J22066"/>
      <c r="K22066"/>
      <c r="L22066"/>
    </row>
    <row r="22067" spans="2:12" x14ac:dyDescent="0.2">
      <c r="B22067"/>
      <c r="C22067"/>
      <c r="J22067"/>
      <c r="K22067"/>
      <c r="L22067"/>
    </row>
    <row r="22068" spans="2:12" x14ac:dyDescent="0.2">
      <c r="B22068"/>
      <c r="C22068"/>
      <c r="J22068"/>
      <c r="K22068"/>
      <c r="L22068"/>
    </row>
    <row r="22069" spans="2:12" x14ac:dyDescent="0.2">
      <c r="B22069"/>
      <c r="C22069"/>
      <c r="J22069"/>
      <c r="K22069"/>
      <c r="L22069"/>
    </row>
    <row r="22070" spans="2:12" x14ac:dyDescent="0.2">
      <c r="B22070"/>
      <c r="C22070"/>
      <c r="J22070"/>
      <c r="K22070"/>
      <c r="L22070"/>
    </row>
    <row r="22071" spans="2:12" x14ac:dyDescent="0.2">
      <c r="B22071"/>
      <c r="C22071"/>
      <c r="J22071"/>
      <c r="K22071"/>
      <c r="L22071"/>
    </row>
    <row r="22072" spans="2:12" x14ac:dyDescent="0.2">
      <c r="B22072"/>
      <c r="C22072"/>
      <c r="J22072"/>
      <c r="K22072"/>
      <c r="L22072"/>
    </row>
    <row r="22073" spans="2:12" x14ac:dyDescent="0.2">
      <c r="B22073"/>
      <c r="C22073"/>
      <c r="J22073"/>
      <c r="K22073"/>
      <c r="L22073"/>
    </row>
    <row r="22074" spans="2:12" x14ac:dyDescent="0.2">
      <c r="B22074"/>
      <c r="C22074"/>
      <c r="J22074"/>
      <c r="K22074"/>
      <c r="L22074"/>
    </row>
    <row r="22075" spans="2:12" x14ac:dyDescent="0.2">
      <c r="B22075"/>
      <c r="C22075"/>
      <c r="J22075"/>
      <c r="K22075"/>
      <c r="L22075"/>
    </row>
    <row r="22076" spans="2:12" x14ac:dyDescent="0.2">
      <c r="B22076"/>
      <c r="C22076"/>
      <c r="J22076"/>
      <c r="K22076"/>
      <c r="L22076"/>
    </row>
    <row r="22077" spans="2:12" x14ac:dyDescent="0.2">
      <c r="B22077"/>
      <c r="C22077"/>
      <c r="J22077"/>
      <c r="K22077"/>
      <c r="L22077"/>
    </row>
    <row r="22078" spans="2:12" x14ac:dyDescent="0.2">
      <c r="B22078"/>
      <c r="C22078"/>
      <c r="J22078"/>
      <c r="K22078"/>
      <c r="L22078"/>
    </row>
    <row r="22079" spans="2:12" x14ac:dyDescent="0.2">
      <c r="B22079"/>
      <c r="C22079"/>
      <c r="J22079"/>
      <c r="K22079"/>
      <c r="L22079"/>
    </row>
    <row r="22080" spans="2:12" x14ac:dyDescent="0.2">
      <c r="B22080"/>
      <c r="C22080"/>
      <c r="J22080"/>
      <c r="K22080"/>
      <c r="L22080"/>
    </row>
    <row r="22081" spans="2:12" x14ac:dyDescent="0.2">
      <c r="B22081"/>
      <c r="C22081"/>
      <c r="J22081"/>
      <c r="K22081"/>
      <c r="L22081"/>
    </row>
    <row r="22082" spans="2:12" x14ac:dyDescent="0.2">
      <c r="B22082"/>
      <c r="C22082"/>
      <c r="J22082"/>
      <c r="K22082"/>
      <c r="L22082"/>
    </row>
    <row r="22083" spans="2:12" x14ac:dyDescent="0.2">
      <c r="B22083"/>
      <c r="C22083"/>
      <c r="J22083"/>
      <c r="K22083"/>
      <c r="L22083"/>
    </row>
    <row r="22084" spans="2:12" x14ac:dyDescent="0.2">
      <c r="B22084"/>
      <c r="C22084"/>
      <c r="J22084"/>
      <c r="K22084"/>
      <c r="L22084"/>
    </row>
    <row r="22085" spans="2:12" x14ac:dyDescent="0.2">
      <c r="B22085"/>
      <c r="C22085"/>
      <c r="J22085"/>
      <c r="K22085"/>
      <c r="L22085"/>
    </row>
    <row r="22086" spans="2:12" x14ac:dyDescent="0.2">
      <c r="B22086"/>
      <c r="C22086"/>
      <c r="J22086"/>
      <c r="K22086"/>
      <c r="L22086"/>
    </row>
    <row r="22087" spans="2:12" x14ac:dyDescent="0.2">
      <c r="B22087"/>
      <c r="C22087"/>
      <c r="J22087"/>
      <c r="K22087"/>
      <c r="L22087"/>
    </row>
    <row r="22088" spans="2:12" x14ac:dyDescent="0.2">
      <c r="B22088"/>
      <c r="C22088"/>
      <c r="J22088"/>
      <c r="K22088"/>
      <c r="L22088"/>
    </row>
    <row r="22089" spans="2:12" x14ac:dyDescent="0.2">
      <c r="B22089"/>
      <c r="C22089"/>
      <c r="J22089"/>
      <c r="K22089"/>
      <c r="L22089"/>
    </row>
    <row r="22090" spans="2:12" x14ac:dyDescent="0.2">
      <c r="B22090"/>
      <c r="C22090"/>
      <c r="J22090"/>
      <c r="K22090"/>
      <c r="L22090"/>
    </row>
    <row r="22091" spans="2:12" x14ac:dyDescent="0.2">
      <c r="B22091"/>
      <c r="C22091"/>
      <c r="J22091"/>
      <c r="K22091"/>
      <c r="L22091"/>
    </row>
    <row r="22092" spans="2:12" x14ac:dyDescent="0.2">
      <c r="B22092"/>
      <c r="C22092"/>
      <c r="J22092"/>
      <c r="K22092"/>
      <c r="L22092"/>
    </row>
    <row r="22093" spans="2:12" x14ac:dyDescent="0.2">
      <c r="B22093"/>
      <c r="C22093"/>
      <c r="J22093"/>
      <c r="K22093"/>
      <c r="L22093"/>
    </row>
    <row r="22094" spans="2:12" x14ac:dyDescent="0.2">
      <c r="B22094"/>
      <c r="C22094"/>
      <c r="J22094"/>
      <c r="K22094"/>
      <c r="L22094"/>
    </row>
    <row r="22095" spans="2:12" x14ac:dyDescent="0.2">
      <c r="B22095"/>
      <c r="C22095"/>
      <c r="J22095"/>
      <c r="K22095"/>
      <c r="L22095"/>
    </row>
    <row r="22096" spans="2:12" x14ac:dyDescent="0.2">
      <c r="B22096"/>
      <c r="C22096"/>
      <c r="J22096"/>
      <c r="K22096"/>
      <c r="L22096"/>
    </row>
    <row r="22097" spans="2:12" x14ac:dyDescent="0.2">
      <c r="B22097"/>
      <c r="C22097"/>
      <c r="J22097"/>
      <c r="K22097"/>
      <c r="L22097"/>
    </row>
    <row r="22098" spans="2:12" x14ac:dyDescent="0.2">
      <c r="B22098"/>
      <c r="C22098"/>
      <c r="J22098"/>
      <c r="K22098"/>
      <c r="L22098"/>
    </row>
    <row r="22099" spans="2:12" x14ac:dyDescent="0.2">
      <c r="B22099"/>
      <c r="C22099"/>
      <c r="J22099"/>
      <c r="K22099"/>
      <c r="L22099"/>
    </row>
    <row r="22100" spans="2:12" x14ac:dyDescent="0.2">
      <c r="B22100"/>
      <c r="C22100"/>
      <c r="J22100"/>
      <c r="K22100"/>
      <c r="L22100"/>
    </row>
    <row r="22101" spans="2:12" x14ac:dyDescent="0.2">
      <c r="B22101"/>
      <c r="C22101"/>
      <c r="J22101"/>
      <c r="K22101"/>
      <c r="L22101"/>
    </row>
    <row r="22102" spans="2:12" x14ac:dyDescent="0.2">
      <c r="B22102"/>
      <c r="C22102"/>
      <c r="J22102"/>
      <c r="K22102"/>
      <c r="L22102"/>
    </row>
    <row r="22103" spans="2:12" x14ac:dyDescent="0.2">
      <c r="B22103"/>
      <c r="C22103"/>
      <c r="J22103"/>
      <c r="K22103"/>
      <c r="L22103"/>
    </row>
    <row r="22104" spans="2:12" x14ac:dyDescent="0.2">
      <c r="B22104"/>
      <c r="C22104"/>
      <c r="J22104"/>
      <c r="K22104"/>
      <c r="L22104"/>
    </row>
    <row r="22105" spans="2:12" x14ac:dyDescent="0.2">
      <c r="B22105"/>
      <c r="C22105"/>
      <c r="J22105"/>
      <c r="K22105"/>
      <c r="L22105"/>
    </row>
    <row r="22106" spans="2:12" x14ac:dyDescent="0.2">
      <c r="B22106"/>
      <c r="C22106"/>
      <c r="J22106"/>
      <c r="K22106"/>
      <c r="L22106"/>
    </row>
    <row r="22107" spans="2:12" x14ac:dyDescent="0.2">
      <c r="B22107"/>
      <c r="C22107"/>
      <c r="J22107"/>
      <c r="K22107"/>
      <c r="L22107"/>
    </row>
    <row r="22108" spans="2:12" x14ac:dyDescent="0.2">
      <c r="B22108"/>
      <c r="C22108"/>
      <c r="J22108"/>
      <c r="K22108"/>
      <c r="L22108"/>
    </row>
    <row r="22109" spans="2:12" x14ac:dyDescent="0.2">
      <c r="B22109"/>
      <c r="C22109"/>
      <c r="J22109"/>
      <c r="K22109"/>
      <c r="L22109"/>
    </row>
    <row r="22110" spans="2:12" x14ac:dyDescent="0.2">
      <c r="B22110"/>
      <c r="C22110"/>
      <c r="J22110"/>
      <c r="K22110"/>
      <c r="L22110"/>
    </row>
    <row r="22111" spans="2:12" x14ac:dyDescent="0.2">
      <c r="B22111"/>
      <c r="C22111"/>
      <c r="J22111"/>
      <c r="K22111"/>
      <c r="L22111"/>
    </row>
    <row r="22112" spans="2:12" x14ac:dyDescent="0.2">
      <c r="B22112"/>
      <c r="C22112"/>
      <c r="J22112"/>
      <c r="K22112"/>
      <c r="L22112"/>
    </row>
    <row r="22113" spans="2:12" x14ac:dyDescent="0.2">
      <c r="B22113"/>
      <c r="C22113"/>
      <c r="J22113"/>
      <c r="K22113"/>
      <c r="L22113"/>
    </row>
    <row r="22114" spans="2:12" x14ac:dyDescent="0.2">
      <c r="B22114"/>
      <c r="C22114"/>
      <c r="J22114"/>
      <c r="K22114"/>
      <c r="L22114"/>
    </row>
    <row r="22115" spans="2:12" x14ac:dyDescent="0.2">
      <c r="B22115"/>
      <c r="C22115"/>
      <c r="J22115"/>
      <c r="K22115"/>
      <c r="L22115"/>
    </row>
    <row r="22116" spans="2:12" x14ac:dyDescent="0.2">
      <c r="B22116"/>
      <c r="C22116"/>
      <c r="J22116"/>
      <c r="K22116"/>
      <c r="L22116"/>
    </row>
    <row r="22117" spans="2:12" x14ac:dyDescent="0.2">
      <c r="B22117"/>
      <c r="C22117"/>
      <c r="J22117"/>
      <c r="K22117"/>
      <c r="L22117"/>
    </row>
    <row r="22118" spans="2:12" x14ac:dyDescent="0.2">
      <c r="B22118"/>
      <c r="C22118"/>
      <c r="J22118"/>
      <c r="K22118"/>
      <c r="L22118"/>
    </row>
    <row r="22119" spans="2:12" x14ac:dyDescent="0.2">
      <c r="B22119"/>
      <c r="C22119"/>
      <c r="J22119"/>
      <c r="K22119"/>
      <c r="L22119"/>
    </row>
    <row r="22120" spans="2:12" x14ac:dyDescent="0.2">
      <c r="B22120"/>
      <c r="C22120"/>
      <c r="J22120"/>
      <c r="K22120"/>
      <c r="L22120"/>
    </row>
    <row r="22121" spans="2:12" x14ac:dyDescent="0.2">
      <c r="B22121"/>
      <c r="C22121"/>
      <c r="J22121"/>
      <c r="K22121"/>
      <c r="L22121"/>
    </row>
    <row r="22122" spans="2:12" x14ac:dyDescent="0.2">
      <c r="B22122"/>
      <c r="C22122"/>
      <c r="J22122"/>
      <c r="K22122"/>
      <c r="L22122"/>
    </row>
    <row r="22123" spans="2:12" x14ac:dyDescent="0.2">
      <c r="B22123"/>
      <c r="C22123"/>
      <c r="J22123"/>
      <c r="K22123"/>
      <c r="L22123"/>
    </row>
    <row r="22124" spans="2:12" x14ac:dyDescent="0.2">
      <c r="B22124"/>
      <c r="C22124"/>
      <c r="J22124"/>
      <c r="K22124"/>
      <c r="L22124"/>
    </row>
    <row r="22125" spans="2:12" x14ac:dyDescent="0.2">
      <c r="B22125"/>
      <c r="C22125"/>
      <c r="J22125"/>
      <c r="K22125"/>
      <c r="L22125"/>
    </row>
    <row r="22126" spans="2:12" x14ac:dyDescent="0.2">
      <c r="B22126"/>
      <c r="C22126"/>
      <c r="J22126"/>
      <c r="K22126"/>
      <c r="L22126"/>
    </row>
    <row r="22127" spans="2:12" x14ac:dyDescent="0.2">
      <c r="B22127"/>
      <c r="C22127"/>
      <c r="J22127"/>
      <c r="K22127"/>
      <c r="L22127"/>
    </row>
    <row r="22128" spans="2:12" x14ac:dyDescent="0.2">
      <c r="B22128"/>
      <c r="C22128"/>
      <c r="J22128"/>
      <c r="K22128"/>
      <c r="L22128"/>
    </row>
    <row r="22129" spans="2:12" x14ac:dyDescent="0.2">
      <c r="B22129"/>
      <c r="C22129"/>
      <c r="J22129"/>
      <c r="K22129"/>
      <c r="L22129"/>
    </row>
    <row r="22130" spans="2:12" x14ac:dyDescent="0.2">
      <c r="B22130"/>
      <c r="C22130"/>
      <c r="J22130"/>
      <c r="K22130"/>
      <c r="L22130"/>
    </row>
    <row r="22131" spans="2:12" x14ac:dyDescent="0.2">
      <c r="B22131"/>
      <c r="C22131"/>
      <c r="J22131"/>
      <c r="K22131"/>
      <c r="L22131"/>
    </row>
    <row r="22132" spans="2:12" x14ac:dyDescent="0.2">
      <c r="B22132"/>
      <c r="C22132"/>
      <c r="J22132"/>
      <c r="K22132"/>
      <c r="L22132"/>
    </row>
    <row r="22133" spans="2:12" x14ac:dyDescent="0.2">
      <c r="B22133"/>
      <c r="C22133"/>
      <c r="J22133"/>
      <c r="K22133"/>
      <c r="L22133"/>
    </row>
    <row r="22134" spans="2:12" x14ac:dyDescent="0.2">
      <c r="B22134"/>
      <c r="C22134"/>
      <c r="J22134"/>
      <c r="K22134"/>
      <c r="L22134"/>
    </row>
    <row r="22135" spans="2:12" x14ac:dyDescent="0.2">
      <c r="B22135"/>
      <c r="C22135"/>
      <c r="J22135"/>
      <c r="K22135"/>
      <c r="L22135"/>
    </row>
    <row r="22136" spans="2:12" x14ac:dyDescent="0.2">
      <c r="B22136"/>
      <c r="C22136"/>
      <c r="J22136"/>
      <c r="K22136"/>
      <c r="L22136"/>
    </row>
    <row r="22137" spans="2:12" x14ac:dyDescent="0.2">
      <c r="B22137"/>
      <c r="C22137"/>
      <c r="J22137"/>
      <c r="K22137"/>
      <c r="L22137"/>
    </row>
    <row r="22138" spans="2:12" x14ac:dyDescent="0.2">
      <c r="B22138"/>
      <c r="C22138"/>
      <c r="J22138"/>
      <c r="K22138"/>
      <c r="L22138"/>
    </row>
    <row r="22139" spans="2:12" x14ac:dyDescent="0.2">
      <c r="B22139"/>
      <c r="C22139"/>
      <c r="J22139"/>
      <c r="K22139"/>
      <c r="L22139"/>
    </row>
    <row r="22140" spans="2:12" x14ac:dyDescent="0.2">
      <c r="B22140"/>
      <c r="C22140"/>
      <c r="J22140"/>
      <c r="K22140"/>
      <c r="L22140"/>
    </row>
    <row r="22141" spans="2:12" x14ac:dyDescent="0.2">
      <c r="B22141"/>
      <c r="C22141"/>
      <c r="J22141"/>
      <c r="K22141"/>
      <c r="L22141"/>
    </row>
    <row r="22142" spans="2:12" x14ac:dyDescent="0.2">
      <c r="B22142"/>
      <c r="C22142"/>
      <c r="J22142"/>
      <c r="K22142"/>
      <c r="L22142"/>
    </row>
    <row r="22143" spans="2:12" x14ac:dyDescent="0.2">
      <c r="B22143"/>
      <c r="C22143"/>
      <c r="J22143"/>
      <c r="K22143"/>
      <c r="L22143"/>
    </row>
    <row r="22144" spans="2:12" x14ac:dyDescent="0.2">
      <c r="B22144"/>
      <c r="C22144"/>
      <c r="J22144"/>
      <c r="K22144"/>
      <c r="L22144"/>
    </row>
    <row r="22145" spans="2:12" x14ac:dyDescent="0.2">
      <c r="B22145"/>
      <c r="C22145"/>
      <c r="J22145"/>
      <c r="K22145"/>
      <c r="L22145"/>
    </row>
    <row r="22146" spans="2:12" x14ac:dyDescent="0.2">
      <c r="B22146"/>
      <c r="C22146"/>
      <c r="J22146"/>
      <c r="K22146"/>
      <c r="L22146"/>
    </row>
    <row r="22147" spans="2:12" x14ac:dyDescent="0.2">
      <c r="B22147"/>
      <c r="C22147"/>
      <c r="J22147"/>
      <c r="K22147"/>
      <c r="L22147"/>
    </row>
    <row r="22148" spans="2:12" x14ac:dyDescent="0.2">
      <c r="B22148"/>
      <c r="C22148"/>
      <c r="J22148"/>
      <c r="K22148"/>
      <c r="L22148"/>
    </row>
    <row r="22149" spans="2:12" x14ac:dyDescent="0.2">
      <c r="B22149"/>
      <c r="C22149"/>
      <c r="J22149"/>
      <c r="K22149"/>
      <c r="L22149"/>
    </row>
    <row r="22150" spans="2:12" x14ac:dyDescent="0.2">
      <c r="B22150"/>
      <c r="C22150"/>
      <c r="J22150"/>
      <c r="K22150"/>
      <c r="L22150"/>
    </row>
    <row r="22151" spans="2:12" x14ac:dyDescent="0.2">
      <c r="B22151"/>
      <c r="C22151"/>
      <c r="J22151"/>
      <c r="K22151"/>
      <c r="L22151"/>
    </row>
    <row r="22152" spans="2:12" x14ac:dyDescent="0.2">
      <c r="B22152"/>
      <c r="C22152"/>
      <c r="J22152"/>
      <c r="K22152"/>
      <c r="L22152"/>
    </row>
    <row r="22153" spans="2:12" x14ac:dyDescent="0.2">
      <c r="B22153"/>
      <c r="C22153"/>
      <c r="J22153"/>
      <c r="K22153"/>
      <c r="L22153"/>
    </row>
    <row r="22154" spans="2:12" x14ac:dyDescent="0.2">
      <c r="B22154"/>
      <c r="C22154"/>
      <c r="J22154"/>
      <c r="K22154"/>
      <c r="L22154"/>
    </row>
    <row r="22155" spans="2:12" x14ac:dyDescent="0.2">
      <c r="B22155"/>
      <c r="C22155"/>
      <c r="J22155"/>
      <c r="K22155"/>
      <c r="L22155"/>
    </row>
    <row r="22156" spans="2:12" x14ac:dyDescent="0.2">
      <c r="B22156"/>
      <c r="C22156"/>
      <c r="J22156"/>
      <c r="K22156"/>
      <c r="L22156"/>
    </row>
    <row r="22157" spans="2:12" x14ac:dyDescent="0.2">
      <c r="B22157"/>
      <c r="C22157"/>
      <c r="J22157"/>
      <c r="K22157"/>
      <c r="L22157"/>
    </row>
    <row r="22158" spans="2:12" x14ac:dyDescent="0.2">
      <c r="B22158"/>
      <c r="C22158"/>
      <c r="J22158"/>
      <c r="K22158"/>
      <c r="L22158"/>
    </row>
    <row r="22159" spans="2:12" x14ac:dyDescent="0.2">
      <c r="B22159"/>
      <c r="C22159"/>
      <c r="J22159"/>
      <c r="K22159"/>
      <c r="L22159"/>
    </row>
    <row r="22160" spans="2:12" x14ac:dyDescent="0.2">
      <c r="B22160"/>
      <c r="C22160"/>
      <c r="J22160"/>
      <c r="K22160"/>
      <c r="L22160"/>
    </row>
    <row r="22161" spans="2:12" x14ac:dyDescent="0.2">
      <c r="B22161"/>
      <c r="C22161"/>
      <c r="J22161"/>
      <c r="K22161"/>
      <c r="L22161"/>
    </row>
    <row r="22162" spans="2:12" x14ac:dyDescent="0.2">
      <c r="B22162"/>
      <c r="C22162"/>
      <c r="J22162"/>
      <c r="K22162"/>
      <c r="L22162"/>
    </row>
    <row r="22163" spans="2:12" x14ac:dyDescent="0.2">
      <c r="B22163"/>
      <c r="C22163"/>
      <c r="J22163"/>
      <c r="K22163"/>
      <c r="L22163"/>
    </row>
    <row r="22164" spans="2:12" x14ac:dyDescent="0.2">
      <c r="B22164"/>
      <c r="C22164"/>
      <c r="J22164"/>
      <c r="K22164"/>
      <c r="L22164"/>
    </row>
    <row r="22165" spans="2:12" x14ac:dyDescent="0.2">
      <c r="B22165"/>
      <c r="C22165"/>
      <c r="J22165"/>
      <c r="K22165"/>
      <c r="L22165"/>
    </row>
    <row r="22166" spans="2:12" x14ac:dyDescent="0.2">
      <c r="B22166"/>
      <c r="C22166"/>
      <c r="J22166"/>
      <c r="K22166"/>
      <c r="L22166"/>
    </row>
    <row r="22167" spans="2:12" x14ac:dyDescent="0.2">
      <c r="B22167"/>
      <c r="C22167"/>
      <c r="J22167"/>
      <c r="K22167"/>
      <c r="L22167"/>
    </row>
    <row r="22168" spans="2:12" x14ac:dyDescent="0.2">
      <c r="B22168"/>
      <c r="C22168"/>
      <c r="J22168"/>
      <c r="K22168"/>
      <c r="L22168"/>
    </row>
    <row r="22169" spans="2:12" x14ac:dyDescent="0.2">
      <c r="B22169"/>
      <c r="C22169"/>
      <c r="J22169"/>
      <c r="K22169"/>
      <c r="L22169"/>
    </row>
    <row r="22170" spans="2:12" x14ac:dyDescent="0.2">
      <c r="B22170"/>
      <c r="C22170"/>
      <c r="J22170"/>
      <c r="K22170"/>
      <c r="L22170"/>
    </row>
    <row r="22171" spans="2:12" x14ac:dyDescent="0.2">
      <c r="B22171"/>
      <c r="C22171"/>
      <c r="J22171"/>
      <c r="K22171"/>
      <c r="L22171"/>
    </row>
    <row r="22172" spans="2:12" x14ac:dyDescent="0.2">
      <c r="B22172"/>
      <c r="C22172"/>
      <c r="J22172"/>
      <c r="K22172"/>
      <c r="L22172"/>
    </row>
    <row r="22173" spans="2:12" x14ac:dyDescent="0.2">
      <c r="B22173"/>
      <c r="C22173"/>
      <c r="J22173"/>
      <c r="K22173"/>
      <c r="L22173"/>
    </row>
    <row r="22174" spans="2:12" x14ac:dyDescent="0.2">
      <c r="B22174"/>
      <c r="C22174"/>
      <c r="J22174"/>
      <c r="K22174"/>
      <c r="L22174"/>
    </row>
    <row r="22175" spans="2:12" x14ac:dyDescent="0.2">
      <c r="B22175"/>
      <c r="C22175"/>
      <c r="J22175"/>
      <c r="K22175"/>
      <c r="L22175"/>
    </row>
    <row r="22176" spans="2:12" x14ac:dyDescent="0.2">
      <c r="B22176"/>
      <c r="C22176"/>
      <c r="J22176"/>
      <c r="K22176"/>
      <c r="L22176"/>
    </row>
    <row r="22177" spans="2:12" x14ac:dyDescent="0.2">
      <c r="B22177"/>
      <c r="C22177"/>
      <c r="J22177"/>
      <c r="K22177"/>
      <c r="L22177"/>
    </row>
    <row r="22178" spans="2:12" x14ac:dyDescent="0.2">
      <c r="B22178"/>
      <c r="C22178"/>
      <c r="J22178"/>
      <c r="K22178"/>
      <c r="L22178"/>
    </row>
    <row r="22179" spans="2:12" x14ac:dyDescent="0.2">
      <c r="B22179"/>
      <c r="C22179"/>
      <c r="J22179"/>
      <c r="K22179"/>
      <c r="L22179"/>
    </row>
    <row r="22180" spans="2:12" x14ac:dyDescent="0.2">
      <c r="B22180"/>
      <c r="C22180"/>
      <c r="J22180"/>
      <c r="K22180"/>
      <c r="L22180"/>
    </row>
    <row r="22181" spans="2:12" x14ac:dyDescent="0.2">
      <c r="B22181"/>
      <c r="C22181"/>
      <c r="J22181"/>
      <c r="K22181"/>
      <c r="L22181"/>
    </row>
    <row r="22182" spans="2:12" x14ac:dyDescent="0.2">
      <c r="B22182"/>
      <c r="C22182"/>
      <c r="J22182"/>
      <c r="K22182"/>
      <c r="L22182"/>
    </row>
    <row r="22183" spans="2:12" x14ac:dyDescent="0.2">
      <c r="B22183"/>
      <c r="C22183"/>
      <c r="J22183"/>
      <c r="K22183"/>
      <c r="L22183"/>
    </row>
    <row r="22184" spans="2:12" x14ac:dyDescent="0.2">
      <c r="B22184"/>
      <c r="C22184"/>
      <c r="J22184"/>
      <c r="K22184"/>
      <c r="L22184"/>
    </row>
    <row r="22185" spans="2:12" x14ac:dyDescent="0.2">
      <c r="B22185"/>
      <c r="C22185"/>
      <c r="J22185"/>
      <c r="K22185"/>
      <c r="L22185"/>
    </row>
    <row r="22186" spans="2:12" x14ac:dyDescent="0.2">
      <c r="B22186"/>
      <c r="C22186"/>
      <c r="J22186"/>
      <c r="K22186"/>
      <c r="L22186"/>
    </row>
    <row r="22187" spans="2:12" x14ac:dyDescent="0.2">
      <c r="B22187"/>
      <c r="C22187"/>
      <c r="J22187"/>
      <c r="K22187"/>
      <c r="L22187"/>
    </row>
    <row r="22188" spans="2:12" x14ac:dyDescent="0.2">
      <c r="B22188"/>
      <c r="C22188"/>
      <c r="J22188"/>
      <c r="K22188"/>
      <c r="L22188"/>
    </row>
    <row r="22189" spans="2:12" x14ac:dyDescent="0.2">
      <c r="B22189"/>
      <c r="C22189"/>
      <c r="J22189"/>
      <c r="K22189"/>
      <c r="L22189"/>
    </row>
    <row r="22190" spans="2:12" x14ac:dyDescent="0.2">
      <c r="B22190"/>
      <c r="C22190"/>
      <c r="J22190"/>
      <c r="K22190"/>
      <c r="L22190"/>
    </row>
    <row r="22191" spans="2:12" x14ac:dyDescent="0.2">
      <c r="B22191"/>
      <c r="C22191"/>
      <c r="J22191"/>
      <c r="K22191"/>
      <c r="L22191"/>
    </row>
    <row r="22192" spans="2:12" x14ac:dyDescent="0.2">
      <c r="B22192"/>
      <c r="C22192"/>
      <c r="J22192"/>
      <c r="K22192"/>
      <c r="L22192"/>
    </row>
    <row r="22193" spans="2:12" x14ac:dyDescent="0.2">
      <c r="B22193"/>
      <c r="C22193"/>
      <c r="J22193"/>
      <c r="K22193"/>
      <c r="L22193"/>
    </row>
    <row r="22194" spans="2:12" x14ac:dyDescent="0.2">
      <c r="B22194"/>
      <c r="C22194"/>
      <c r="J22194"/>
      <c r="K22194"/>
      <c r="L22194"/>
    </row>
    <row r="22195" spans="2:12" x14ac:dyDescent="0.2">
      <c r="B22195"/>
      <c r="C22195"/>
      <c r="J22195"/>
      <c r="K22195"/>
      <c r="L22195"/>
    </row>
    <row r="22196" spans="2:12" x14ac:dyDescent="0.2">
      <c r="B22196"/>
      <c r="C22196"/>
      <c r="J22196"/>
      <c r="K22196"/>
      <c r="L22196"/>
    </row>
    <row r="22197" spans="2:12" x14ac:dyDescent="0.2">
      <c r="B22197"/>
      <c r="C22197"/>
      <c r="J22197"/>
      <c r="K22197"/>
      <c r="L22197"/>
    </row>
    <row r="22198" spans="2:12" x14ac:dyDescent="0.2">
      <c r="B22198"/>
      <c r="C22198"/>
      <c r="J22198"/>
      <c r="K22198"/>
      <c r="L22198"/>
    </row>
    <row r="22199" spans="2:12" x14ac:dyDescent="0.2">
      <c r="B22199"/>
      <c r="C22199"/>
      <c r="J22199"/>
      <c r="K22199"/>
      <c r="L22199"/>
    </row>
    <row r="22200" spans="2:12" x14ac:dyDescent="0.2">
      <c r="B22200"/>
      <c r="C22200"/>
      <c r="J22200"/>
      <c r="K22200"/>
      <c r="L22200"/>
    </row>
    <row r="22201" spans="2:12" x14ac:dyDescent="0.2">
      <c r="B22201"/>
      <c r="C22201"/>
      <c r="J22201"/>
      <c r="K22201"/>
      <c r="L22201"/>
    </row>
    <row r="22202" spans="2:12" x14ac:dyDescent="0.2">
      <c r="B22202"/>
      <c r="C22202"/>
      <c r="J22202"/>
      <c r="K22202"/>
      <c r="L22202"/>
    </row>
    <row r="22203" spans="2:12" x14ac:dyDescent="0.2">
      <c r="B22203"/>
      <c r="C22203"/>
      <c r="J22203"/>
      <c r="K22203"/>
      <c r="L22203"/>
    </row>
    <row r="22204" spans="2:12" x14ac:dyDescent="0.2">
      <c r="B22204"/>
      <c r="C22204"/>
      <c r="J22204"/>
      <c r="K22204"/>
      <c r="L22204"/>
    </row>
    <row r="22205" spans="2:12" x14ac:dyDescent="0.2">
      <c r="B22205"/>
      <c r="C22205"/>
      <c r="J22205"/>
      <c r="K22205"/>
      <c r="L22205"/>
    </row>
    <row r="22206" spans="2:12" x14ac:dyDescent="0.2">
      <c r="B22206"/>
      <c r="C22206"/>
      <c r="J22206"/>
      <c r="K22206"/>
      <c r="L22206"/>
    </row>
    <row r="22207" spans="2:12" x14ac:dyDescent="0.2">
      <c r="B22207"/>
      <c r="C22207"/>
      <c r="J22207"/>
      <c r="K22207"/>
      <c r="L22207"/>
    </row>
    <row r="22208" spans="2:12" x14ac:dyDescent="0.2">
      <c r="B22208"/>
      <c r="C22208"/>
      <c r="J22208"/>
      <c r="K22208"/>
      <c r="L22208"/>
    </row>
    <row r="22209" spans="2:12" x14ac:dyDescent="0.2">
      <c r="B22209"/>
      <c r="C22209"/>
      <c r="J22209"/>
      <c r="K22209"/>
      <c r="L22209"/>
    </row>
    <row r="22210" spans="2:12" x14ac:dyDescent="0.2">
      <c r="B22210"/>
      <c r="C22210"/>
      <c r="J22210"/>
      <c r="K22210"/>
      <c r="L22210"/>
    </row>
    <row r="22211" spans="2:12" x14ac:dyDescent="0.2">
      <c r="B22211"/>
      <c r="C22211"/>
      <c r="J22211"/>
      <c r="K22211"/>
      <c r="L22211"/>
    </row>
    <row r="22212" spans="2:12" x14ac:dyDescent="0.2">
      <c r="B22212"/>
      <c r="C22212"/>
      <c r="J22212"/>
      <c r="K22212"/>
      <c r="L22212"/>
    </row>
    <row r="22213" spans="2:12" x14ac:dyDescent="0.2">
      <c r="B22213"/>
      <c r="C22213"/>
      <c r="J22213"/>
      <c r="K22213"/>
      <c r="L22213"/>
    </row>
    <row r="22214" spans="2:12" x14ac:dyDescent="0.2">
      <c r="B22214"/>
      <c r="C22214"/>
      <c r="J22214"/>
      <c r="K22214"/>
      <c r="L22214"/>
    </row>
    <row r="22215" spans="2:12" x14ac:dyDescent="0.2">
      <c r="B22215"/>
      <c r="C22215"/>
      <c r="J22215"/>
      <c r="K22215"/>
      <c r="L22215"/>
    </row>
    <row r="22216" spans="2:12" x14ac:dyDescent="0.2">
      <c r="B22216"/>
      <c r="C22216"/>
      <c r="J22216"/>
      <c r="K22216"/>
      <c r="L22216"/>
    </row>
    <row r="22217" spans="2:12" x14ac:dyDescent="0.2">
      <c r="B22217"/>
      <c r="C22217"/>
      <c r="J22217"/>
      <c r="K22217"/>
      <c r="L22217"/>
    </row>
    <row r="22218" spans="2:12" x14ac:dyDescent="0.2">
      <c r="B22218"/>
      <c r="C22218"/>
      <c r="J22218"/>
      <c r="K22218"/>
      <c r="L22218"/>
    </row>
    <row r="22219" spans="2:12" x14ac:dyDescent="0.2">
      <c r="B22219"/>
      <c r="C22219"/>
      <c r="J22219"/>
      <c r="K22219"/>
      <c r="L22219"/>
    </row>
    <row r="22220" spans="2:12" x14ac:dyDescent="0.2">
      <c r="B22220"/>
      <c r="C22220"/>
      <c r="J22220"/>
      <c r="K22220"/>
      <c r="L22220"/>
    </row>
    <row r="22221" spans="2:12" x14ac:dyDescent="0.2">
      <c r="B22221"/>
      <c r="C22221"/>
      <c r="J22221"/>
      <c r="K22221"/>
      <c r="L22221"/>
    </row>
    <row r="22222" spans="2:12" x14ac:dyDescent="0.2">
      <c r="B22222"/>
      <c r="C22222"/>
      <c r="J22222"/>
      <c r="K22222"/>
      <c r="L22222"/>
    </row>
    <row r="22223" spans="2:12" x14ac:dyDescent="0.2">
      <c r="B22223"/>
      <c r="C22223"/>
      <c r="J22223"/>
      <c r="K22223"/>
      <c r="L22223"/>
    </row>
    <row r="22224" spans="2:12" x14ac:dyDescent="0.2">
      <c r="B22224"/>
      <c r="C22224"/>
      <c r="J22224"/>
      <c r="K22224"/>
      <c r="L22224"/>
    </row>
    <row r="22225" spans="2:12" x14ac:dyDescent="0.2">
      <c r="B22225"/>
      <c r="C22225"/>
      <c r="J22225"/>
      <c r="K22225"/>
      <c r="L22225"/>
    </row>
    <row r="22226" spans="2:12" x14ac:dyDescent="0.2">
      <c r="B22226"/>
      <c r="C22226"/>
      <c r="J22226"/>
      <c r="K22226"/>
      <c r="L22226"/>
    </row>
    <row r="22227" spans="2:12" x14ac:dyDescent="0.2">
      <c r="B22227"/>
      <c r="C22227"/>
      <c r="J22227"/>
      <c r="K22227"/>
      <c r="L22227"/>
    </row>
    <row r="22228" spans="2:12" x14ac:dyDescent="0.2">
      <c r="B22228"/>
      <c r="C22228"/>
      <c r="J22228"/>
      <c r="K22228"/>
      <c r="L22228"/>
    </row>
    <row r="22229" spans="2:12" x14ac:dyDescent="0.2">
      <c r="B22229"/>
      <c r="C22229"/>
      <c r="J22229"/>
      <c r="K22229"/>
      <c r="L22229"/>
    </row>
    <row r="22230" spans="2:12" x14ac:dyDescent="0.2">
      <c r="B22230"/>
      <c r="C22230"/>
      <c r="J22230"/>
      <c r="K22230"/>
      <c r="L22230"/>
    </row>
    <row r="22231" spans="2:12" x14ac:dyDescent="0.2">
      <c r="B22231"/>
      <c r="C22231"/>
      <c r="J22231"/>
      <c r="K22231"/>
      <c r="L22231"/>
    </row>
    <row r="22232" spans="2:12" x14ac:dyDescent="0.2">
      <c r="B22232"/>
      <c r="C22232"/>
      <c r="J22232"/>
      <c r="K22232"/>
      <c r="L22232"/>
    </row>
    <row r="22233" spans="2:12" x14ac:dyDescent="0.2">
      <c r="B22233"/>
      <c r="C22233"/>
      <c r="J22233"/>
      <c r="K22233"/>
      <c r="L22233"/>
    </row>
    <row r="22234" spans="2:12" x14ac:dyDescent="0.2">
      <c r="B22234"/>
      <c r="C22234"/>
      <c r="J22234"/>
      <c r="K22234"/>
      <c r="L22234"/>
    </row>
    <row r="22235" spans="2:12" x14ac:dyDescent="0.2">
      <c r="B22235"/>
      <c r="C22235"/>
      <c r="J22235"/>
      <c r="K22235"/>
      <c r="L22235"/>
    </row>
    <row r="22236" spans="2:12" x14ac:dyDescent="0.2">
      <c r="B22236"/>
      <c r="C22236"/>
      <c r="J22236"/>
      <c r="K22236"/>
      <c r="L22236"/>
    </row>
    <row r="22237" spans="2:12" x14ac:dyDescent="0.2">
      <c r="B22237"/>
      <c r="C22237"/>
      <c r="J22237"/>
      <c r="K22237"/>
      <c r="L22237"/>
    </row>
    <row r="22238" spans="2:12" x14ac:dyDescent="0.2">
      <c r="B22238"/>
      <c r="C22238"/>
      <c r="J22238"/>
      <c r="K22238"/>
      <c r="L22238"/>
    </row>
    <row r="22239" spans="2:12" x14ac:dyDescent="0.2">
      <c r="B22239"/>
      <c r="C22239"/>
      <c r="J22239"/>
      <c r="K22239"/>
      <c r="L22239"/>
    </row>
    <row r="22240" spans="2:12" x14ac:dyDescent="0.2">
      <c r="B22240"/>
      <c r="C22240"/>
      <c r="J22240"/>
      <c r="K22240"/>
      <c r="L22240"/>
    </row>
    <row r="22241" spans="2:12" x14ac:dyDescent="0.2">
      <c r="B22241"/>
      <c r="C22241"/>
      <c r="J22241"/>
      <c r="K22241"/>
      <c r="L22241"/>
    </row>
    <row r="22242" spans="2:12" x14ac:dyDescent="0.2">
      <c r="B22242"/>
      <c r="C22242"/>
      <c r="J22242"/>
      <c r="K22242"/>
      <c r="L22242"/>
    </row>
    <row r="22243" spans="2:12" x14ac:dyDescent="0.2">
      <c r="B22243"/>
      <c r="C22243"/>
      <c r="J22243"/>
      <c r="K22243"/>
      <c r="L22243"/>
    </row>
    <row r="22244" spans="2:12" x14ac:dyDescent="0.2">
      <c r="B22244"/>
      <c r="C22244"/>
      <c r="J22244"/>
      <c r="K22244"/>
      <c r="L22244"/>
    </row>
    <row r="22245" spans="2:12" x14ac:dyDescent="0.2">
      <c r="B22245"/>
      <c r="C22245"/>
      <c r="J22245"/>
      <c r="K22245"/>
      <c r="L22245"/>
    </row>
    <row r="22246" spans="2:12" x14ac:dyDescent="0.2">
      <c r="B22246"/>
      <c r="C22246"/>
      <c r="J22246"/>
      <c r="K22246"/>
      <c r="L22246"/>
    </row>
    <row r="22247" spans="2:12" x14ac:dyDescent="0.2">
      <c r="B22247"/>
      <c r="C22247"/>
      <c r="J22247"/>
      <c r="K22247"/>
      <c r="L22247"/>
    </row>
    <row r="22248" spans="2:12" x14ac:dyDescent="0.2">
      <c r="B22248"/>
      <c r="C22248"/>
      <c r="J22248"/>
      <c r="K22248"/>
      <c r="L22248"/>
    </row>
    <row r="22249" spans="2:12" x14ac:dyDescent="0.2">
      <c r="B22249"/>
      <c r="C22249"/>
      <c r="J22249"/>
      <c r="K22249"/>
      <c r="L22249"/>
    </row>
    <row r="22250" spans="2:12" x14ac:dyDescent="0.2">
      <c r="B22250"/>
      <c r="C22250"/>
      <c r="J22250"/>
      <c r="K22250"/>
      <c r="L22250"/>
    </row>
    <row r="22251" spans="2:12" x14ac:dyDescent="0.2">
      <c r="B22251"/>
      <c r="C22251"/>
      <c r="J22251"/>
      <c r="K22251"/>
      <c r="L22251"/>
    </row>
    <row r="22252" spans="2:12" x14ac:dyDescent="0.2">
      <c r="B22252"/>
      <c r="C22252"/>
      <c r="J22252"/>
      <c r="K22252"/>
      <c r="L22252"/>
    </row>
    <row r="22253" spans="2:12" x14ac:dyDescent="0.2">
      <c r="B22253"/>
      <c r="C22253"/>
      <c r="J22253"/>
      <c r="K22253"/>
      <c r="L22253"/>
    </row>
    <row r="22254" spans="2:12" x14ac:dyDescent="0.2">
      <c r="B22254"/>
      <c r="C22254"/>
      <c r="J22254"/>
      <c r="K22254"/>
      <c r="L22254"/>
    </row>
    <row r="22255" spans="2:12" x14ac:dyDescent="0.2">
      <c r="B22255"/>
      <c r="C22255"/>
      <c r="J22255"/>
      <c r="K22255"/>
      <c r="L22255"/>
    </row>
    <row r="22256" spans="2:12" x14ac:dyDescent="0.2">
      <c r="B22256"/>
      <c r="C22256"/>
      <c r="J22256"/>
      <c r="K22256"/>
      <c r="L22256"/>
    </row>
    <row r="22257" spans="2:12" x14ac:dyDescent="0.2">
      <c r="B22257"/>
      <c r="C22257"/>
      <c r="J22257"/>
      <c r="K22257"/>
      <c r="L22257"/>
    </row>
    <row r="22258" spans="2:12" x14ac:dyDescent="0.2">
      <c r="B22258"/>
      <c r="C22258"/>
      <c r="J22258"/>
      <c r="K22258"/>
      <c r="L22258"/>
    </row>
    <row r="22259" spans="2:12" x14ac:dyDescent="0.2">
      <c r="B22259"/>
      <c r="C22259"/>
      <c r="J22259"/>
      <c r="K22259"/>
      <c r="L22259"/>
    </row>
    <row r="22260" spans="2:12" x14ac:dyDescent="0.2">
      <c r="B22260"/>
      <c r="C22260"/>
      <c r="J22260"/>
      <c r="K22260"/>
      <c r="L22260"/>
    </row>
    <row r="22261" spans="2:12" x14ac:dyDescent="0.2">
      <c r="B22261"/>
      <c r="C22261"/>
      <c r="J22261"/>
      <c r="K22261"/>
      <c r="L22261"/>
    </row>
    <row r="22262" spans="2:12" x14ac:dyDescent="0.2">
      <c r="B22262"/>
      <c r="C22262"/>
      <c r="J22262"/>
      <c r="K22262"/>
      <c r="L22262"/>
    </row>
    <row r="22263" spans="2:12" x14ac:dyDescent="0.2">
      <c r="B22263"/>
      <c r="C22263"/>
      <c r="J22263"/>
      <c r="K22263"/>
      <c r="L22263"/>
    </row>
    <row r="22264" spans="2:12" x14ac:dyDescent="0.2">
      <c r="B22264"/>
      <c r="C22264"/>
      <c r="J22264"/>
      <c r="K22264"/>
      <c r="L22264"/>
    </row>
    <row r="22265" spans="2:12" x14ac:dyDescent="0.2">
      <c r="B22265"/>
      <c r="C22265"/>
      <c r="J22265"/>
      <c r="K22265"/>
      <c r="L22265"/>
    </row>
    <row r="22266" spans="2:12" x14ac:dyDescent="0.2">
      <c r="B22266"/>
      <c r="C22266"/>
      <c r="J22266"/>
      <c r="K22266"/>
      <c r="L22266"/>
    </row>
    <row r="22267" spans="2:12" x14ac:dyDescent="0.2">
      <c r="B22267"/>
      <c r="C22267"/>
      <c r="J22267"/>
      <c r="K22267"/>
      <c r="L22267"/>
    </row>
    <row r="22268" spans="2:12" x14ac:dyDescent="0.2">
      <c r="B22268"/>
      <c r="C22268"/>
      <c r="J22268"/>
      <c r="K22268"/>
      <c r="L22268"/>
    </row>
    <row r="22269" spans="2:12" x14ac:dyDescent="0.2">
      <c r="B22269"/>
      <c r="C22269"/>
      <c r="J22269"/>
      <c r="K22269"/>
      <c r="L22269"/>
    </row>
    <row r="22270" spans="2:12" x14ac:dyDescent="0.2">
      <c r="B22270"/>
      <c r="C22270"/>
      <c r="J22270"/>
      <c r="K22270"/>
      <c r="L22270"/>
    </row>
    <row r="22271" spans="2:12" x14ac:dyDescent="0.2">
      <c r="B22271"/>
      <c r="C22271"/>
      <c r="J22271"/>
      <c r="K22271"/>
      <c r="L22271"/>
    </row>
    <row r="22272" spans="2:12" x14ac:dyDescent="0.2">
      <c r="B22272"/>
      <c r="C22272"/>
      <c r="J22272"/>
      <c r="K22272"/>
      <c r="L22272"/>
    </row>
    <row r="22273" spans="2:12" x14ac:dyDescent="0.2">
      <c r="B22273"/>
      <c r="C22273"/>
      <c r="J22273"/>
      <c r="K22273"/>
      <c r="L22273"/>
    </row>
    <row r="22274" spans="2:12" x14ac:dyDescent="0.2">
      <c r="B22274"/>
      <c r="C22274"/>
      <c r="J22274"/>
      <c r="K22274"/>
      <c r="L22274"/>
    </row>
    <row r="22275" spans="2:12" x14ac:dyDescent="0.2">
      <c r="B22275"/>
      <c r="C22275"/>
      <c r="J22275"/>
      <c r="K22275"/>
      <c r="L22275"/>
    </row>
    <row r="22276" spans="2:12" x14ac:dyDescent="0.2">
      <c r="B22276"/>
      <c r="C22276"/>
      <c r="J22276"/>
      <c r="K22276"/>
      <c r="L22276"/>
    </row>
    <row r="22277" spans="2:12" x14ac:dyDescent="0.2">
      <c r="B22277"/>
      <c r="C22277"/>
      <c r="J22277"/>
      <c r="K22277"/>
      <c r="L22277"/>
    </row>
    <row r="22278" spans="2:12" x14ac:dyDescent="0.2">
      <c r="B22278"/>
      <c r="C22278"/>
      <c r="J22278"/>
      <c r="K22278"/>
      <c r="L22278"/>
    </row>
    <row r="22279" spans="2:12" x14ac:dyDescent="0.2">
      <c r="B22279"/>
      <c r="C22279"/>
      <c r="J22279"/>
      <c r="K22279"/>
      <c r="L22279"/>
    </row>
    <row r="22280" spans="2:12" x14ac:dyDescent="0.2">
      <c r="B22280"/>
      <c r="C22280"/>
      <c r="J22280"/>
      <c r="K22280"/>
      <c r="L22280"/>
    </row>
    <row r="22281" spans="2:12" x14ac:dyDescent="0.2">
      <c r="B22281"/>
      <c r="C22281"/>
      <c r="J22281"/>
      <c r="K22281"/>
      <c r="L22281"/>
    </row>
    <row r="22282" spans="2:12" x14ac:dyDescent="0.2">
      <c r="B22282"/>
      <c r="C22282"/>
      <c r="J22282"/>
      <c r="K22282"/>
      <c r="L22282"/>
    </row>
    <row r="22283" spans="2:12" x14ac:dyDescent="0.2">
      <c r="B22283"/>
      <c r="C22283"/>
      <c r="J22283"/>
      <c r="K22283"/>
      <c r="L22283"/>
    </row>
    <row r="22284" spans="2:12" x14ac:dyDescent="0.2">
      <c r="B22284"/>
      <c r="C22284"/>
      <c r="J22284"/>
      <c r="K22284"/>
      <c r="L22284"/>
    </row>
    <row r="22285" spans="2:12" x14ac:dyDescent="0.2">
      <c r="B22285"/>
      <c r="C22285"/>
      <c r="J22285"/>
      <c r="K22285"/>
      <c r="L22285"/>
    </row>
    <row r="22286" spans="2:12" x14ac:dyDescent="0.2">
      <c r="B22286"/>
      <c r="C22286"/>
      <c r="J22286"/>
      <c r="K22286"/>
      <c r="L22286"/>
    </row>
    <row r="22287" spans="2:12" x14ac:dyDescent="0.2">
      <c r="B22287"/>
      <c r="C22287"/>
      <c r="J22287"/>
      <c r="K22287"/>
      <c r="L22287"/>
    </row>
    <row r="22288" spans="2:12" x14ac:dyDescent="0.2">
      <c r="B22288"/>
      <c r="C22288"/>
      <c r="J22288"/>
      <c r="K22288"/>
      <c r="L22288"/>
    </row>
    <row r="22289" spans="2:12" x14ac:dyDescent="0.2">
      <c r="B22289"/>
      <c r="C22289"/>
      <c r="J22289"/>
      <c r="K22289"/>
      <c r="L22289"/>
    </row>
    <row r="22290" spans="2:12" x14ac:dyDescent="0.2">
      <c r="B22290"/>
      <c r="C22290"/>
      <c r="J22290"/>
      <c r="K22290"/>
      <c r="L22290"/>
    </row>
    <row r="22291" spans="2:12" x14ac:dyDescent="0.2">
      <c r="B22291"/>
      <c r="C22291"/>
      <c r="J22291"/>
      <c r="K22291"/>
      <c r="L22291"/>
    </row>
    <row r="22292" spans="2:12" x14ac:dyDescent="0.2">
      <c r="B22292"/>
      <c r="C22292"/>
      <c r="J22292"/>
      <c r="K22292"/>
      <c r="L22292"/>
    </row>
    <row r="22293" spans="2:12" x14ac:dyDescent="0.2">
      <c r="B22293"/>
      <c r="C22293"/>
      <c r="J22293"/>
      <c r="K22293"/>
      <c r="L22293"/>
    </row>
    <row r="22294" spans="2:12" x14ac:dyDescent="0.2">
      <c r="B22294"/>
      <c r="C22294"/>
      <c r="J22294"/>
      <c r="K22294"/>
      <c r="L22294"/>
    </row>
    <row r="22295" spans="2:12" x14ac:dyDescent="0.2">
      <c r="B22295"/>
      <c r="C22295"/>
      <c r="J22295"/>
      <c r="K22295"/>
      <c r="L22295"/>
    </row>
    <row r="22296" spans="2:12" x14ac:dyDescent="0.2">
      <c r="B22296"/>
      <c r="C22296"/>
      <c r="J22296"/>
      <c r="K22296"/>
      <c r="L22296"/>
    </row>
    <row r="22297" spans="2:12" x14ac:dyDescent="0.2">
      <c r="B22297"/>
      <c r="C22297"/>
      <c r="J22297"/>
      <c r="K22297"/>
      <c r="L22297"/>
    </row>
    <row r="22298" spans="2:12" x14ac:dyDescent="0.2">
      <c r="B22298"/>
      <c r="C22298"/>
      <c r="J22298"/>
      <c r="K22298"/>
      <c r="L22298"/>
    </row>
    <row r="22299" spans="2:12" x14ac:dyDescent="0.2">
      <c r="B22299"/>
      <c r="C22299"/>
      <c r="J22299"/>
      <c r="K22299"/>
      <c r="L22299"/>
    </row>
    <row r="22300" spans="2:12" x14ac:dyDescent="0.2">
      <c r="B22300"/>
      <c r="C22300"/>
      <c r="J22300"/>
      <c r="K22300"/>
      <c r="L22300"/>
    </row>
    <row r="22301" spans="2:12" x14ac:dyDescent="0.2">
      <c r="B22301"/>
      <c r="C22301"/>
      <c r="J22301"/>
      <c r="K22301"/>
      <c r="L22301"/>
    </row>
    <row r="22302" spans="2:12" x14ac:dyDescent="0.2">
      <c r="B22302"/>
      <c r="C22302"/>
      <c r="J22302"/>
      <c r="K22302"/>
      <c r="L22302"/>
    </row>
    <row r="22303" spans="2:12" x14ac:dyDescent="0.2">
      <c r="B22303"/>
      <c r="C22303"/>
      <c r="J22303"/>
      <c r="K22303"/>
      <c r="L22303"/>
    </row>
    <row r="22304" spans="2:12" x14ac:dyDescent="0.2">
      <c r="B22304"/>
      <c r="C22304"/>
      <c r="J22304"/>
      <c r="K22304"/>
      <c r="L22304"/>
    </row>
    <row r="22305" spans="2:12" x14ac:dyDescent="0.2">
      <c r="B22305"/>
      <c r="C22305"/>
      <c r="J22305"/>
      <c r="K22305"/>
      <c r="L22305"/>
    </row>
    <row r="22306" spans="2:12" x14ac:dyDescent="0.2">
      <c r="B22306"/>
      <c r="C22306"/>
      <c r="J22306"/>
      <c r="K22306"/>
      <c r="L22306"/>
    </row>
    <row r="22307" spans="2:12" x14ac:dyDescent="0.2">
      <c r="B22307"/>
      <c r="C22307"/>
      <c r="J22307"/>
      <c r="K22307"/>
      <c r="L22307"/>
    </row>
    <row r="22308" spans="2:12" x14ac:dyDescent="0.2">
      <c r="B22308"/>
      <c r="C22308"/>
      <c r="J22308"/>
      <c r="K22308"/>
      <c r="L22308"/>
    </row>
    <row r="22309" spans="2:12" x14ac:dyDescent="0.2">
      <c r="B22309"/>
      <c r="C22309"/>
      <c r="J22309"/>
      <c r="K22309"/>
      <c r="L22309"/>
    </row>
    <row r="22310" spans="2:12" x14ac:dyDescent="0.2">
      <c r="B22310"/>
      <c r="C22310"/>
      <c r="J22310"/>
      <c r="K22310"/>
      <c r="L22310"/>
    </row>
    <row r="22311" spans="2:12" x14ac:dyDescent="0.2">
      <c r="B22311"/>
      <c r="C22311"/>
      <c r="J22311"/>
      <c r="K22311"/>
      <c r="L22311"/>
    </row>
    <row r="22312" spans="2:12" x14ac:dyDescent="0.2">
      <c r="B22312"/>
      <c r="C22312"/>
      <c r="J22312"/>
      <c r="K22312"/>
      <c r="L22312"/>
    </row>
    <row r="22313" spans="2:12" x14ac:dyDescent="0.2">
      <c r="B22313"/>
      <c r="C22313"/>
      <c r="J22313"/>
      <c r="K22313"/>
      <c r="L22313"/>
    </row>
    <row r="22314" spans="2:12" x14ac:dyDescent="0.2">
      <c r="B22314"/>
      <c r="C22314"/>
      <c r="J22314"/>
      <c r="K22314"/>
      <c r="L22314"/>
    </row>
    <row r="22315" spans="2:12" x14ac:dyDescent="0.2">
      <c r="B22315"/>
      <c r="C22315"/>
      <c r="J22315"/>
      <c r="K22315"/>
      <c r="L22315"/>
    </row>
    <row r="22316" spans="2:12" x14ac:dyDescent="0.2">
      <c r="B22316"/>
      <c r="C22316"/>
      <c r="J22316"/>
      <c r="K22316"/>
      <c r="L22316"/>
    </row>
    <row r="22317" spans="2:12" x14ac:dyDescent="0.2">
      <c r="B22317"/>
      <c r="C22317"/>
      <c r="J22317"/>
      <c r="K22317"/>
      <c r="L22317"/>
    </row>
    <row r="22318" spans="2:12" x14ac:dyDescent="0.2">
      <c r="B22318"/>
      <c r="C22318"/>
      <c r="J22318"/>
      <c r="K22318"/>
      <c r="L22318"/>
    </row>
    <row r="22319" spans="2:12" x14ac:dyDescent="0.2">
      <c r="B22319"/>
      <c r="C22319"/>
      <c r="J22319"/>
      <c r="K22319"/>
      <c r="L22319"/>
    </row>
    <row r="22320" spans="2:12" x14ac:dyDescent="0.2">
      <c r="B22320"/>
      <c r="C22320"/>
      <c r="J22320"/>
      <c r="K22320"/>
      <c r="L22320"/>
    </row>
    <row r="22321" spans="2:12" x14ac:dyDescent="0.2">
      <c r="B22321"/>
      <c r="C22321"/>
      <c r="J22321"/>
      <c r="K22321"/>
      <c r="L22321"/>
    </row>
    <row r="22322" spans="2:12" x14ac:dyDescent="0.2">
      <c r="B22322"/>
      <c r="C22322"/>
      <c r="J22322"/>
      <c r="K22322"/>
      <c r="L22322"/>
    </row>
    <row r="22323" spans="2:12" x14ac:dyDescent="0.2">
      <c r="B22323"/>
      <c r="C22323"/>
      <c r="J22323"/>
      <c r="K22323"/>
      <c r="L22323"/>
    </row>
    <row r="22324" spans="2:12" x14ac:dyDescent="0.2">
      <c r="B22324"/>
      <c r="C22324"/>
      <c r="J22324"/>
      <c r="K22324"/>
      <c r="L22324"/>
    </row>
    <row r="22325" spans="2:12" x14ac:dyDescent="0.2">
      <c r="B22325"/>
      <c r="C22325"/>
      <c r="J22325"/>
      <c r="K22325"/>
      <c r="L22325"/>
    </row>
    <row r="22326" spans="2:12" x14ac:dyDescent="0.2">
      <c r="B22326"/>
      <c r="C22326"/>
      <c r="J22326"/>
      <c r="K22326"/>
      <c r="L22326"/>
    </row>
    <row r="22327" spans="2:12" x14ac:dyDescent="0.2">
      <c r="B22327"/>
      <c r="C22327"/>
      <c r="J22327"/>
      <c r="K22327"/>
      <c r="L22327"/>
    </row>
    <row r="22328" spans="2:12" x14ac:dyDescent="0.2">
      <c r="B22328"/>
      <c r="C22328"/>
      <c r="J22328"/>
      <c r="K22328"/>
      <c r="L22328"/>
    </row>
    <row r="22329" spans="2:12" x14ac:dyDescent="0.2">
      <c r="B22329"/>
      <c r="C22329"/>
      <c r="J22329"/>
      <c r="K22329"/>
      <c r="L22329"/>
    </row>
    <row r="22330" spans="2:12" x14ac:dyDescent="0.2">
      <c r="B22330"/>
      <c r="C22330"/>
      <c r="J22330"/>
      <c r="K22330"/>
      <c r="L22330"/>
    </row>
    <row r="22331" spans="2:12" x14ac:dyDescent="0.2">
      <c r="B22331"/>
      <c r="C22331"/>
      <c r="J22331"/>
      <c r="K22331"/>
      <c r="L22331"/>
    </row>
    <row r="22332" spans="2:12" x14ac:dyDescent="0.2">
      <c r="B22332"/>
      <c r="C22332"/>
      <c r="J22332"/>
      <c r="K22332"/>
      <c r="L22332"/>
    </row>
    <row r="22333" spans="2:12" x14ac:dyDescent="0.2">
      <c r="B22333"/>
      <c r="C22333"/>
      <c r="J22333"/>
      <c r="K22333"/>
      <c r="L22333"/>
    </row>
    <row r="22334" spans="2:12" x14ac:dyDescent="0.2">
      <c r="B22334"/>
      <c r="C22334"/>
      <c r="J22334"/>
      <c r="K22334"/>
      <c r="L22334"/>
    </row>
    <row r="22335" spans="2:12" x14ac:dyDescent="0.2">
      <c r="B22335"/>
      <c r="C22335"/>
      <c r="J22335"/>
      <c r="K22335"/>
      <c r="L22335"/>
    </row>
    <row r="22336" spans="2:12" x14ac:dyDescent="0.2">
      <c r="B22336"/>
      <c r="C22336"/>
      <c r="J22336"/>
      <c r="K22336"/>
      <c r="L22336"/>
    </row>
    <row r="22337" spans="2:12" x14ac:dyDescent="0.2">
      <c r="B22337"/>
      <c r="C22337"/>
      <c r="J22337"/>
      <c r="K22337"/>
      <c r="L22337"/>
    </row>
    <row r="22338" spans="2:12" x14ac:dyDescent="0.2">
      <c r="B22338"/>
      <c r="C22338"/>
      <c r="J22338"/>
      <c r="K22338"/>
      <c r="L22338"/>
    </row>
    <row r="22339" spans="2:12" x14ac:dyDescent="0.2">
      <c r="B22339"/>
      <c r="C22339"/>
      <c r="J22339"/>
      <c r="K22339"/>
      <c r="L22339"/>
    </row>
    <row r="22340" spans="2:12" x14ac:dyDescent="0.2">
      <c r="B22340"/>
      <c r="C22340"/>
      <c r="J22340"/>
      <c r="K22340"/>
      <c r="L22340"/>
    </row>
    <row r="22341" spans="2:12" x14ac:dyDescent="0.2">
      <c r="B22341"/>
      <c r="C22341"/>
      <c r="J22341"/>
      <c r="K22341"/>
      <c r="L22341"/>
    </row>
    <row r="22342" spans="2:12" x14ac:dyDescent="0.2">
      <c r="B22342"/>
      <c r="C22342"/>
      <c r="J22342"/>
      <c r="K22342"/>
      <c r="L22342"/>
    </row>
    <row r="22343" spans="2:12" x14ac:dyDescent="0.2">
      <c r="B22343"/>
      <c r="C22343"/>
      <c r="J22343"/>
      <c r="K22343"/>
      <c r="L22343"/>
    </row>
    <row r="22344" spans="2:12" x14ac:dyDescent="0.2">
      <c r="B22344"/>
      <c r="C22344"/>
      <c r="J22344"/>
      <c r="K22344"/>
      <c r="L22344"/>
    </row>
    <row r="22345" spans="2:12" x14ac:dyDescent="0.2">
      <c r="B22345"/>
      <c r="C22345"/>
      <c r="J22345"/>
      <c r="K22345"/>
      <c r="L22345"/>
    </row>
    <row r="22346" spans="2:12" x14ac:dyDescent="0.2">
      <c r="B22346"/>
      <c r="C22346"/>
      <c r="J22346"/>
      <c r="K22346"/>
      <c r="L22346"/>
    </row>
    <row r="22347" spans="2:12" x14ac:dyDescent="0.2">
      <c r="B22347"/>
      <c r="C22347"/>
      <c r="J22347"/>
      <c r="K22347"/>
      <c r="L22347"/>
    </row>
    <row r="22348" spans="2:12" x14ac:dyDescent="0.2">
      <c r="B22348"/>
      <c r="C22348"/>
      <c r="J22348"/>
      <c r="K22348"/>
      <c r="L22348"/>
    </row>
    <row r="22349" spans="2:12" x14ac:dyDescent="0.2">
      <c r="B22349"/>
      <c r="C22349"/>
      <c r="J22349"/>
      <c r="K22349"/>
      <c r="L22349"/>
    </row>
    <row r="22350" spans="2:12" x14ac:dyDescent="0.2">
      <c r="B22350"/>
      <c r="C22350"/>
      <c r="J22350"/>
      <c r="K22350"/>
      <c r="L22350"/>
    </row>
    <row r="22351" spans="2:12" x14ac:dyDescent="0.2">
      <c r="B22351"/>
      <c r="C22351"/>
      <c r="J22351"/>
      <c r="K22351"/>
      <c r="L22351"/>
    </row>
    <row r="22352" spans="2:12" x14ac:dyDescent="0.2">
      <c r="B22352"/>
      <c r="C22352"/>
      <c r="J22352"/>
      <c r="K22352"/>
      <c r="L22352"/>
    </row>
    <row r="22353" spans="2:12" x14ac:dyDescent="0.2">
      <c r="B22353"/>
      <c r="C22353"/>
      <c r="J22353"/>
      <c r="K22353"/>
      <c r="L22353"/>
    </row>
    <row r="22354" spans="2:12" x14ac:dyDescent="0.2">
      <c r="B22354"/>
      <c r="C22354"/>
      <c r="J22354"/>
      <c r="K22354"/>
      <c r="L22354"/>
    </row>
    <row r="22355" spans="2:12" x14ac:dyDescent="0.2">
      <c r="B22355"/>
      <c r="C22355"/>
      <c r="J22355"/>
      <c r="K22355"/>
      <c r="L22355"/>
    </row>
    <row r="22356" spans="2:12" x14ac:dyDescent="0.2">
      <c r="B22356"/>
      <c r="C22356"/>
      <c r="J22356"/>
      <c r="K22356"/>
      <c r="L22356"/>
    </row>
    <row r="22357" spans="2:12" x14ac:dyDescent="0.2">
      <c r="B22357"/>
      <c r="C22357"/>
      <c r="J22357"/>
      <c r="K22357"/>
      <c r="L22357"/>
    </row>
    <row r="22358" spans="2:12" x14ac:dyDescent="0.2">
      <c r="B22358"/>
      <c r="C22358"/>
      <c r="J22358"/>
      <c r="K22358"/>
      <c r="L22358"/>
    </row>
    <row r="22359" spans="2:12" x14ac:dyDescent="0.2">
      <c r="B22359"/>
      <c r="C22359"/>
      <c r="J22359"/>
      <c r="K22359"/>
      <c r="L22359"/>
    </row>
    <row r="22360" spans="2:12" x14ac:dyDescent="0.2">
      <c r="B22360"/>
      <c r="C22360"/>
      <c r="J22360"/>
      <c r="K22360"/>
      <c r="L22360"/>
    </row>
    <row r="22361" spans="2:12" x14ac:dyDescent="0.2">
      <c r="B22361"/>
      <c r="C22361"/>
      <c r="J22361"/>
      <c r="K22361"/>
      <c r="L22361"/>
    </row>
    <row r="22362" spans="2:12" x14ac:dyDescent="0.2">
      <c r="B22362"/>
      <c r="C22362"/>
      <c r="J22362"/>
      <c r="K22362"/>
      <c r="L22362"/>
    </row>
    <row r="22363" spans="2:12" x14ac:dyDescent="0.2">
      <c r="B22363"/>
      <c r="C22363"/>
      <c r="J22363"/>
      <c r="K22363"/>
      <c r="L22363"/>
    </row>
    <row r="22364" spans="2:12" x14ac:dyDescent="0.2">
      <c r="B22364"/>
      <c r="C22364"/>
      <c r="J22364"/>
      <c r="K22364"/>
      <c r="L22364"/>
    </row>
    <row r="22365" spans="2:12" x14ac:dyDescent="0.2">
      <c r="B22365"/>
      <c r="C22365"/>
      <c r="J22365"/>
      <c r="K22365"/>
      <c r="L22365"/>
    </row>
    <row r="22366" spans="2:12" x14ac:dyDescent="0.2">
      <c r="B22366"/>
      <c r="C22366"/>
      <c r="J22366"/>
      <c r="K22366"/>
      <c r="L22366"/>
    </row>
    <row r="22367" spans="2:12" x14ac:dyDescent="0.2">
      <c r="B22367"/>
      <c r="C22367"/>
      <c r="J22367"/>
      <c r="K22367"/>
      <c r="L22367"/>
    </row>
    <row r="22368" spans="2:12" x14ac:dyDescent="0.2">
      <c r="B22368"/>
      <c r="C22368"/>
      <c r="J22368"/>
      <c r="K22368"/>
      <c r="L22368"/>
    </row>
    <row r="22369" spans="2:12" x14ac:dyDescent="0.2">
      <c r="B22369"/>
      <c r="C22369"/>
      <c r="J22369"/>
      <c r="K22369"/>
      <c r="L22369"/>
    </row>
    <row r="22370" spans="2:12" x14ac:dyDescent="0.2">
      <c r="B22370"/>
      <c r="C22370"/>
      <c r="J22370"/>
      <c r="K22370"/>
      <c r="L22370"/>
    </row>
    <row r="22371" spans="2:12" x14ac:dyDescent="0.2">
      <c r="B22371"/>
      <c r="C22371"/>
      <c r="J22371"/>
      <c r="K22371"/>
      <c r="L22371"/>
    </row>
    <row r="22372" spans="2:12" x14ac:dyDescent="0.2">
      <c r="B22372"/>
      <c r="C22372"/>
      <c r="J22372"/>
      <c r="K22372"/>
      <c r="L22372"/>
    </row>
    <row r="22373" spans="2:12" x14ac:dyDescent="0.2">
      <c r="B22373"/>
      <c r="C22373"/>
      <c r="J22373"/>
      <c r="K22373"/>
      <c r="L22373"/>
    </row>
    <row r="22374" spans="2:12" x14ac:dyDescent="0.2">
      <c r="B22374"/>
      <c r="C22374"/>
      <c r="J22374"/>
      <c r="K22374"/>
      <c r="L22374"/>
    </row>
    <row r="22375" spans="2:12" x14ac:dyDescent="0.2">
      <c r="B22375"/>
      <c r="C22375"/>
      <c r="J22375"/>
      <c r="K22375"/>
      <c r="L22375"/>
    </row>
    <row r="22376" spans="2:12" x14ac:dyDescent="0.2">
      <c r="B22376"/>
      <c r="C22376"/>
      <c r="J22376"/>
      <c r="K22376"/>
      <c r="L22376"/>
    </row>
    <row r="22377" spans="2:12" x14ac:dyDescent="0.2">
      <c r="B22377"/>
      <c r="C22377"/>
      <c r="J22377"/>
      <c r="K22377"/>
      <c r="L22377"/>
    </row>
    <row r="22378" spans="2:12" x14ac:dyDescent="0.2">
      <c r="B22378"/>
      <c r="C22378"/>
      <c r="J22378"/>
      <c r="K22378"/>
      <c r="L22378"/>
    </row>
    <row r="22379" spans="2:12" x14ac:dyDescent="0.2">
      <c r="B22379"/>
      <c r="C22379"/>
      <c r="J22379"/>
      <c r="K22379"/>
      <c r="L22379"/>
    </row>
    <row r="22380" spans="2:12" x14ac:dyDescent="0.2">
      <c r="B22380"/>
      <c r="C22380"/>
      <c r="J22380"/>
      <c r="K22380"/>
      <c r="L22380"/>
    </row>
    <row r="22381" spans="2:12" x14ac:dyDescent="0.2">
      <c r="B22381"/>
      <c r="C22381"/>
      <c r="J22381"/>
      <c r="K22381"/>
      <c r="L22381"/>
    </row>
    <row r="22382" spans="2:12" x14ac:dyDescent="0.2">
      <c r="B22382"/>
      <c r="C22382"/>
      <c r="J22382"/>
      <c r="K22382"/>
      <c r="L22382"/>
    </row>
    <row r="22383" spans="2:12" x14ac:dyDescent="0.2">
      <c r="B22383"/>
      <c r="C22383"/>
      <c r="J22383"/>
      <c r="K22383"/>
      <c r="L22383"/>
    </row>
    <row r="22384" spans="2:12" x14ac:dyDescent="0.2">
      <c r="B22384"/>
      <c r="C22384"/>
      <c r="J22384"/>
      <c r="K22384"/>
      <c r="L22384"/>
    </row>
    <row r="22385" spans="2:12" x14ac:dyDescent="0.2">
      <c r="B22385"/>
      <c r="C22385"/>
      <c r="J22385"/>
      <c r="K22385"/>
      <c r="L22385"/>
    </row>
    <row r="22386" spans="2:12" x14ac:dyDescent="0.2">
      <c r="B22386"/>
      <c r="C22386"/>
      <c r="J22386"/>
      <c r="K22386"/>
      <c r="L22386"/>
    </row>
    <row r="22387" spans="2:12" x14ac:dyDescent="0.2">
      <c r="B22387"/>
      <c r="C22387"/>
      <c r="J22387"/>
      <c r="K22387"/>
      <c r="L22387"/>
    </row>
    <row r="22388" spans="2:12" x14ac:dyDescent="0.2">
      <c r="B22388"/>
      <c r="C22388"/>
      <c r="J22388"/>
      <c r="K22388"/>
      <c r="L22388"/>
    </row>
    <row r="22389" spans="2:12" x14ac:dyDescent="0.2">
      <c r="B22389"/>
      <c r="C22389"/>
      <c r="J22389"/>
      <c r="K22389"/>
      <c r="L22389"/>
    </row>
    <row r="22390" spans="2:12" x14ac:dyDescent="0.2">
      <c r="B22390"/>
      <c r="C22390"/>
      <c r="J22390"/>
      <c r="K22390"/>
      <c r="L22390"/>
    </row>
    <row r="22391" spans="2:12" x14ac:dyDescent="0.2">
      <c r="B22391"/>
      <c r="C22391"/>
      <c r="J22391"/>
      <c r="K22391"/>
      <c r="L22391"/>
    </row>
    <row r="22392" spans="2:12" x14ac:dyDescent="0.2">
      <c r="B22392"/>
      <c r="C22392"/>
      <c r="J22392"/>
      <c r="K22392"/>
      <c r="L22392"/>
    </row>
    <row r="22393" spans="2:12" x14ac:dyDescent="0.2">
      <c r="B22393"/>
      <c r="C22393"/>
      <c r="J22393"/>
      <c r="K22393"/>
      <c r="L22393"/>
    </row>
    <row r="22394" spans="2:12" x14ac:dyDescent="0.2">
      <c r="B22394"/>
      <c r="C22394"/>
      <c r="J22394"/>
      <c r="K22394"/>
      <c r="L22394"/>
    </row>
    <row r="22395" spans="2:12" x14ac:dyDescent="0.2">
      <c r="B22395"/>
      <c r="C22395"/>
      <c r="J22395"/>
      <c r="K22395"/>
      <c r="L22395"/>
    </row>
    <row r="22396" spans="2:12" x14ac:dyDescent="0.2">
      <c r="B22396"/>
      <c r="C22396"/>
      <c r="J22396"/>
      <c r="K22396"/>
      <c r="L22396"/>
    </row>
    <row r="22397" spans="2:12" x14ac:dyDescent="0.2">
      <c r="B22397"/>
      <c r="C22397"/>
      <c r="J22397"/>
      <c r="K22397"/>
      <c r="L22397"/>
    </row>
    <row r="22398" spans="2:12" x14ac:dyDescent="0.2">
      <c r="B22398"/>
      <c r="C22398"/>
      <c r="J22398"/>
      <c r="K22398"/>
      <c r="L22398"/>
    </row>
    <row r="22399" spans="2:12" x14ac:dyDescent="0.2">
      <c r="B22399"/>
      <c r="C22399"/>
      <c r="J22399"/>
      <c r="K22399"/>
      <c r="L22399"/>
    </row>
    <row r="22400" spans="2:12" x14ac:dyDescent="0.2">
      <c r="B22400"/>
      <c r="C22400"/>
      <c r="J22400"/>
      <c r="K22400"/>
      <c r="L22400"/>
    </row>
    <row r="22401" spans="2:12" x14ac:dyDescent="0.2">
      <c r="B22401"/>
      <c r="C22401"/>
      <c r="J22401"/>
      <c r="K22401"/>
      <c r="L22401"/>
    </row>
    <row r="22402" spans="2:12" x14ac:dyDescent="0.2">
      <c r="B22402"/>
      <c r="C22402"/>
      <c r="J22402"/>
      <c r="K22402"/>
      <c r="L22402"/>
    </row>
    <row r="22403" spans="2:12" x14ac:dyDescent="0.2">
      <c r="B22403"/>
      <c r="C22403"/>
      <c r="J22403"/>
      <c r="K22403"/>
      <c r="L22403"/>
    </row>
    <row r="22404" spans="2:12" x14ac:dyDescent="0.2">
      <c r="B22404"/>
      <c r="C22404"/>
      <c r="J22404"/>
      <c r="K22404"/>
      <c r="L22404"/>
    </row>
    <row r="22405" spans="2:12" x14ac:dyDescent="0.2">
      <c r="B22405"/>
      <c r="C22405"/>
      <c r="J22405"/>
      <c r="K22405"/>
      <c r="L22405"/>
    </row>
    <row r="22406" spans="2:12" x14ac:dyDescent="0.2">
      <c r="B22406"/>
      <c r="C22406"/>
      <c r="J22406"/>
      <c r="K22406"/>
      <c r="L22406"/>
    </row>
    <row r="22407" spans="2:12" x14ac:dyDescent="0.2">
      <c r="B22407"/>
      <c r="C22407"/>
      <c r="J22407"/>
      <c r="K22407"/>
      <c r="L22407"/>
    </row>
    <row r="22408" spans="2:12" x14ac:dyDescent="0.2">
      <c r="B22408"/>
      <c r="C22408"/>
      <c r="J22408"/>
      <c r="K22408"/>
      <c r="L22408"/>
    </row>
    <row r="22409" spans="2:12" x14ac:dyDescent="0.2">
      <c r="B22409"/>
      <c r="C22409"/>
      <c r="J22409"/>
      <c r="K22409"/>
      <c r="L22409"/>
    </row>
    <row r="22410" spans="2:12" x14ac:dyDescent="0.2">
      <c r="B22410"/>
      <c r="C22410"/>
      <c r="J22410"/>
      <c r="K22410"/>
      <c r="L22410"/>
    </row>
    <row r="22411" spans="2:12" x14ac:dyDescent="0.2">
      <c r="B22411"/>
      <c r="C22411"/>
      <c r="J22411"/>
      <c r="K22411"/>
      <c r="L22411"/>
    </row>
    <row r="22412" spans="2:12" x14ac:dyDescent="0.2">
      <c r="B22412"/>
      <c r="C22412"/>
      <c r="J22412"/>
      <c r="K22412"/>
      <c r="L22412"/>
    </row>
    <row r="22413" spans="2:12" x14ac:dyDescent="0.2">
      <c r="B22413"/>
      <c r="C22413"/>
      <c r="J22413"/>
      <c r="K22413"/>
      <c r="L22413"/>
    </row>
    <row r="22414" spans="2:12" x14ac:dyDescent="0.2">
      <c r="B22414"/>
      <c r="C22414"/>
      <c r="J22414"/>
      <c r="K22414"/>
      <c r="L22414"/>
    </row>
    <row r="22415" spans="2:12" x14ac:dyDescent="0.2">
      <c r="B22415"/>
      <c r="C22415"/>
      <c r="J22415"/>
      <c r="K22415"/>
      <c r="L22415"/>
    </row>
    <row r="22416" spans="2:12" x14ac:dyDescent="0.2">
      <c r="B22416"/>
      <c r="C22416"/>
      <c r="J22416"/>
      <c r="K22416"/>
      <c r="L22416"/>
    </row>
    <row r="22417" spans="2:12" x14ac:dyDescent="0.2">
      <c r="B22417"/>
      <c r="C22417"/>
      <c r="J22417"/>
      <c r="K22417"/>
      <c r="L22417"/>
    </row>
    <row r="22418" spans="2:12" x14ac:dyDescent="0.2">
      <c r="B22418"/>
      <c r="C22418"/>
      <c r="J22418"/>
      <c r="K22418"/>
      <c r="L22418"/>
    </row>
    <row r="22419" spans="2:12" x14ac:dyDescent="0.2">
      <c r="B22419"/>
      <c r="C22419"/>
      <c r="J22419"/>
      <c r="K22419"/>
      <c r="L22419"/>
    </row>
    <row r="22420" spans="2:12" x14ac:dyDescent="0.2">
      <c r="B22420"/>
      <c r="C22420"/>
      <c r="J22420"/>
      <c r="K22420"/>
      <c r="L22420"/>
    </row>
    <row r="22421" spans="2:12" x14ac:dyDescent="0.2">
      <c r="B22421"/>
      <c r="C22421"/>
      <c r="J22421"/>
      <c r="K22421"/>
      <c r="L22421"/>
    </row>
    <row r="22422" spans="2:12" x14ac:dyDescent="0.2">
      <c r="B22422"/>
      <c r="C22422"/>
      <c r="J22422"/>
      <c r="K22422"/>
      <c r="L22422"/>
    </row>
    <row r="22423" spans="2:12" x14ac:dyDescent="0.2">
      <c r="B22423"/>
      <c r="C22423"/>
      <c r="J22423"/>
      <c r="K22423"/>
      <c r="L22423"/>
    </row>
    <row r="22424" spans="2:12" x14ac:dyDescent="0.2">
      <c r="B22424"/>
      <c r="C22424"/>
      <c r="J22424"/>
      <c r="K22424"/>
      <c r="L22424"/>
    </row>
    <row r="22425" spans="2:12" x14ac:dyDescent="0.2">
      <c r="B22425"/>
      <c r="C22425"/>
      <c r="J22425"/>
      <c r="K22425"/>
      <c r="L22425"/>
    </row>
    <row r="22426" spans="2:12" x14ac:dyDescent="0.2">
      <c r="B22426"/>
      <c r="C22426"/>
      <c r="J22426"/>
      <c r="K22426"/>
      <c r="L22426"/>
    </row>
    <row r="22427" spans="2:12" x14ac:dyDescent="0.2">
      <c r="B22427"/>
      <c r="C22427"/>
      <c r="J22427"/>
      <c r="K22427"/>
      <c r="L22427"/>
    </row>
    <row r="22428" spans="2:12" x14ac:dyDescent="0.2">
      <c r="B22428"/>
      <c r="C22428"/>
      <c r="J22428"/>
      <c r="K22428"/>
      <c r="L22428"/>
    </row>
    <row r="22429" spans="2:12" x14ac:dyDescent="0.2">
      <c r="B22429"/>
      <c r="C22429"/>
      <c r="J22429"/>
      <c r="K22429"/>
      <c r="L22429"/>
    </row>
    <row r="22430" spans="2:12" x14ac:dyDescent="0.2">
      <c r="B22430"/>
      <c r="C22430"/>
      <c r="J22430"/>
      <c r="K22430"/>
      <c r="L22430"/>
    </row>
    <row r="22431" spans="2:12" x14ac:dyDescent="0.2">
      <c r="B22431"/>
      <c r="C22431"/>
      <c r="J22431"/>
      <c r="K22431"/>
      <c r="L22431"/>
    </row>
    <row r="22432" spans="2:12" x14ac:dyDescent="0.2">
      <c r="B22432"/>
      <c r="C22432"/>
      <c r="J22432"/>
      <c r="K22432"/>
      <c r="L22432"/>
    </row>
    <row r="22433" spans="2:12" x14ac:dyDescent="0.2">
      <c r="B22433"/>
      <c r="C22433"/>
      <c r="J22433"/>
      <c r="K22433"/>
      <c r="L22433"/>
    </row>
    <row r="22434" spans="2:12" x14ac:dyDescent="0.2">
      <c r="B22434"/>
      <c r="C22434"/>
      <c r="J22434"/>
      <c r="K22434"/>
      <c r="L22434"/>
    </row>
    <row r="22435" spans="2:12" x14ac:dyDescent="0.2">
      <c r="B22435"/>
      <c r="C22435"/>
      <c r="J22435"/>
      <c r="K22435"/>
      <c r="L22435"/>
    </row>
    <row r="22436" spans="2:12" x14ac:dyDescent="0.2">
      <c r="B22436"/>
      <c r="C22436"/>
      <c r="J22436"/>
      <c r="K22436"/>
      <c r="L22436"/>
    </row>
    <row r="22437" spans="2:12" x14ac:dyDescent="0.2">
      <c r="B22437"/>
      <c r="C22437"/>
      <c r="J22437"/>
      <c r="K22437"/>
      <c r="L22437"/>
    </row>
    <row r="22438" spans="2:12" x14ac:dyDescent="0.2">
      <c r="B22438"/>
      <c r="C22438"/>
      <c r="J22438"/>
      <c r="K22438"/>
      <c r="L22438"/>
    </row>
    <row r="22439" spans="2:12" x14ac:dyDescent="0.2">
      <c r="B22439"/>
      <c r="C22439"/>
      <c r="J22439"/>
      <c r="K22439"/>
      <c r="L22439"/>
    </row>
    <row r="22440" spans="2:12" x14ac:dyDescent="0.2">
      <c r="B22440"/>
      <c r="C22440"/>
      <c r="J22440"/>
      <c r="K22440"/>
      <c r="L22440"/>
    </row>
    <row r="22441" spans="2:12" x14ac:dyDescent="0.2">
      <c r="B22441"/>
      <c r="C22441"/>
      <c r="J22441"/>
      <c r="K22441"/>
      <c r="L22441"/>
    </row>
    <row r="22442" spans="2:12" x14ac:dyDescent="0.2">
      <c r="B22442"/>
      <c r="C22442"/>
      <c r="J22442"/>
      <c r="K22442"/>
      <c r="L22442"/>
    </row>
    <row r="22443" spans="2:12" x14ac:dyDescent="0.2">
      <c r="B22443"/>
      <c r="C22443"/>
      <c r="J22443"/>
      <c r="K22443"/>
      <c r="L22443"/>
    </row>
    <row r="22444" spans="2:12" x14ac:dyDescent="0.2">
      <c r="B22444"/>
      <c r="C22444"/>
      <c r="J22444"/>
      <c r="K22444"/>
      <c r="L22444"/>
    </row>
    <row r="22445" spans="2:12" x14ac:dyDescent="0.2">
      <c r="B22445"/>
      <c r="C22445"/>
      <c r="J22445"/>
      <c r="K22445"/>
      <c r="L22445"/>
    </row>
    <row r="22446" spans="2:12" x14ac:dyDescent="0.2">
      <c r="B22446"/>
      <c r="C22446"/>
      <c r="J22446"/>
      <c r="K22446"/>
      <c r="L22446"/>
    </row>
    <row r="22447" spans="2:12" x14ac:dyDescent="0.2">
      <c r="B22447"/>
      <c r="C22447"/>
      <c r="J22447"/>
      <c r="K22447"/>
      <c r="L22447"/>
    </row>
    <row r="22448" spans="2:12" x14ac:dyDescent="0.2">
      <c r="B22448"/>
      <c r="C22448"/>
      <c r="J22448"/>
      <c r="K22448"/>
      <c r="L22448"/>
    </row>
    <row r="22449" spans="2:12" x14ac:dyDescent="0.2">
      <c r="B22449"/>
      <c r="C22449"/>
      <c r="J22449"/>
      <c r="K22449"/>
      <c r="L22449"/>
    </row>
    <row r="22450" spans="2:12" x14ac:dyDescent="0.2">
      <c r="B22450"/>
      <c r="C22450"/>
      <c r="J22450"/>
      <c r="K22450"/>
      <c r="L22450"/>
    </row>
    <row r="22451" spans="2:12" x14ac:dyDescent="0.2">
      <c r="B22451"/>
      <c r="C22451"/>
      <c r="J22451"/>
      <c r="K22451"/>
      <c r="L22451"/>
    </row>
    <row r="22452" spans="2:12" x14ac:dyDescent="0.2">
      <c r="B22452"/>
      <c r="C22452"/>
      <c r="J22452"/>
      <c r="K22452"/>
      <c r="L22452"/>
    </row>
    <row r="22453" spans="2:12" x14ac:dyDescent="0.2">
      <c r="B22453"/>
      <c r="C22453"/>
      <c r="J22453"/>
      <c r="K22453"/>
      <c r="L22453"/>
    </row>
    <row r="22454" spans="2:12" x14ac:dyDescent="0.2">
      <c r="B22454"/>
      <c r="C22454"/>
      <c r="J22454"/>
      <c r="K22454"/>
      <c r="L22454"/>
    </row>
    <row r="22455" spans="2:12" x14ac:dyDescent="0.2">
      <c r="B22455"/>
      <c r="C22455"/>
      <c r="J22455"/>
      <c r="K22455"/>
      <c r="L22455"/>
    </row>
    <row r="22456" spans="2:12" x14ac:dyDescent="0.2">
      <c r="B22456"/>
      <c r="C22456"/>
      <c r="J22456"/>
      <c r="K22456"/>
      <c r="L22456"/>
    </row>
    <row r="22457" spans="2:12" x14ac:dyDescent="0.2">
      <c r="B22457"/>
      <c r="C22457"/>
      <c r="J22457"/>
      <c r="K22457"/>
      <c r="L22457"/>
    </row>
    <row r="22458" spans="2:12" x14ac:dyDescent="0.2">
      <c r="B22458"/>
      <c r="C22458"/>
      <c r="J22458"/>
      <c r="K22458"/>
      <c r="L22458"/>
    </row>
    <row r="22459" spans="2:12" x14ac:dyDescent="0.2">
      <c r="B22459"/>
      <c r="C22459"/>
      <c r="J22459"/>
      <c r="K22459"/>
      <c r="L22459"/>
    </row>
    <row r="22460" spans="2:12" x14ac:dyDescent="0.2">
      <c r="B22460"/>
      <c r="C22460"/>
      <c r="J22460"/>
      <c r="K22460"/>
      <c r="L22460"/>
    </row>
    <row r="22461" spans="2:12" x14ac:dyDescent="0.2">
      <c r="B22461"/>
      <c r="C22461"/>
      <c r="J22461"/>
      <c r="K22461"/>
      <c r="L22461"/>
    </row>
    <row r="22462" spans="2:12" x14ac:dyDescent="0.2">
      <c r="B22462"/>
      <c r="C22462"/>
      <c r="J22462"/>
      <c r="K22462"/>
      <c r="L22462"/>
    </row>
    <row r="22463" spans="2:12" x14ac:dyDescent="0.2">
      <c r="B22463"/>
      <c r="C22463"/>
      <c r="J22463"/>
      <c r="K22463"/>
      <c r="L22463"/>
    </row>
    <row r="22464" spans="2:12" x14ac:dyDescent="0.2">
      <c r="B22464"/>
      <c r="C22464"/>
      <c r="J22464"/>
      <c r="K22464"/>
      <c r="L22464"/>
    </row>
    <row r="22465" spans="2:12" x14ac:dyDescent="0.2">
      <c r="B22465"/>
      <c r="C22465"/>
      <c r="J22465"/>
      <c r="K22465"/>
      <c r="L22465"/>
    </row>
    <row r="22466" spans="2:12" x14ac:dyDescent="0.2">
      <c r="B22466"/>
      <c r="C22466"/>
      <c r="J22466"/>
      <c r="K22466"/>
      <c r="L22466"/>
    </row>
    <row r="22467" spans="2:12" x14ac:dyDescent="0.2">
      <c r="B22467"/>
      <c r="C22467"/>
      <c r="J22467"/>
      <c r="K22467"/>
      <c r="L22467"/>
    </row>
    <row r="22468" spans="2:12" x14ac:dyDescent="0.2">
      <c r="B22468"/>
      <c r="C22468"/>
      <c r="J22468"/>
      <c r="K22468"/>
      <c r="L22468"/>
    </row>
    <row r="22469" spans="2:12" x14ac:dyDescent="0.2">
      <c r="B22469"/>
      <c r="C22469"/>
      <c r="J22469"/>
      <c r="K22469"/>
      <c r="L22469"/>
    </row>
    <row r="22470" spans="2:12" x14ac:dyDescent="0.2">
      <c r="B22470"/>
      <c r="C22470"/>
      <c r="J22470"/>
      <c r="K22470"/>
      <c r="L22470"/>
    </row>
    <row r="22471" spans="2:12" x14ac:dyDescent="0.2">
      <c r="B22471"/>
      <c r="C22471"/>
      <c r="J22471"/>
      <c r="K22471"/>
      <c r="L22471"/>
    </row>
    <row r="22472" spans="2:12" x14ac:dyDescent="0.2">
      <c r="B22472"/>
      <c r="C22472"/>
      <c r="J22472"/>
      <c r="K22472"/>
      <c r="L22472"/>
    </row>
    <row r="22473" spans="2:12" x14ac:dyDescent="0.2">
      <c r="B22473"/>
      <c r="C22473"/>
      <c r="J22473"/>
      <c r="K22473"/>
      <c r="L22473"/>
    </row>
    <row r="22474" spans="2:12" x14ac:dyDescent="0.2">
      <c r="B22474"/>
      <c r="C22474"/>
      <c r="J22474"/>
      <c r="K22474"/>
      <c r="L22474"/>
    </row>
    <row r="22475" spans="2:12" x14ac:dyDescent="0.2">
      <c r="B22475"/>
      <c r="C22475"/>
      <c r="J22475"/>
      <c r="K22475"/>
      <c r="L22475"/>
    </row>
    <row r="22476" spans="2:12" x14ac:dyDescent="0.2">
      <c r="B22476"/>
      <c r="C22476"/>
      <c r="J22476"/>
      <c r="K22476"/>
      <c r="L22476"/>
    </row>
    <row r="22477" spans="2:12" x14ac:dyDescent="0.2">
      <c r="B22477"/>
      <c r="C22477"/>
      <c r="J22477"/>
      <c r="K22477"/>
      <c r="L22477"/>
    </row>
    <row r="22478" spans="2:12" x14ac:dyDescent="0.2">
      <c r="B22478"/>
      <c r="C22478"/>
      <c r="J22478"/>
      <c r="K22478"/>
      <c r="L22478"/>
    </row>
    <row r="22479" spans="2:12" x14ac:dyDescent="0.2">
      <c r="B22479"/>
      <c r="C22479"/>
      <c r="J22479"/>
      <c r="K22479"/>
      <c r="L22479"/>
    </row>
    <row r="22480" spans="2:12" x14ac:dyDescent="0.2">
      <c r="B22480"/>
      <c r="C22480"/>
      <c r="J22480"/>
      <c r="K22480"/>
      <c r="L22480"/>
    </row>
    <row r="22481" spans="2:12" x14ac:dyDescent="0.2">
      <c r="B22481"/>
      <c r="C22481"/>
      <c r="J22481"/>
      <c r="K22481"/>
      <c r="L22481"/>
    </row>
    <row r="22482" spans="2:12" x14ac:dyDescent="0.2">
      <c r="B22482"/>
      <c r="C22482"/>
      <c r="J22482"/>
      <c r="K22482"/>
      <c r="L22482"/>
    </row>
    <row r="22483" spans="2:12" x14ac:dyDescent="0.2">
      <c r="B22483"/>
      <c r="C22483"/>
      <c r="J22483"/>
      <c r="K22483"/>
      <c r="L22483"/>
    </row>
    <row r="22484" spans="2:12" x14ac:dyDescent="0.2">
      <c r="B22484"/>
      <c r="C22484"/>
      <c r="J22484"/>
      <c r="K22484"/>
      <c r="L22484"/>
    </row>
    <row r="22485" spans="2:12" x14ac:dyDescent="0.2">
      <c r="B22485"/>
      <c r="C22485"/>
      <c r="J22485"/>
      <c r="K22485"/>
      <c r="L22485"/>
    </row>
    <row r="22486" spans="2:12" x14ac:dyDescent="0.2">
      <c r="B22486"/>
      <c r="C22486"/>
      <c r="J22486"/>
      <c r="K22486"/>
      <c r="L22486"/>
    </row>
    <row r="22487" spans="2:12" x14ac:dyDescent="0.2">
      <c r="B22487"/>
      <c r="C22487"/>
      <c r="J22487"/>
      <c r="K22487"/>
      <c r="L22487"/>
    </row>
    <row r="22488" spans="2:12" x14ac:dyDescent="0.2">
      <c r="B22488"/>
      <c r="C22488"/>
      <c r="J22488"/>
      <c r="K22488"/>
      <c r="L22488"/>
    </row>
    <row r="22489" spans="2:12" x14ac:dyDescent="0.2">
      <c r="B22489"/>
      <c r="C22489"/>
      <c r="J22489"/>
      <c r="K22489"/>
      <c r="L22489"/>
    </row>
    <row r="22490" spans="2:12" x14ac:dyDescent="0.2">
      <c r="B22490"/>
      <c r="C22490"/>
      <c r="J22490"/>
      <c r="K22490"/>
      <c r="L22490"/>
    </row>
    <row r="22491" spans="2:12" x14ac:dyDescent="0.2">
      <c r="B22491"/>
      <c r="C22491"/>
      <c r="J22491"/>
      <c r="K22491"/>
      <c r="L22491"/>
    </row>
    <row r="22492" spans="2:12" x14ac:dyDescent="0.2">
      <c r="B22492"/>
      <c r="C22492"/>
      <c r="J22492"/>
      <c r="K22492"/>
      <c r="L22492"/>
    </row>
    <row r="22493" spans="2:12" x14ac:dyDescent="0.2">
      <c r="B22493"/>
      <c r="C22493"/>
      <c r="J22493"/>
      <c r="K22493"/>
      <c r="L22493"/>
    </row>
    <row r="22494" spans="2:12" x14ac:dyDescent="0.2">
      <c r="B22494"/>
      <c r="C22494"/>
      <c r="J22494"/>
      <c r="K22494"/>
      <c r="L22494"/>
    </row>
    <row r="22495" spans="2:12" x14ac:dyDescent="0.2">
      <c r="B22495"/>
      <c r="C22495"/>
      <c r="J22495"/>
      <c r="K22495"/>
      <c r="L22495"/>
    </row>
    <row r="22496" spans="2:12" x14ac:dyDescent="0.2">
      <c r="B22496"/>
      <c r="C22496"/>
      <c r="J22496"/>
      <c r="K22496"/>
      <c r="L22496"/>
    </row>
    <row r="22497" spans="2:12" x14ac:dyDescent="0.2">
      <c r="B22497"/>
      <c r="C22497"/>
      <c r="J22497"/>
      <c r="K22497"/>
      <c r="L22497"/>
    </row>
    <row r="22498" spans="2:12" x14ac:dyDescent="0.2">
      <c r="B22498"/>
      <c r="C22498"/>
      <c r="J22498"/>
      <c r="K22498"/>
      <c r="L22498"/>
    </row>
    <row r="22499" spans="2:12" x14ac:dyDescent="0.2">
      <c r="B22499"/>
      <c r="C22499"/>
      <c r="J22499"/>
      <c r="K22499"/>
      <c r="L22499"/>
    </row>
    <row r="22500" spans="2:12" x14ac:dyDescent="0.2">
      <c r="B22500"/>
      <c r="C22500"/>
      <c r="J22500"/>
      <c r="K22500"/>
      <c r="L22500"/>
    </row>
    <row r="22501" spans="2:12" x14ac:dyDescent="0.2">
      <c r="B22501"/>
      <c r="C22501"/>
      <c r="J22501"/>
      <c r="K22501"/>
      <c r="L22501"/>
    </row>
    <row r="22502" spans="2:12" x14ac:dyDescent="0.2">
      <c r="B22502"/>
      <c r="C22502"/>
      <c r="J22502"/>
      <c r="K22502"/>
      <c r="L22502"/>
    </row>
    <row r="22503" spans="2:12" x14ac:dyDescent="0.2">
      <c r="B22503"/>
      <c r="C22503"/>
      <c r="J22503"/>
      <c r="K22503"/>
      <c r="L22503"/>
    </row>
    <row r="22504" spans="2:12" x14ac:dyDescent="0.2">
      <c r="B22504"/>
      <c r="C22504"/>
      <c r="J22504"/>
      <c r="K22504"/>
      <c r="L22504"/>
    </row>
    <row r="22505" spans="2:12" x14ac:dyDescent="0.2">
      <c r="B22505"/>
      <c r="C22505"/>
      <c r="J22505"/>
      <c r="K22505"/>
      <c r="L22505"/>
    </row>
    <row r="22506" spans="2:12" x14ac:dyDescent="0.2">
      <c r="B22506"/>
      <c r="C22506"/>
      <c r="J22506"/>
      <c r="K22506"/>
      <c r="L22506"/>
    </row>
    <row r="22507" spans="2:12" x14ac:dyDescent="0.2">
      <c r="B22507"/>
      <c r="C22507"/>
      <c r="J22507"/>
      <c r="K22507"/>
      <c r="L22507"/>
    </row>
    <row r="22508" spans="2:12" x14ac:dyDescent="0.2">
      <c r="B22508"/>
      <c r="C22508"/>
      <c r="J22508"/>
      <c r="K22508"/>
      <c r="L22508"/>
    </row>
    <row r="22509" spans="2:12" x14ac:dyDescent="0.2">
      <c r="B22509"/>
      <c r="C22509"/>
      <c r="J22509"/>
      <c r="K22509"/>
      <c r="L22509"/>
    </row>
    <row r="22510" spans="2:12" x14ac:dyDescent="0.2">
      <c r="B22510"/>
      <c r="C22510"/>
      <c r="J22510"/>
      <c r="K22510"/>
      <c r="L22510"/>
    </row>
    <row r="22511" spans="2:12" x14ac:dyDescent="0.2">
      <c r="B22511"/>
      <c r="C22511"/>
      <c r="J22511"/>
      <c r="K22511"/>
      <c r="L22511"/>
    </row>
    <row r="22512" spans="2:12" x14ac:dyDescent="0.2">
      <c r="B22512"/>
      <c r="C22512"/>
      <c r="J22512"/>
      <c r="K22512"/>
      <c r="L22512"/>
    </row>
    <row r="22513" spans="2:12" x14ac:dyDescent="0.2">
      <c r="B22513"/>
      <c r="C22513"/>
      <c r="J22513"/>
      <c r="K22513"/>
      <c r="L22513"/>
    </row>
    <row r="22514" spans="2:12" x14ac:dyDescent="0.2">
      <c r="B22514"/>
      <c r="C22514"/>
      <c r="J22514"/>
      <c r="K22514"/>
      <c r="L22514"/>
    </row>
    <row r="22515" spans="2:12" x14ac:dyDescent="0.2">
      <c r="B22515"/>
      <c r="C22515"/>
      <c r="J22515"/>
      <c r="K22515"/>
      <c r="L22515"/>
    </row>
    <row r="22516" spans="2:12" x14ac:dyDescent="0.2">
      <c r="B22516"/>
      <c r="C22516"/>
      <c r="J22516"/>
      <c r="K22516"/>
      <c r="L22516"/>
    </row>
    <row r="22517" spans="2:12" x14ac:dyDescent="0.2">
      <c r="B22517"/>
      <c r="C22517"/>
      <c r="J22517"/>
      <c r="K22517"/>
      <c r="L22517"/>
    </row>
    <row r="22518" spans="2:12" x14ac:dyDescent="0.2">
      <c r="B22518"/>
      <c r="C22518"/>
      <c r="J22518"/>
      <c r="K22518"/>
      <c r="L22518"/>
    </row>
    <row r="22519" spans="2:12" x14ac:dyDescent="0.2">
      <c r="B22519"/>
      <c r="C22519"/>
      <c r="J22519"/>
      <c r="K22519"/>
      <c r="L22519"/>
    </row>
    <row r="22520" spans="2:12" x14ac:dyDescent="0.2">
      <c r="B22520"/>
      <c r="C22520"/>
      <c r="J22520"/>
      <c r="K22520"/>
      <c r="L22520"/>
    </row>
    <row r="22521" spans="2:12" x14ac:dyDescent="0.2">
      <c r="B22521"/>
      <c r="C22521"/>
      <c r="J22521"/>
      <c r="K22521"/>
      <c r="L22521"/>
    </row>
    <row r="22522" spans="2:12" x14ac:dyDescent="0.2">
      <c r="B22522"/>
      <c r="C22522"/>
      <c r="J22522"/>
      <c r="K22522"/>
      <c r="L22522"/>
    </row>
    <row r="22523" spans="2:12" x14ac:dyDescent="0.2">
      <c r="B22523"/>
      <c r="C22523"/>
      <c r="J22523"/>
      <c r="K22523"/>
      <c r="L22523"/>
    </row>
    <row r="22524" spans="2:12" x14ac:dyDescent="0.2">
      <c r="B22524"/>
      <c r="C22524"/>
      <c r="J22524"/>
      <c r="K22524"/>
      <c r="L22524"/>
    </row>
    <row r="22525" spans="2:12" x14ac:dyDescent="0.2">
      <c r="B22525"/>
      <c r="C22525"/>
      <c r="J22525"/>
      <c r="K22525"/>
      <c r="L22525"/>
    </row>
    <row r="22526" spans="2:12" x14ac:dyDescent="0.2">
      <c r="B22526"/>
      <c r="C22526"/>
      <c r="J22526"/>
      <c r="K22526"/>
      <c r="L22526"/>
    </row>
    <row r="22527" spans="2:12" x14ac:dyDescent="0.2">
      <c r="B22527"/>
      <c r="C22527"/>
      <c r="J22527"/>
      <c r="K22527"/>
      <c r="L22527"/>
    </row>
    <row r="22528" spans="2:12" x14ac:dyDescent="0.2">
      <c r="B22528"/>
      <c r="C22528"/>
      <c r="J22528"/>
      <c r="K22528"/>
      <c r="L22528"/>
    </row>
    <row r="22529" spans="2:12" x14ac:dyDescent="0.2">
      <c r="B22529"/>
      <c r="C22529"/>
      <c r="J22529"/>
      <c r="K22529"/>
      <c r="L22529"/>
    </row>
    <row r="22530" spans="2:12" x14ac:dyDescent="0.2">
      <c r="B22530"/>
      <c r="C22530"/>
      <c r="J22530"/>
      <c r="K22530"/>
      <c r="L22530"/>
    </row>
    <row r="22531" spans="2:12" x14ac:dyDescent="0.2">
      <c r="B22531"/>
      <c r="C22531"/>
      <c r="J22531"/>
      <c r="K22531"/>
      <c r="L22531"/>
    </row>
    <row r="22532" spans="2:12" x14ac:dyDescent="0.2">
      <c r="B22532"/>
      <c r="C22532"/>
      <c r="J22532"/>
      <c r="K22532"/>
      <c r="L22532"/>
    </row>
    <row r="22533" spans="2:12" x14ac:dyDescent="0.2">
      <c r="B22533"/>
      <c r="C22533"/>
      <c r="J22533"/>
      <c r="K22533"/>
      <c r="L22533"/>
    </row>
    <row r="22534" spans="2:12" x14ac:dyDescent="0.2">
      <c r="B22534"/>
      <c r="C22534"/>
      <c r="J22534"/>
      <c r="K22534"/>
      <c r="L22534"/>
    </row>
    <row r="22535" spans="2:12" x14ac:dyDescent="0.2">
      <c r="B22535"/>
      <c r="C22535"/>
      <c r="J22535"/>
      <c r="K22535"/>
      <c r="L22535"/>
    </row>
    <row r="22536" spans="2:12" x14ac:dyDescent="0.2">
      <c r="B22536"/>
      <c r="C22536"/>
      <c r="J22536"/>
      <c r="K22536"/>
      <c r="L22536"/>
    </row>
    <row r="22537" spans="2:12" x14ac:dyDescent="0.2">
      <c r="B22537"/>
      <c r="C22537"/>
      <c r="J22537"/>
      <c r="K22537"/>
      <c r="L22537"/>
    </row>
    <row r="22538" spans="2:12" x14ac:dyDescent="0.2">
      <c r="B22538"/>
      <c r="C22538"/>
      <c r="J22538"/>
      <c r="K22538"/>
      <c r="L22538"/>
    </row>
    <row r="22539" spans="2:12" x14ac:dyDescent="0.2">
      <c r="B22539"/>
      <c r="C22539"/>
      <c r="J22539"/>
      <c r="K22539"/>
      <c r="L22539"/>
    </row>
    <row r="22540" spans="2:12" x14ac:dyDescent="0.2">
      <c r="B22540"/>
      <c r="C22540"/>
      <c r="J22540"/>
      <c r="K22540"/>
      <c r="L22540"/>
    </row>
    <row r="22541" spans="2:12" x14ac:dyDescent="0.2">
      <c r="B22541"/>
      <c r="C22541"/>
      <c r="J22541"/>
      <c r="K22541"/>
      <c r="L22541"/>
    </row>
    <row r="22542" spans="2:12" x14ac:dyDescent="0.2">
      <c r="B22542"/>
      <c r="C22542"/>
      <c r="J22542"/>
      <c r="K22542"/>
      <c r="L22542"/>
    </row>
    <row r="22543" spans="2:12" x14ac:dyDescent="0.2">
      <c r="B22543"/>
      <c r="C22543"/>
      <c r="J22543"/>
      <c r="K22543"/>
      <c r="L22543"/>
    </row>
    <row r="22544" spans="2:12" x14ac:dyDescent="0.2">
      <c r="B22544"/>
      <c r="C22544"/>
      <c r="J22544"/>
      <c r="K22544"/>
      <c r="L22544"/>
    </row>
    <row r="22545" spans="2:12" x14ac:dyDescent="0.2">
      <c r="B22545"/>
      <c r="C22545"/>
      <c r="J22545"/>
      <c r="K22545"/>
      <c r="L22545"/>
    </row>
    <row r="22546" spans="2:12" x14ac:dyDescent="0.2">
      <c r="B22546"/>
      <c r="C22546"/>
      <c r="J22546"/>
      <c r="K22546"/>
      <c r="L22546"/>
    </row>
    <row r="22547" spans="2:12" x14ac:dyDescent="0.2">
      <c r="B22547"/>
      <c r="C22547"/>
      <c r="J22547"/>
      <c r="K22547"/>
      <c r="L22547"/>
    </row>
    <row r="22548" spans="2:12" x14ac:dyDescent="0.2">
      <c r="B22548"/>
      <c r="C22548"/>
      <c r="J22548"/>
      <c r="K22548"/>
      <c r="L22548"/>
    </row>
    <row r="22549" spans="2:12" x14ac:dyDescent="0.2">
      <c r="B22549"/>
      <c r="C22549"/>
      <c r="J22549"/>
      <c r="K22549"/>
      <c r="L22549"/>
    </row>
    <row r="22550" spans="2:12" x14ac:dyDescent="0.2">
      <c r="B22550"/>
      <c r="C22550"/>
      <c r="J22550"/>
      <c r="K22550"/>
      <c r="L22550"/>
    </row>
    <row r="22551" spans="2:12" x14ac:dyDescent="0.2">
      <c r="B22551"/>
      <c r="C22551"/>
      <c r="J22551"/>
      <c r="K22551"/>
      <c r="L22551"/>
    </row>
    <row r="22552" spans="2:12" x14ac:dyDescent="0.2">
      <c r="B22552"/>
      <c r="C22552"/>
      <c r="J22552"/>
      <c r="K22552"/>
      <c r="L22552"/>
    </row>
    <row r="22553" spans="2:12" x14ac:dyDescent="0.2">
      <c r="B22553"/>
      <c r="C22553"/>
      <c r="J22553"/>
      <c r="K22553"/>
      <c r="L22553"/>
    </row>
    <row r="22554" spans="2:12" x14ac:dyDescent="0.2">
      <c r="B22554"/>
      <c r="C22554"/>
      <c r="J22554"/>
      <c r="K22554"/>
      <c r="L22554"/>
    </row>
    <row r="22555" spans="2:12" x14ac:dyDescent="0.2">
      <c r="B22555"/>
      <c r="C22555"/>
      <c r="J22555"/>
      <c r="K22555"/>
      <c r="L22555"/>
    </row>
    <row r="22556" spans="2:12" x14ac:dyDescent="0.2">
      <c r="B22556"/>
      <c r="C22556"/>
      <c r="J22556"/>
      <c r="K22556"/>
      <c r="L22556"/>
    </row>
    <row r="22557" spans="2:12" x14ac:dyDescent="0.2">
      <c r="B22557"/>
      <c r="C22557"/>
      <c r="J22557"/>
      <c r="K22557"/>
      <c r="L22557"/>
    </row>
    <row r="22558" spans="2:12" x14ac:dyDescent="0.2">
      <c r="B22558"/>
      <c r="C22558"/>
      <c r="J22558"/>
      <c r="K22558"/>
      <c r="L22558"/>
    </row>
    <row r="22559" spans="2:12" x14ac:dyDescent="0.2">
      <c r="B22559"/>
      <c r="C22559"/>
      <c r="J22559"/>
      <c r="K22559"/>
      <c r="L22559"/>
    </row>
    <row r="22560" spans="2:12" x14ac:dyDescent="0.2">
      <c r="B22560"/>
      <c r="C22560"/>
      <c r="J22560"/>
      <c r="K22560"/>
      <c r="L22560"/>
    </row>
    <row r="22561" spans="2:12" x14ac:dyDescent="0.2">
      <c r="B22561"/>
      <c r="C22561"/>
      <c r="J22561"/>
      <c r="K22561"/>
      <c r="L22561"/>
    </row>
    <row r="22562" spans="2:12" x14ac:dyDescent="0.2">
      <c r="B22562"/>
      <c r="C22562"/>
      <c r="J22562"/>
      <c r="K22562"/>
      <c r="L22562"/>
    </row>
    <row r="22563" spans="2:12" x14ac:dyDescent="0.2">
      <c r="B22563"/>
      <c r="C22563"/>
      <c r="J22563"/>
      <c r="K22563"/>
      <c r="L22563"/>
    </row>
    <row r="22564" spans="2:12" x14ac:dyDescent="0.2">
      <c r="B22564"/>
      <c r="C22564"/>
      <c r="J22564"/>
      <c r="K22564"/>
      <c r="L22564"/>
    </row>
    <row r="22565" spans="2:12" x14ac:dyDescent="0.2">
      <c r="B22565"/>
      <c r="C22565"/>
      <c r="J22565"/>
      <c r="K22565"/>
      <c r="L22565"/>
    </row>
    <row r="22566" spans="2:12" x14ac:dyDescent="0.2">
      <c r="B22566"/>
      <c r="C22566"/>
      <c r="J22566"/>
      <c r="K22566"/>
      <c r="L22566"/>
    </row>
    <row r="22567" spans="2:12" x14ac:dyDescent="0.2">
      <c r="B22567"/>
      <c r="C22567"/>
      <c r="J22567"/>
      <c r="K22567"/>
      <c r="L22567"/>
    </row>
    <row r="22568" spans="2:12" x14ac:dyDescent="0.2">
      <c r="B22568"/>
      <c r="C22568"/>
      <c r="J22568"/>
      <c r="K22568"/>
      <c r="L22568"/>
    </row>
    <row r="22569" spans="2:12" x14ac:dyDescent="0.2">
      <c r="B22569"/>
      <c r="C22569"/>
      <c r="J22569"/>
      <c r="K22569"/>
      <c r="L22569"/>
    </row>
    <row r="22570" spans="2:12" x14ac:dyDescent="0.2">
      <c r="B22570"/>
      <c r="C22570"/>
      <c r="J22570"/>
      <c r="K22570"/>
      <c r="L22570"/>
    </row>
    <row r="22571" spans="2:12" x14ac:dyDescent="0.2">
      <c r="B22571"/>
      <c r="C22571"/>
      <c r="J22571"/>
      <c r="K22571"/>
      <c r="L22571"/>
    </row>
    <row r="22572" spans="2:12" x14ac:dyDescent="0.2">
      <c r="B22572"/>
      <c r="C22572"/>
      <c r="J22572"/>
      <c r="K22572"/>
      <c r="L22572"/>
    </row>
    <row r="22573" spans="2:12" x14ac:dyDescent="0.2">
      <c r="B22573"/>
      <c r="C22573"/>
      <c r="J22573"/>
      <c r="K22573"/>
      <c r="L22573"/>
    </row>
    <row r="22574" spans="2:12" x14ac:dyDescent="0.2">
      <c r="B22574"/>
      <c r="C22574"/>
      <c r="J22574"/>
      <c r="K22574"/>
      <c r="L22574"/>
    </row>
    <row r="22575" spans="2:12" x14ac:dyDescent="0.2">
      <c r="B22575"/>
      <c r="C22575"/>
      <c r="J22575"/>
      <c r="K22575"/>
      <c r="L22575"/>
    </row>
    <row r="22576" spans="2:12" x14ac:dyDescent="0.2">
      <c r="B22576"/>
      <c r="C22576"/>
      <c r="J22576"/>
      <c r="K22576"/>
      <c r="L22576"/>
    </row>
    <row r="22577" spans="2:12" x14ac:dyDescent="0.2">
      <c r="B22577"/>
      <c r="C22577"/>
      <c r="J22577"/>
      <c r="K22577"/>
      <c r="L22577"/>
    </row>
    <row r="22578" spans="2:12" x14ac:dyDescent="0.2">
      <c r="B22578"/>
      <c r="C22578"/>
      <c r="J22578"/>
      <c r="K22578"/>
      <c r="L22578"/>
    </row>
    <row r="22579" spans="2:12" x14ac:dyDescent="0.2">
      <c r="B22579"/>
      <c r="C22579"/>
      <c r="J22579"/>
      <c r="K22579"/>
      <c r="L22579"/>
    </row>
    <row r="22580" spans="2:12" x14ac:dyDescent="0.2">
      <c r="B22580"/>
      <c r="C22580"/>
      <c r="J22580"/>
      <c r="K22580"/>
      <c r="L22580"/>
    </row>
    <row r="22581" spans="2:12" x14ac:dyDescent="0.2">
      <c r="B22581"/>
      <c r="C22581"/>
      <c r="J22581"/>
      <c r="K22581"/>
      <c r="L22581"/>
    </row>
    <row r="22582" spans="2:12" x14ac:dyDescent="0.2">
      <c r="B22582"/>
      <c r="C22582"/>
      <c r="J22582"/>
      <c r="K22582"/>
      <c r="L22582"/>
    </row>
    <row r="22583" spans="2:12" x14ac:dyDescent="0.2">
      <c r="B22583"/>
      <c r="C22583"/>
      <c r="J22583"/>
      <c r="K22583"/>
      <c r="L22583"/>
    </row>
    <row r="22584" spans="2:12" x14ac:dyDescent="0.2">
      <c r="B22584"/>
      <c r="C22584"/>
      <c r="J22584"/>
      <c r="K22584"/>
      <c r="L22584"/>
    </row>
    <row r="22585" spans="2:12" x14ac:dyDescent="0.2">
      <c r="B22585"/>
      <c r="C22585"/>
      <c r="J22585"/>
      <c r="K22585"/>
      <c r="L22585"/>
    </row>
    <row r="22586" spans="2:12" x14ac:dyDescent="0.2">
      <c r="B22586"/>
      <c r="C22586"/>
      <c r="J22586"/>
      <c r="K22586"/>
      <c r="L22586"/>
    </row>
    <row r="22587" spans="2:12" x14ac:dyDescent="0.2">
      <c r="B22587"/>
      <c r="C22587"/>
      <c r="J22587"/>
      <c r="K22587"/>
      <c r="L22587"/>
    </row>
    <row r="22588" spans="2:12" x14ac:dyDescent="0.2">
      <c r="B22588"/>
      <c r="C22588"/>
      <c r="J22588"/>
      <c r="K22588"/>
      <c r="L22588"/>
    </row>
    <row r="22589" spans="2:12" x14ac:dyDescent="0.2">
      <c r="B22589"/>
      <c r="C22589"/>
      <c r="J22589"/>
      <c r="K22589"/>
      <c r="L22589"/>
    </row>
    <row r="22590" spans="2:12" x14ac:dyDescent="0.2">
      <c r="B22590"/>
      <c r="C22590"/>
      <c r="J22590"/>
      <c r="K22590"/>
      <c r="L22590"/>
    </row>
    <row r="22591" spans="2:12" x14ac:dyDescent="0.2">
      <c r="B22591"/>
      <c r="C22591"/>
      <c r="J22591"/>
      <c r="K22591"/>
      <c r="L22591"/>
    </row>
    <row r="22592" spans="2:12" x14ac:dyDescent="0.2">
      <c r="B22592"/>
      <c r="C22592"/>
      <c r="J22592"/>
      <c r="K22592"/>
      <c r="L22592"/>
    </row>
    <row r="22593" spans="2:12" x14ac:dyDescent="0.2">
      <c r="B22593"/>
      <c r="C22593"/>
      <c r="J22593"/>
      <c r="K22593"/>
      <c r="L22593"/>
    </row>
    <row r="22594" spans="2:12" x14ac:dyDescent="0.2">
      <c r="B22594"/>
      <c r="C22594"/>
      <c r="J22594"/>
      <c r="K22594"/>
      <c r="L22594"/>
    </row>
    <row r="22595" spans="2:12" x14ac:dyDescent="0.2">
      <c r="B22595"/>
      <c r="C22595"/>
      <c r="J22595"/>
      <c r="K22595"/>
      <c r="L22595"/>
    </row>
    <row r="22596" spans="2:12" x14ac:dyDescent="0.2">
      <c r="B22596"/>
      <c r="C22596"/>
      <c r="J22596"/>
      <c r="K22596"/>
      <c r="L22596"/>
    </row>
    <row r="22597" spans="2:12" x14ac:dyDescent="0.2">
      <c r="B22597"/>
      <c r="C22597"/>
      <c r="J22597"/>
      <c r="K22597"/>
      <c r="L22597"/>
    </row>
    <row r="22598" spans="2:12" x14ac:dyDescent="0.2">
      <c r="B22598"/>
      <c r="C22598"/>
      <c r="J22598"/>
      <c r="K22598"/>
      <c r="L22598"/>
    </row>
    <row r="22599" spans="2:12" x14ac:dyDescent="0.2">
      <c r="B22599"/>
      <c r="C22599"/>
      <c r="J22599"/>
      <c r="K22599"/>
      <c r="L22599"/>
    </row>
    <row r="22600" spans="2:12" x14ac:dyDescent="0.2">
      <c r="B22600"/>
      <c r="C22600"/>
      <c r="J22600"/>
      <c r="K22600"/>
      <c r="L22600"/>
    </row>
    <row r="22601" spans="2:12" x14ac:dyDescent="0.2">
      <c r="B22601"/>
      <c r="C22601"/>
      <c r="J22601"/>
      <c r="K22601"/>
      <c r="L22601"/>
    </row>
    <row r="22602" spans="2:12" x14ac:dyDescent="0.2">
      <c r="B22602"/>
      <c r="C22602"/>
      <c r="J22602"/>
      <c r="K22602"/>
      <c r="L22602"/>
    </row>
    <row r="22603" spans="2:12" x14ac:dyDescent="0.2">
      <c r="B22603"/>
      <c r="C22603"/>
      <c r="J22603"/>
      <c r="K22603"/>
      <c r="L22603"/>
    </row>
    <row r="22604" spans="2:12" x14ac:dyDescent="0.2">
      <c r="B22604"/>
      <c r="C22604"/>
      <c r="J22604"/>
      <c r="K22604"/>
      <c r="L22604"/>
    </row>
    <row r="22605" spans="2:12" x14ac:dyDescent="0.2">
      <c r="B22605"/>
      <c r="C22605"/>
      <c r="J22605"/>
      <c r="K22605"/>
      <c r="L22605"/>
    </row>
    <row r="22606" spans="2:12" x14ac:dyDescent="0.2">
      <c r="B22606"/>
      <c r="C22606"/>
      <c r="J22606"/>
      <c r="K22606"/>
      <c r="L22606"/>
    </row>
    <row r="22607" spans="2:12" x14ac:dyDescent="0.2">
      <c r="B22607"/>
      <c r="C22607"/>
      <c r="J22607"/>
      <c r="K22607"/>
      <c r="L22607"/>
    </row>
    <row r="22608" spans="2:12" x14ac:dyDescent="0.2">
      <c r="B22608"/>
      <c r="C22608"/>
      <c r="J22608"/>
      <c r="K22608"/>
      <c r="L22608"/>
    </row>
    <row r="22609" spans="2:12" x14ac:dyDescent="0.2">
      <c r="B22609"/>
      <c r="C22609"/>
      <c r="J22609"/>
      <c r="K22609"/>
      <c r="L22609"/>
    </row>
    <row r="22610" spans="2:12" x14ac:dyDescent="0.2">
      <c r="B22610"/>
      <c r="C22610"/>
      <c r="J22610"/>
      <c r="K22610"/>
      <c r="L22610"/>
    </row>
    <row r="22611" spans="2:12" x14ac:dyDescent="0.2">
      <c r="B22611"/>
      <c r="C22611"/>
      <c r="J22611"/>
      <c r="K22611"/>
      <c r="L22611"/>
    </row>
    <row r="22612" spans="2:12" x14ac:dyDescent="0.2">
      <c r="B22612"/>
      <c r="C22612"/>
      <c r="J22612"/>
      <c r="K22612"/>
      <c r="L22612"/>
    </row>
    <row r="22613" spans="2:12" x14ac:dyDescent="0.2">
      <c r="B22613"/>
      <c r="C22613"/>
      <c r="J22613"/>
      <c r="K22613"/>
      <c r="L22613"/>
    </row>
    <row r="22614" spans="2:12" x14ac:dyDescent="0.2">
      <c r="B22614"/>
      <c r="C22614"/>
      <c r="J22614"/>
      <c r="K22614"/>
      <c r="L22614"/>
    </row>
    <row r="22615" spans="2:12" x14ac:dyDescent="0.2">
      <c r="B22615"/>
      <c r="C22615"/>
      <c r="J22615"/>
      <c r="K22615"/>
      <c r="L22615"/>
    </row>
    <row r="22616" spans="2:12" x14ac:dyDescent="0.2">
      <c r="B22616"/>
      <c r="C22616"/>
      <c r="J22616"/>
      <c r="K22616"/>
      <c r="L22616"/>
    </row>
    <row r="22617" spans="2:12" x14ac:dyDescent="0.2">
      <c r="B22617"/>
      <c r="C22617"/>
      <c r="J22617"/>
      <c r="K22617"/>
      <c r="L22617"/>
    </row>
    <row r="22618" spans="2:12" x14ac:dyDescent="0.2">
      <c r="B22618"/>
      <c r="C22618"/>
      <c r="J22618"/>
      <c r="K22618"/>
      <c r="L22618"/>
    </row>
    <row r="22619" spans="2:12" x14ac:dyDescent="0.2">
      <c r="B22619"/>
      <c r="C22619"/>
      <c r="J22619"/>
      <c r="K22619"/>
      <c r="L22619"/>
    </row>
    <row r="22620" spans="2:12" x14ac:dyDescent="0.2">
      <c r="B22620"/>
      <c r="C22620"/>
      <c r="J22620"/>
      <c r="K22620"/>
      <c r="L22620"/>
    </row>
    <row r="22621" spans="2:12" x14ac:dyDescent="0.2">
      <c r="B22621"/>
      <c r="C22621"/>
      <c r="J22621"/>
      <c r="K22621"/>
      <c r="L22621"/>
    </row>
    <row r="22622" spans="2:12" x14ac:dyDescent="0.2">
      <c r="B22622"/>
      <c r="C22622"/>
      <c r="J22622"/>
      <c r="K22622"/>
      <c r="L22622"/>
    </row>
    <row r="22623" spans="2:12" x14ac:dyDescent="0.2">
      <c r="B22623"/>
      <c r="C22623"/>
      <c r="J22623"/>
      <c r="K22623"/>
      <c r="L22623"/>
    </row>
    <row r="22624" spans="2:12" x14ac:dyDescent="0.2">
      <c r="B22624"/>
      <c r="C22624"/>
      <c r="J22624"/>
      <c r="K22624"/>
      <c r="L22624"/>
    </row>
    <row r="22625" spans="2:12" x14ac:dyDescent="0.2">
      <c r="B22625"/>
      <c r="C22625"/>
      <c r="J22625"/>
      <c r="K22625"/>
      <c r="L22625"/>
    </row>
    <row r="22626" spans="2:12" x14ac:dyDescent="0.2">
      <c r="B22626"/>
      <c r="C22626"/>
      <c r="J22626"/>
      <c r="K22626"/>
      <c r="L22626"/>
    </row>
    <row r="22627" spans="2:12" x14ac:dyDescent="0.2">
      <c r="B22627"/>
      <c r="C22627"/>
      <c r="J22627"/>
      <c r="K22627"/>
      <c r="L22627"/>
    </row>
    <row r="22628" spans="2:12" x14ac:dyDescent="0.2">
      <c r="B22628"/>
      <c r="C22628"/>
      <c r="J22628"/>
      <c r="K22628"/>
      <c r="L22628"/>
    </row>
    <row r="22629" spans="2:12" x14ac:dyDescent="0.2">
      <c r="B22629"/>
      <c r="C22629"/>
      <c r="J22629"/>
      <c r="K22629"/>
      <c r="L22629"/>
    </row>
    <row r="22630" spans="2:12" x14ac:dyDescent="0.2">
      <c r="B22630"/>
      <c r="C22630"/>
      <c r="J22630"/>
      <c r="K22630"/>
      <c r="L22630"/>
    </row>
    <row r="22631" spans="2:12" x14ac:dyDescent="0.2">
      <c r="B22631"/>
      <c r="C22631"/>
      <c r="J22631"/>
      <c r="K22631"/>
      <c r="L22631"/>
    </row>
    <row r="22632" spans="2:12" x14ac:dyDescent="0.2">
      <c r="B22632"/>
      <c r="C22632"/>
      <c r="J22632"/>
      <c r="K22632"/>
      <c r="L22632"/>
    </row>
    <row r="22633" spans="2:12" x14ac:dyDescent="0.2">
      <c r="B22633"/>
      <c r="C22633"/>
      <c r="J22633"/>
      <c r="K22633"/>
      <c r="L22633"/>
    </row>
    <row r="22634" spans="2:12" x14ac:dyDescent="0.2">
      <c r="B22634"/>
      <c r="C22634"/>
      <c r="J22634"/>
      <c r="K22634"/>
      <c r="L22634"/>
    </row>
    <row r="22635" spans="2:12" x14ac:dyDescent="0.2">
      <c r="B22635"/>
      <c r="C22635"/>
      <c r="J22635"/>
      <c r="K22635"/>
      <c r="L22635"/>
    </row>
    <row r="22636" spans="2:12" x14ac:dyDescent="0.2">
      <c r="B22636"/>
      <c r="C22636"/>
      <c r="J22636"/>
      <c r="K22636"/>
      <c r="L22636"/>
    </row>
    <row r="22637" spans="2:12" x14ac:dyDescent="0.2">
      <c r="B22637"/>
      <c r="C22637"/>
      <c r="J22637"/>
      <c r="K22637"/>
      <c r="L22637"/>
    </row>
    <row r="22638" spans="2:12" x14ac:dyDescent="0.2">
      <c r="B22638"/>
      <c r="C22638"/>
      <c r="J22638"/>
      <c r="K22638"/>
      <c r="L22638"/>
    </row>
    <row r="22639" spans="2:12" x14ac:dyDescent="0.2">
      <c r="B22639"/>
      <c r="C22639"/>
      <c r="J22639"/>
      <c r="K22639"/>
      <c r="L22639"/>
    </row>
    <row r="22640" spans="2:12" x14ac:dyDescent="0.2">
      <c r="B22640"/>
      <c r="C22640"/>
      <c r="J22640"/>
      <c r="K22640"/>
      <c r="L22640"/>
    </row>
    <row r="22641" spans="2:12" x14ac:dyDescent="0.2">
      <c r="B22641"/>
      <c r="C22641"/>
      <c r="J22641"/>
      <c r="K22641"/>
      <c r="L22641"/>
    </row>
    <row r="22642" spans="2:12" x14ac:dyDescent="0.2">
      <c r="B22642"/>
      <c r="C22642"/>
      <c r="J22642"/>
      <c r="K22642"/>
      <c r="L22642"/>
    </row>
    <row r="22643" spans="2:12" x14ac:dyDescent="0.2">
      <c r="B22643"/>
      <c r="C22643"/>
      <c r="J22643"/>
      <c r="K22643"/>
      <c r="L22643"/>
    </row>
    <row r="22644" spans="2:12" x14ac:dyDescent="0.2">
      <c r="B22644"/>
      <c r="C22644"/>
      <c r="J22644"/>
      <c r="K22644"/>
      <c r="L22644"/>
    </row>
    <row r="22645" spans="2:12" x14ac:dyDescent="0.2">
      <c r="B22645"/>
      <c r="C22645"/>
      <c r="J22645"/>
      <c r="K22645"/>
      <c r="L22645"/>
    </row>
    <row r="22646" spans="2:12" x14ac:dyDescent="0.2">
      <c r="B22646"/>
      <c r="C22646"/>
      <c r="J22646"/>
      <c r="K22646"/>
      <c r="L22646"/>
    </row>
    <row r="22647" spans="2:12" x14ac:dyDescent="0.2">
      <c r="B22647"/>
      <c r="C22647"/>
      <c r="J22647"/>
      <c r="K22647"/>
      <c r="L22647"/>
    </row>
    <row r="22648" spans="2:12" x14ac:dyDescent="0.2">
      <c r="B22648"/>
      <c r="C22648"/>
      <c r="J22648"/>
      <c r="K22648"/>
      <c r="L22648"/>
    </row>
    <row r="22649" spans="2:12" x14ac:dyDescent="0.2">
      <c r="B22649"/>
      <c r="C22649"/>
      <c r="J22649"/>
      <c r="K22649"/>
      <c r="L22649"/>
    </row>
    <row r="22650" spans="2:12" x14ac:dyDescent="0.2">
      <c r="B22650"/>
      <c r="C22650"/>
      <c r="J22650"/>
      <c r="K22650"/>
      <c r="L22650"/>
    </row>
    <row r="22651" spans="2:12" x14ac:dyDescent="0.2">
      <c r="B22651"/>
      <c r="C22651"/>
      <c r="J22651"/>
      <c r="K22651"/>
      <c r="L22651"/>
    </row>
    <row r="22652" spans="2:12" x14ac:dyDescent="0.2">
      <c r="B22652"/>
      <c r="C22652"/>
      <c r="J22652"/>
      <c r="K22652"/>
      <c r="L22652"/>
    </row>
    <row r="22653" spans="2:12" x14ac:dyDescent="0.2">
      <c r="B22653"/>
      <c r="C22653"/>
      <c r="J22653"/>
      <c r="K22653"/>
      <c r="L22653"/>
    </row>
    <row r="22654" spans="2:12" x14ac:dyDescent="0.2">
      <c r="B22654"/>
      <c r="C22654"/>
      <c r="J22654"/>
      <c r="K22654"/>
      <c r="L22654"/>
    </row>
    <row r="22655" spans="2:12" x14ac:dyDescent="0.2">
      <c r="B22655"/>
      <c r="C22655"/>
      <c r="J22655"/>
      <c r="K22655"/>
      <c r="L22655"/>
    </row>
    <row r="22656" spans="2:12" x14ac:dyDescent="0.2">
      <c r="B22656"/>
      <c r="C22656"/>
      <c r="J22656"/>
      <c r="K22656"/>
      <c r="L22656"/>
    </row>
    <row r="22657" spans="2:12" x14ac:dyDescent="0.2">
      <c r="B22657"/>
      <c r="C22657"/>
      <c r="J22657"/>
      <c r="K22657"/>
      <c r="L22657"/>
    </row>
    <row r="22658" spans="2:12" x14ac:dyDescent="0.2">
      <c r="B22658"/>
      <c r="C22658"/>
      <c r="J22658"/>
      <c r="K22658"/>
      <c r="L22658"/>
    </row>
    <row r="22659" spans="2:12" x14ac:dyDescent="0.2">
      <c r="B22659"/>
      <c r="C22659"/>
      <c r="J22659"/>
      <c r="K22659"/>
      <c r="L22659"/>
    </row>
    <row r="22660" spans="2:12" x14ac:dyDescent="0.2">
      <c r="B22660"/>
      <c r="C22660"/>
      <c r="J22660"/>
      <c r="K22660"/>
      <c r="L22660"/>
    </row>
    <row r="22661" spans="2:12" x14ac:dyDescent="0.2">
      <c r="B22661"/>
      <c r="C22661"/>
      <c r="J22661"/>
      <c r="K22661"/>
      <c r="L22661"/>
    </row>
    <row r="22662" spans="2:12" x14ac:dyDescent="0.2">
      <c r="B22662"/>
      <c r="C22662"/>
      <c r="J22662"/>
      <c r="K22662"/>
      <c r="L22662"/>
    </row>
    <row r="22663" spans="2:12" x14ac:dyDescent="0.2">
      <c r="B22663"/>
      <c r="C22663"/>
      <c r="J22663"/>
      <c r="K22663"/>
      <c r="L22663"/>
    </row>
    <row r="22664" spans="2:12" x14ac:dyDescent="0.2">
      <c r="B22664"/>
      <c r="C22664"/>
      <c r="J22664"/>
      <c r="K22664"/>
      <c r="L22664"/>
    </row>
    <row r="22665" spans="2:12" x14ac:dyDescent="0.2">
      <c r="B22665"/>
      <c r="C22665"/>
      <c r="J22665"/>
      <c r="K22665"/>
      <c r="L22665"/>
    </row>
    <row r="22666" spans="2:12" x14ac:dyDescent="0.2">
      <c r="B22666"/>
      <c r="C22666"/>
      <c r="J22666"/>
      <c r="K22666"/>
      <c r="L22666"/>
    </row>
    <row r="22667" spans="2:12" x14ac:dyDescent="0.2">
      <c r="B22667"/>
      <c r="C22667"/>
      <c r="J22667"/>
      <c r="K22667"/>
      <c r="L22667"/>
    </row>
    <row r="22668" spans="2:12" x14ac:dyDescent="0.2">
      <c r="B22668"/>
      <c r="C22668"/>
      <c r="J22668"/>
      <c r="K22668"/>
      <c r="L22668"/>
    </row>
    <row r="22669" spans="2:12" x14ac:dyDescent="0.2">
      <c r="B22669"/>
      <c r="C22669"/>
      <c r="J22669"/>
      <c r="K22669"/>
      <c r="L22669"/>
    </row>
    <row r="22670" spans="2:12" x14ac:dyDescent="0.2">
      <c r="B22670"/>
      <c r="C22670"/>
      <c r="J22670"/>
      <c r="K22670"/>
      <c r="L22670"/>
    </row>
    <row r="22671" spans="2:12" x14ac:dyDescent="0.2">
      <c r="B22671"/>
      <c r="C22671"/>
      <c r="J22671"/>
      <c r="K22671"/>
      <c r="L22671"/>
    </row>
    <row r="22672" spans="2:12" x14ac:dyDescent="0.2">
      <c r="B22672"/>
      <c r="C22672"/>
      <c r="J22672"/>
      <c r="K22672"/>
      <c r="L22672"/>
    </row>
    <row r="22673" spans="2:12" x14ac:dyDescent="0.2">
      <c r="B22673"/>
      <c r="C22673"/>
      <c r="J22673"/>
      <c r="K22673"/>
      <c r="L22673"/>
    </row>
    <row r="22674" spans="2:12" x14ac:dyDescent="0.2">
      <c r="B22674"/>
      <c r="C22674"/>
      <c r="J22674"/>
      <c r="K22674"/>
      <c r="L22674"/>
    </row>
    <row r="22675" spans="2:12" x14ac:dyDescent="0.2">
      <c r="B22675"/>
      <c r="C22675"/>
      <c r="J22675"/>
      <c r="K22675"/>
      <c r="L22675"/>
    </row>
    <row r="22676" spans="2:12" x14ac:dyDescent="0.2">
      <c r="B22676"/>
      <c r="C22676"/>
      <c r="J22676"/>
      <c r="K22676"/>
      <c r="L22676"/>
    </row>
    <row r="22677" spans="2:12" x14ac:dyDescent="0.2">
      <c r="B22677"/>
      <c r="C22677"/>
      <c r="J22677"/>
      <c r="K22677"/>
      <c r="L22677"/>
    </row>
    <row r="22678" spans="2:12" x14ac:dyDescent="0.2">
      <c r="B22678"/>
      <c r="C22678"/>
      <c r="J22678"/>
      <c r="K22678"/>
      <c r="L22678"/>
    </row>
    <row r="22679" spans="2:12" x14ac:dyDescent="0.2">
      <c r="B22679"/>
      <c r="C22679"/>
      <c r="J22679"/>
      <c r="K22679"/>
      <c r="L22679"/>
    </row>
    <row r="22680" spans="2:12" x14ac:dyDescent="0.2">
      <c r="B22680"/>
      <c r="C22680"/>
      <c r="J22680"/>
      <c r="K22680"/>
      <c r="L22680"/>
    </row>
    <row r="22681" spans="2:12" x14ac:dyDescent="0.2">
      <c r="B22681"/>
      <c r="C22681"/>
      <c r="J22681"/>
      <c r="K22681"/>
      <c r="L22681"/>
    </row>
    <row r="22682" spans="2:12" x14ac:dyDescent="0.2">
      <c r="B22682"/>
      <c r="C22682"/>
      <c r="J22682"/>
      <c r="K22682"/>
      <c r="L22682"/>
    </row>
    <row r="22683" spans="2:12" x14ac:dyDescent="0.2">
      <c r="B22683"/>
      <c r="C22683"/>
      <c r="J22683"/>
      <c r="K22683"/>
      <c r="L22683"/>
    </row>
    <row r="22684" spans="2:12" x14ac:dyDescent="0.2">
      <c r="B22684"/>
      <c r="C22684"/>
      <c r="J22684"/>
      <c r="K22684"/>
      <c r="L22684"/>
    </row>
    <row r="22685" spans="2:12" x14ac:dyDescent="0.2">
      <c r="B22685"/>
      <c r="C22685"/>
      <c r="J22685"/>
      <c r="K22685"/>
      <c r="L22685"/>
    </row>
    <row r="22686" spans="2:12" x14ac:dyDescent="0.2">
      <c r="B22686"/>
      <c r="C22686"/>
      <c r="J22686"/>
      <c r="K22686"/>
      <c r="L22686"/>
    </row>
    <row r="22687" spans="2:12" x14ac:dyDescent="0.2">
      <c r="B22687"/>
      <c r="C22687"/>
      <c r="J22687"/>
      <c r="K22687"/>
      <c r="L22687"/>
    </row>
    <row r="22688" spans="2:12" x14ac:dyDescent="0.2">
      <c r="B22688"/>
      <c r="C22688"/>
      <c r="J22688"/>
      <c r="K22688"/>
      <c r="L22688"/>
    </row>
    <row r="22689" spans="2:12" x14ac:dyDescent="0.2">
      <c r="B22689"/>
      <c r="C22689"/>
      <c r="J22689"/>
      <c r="K22689"/>
      <c r="L22689"/>
    </row>
    <row r="22690" spans="2:12" x14ac:dyDescent="0.2">
      <c r="B22690"/>
      <c r="C22690"/>
      <c r="J22690"/>
      <c r="K22690"/>
      <c r="L22690"/>
    </row>
    <row r="22691" spans="2:12" x14ac:dyDescent="0.2">
      <c r="B22691"/>
      <c r="C22691"/>
      <c r="J22691"/>
      <c r="K22691"/>
      <c r="L22691"/>
    </row>
    <row r="22692" spans="2:12" x14ac:dyDescent="0.2">
      <c r="B22692"/>
      <c r="C22692"/>
      <c r="J22692"/>
      <c r="K22692"/>
      <c r="L22692"/>
    </row>
    <row r="22693" spans="2:12" x14ac:dyDescent="0.2">
      <c r="B22693"/>
      <c r="C22693"/>
      <c r="J22693"/>
      <c r="K22693"/>
      <c r="L22693"/>
    </row>
    <row r="22694" spans="2:12" x14ac:dyDescent="0.2">
      <c r="B22694"/>
      <c r="C22694"/>
      <c r="J22694"/>
      <c r="K22694"/>
      <c r="L22694"/>
    </row>
    <row r="22695" spans="2:12" x14ac:dyDescent="0.2">
      <c r="B22695"/>
      <c r="C22695"/>
      <c r="J22695"/>
      <c r="K22695"/>
      <c r="L22695"/>
    </row>
    <row r="22696" spans="2:12" x14ac:dyDescent="0.2">
      <c r="B22696"/>
      <c r="C22696"/>
      <c r="J22696"/>
      <c r="K22696"/>
      <c r="L22696"/>
    </row>
    <row r="22697" spans="2:12" x14ac:dyDescent="0.2">
      <c r="B22697"/>
      <c r="C22697"/>
      <c r="J22697"/>
      <c r="K22697"/>
      <c r="L22697"/>
    </row>
    <row r="22698" spans="2:12" x14ac:dyDescent="0.2">
      <c r="B22698"/>
      <c r="C22698"/>
      <c r="J22698"/>
      <c r="K22698"/>
      <c r="L22698"/>
    </row>
    <row r="22699" spans="2:12" x14ac:dyDescent="0.2">
      <c r="B22699"/>
      <c r="C22699"/>
      <c r="J22699"/>
      <c r="K22699"/>
      <c r="L22699"/>
    </row>
    <row r="22700" spans="2:12" x14ac:dyDescent="0.2">
      <c r="B22700"/>
      <c r="C22700"/>
      <c r="J22700"/>
      <c r="K22700"/>
      <c r="L22700"/>
    </row>
    <row r="22701" spans="2:12" x14ac:dyDescent="0.2">
      <c r="B22701"/>
      <c r="C22701"/>
      <c r="J22701"/>
      <c r="K22701"/>
      <c r="L22701"/>
    </row>
    <row r="22702" spans="2:12" x14ac:dyDescent="0.2">
      <c r="B22702"/>
      <c r="C22702"/>
      <c r="J22702"/>
      <c r="K22702"/>
      <c r="L22702"/>
    </row>
    <row r="22703" spans="2:12" x14ac:dyDescent="0.2">
      <c r="B22703"/>
      <c r="C22703"/>
      <c r="J22703"/>
      <c r="K22703"/>
      <c r="L22703"/>
    </row>
    <row r="22704" spans="2:12" x14ac:dyDescent="0.2">
      <c r="B22704"/>
      <c r="C22704"/>
      <c r="J22704"/>
      <c r="K22704"/>
      <c r="L22704"/>
    </row>
    <row r="22705" spans="2:12" x14ac:dyDescent="0.2">
      <c r="B22705"/>
      <c r="C22705"/>
      <c r="J22705"/>
      <c r="K22705"/>
      <c r="L22705"/>
    </row>
    <row r="22706" spans="2:12" x14ac:dyDescent="0.2">
      <c r="B22706"/>
      <c r="C22706"/>
      <c r="J22706"/>
      <c r="K22706"/>
      <c r="L22706"/>
    </row>
    <row r="22707" spans="2:12" x14ac:dyDescent="0.2">
      <c r="B22707"/>
      <c r="C22707"/>
      <c r="J22707"/>
      <c r="K22707"/>
      <c r="L22707"/>
    </row>
    <row r="22708" spans="2:12" x14ac:dyDescent="0.2">
      <c r="B22708"/>
      <c r="C22708"/>
      <c r="J22708"/>
      <c r="K22708"/>
      <c r="L22708"/>
    </row>
    <row r="22709" spans="2:12" x14ac:dyDescent="0.2">
      <c r="B22709"/>
      <c r="C22709"/>
      <c r="J22709"/>
      <c r="K22709"/>
      <c r="L22709"/>
    </row>
    <row r="22710" spans="2:12" x14ac:dyDescent="0.2">
      <c r="B22710"/>
      <c r="C22710"/>
      <c r="J22710"/>
      <c r="K22710"/>
      <c r="L22710"/>
    </row>
    <row r="22711" spans="2:12" x14ac:dyDescent="0.2">
      <c r="B22711"/>
      <c r="C22711"/>
      <c r="J22711"/>
      <c r="K22711"/>
      <c r="L22711"/>
    </row>
    <row r="22712" spans="2:12" x14ac:dyDescent="0.2">
      <c r="B22712"/>
      <c r="C22712"/>
      <c r="J22712"/>
      <c r="K22712"/>
      <c r="L22712"/>
    </row>
    <row r="22713" spans="2:12" x14ac:dyDescent="0.2">
      <c r="B22713"/>
      <c r="C22713"/>
      <c r="J22713"/>
      <c r="K22713"/>
      <c r="L22713"/>
    </row>
    <row r="22714" spans="2:12" x14ac:dyDescent="0.2">
      <c r="B22714"/>
      <c r="C22714"/>
      <c r="J22714"/>
      <c r="K22714"/>
      <c r="L22714"/>
    </row>
    <row r="22715" spans="2:12" x14ac:dyDescent="0.2">
      <c r="B22715"/>
      <c r="C22715"/>
      <c r="J22715"/>
      <c r="K22715"/>
      <c r="L22715"/>
    </row>
    <row r="22716" spans="2:12" x14ac:dyDescent="0.2">
      <c r="B22716"/>
      <c r="C22716"/>
      <c r="J22716"/>
      <c r="K22716"/>
      <c r="L22716"/>
    </row>
    <row r="22717" spans="2:12" x14ac:dyDescent="0.2">
      <c r="B22717"/>
      <c r="C22717"/>
      <c r="J22717"/>
      <c r="K22717"/>
      <c r="L22717"/>
    </row>
    <row r="22718" spans="2:12" x14ac:dyDescent="0.2">
      <c r="B22718"/>
      <c r="C22718"/>
      <c r="J22718"/>
      <c r="K22718"/>
      <c r="L22718"/>
    </row>
    <row r="22719" spans="2:12" x14ac:dyDescent="0.2">
      <c r="B22719"/>
      <c r="C22719"/>
      <c r="J22719"/>
      <c r="K22719"/>
      <c r="L22719"/>
    </row>
    <row r="22720" spans="2:12" x14ac:dyDescent="0.2">
      <c r="B22720"/>
      <c r="C22720"/>
      <c r="J22720"/>
      <c r="K22720"/>
      <c r="L22720"/>
    </row>
    <row r="22721" spans="2:12" x14ac:dyDescent="0.2">
      <c r="B22721"/>
      <c r="C22721"/>
      <c r="J22721"/>
      <c r="K22721"/>
      <c r="L22721"/>
    </row>
    <row r="22722" spans="2:12" x14ac:dyDescent="0.2">
      <c r="B22722"/>
      <c r="C22722"/>
      <c r="J22722"/>
      <c r="K22722"/>
      <c r="L22722"/>
    </row>
    <row r="22723" spans="2:12" x14ac:dyDescent="0.2">
      <c r="B22723"/>
      <c r="C22723"/>
      <c r="J22723"/>
      <c r="K22723"/>
      <c r="L22723"/>
    </row>
    <row r="22724" spans="2:12" x14ac:dyDescent="0.2">
      <c r="B22724"/>
      <c r="C22724"/>
      <c r="J22724"/>
      <c r="K22724"/>
      <c r="L22724"/>
    </row>
    <row r="22725" spans="2:12" x14ac:dyDescent="0.2">
      <c r="B22725"/>
      <c r="C22725"/>
      <c r="J22725"/>
      <c r="K22725"/>
      <c r="L22725"/>
    </row>
    <row r="22726" spans="2:12" x14ac:dyDescent="0.2">
      <c r="B22726"/>
      <c r="C22726"/>
      <c r="J22726"/>
      <c r="K22726"/>
      <c r="L22726"/>
    </row>
    <row r="22727" spans="2:12" x14ac:dyDescent="0.2">
      <c r="B22727"/>
      <c r="C22727"/>
      <c r="J22727"/>
      <c r="K22727"/>
      <c r="L22727"/>
    </row>
    <row r="22728" spans="2:12" x14ac:dyDescent="0.2">
      <c r="B22728"/>
      <c r="C22728"/>
      <c r="J22728"/>
      <c r="K22728"/>
      <c r="L22728"/>
    </row>
    <row r="22729" spans="2:12" x14ac:dyDescent="0.2">
      <c r="B22729"/>
      <c r="C22729"/>
      <c r="J22729"/>
      <c r="K22729"/>
      <c r="L22729"/>
    </row>
    <row r="22730" spans="2:12" x14ac:dyDescent="0.2">
      <c r="B22730"/>
      <c r="C22730"/>
      <c r="J22730"/>
      <c r="K22730"/>
      <c r="L22730"/>
    </row>
    <row r="22731" spans="2:12" x14ac:dyDescent="0.2">
      <c r="B22731"/>
      <c r="C22731"/>
      <c r="J22731"/>
      <c r="K22731"/>
      <c r="L22731"/>
    </row>
    <row r="22732" spans="2:12" x14ac:dyDescent="0.2">
      <c r="B22732"/>
      <c r="C22732"/>
      <c r="J22732"/>
      <c r="K22732"/>
      <c r="L22732"/>
    </row>
    <row r="22733" spans="2:12" x14ac:dyDescent="0.2">
      <c r="B22733"/>
      <c r="C22733"/>
      <c r="J22733"/>
      <c r="K22733"/>
      <c r="L22733"/>
    </row>
    <row r="22734" spans="2:12" x14ac:dyDescent="0.2">
      <c r="B22734"/>
      <c r="C22734"/>
      <c r="J22734"/>
      <c r="K22734"/>
      <c r="L22734"/>
    </row>
    <row r="22735" spans="2:12" x14ac:dyDescent="0.2">
      <c r="B22735"/>
      <c r="C22735"/>
      <c r="J22735"/>
      <c r="K22735"/>
      <c r="L22735"/>
    </row>
    <row r="22736" spans="2:12" x14ac:dyDescent="0.2">
      <c r="B22736"/>
      <c r="C22736"/>
      <c r="J22736"/>
      <c r="K22736"/>
      <c r="L22736"/>
    </row>
    <row r="22737" spans="2:12" x14ac:dyDescent="0.2">
      <c r="B22737"/>
      <c r="C22737"/>
      <c r="J22737"/>
      <c r="K22737"/>
      <c r="L22737"/>
    </row>
    <row r="22738" spans="2:12" x14ac:dyDescent="0.2">
      <c r="B22738"/>
      <c r="C22738"/>
      <c r="J22738"/>
      <c r="K22738"/>
      <c r="L22738"/>
    </row>
    <row r="22739" spans="2:12" x14ac:dyDescent="0.2">
      <c r="B22739"/>
      <c r="C22739"/>
      <c r="J22739"/>
      <c r="K22739"/>
      <c r="L22739"/>
    </row>
    <row r="22740" spans="2:12" x14ac:dyDescent="0.2">
      <c r="B22740"/>
      <c r="C22740"/>
      <c r="J22740"/>
      <c r="K22740"/>
      <c r="L22740"/>
    </row>
    <row r="22741" spans="2:12" x14ac:dyDescent="0.2">
      <c r="B22741"/>
      <c r="C22741"/>
      <c r="J22741"/>
      <c r="K22741"/>
      <c r="L22741"/>
    </row>
    <row r="22742" spans="2:12" x14ac:dyDescent="0.2">
      <c r="B22742"/>
      <c r="C22742"/>
      <c r="J22742"/>
      <c r="K22742"/>
      <c r="L22742"/>
    </row>
    <row r="22743" spans="2:12" x14ac:dyDescent="0.2">
      <c r="B22743"/>
      <c r="C22743"/>
      <c r="J22743"/>
      <c r="K22743"/>
      <c r="L22743"/>
    </row>
    <row r="22744" spans="2:12" x14ac:dyDescent="0.2">
      <c r="B22744"/>
      <c r="C22744"/>
      <c r="J22744"/>
      <c r="K22744"/>
      <c r="L22744"/>
    </row>
    <row r="22745" spans="2:12" x14ac:dyDescent="0.2">
      <c r="B22745"/>
      <c r="C22745"/>
      <c r="J22745"/>
      <c r="K22745"/>
      <c r="L22745"/>
    </row>
    <row r="22746" spans="2:12" x14ac:dyDescent="0.2">
      <c r="B22746"/>
      <c r="C22746"/>
      <c r="J22746"/>
      <c r="K22746"/>
      <c r="L22746"/>
    </row>
    <row r="22747" spans="2:12" x14ac:dyDescent="0.2">
      <c r="B22747"/>
      <c r="C22747"/>
      <c r="J22747"/>
      <c r="K22747"/>
      <c r="L22747"/>
    </row>
    <row r="22748" spans="2:12" x14ac:dyDescent="0.2">
      <c r="B22748"/>
      <c r="C22748"/>
      <c r="J22748"/>
      <c r="K22748"/>
      <c r="L22748"/>
    </row>
    <row r="22749" spans="2:12" x14ac:dyDescent="0.2">
      <c r="B22749"/>
      <c r="C22749"/>
      <c r="J22749"/>
      <c r="K22749"/>
      <c r="L22749"/>
    </row>
    <row r="22750" spans="2:12" x14ac:dyDescent="0.2">
      <c r="B22750"/>
      <c r="C22750"/>
      <c r="J22750"/>
      <c r="K22750"/>
      <c r="L22750"/>
    </row>
    <row r="22751" spans="2:12" x14ac:dyDescent="0.2">
      <c r="B22751"/>
      <c r="C22751"/>
      <c r="J22751"/>
      <c r="K22751"/>
      <c r="L22751"/>
    </row>
    <row r="22752" spans="2:12" x14ac:dyDescent="0.2">
      <c r="B22752"/>
      <c r="C22752"/>
      <c r="J22752"/>
      <c r="K22752"/>
      <c r="L22752"/>
    </row>
    <row r="22753" spans="2:12" x14ac:dyDescent="0.2">
      <c r="B22753"/>
      <c r="C22753"/>
      <c r="J22753"/>
      <c r="K22753"/>
      <c r="L22753"/>
    </row>
    <row r="22754" spans="2:12" x14ac:dyDescent="0.2">
      <c r="B22754"/>
      <c r="C22754"/>
      <c r="J22754"/>
      <c r="K22754"/>
      <c r="L22754"/>
    </row>
    <row r="22755" spans="2:12" x14ac:dyDescent="0.2">
      <c r="B22755"/>
      <c r="C22755"/>
      <c r="J22755"/>
      <c r="K22755"/>
      <c r="L22755"/>
    </row>
    <row r="22756" spans="2:12" x14ac:dyDescent="0.2">
      <c r="B22756"/>
      <c r="C22756"/>
      <c r="J22756"/>
      <c r="K22756"/>
      <c r="L22756"/>
    </row>
    <row r="22757" spans="2:12" x14ac:dyDescent="0.2">
      <c r="B22757"/>
      <c r="C22757"/>
      <c r="J22757"/>
      <c r="K22757"/>
      <c r="L22757"/>
    </row>
    <row r="22758" spans="2:12" x14ac:dyDescent="0.2">
      <c r="B22758"/>
      <c r="C22758"/>
      <c r="J22758"/>
      <c r="K22758"/>
      <c r="L22758"/>
    </row>
    <row r="22759" spans="2:12" x14ac:dyDescent="0.2">
      <c r="B22759"/>
      <c r="C22759"/>
      <c r="J22759"/>
      <c r="K22759"/>
      <c r="L22759"/>
    </row>
    <row r="22760" spans="2:12" x14ac:dyDescent="0.2">
      <c r="B22760"/>
      <c r="C22760"/>
      <c r="J22760"/>
      <c r="K22760"/>
      <c r="L22760"/>
    </row>
    <row r="22761" spans="2:12" x14ac:dyDescent="0.2">
      <c r="B22761"/>
      <c r="C22761"/>
      <c r="J22761"/>
      <c r="K22761"/>
      <c r="L22761"/>
    </row>
    <row r="22762" spans="2:12" x14ac:dyDescent="0.2">
      <c r="B22762"/>
      <c r="C22762"/>
      <c r="J22762"/>
      <c r="K22762"/>
      <c r="L22762"/>
    </row>
    <row r="22763" spans="2:12" x14ac:dyDescent="0.2">
      <c r="B22763"/>
      <c r="C22763"/>
      <c r="J22763"/>
      <c r="K22763"/>
      <c r="L22763"/>
    </row>
    <row r="22764" spans="2:12" x14ac:dyDescent="0.2">
      <c r="B22764"/>
      <c r="C22764"/>
      <c r="J22764"/>
      <c r="K22764"/>
      <c r="L22764"/>
    </row>
    <row r="22765" spans="2:12" x14ac:dyDescent="0.2">
      <c r="B22765"/>
      <c r="C22765"/>
      <c r="J22765"/>
      <c r="K22765"/>
      <c r="L22765"/>
    </row>
    <row r="22766" spans="2:12" x14ac:dyDescent="0.2">
      <c r="B22766"/>
      <c r="C22766"/>
      <c r="J22766"/>
      <c r="K22766"/>
      <c r="L22766"/>
    </row>
    <row r="22767" spans="2:12" x14ac:dyDescent="0.2">
      <c r="B22767"/>
      <c r="C22767"/>
      <c r="J22767"/>
      <c r="K22767"/>
      <c r="L22767"/>
    </row>
    <row r="22768" spans="2:12" x14ac:dyDescent="0.2">
      <c r="B22768"/>
      <c r="C22768"/>
      <c r="J22768"/>
      <c r="K22768"/>
      <c r="L22768"/>
    </row>
    <row r="22769" spans="2:12" x14ac:dyDescent="0.2">
      <c r="B22769"/>
      <c r="C22769"/>
      <c r="J22769"/>
      <c r="K22769"/>
      <c r="L22769"/>
    </row>
    <row r="22770" spans="2:12" x14ac:dyDescent="0.2">
      <c r="B22770"/>
      <c r="C22770"/>
      <c r="J22770"/>
      <c r="K22770"/>
      <c r="L22770"/>
    </row>
    <row r="22771" spans="2:12" x14ac:dyDescent="0.2">
      <c r="B22771"/>
      <c r="C22771"/>
      <c r="J22771"/>
      <c r="K22771"/>
      <c r="L22771"/>
    </row>
    <row r="22772" spans="2:12" x14ac:dyDescent="0.2">
      <c r="B22772"/>
      <c r="C22772"/>
      <c r="J22772"/>
      <c r="K22772"/>
      <c r="L22772"/>
    </row>
    <row r="22773" spans="2:12" x14ac:dyDescent="0.2">
      <c r="B22773"/>
      <c r="C22773"/>
      <c r="J22773"/>
      <c r="K22773"/>
      <c r="L22773"/>
    </row>
    <row r="22774" spans="2:12" x14ac:dyDescent="0.2">
      <c r="B22774"/>
      <c r="C22774"/>
      <c r="J22774"/>
      <c r="K22774"/>
      <c r="L22774"/>
    </row>
    <row r="22775" spans="2:12" x14ac:dyDescent="0.2">
      <c r="B22775"/>
      <c r="C22775"/>
      <c r="J22775"/>
      <c r="K22775"/>
      <c r="L22775"/>
    </row>
    <row r="22776" spans="2:12" x14ac:dyDescent="0.2">
      <c r="B22776"/>
      <c r="C22776"/>
      <c r="J22776"/>
      <c r="K22776"/>
      <c r="L22776"/>
    </row>
    <row r="22777" spans="2:12" x14ac:dyDescent="0.2">
      <c r="B22777"/>
      <c r="C22777"/>
      <c r="J22777"/>
      <c r="K22777"/>
      <c r="L22777"/>
    </row>
    <row r="22778" spans="2:12" x14ac:dyDescent="0.2">
      <c r="B22778"/>
      <c r="C22778"/>
      <c r="J22778"/>
      <c r="K22778"/>
      <c r="L22778"/>
    </row>
    <row r="22779" spans="2:12" x14ac:dyDescent="0.2">
      <c r="B22779"/>
      <c r="C22779"/>
      <c r="J22779"/>
      <c r="K22779"/>
      <c r="L22779"/>
    </row>
    <row r="22780" spans="2:12" x14ac:dyDescent="0.2">
      <c r="B22780"/>
      <c r="C22780"/>
      <c r="J22780"/>
      <c r="K22780"/>
      <c r="L22780"/>
    </row>
    <row r="22781" spans="2:12" x14ac:dyDescent="0.2">
      <c r="B22781"/>
      <c r="C22781"/>
      <c r="J22781"/>
      <c r="K22781"/>
      <c r="L22781"/>
    </row>
    <row r="22782" spans="2:12" x14ac:dyDescent="0.2">
      <c r="B22782"/>
      <c r="C22782"/>
      <c r="J22782"/>
      <c r="K22782"/>
      <c r="L22782"/>
    </row>
    <row r="22783" spans="2:12" x14ac:dyDescent="0.2">
      <c r="B22783"/>
      <c r="C22783"/>
      <c r="J22783"/>
      <c r="K22783"/>
      <c r="L22783"/>
    </row>
    <row r="22784" spans="2:12" x14ac:dyDescent="0.2">
      <c r="B22784"/>
      <c r="C22784"/>
      <c r="J22784"/>
      <c r="K22784"/>
      <c r="L22784"/>
    </row>
    <row r="22785" spans="2:12" x14ac:dyDescent="0.2">
      <c r="B22785"/>
      <c r="C22785"/>
      <c r="J22785"/>
      <c r="K22785"/>
      <c r="L22785"/>
    </row>
    <row r="22786" spans="2:12" x14ac:dyDescent="0.2">
      <c r="B22786"/>
      <c r="C22786"/>
      <c r="J22786"/>
      <c r="K22786"/>
      <c r="L22786"/>
    </row>
    <row r="22787" spans="2:12" x14ac:dyDescent="0.2">
      <c r="B22787"/>
      <c r="C22787"/>
      <c r="J22787"/>
      <c r="K22787"/>
      <c r="L22787"/>
    </row>
    <row r="22788" spans="2:12" x14ac:dyDescent="0.2">
      <c r="B22788"/>
      <c r="C22788"/>
      <c r="J22788"/>
      <c r="K22788"/>
      <c r="L22788"/>
    </row>
    <row r="22789" spans="2:12" x14ac:dyDescent="0.2">
      <c r="B22789"/>
      <c r="C22789"/>
      <c r="J22789"/>
      <c r="K22789"/>
      <c r="L22789"/>
    </row>
    <row r="22790" spans="2:12" x14ac:dyDescent="0.2">
      <c r="B22790"/>
      <c r="C22790"/>
      <c r="J22790"/>
      <c r="K22790"/>
      <c r="L22790"/>
    </row>
    <row r="22791" spans="2:12" x14ac:dyDescent="0.2">
      <c r="B22791"/>
      <c r="C22791"/>
      <c r="J22791"/>
      <c r="K22791"/>
      <c r="L22791"/>
    </row>
    <row r="22792" spans="2:12" x14ac:dyDescent="0.2">
      <c r="B22792"/>
      <c r="C22792"/>
      <c r="J22792"/>
      <c r="K22792"/>
      <c r="L22792"/>
    </row>
    <row r="22793" spans="2:12" x14ac:dyDescent="0.2">
      <c r="B22793"/>
      <c r="C22793"/>
      <c r="J22793"/>
      <c r="K22793"/>
      <c r="L22793"/>
    </row>
    <row r="22794" spans="2:12" x14ac:dyDescent="0.2">
      <c r="B22794"/>
      <c r="C22794"/>
      <c r="J22794"/>
      <c r="K22794"/>
      <c r="L22794"/>
    </row>
    <row r="22795" spans="2:12" x14ac:dyDescent="0.2">
      <c r="B22795"/>
      <c r="C22795"/>
      <c r="J22795"/>
      <c r="K22795"/>
      <c r="L22795"/>
    </row>
    <row r="22796" spans="2:12" x14ac:dyDescent="0.2">
      <c r="B22796"/>
      <c r="C22796"/>
      <c r="J22796"/>
      <c r="K22796"/>
      <c r="L22796"/>
    </row>
    <row r="22797" spans="2:12" x14ac:dyDescent="0.2">
      <c r="B22797"/>
      <c r="C22797"/>
      <c r="J22797"/>
      <c r="K22797"/>
      <c r="L22797"/>
    </row>
    <row r="22798" spans="2:12" x14ac:dyDescent="0.2">
      <c r="B22798"/>
      <c r="C22798"/>
      <c r="J22798"/>
      <c r="K22798"/>
      <c r="L22798"/>
    </row>
    <row r="22799" spans="2:12" x14ac:dyDescent="0.2">
      <c r="B22799"/>
      <c r="C22799"/>
      <c r="J22799"/>
      <c r="K22799"/>
      <c r="L22799"/>
    </row>
    <row r="22800" spans="2:12" x14ac:dyDescent="0.2">
      <c r="B22800"/>
      <c r="C22800"/>
      <c r="J22800"/>
      <c r="K22800"/>
      <c r="L22800"/>
    </row>
    <row r="22801" spans="2:12" x14ac:dyDescent="0.2">
      <c r="B22801"/>
      <c r="C22801"/>
      <c r="J22801"/>
      <c r="K22801"/>
      <c r="L22801"/>
    </row>
    <row r="22802" spans="2:12" x14ac:dyDescent="0.2">
      <c r="B22802"/>
      <c r="C22802"/>
      <c r="J22802"/>
      <c r="K22802"/>
      <c r="L22802"/>
    </row>
    <row r="22803" spans="2:12" x14ac:dyDescent="0.2">
      <c r="B22803"/>
      <c r="C22803"/>
      <c r="J22803"/>
      <c r="K22803"/>
      <c r="L22803"/>
    </row>
    <row r="22804" spans="2:12" x14ac:dyDescent="0.2">
      <c r="B22804"/>
      <c r="C22804"/>
      <c r="J22804"/>
      <c r="K22804"/>
      <c r="L22804"/>
    </row>
    <row r="22805" spans="2:12" x14ac:dyDescent="0.2">
      <c r="B22805"/>
      <c r="C22805"/>
      <c r="J22805"/>
      <c r="K22805"/>
      <c r="L22805"/>
    </row>
    <row r="22806" spans="2:12" x14ac:dyDescent="0.2">
      <c r="B22806"/>
      <c r="C22806"/>
      <c r="J22806"/>
      <c r="K22806"/>
      <c r="L22806"/>
    </row>
    <row r="22807" spans="2:12" x14ac:dyDescent="0.2">
      <c r="B22807"/>
      <c r="C22807"/>
      <c r="J22807"/>
      <c r="K22807"/>
      <c r="L22807"/>
    </row>
    <row r="22808" spans="2:12" x14ac:dyDescent="0.2">
      <c r="B22808"/>
      <c r="C22808"/>
      <c r="J22808"/>
      <c r="K22808"/>
      <c r="L22808"/>
    </row>
    <row r="22809" spans="2:12" x14ac:dyDescent="0.2">
      <c r="B22809"/>
      <c r="C22809"/>
      <c r="J22809"/>
      <c r="K22809"/>
      <c r="L22809"/>
    </row>
    <row r="22810" spans="2:12" x14ac:dyDescent="0.2">
      <c r="B22810"/>
      <c r="C22810"/>
      <c r="J22810"/>
      <c r="K22810"/>
      <c r="L22810"/>
    </row>
    <row r="22811" spans="2:12" x14ac:dyDescent="0.2">
      <c r="B22811"/>
      <c r="C22811"/>
      <c r="J22811"/>
      <c r="K22811"/>
      <c r="L22811"/>
    </row>
    <row r="22812" spans="2:12" x14ac:dyDescent="0.2">
      <c r="B22812"/>
      <c r="C22812"/>
      <c r="J22812"/>
      <c r="K22812"/>
      <c r="L22812"/>
    </row>
    <row r="22813" spans="2:12" x14ac:dyDescent="0.2">
      <c r="B22813"/>
      <c r="C22813"/>
      <c r="J22813"/>
      <c r="K22813"/>
      <c r="L22813"/>
    </row>
    <row r="22814" spans="2:12" x14ac:dyDescent="0.2">
      <c r="B22814"/>
      <c r="C22814"/>
      <c r="J22814"/>
      <c r="K22814"/>
      <c r="L22814"/>
    </row>
    <row r="22815" spans="2:12" x14ac:dyDescent="0.2">
      <c r="B22815"/>
      <c r="C22815"/>
      <c r="J22815"/>
      <c r="K22815"/>
      <c r="L22815"/>
    </row>
    <row r="22816" spans="2:12" x14ac:dyDescent="0.2">
      <c r="B22816"/>
      <c r="C22816"/>
      <c r="J22816"/>
      <c r="K22816"/>
      <c r="L22816"/>
    </row>
    <row r="22817" spans="2:12" x14ac:dyDescent="0.2">
      <c r="B22817"/>
      <c r="C22817"/>
      <c r="J22817"/>
      <c r="K22817"/>
      <c r="L22817"/>
    </row>
    <row r="22818" spans="2:12" x14ac:dyDescent="0.2">
      <c r="B22818"/>
      <c r="C22818"/>
      <c r="J22818"/>
      <c r="K22818"/>
      <c r="L22818"/>
    </row>
    <row r="22819" spans="2:12" x14ac:dyDescent="0.2">
      <c r="B22819"/>
      <c r="C22819"/>
      <c r="J22819"/>
      <c r="K22819"/>
      <c r="L22819"/>
    </row>
    <row r="22820" spans="2:12" x14ac:dyDescent="0.2">
      <c r="B22820"/>
      <c r="C22820"/>
      <c r="J22820"/>
      <c r="K22820"/>
      <c r="L22820"/>
    </row>
    <row r="22821" spans="2:12" x14ac:dyDescent="0.2">
      <c r="B22821"/>
      <c r="C22821"/>
      <c r="J22821"/>
      <c r="K22821"/>
      <c r="L22821"/>
    </row>
    <row r="22822" spans="2:12" x14ac:dyDescent="0.2">
      <c r="B22822"/>
      <c r="C22822"/>
      <c r="J22822"/>
      <c r="K22822"/>
      <c r="L22822"/>
    </row>
    <row r="22823" spans="2:12" x14ac:dyDescent="0.2">
      <c r="B22823"/>
      <c r="C22823"/>
      <c r="J22823"/>
      <c r="K22823"/>
      <c r="L22823"/>
    </row>
    <row r="22824" spans="2:12" x14ac:dyDescent="0.2">
      <c r="B22824"/>
      <c r="C22824"/>
      <c r="J22824"/>
      <c r="K22824"/>
      <c r="L22824"/>
    </row>
    <row r="22825" spans="2:12" x14ac:dyDescent="0.2">
      <c r="B22825"/>
      <c r="C22825"/>
      <c r="J22825"/>
      <c r="K22825"/>
      <c r="L22825"/>
    </row>
    <row r="22826" spans="2:12" x14ac:dyDescent="0.2">
      <c r="B22826"/>
      <c r="C22826"/>
      <c r="J22826"/>
      <c r="K22826"/>
      <c r="L22826"/>
    </row>
    <row r="22827" spans="2:12" x14ac:dyDescent="0.2">
      <c r="B22827"/>
      <c r="C22827"/>
      <c r="J22827"/>
      <c r="K22827"/>
      <c r="L22827"/>
    </row>
    <row r="22828" spans="2:12" x14ac:dyDescent="0.2">
      <c r="B22828"/>
      <c r="C22828"/>
      <c r="J22828"/>
      <c r="K22828"/>
      <c r="L22828"/>
    </row>
    <row r="22829" spans="2:12" x14ac:dyDescent="0.2">
      <c r="B22829"/>
      <c r="C22829"/>
      <c r="J22829"/>
      <c r="K22829"/>
      <c r="L22829"/>
    </row>
    <row r="22830" spans="2:12" x14ac:dyDescent="0.2">
      <c r="B22830"/>
      <c r="C22830"/>
      <c r="J22830"/>
      <c r="K22830"/>
      <c r="L22830"/>
    </row>
    <row r="22831" spans="2:12" x14ac:dyDescent="0.2">
      <c r="B22831"/>
      <c r="C22831"/>
      <c r="J22831"/>
      <c r="K22831"/>
      <c r="L22831"/>
    </row>
    <row r="22832" spans="2:12" x14ac:dyDescent="0.2">
      <c r="B22832"/>
      <c r="C22832"/>
      <c r="J22832"/>
      <c r="K22832"/>
      <c r="L22832"/>
    </row>
    <row r="22833" spans="2:12" x14ac:dyDescent="0.2">
      <c r="B22833"/>
      <c r="C22833"/>
      <c r="J22833"/>
      <c r="K22833"/>
      <c r="L22833"/>
    </row>
    <row r="22834" spans="2:12" x14ac:dyDescent="0.2">
      <c r="B22834"/>
      <c r="C22834"/>
      <c r="J22834"/>
      <c r="K22834"/>
      <c r="L22834"/>
    </row>
    <row r="22835" spans="2:12" x14ac:dyDescent="0.2">
      <c r="B22835"/>
      <c r="C22835"/>
      <c r="J22835"/>
      <c r="K22835"/>
      <c r="L22835"/>
    </row>
    <row r="22836" spans="2:12" x14ac:dyDescent="0.2">
      <c r="B22836"/>
      <c r="C22836"/>
      <c r="J22836"/>
      <c r="K22836"/>
      <c r="L22836"/>
    </row>
    <row r="22837" spans="2:12" x14ac:dyDescent="0.2">
      <c r="B22837"/>
      <c r="C22837"/>
      <c r="J22837"/>
      <c r="K22837"/>
      <c r="L22837"/>
    </row>
    <row r="22838" spans="2:12" x14ac:dyDescent="0.2">
      <c r="B22838"/>
      <c r="C22838"/>
      <c r="J22838"/>
      <c r="K22838"/>
      <c r="L22838"/>
    </row>
    <row r="22839" spans="2:12" x14ac:dyDescent="0.2">
      <c r="B22839"/>
      <c r="C22839"/>
      <c r="J22839"/>
      <c r="K22839"/>
      <c r="L22839"/>
    </row>
    <row r="22840" spans="2:12" x14ac:dyDescent="0.2">
      <c r="B22840"/>
      <c r="C22840"/>
      <c r="J22840"/>
      <c r="K22840"/>
      <c r="L22840"/>
    </row>
    <row r="22841" spans="2:12" x14ac:dyDescent="0.2">
      <c r="B22841"/>
      <c r="C22841"/>
      <c r="J22841"/>
      <c r="K22841"/>
      <c r="L22841"/>
    </row>
    <row r="22842" spans="2:12" x14ac:dyDescent="0.2">
      <c r="B22842"/>
      <c r="C22842"/>
      <c r="J22842"/>
      <c r="K22842"/>
      <c r="L22842"/>
    </row>
    <row r="22843" spans="2:12" x14ac:dyDescent="0.2">
      <c r="B22843"/>
      <c r="C22843"/>
      <c r="J22843"/>
      <c r="K22843"/>
      <c r="L22843"/>
    </row>
    <row r="22844" spans="2:12" x14ac:dyDescent="0.2">
      <c r="B22844"/>
      <c r="C22844"/>
      <c r="J22844"/>
      <c r="K22844"/>
      <c r="L22844"/>
    </row>
    <row r="22845" spans="2:12" x14ac:dyDescent="0.2">
      <c r="B22845"/>
      <c r="C22845"/>
      <c r="J22845"/>
      <c r="K22845"/>
      <c r="L22845"/>
    </row>
    <row r="22846" spans="2:12" x14ac:dyDescent="0.2">
      <c r="B22846"/>
      <c r="C22846"/>
      <c r="J22846"/>
      <c r="K22846"/>
      <c r="L22846"/>
    </row>
    <row r="22847" spans="2:12" x14ac:dyDescent="0.2">
      <c r="B22847"/>
      <c r="C22847"/>
      <c r="J22847"/>
      <c r="K22847"/>
      <c r="L22847"/>
    </row>
    <row r="22848" spans="2:12" x14ac:dyDescent="0.2">
      <c r="B22848"/>
      <c r="C22848"/>
      <c r="J22848"/>
      <c r="K22848"/>
      <c r="L22848"/>
    </row>
    <row r="22849" spans="2:12" x14ac:dyDescent="0.2">
      <c r="B22849"/>
      <c r="C22849"/>
      <c r="J22849"/>
      <c r="K22849"/>
      <c r="L22849"/>
    </row>
    <row r="22850" spans="2:12" x14ac:dyDescent="0.2">
      <c r="B22850"/>
      <c r="C22850"/>
      <c r="J22850"/>
      <c r="K22850"/>
      <c r="L22850"/>
    </row>
    <row r="22851" spans="2:12" x14ac:dyDescent="0.2">
      <c r="B22851"/>
      <c r="C22851"/>
      <c r="J22851"/>
      <c r="K22851"/>
      <c r="L22851"/>
    </row>
    <row r="22852" spans="2:12" x14ac:dyDescent="0.2">
      <c r="B22852"/>
      <c r="C22852"/>
      <c r="J22852"/>
      <c r="K22852"/>
      <c r="L22852"/>
    </row>
    <row r="22853" spans="2:12" x14ac:dyDescent="0.2">
      <c r="B22853"/>
      <c r="C22853"/>
      <c r="J22853"/>
      <c r="K22853"/>
      <c r="L22853"/>
    </row>
    <row r="22854" spans="2:12" x14ac:dyDescent="0.2">
      <c r="B22854"/>
      <c r="C22854"/>
      <c r="J22854"/>
      <c r="K22854"/>
      <c r="L22854"/>
    </row>
    <row r="22855" spans="2:12" x14ac:dyDescent="0.2">
      <c r="B22855"/>
      <c r="C22855"/>
      <c r="J22855"/>
      <c r="K22855"/>
      <c r="L22855"/>
    </row>
    <row r="22856" spans="2:12" x14ac:dyDescent="0.2">
      <c r="B22856"/>
      <c r="C22856"/>
      <c r="J22856"/>
      <c r="K22856"/>
      <c r="L22856"/>
    </row>
    <row r="22857" spans="2:12" x14ac:dyDescent="0.2">
      <c r="B22857"/>
      <c r="C22857"/>
      <c r="J22857"/>
      <c r="K22857"/>
      <c r="L22857"/>
    </row>
    <row r="22858" spans="2:12" x14ac:dyDescent="0.2">
      <c r="B22858"/>
      <c r="C22858"/>
      <c r="J22858"/>
      <c r="K22858"/>
      <c r="L22858"/>
    </row>
    <row r="22859" spans="2:12" x14ac:dyDescent="0.2">
      <c r="B22859"/>
      <c r="C22859"/>
      <c r="J22859"/>
      <c r="K22859"/>
      <c r="L22859"/>
    </row>
    <row r="22860" spans="2:12" x14ac:dyDescent="0.2">
      <c r="B22860"/>
      <c r="C22860"/>
      <c r="J22860"/>
      <c r="K22860"/>
      <c r="L22860"/>
    </row>
    <row r="22861" spans="2:12" x14ac:dyDescent="0.2">
      <c r="B22861"/>
      <c r="C22861"/>
      <c r="J22861"/>
      <c r="K22861"/>
      <c r="L22861"/>
    </row>
    <row r="22862" spans="2:12" x14ac:dyDescent="0.2">
      <c r="B22862"/>
      <c r="C22862"/>
      <c r="J22862"/>
      <c r="K22862"/>
      <c r="L22862"/>
    </row>
    <row r="22863" spans="2:12" x14ac:dyDescent="0.2">
      <c r="B22863"/>
      <c r="C22863"/>
      <c r="J22863"/>
      <c r="K22863"/>
      <c r="L22863"/>
    </row>
    <row r="22864" spans="2:12" x14ac:dyDescent="0.2">
      <c r="B22864"/>
      <c r="C22864"/>
      <c r="J22864"/>
      <c r="K22864"/>
      <c r="L22864"/>
    </row>
    <row r="22865" spans="2:12" x14ac:dyDescent="0.2">
      <c r="B22865"/>
      <c r="C22865"/>
      <c r="J22865"/>
      <c r="K22865"/>
      <c r="L22865"/>
    </row>
    <row r="22866" spans="2:12" x14ac:dyDescent="0.2">
      <c r="B22866"/>
      <c r="C22866"/>
      <c r="J22866"/>
      <c r="K22866"/>
      <c r="L22866"/>
    </row>
    <row r="22867" spans="2:12" x14ac:dyDescent="0.2">
      <c r="B22867"/>
      <c r="C22867"/>
      <c r="J22867"/>
      <c r="K22867"/>
      <c r="L22867"/>
    </row>
    <row r="22868" spans="2:12" x14ac:dyDescent="0.2">
      <c r="B22868"/>
      <c r="C22868"/>
      <c r="J22868"/>
      <c r="K22868"/>
      <c r="L22868"/>
    </row>
    <row r="22869" spans="2:12" x14ac:dyDescent="0.2">
      <c r="B22869"/>
      <c r="C22869"/>
      <c r="J22869"/>
      <c r="K22869"/>
      <c r="L22869"/>
    </row>
    <row r="22870" spans="2:12" x14ac:dyDescent="0.2">
      <c r="B22870"/>
      <c r="C22870"/>
      <c r="J22870"/>
      <c r="K22870"/>
      <c r="L22870"/>
    </row>
    <row r="22871" spans="2:12" x14ac:dyDescent="0.2">
      <c r="B22871"/>
      <c r="C22871"/>
      <c r="J22871"/>
      <c r="K22871"/>
      <c r="L22871"/>
    </row>
    <row r="22872" spans="2:12" x14ac:dyDescent="0.2">
      <c r="B22872"/>
      <c r="C22872"/>
      <c r="J22872"/>
      <c r="K22872"/>
      <c r="L22872"/>
    </row>
    <row r="22873" spans="2:12" x14ac:dyDescent="0.2">
      <c r="B22873"/>
      <c r="C22873"/>
      <c r="J22873"/>
      <c r="K22873"/>
      <c r="L22873"/>
    </row>
    <row r="22874" spans="2:12" x14ac:dyDescent="0.2">
      <c r="B22874"/>
      <c r="C22874"/>
      <c r="J22874"/>
      <c r="K22874"/>
      <c r="L22874"/>
    </row>
    <row r="22875" spans="2:12" x14ac:dyDescent="0.2">
      <c r="B22875"/>
      <c r="C22875"/>
      <c r="J22875"/>
      <c r="K22875"/>
      <c r="L22875"/>
    </row>
    <row r="22876" spans="2:12" x14ac:dyDescent="0.2">
      <c r="B22876"/>
      <c r="C22876"/>
      <c r="J22876"/>
      <c r="K22876"/>
      <c r="L22876"/>
    </row>
    <row r="22877" spans="2:12" x14ac:dyDescent="0.2">
      <c r="B22877"/>
      <c r="C22877"/>
      <c r="J22877"/>
      <c r="K22877"/>
      <c r="L22877"/>
    </row>
    <row r="22878" spans="2:12" x14ac:dyDescent="0.2">
      <c r="B22878"/>
      <c r="C22878"/>
      <c r="J22878"/>
      <c r="K22878"/>
      <c r="L22878"/>
    </row>
    <row r="22879" spans="2:12" x14ac:dyDescent="0.2">
      <c r="B22879"/>
      <c r="C22879"/>
      <c r="J22879"/>
      <c r="K22879"/>
      <c r="L22879"/>
    </row>
    <row r="22880" spans="2:12" x14ac:dyDescent="0.2">
      <c r="B22880"/>
      <c r="C22880"/>
      <c r="J22880"/>
      <c r="K22880"/>
      <c r="L22880"/>
    </row>
    <row r="22881" spans="2:12" x14ac:dyDescent="0.2">
      <c r="B22881"/>
      <c r="C22881"/>
      <c r="J22881"/>
      <c r="K22881"/>
      <c r="L22881"/>
    </row>
    <row r="22882" spans="2:12" x14ac:dyDescent="0.2">
      <c r="B22882"/>
      <c r="C22882"/>
      <c r="J22882"/>
      <c r="K22882"/>
      <c r="L22882"/>
    </row>
    <row r="22883" spans="2:12" x14ac:dyDescent="0.2">
      <c r="B22883"/>
      <c r="C22883"/>
      <c r="J22883"/>
      <c r="K22883"/>
      <c r="L22883"/>
    </row>
    <row r="22884" spans="2:12" x14ac:dyDescent="0.2">
      <c r="B22884"/>
      <c r="C22884"/>
      <c r="J22884"/>
      <c r="K22884"/>
      <c r="L22884"/>
    </row>
    <row r="22885" spans="2:12" x14ac:dyDescent="0.2">
      <c r="B22885"/>
      <c r="C22885"/>
      <c r="J22885"/>
      <c r="K22885"/>
      <c r="L22885"/>
    </row>
    <row r="22886" spans="2:12" x14ac:dyDescent="0.2">
      <c r="B22886"/>
      <c r="C22886"/>
      <c r="J22886"/>
      <c r="K22886"/>
      <c r="L22886"/>
    </row>
    <row r="22887" spans="2:12" x14ac:dyDescent="0.2">
      <c r="B22887"/>
      <c r="C22887"/>
      <c r="J22887"/>
      <c r="K22887"/>
      <c r="L22887"/>
    </row>
    <row r="22888" spans="2:12" x14ac:dyDescent="0.2">
      <c r="B22888"/>
      <c r="C22888"/>
      <c r="J22888"/>
      <c r="K22888"/>
      <c r="L22888"/>
    </row>
    <row r="22889" spans="2:12" x14ac:dyDescent="0.2">
      <c r="B22889"/>
      <c r="C22889"/>
      <c r="J22889"/>
      <c r="K22889"/>
      <c r="L22889"/>
    </row>
    <row r="22890" spans="2:12" x14ac:dyDescent="0.2">
      <c r="B22890"/>
      <c r="C22890"/>
      <c r="J22890"/>
      <c r="K22890"/>
      <c r="L22890"/>
    </row>
    <row r="22891" spans="2:12" x14ac:dyDescent="0.2">
      <c r="B22891"/>
      <c r="C22891"/>
      <c r="J22891"/>
      <c r="K22891"/>
      <c r="L22891"/>
    </row>
    <row r="22892" spans="2:12" x14ac:dyDescent="0.2">
      <c r="B22892"/>
      <c r="C22892"/>
      <c r="J22892"/>
      <c r="K22892"/>
      <c r="L22892"/>
    </row>
    <row r="22893" spans="2:12" x14ac:dyDescent="0.2">
      <c r="B22893"/>
      <c r="C22893"/>
      <c r="J22893"/>
      <c r="K22893"/>
      <c r="L22893"/>
    </row>
    <row r="22894" spans="2:12" x14ac:dyDescent="0.2">
      <c r="B22894"/>
      <c r="C22894"/>
      <c r="J22894"/>
      <c r="K22894"/>
      <c r="L22894"/>
    </row>
    <row r="22895" spans="2:12" x14ac:dyDescent="0.2">
      <c r="B22895"/>
      <c r="C22895"/>
      <c r="J22895"/>
      <c r="K22895"/>
      <c r="L22895"/>
    </row>
    <row r="22896" spans="2:12" x14ac:dyDescent="0.2">
      <c r="B22896"/>
      <c r="C22896"/>
      <c r="J22896"/>
      <c r="K22896"/>
      <c r="L22896"/>
    </row>
    <row r="22897" spans="2:12" x14ac:dyDescent="0.2">
      <c r="B22897"/>
      <c r="C22897"/>
      <c r="J22897"/>
      <c r="K22897"/>
      <c r="L22897"/>
    </row>
    <row r="22898" spans="2:12" x14ac:dyDescent="0.2">
      <c r="B22898"/>
      <c r="C22898"/>
      <c r="J22898"/>
      <c r="K22898"/>
      <c r="L22898"/>
    </row>
    <row r="22899" spans="2:12" x14ac:dyDescent="0.2">
      <c r="B22899"/>
      <c r="C22899"/>
      <c r="J22899"/>
      <c r="K22899"/>
      <c r="L22899"/>
    </row>
    <row r="22900" spans="2:12" x14ac:dyDescent="0.2">
      <c r="B22900"/>
      <c r="C22900"/>
      <c r="J22900"/>
      <c r="K22900"/>
      <c r="L22900"/>
    </row>
    <row r="22901" spans="2:12" x14ac:dyDescent="0.2">
      <c r="B22901"/>
      <c r="C22901"/>
      <c r="J22901"/>
      <c r="K22901"/>
      <c r="L22901"/>
    </row>
    <row r="22902" spans="2:12" x14ac:dyDescent="0.2">
      <c r="B22902"/>
      <c r="C22902"/>
      <c r="J22902"/>
      <c r="K22902"/>
      <c r="L22902"/>
    </row>
    <row r="22903" spans="2:12" x14ac:dyDescent="0.2">
      <c r="B22903"/>
      <c r="C22903"/>
      <c r="J22903"/>
      <c r="K22903"/>
      <c r="L22903"/>
    </row>
    <row r="22904" spans="2:12" x14ac:dyDescent="0.2">
      <c r="B22904"/>
      <c r="C22904"/>
      <c r="J22904"/>
      <c r="K22904"/>
      <c r="L22904"/>
    </row>
    <row r="22905" spans="2:12" x14ac:dyDescent="0.2">
      <c r="B22905"/>
      <c r="C22905"/>
      <c r="J22905"/>
      <c r="K22905"/>
      <c r="L22905"/>
    </row>
    <row r="22906" spans="2:12" x14ac:dyDescent="0.2">
      <c r="B22906"/>
      <c r="C22906"/>
      <c r="J22906"/>
      <c r="K22906"/>
      <c r="L22906"/>
    </row>
    <row r="22907" spans="2:12" x14ac:dyDescent="0.2">
      <c r="B22907"/>
      <c r="C22907"/>
      <c r="J22907"/>
      <c r="K22907"/>
      <c r="L22907"/>
    </row>
    <row r="22908" spans="2:12" x14ac:dyDescent="0.2">
      <c r="B22908"/>
      <c r="C22908"/>
      <c r="J22908"/>
      <c r="K22908"/>
      <c r="L22908"/>
    </row>
    <row r="22909" spans="2:12" x14ac:dyDescent="0.2">
      <c r="B22909"/>
      <c r="C22909"/>
      <c r="J22909"/>
      <c r="K22909"/>
      <c r="L22909"/>
    </row>
    <row r="22910" spans="2:12" x14ac:dyDescent="0.2">
      <c r="B22910"/>
      <c r="C22910"/>
      <c r="J22910"/>
      <c r="K22910"/>
      <c r="L22910"/>
    </row>
    <row r="22911" spans="2:12" x14ac:dyDescent="0.2">
      <c r="B22911"/>
      <c r="C22911"/>
      <c r="J22911"/>
      <c r="K22911"/>
      <c r="L22911"/>
    </row>
    <row r="22912" spans="2:12" x14ac:dyDescent="0.2">
      <c r="B22912"/>
      <c r="C22912"/>
      <c r="J22912"/>
      <c r="K22912"/>
      <c r="L22912"/>
    </row>
    <row r="22913" spans="2:12" x14ac:dyDescent="0.2">
      <c r="B22913"/>
      <c r="C22913"/>
      <c r="J22913"/>
      <c r="K22913"/>
      <c r="L22913"/>
    </row>
    <row r="22914" spans="2:12" x14ac:dyDescent="0.2">
      <c r="B22914"/>
      <c r="C22914"/>
      <c r="J22914"/>
      <c r="K22914"/>
      <c r="L22914"/>
    </row>
    <row r="22915" spans="2:12" x14ac:dyDescent="0.2">
      <c r="B22915"/>
      <c r="C22915"/>
      <c r="J22915"/>
      <c r="K22915"/>
      <c r="L22915"/>
    </row>
    <row r="22916" spans="2:12" x14ac:dyDescent="0.2">
      <c r="B22916"/>
      <c r="C22916"/>
      <c r="J22916"/>
      <c r="K22916"/>
      <c r="L22916"/>
    </row>
    <row r="22917" spans="2:12" x14ac:dyDescent="0.2">
      <c r="B22917"/>
      <c r="C22917"/>
      <c r="J22917"/>
      <c r="K22917"/>
      <c r="L22917"/>
    </row>
    <row r="22918" spans="2:12" x14ac:dyDescent="0.2">
      <c r="B22918"/>
      <c r="C22918"/>
      <c r="J22918"/>
      <c r="K22918"/>
      <c r="L22918"/>
    </row>
    <row r="22919" spans="2:12" x14ac:dyDescent="0.2">
      <c r="B22919"/>
      <c r="C22919"/>
      <c r="J22919"/>
      <c r="K22919"/>
      <c r="L22919"/>
    </row>
    <row r="22920" spans="2:12" x14ac:dyDescent="0.2">
      <c r="B22920"/>
      <c r="C22920"/>
      <c r="J22920"/>
      <c r="K22920"/>
      <c r="L22920"/>
    </row>
    <row r="22921" spans="2:12" x14ac:dyDescent="0.2">
      <c r="B22921"/>
      <c r="C22921"/>
      <c r="J22921"/>
      <c r="K22921"/>
      <c r="L22921"/>
    </row>
    <row r="22922" spans="2:12" x14ac:dyDescent="0.2">
      <c r="B22922"/>
      <c r="C22922"/>
      <c r="J22922"/>
      <c r="K22922"/>
      <c r="L22922"/>
    </row>
    <row r="22923" spans="2:12" x14ac:dyDescent="0.2">
      <c r="B22923"/>
      <c r="C22923"/>
      <c r="J22923"/>
      <c r="K22923"/>
      <c r="L22923"/>
    </row>
    <row r="22924" spans="2:12" x14ac:dyDescent="0.2">
      <c r="B22924"/>
      <c r="C22924"/>
      <c r="J22924"/>
      <c r="K22924"/>
      <c r="L22924"/>
    </row>
    <row r="22925" spans="2:12" x14ac:dyDescent="0.2">
      <c r="B22925"/>
      <c r="C22925"/>
      <c r="J22925"/>
      <c r="K22925"/>
      <c r="L22925"/>
    </row>
    <row r="22926" spans="2:12" x14ac:dyDescent="0.2">
      <c r="B22926"/>
      <c r="C22926"/>
      <c r="J22926"/>
      <c r="K22926"/>
      <c r="L22926"/>
    </row>
    <row r="22927" spans="2:12" x14ac:dyDescent="0.2">
      <c r="B22927"/>
      <c r="C22927"/>
      <c r="J22927"/>
      <c r="K22927"/>
      <c r="L22927"/>
    </row>
    <row r="22928" spans="2:12" x14ac:dyDescent="0.2">
      <c r="B22928"/>
      <c r="C22928"/>
      <c r="J22928"/>
      <c r="K22928"/>
      <c r="L22928"/>
    </row>
    <row r="22929" spans="2:12" x14ac:dyDescent="0.2">
      <c r="B22929"/>
      <c r="C22929"/>
      <c r="J22929"/>
      <c r="K22929"/>
      <c r="L22929"/>
    </row>
    <row r="22930" spans="2:12" x14ac:dyDescent="0.2">
      <c r="B22930"/>
      <c r="C22930"/>
      <c r="J22930"/>
      <c r="K22930"/>
      <c r="L22930"/>
    </row>
    <row r="22931" spans="2:12" x14ac:dyDescent="0.2">
      <c r="B22931"/>
      <c r="C22931"/>
      <c r="J22931"/>
      <c r="K22931"/>
      <c r="L22931"/>
    </row>
    <row r="22932" spans="2:12" x14ac:dyDescent="0.2">
      <c r="B22932"/>
      <c r="C22932"/>
      <c r="J22932"/>
      <c r="K22932"/>
      <c r="L22932"/>
    </row>
    <row r="22933" spans="2:12" x14ac:dyDescent="0.2">
      <c r="B22933"/>
      <c r="C22933"/>
      <c r="J22933"/>
      <c r="K22933"/>
      <c r="L22933"/>
    </row>
    <row r="22934" spans="2:12" x14ac:dyDescent="0.2">
      <c r="B22934"/>
      <c r="C22934"/>
      <c r="J22934"/>
      <c r="K22934"/>
      <c r="L22934"/>
    </row>
    <row r="22935" spans="2:12" x14ac:dyDescent="0.2">
      <c r="B22935"/>
      <c r="C22935"/>
      <c r="J22935"/>
      <c r="K22935"/>
      <c r="L22935"/>
    </row>
    <row r="22936" spans="2:12" x14ac:dyDescent="0.2">
      <c r="B22936"/>
      <c r="C22936"/>
      <c r="J22936"/>
      <c r="K22936"/>
      <c r="L22936"/>
    </row>
    <row r="22937" spans="2:12" x14ac:dyDescent="0.2">
      <c r="B22937"/>
      <c r="C22937"/>
      <c r="J22937"/>
      <c r="K22937"/>
      <c r="L22937"/>
    </row>
    <row r="22938" spans="2:12" x14ac:dyDescent="0.2">
      <c r="B22938"/>
      <c r="C22938"/>
      <c r="J22938"/>
      <c r="K22938"/>
      <c r="L22938"/>
    </row>
    <row r="22939" spans="2:12" x14ac:dyDescent="0.2">
      <c r="B22939"/>
      <c r="C22939"/>
      <c r="J22939"/>
      <c r="K22939"/>
      <c r="L22939"/>
    </row>
    <row r="22940" spans="2:12" x14ac:dyDescent="0.2">
      <c r="B22940"/>
      <c r="C22940"/>
      <c r="J22940"/>
      <c r="K22940"/>
      <c r="L22940"/>
    </row>
    <row r="22941" spans="2:12" x14ac:dyDescent="0.2">
      <c r="B22941"/>
      <c r="C22941"/>
      <c r="J22941"/>
      <c r="K22941"/>
      <c r="L22941"/>
    </row>
    <row r="22942" spans="2:12" x14ac:dyDescent="0.2">
      <c r="B22942"/>
      <c r="C22942"/>
      <c r="J22942"/>
      <c r="K22942"/>
      <c r="L22942"/>
    </row>
    <row r="22943" spans="2:12" x14ac:dyDescent="0.2">
      <c r="B22943"/>
      <c r="C22943"/>
      <c r="J22943"/>
      <c r="K22943"/>
      <c r="L22943"/>
    </row>
    <row r="22944" spans="2:12" x14ac:dyDescent="0.2">
      <c r="B22944"/>
      <c r="C22944"/>
      <c r="J22944"/>
      <c r="K22944"/>
      <c r="L22944"/>
    </row>
    <row r="22945" spans="2:12" x14ac:dyDescent="0.2">
      <c r="B22945"/>
      <c r="C22945"/>
      <c r="J22945"/>
      <c r="K22945"/>
      <c r="L22945"/>
    </row>
    <row r="22946" spans="2:12" x14ac:dyDescent="0.2">
      <c r="B22946"/>
      <c r="C22946"/>
      <c r="J22946"/>
      <c r="K22946"/>
      <c r="L22946"/>
    </row>
    <row r="22947" spans="2:12" x14ac:dyDescent="0.2">
      <c r="B22947"/>
      <c r="C22947"/>
      <c r="J22947"/>
      <c r="K22947"/>
      <c r="L22947"/>
    </row>
    <row r="22948" spans="2:12" x14ac:dyDescent="0.2">
      <c r="B22948"/>
      <c r="C22948"/>
      <c r="J22948"/>
      <c r="K22948"/>
      <c r="L22948"/>
    </row>
    <row r="22949" spans="2:12" x14ac:dyDescent="0.2">
      <c r="B22949"/>
      <c r="C22949"/>
      <c r="J22949"/>
      <c r="K22949"/>
      <c r="L22949"/>
    </row>
    <row r="22950" spans="2:12" x14ac:dyDescent="0.2">
      <c r="B22950"/>
      <c r="C22950"/>
      <c r="J22950"/>
      <c r="K22950"/>
      <c r="L22950"/>
    </row>
    <row r="22951" spans="2:12" x14ac:dyDescent="0.2">
      <c r="B22951"/>
      <c r="C22951"/>
      <c r="J22951"/>
      <c r="K22951"/>
      <c r="L22951"/>
    </row>
    <row r="22952" spans="2:12" x14ac:dyDescent="0.2">
      <c r="B22952"/>
      <c r="C22952"/>
      <c r="J22952"/>
      <c r="K22952"/>
      <c r="L22952"/>
    </row>
    <row r="22953" spans="2:12" x14ac:dyDescent="0.2">
      <c r="B22953"/>
      <c r="C22953"/>
      <c r="J22953"/>
      <c r="K22953"/>
      <c r="L22953"/>
    </row>
    <row r="22954" spans="2:12" x14ac:dyDescent="0.2">
      <c r="B22954"/>
      <c r="C22954"/>
      <c r="J22954"/>
      <c r="K22954"/>
      <c r="L22954"/>
    </row>
    <row r="22955" spans="2:12" x14ac:dyDescent="0.2">
      <c r="B22955"/>
      <c r="C22955"/>
      <c r="J22955"/>
      <c r="K22955"/>
      <c r="L22955"/>
    </row>
    <row r="22956" spans="2:12" x14ac:dyDescent="0.2">
      <c r="B22956"/>
      <c r="C22956"/>
      <c r="J22956"/>
      <c r="K22956"/>
      <c r="L22956"/>
    </row>
    <row r="22957" spans="2:12" x14ac:dyDescent="0.2">
      <c r="B22957"/>
      <c r="C22957"/>
      <c r="J22957"/>
      <c r="K22957"/>
      <c r="L22957"/>
    </row>
    <row r="22958" spans="2:12" x14ac:dyDescent="0.2">
      <c r="B22958"/>
      <c r="C22958"/>
      <c r="J22958"/>
      <c r="K22958"/>
      <c r="L22958"/>
    </row>
    <row r="22959" spans="2:12" x14ac:dyDescent="0.2">
      <c r="B22959"/>
      <c r="C22959"/>
      <c r="J22959"/>
      <c r="K22959"/>
      <c r="L22959"/>
    </row>
    <row r="22960" spans="2:12" x14ac:dyDescent="0.2">
      <c r="B22960"/>
      <c r="C22960"/>
      <c r="J22960"/>
      <c r="K22960"/>
      <c r="L22960"/>
    </row>
    <row r="22961" spans="2:12" x14ac:dyDescent="0.2">
      <c r="B22961"/>
      <c r="C22961"/>
      <c r="J22961"/>
      <c r="K22961"/>
      <c r="L22961"/>
    </row>
    <row r="22962" spans="2:12" x14ac:dyDescent="0.2">
      <c r="B22962"/>
      <c r="C22962"/>
      <c r="J22962"/>
      <c r="K22962"/>
      <c r="L22962"/>
    </row>
    <row r="22963" spans="2:12" x14ac:dyDescent="0.2">
      <c r="B22963"/>
      <c r="C22963"/>
      <c r="J22963"/>
      <c r="K22963"/>
      <c r="L22963"/>
    </row>
    <row r="22964" spans="2:12" x14ac:dyDescent="0.2">
      <c r="B22964"/>
      <c r="C22964"/>
      <c r="J22964"/>
      <c r="K22964"/>
      <c r="L22964"/>
    </row>
    <row r="22965" spans="2:12" x14ac:dyDescent="0.2">
      <c r="B22965"/>
      <c r="C22965"/>
      <c r="J22965"/>
      <c r="K22965"/>
      <c r="L22965"/>
    </row>
    <row r="22966" spans="2:12" x14ac:dyDescent="0.2">
      <c r="B22966"/>
      <c r="C22966"/>
      <c r="J22966"/>
      <c r="K22966"/>
      <c r="L22966"/>
    </row>
    <row r="22967" spans="2:12" x14ac:dyDescent="0.2">
      <c r="B22967"/>
      <c r="C22967"/>
      <c r="J22967"/>
      <c r="K22967"/>
      <c r="L22967"/>
    </row>
    <row r="22968" spans="2:12" x14ac:dyDescent="0.2">
      <c r="B22968"/>
      <c r="C22968"/>
      <c r="J22968"/>
      <c r="K22968"/>
      <c r="L22968"/>
    </row>
    <row r="22969" spans="2:12" x14ac:dyDescent="0.2">
      <c r="B22969"/>
      <c r="C22969"/>
      <c r="J22969"/>
      <c r="K22969"/>
      <c r="L22969"/>
    </row>
    <row r="22970" spans="2:12" x14ac:dyDescent="0.2">
      <c r="B22970"/>
      <c r="C22970"/>
      <c r="J22970"/>
      <c r="K22970"/>
      <c r="L22970"/>
    </row>
    <row r="22971" spans="2:12" x14ac:dyDescent="0.2">
      <c r="B22971"/>
      <c r="C22971"/>
      <c r="J22971"/>
      <c r="K22971"/>
      <c r="L22971"/>
    </row>
    <row r="22972" spans="2:12" x14ac:dyDescent="0.2">
      <c r="B22972"/>
      <c r="C22972"/>
      <c r="J22972"/>
      <c r="K22972"/>
      <c r="L22972"/>
    </row>
    <row r="22973" spans="2:12" x14ac:dyDescent="0.2">
      <c r="B22973"/>
      <c r="C22973"/>
      <c r="J22973"/>
      <c r="K22973"/>
      <c r="L22973"/>
    </row>
    <row r="22974" spans="2:12" x14ac:dyDescent="0.2">
      <c r="B22974"/>
      <c r="C22974"/>
      <c r="J22974"/>
      <c r="K22974"/>
      <c r="L22974"/>
    </row>
    <row r="22975" spans="2:12" x14ac:dyDescent="0.2">
      <c r="B22975"/>
      <c r="C22975"/>
      <c r="J22975"/>
      <c r="K22975"/>
      <c r="L22975"/>
    </row>
    <row r="22976" spans="2:12" x14ac:dyDescent="0.2">
      <c r="B22976"/>
      <c r="C22976"/>
      <c r="J22976"/>
      <c r="K22976"/>
      <c r="L22976"/>
    </row>
    <row r="22977" spans="2:12" x14ac:dyDescent="0.2">
      <c r="B22977"/>
      <c r="C22977"/>
      <c r="J22977"/>
      <c r="K22977"/>
      <c r="L22977"/>
    </row>
    <row r="22978" spans="2:12" x14ac:dyDescent="0.2">
      <c r="B22978"/>
      <c r="C22978"/>
      <c r="J22978"/>
      <c r="K22978"/>
      <c r="L22978"/>
    </row>
    <row r="22979" spans="2:12" x14ac:dyDescent="0.2">
      <c r="B22979"/>
      <c r="C22979"/>
      <c r="J22979"/>
      <c r="K22979"/>
      <c r="L22979"/>
    </row>
    <row r="22980" spans="2:12" x14ac:dyDescent="0.2">
      <c r="B22980"/>
      <c r="C22980"/>
      <c r="J22980"/>
      <c r="K22980"/>
      <c r="L22980"/>
    </row>
    <row r="22981" spans="2:12" x14ac:dyDescent="0.2">
      <c r="B22981"/>
      <c r="C22981"/>
      <c r="J22981"/>
      <c r="K22981"/>
      <c r="L22981"/>
    </row>
    <row r="22982" spans="2:12" x14ac:dyDescent="0.2">
      <c r="B22982"/>
      <c r="C22982"/>
      <c r="J22982"/>
      <c r="K22982"/>
      <c r="L22982"/>
    </row>
    <row r="22983" spans="2:12" x14ac:dyDescent="0.2">
      <c r="B22983"/>
      <c r="C22983"/>
      <c r="J22983"/>
      <c r="K22983"/>
      <c r="L22983"/>
    </row>
    <row r="22984" spans="2:12" x14ac:dyDescent="0.2">
      <c r="B22984"/>
      <c r="C22984"/>
      <c r="J22984"/>
      <c r="K22984"/>
      <c r="L22984"/>
    </row>
    <row r="22985" spans="2:12" x14ac:dyDescent="0.2">
      <c r="B22985"/>
      <c r="C22985"/>
      <c r="J22985"/>
      <c r="K22985"/>
      <c r="L22985"/>
    </row>
    <row r="22986" spans="2:12" x14ac:dyDescent="0.2">
      <c r="B22986"/>
      <c r="C22986"/>
      <c r="J22986"/>
      <c r="K22986"/>
      <c r="L22986"/>
    </row>
    <row r="22987" spans="2:12" x14ac:dyDescent="0.2">
      <c r="B22987"/>
      <c r="C22987"/>
      <c r="J22987"/>
      <c r="K22987"/>
      <c r="L22987"/>
    </row>
    <row r="22988" spans="2:12" x14ac:dyDescent="0.2">
      <c r="B22988"/>
      <c r="C22988"/>
      <c r="J22988"/>
      <c r="K22988"/>
      <c r="L22988"/>
    </row>
    <row r="22989" spans="2:12" x14ac:dyDescent="0.2">
      <c r="B22989"/>
      <c r="C22989"/>
      <c r="J22989"/>
      <c r="K22989"/>
      <c r="L22989"/>
    </row>
    <row r="22990" spans="2:12" x14ac:dyDescent="0.2">
      <c r="B22990"/>
      <c r="C22990"/>
      <c r="J22990"/>
      <c r="K22990"/>
      <c r="L22990"/>
    </row>
    <row r="22991" spans="2:12" x14ac:dyDescent="0.2">
      <c r="B22991"/>
      <c r="C22991"/>
      <c r="J22991"/>
      <c r="K22991"/>
      <c r="L22991"/>
    </row>
    <row r="22992" spans="2:12" x14ac:dyDescent="0.2">
      <c r="B22992"/>
      <c r="C22992"/>
      <c r="J22992"/>
      <c r="K22992"/>
      <c r="L22992"/>
    </row>
    <row r="22993" spans="2:12" x14ac:dyDescent="0.2">
      <c r="B22993"/>
      <c r="C22993"/>
      <c r="J22993"/>
      <c r="K22993"/>
      <c r="L22993"/>
    </row>
    <row r="22994" spans="2:12" x14ac:dyDescent="0.2">
      <c r="B22994"/>
      <c r="C22994"/>
      <c r="J22994"/>
      <c r="K22994"/>
      <c r="L22994"/>
    </row>
    <row r="22995" spans="2:12" x14ac:dyDescent="0.2">
      <c r="B22995"/>
      <c r="C22995"/>
      <c r="J22995"/>
      <c r="K22995"/>
      <c r="L22995"/>
    </row>
    <row r="22996" spans="2:12" x14ac:dyDescent="0.2">
      <c r="B22996"/>
      <c r="C22996"/>
      <c r="J22996"/>
      <c r="K22996"/>
      <c r="L22996"/>
    </row>
    <row r="22997" spans="2:12" x14ac:dyDescent="0.2">
      <c r="B22997"/>
      <c r="C22997"/>
      <c r="J22997"/>
      <c r="K22997"/>
      <c r="L22997"/>
    </row>
    <row r="22998" spans="2:12" x14ac:dyDescent="0.2">
      <c r="B22998"/>
      <c r="C22998"/>
      <c r="J22998"/>
      <c r="K22998"/>
      <c r="L22998"/>
    </row>
    <row r="22999" spans="2:12" x14ac:dyDescent="0.2">
      <c r="B22999"/>
      <c r="C22999"/>
      <c r="J22999"/>
      <c r="K22999"/>
      <c r="L22999"/>
    </row>
    <row r="23000" spans="2:12" x14ac:dyDescent="0.2">
      <c r="B23000"/>
      <c r="C23000"/>
      <c r="J23000"/>
      <c r="K23000"/>
      <c r="L23000"/>
    </row>
    <row r="23001" spans="2:12" x14ac:dyDescent="0.2">
      <c r="B23001"/>
      <c r="C23001"/>
      <c r="J23001"/>
      <c r="K23001"/>
      <c r="L23001"/>
    </row>
    <row r="23002" spans="2:12" x14ac:dyDescent="0.2">
      <c r="B23002"/>
      <c r="C23002"/>
      <c r="J23002"/>
      <c r="K23002"/>
      <c r="L23002"/>
    </row>
    <row r="23003" spans="2:12" x14ac:dyDescent="0.2">
      <c r="B23003"/>
      <c r="C23003"/>
      <c r="J23003"/>
      <c r="K23003"/>
      <c r="L23003"/>
    </row>
    <row r="23004" spans="2:12" x14ac:dyDescent="0.2">
      <c r="B23004"/>
      <c r="C23004"/>
      <c r="J23004"/>
      <c r="K23004"/>
      <c r="L23004"/>
    </row>
    <row r="23005" spans="2:12" x14ac:dyDescent="0.2">
      <c r="B23005"/>
      <c r="C23005"/>
      <c r="J23005"/>
      <c r="K23005"/>
      <c r="L23005"/>
    </row>
    <row r="23006" spans="2:12" x14ac:dyDescent="0.2">
      <c r="B23006"/>
      <c r="C23006"/>
      <c r="J23006"/>
      <c r="K23006"/>
      <c r="L23006"/>
    </row>
    <row r="23007" spans="2:12" x14ac:dyDescent="0.2">
      <c r="B23007"/>
      <c r="C23007"/>
      <c r="J23007"/>
      <c r="K23007"/>
      <c r="L23007"/>
    </row>
    <row r="23008" spans="2:12" x14ac:dyDescent="0.2">
      <c r="B23008"/>
      <c r="C23008"/>
      <c r="J23008"/>
      <c r="K23008"/>
      <c r="L23008"/>
    </row>
    <row r="23009" spans="2:12" x14ac:dyDescent="0.2">
      <c r="B23009"/>
      <c r="C23009"/>
      <c r="J23009"/>
      <c r="K23009"/>
      <c r="L23009"/>
    </row>
    <row r="23010" spans="2:12" x14ac:dyDescent="0.2">
      <c r="B23010"/>
      <c r="C23010"/>
      <c r="J23010"/>
      <c r="K23010"/>
      <c r="L23010"/>
    </row>
    <row r="23011" spans="2:12" x14ac:dyDescent="0.2">
      <c r="B23011"/>
      <c r="C23011"/>
      <c r="J23011"/>
      <c r="K23011"/>
      <c r="L23011"/>
    </row>
    <row r="23012" spans="2:12" x14ac:dyDescent="0.2">
      <c r="B23012"/>
      <c r="C23012"/>
      <c r="J23012"/>
      <c r="K23012"/>
      <c r="L23012"/>
    </row>
    <row r="23013" spans="2:12" x14ac:dyDescent="0.2">
      <c r="B23013"/>
      <c r="C23013"/>
      <c r="J23013"/>
      <c r="K23013"/>
      <c r="L23013"/>
    </row>
    <row r="23014" spans="2:12" x14ac:dyDescent="0.2">
      <c r="B23014"/>
      <c r="C23014"/>
      <c r="J23014"/>
      <c r="K23014"/>
      <c r="L23014"/>
    </row>
    <row r="23015" spans="2:12" x14ac:dyDescent="0.2">
      <c r="B23015"/>
      <c r="C23015"/>
      <c r="J23015"/>
      <c r="K23015"/>
      <c r="L23015"/>
    </row>
    <row r="23016" spans="2:12" x14ac:dyDescent="0.2">
      <c r="B23016"/>
      <c r="C23016"/>
      <c r="J23016"/>
      <c r="K23016"/>
      <c r="L23016"/>
    </row>
    <row r="23017" spans="2:12" x14ac:dyDescent="0.2">
      <c r="B23017"/>
      <c r="C23017"/>
      <c r="J23017"/>
      <c r="K23017"/>
      <c r="L23017"/>
    </row>
    <row r="23018" spans="2:12" x14ac:dyDescent="0.2">
      <c r="B23018"/>
      <c r="C23018"/>
      <c r="J23018"/>
      <c r="K23018"/>
      <c r="L23018"/>
    </row>
    <row r="23019" spans="2:12" x14ac:dyDescent="0.2">
      <c r="B23019"/>
      <c r="C23019"/>
      <c r="J23019"/>
      <c r="K23019"/>
      <c r="L23019"/>
    </row>
    <row r="23020" spans="2:12" x14ac:dyDescent="0.2">
      <c r="B23020"/>
      <c r="C23020"/>
      <c r="J23020"/>
      <c r="K23020"/>
      <c r="L23020"/>
    </row>
    <row r="23021" spans="2:12" x14ac:dyDescent="0.2">
      <c r="B23021"/>
      <c r="C23021"/>
      <c r="J23021"/>
      <c r="K23021"/>
      <c r="L23021"/>
    </row>
    <row r="23022" spans="2:12" x14ac:dyDescent="0.2">
      <c r="B23022"/>
      <c r="C23022"/>
      <c r="J23022"/>
      <c r="K23022"/>
      <c r="L23022"/>
    </row>
    <row r="23023" spans="2:12" x14ac:dyDescent="0.2">
      <c r="B23023"/>
      <c r="C23023"/>
      <c r="J23023"/>
      <c r="K23023"/>
      <c r="L23023"/>
    </row>
    <row r="23024" spans="2:12" x14ac:dyDescent="0.2">
      <c r="B23024"/>
      <c r="C23024"/>
      <c r="J23024"/>
      <c r="K23024"/>
      <c r="L23024"/>
    </row>
    <row r="23025" spans="2:12" x14ac:dyDescent="0.2">
      <c r="B23025"/>
      <c r="C23025"/>
      <c r="J23025"/>
      <c r="K23025"/>
      <c r="L23025"/>
    </row>
    <row r="23026" spans="2:12" x14ac:dyDescent="0.2">
      <c r="B23026"/>
      <c r="C23026"/>
      <c r="J23026"/>
      <c r="K23026"/>
      <c r="L23026"/>
    </row>
    <row r="23027" spans="2:12" x14ac:dyDescent="0.2">
      <c r="B23027"/>
      <c r="C23027"/>
      <c r="J23027"/>
      <c r="K23027"/>
      <c r="L23027"/>
    </row>
    <row r="23028" spans="2:12" x14ac:dyDescent="0.2">
      <c r="B23028"/>
      <c r="C23028"/>
      <c r="J23028"/>
      <c r="K23028"/>
      <c r="L23028"/>
    </row>
    <row r="23029" spans="2:12" x14ac:dyDescent="0.2">
      <c r="B23029"/>
      <c r="C23029"/>
      <c r="J23029"/>
      <c r="K23029"/>
      <c r="L23029"/>
    </row>
    <row r="23030" spans="2:12" x14ac:dyDescent="0.2">
      <c r="B23030"/>
      <c r="C23030"/>
      <c r="J23030"/>
      <c r="K23030"/>
      <c r="L23030"/>
    </row>
    <row r="23031" spans="2:12" x14ac:dyDescent="0.2">
      <c r="B23031"/>
      <c r="C23031"/>
      <c r="J23031"/>
      <c r="K23031"/>
      <c r="L23031"/>
    </row>
    <row r="23032" spans="2:12" x14ac:dyDescent="0.2">
      <c r="B23032"/>
      <c r="C23032"/>
      <c r="J23032"/>
      <c r="K23032"/>
      <c r="L23032"/>
    </row>
    <row r="23033" spans="2:12" x14ac:dyDescent="0.2">
      <c r="B23033"/>
      <c r="C23033"/>
      <c r="J23033"/>
      <c r="K23033"/>
      <c r="L23033"/>
    </row>
    <row r="23034" spans="2:12" x14ac:dyDescent="0.2">
      <c r="B23034"/>
      <c r="C23034"/>
      <c r="J23034"/>
      <c r="K23034"/>
      <c r="L23034"/>
    </row>
    <row r="23035" spans="2:12" x14ac:dyDescent="0.2">
      <c r="B23035"/>
      <c r="C23035"/>
      <c r="J23035"/>
      <c r="K23035"/>
      <c r="L23035"/>
    </row>
    <row r="23036" spans="2:12" x14ac:dyDescent="0.2">
      <c r="B23036"/>
      <c r="C23036"/>
      <c r="J23036"/>
      <c r="K23036"/>
      <c r="L23036"/>
    </row>
    <row r="23037" spans="2:12" x14ac:dyDescent="0.2">
      <c r="B23037"/>
      <c r="C23037"/>
      <c r="J23037"/>
      <c r="K23037"/>
      <c r="L23037"/>
    </row>
    <row r="23038" spans="2:12" x14ac:dyDescent="0.2">
      <c r="B23038"/>
      <c r="C23038"/>
      <c r="J23038"/>
      <c r="K23038"/>
      <c r="L23038"/>
    </row>
    <row r="23039" spans="2:12" x14ac:dyDescent="0.2">
      <c r="B23039"/>
      <c r="C23039"/>
      <c r="J23039"/>
      <c r="K23039"/>
      <c r="L23039"/>
    </row>
    <row r="23040" spans="2:12" x14ac:dyDescent="0.2">
      <c r="B23040"/>
      <c r="C23040"/>
      <c r="J23040"/>
      <c r="K23040"/>
      <c r="L23040"/>
    </row>
    <row r="23041" spans="2:12" x14ac:dyDescent="0.2">
      <c r="B23041"/>
      <c r="C23041"/>
      <c r="J23041"/>
      <c r="K23041"/>
      <c r="L23041"/>
    </row>
    <row r="23042" spans="2:12" x14ac:dyDescent="0.2">
      <c r="B23042"/>
      <c r="C23042"/>
      <c r="J23042"/>
      <c r="K23042"/>
      <c r="L23042"/>
    </row>
    <row r="23043" spans="2:12" x14ac:dyDescent="0.2">
      <c r="B23043"/>
      <c r="C23043"/>
      <c r="J23043"/>
      <c r="K23043"/>
      <c r="L23043"/>
    </row>
    <row r="23044" spans="2:12" x14ac:dyDescent="0.2">
      <c r="B23044"/>
      <c r="C23044"/>
      <c r="J23044"/>
      <c r="K23044"/>
      <c r="L23044"/>
    </row>
    <row r="23045" spans="2:12" x14ac:dyDescent="0.2">
      <c r="B23045"/>
      <c r="C23045"/>
      <c r="J23045"/>
      <c r="K23045"/>
      <c r="L23045"/>
    </row>
    <row r="23046" spans="2:12" x14ac:dyDescent="0.2">
      <c r="B23046"/>
      <c r="C23046"/>
      <c r="J23046"/>
      <c r="K23046"/>
      <c r="L23046"/>
    </row>
    <row r="23047" spans="2:12" x14ac:dyDescent="0.2">
      <c r="B23047"/>
      <c r="C23047"/>
      <c r="J23047"/>
      <c r="K23047"/>
      <c r="L23047"/>
    </row>
    <row r="23048" spans="2:12" x14ac:dyDescent="0.2">
      <c r="B23048"/>
      <c r="C23048"/>
      <c r="J23048"/>
      <c r="K23048"/>
      <c r="L23048"/>
    </row>
    <row r="23049" spans="2:12" x14ac:dyDescent="0.2">
      <c r="B23049"/>
      <c r="C23049"/>
      <c r="J23049"/>
      <c r="K23049"/>
      <c r="L23049"/>
    </row>
    <row r="23050" spans="2:12" x14ac:dyDescent="0.2">
      <c r="B23050"/>
      <c r="C23050"/>
      <c r="J23050"/>
      <c r="K23050"/>
      <c r="L23050"/>
    </row>
    <row r="23051" spans="2:12" x14ac:dyDescent="0.2">
      <c r="B23051"/>
      <c r="C23051"/>
      <c r="J23051"/>
      <c r="K23051"/>
      <c r="L23051"/>
    </row>
    <row r="23052" spans="2:12" x14ac:dyDescent="0.2">
      <c r="B23052"/>
      <c r="C23052"/>
      <c r="J23052"/>
      <c r="K23052"/>
      <c r="L23052"/>
    </row>
    <row r="23053" spans="2:12" x14ac:dyDescent="0.2">
      <c r="B23053"/>
      <c r="C23053"/>
      <c r="J23053"/>
      <c r="K23053"/>
      <c r="L23053"/>
    </row>
    <row r="23054" spans="2:12" x14ac:dyDescent="0.2">
      <c r="B23054"/>
      <c r="C23054"/>
      <c r="J23054"/>
      <c r="K23054"/>
      <c r="L23054"/>
    </row>
    <row r="23055" spans="2:12" x14ac:dyDescent="0.2">
      <c r="B23055"/>
      <c r="C23055"/>
      <c r="J23055"/>
      <c r="K23055"/>
      <c r="L23055"/>
    </row>
    <row r="23056" spans="2:12" x14ac:dyDescent="0.2">
      <c r="B23056"/>
      <c r="C23056"/>
      <c r="J23056"/>
      <c r="K23056"/>
      <c r="L23056"/>
    </row>
    <row r="23057" spans="2:12" x14ac:dyDescent="0.2">
      <c r="B23057"/>
      <c r="C23057"/>
      <c r="J23057"/>
      <c r="K23057"/>
      <c r="L23057"/>
    </row>
    <row r="23058" spans="2:12" x14ac:dyDescent="0.2">
      <c r="B23058"/>
      <c r="C23058"/>
      <c r="J23058"/>
      <c r="K23058"/>
      <c r="L23058"/>
    </row>
    <row r="23059" spans="2:12" x14ac:dyDescent="0.2">
      <c r="B23059"/>
      <c r="C23059"/>
      <c r="J23059"/>
      <c r="K23059"/>
      <c r="L23059"/>
    </row>
    <row r="23060" spans="2:12" x14ac:dyDescent="0.2">
      <c r="B23060"/>
      <c r="C23060"/>
      <c r="J23060"/>
      <c r="K23060"/>
      <c r="L23060"/>
    </row>
    <row r="23061" spans="2:12" x14ac:dyDescent="0.2">
      <c r="B23061"/>
      <c r="C23061"/>
      <c r="J23061"/>
      <c r="K23061"/>
      <c r="L23061"/>
    </row>
    <row r="23062" spans="2:12" x14ac:dyDescent="0.2">
      <c r="B23062"/>
      <c r="C23062"/>
      <c r="J23062"/>
      <c r="K23062"/>
      <c r="L23062"/>
    </row>
    <row r="23063" spans="2:12" x14ac:dyDescent="0.2">
      <c r="B23063"/>
      <c r="C23063"/>
      <c r="J23063"/>
      <c r="K23063"/>
      <c r="L23063"/>
    </row>
    <row r="23064" spans="2:12" x14ac:dyDescent="0.2">
      <c r="B23064"/>
      <c r="C23064"/>
      <c r="J23064"/>
      <c r="K23064"/>
      <c r="L23064"/>
    </row>
    <row r="23065" spans="2:12" x14ac:dyDescent="0.2">
      <c r="B23065"/>
      <c r="C23065"/>
      <c r="J23065"/>
      <c r="K23065"/>
      <c r="L23065"/>
    </row>
    <row r="23066" spans="2:12" x14ac:dyDescent="0.2">
      <c r="B23066"/>
      <c r="C23066"/>
      <c r="J23066"/>
      <c r="K23066"/>
      <c r="L23066"/>
    </row>
    <row r="23067" spans="2:12" x14ac:dyDescent="0.2">
      <c r="B23067"/>
      <c r="C23067"/>
      <c r="J23067"/>
      <c r="K23067"/>
      <c r="L23067"/>
    </row>
    <row r="23068" spans="2:12" x14ac:dyDescent="0.2">
      <c r="B23068"/>
      <c r="C23068"/>
      <c r="J23068"/>
      <c r="K23068"/>
      <c r="L23068"/>
    </row>
    <row r="23069" spans="2:12" x14ac:dyDescent="0.2">
      <c r="B23069"/>
      <c r="C23069"/>
      <c r="J23069"/>
      <c r="K23069"/>
      <c r="L23069"/>
    </row>
    <row r="23070" spans="2:12" x14ac:dyDescent="0.2">
      <c r="B23070"/>
      <c r="C23070"/>
      <c r="J23070"/>
      <c r="K23070"/>
      <c r="L23070"/>
    </row>
    <row r="23071" spans="2:12" x14ac:dyDescent="0.2">
      <c r="B23071"/>
      <c r="C23071"/>
      <c r="J23071"/>
      <c r="K23071"/>
      <c r="L23071"/>
    </row>
    <row r="23072" spans="2:12" x14ac:dyDescent="0.2">
      <c r="B23072"/>
      <c r="C23072"/>
      <c r="J23072"/>
      <c r="K23072"/>
      <c r="L23072"/>
    </row>
    <row r="23073" spans="2:12" x14ac:dyDescent="0.2">
      <c r="B23073"/>
      <c r="C23073"/>
      <c r="J23073"/>
      <c r="K23073"/>
      <c r="L23073"/>
    </row>
    <row r="23074" spans="2:12" x14ac:dyDescent="0.2">
      <c r="B23074"/>
      <c r="C23074"/>
      <c r="J23074"/>
      <c r="K23074"/>
      <c r="L23074"/>
    </row>
    <row r="23075" spans="2:12" x14ac:dyDescent="0.2">
      <c r="B23075"/>
      <c r="C23075"/>
      <c r="J23075"/>
      <c r="K23075"/>
      <c r="L23075"/>
    </row>
    <row r="23076" spans="2:12" x14ac:dyDescent="0.2">
      <c r="B23076"/>
      <c r="C23076"/>
      <c r="J23076"/>
      <c r="K23076"/>
      <c r="L23076"/>
    </row>
    <row r="23077" spans="2:12" x14ac:dyDescent="0.2">
      <c r="B23077"/>
      <c r="C23077"/>
      <c r="J23077"/>
      <c r="K23077"/>
      <c r="L23077"/>
    </row>
    <row r="23078" spans="2:12" x14ac:dyDescent="0.2">
      <c r="B23078"/>
      <c r="C23078"/>
      <c r="J23078"/>
      <c r="K23078"/>
      <c r="L23078"/>
    </row>
    <row r="23079" spans="2:12" x14ac:dyDescent="0.2">
      <c r="B23079"/>
      <c r="C23079"/>
      <c r="J23079"/>
      <c r="K23079"/>
      <c r="L23079"/>
    </row>
    <row r="23080" spans="2:12" x14ac:dyDescent="0.2">
      <c r="B23080"/>
      <c r="C23080"/>
      <c r="J23080"/>
      <c r="K23080"/>
      <c r="L23080"/>
    </row>
    <row r="23081" spans="2:12" x14ac:dyDescent="0.2">
      <c r="B23081"/>
      <c r="C23081"/>
      <c r="J23081"/>
      <c r="K23081"/>
      <c r="L23081"/>
    </row>
    <row r="23082" spans="2:12" x14ac:dyDescent="0.2">
      <c r="B23082"/>
      <c r="C23082"/>
      <c r="J23082"/>
      <c r="K23082"/>
      <c r="L23082"/>
    </row>
    <row r="23083" spans="2:12" x14ac:dyDescent="0.2">
      <c r="B23083"/>
      <c r="C23083"/>
      <c r="J23083"/>
      <c r="K23083"/>
      <c r="L23083"/>
    </row>
    <row r="23084" spans="2:12" x14ac:dyDescent="0.2">
      <c r="B23084"/>
      <c r="C23084"/>
      <c r="J23084"/>
      <c r="K23084"/>
      <c r="L23084"/>
    </row>
    <row r="23085" spans="2:12" x14ac:dyDescent="0.2">
      <c r="B23085"/>
      <c r="C23085"/>
      <c r="J23085"/>
      <c r="K23085"/>
      <c r="L23085"/>
    </row>
    <row r="23086" spans="2:12" x14ac:dyDescent="0.2">
      <c r="B23086"/>
      <c r="C23086"/>
      <c r="J23086"/>
      <c r="K23086"/>
      <c r="L23086"/>
    </row>
    <row r="23087" spans="2:12" x14ac:dyDescent="0.2">
      <c r="B23087"/>
      <c r="C23087"/>
      <c r="J23087"/>
      <c r="K23087"/>
      <c r="L23087"/>
    </row>
    <row r="23088" spans="2:12" x14ac:dyDescent="0.2">
      <c r="B23088"/>
      <c r="C23088"/>
      <c r="J23088"/>
      <c r="K23088"/>
      <c r="L23088"/>
    </row>
    <row r="23089" spans="2:12" x14ac:dyDescent="0.2">
      <c r="B23089"/>
      <c r="C23089"/>
      <c r="J23089"/>
      <c r="K23089"/>
      <c r="L23089"/>
    </row>
    <row r="23090" spans="2:12" x14ac:dyDescent="0.2">
      <c r="B23090"/>
      <c r="C23090"/>
      <c r="J23090"/>
      <c r="K23090"/>
      <c r="L23090"/>
    </row>
    <row r="23091" spans="2:12" x14ac:dyDescent="0.2">
      <c r="B23091"/>
      <c r="C23091"/>
      <c r="J23091"/>
      <c r="K23091"/>
      <c r="L23091"/>
    </row>
    <row r="23092" spans="2:12" x14ac:dyDescent="0.2">
      <c r="B23092"/>
      <c r="C23092"/>
      <c r="J23092"/>
      <c r="K23092"/>
      <c r="L23092"/>
    </row>
    <row r="23093" spans="2:12" x14ac:dyDescent="0.2">
      <c r="B23093"/>
      <c r="C23093"/>
      <c r="J23093"/>
      <c r="K23093"/>
      <c r="L23093"/>
    </row>
    <row r="23094" spans="2:12" x14ac:dyDescent="0.2">
      <c r="B23094"/>
      <c r="C23094"/>
      <c r="J23094"/>
      <c r="K23094"/>
      <c r="L23094"/>
    </row>
    <row r="23095" spans="2:12" x14ac:dyDescent="0.2">
      <c r="B23095"/>
      <c r="C23095"/>
      <c r="J23095"/>
      <c r="K23095"/>
      <c r="L23095"/>
    </row>
    <row r="23096" spans="2:12" x14ac:dyDescent="0.2">
      <c r="B23096"/>
      <c r="C23096"/>
      <c r="J23096"/>
      <c r="K23096"/>
      <c r="L23096"/>
    </row>
    <row r="23097" spans="2:12" x14ac:dyDescent="0.2">
      <c r="B23097"/>
      <c r="C23097"/>
      <c r="J23097"/>
      <c r="K23097"/>
      <c r="L23097"/>
    </row>
    <row r="23098" spans="2:12" x14ac:dyDescent="0.2">
      <c r="B23098"/>
      <c r="C23098"/>
      <c r="J23098"/>
      <c r="K23098"/>
      <c r="L23098"/>
    </row>
    <row r="23099" spans="2:12" x14ac:dyDescent="0.2">
      <c r="B23099"/>
      <c r="C23099"/>
      <c r="J23099"/>
      <c r="K23099"/>
      <c r="L23099"/>
    </row>
    <row r="23100" spans="2:12" x14ac:dyDescent="0.2">
      <c r="B23100"/>
      <c r="C23100"/>
      <c r="J23100"/>
      <c r="K23100"/>
      <c r="L23100"/>
    </row>
    <row r="23101" spans="2:12" x14ac:dyDescent="0.2">
      <c r="B23101"/>
      <c r="C23101"/>
      <c r="J23101"/>
      <c r="K23101"/>
      <c r="L23101"/>
    </row>
    <row r="23102" spans="2:12" x14ac:dyDescent="0.2">
      <c r="B23102"/>
      <c r="C23102"/>
      <c r="J23102"/>
      <c r="K23102"/>
      <c r="L23102"/>
    </row>
    <row r="23103" spans="2:12" x14ac:dyDescent="0.2">
      <c r="B23103"/>
      <c r="C23103"/>
      <c r="J23103"/>
      <c r="K23103"/>
      <c r="L23103"/>
    </row>
    <row r="23104" spans="2:12" x14ac:dyDescent="0.2">
      <c r="B23104"/>
      <c r="C23104"/>
      <c r="J23104"/>
      <c r="K23104"/>
      <c r="L23104"/>
    </row>
    <row r="23105" spans="2:12" x14ac:dyDescent="0.2">
      <c r="B23105"/>
      <c r="C23105"/>
      <c r="J23105"/>
      <c r="K23105"/>
      <c r="L23105"/>
    </row>
    <row r="23106" spans="2:12" x14ac:dyDescent="0.2">
      <c r="B23106"/>
      <c r="C23106"/>
      <c r="J23106"/>
      <c r="K23106"/>
      <c r="L23106"/>
    </row>
    <row r="23107" spans="2:12" x14ac:dyDescent="0.2">
      <c r="B23107"/>
      <c r="C23107"/>
      <c r="J23107"/>
      <c r="K23107"/>
      <c r="L23107"/>
    </row>
    <row r="23108" spans="2:12" x14ac:dyDescent="0.2">
      <c r="B23108"/>
      <c r="C23108"/>
      <c r="J23108"/>
      <c r="K23108"/>
      <c r="L23108"/>
    </row>
    <row r="23109" spans="2:12" x14ac:dyDescent="0.2">
      <c r="B23109"/>
      <c r="C23109"/>
      <c r="J23109"/>
      <c r="K23109"/>
      <c r="L23109"/>
    </row>
    <row r="23110" spans="2:12" x14ac:dyDescent="0.2">
      <c r="B23110"/>
      <c r="C23110"/>
      <c r="J23110"/>
      <c r="K23110"/>
      <c r="L23110"/>
    </row>
    <row r="23111" spans="2:12" x14ac:dyDescent="0.2">
      <c r="B23111"/>
      <c r="C23111"/>
      <c r="J23111"/>
      <c r="K23111"/>
      <c r="L23111"/>
    </row>
    <row r="23112" spans="2:12" x14ac:dyDescent="0.2">
      <c r="B23112"/>
      <c r="C23112"/>
      <c r="J23112"/>
      <c r="K23112"/>
      <c r="L23112"/>
    </row>
    <row r="23113" spans="2:12" x14ac:dyDescent="0.2">
      <c r="B23113"/>
      <c r="C23113"/>
      <c r="J23113"/>
      <c r="K23113"/>
      <c r="L23113"/>
    </row>
    <row r="23114" spans="2:12" x14ac:dyDescent="0.2">
      <c r="B23114"/>
      <c r="C23114"/>
      <c r="J23114"/>
      <c r="K23114"/>
      <c r="L23114"/>
    </row>
    <row r="23115" spans="2:12" x14ac:dyDescent="0.2">
      <c r="B23115"/>
      <c r="C23115"/>
      <c r="J23115"/>
      <c r="K23115"/>
      <c r="L23115"/>
    </row>
    <row r="23116" spans="2:12" x14ac:dyDescent="0.2">
      <c r="B23116"/>
      <c r="C23116"/>
      <c r="J23116"/>
      <c r="K23116"/>
      <c r="L23116"/>
    </row>
    <row r="23117" spans="2:12" x14ac:dyDescent="0.2">
      <c r="B23117"/>
      <c r="C23117"/>
      <c r="J23117"/>
      <c r="K23117"/>
      <c r="L23117"/>
    </row>
    <row r="23118" spans="2:12" x14ac:dyDescent="0.2">
      <c r="B23118"/>
      <c r="C23118"/>
      <c r="J23118"/>
      <c r="K23118"/>
      <c r="L23118"/>
    </row>
    <row r="23119" spans="2:12" x14ac:dyDescent="0.2">
      <c r="B23119"/>
      <c r="C23119"/>
      <c r="J23119"/>
      <c r="K23119"/>
      <c r="L23119"/>
    </row>
    <row r="23120" spans="2:12" x14ac:dyDescent="0.2">
      <c r="B23120"/>
      <c r="C23120"/>
      <c r="J23120"/>
      <c r="K23120"/>
      <c r="L23120"/>
    </row>
    <row r="23121" spans="2:12" x14ac:dyDescent="0.2">
      <c r="B23121"/>
      <c r="C23121"/>
      <c r="J23121"/>
      <c r="K23121"/>
      <c r="L23121"/>
    </row>
    <row r="23122" spans="2:12" x14ac:dyDescent="0.2">
      <c r="B23122"/>
      <c r="C23122"/>
      <c r="J23122"/>
      <c r="K23122"/>
      <c r="L23122"/>
    </row>
    <row r="23123" spans="2:12" x14ac:dyDescent="0.2">
      <c r="B23123"/>
      <c r="C23123"/>
      <c r="J23123"/>
      <c r="K23123"/>
      <c r="L23123"/>
    </row>
    <row r="23124" spans="2:12" x14ac:dyDescent="0.2">
      <c r="B23124"/>
      <c r="C23124"/>
      <c r="J23124"/>
      <c r="K23124"/>
      <c r="L23124"/>
    </row>
    <row r="23125" spans="2:12" x14ac:dyDescent="0.2">
      <c r="B23125"/>
      <c r="C23125"/>
      <c r="J23125"/>
      <c r="K23125"/>
      <c r="L23125"/>
    </row>
    <row r="23126" spans="2:12" x14ac:dyDescent="0.2">
      <c r="B23126"/>
      <c r="C23126"/>
      <c r="J23126"/>
      <c r="K23126"/>
      <c r="L23126"/>
    </row>
    <row r="23127" spans="2:12" x14ac:dyDescent="0.2">
      <c r="B23127"/>
      <c r="C23127"/>
      <c r="J23127"/>
      <c r="K23127"/>
      <c r="L23127"/>
    </row>
    <row r="23128" spans="2:12" x14ac:dyDescent="0.2">
      <c r="B23128"/>
      <c r="C23128"/>
      <c r="J23128"/>
      <c r="K23128"/>
      <c r="L23128"/>
    </row>
    <row r="23129" spans="2:12" x14ac:dyDescent="0.2">
      <c r="B23129"/>
      <c r="C23129"/>
      <c r="J23129"/>
      <c r="K23129"/>
      <c r="L23129"/>
    </row>
    <row r="23130" spans="2:12" x14ac:dyDescent="0.2">
      <c r="B23130"/>
      <c r="C23130"/>
      <c r="J23130"/>
      <c r="K23130"/>
      <c r="L23130"/>
    </row>
    <row r="23131" spans="2:12" x14ac:dyDescent="0.2">
      <c r="B23131"/>
      <c r="C23131"/>
      <c r="J23131"/>
      <c r="K23131"/>
      <c r="L23131"/>
    </row>
    <row r="23132" spans="2:12" x14ac:dyDescent="0.2">
      <c r="B23132"/>
      <c r="C23132"/>
      <c r="J23132"/>
      <c r="K23132"/>
      <c r="L23132"/>
    </row>
    <row r="23133" spans="2:12" x14ac:dyDescent="0.2">
      <c r="B23133"/>
      <c r="C23133"/>
      <c r="J23133"/>
      <c r="K23133"/>
      <c r="L23133"/>
    </row>
    <row r="23134" spans="2:12" x14ac:dyDescent="0.2">
      <c r="B23134"/>
      <c r="C23134"/>
      <c r="J23134"/>
      <c r="K23134"/>
      <c r="L23134"/>
    </row>
    <row r="23135" spans="2:12" x14ac:dyDescent="0.2">
      <c r="B23135"/>
      <c r="C23135"/>
      <c r="J23135"/>
      <c r="K23135"/>
      <c r="L23135"/>
    </row>
    <row r="23136" spans="2:12" x14ac:dyDescent="0.2">
      <c r="B23136"/>
      <c r="C23136"/>
      <c r="J23136"/>
      <c r="K23136"/>
      <c r="L23136"/>
    </row>
    <row r="23137" spans="2:12" x14ac:dyDescent="0.2">
      <c r="B23137"/>
      <c r="C23137"/>
      <c r="J23137"/>
      <c r="K23137"/>
      <c r="L23137"/>
    </row>
    <row r="23138" spans="2:12" x14ac:dyDescent="0.2">
      <c r="B23138"/>
      <c r="C23138"/>
      <c r="J23138"/>
      <c r="K23138"/>
      <c r="L23138"/>
    </row>
    <row r="23139" spans="2:12" x14ac:dyDescent="0.2">
      <c r="B23139"/>
      <c r="C23139"/>
      <c r="J23139"/>
      <c r="K23139"/>
      <c r="L23139"/>
    </row>
    <row r="23140" spans="2:12" x14ac:dyDescent="0.2">
      <c r="B23140"/>
      <c r="C23140"/>
      <c r="J23140"/>
      <c r="K23140"/>
      <c r="L23140"/>
    </row>
    <row r="23141" spans="2:12" x14ac:dyDescent="0.2">
      <c r="B23141"/>
      <c r="C23141"/>
      <c r="J23141"/>
      <c r="K23141"/>
      <c r="L23141"/>
    </row>
    <row r="23142" spans="2:12" x14ac:dyDescent="0.2">
      <c r="B23142"/>
      <c r="C23142"/>
      <c r="J23142"/>
      <c r="K23142"/>
      <c r="L23142"/>
    </row>
    <row r="23143" spans="2:12" x14ac:dyDescent="0.2">
      <c r="B23143"/>
      <c r="C23143"/>
      <c r="J23143"/>
      <c r="K23143"/>
      <c r="L23143"/>
    </row>
    <row r="23144" spans="2:12" x14ac:dyDescent="0.2">
      <c r="B23144"/>
      <c r="C23144"/>
      <c r="J23144"/>
      <c r="K23144"/>
      <c r="L23144"/>
    </row>
    <row r="23145" spans="2:12" x14ac:dyDescent="0.2">
      <c r="B23145"/>
      <c r="C23145"/>
      <c r="J23145"/>
      <c r="K23145"/>
      <c r="L23145"/>
    </row>
    <row r="23146" spans="2:12" x14ac:dyDescent="0.2">
      <c r="B23146"/>
      <c r="C23146"/>
      <c r="J23146"/>
      <c r="K23146"/>
      <c r="L23146"/>
    </row>
    <row r="23147" spans="2:12" x14ac:dyDescent="0.2">
      <c r="B23147"/>
      <c r="C23147"/>
      <c r="J23147"/>
      <c r="K23147"/>
      <c r="L23147"/>
    </row>
    <row r="23148" spans="2:12" x14ac:dyDescent="0.2">
      <c r="B23148"/>
      <c r="C23148"/>
      <c r="J23148"/>
      <c r="K23148"/>
      <c r="L23148"/>
    </row>
    <row r="23149" spans="2:12" x14ac:dyDescent="0.2">
      <c r="B23149"/>
      <c r="C23149"/>
      <c r="J23149"/>
      <c r="K23149"/>
      <c r="L23149"/>
    </row>
    <row r="23150" spans="2:12" x14ac:dyDescent="0.2">
      <c r="B23150"/>
      <c r="C23150"/>
      <c r="J23150"/>
      <c r="K23150"/>
      <c r="L23150"/>
    </row>
    <row r="23151" spans="2:12" x14ac:dyDescent="0.2">
      <c r="B23151"/>
      <c r="C23151"/>
      <c r="J23151"/>
      <c r="K23151"/>
      <c r="L23151"/>
    </row>
    <row r="23152" spans="2:12" x14ac:dyDescent="0.2">
      <c r="B23152"/>
      <c r="C23152"/>
      <c r="J23152"/>
      <c r="K23152"/>
      <c r="L23152"/>
    </row>
    <row r="23153" spans="2:12" x14ac:dyDescent="0.2">
      <c r="B23153"/>
      <c r="C23153"/>
      <c r="J23153"/>
      <c r="K23153"/>
      <c r="L23153"/>
    </row>
    <row r="23154" spans="2:12" x14ac:dyDescent="0.2">
      <c r="B23154"/>
      <c r="C23154"/>
      <c r="J23154"/>
      <c r="K23154"/>
      <c r="L23154"/>
    </row>
    <row r="23155" spans="2:12" x14ac:dyDescent="0.2">
      <c r="B23155"/>
      <c r="C23155"/>
      <c r="J23155"/>
      <c r="K23155"/>
      <c r="L23155"/>
    </row>
    <row r="23156" spans="2:12" x14ac:dyDescent="0.2">
      <c r="B23156"/>
      <c r="C23156"/>
      <c r="J23156"/>
      <c r="K23156"/>
      <c r="L23156"/>
    </row>
    <row r="23157" spans="2:12" x14ac:dyDescent="0.2">
      <c r="B23157"/>
      <c r="C23157"/>
      <c r="J23157"/>
      <c r="K23157"/>
      <c r="L23157"/>
    </row>
    <row r="23158" spans="2:12" x14ac:dyDescent="0.2">
      <c r="B23158"/>
      <c r="C23158"/>
      <c r="J23158"/>
      <c r="K23158"/>
      <c r="L23158"/>
    </row>
    <row r="23159" spans="2:12" x14ac:dyDescent="0.2">
      <c r="B23159"/>
      <c r="C23159"/>
      <c r="J23159"/>
      <c r="K23159"/>
      <c r="L23159"/>
    </row>
    <row r="23160" spans="2:12" x14ac:dyDescent="0.2">
      <c r="B23160"/>
      <c r="C23160"/>
      <c r="J23160"/>
      <c r="K23160"/>
      <c r="L23160"/>
    </row>
    <row r="23161" spans="2:12" x14ac:dyDescent="0.2">
      <c r="B23161"/>
      <c r="C23161"/>
      <c r="J23161"/>
      <c r="K23161"/>
      <c r="L23161"/>
    </row>
    <row r="23162" spans="2:12" x14ac:dyDescent="0.2">
      <c r="B23162"/>
      <c r="C23162"/>
      <c r="J23162"/>
      <c r="K23162"/>
      <c r="L23162"/>
    </row>
    <row r="23163" spans="2:12" x14ac:dyDescent="0.2">
      <c r="B23163"/>
      <c r="C23163"/>
      <c r="J23163"/>
      <c r="K23163"/>
      <c r="L23163"/>
    </row>
    <row r="23164" spans="2:12" x14ac:dyDescent="0.2">
      <c r="B23164"/>
      <c r="C23164"/>
      <c r="J23164"/>
      <c r="K23164"/>
      <c r="L23164"/>
    </row>
    <row r="23165" spans="2:12" x14ac:dyDescent="0.2">
      <c r="B23165"/>
      <c r="C23165"/>
      <c r="J23165"/>
      <c r="K23165"/>
      <c r="L23165"/>
    </row>
    <row r="23166" spans="2:12" x14ac:dyDescent="0.2">
      <c r="B23166"/>
      <c r="C23166"/>
      <c r="J23166"/>
      <c r="K23166"/>
      <c r="L23166"/>
    </row>
    <row r="23167" spans="2:12" x14ac:dyDescent="0.2">
      <c r="B23167"/>
      <c r="C23167"/>
      <c r="J23167"/>
      <c r="K23167"/>
      <c r="L23167"/>
    </row>
    <row r="23168" spans="2:12" x14ac:dyDescent="0.2">
      <c r="B23168"/>
      <c r="C23168"/>
      <c r="J23168"/>
      <c r="K23168"/>
      <c r="L23168"/>
    </row>
    <row r="23169" spans="2:12" x14ac:dyDescent="0.2">
      <c r="B23169"/>
      <c r="C23169"/>
      <c r="J23169"/>
      <c r="K23169"/>
      <c r="L23169"/>
    </row>
    <row r="23170" spans="2:12" x14ac:dyDescent="0.2">
      <c r="B23170"/>
      <c r="C23170"/>
      <c r="J23170"/>
      <c r="K23170"/>
      <c r="L23170"/>
    </row>
    <row r="23171" spans="2:12" x14ac:dyDescent="0.2">
      <c r="B23171"/>
      <c r="C23171"/>
      <c r="J23171"/>
      <c r="K23171"/>
      <c r="L23171"/>
    </row>
    <row r="23172" spans="2:12" x14ac:dyDescent="0.2">
      <c r="B23172"/>
      <c r="C23172"/>
      <c r="J23172"/>
      <c r="K23172"/>
      <c r="L23172"/>
    </row>
    <row r="23173" spans="2:12" x14ac:dyDescent="0.2">
      <c r="B23173"/>
      <c r="C23173"/>
      <c r="J23173"/>
      <c r="K23173"/>
      <c r="L23173"/>
    </row>
    <row r="23174" spans="2:12" x14ac:dyDescent="0.2">
      <c r="B23174"/>
      <c r="C23174"/>
      <c r="J23174"/>
      <c r="K23174"/>
      <c r="L23174"/>
    </row>
    <row r="23175" spans="2:12" x14ac:dyDescent="0.2">
      <c r="B23175"/>
      <c r="C23175"/>
      <c r="J23175"/>
      <c r="K23175"/>
      <c r="L23175"/>
    </row>
    <row r="23176" spans="2:12" x14ac:dyDescent="0.2">
      <c r="B23176"/>
      <c r="C23176"/>
      <c r="J23176"/>
      <c r="K23176"/>
      <c r="L23176"/>
    </row>
    <row r="23177" spans="2:12" x14ac:dyDescent="0.2">
      <c r="B23177"/>
      <c r="C23177"/>
      <c r="J23177"/>
      <c r="K23177"/>
      <c r="L23177"/>
    </row>
    <row r="23178" spans="2:12" x14ac:dyDescent="0.2">
      <c r="B23178"/>
      <c r="C23178"/>
      <c r="J23178"/>
      <c r="K23178"/>
      <c r="L23178"/>
    </row>
    <row r="23179" spans="2:12" x14ac:dyDescent="0.2">
      <c r="B23179"/>
      <c r="C23179"/>
      <c r="J23179"/>
      <c r="K23179"/>
      <c r="L23179"/>
    </row>
    <row r="23180" spans="2:12" x14ac:dyDescent="0.2">
      <c r="B23180"/>
      <c r="C23180"/>
      <c r="J23180"/>
      <c r="K23180"/>
      <c r="L23180"/>
    </row>
    <row r="23181" spans="2:12" x14ac:dyDescent="0.2">
      <c r="B23181"/>
      <c r="C23181"/>
      <c r="J23181"/>
      <c r="K23181"/>
      <c r="L23181"/>
    </row>
    <row r="23182" spans="2:12" x14ac:dyDescent="0.2">
      <c r="B23182"/>
      <c r="C23182"/>
      <c r="J23182"/>
      <c r="K23182"/>
      <c r="L23182"/>
    </row>
    <row r="23183" spans="2:12" x14ac:dyDescent="0.2">
      <c r="B23183"/>
      <c r="C23183"/>
      <c r="J23183"/>
      <c r="K23183"/>
      <c r="L23183"/>
    </row>
    <row r="23184" spans="2:12" x14ac:dyDescent="0.2">
      <c r="B23184"/>
      <c r="C23184"/>
      <c r="J23184"/>
      <c r="K23184"/>
      <c r="L23184"/>
    </row>
    <row r="23185" spans="2:12" x14ac:dyDescent="0.2">
      <c r="B23185"/>
      <c r="C23185"/>
      <c r="J23185"/>
      <c r="K23185"/>
      <c r="L23185"/>
    </row>
    <row r="23186" spans="2:12" x14ac:dyDescent="0.2">
      <c r="B23186"/>
      <c r="C23186"/>
      <c r="J23186"/>
      <c r="K23186"/>
      <c r="L23186"/>
    </row>
    <row r="23187" spans="2:12" x14ac:dyDescent="0.2">
      <c r="B23187"/>
      <c r="C23187"/>
      <c r="J23187"/>
      <c r="K23187"/>
      <c r="L23187"/>
    </row>
    <row r="23188" spans="2:12" x14ac:dyDescent="0.2">
      <c r="B23188"/>
      <c r="C23188"/>
      <c r="J23188"/>
      <c r="K23188"/>
      <c r="L23188"/>
    </row>
    <row r="23189" spans="2:12" x14ac:dyDescent="0.2">
      <c r="B23189"/>
      <c r="C23189"/>
      <c r="J23189"/>
      <c r="K23189"/>
      <c r="L23189"/>
    </row>
    <row r="23190" spans="2:12" x14ac:dyDescent="0.2">
      <c r="B23190"/>
      <c r="C23190"/>
      <c r="J23190"/>
      <c r="K23190"/>
      <c r="L23190"/>
    </row>
    <row r="23191" spans="2:12" x14ac:dyDescent="0.2">
      <c r="B23191"/>
      <c r="C23191"/>
      <c r="J23191"/>
      <c r="K23191"/>
      <c r="L23191"/>
    </row>
    <row r="23192" spans="2:12" x14ac:dyDescent="0.2">
      <c r="B23192"/>
      <c r="C23192"/>
      <c r="J23192"/>
      <c r="K23192"/>
      <c r="L23192"/>
    </row>
    <row r="23193" spans="2:12" x14ac:dyDescent="0.2">
      <c r="B23193"/>
      <c r="C23193"/>
      <c r="J23193"/>
      <c r="K23193"/>
      <c r="L23193"/>
    </row>
    <row r="23194" spans="2:12" x14ac:dyDescent="0.2">
      <c r="B23194"/>
      <c r="C23194"/>
      <c r="J23194"/>
      <c r="K23194"/>
      <c r="L23194"/>
    </row>
    <row r="23195" spans="2:12" x14ac:dyDescent="0.2">
      <c r="B23195"/>
      <c r="C23195"/>
      <c r="J23195"/>
      <c r="K23195"/>
      <c r="L23195"/>
    </row>
    <row r="23196" spans="2:12" x14ac:dyDescent="0.2">
      <c r="B23196"/>
      <c r="C23196"/>
      <c r="J23196"/>
      <c r="K23196"/>
      <c r="L23196"/>
    </row>
    <row r="23197" spans="2:12" x14ac:dyDescent="0.2">
      <c r="B23197"/>
      <c r="C23197"/>
      <c r="J23197"/>
      <c r="K23197"/>
      <c r="L23197"/>
    </row>
    <row r="23198" spans="2:12" x14ac:dyDescent="0.2">
      <c r="B23198"/>
      <c r="C23198"/>
      <c r="J23198"/>
      <c r="K23198"/>
      <c r="L23198"/>
    </row>
    <row r="23199" spans="2:12" x14ac:dyDescent="0.2">
      <c r="B23199"/>
      <c r="C23199"/>
      <c r="J23199"/>
      <c r="K23199"/>
      <c r="L23199"/>
    </row>
    <row r="23200" spans="2:12" x14ac:dyDescent="0.2">
      <c r="B23200"/>
      <c r="C23200"/>
      <c r="J23200"/>
      <c r="K23200"/>
      <c r="L23200"/>
    </row>
    <row r="23201" spans="2:12" x14ac:dyDescent="0.2">
      <c r="B23201"/>
      <c r="C23201"/>
      <c r="J23201"/>
      <c r="K23201"/>
      <c r="L23201"/>
    </row>
    <row r="23202" spans="2:12" x14ac:dyDescent="0.2">
      <c r="B23202"/>
      <c r="C23202"/>
      <c r="J23202"/>
      <c r="K23202"/>
      <c r="L23202"/>
    </row>
    <row r="23203" spans="2:12" x14ac:dyDescent="0.2">
      <c r="B23203"/>
      <c r="C23203"/>
      <c r="J23203"/>
      <c r="K23203"/>
      <c r="L23203"/>
    </row>
    <row r="23204" spans="2:12" x14ac:dyDescent="0.2">
      <c r="B23204"/>
      <c r="C23204"/>
      <c r="J23204"/>
      <c r="K23204"/>
      <c r="L23204"/>
    </row>
    <row r="23205" spans="2:12" x14ac:dyDescent="0.2">
      <c r="B23205"/>
      <c r="C23205"/>
      <c r="J23205"/>
      <c r="K23205"/>
      <c r="L23205"/>
    </row>
    <row r="23206" spans="2:12" x14ac:dyDescent="0.2">
      <c r="B23206"/>
      <c r="C23206"/>
      <c r="J23206"/>
      <c r="K23206"/>
      <c r="L23206"/>
    </row>
    <row r="23207" spans="2:12" x14ac:dyDescent="0.2">
      <c r="B23207"/>
      <c r="C23207"/>
      <c r="J23207"/>
      <c r="K23207"/>
      <c r="L23207"/>
    </row>
    <row r="23208" spans="2:12" x14ac:dyDescent="0.2">
      <c r="B23208"/>
      <c r="C23208"/>
      <c r="J23208"/>
      <c r="K23208"/>
      <c r="L23208"/>
    </row>
    <row r="23209" spans="2:12" x14ac:dyDescent="0.2">
      <c r="B23209"/>
      <c r="C23209"/>
      <c r="J23209"/>
      <c r="K23209"/>
      <c r="L23209"/>
    </row>
    <row r="23210" spans="2:12" x14ac:dyDescent="0.2">
      <c r="B23210"/>
      <c r="C23210"/>
      <c r="J23210"/>
      <c r="K23210"/>
      <c r="L23210"/>
    </row>
    <row r="23211" spans="2:12" x14ac:dyDescent="0.2">
      <c r="B23211"/>
      <c r="C23211"/>
      <c r="J23211"/>
      <c r="K23211"/>
      <c r="L23211"/>
    </row>
    <row r="23212" spans="2:12" x14ac:dyDescent="0.2">
      <c r="B23212"/>
      <c r="C23212"/>
      <c r="J23212"/>
      <c r="K23212"/>
      <c r="L23212"/>
    </row>
    <row r="23213" spans="2:12" x14ac:dyDescent="0.2">
      <c r="B23213"/>
      <c r="C23213"/>
      <c r="J23213"/>
      <c r="K23213"/>
      <c r="L23213"/>
    </row>
    <row r="23214" spans="2:12" x14ac:dyDescent="0.2">
      <c r="B23214"/>
      <c r="C23214"/>
      <c r="J23214"/>
      <c r="K23214"/>
      <c r="L23214"/>
    </row>
    <row r="23215" spans="2:12" x14ac:dyDescent="0.2">
      <c r="B23215"/>
      <c r="C23215"/>
      <c r="J23215"/>
      <c r="K23215"/>
      <c r="L23215"/>
    </row>
    <row r="23216" spans="2:12" x14ac:dyDescent="0.2">
      <c r="B23216"/>
      <c r="C23216"/>
      <c r="J23216"/>
      <c r="K23216"/>
      <c r="L23216"/>
    </row>
    <row r="23217" spans="2:12" x14ac:dyDescent="0.2">
      <c r="B23217"/>
      <c r="C23217"/>
      <c r="J23217"/>
      <c r="K23217"/>
      <c r="L23217"/>
    </row>
    <row r="23218" spans="2:12" x14ac:dyDescent="0.2">
      <c r="B23218"/>
      <c r="C23218"/>
      <c r="J23218"/>
      <c r="K23218"/>
      <c r="L23218"/>
    </row>
    <row r="23219" spans="2:12" x14ac:dyDescent="0.2">
      <c r="B23219"/>
      <c r="C23219"/>
      <c r="J23219"/>
      <c r="K23219"/>
      <c r="L23219"/>
    </row>
    <row r="23220" spans="2:12" x14ac:dyDescent="0.2">
      <c r="B23220"/>
      <c r="C23220"/>
      <c r="J23220"/>
      <c r="K23220"/>
      <c r="L23220"/>
    </row>
    <row r="23221" spans="2:12" x14ac:dyDescent="0.2">
      <c r="B23221"/>
      <c r="C23221"/>
      <c r="J23221"/>
      <c r="K23221"/>
      <c r="L23221"/>
    </row>
    <row r="23222" spans="2:12" x14ac:dyDescent="0.2">
      <c r="B23222"/>
      <c r="C23222"/>
      <c r="J23222"/>
      <c r="K23222"/>
      <c r="L23222"/>
    </row>
    <row r="23223" spans="2:12" x14ac:dyDescent="0.2">
      <c r="B23223"/>
      <c r="C23223"/>
      <c r="J23223"/>
      <c r="K23223"/>
      <c r="L23223"/>
    </row>
    <row r="23224" spans="2:12" x14ac:dyDescent="0.2">
      <c r="B23224"/>
      <c r="C23224"/>
      <c r="J23224"/>
      <c r="K23224"/>
      <c r="L23224"/>
    </row>
    <row r="23225" spans="2:12" x14ac:dyDescent="0.2">
      <c r="B23225"/>
      <c r="C23225"/>
      <c r="J23225"/>
      <c r="K23225"/>
      <c r="L23225"/>
    </row>
    <row r="23226" spans="2:12" x14ac:dyDescent="0.2">
      <c r="B23226"/>
      <c r="C23226"/>
      <c r="J23226"/>
      <c r="K23226"/>
      <c r="L23226"/>
    </row>
    <row r="23227" spans="2:12" x14ac:dyDescent="0.2">
      <c r="B23227"/>
      <c r="C23227"/>
      <c r="J23227"/>
      <c r="K23227"/>
      <c r="L23227"/>
    </row>
    <row r="23228" spans="2:12" x14ac:dyDescent="0.2">
      <c r="B23228"/>
      <c r="C23228"/>
      <c r="J23228"/>
      <c r="K23228"/>
      <c r="L23228"/>
    </row>
    <row r="23229" spans="2:12" x14ac:dyDescent="0.2">
      <c r="B23229"/>
      <c r="C23229"/>
      <c r="J23229"/>
      <c r="K23229"/>
      <c r="L23229"/>
    </row>
    <row r="23230" spans="2:12" x14ac:dyDescent="0.2">
      <c r="B23230"/>
      <c r="C23230"/>
      <c r="J23230"/>
      <c r="K23230"/>
      <c r="L23230"/>
    </row>
    <row r="23231" spans="2:12" x14ac:dyDescent="0.2">
      <c r="B23231"/>
      <c r="C23231"/>
      <c r="J23231"/>
      <c r="K23231"/>
      <c r="L23231"/>
    </row>
    <row r="23232" spans="2:12" x14ac:dyDescent="0.2">
      <c r="B23232"/>
      <c r="C23232"/>
      <c r="J23232"/>
      <c r="K23232"/>
      <c r="L23232"/>
    </row>
    <row r="23233" spans="2:12" x14ac:dyDescent="0.2">
      <c r="B23233"/>
      <c r="C23233"/>
      <c r="J23233"/>
      <c r="K23233"/>
      <c r="L23233"/>
    </row>
    <row r="23234" spans="2:12" x14ac:dyDescent="0.2">
      <c r="B23234"/>
      <c r="C23234"/>
      <c r="J23234"/>
      <c r="K23234"/>
      <c r="L23234"/>
    </row>
    <row r="23235" spans="2:12" x14ac:dyDescent="0.2">
      <c r="B23235"/>
      <c r="C23235"/>
      <c r="J23235"/>
      <c r="K23235"/>
      <c r="L23235"/>
    </row>
    <row r="23236" spans="2:12" x14ac:dyDescent="0.2">
      <c r="B23236"/>
      <c r="C23236"/>
      <c r="J23236"/>
      <c r="K23236"/>
      <c r="L23236"/>
    </row>
    <row r="23237" spans="2:12" x14ac:dyDescent="0.2">
      <c r="B23237"/>
      <c r="C23237"/>
      <c r="J23237"/>
      <c r="K23237"/>
      <c r="L23237"/>
    </row>
    <row r="23238" spans="2:12" x14ac:dyDescent="0.2">
      <c r="B23238"/>
      <c r="C23238"/>
      <c r="J23238"/>
      <c r="K23238"/>
      <c r="L23238"/>
    </row>
    <row r="23239" spans="2:12" x14ac:dyDescent="0.2">
      <c r="B23239"/>
      <c r="C23239"/>
      <c r="J23239"/>
      <c r="K23239"/>
      <c r="L23239"/>
    </row>
    <row r="23240" spans="2:12" x14ac:dyDescent="0.2">
      <c r="B23240"/>
      <c r="C23240"/>
      <c r="J23240"/>
      <c r="K23240"/>
      <c r="L23240"/>
    </row>
    <row r="23241" spans="2:12" x14ac:dyDescent="0.2">
      <c r="B23241"/>
      <c r="C23241"/>
      <c r="J23241"/>
      <c r="K23241"/>
      <c r="L23241"/>
    </row>
    <row r="23242" spans="2:12" x14ac:dyDescent="0.2">
      <c r="B23242"/>
      <c r="C23242"/>
      <c r="J23242"/>
      <c r="K23242"/>
      <c r="L23242"/>
    </row>
    <row r="23243" spans="2:12" x14ac:dyDescent="0.2">
      <c r="B23243"/>
      <c r="C23243"/>
      <c r="J23243"/>
      <c r="K23243"/>
      <c r="L23243"/>
    </row>
    <row r="23244" spans="2:12" x14ac:dyDescent="0.2">
      <c r="B23244"/>
      <c r="C23244"/>
      <c r="J23244"/>
      <c r="K23244"/>
      <c r="L23244"/>
    </row>
    <row r="23245" spans="2:12" x14ac:dyDescent="0.2">
      <c r="B23245"/>
      <c r="C23245"/>
      <c r="J23245"/>
      <c r="K23245"/>
      <c r="L23245"/>
    </row>
    <row r="23246" spans="2:12" x14ac:dyDescent="0.2">
      <c r="B23246"/>
      <c r="C23246"/>
      <c r="J23246"/>
      <c r="K23246"/>
      <c r="L23246"/>
    </row>
    <row r="23247" spans="2:12" x14ac:dyDescent="0.2">
      <c r="B23247"/>
      <c r="C23247"/>
      <c r="J23247"/>
      <c r="K23247"/>
      <c r="L23247"/>
    </row>
    <row r="23248" spans="2:12" x14ac:dyDescent="0.2">
      <c r="B23248"/>
      <c r="C23248"/>
      <c r="J23248"/>
      <c r="K23248"/>
      <c r="L23248"/>
    </row>
    <row r="23249" spans="2:12" x14ac:dyDescent="0.2">
      <c r="B23249"/>
      <c r="C23249"/>
      <c r="J23249"/>
      <c r="K23249"/>
      <c r="L23249"/>
    </row>
    <row r="23250" spans="2:12" x14ac:dyDescent="0.2">
      <c r="B23250"/>
      <c r="C23250"/>
      <c r="J23250"/>
      <c r="K23250"/>
      <c r="L23250"/>
    </row>
    <row r="23251" spans="2:12" x14ac:dyDescent="0.2">
      <c r="B23251"/>
      <c r="C23251"/>
      <c r="J23251"/>
      <c r="K23251"/>
      <c r="L23251"/>
    </row>
    <row r="23252" spans="2:12" x14ac:dyDescent="0.2">
      <c r="B23252"/>
      <c r="C23252"/>
      <c r="J23252"/>
      <c r="K23252"/>
      <c r="L23252"/>
    </row>
    <row r="23253" spans="2:12" x14ac:dyDescent="0.2">
      <c r="B23253"/>
      <c r="C23253"/>
      <c r="J23253"/>
      <c r="K23253"/>
      <c r="L23253"/>
    </row>
    <row r="23254" spans="2:12" x14ac:dyDescent="0.2">
      <c r="B23254"/>
      <c r="C23254"/>
      <c r="J23254"/>
      <c r="K23254"/>
      <c r="L23254"/>
    </row>
    <row r="23255" spans="2:12" x14ac:dyDescent="0.2">
      <c r="B23255"/>
      <c r="C23255"/>
      <c r="J23255"/>
      <c r="K23255"/>
      <c r="L23255"/>
    </row>
    <row r="23256" spans="2:12" x14ac:dyDescent="0.2">
      <c r="B23256"/>
      <c r="C23256"/>
      <c r="J23256"/>
      <c r="K23256"/>
      <c r="L23256"/>
    </row>
    <row r="23257" spans="2:12" x14ac:dyDescent="0.2">
      <c r="B23257"/>
      <c r="C23257"/>
      <c r="J23257"/>
      <c r="K23257"/>
      <c r="L23257"/>
    </row>
    <row r="23258" spans="2:12" x14ac:dyDescent="0.2">
      <c r="B23258"/>
      <c r="C23258"/>
      <c r="J23258"/>
      <c r="K23258"/>
      <c r="L23258"/>
    </row>
    <row r="23259" spans="2:12" x14ac:dyDescent="0.2">
      <c r="B23259"/>
      <c r="C23259"/>
      <c r="J23259"/>
      <c r="K23259"/>
      <c r="L23259"/>
    </row>
    <row r="23260" spans="2:12" x14ac:dyDescent="0.2">
      <c r="B23260"/>
      <c r="C23260"/>
      <c r="J23260"/>
      <c r="K23260"/>
      <c r="L23260"/>
    </row>
    <row r="23261" spans="2:12" x14ac:dyDescent="0.2">
      <c r="B23261"/>
      <c r="C23261"/>
      <c r="J23261"/>
      <c r="K23261"/>
      <c r="L23261"/>
    </row>
    <row r="23262" spans="2:12" x14ac:dyDescent="0.2">
      <c r="B23262"/>
      <c r="C23262"/>
      <c r="J23262"/>
      <c r="K23262"/>
      <c r="L23262"/>
    </row>
    <row r="23263" spans="2:12" x14ac:dyDescent="0.2">
      <c r="B23263"/>
      <c r="C23263"/>
      <c r="J23263"/>
      <c r="K23263"/>
      <c r="L23263"/>
    </row>
    <row r="23264" spans="2:12" x14ac:dyDescent="0.2">
      <c r="B23264"/>
      <c r="C23264"/>
      <c r="J23264"/>
      <c r="K23264"/>
      <c r="L23264"/>
    </row>
    <row r="23265" spans="2:12" x14ac:dyDescent="0.2">
      <c r="B23265"/>
      <c r="C23265"/>
      <c r="J23265"/>
      <c r="K23265"/>
      <c r="L23265"/>
    </row>
    <row r="23266" spans="2:12" x14ac:dyDescent="0.2">
      <c r="B23266"/>
      <c r="C23266"/>
      <c r="J23266"/>
      <c r="K23266"/>
      <c r="L23266"/>
    </row>
    <row r="23267" spans="2:12" x14ac:dyDescent="0.2">
      <c r="B23267"/>
      <c r="C23267"/>
      <c r="J23267"/>
      <c r="K23267"/>
      <c r="L23267"/>
    </row>
    <row r="23268" spans="2:12" x14ac:dyDescent="0.2">
      <c r="B23268"/>
      <c r="C23268"/>
      <c r="J23268"/>
      <c r="K23268"/>
      <c r="L23268"/>
    </row>
    <row r="23269" spans="2:12" x14ac:dyDescent="0.2">
      <c r="B23269"/>
      <c r="C23269"/>
      <c r="J23269"/>
      <c r="K23269"/>
      <c r="L23269"/>
    </row>
    <row r="23270" spans="2:12" x14ac:dyDescent="0.2">
      <c r="B23270"/>
      <c r="C23270"/>
      <c r="J23270"/>
      <c r="K23270"/>
      <c r="L23270"/>
    </row>
    <row r="23271" spans="2:12" x14ac:dyDescent="0.2">
      <c r="B23271"/>
      <c r="C23271"/>
      <c r="J23271"/>
      <c r="K23271"/>
      <c r="L23271"/>
    </row>
    <row r="23272" spans="2:12" x14ac:dyDescent="0.2">
      <c r="B23272"/>
      <c r="C23272"/>
      <c r="J23272"/>
      <c r="K23272"/>
      <c r="L23272"/>
    </row>
    <row r="23273" spans="2:12" x14ac:dyDescent="0.2">
      <c r="B23273"/>
      <c r="C23273"/>
      <c r="J23273"/>
      <c r="K23273"/>
      <c r="L23273"/>
    </row>
    <row r="23274" spans="2:12" x14ac:dyDescent="0.2">
      <c r="B23274"/>
      <c r="C23274"/>
      <c r="J23274"/>
      <c r="K23274"/>
      <c r="L23274"/>
    </row>
    <row r="23275" spans="2:12" x14ac:dyDescent="0.2">
      <c r="B23275"/>
      <c r="C23275"/>
      <c r="J23275"/>
      <c r="K23275"/>
      <c r="L23275"/>
    </row>
    <row r="23276" spans="2:12" x14ac:dyDescent="0.2">
      <c r="B23276"/>
      <c r="C23276"/>
      <c r="J23276"/>
      <c r="K23276"/>
      <c r="L23276"/>
    </row>
    <row r="23277" spans="2:12" x14ac:dyDescent="0.2">
      <c r="B23277"/>
      <c r="C23277"/>
      <c r="J23277"/>
      <c r="K23277"/>
      <c r="L23277"/>
    </row>
    <row r="23278" spans="2:12" x14ac:dyDescent="0.2">
      <c r="B23278"/>
      <c r="C23278"/>
      <c r="J23278"/>
      <c r="K23278"/>
      <c r="L23278"/>
    </row>
    <row r="23279" spans="2:12" x14ac:dyDescent="0.2">
      <c r="B23279"/>
      <c r="C23279"/>
      <c r="J23279"/>
      <c r="K23279"/>
      <c r="L23279"/>
    </row>
    <row r="23280" spans="2:12" x14ac:dyDescent="0.2">
      <c r="B23280"/>
      <c r="C23280"/>
      <c r="J23280"/>
      <c r="K23280"/>
      <c r="L23280"/>
    </row>
    <row r="23281" spans="2:12" x14ac:dyDescent="0.2">
      <c r="B23281"/>
      <c r="C23281"/>
      <c r="J23281"/>
      <c r="K23281"/>
      <c r="L23281"/>
    </row>
    <row r="23282" spans="2:12" x14ac:dyDescent="0.2">
      <c r="B23282"/>
      <c r="C23282"/>
      <c r="J23282"/>
      <c r="K23282"/>
      <c r="L23282"/>
    </row>
    <row r="23283" spans="2:12" x14ac:dyDescent="0.2">
      <c r="B23283"/>
      <c r="C23283"/>
      <c r="J23283"/>
      <c r="K23283"/>
      <c r="L23283"/>
    </row>
    <row r="23284" spans="2:12" x14ac:dyDescent="0.2">
      <c r="B23284"/>
      <c r="C23284"/>
      <c r="J23284"/>
      <c r="K23284"/>
      <c r="L23284"/>
    </row>
    <row r="23285" spans="2:12" x14ac:dyDescent="0.2">
      <c r="B23285"/>
      <c r="C23285"/>
      <c r="J23285"/>
      <c r="K23285"/>
      <c r="L23285"/>
    </row>
    <row r="23286" spans="2:12" x14ac:dyDescent="0.2">
      <c r="B23286"/>
      <c r="C23286"/>
      <c r="J23286"/>
      <c r="K23286"/>
      <c r="L23286"/>
    </row>
    <row r="23287" spans="2:12" x14ac:dyDescent="0.2">
      <c r="B23287"/>
      <c r="C23287"/>
      <c r="J23287"/>
      <c r="K23287"/>
      <c r="L23287"/>
    </row>
    <row r="23288" spans="2:12" x14ac:dyDescent="0.2">
      <c r="B23288"/>
      <c r="C23288"/>
      <c r="J23288"/>
      <c r="K23288"/>
      <c r="L23288"/>
    </row>
    <row r="23289" spans="2:12" x14ac:dyDescent="0.2">
      <c r="B23289"/>
      <c r="C23289"/>
      <c r="J23289"/>
      <c r="K23289"/>
      <c r="L23289"/>
    </row>
    <row r="23290" spans="2:12" x14ac:dyDescent="0.2">
      <c r="B23290"/>
      <c r="C23290"/>
      <c r="J23290"/>
      <c r="K23290"/>
      <c r="L23290"/>
    </row>
    <row r="23291" spans="2:12" x14ac:dyDescent="0.2">
      <c r="B23291"/>
      <c r="C23291"/>
      <c r="J23291"/>
      <c r="K23291"/>
      <c r="L23291"/>
    </row>
    <row r="23292" spans="2:12" x14ac:dyDescent="0.2">
      <c r="B23292"/>
      <c r="C23292"/>
      <c r="J23292"/>
      <c r="K23292"/>
      <c r="L23292"/>
    </row>
    <row r="23293" spans="2:12" x14ac:dyDescent="0.2">
      <c r="B23293"/>
      <c r="C23293"/>
      <c r="J23293"/>
      <c r="K23293"/>
      <c r="L23293"/>
    </row>
    <row r="23294" spans="2:12" x14ac:dyDescent="0.2">
      <c r="B23294"/>
      <c r="C23294"/>
      <c r="J23294"/>
      <c r="K23294"/>
      <c r="L23294"/>
    </row>
    <row r="23295" spans="2:12" x14ac:dyDescent="0.2">
      <c r="B23295"/>
      <c r="C23295"/>
      <c r="J23295"/>
      <c r="K23295"/>
      <c r="L23295"/>
    </row>
    <row r="23296" spans="2:12" x14ac:dyDescent="0.2">
      <c r="B23296"/>
      <c r="C23296"/>
      <c r="J23296"/>
      <c r="K23296"/>
      <c r="L23296"/>
    </row>
    <row r="23297" spans="2:12" x14ac:dyDescent="0.2">
      <c r="B23297"/>
      <c r="C23297"/>
      <c r="J23297"/>
      <c r="K23297"/>
      <c r="L23297"/>
    </row>
    <row r="23298" spans="2:12" x14ac:dyDescent="0.2">
      <c r="B23298"/>
      <c r="C23298"/>
      <c r="J23298"/>
      <c r="K23298"/>
      <c r="L23298"/>
    </row>
    <row r="23299" spans="2:12" x14ac:dyDescent="0.2">
      <c r="B23299"/>
      <c r="C23299"/>
      <c r="J23299"/>
      <c r="K23299"/>
      <c r="L23299"/>
    </row>
    <row r="23300" spans="2:12" x14ac:dyDescent="0.2">
      <c r="B23300"/>
      <c r="C23300"/>
      <c r="J23300"/>
      <c r="K23300"/>
      <c r="L23300"/>
    </row>
    <row r="23301" spans="2:12" x14ac:dyDescent="0.2">
      <c r="B23301"/>
      <c r="C23301"/>
      <c r="J23301"/>
      <c r="K23301"/>
      <c r="L23301"/>
    </row>
    <row r="23302" spans="2:12" x14ac:dyDescent="0.2">
      <c r="B23302"/>
      <c r="C23302"/>
      <c r="J23302"/>
      <c r="K23302"/>
      <c r="L23302"/>
    </row>
    <row r="23303" spans="2:12" x14ac:dyDescent="0.2">
      <c r="B23303"/>
      <c r="C23303"/>
      <c r="J23303"/>
      <c r="K23303"/>
      <c r="L23303"/>
    </row>
    <row r="23304" spans="2:12" x14ac:dyDescent="0.2">
      <c r="B23304"/>
      <c r="C23304"/>
      <c r="J23304"/>
      <c r="K23304"/>
      <c r="L23304"/>
    </row>
    <row r="23305" spans="2:12" x14ac:dyDescent="0.2">
      <c r="B23305"/>
      <c r="C23305"/>
      <c r="J23305"/>
      <c r="K23305"/>
      <c r="L23305"/>
    </row>
    <row r="23306" spans="2:12" x14ac:dyDescent="0.2">
      <c r="B23306"/>
      <c r="C23306"/>
      <c r="J23306"/>
      <c r="K23306"/>
      <c r="L23306"/>
    </row>
    <row r="23307" spans="2:12" x14ac:dyDescent="0.2">
      <c r="B23307"/>
      <c r="C23307"/>
      <c r="J23307"/>
      <c r="K23307"/>
      <c r="L23307"/>
    </row>
    <row r="23308" spans="2:12" x14ac:dyDescent="0.2">
      <c r="B23308"/>
      <c r="C23308"/>
      <c r="J23308"/>
      <c r="K23308"/>
      <c r="L23308"/>
    </row>
    <row r="23309" spans="2:12" x14ac:dyDescent="0.2">
      <c r="B23309"/>
      <c r="C23309"/>
      <c r="J23309"/>
      <c r="K23309"/>
      <c r="L23309"/>
    </row>
    <row r="23310" spans="2:12" x14ac:dyDescent="0.2">
      <c r="B23310"/>
      <c r="C23310"/>
      <c r="J23310"/>
      <c r="K23310"/>
      <c r="L23310"/>
    </row>
    <row r="23311" spans="2:12" x14ac:dyDescent="0.2">
      <c r="B23311"/>
      <c r="C23311"/>
      <c r="J23311"/>
      <c r="K23311"/>
      <c r="L23311"/>
    </row>
    <row r="23312" spans="2:12" x14ac:dyDescent="0.2">
      <c r="B23312"/>
      <c r="C23312"/>
      <c r="J23312"/>
      <c r="K23312"/>
      <c r="L23312"/>
    </row>
    <row r="23313" spans="2:12" x14ac:dyDescent="0.2">
      <c r="B23313"/>
      <c r="C23313"/>
      <c r="J23313"/>
      <c r="K23313"/>
      <c r="L23313"/>
    </row>
    <row r="23314" spans="2:12" x14ac:dyDescent="0.2">
      <c r="B23314"/>
      <c r="C23314"/>
      <c r="J23314"/>
      <c r="K23314"/>
      <c r="L23314"/>
    </row>
    <row r="23315" spans="2:12" x14ac:dyDescent="0.2">
      <c r="B23315"/>
      <c r="C23315"/>
      <c r="J23315"/>
      <c r="K23315"/>
      <c r="L23315"/>
    </row>
    <row r="23316" spans="2:12" x14ac:dyDescent="0.2">
      <c r="B23316"/>
      <c r="C23316"/>
      <c r="J23316"/>
      <c r="K23316"/>
      <c r="L23316"/>
    </row>
    <row r="23317" spans="2:12" x14ac:dyDescent="0.2">
      <c r="B23317"/>
      <c r="C23317"/>
      <c r="J23317"/>
      <c r="K23317"/>
      <c r="L23317"/>
    </row>
    <row r="23318" spans="2:12" x14ac:dyDescent="0.2">
      <c r="B23318"/>
      <c r="C23318"/>
      <c r="J23318"/>
      <c r="K23318"/>
      <c r="L23318"/>
    </row>
    <row r="23319" spans="2:12" x14ac:dyDescent="0.2">
      <c r="B23319"/>
      <c r="C23319"/>
      <c r="J23319"/>
      <c r="K23319"/>
      <c r="L23319"/>
    </row>
    <row r="23320" spans="2:12" x14ac:dyDescent="0.2">
      <c r="B23320"/>
      <c r="C23320"/>
      <c r="J23320"/>
      <c r="K23320"/>
      <c r="L23320"/>
    </row>
    <row r="23321" spans="2:12" x14ac:dyDescent="0.2">
      <c r="B23321"/>
      <c r="C23321"/>
      <c r="J23321"/>
      <c r="K23321"/>
      <c r="L23321"/>
    </row>
    <row r="23322" spans="2:12" x14ac:dyDescent="0.2">
      <c r="B23322"/>
      <c r="C23322"/>
      <c r="J23322"/>
      <c r="K23322"/>
      <c r="L23322"/>
    </row>
    <row r="23323" spans="2:12" x14ac:dyDescent="0.2">
      <c r="B23323"/>
      <c r="C23323"/>
      <c r="J23323"/>
      <c r="K23323"/>
      <c r="L23323"/>
    </row>
    <row r="23324" spans="2:12" x14ac:dyDescent="0.2">
      <c r="B23324"/>
      <c r="C23324"/>
      <c r="J23324"/>
      <c r="K23324"/>
      <c r="L23324"/>
    </row>
    <row r="23325" spans="2:12" x14ac:dyDescent="0.2">
      <c r="B23325"/>
      <c r="C23325"/>
      <c r="J23325"/>
      <c r="K23325"/>
      <c r="L23325"/>
    </row>
    <row r="23326" spans="2:12" x14ac:dyDescent="0.2">
      <c r="B23326"/>
      <c r="C23326"/>
      <c r="J23326"/>
      <c r="K23326"/>
      <c r="L23326"/>
    </row>
    <row r="23327" spans="2:12" x14ac:dyDescent="0.2">
      <c r="B23327"/>
      <c r="C23327"/>
      <c r="J23327"/>
      <c r="K23327"/>
      <c r="L23327"/>
    </row>
    <row r="23328" spans="2:12" x14ac:dyDescent="0.2">
      <c r="B23328"/>
      <c r="C23328"/>
      <c r="J23328"/>
      <c r="K23328"/>
      <c r="L23328"/>
    </row>
    <row r="23329" spans="2:12" x14ac:dyDescent="0.2">
      <c r="B23329"/>
      <c r="C23329"/>
      <c r="J23329"/>
      <c r="K23329"/>
      <c r="L23329"/>
    </row>
    <row r="23330" spans="2:12" x14ac:dyDescent="0.2">
      <c r="B23330"/>
      <c r="C23330"/>
      <c r="J23330"/>
      <c r="K23330"/>
      <c r="L23330"/>
    </row>
    <row r="23331" spans="2:12" x14ac:dyDescent="0.2">
      <c r="B23331"/>
      <c r="C23331"/>
      <c r="J23331"/>
      <c r="K23331"/>
      <c r="L23331"/>
    </row>
    <row r="23332" spans="2:12" x14ac:dyDescent="0.2">
      <c r="B23332"/>
      <c r="C23332"/>
      <c r="J23332"/>
      <c r="K23332"/>
      <c r="L23332"/>
    </row>
    <row r="23333" spans="2:12" x14ac:dyDescent="0.2">
      <c r="B23333"/>
      <c r="C23333"/>
      <c r="J23333"/>
      <c r="K23333"/>
      <c r="L23333"/>
    </row>
    <row r="23334" spans="2:12" x14ac:dyDescent="0.2">
      <c r="B23334"/>
      <c r="C23334"/>
      <c r="J23334"/>
      <c r="K23334"/>
      <c r="L23334"/>
    </row>
    <row r="23335" spans="2:12" x14ac:dyDescent="0.2">
      <c r="B23335"/>
      <c r="C23335"/>
      <c r="J23335"/>
      <c r="K23335"/>
      <c r="L23335"/>
    </row>
    <row r="23336" spans="2:12" x14ac:dyDescent="0.2">
      <c r="B23336"/>
      <c r="C23336"/>
      <c r="J23336"/>
      <c r="K23336"/>
      <c r="L23336"/>
    </row>
    <row r="23337" spans="2:12" x14ac:dyDescent="0.2">
      <c r="B23337"/>
      <c r="C23337"/>
      <c r="J23337"/>
      <c r="K23337"/>
      <c r="L23337"/>
    </row>
    <row r="23338" spans="2:12" x14ac:dyDescent="0.2">
      <c r="B23338"/>
      <c r="C23338"/>
      <c r="J23338"/>
      <c r="K23338"/>
      <c r="L23338"/>
    </row>
    <row r="23339" spans="2:12" x14ac:dyDescent="0.2">
      <c r="B23339"/>
      <c r="C23339"/>
      <c r="J23339"/>
      <c r="K23339"/>
      <c r="L23339"/>
    </row>
    <row r="23340" spans="2:12" x14ac:dyDescent="0.2">
      <c r="B23340"/>
      <c r="C23340"/>
      <c r="J23340"/>
      <c r="K23340"/>
      <c r="L23340"/>
    </row>
    <row r="23341" spans="2:12" x14ac:dyDescent="0.2">
      <c r="B23341"/>
      <c r="C23341"/>
      <c r="J23341"/>
      <c r="K23341"/>
      <c r="L23341"/>
    </row>
    <row r="23342" spans="2:12" x14ac:dyDescent="0.2">
      <c r="B23342"/>
      <c r="C23342"/>
      <c r="J23342"/>
      <c r="K23342"/>
      <c r="L23342"/>
    </row>
    <row r="23343" spans="2:12" x14ac:dyDescent="0.2">
      <c r="B23343"/>
      <c r="C23343"/>
      <c r="J23343"/>
      <c r="K23343"/>
      <c r="L23343"/>
    </row>
    <row r="23344" spans="2:12" x14ac:dyDescent="0.2">
      <c r="B23344"/>
      <c r="C23344"/>
      <c r="J23344"/>
      <c r="K23344"/>
      <c r="L23344"/>
    </row>
    <row r="23345" spans="2:12" x14ac:dyDescent="0.2">
      <c r="B23345"/>
      <c r="C23345"/>
      <c r="J23345"/>
      <c r="K23345"/>
      <c r="L23345"/>
    </row>
    <row r="23346" spans="2:12" x14ac:dyDescent="0.2">
      <c r="B23346"/>
      <c r="C23346"/>
      <c r="J23346"/>
      <c r="K23346"/>
      <c r="L23346"/>
    </row>
    <row r="23347" spans="2:12" x14ac:dyDescent="0.2">
      <c r="B23347"/>
      <c r="C23347"/>
      <c r="J23347"/>
      <c r="K23347"/>
      <c r="L23347"/>
    </row>
    <row r="23348" spans="2:12" x14ac:dyDescent="0.2">
      <c r="B23348"/>
      <c r="C23348"/>
      <c r="J23348"/>
      <c r="K23348"/>
      <c r="L23348"/>
    </row>
    <row r="23349" spans="2:12" x14ac:dyDescent="0.2">
      <c r="B23349"/>
      <c r="C23349"/>
      <c r="J23349"/>
      <c r="K23349"/>
      <c r="L23349"/>
    </row>
    <row r="23350" spans="2:12" x14ac:dyDescent="0.2">
      <c r="B23350"/>
      <c r="C23350"/>
      <c r="J23350"/>
      <c r="K23350"/>
      <c r="L23350"/>
    </row>
    <row r="23351" spans="2:12" x14ac:dyDescent="0.2">
      <c r="B23351"/>
      <c r="C23351"/>
      <c r="J23351"/>
      <c r="K23351"/>
      <c r="L23351"/>
    </row>
    <row r="23352" spans="2:12" x14ac:dyDescent="0.2">
      <c r="B23352"/>
      <c r="C23352"/>
      <c r="J23352"/>
      <c r="K23352"/>
      <c r="L23352"/>
    </row>
    <row r="23353" spans="2:12" x14ac:dyDescent="0.2">
      <c r="B23353"/>
      <c r="C23353"/>
      <c r="J23353"/>
      <c r="K23353"/>
      <c r="L23353"/>
    </row>
    <row r="23354" spans="2:12" x14ac:dyDescent="0.2">
      <c r="B23354"/>
      <c r="C23354"/>
      <c r="J23354"/>
      <c r="K23354"/>
      <c r="L23354"/>
    </row>
    <row r="23355" spans="2:12" x14ac:dyDescent="0.2">
      <c r="B23355"/>
      <c r="C23355"/>
      <c r="J23355"/>
      <c r="K23355"/>
      <c r="L23355"/>
    </row>
    <row r="23356" spans="2:12" x14ac:dyDescent="0.2">
      <c r="B23356"/>
      <c r="C23356"/>
      <c r="J23356"/>
      <c r="K23356"/>
      <c r="L23356"/>
    </row>
    <row r="23357" spans="2:12" x14ac:dyDescent="0.2">
      <c r="B23357"/>
      <c r="C23357"/>
      <c r="J23357"/>
      <c r="K23357"/>
      <c r="L23357"/>
    </row>
    <row r="23358" spans="2:12" x14ac:dyDescent="0.2">
      <c r="B23358"/>
      <c r="C23358"/>
      <c r="J23358"/>
      <c r="K23358"/>
      <c r="L23358"/>
    </row>
    <row r="23359" spans="2:12" x14ac:dyDescent="0.2">
      <c r="B23359"/>
      <c r="C23359"/>
      <c r="J23359"/>
      <c r="K23359"/>
      <c r="L23359"/>
    </row>
    <row r="23360" spans="2:12" x14ac:dyDescent="0.2">
      <c r="B23360"/>
      <c r="C23360"/>
      <c r="J23360"/>
      <c r="K23360"/>
      <c r="L23360"/>
    </row>
    <row r="23361" spans="2:12" x14ac:dyDescent="0.2">
      <c r="B23361"/>
      <c r="C23361"/>
      <c r="J23361"/>
      <c r="K23361"/>
      <c r="L23361"/>
    </row>
    <row r="23362" spans="2:12" x14ac:dyDescent="0.2">
      <c r="B23362"/>
      <c r="C23362"/>
      <c r="J23362"/>
      <c r="K23362"/>
      <c r="L23362"/>
    </row>
    <row r="23363" spans="2:12" x14ac:dyDescent="0.2">
      <c r="B23363"/>
      <c r="C23363"/>
      <c r="J23363"/>
      <c r="K23363"/>
      <c r="L23363"/>
    </row>
    <row r="23364" spans="2:12" x14ac:dyDescent="0.2">
      <c r="B23364"/>
      <c r="C23364"/>
      <c r="J23364"/>
      <c r="K23364"/>
      <c r="L23364"/>
    </row>
    <row r="23365" spans="2:12" x14ac:dyDescent="0.2">
      <c r="B23365"/>
      <c r="C23365"/>
      <c r="J23365"/>
      <c r="K23365"/>
      <c r="L23365"/>
    </row>
    <row r="23366" spans="2:12" x14ac:dyDescent="0.2">
      <c r="B23366"/>
      <c r="C23366"/>
      <c r="J23366"/>
      <c r="K23366"/>
      <c r="L23366"/>
    </row>
    <row r="23367" spans="2:12" x14ac:dyDescent="0.2">
      <c r="B23367"/>
      <c r="C23367"/>
      <c r="J23367"/>
      <c r="K23367"/>
      <c r="L23367"/>
    </row>
    <row r="23368" spans="2:12" x14ac:dyDescent="0.2">
      <c r="B23368"/>
      <c r="C23368"/>
      <c r="J23368"/>
      <c r="K23368"/>
      <c r="L23368"/>
    </row>
    <row r="23369" spans="2:12" x14ac:dyDescent="0.2">
      <c r="B23369"/>
      <c r="C23369"/>
      <c r="J23369"/>
      <c r="K23369"/>
      <c r="L23369"/>
    </row>
    <row r="23370" spans="2:12" x14ac:dyDescent="0.2">
      <c r="B23370"/>
      <c r="C23370"/>
      <c r="J23370"/>
      <c r="K23370"/>
      <c r="L23370"/>
    </row>
    <row r="23371" spans="2:12" x14ac:dyDescent="0.2">
      <c r="B23371"/>
      <c r="C23371"/>
      <c r="J23371"/>
      <c r="K23371"/>
      <c r="L23371"/>
    </row>
    <row r="23372" spans="2:12" x14ac:dyDescent="0.2">
      <c r="B23372"/>
      <c r="C23372"/>
      <c r="J23372"/>
      <c r="K23372"/>
      <c r="L23372"/>
    </row>
    <row r="23373" spans="2:12" x14ac:dyDescent="0.2">
      <c r="B23373"/>
      <c r="C23373"/>
      <c r="J23373"/>
      <c r="K23373"/>
      <c r="L23373"/>
    </row>
    <row r="23374" spans="2:12" x14ac:dyDescent="0.2">
      <c r="B23374"/>
      <c r="C23374"/>
      <c r="J23374"/>
      <c r="K23374"/>
      <c r="L23374"/>
    </row>
    <row r="23375" spans="2:12" x14ac:dyDescent="0.2">
      <c r="B23375"/>
      <c r="C23375"/>
      <c r="J23375"/>
      <c r="K23375"/>
      <c r="L23375"/>
    </row>
    <row r="23376" spans="2:12" x14ac:dyDescent="0.2">
      <c r="B23376"/>
      <c r="C23376"/>
      <c r="J23376"/>
      <c r="K23376"/>
      <c r="L23376"/>
    </row>
    <row r="23377" spans="2:12" x14ac:dyDescent="0.2">
      <c r="B23377"/>
      <c r="C23377"/>
      <c r="J23377"/>
      <c r="K23377"/>
      <c r="L23377"/>
    </row>
    <row r="23378" spans="2:12" x14ac:dyDescent="0.2">
      <c r="B23378"/>
      <c r="C23378"/>
      <c r="J23378"/>
      <c r="K23378"/>
      <c r="L23378"/>
    </row>
    <row r="23379" spans="2:12" x14ac:dyDescent="0.2">
      <c r="B23379"/>
      <c r="C23379"/>
      <c r="J23379"/>
      <c r="K23379"/>
      <c r="L23379"/>
    </row>
    <row r="23380" spans="2:12" x14ac:dyDescent="0.2">
      <c r="B23380"/>
      <c r="C23380"/>
      <c r="J23380"/>
      <c r="K23380"/>
      <c r="L23380"/>
    </row>
    <row r="23381" spans="2:12" x14ac:dyDescent="0.2">
      <c r="B23381"/>
      <c r="C23381"/>
      <c r="J23381"/>
      <c r="K23381"/>
      <c r="L23381"/>
    </row>
    <row r="23382" spans="2:12" x14ac:dyDescent="0.2">
      <c r="B23382"/>
      <c r="C23382"/>
      <c r="J23382"/>
      <c r="K23382"/>
      <c r="L23382"/>
    </row>
    <row r="23383" spans="2:12" x14ac:dyDescent="0.2">
      <c r="B23383"/>
      <c r="C23383"/>
      <c r="J23383"/>
      <c r="K23383"/>
      <c r="L23383"/>
    </row>
    <row r="23384" spans="2:12" x14ac:dyDescent="0.2">
      <c r="B23384"/>
      <c r="C23384"/>
      <c r="J23384"/>
      <c r="K23384"/>
      <c r="L23384"/>
    </row>
    <row r="23385" spans="2:12" x14ac:dyDescent="0.2">
      <c r="B23385"/>
      <c r="C23385"/>
      <c r="J23385"/>
      <c r="K23385"/>
      <c r="L23385"/>
    </row>
    <row r="23386" spans="2:12" x14ac:dyDescent="0.2">
      <c r="B23386"/>
      <c r="C23386"/>
      <c r="J23386"/>
      <c r="K23386"/>
      <c r="L23386"/>
    </row>
    <row r="23387" spans="2:12" x14ac:dyDescent="0.2">
      <c r="B23387"/>
      <c r="C23387"/>
      <c r="J23387"/>
      <c r="K23387"/>
      <c r="L23387"/>
    </row>
    <row r="23388" spans="2:12" x14ac:dyDescent="0.2">
      <c r="B23388"/>
      <c r="C23388"/>
      <c r="J23388"/>
      <c r="K23388"/>
      <c r="L23388"/>
    </row>
    <row r="23389" spans="2:12" x14ac:dyDescent="0.2">
      <c r="B23389"/>
      <c r="C23389"/>
      <c r="J23389"/>
      <c r="K23389"/>
      <c r="L23389"/>
    </row>
    <row r="23390" spans="2:12" x14ac:dyDescent="0.2">
      <c r="B23390"/>
      <c r="C23390"/>
      <c r="J23390"/>
      <c r="K23390"/>
      <c r="L23390"/>
    </row>
    <row r="23391" spans="2:12" x14ac:dyDescent="0.2">
      <c r="B23391"/>
      <c r="C23391"/>
      <c r="J23391"/>
      <c r="K23391"/>
      <c r="L23391"/>
    </row>
    <row r="23392" spans="2:12" x14ac:dyDescent="0.2">
      <c r="B23392"/>
      <c r="C23392"/>
      <c r="J23392"/>
      <c r="K23392"/>
      <c r="L23392"/>
    </row>
    <row r="23393" spans="2:12" x14ac:dyDescent="0.2">
      <c r="B23393"/>
      <c r="C23393"/>
      <c r="J23393"/>
      <c r="K23393"/>
      <c r="L23393"/>
    </row>
    <row r="23394" spans="2:12" x14ac:dyDescent="0.2">
      <c r="B23394"/>
      <c r="C23394"/>
      <c r="J23394"/>
      <c r="K23394"/>
      <c r="L23394"/>
    </row>
    <row r="23395" spans="2:12" x14ac:dyDescent="0.2">
      <c r="B23395"/>
      <c r="C23395"/>
      <c r="J23395"/>
      <c r="K23395"/>
      <c r="L23395"/>
    </row>
    <row r="23396" spans="2:12" x14ac:dyDescent="0.2">
      <c r="B23396"/>
      <c r="C23396"/>
      <c r="J23396"/>
      <c r="K23396"/>
      <c r="L23396"/>
    </row>
    <row r="23397" spans="2:12" x14ac:dyDescent="0.2">
      <c r="B23397"/>
      <c r="C23397"/>
      <c r="J23397"/>
      <c r="K23397"/>
      <c r="L23397"/>
    </row>
    <row r="23398" spans="2:12" x14ac:dyDescent="0.2">
      <c r="B23398"/>
      <c r="C23398"/>
      <c r="J23398"/>
      <c r="K23398"/>
      <c r="L23398"/>
    </row>
    <row r="23399" spans="2:12" x14ac:dyDescent="0.2">
      <c r="B23399"/>
      <c r="C23399"/>
      <c r="J23399"/>
      <c r="K23399"/>
      <c r="L23399"/>
    </row>
    <row r="23400" spans="2:12" x14ac:dyDescent="0.2">
      <c r="B23400"/>
      <c r="C23400"/>
      <c r="J23400"/>
      <c r="K23400"/>
      <c r="L23400"/>
    </row>
    <row r="23401" spans="2:12" x14ac:dyDescent="0.2">
      <c r="B23401"/>
      <c r="C23401"/>
      <c r="J23401"/>
      <c r="K23401"/>
      <c r="L23401"/>
    </row>
    <row r="23402" spans="2:12" x14ac:dyDescent="0.2">
      <c r="B23402"/>
      <c r="C23402"/>
      <c r="J23402"/>
      <c r="K23402"/>
      <c r="L23402"/>
    </row>
    <row r="23403" spans="2:12" x14ac:dyDescent="0.2">
      <c r="B23403"/>
      <c r="C23403"/>
      <c r="J23403"/>
      <c r="K23403"/>
      <c r="L23403"/>
    </row>
    <row r="23404" spans="2:12" x14ac:dyDescent="0.2">
      <c r="B23404"/>
      <c r="C23404"/>
      <c r="J23404"/>
      <c r="K23404"/>
      <c r="L23404"/>
    </row>
    <row r="23405" spans="2:12" x14ac:dyDescent="0.2">
      <c r="B23405"/>
      <c r="C23405"/>
      <c r="J23405"/>
      <c r="K23405"/>
      <c r="L23405"/>
    </row>
    <row r="23406" spans="2:12" x14ac:dyDescent="0.2">
      <c r="B23406"/>
      <c r="C23406"/>
      <c r="J23406"/>
      <c r="K23406"/>
      <c r="L23406"/>
    </row>
    <row r="23407" spans="2:12" x14ac:dyDescent="0.2">
      <c r="B23407"/>
      <c r="C23407"/>
      <c r="J23407"/>
      <c r="K23407"/>
      <c r="L23407"/>
    </row>
    <row r="23408" spans="2:12" x14ac:dyDescent="0.2">
      <c r="B23408"/>
      <c r="C23408"/>
      <c r="J23408"/>
      <c r="K23408"/>
      <c r="L23408"/>
    </row>
    <row r="23409" spans="2:12" x14ac:dyDescent="0.2">
      <c r="B23409"/>
      <c r="C23409"/>
      <c r="J23409"/>
      <c r="K23409"/>
      <c r="L23409"/>
    </row>
    <row r="23410" spans="2:12" x14ac:dyDescent="0.2">
      <c r="B23410"/>
      <c r="C23410"/>
      <c r="J23410"/>
      <c r="K23410"/>
      <c r="L23410"/>
    </row>
    <row r="23411" spans="2:12" x14ac:dyDescent="0.2">
      <c r="B23411"/>
      <c r="C23411"/>
      <c r="J23411"/>
      <c r="K23411"/>
      <c r="L23411"/>
    </row>
    <row r="23412" spans="2:12" x14ac:dyDescent="0.2">
      <c r="B23412"/>
      <c r="C23412"/>
      <c r="J23412"/>
      <c r="K23412"/>
      <c r="L23412"/>
    </row>
    <row r="23413" spans="2:12" x14ac:dyDescent="0.2">
      <c r="B23413"/>
      <c r="C23413"/>
      <c r="J23413"/>
      <c r="K23413"/>
      <c r="L23413"/>
    </row>
    <row r="23414" spans="2:12" x14ac:dyDescent="0.2">
      <c r="B23414"/>
      <c r="C23414"/>
      <c r="J23414"/>
      <c r="K23414"/>
      <c r="L23414"/>
    </row>
    <row r="23415" spans="2:12" x14ac:dyDescent="0.2">
      <c r="B23415"/>
      <c r="C23415"/>
      <c r="J23415"/>
      <c r="K23415"/>
      <c r="L23415"/>
    </row>
    <row r="23416" spans="2:12" x14ac:dyDescent="0.2">
      <c r="B23416"/>
      <c r="C23416"/>
      <c r="J23416"/>
      <c r="K23416"/>
      <c r="L23416"/>
    </row>
    <row r="23417" spans="2:12" x14ac:dyDescent="0.2">
      <c r="B23417"/>
      <c r="C23417"/>
      <c r="J23417"/>
      <c r="K23417"/>
      <c r="L23417"/>
    </row>
    <row r="23418" spans="2:12" x14ac:dyDescent="0.2">
      <c r="B23418"/>
      <c r="C23418"/>
      <c r="J23418"/>
      <c r="K23418"/>
      <c r="L23418"/>
    </row>
    <row r="23419" spans="2:12" x14ac:dyDescent="0.2">
      <c r="B23419"/>
      <c r="C23419"/>
      <c r="J23419"/>
      <c r="K23419"/>
      <c r="L23419"/>
    </row>
    <row r="23420" spans="2:12" x14ac:dyDescent="0.2">
      <c r="B23420"/>
      <c r="C23420"/>
      <c r="J23420"/>
      <c r="K23420"/>
      <c r="L23420"/>
    </row>
    <row r="23421" spans="2:12" x14ac:dyDescent="0.2">
      <c r="B23421"/>
      <c r="C23421"/>
      <c r="J23421"/>
      <c r="K23421"/>
      <c r="L23421"/>
    </row>
    <row r="23422" spans="2:12" x14ac:dyDescent="0.2">
      <c r="B23422"/>
      <c r="C23422"/>
      <c r="J23422"/>
      <c r="K23422"/>
      <c r="L23422"/>
    </row>
    <row r="23423" spans="2:12" x14ac:dyDescent="0.2">
      <c r="B23423"/>
      <c r="C23423"/>
      <c r="J23423"/>
      <c r="K23423"/>
      <c r="L23423"/>
    </row>
    <row r="23424" spans="2:12" x14ac:dyDescent="0.2">
      <c r="B23424"/>
      <c r="C23424"/>
      <c r="J23424"/>
      <c r="K23424"/>
      <c r="L23424"/>
    </row>
    <row r="23425" spans="2:12" x14ac:dyDescent="0.2">
      <c r="B23425"/>
      <c r="C23425"/>
      <c r="J23425"/>
      <c r="K23425"/>
      <c r="L23425"/>
    </row>
    <row r="23426" spans="2:12" x14ac:dyDescent="0.2">
      <c r="B23426"/>
      <c r="C23426"/>
      <c r="J23426"/>
      <c r="K23426"/>
      <c r="L23426"/>
    </row>
    <row r="23427" spans="2:12" x14ac:dyDescent="0.2">
      <c r="B23427"/>
      <c r="C23427"/>
      <c r="J23427"/>
      <c r="K23427"/>
      <c r="L23427"/>
    </row>
    <row r="23428" spans="2:12" x14ac:dyDescent="0.2">
      <c r="B23428"/>
      <c r="C23428"/>
      <c r="J23428"/>
      <c r="K23428"/>
      <c r="L23428"/>
    </row>
    <row r="23429" spans="2:12" x14ac:dyDescent="0.2">
      <c r="B23429"/>
      <c r="C23429"/>
      <c r="J23429"/>
      <c r="K23429"/>
      <c r="L23429"/>
    </row>
    <row r="23430" spans="2:12" x14ac:dyDescent="0.2">
      <c r="B23430"/>
      <c r="C23430"/>
      <c r="J23430"/>
      <c r="K23430"/>
      <c r="L23430"/>
    </row>
    <row r="23431" spans="2:12" x14ac:dyDescent="0.2">
      <c r="B23431"/>
      <c r="C23431"/>
      <c r="J23431"/>
      <c r="K23431"/>
      <c r="L23431"/>
    </row>
    <row r="23432" spans="2:12" x14ac:dyDescent="0.2">
      <c r="B23432"/>
      <c r="C23432"/>
      <c r="J23432"/>
      <c r="K23432"/>
      <c r="L23432"/>
    </row>
    <row r="23433" spans="2:12" x14ac:dyDescent="0.2">
      <c r="B23433"/>
      <c r="C23433"/>
      <c r="J23433"/>
      <c r="K23433"/>
      <c r="L23433"/>
    </row>
    <row r="23434" spans="2:12" x14ac:dyDescent="0.2">
      <c r="B23434"/>
      <c r="C23434"/>
      <c r="J23434"/>
      <c r="K23434"/>
      <c r="L23434"/>
    </row>
    <row r="23435" spans="2:12" x14ac:dyDescent="0.2">
      <c r="B23435"/>
      <c r="C23435"/>
      <c r="J23435"/>
      <c r="K23435"/>
      <c r="L23435"/>
    </row>
    <row r="23436" spans="2:12" x14ac:dyDescent="0.2">
      <c r="B23436"/>
      <c r="C23436"/>
      <c r="J23436"/>
      <c r="K23436"/>
      <c r="L23436"/>
    </row>
    <row r="23437" spans="2:12" x14ac:dyDescent="0.2">
      <c r="B23437"/>
      <c r="C23437"/>
      <c r="J23437"/>
      <c r="K23437"/>
      <c r="L23437"/>
    </row>
    <row r="23438" spans="2:12" x14ac:dyDescent="0.2">
      <c r="B23438"/>
      <c r="C23438"/>
      <c r="J23438"/>
      <c r="K23438"/>
      <c r="L23438"/>
    </row>
    <row r="23439" spans="2:12" x14ac:dyDescent="0.2">
      <c r="B23439"/>
      <c r="C23439"/>
      <c r="J23439"/>
      <c r="K23439"/>
      <c r="L23439"/>
    </row>
    <row r="23440" spans="2:12" x14ac:dyDescent="0.2">
      <c r="B23440"/>
      <c r="C23440"/>
      <c r="J23440"/>
      <c r="K23440"/>
      <c r="L23440"/>
    </row>
    <row r="23441" spans="2:12" x14ac:dyDescent="0.2">
      <c r="B23441"/>
      <c r="C23441"/>
      <c r="J23441"/>
      <c r="K23441"/>
      <c r="L23441"/>
    </row>
    <row r="23442" spans="2:12" x14ac:dyDescent="0.2">
      <c r="B23442"/>
      <c r="C23442"/>
      <c r="J23442"/>
      <c r="K23442"/>
      <c r="L23442"/>
    </row>
    <row r="23443" spans="2:12" x14ac:dyDescent="0.2">
      <c r="B23443"/>
      <c r="C23443"/>
      <c r="J23443"/>
      <c r="K23443"/>
      <c r="L23443"/>
    </row>
    <row r="23444" spans="2:12" x14ac:dyDescent="0.2">
      <c r="B23444"/>
      <c r="C23444"/>
      <c r="J23444"/>
      <c r="K23444"/>
      <c r="L23444"/>
    </row>
    <row r="23445" spans="2:12" x14ac:dyDescent="0.2">
      <c r="B23445"/>
      <c r="C23445"/>
      <c r="J23445"/>
      <c r="K23445"/>
      <c r="L23445"/>
    </row>
    <row r="23446" spans="2:12" x14ac:dyDescent="0.2">
      <c r="B23446"/>
      <c r="C23446"/>
      <c r="J23446"/>
      <c r="K23446"/>
      <c r="L23446"/>
    </row>
    <row r="23447" spans="2:12" x14ac:dyDescent="0.2">
      <c r="B23447"/>
      <c r="C23447"/>
      <c r="J23447"/>
      <c r="K23447"/>
      <c r="L23447"/>
    </row>
    <row r="23448" spans="2:12" x14ac:dyDescent="0.2">
      <c r="B23448"/>
      <c r="C23448"/>
      <c r="J23448"/>
      <c r="K23448"/>
      <c r="L23448"/>
    </row>
    <row r="23449" spans="2:12" x14ac:dyDescent="0.2">
      <c r="B23449"/>
      <c r="C23449"/>
      <c r="J23449"/>
      <c r="K23449"/>
      <c r="L23449"/>
    </row>
    <row r="23450" spans="2:12" x14ac:dyDescent="0.2">
      <c r="B23450"/>
      <c r="C23450"/>
      <c r="J23450"/>
      <c r="K23450"/>
      <c r="L23450"/>
    </row>
    <row r="23451" spans="2:12" x14ac:dyDescent="0.2">
      <c r="B23451"/>
      <c r="C23451"/>
      <c r="J23451"/>
      <c r="K23451"/>
      <c r="L23451"/>
    </row>
    <row r="23452" spans="2:12" x14ac:dyDescent="0.2">
      <c r="B23452"/>
      <c r="C23452"/>
      <c r="J23452"/>
      <c r="K23452"/>
      <c r="L23452"/>
    </row>
    <row r="23453" spans="2:12" x14ac:dyDescent="0.2">
      <c r="B23453"/>
      <c r="C23453"/>
      <c r="J23453"/>
      <c r="K23453"/>
      <c r="L23453"/>
    </row>
    <row r="23454" spans="2:12" x14ac:dyDescent="0.2">
      <c r="B23454"/>
      <c r="C23454"/>
      <c r="J23454"/>
      <c r="K23454"/>
      <c r="L23454"/>
    </row>
    <row r="23455" spans="2:12" x14ac:dyDescent="0.2">
      <c r="B23455"/>
      <c r="C23455"/>
      <c r="J23455"/>
      <c r="K23455"/>
      <c r="L23455"/>
    </row>
    <row r="23456" spans="2:12" x14ac:dyDescent="0.2">
      <c r="B23456"/>
      <c r="C23456"/>
      <c r="J23456"/>
      <c r="K23456"/>
      <c r="L23456"/>
    </row>
    <row r="23457" spans="2:12" x14ac:dyDescent="0.2">
      <c r="B23457"/>
      <c r="C23457"/>
      <c r="J23457"/>
      <c r="K23457"/>
      <c r="L23457"/>
    </row>
    <row r="23458" spans="2:12" x14ac:dyDescent="0.2">
      <c r="B23458"/>
      <c r="C23458"/>
      <c r="J23458"/>
      <c r="K23458"/>
      <c r="L23458"/>
    </row>
    <row r="23459" spans="2:12" x14ac:dyDescent="0.2">
      <c r="B23459"/>
      <c r="C23459"/>
      <c r="J23459"/>
      <c r="K23459"/>
      <c r="L23459"/>
    </row>
    <row r="23460" spans="2:12" x14ac:dyDescent="0.2">
      <c r="B23460"/>
      <c r="C23460"/>
      <c r="J23460"/>
      <c r="K23460"/>
      <c r="L23460"/>
    </row>
    <row r="23461" spans="2:12" x14ac:dyDescent="0.2">
      <c r="B23461"/>
      <c r="C23461"/>
      <c r="J23461"/>
      <c r="K23461"/>
      <c r="L23461"/>
    </row>
    <row r="23462" spans="2:12" x14ac:dyDescent="0.2">
      <c r="B23462"/>
      <c r="C23462"/>
      <c r="J23462"/>
      <c r="K23462"/>
      <c r="L23462"/>
    </row>
    <row r="23463" spans="2:12" x14ac:dyDescent="0.2">
      <c r="B23463"/>
      <c r="C23463"/>
      <c r="J23463"/>
      <c r="K23463"/>
      <c r="L23463"/>
    </row>
    <row r="23464" spans="2:12" x14ac:dyDescent="0.2">
      <c r="B23464"/>
      <c r="C23464"/>
      <c r="J23464"/>
      <c r="K23464"/>
      <c r="L23464"/>
    </row>
    <row r="23465" spans="2:12" x14ac:dyDescent="0.2">
      <c r="B23465"/>
      <c r="C23465"/>
      <c r="J23465"/>
      <c r="K23465"/>
      <c r="L23465"/>
    </row>
    <row r="23466" spans="2:12" x14ac:dyDescent="0.2">
      <c r="B23466"/>
      <c r="C23466"/>
      <c r="J23466"/>
      <c r="K23466"/>
      <c r="L23466"/>
    </row>
    <row r="23467" spans="2:12" x14ac:dyDescent="0.2">
      <c r="B23467"/>
      <c r="C23467"/>
      <c r="J23467"/>
      <c r="K23467"/>
      <c r="L23467"/>
    </row>
    <row r="23468" spans="2:12" x14ac:dyDescent="0.2">
      <c r="B23468"/>
      <c r="C23468"/>
      <c r="J23468"/>
      <c r="K23468"/>
      <c r="L23468"/>
    </row>
    <row r="23469" spans="2:12" x14ac:dyDescent="0.2">
      <c r="B23469"/>
      <c r="C23469"/>
      <c r="J23469"/>
      <c r="K23469"/>
      <c r="L23469"/>
    </row>
    <row r="23470" spans="2:12" x14ac:dyDescent="0.2">
      <c r="B23470"/>
      <c r="C23470"/>
      <c r="J23470"/>
      <c r="K23470"/>
      <c r="L23470"/>
    </row>
    <row r="23471" spans="2:12" x14ac:dyDescent="0.2">
      <c r="B23471"/>
      <c r="C23471"/>
      <c r="J23471"/>
      <c r="K23471"/>
      <c r="L23471"/>
    </row>
    <row r="23472" spans="2:12" x14ac:dyDescent="0.2">
      <c r="B23472"/>
      <c r="C23472"/>
      <c r="J23472"/>
      <c r="K23472"/>
      <c r="L23472"/>
    </row>
    <row r="23473" spans="2:12" x14ac:dyDescent="0.2">
      <c r="B23473"/>
      <c r="C23473"/>
      <c r="J23473"/>
      <c r="K23473"/>
      <c r="L23473"/>
    </row>
    <row r="23474" spans="2:12" x14ac:dyDescent="0.2">
      <c r="B23474"/>
      <c r="C23474"/>
      <c r="J23474"/>
      <c r="K23474"/>
      <c r="L23474"/>
    </row>
    <row r="23475" spans="2:12" x14ac:dyDescent="0.2">
      <c r="B23475"/>
      <c r="C23475"/>
      <c r="J23475"/>
      <c r="K23475"/>
      <c r="L23475"/>
    </row>
    <row r="23476" spans="2:12" x14ac:dyDescent="0.2">
      <c r="B23476"/>
      <c r="C23476"/>
      <c r="J23476"/>
      <c r="K23476"/>
      <c r="L23476"/>
    </row>
    <row r="23477" spans="2:12" x14ac:dyDescent="0.2">
      <c r="B23477"/>
      <c r="C23477"/>
      <c r="J23477"/>
      <c r="K23477"/>
      <c r="L23477"/>
    </row>
    <row r="23478" spans="2:12" x14ac:dyDescent="0.2">
      <c r="B23478"/>
      <c r="C23478"/>
      <c r="J23478"/>
      <c r="K23478"/>
      <c r="L23478"/>
    </row>
    <row r="23479" spans="2:12" x14ac:dyDescent="0.2">
      <c r="B23479"/>
      <c r="C23479"/>
      <c r="J23479"/>
      <c r="K23479"/>
      <c r="L23479"/>
    </row>
    <row r="23480" spans="2:12" x14ac:dyDescent="0.2">
      <c r="B23480"/>
      <c r="C23480"/>
      <c r="J23480"/>
      <c r="K23480"/>
      <c r="L23480"/>
    </row>
    <row r="23481" spans="2:12" x14ac:dyDescent="0.2">
      <c r="B23481"/>
      <c r="C23481"/>
      <c r="J23481"/>
      <c r="K23481"/>
      <c r="L23481"/>
    </row>
    <row r="23482" spans="2:12" x14ac:dyDescent="0.2">
      <c r="B23482"/>
      <c r="C23482"/>
      <c r="J23482"/>
      <c r="K23482"/>
      <c r="L23482"/>
    </row>
    <row r="23483" spans="2:12" x14ac:dyDescent="0.2">
      <c r="B23483"/>
      <c r="C23483"/>
      <c r="J23483"/>
      <c r="K23483"/>
      <c r="L23483"/>
    </row>
    <row r="23484" spans="2:12" x14ac:dyDescent="0.2">
      <c r="B23484"/>
      <c r="C23484"/>
      <c r="J23484"/>
      <c r="K23484"/>
      <c r="L23484"/>
    </row>
    <row r="23485" spans="2:12" x14ac:dyDescent="0.2">
      <c r="B23485"/>
      <c r="C23485"/>
      <c r="J23485"/>
      <c r="K23485"/>
      <c r="L23485"/>
    </row>
    <row r="23486" spans="2:12" x14ac:dyDescent="0.2">
      <c r="B23486"/>
      <c r="C23486"/>
      <c r="J23486"/>
      <c r="K23486"/>
      <c r="L23486"/>
    </row>
    <row r="23487" spans="2:12" x14ac:dyDescent="0.2">
      <c r="B23487"/>
      <c r="C23487"/>
      <c r="J23487"/>
      <c r="K23487"/>
      <c r="L23487"/>
    </row>
    <row r="23488" spans="2:12" x14ac:dyDescent="0.2">
      <c r="B23488"/>
      <c r="C23488"/>
      <c r="J23488"/>
      <c r="K23488"/>
      <c r="L23488"/>
    </row>
    <row r="23489" spans="2:12" x14ac:dyDescent="0.2">
      <c r="B23489"/>
      <c r="C23489"/>
      <c r="J23489"/>
      <c r="K23489"/>
      <c r="L23489"/>
    </row>
    <row r="23490" spans="2:12" x14ac:dyDescent="0.2">
      <c r="B23490"/>
      <c r="C23490"/>
      <c r="J23490"/>
      <c r="K23490"/>
      <c r="L23490"/>
    </row>
    <row r="23491" spans="2:12" x14ac:dyDescent="0.2">
      <c r="B23491"/>
      <c r="C23491"/>
      <c r="J23491"/>
      <c r="K23491"/>
      <c r="L23491"/>
    </row>
    <row r="23492" spans="2:12" x14ac:dyDescent="0.2">
      <c r="B23492"/>
      <c r="C23492"/>
      <c r="J23492"/>
      <c r="K23492"/>
      <c r="L23492"/>
    </row>
    <row r="23493" spans="2:12" x14ac:dyDescent="0.2">
      <c r="B23493"/>
      <c r="C23493"/>
      <c r="J23493"/>
      <c r="K23493"/>
      <c r="L23493"/>
    </row>
    <row r="23494" spans="2:12" x14ac:dyDescent="0.2">
      <c r="B23494"/>
      <c r="C23494"/>
      <c r="J23494"/>
      <c r="K23494"/>
      <c r="L23494"/>
    </row>
    <row r="23495" spans="2:12" x14ac:dyDescent="0.2">
      <c r="B23495"/>
      <c r="C23495"/>
      <c r="J23495"/>
      <c r="K23495"/>
      <c r="L23495"/>
    </row>
    <row r="23496" spans="2:12" x14ac:dyDescent="0.2">
      <c r="B23496"/>
      <c r="C23496"/>
      <c r="J23496"/>
      <c r="K23496"/>
      <c r="L23496"/>
    </row>
    <row r="23497" spans="2:12" x14ac:dyDescent="0.2">
      <c r="B23497"/>
      <c r="C23497"/>
      <c r="J23497"/>
      <c r="K23497"/>
      <c r="L23497"/>
    </row>
    <row r="23498" spans="2:12" x14ac:dyDescent="0.2">
      <c r="B23498"/>
      <c r="C23498"/>
      <c r="J23498"/>
      <c r="K23498"/>
      <c r="L23498"/>
    </row>
    <row r="23499" spans="2:12" x14ac:dyDescent="0.2">
      <c r="B23499"/>
      <c r="C23499"/>
      <c r="J23499"/>
      <c r="K23499"/>
      <c r="L23499"/>
    </row>
    <row r="23500" spans="2:12" x14ac:dyDescent="0.2">
      <c r="B23500"/>
      <c r="C23500"/>
      <c r="J23500"/>
      <c r="K23500"/>
      <c r="L23500"/>
    </row>
    <row r="23501" spans="2:12" x14ac:dyDescent="0.2">
      <c r="B23501"/>
      <c r="C23501"/>
      <c r="J23501"/>
      <c r="K23501"/>
      <c r="L23501"/>
    </row>
    <row r="23502" spans="2:12" x14ac:dyDescent="0.2">
      <c r="B23502"/>
      <c r="C23502"/>
      <c r="J23502"/>
      <c r="K23502"/>
      <c r="L23502"/>
    </row>
    <row r="23503" spans="2:12" x14ac:dyDescent="0.2">
      <c r="B23503"/>
      <c r="C23503"/>
      <c r="J23503"/>
      <c r="K23503"/>
      <c r="L23503"/>
    </row>
    <row r="23504" spans="2:12" x14ac:dyDescent="0.2">
      <c r="B23504"/>
      <c r="C23504"/>
      <c r="J23504"/>
      <c r="K23504"/>
      <c r="L23504"/>
    </row>
    <row r="23505" spans="2:12" x14ac:dyDescent="0.2">
      <c r="B23505"/>
      <c r="C23505"/>
      <c r="J23505"/>
      <c r="K23505"/>
      <c r="L23505"/>
    </row>
    <row r="23506" spans="2:12" x14ac:dyDescent="0.2">
      <c r="B23506"/>
      <c r="C23506"/>
      <c r="J23506"/>
      <c r="K23506"/>
      <c r="L23506"/>
    </row>
    <row r="23507" spans="2:12" x14ac:dyDescent="0.2">
      <c r="B23507"/>
      <c r="C23507"/>
      <c r="J23507"/>
      <c r="K23507"/>
      <c r="L23507"/>
    </row>
    <row r="23508" spans="2:12" x14ac:dyDescent="0.2">
      <c r="B23508"/>
      <c r="C23508"/>
      <c r="J23508"/>
      <c r="K23508"/>
      <c r="L23508"/>
    </row>
    <row r="23509" spans="2:12" x14ac:dyDescent="0.2">
      <c r="B23509"/>
      <c r="C23509"/>
      <c r="J23509"/>
      <c r="K23509"/>
      <c r="L23509"/>
    </row>
    <row r="23510" spans="2:12" x14ac:dyDescent="0.2">
      <c r="B23510"/>
      <c r="C23510"/>
      <c r="J23510"/>
      <c r="K23510"/>
      <c r="L23510"/>
    </row>
    <row r="23511" spans="2:12" x14ac:dyDescent="0.2">
      <c r="B23511"/>
      <c r="C23511"/>
      <c r="J23511"/>
      <c r="K23511"/>
      <c r="L23511"/>
    </row>
    <row r="23512" spans="2:12" x14ac:dyDescent="0.2">
      <c r="B23512"/>
      <c r="C23512"/>
      <c r="J23512"/>
      <c r="K23512"/>
      <c r="L23512"/>
    </row>
    <row r="23513" spans="2:12" x14ac:dyDescent="0.2">
      <c r="B23513"/>
      <c r="C23513"/>
      <c r="J23513"/>
      <c r="K23513"/>
      <c r="L23513"/>
    </row>
    <row r="23514" spans="2:12" x14ac:dyDescent="0.2">
      <c r="B23514"/>
      <c r="C23514"/>
      <c r="J23514"/>
      <c r="K23514"/>
      <c r="L23514"/>
    </row>
    <row r="23515" spans="2:12" x14ac:dyDescent="0.2">
      <c r="B23515"/>
      <c r="C23515"/>
      <c r="J23515"/>
      <c r="K23515"/>
      <c r="L23515"/>
    </row>
    <row r="23516" spans="2:12" x14ac:dyDescent="0.2">
      <c r="B23516"/>
      <c r="C23516"/>
      <c r="J23516"/>
      <c r="K23516"/>
      <c r="L23516"/>
    </row>
    <row r="23517" spans="2:12" x14ac:dyDescent="0.2">
      <c r="B23517"/>
      <c r="C23517"/>
      <c r="J23517"/>
      <c r="K23517"/>
      <c r="L23517"/>
    </row>
    <row r="23518" spans="2:12" x14ac:dyDescent="0.2">
      <c r="B23518"/>
      <c r="C23518"/>
      <c r="J23518"/>
      <c r="K23518"/>
      <c r="L23518"/>
    </row>
    <row r="23519" spans="2:12" x14ac:dyDescent="0.2">
      <c r="B23519"/>
      <c r="C23519"/>
      <c r="J23519"/>
      <c r="K23519"/>
      <c r="L23519"/>
    </row>
    <row r="23520" spans="2:12" x14ac:dyDescent="0.2">
      <c r="B23520"/>
      <c r="C23520"/>
      <c r="J23520"/>
      <c r="K23520"/>
      <c r="L23520"/>
    </row>
    <row r="23521" spans="2:12" x14ac:dyDescent="0.2">
      <c r="B23521"/>
      <c r="C23521"/>
      <c r="J23521"/>
      <c r="K23521"/>
      <c r="L23521"/>
    </row>
    <row r="23522" spans="2:12" x14ac:dyDescent="0.2">
      <c r="B23522"/>
      <c r="C23522"/>
      <c r="J23522"/>
      <c r="K23522"/>
      <c r="L23522"/>
    </row>
    <row r="23523" spans="2:12" x14ac:dyDescent="0.2">
      <c r="B23523"/>
      <c r="C23523"/>
      <c r="J23523"/>
      <c r="K23523"/>
      <c r="L23523"/>
    </row>
    <row r="23524" spans="2:12" x14ac:dyDescent="0.2">
      <c r="B23524"/>
      <c r="C23524"/>
      <c r="J23524"/>
      <c r="K23524"/>
      <c r="L23524"/>
    </row>
    <row r="23525" spans="2:12" x14ac:dyDescent="0.2">
      <c r="B23525"/>
      <c r="C23525"/>
      <c r="J23525"/>
      <c r="K23525"/>
      <c r="L23525"/>
    </row>
    <row r="23526" spans="2:12" x14ac:dyDescent="0.2">
      <c r="B23526"/>
      <c r="C23526"/>
      <c r="J23526"/>
      <c r="K23526"/>
      <c r="L23526"/>
    </row>
    <row r="23527" spans="2:12" x14ac:dyDescent="0.2">
      <c r="B23527"/>
      <c r="C23527"/>
      <c r="J23527"/>
      <c r="K23527"/>
      <c r="L23527"/>
    </row>
    <row r="23528" spans="2:12" x14ac:dyDescent="0.2">
      <c r="B23528"/>
      <c r="C23528"/>
      <c r="J23528"/>
      <c r="K23528"/>
      <c r="L23528"/>
    </row>
    <row r="23529" spans="2:12" x14ac:dyDescent="0.2">
      <c r="B23529"/>
      <c r="C23529"/>
      <c r="J23529"/>
      <c r="K23529"/>
      <c r="L23529"/>
    </row>
    <row r="23530" spans="2:12" x14ac:dyDescent="0.2">
      <c r="B23530"/>
      <c r="C23530"/>
      <c r="J23530"/>
      <c r="K23530"/>
      <c r="L23530"/>
    </row>
    <row r="23531" spans="2:12" x14ac:dyDescent="0.2">
      <c r="B23531"/>
      <c r="C23531"/>
      <c r="J23531"/>
      <c r="K23531"/>
      <c r="L23531"/>
    </row>
    <row r="23532" spans="2:12" x14ac:dyDescent="0.2">
      <c r="B23532"/>
      <c r="C23532"/>
      <c r="J23532"/>
      <c r="K23532"/>
      <c r="L23532"/>
    </row>
    <row r="23533" spans="2:12" x14ac:dyDescent="0.2">
      <c r="B23533"/>
      <c r="C23533"/>
      <c r="J23533"/>
      <c r="K23533"/>
      <c r="L23533"/>
    </row>
    <row r="23534" spans="2:12" x14ac:dyDescent="0.2">
      <c r="B23534"/>
      <c r="C23534"/>
      <c r="J23534"/>
      <c r="K23534"/>
      <c r="L23534"/>
    </row>
    <row r="23535" spans="2:12" x14ac:dyDescent="0.2">
      <c r="B23535"/>
      <c r="C23535"/>
      <c r="J23535"/>
      <c r="K23535"/>
      <c r="L23535"/>
    </row>
    <row r="23536" spans="2:12" x14ac:dyDescent="0.2">
      <c r="B23536"/>
      <c r="C23536"/>
      <c r="J23536"/>
      <c r="K23536"/>
      <c r="L23536"/>
    </row>
    <row r="23537" spans="2:12" x14ac:dyDescent="0.2">
      <c r="B23537"/>
      <c r="C23537"/>
      <c r="J23537"/>
      <c r="K23537"/>
      <c r="L23537"/>
    </row>
    <row r="23538" spans="2:12" x14ac:dyDescent="0.2">
      <c r="B23538"/>
      <c r="C23538"/>
      <c r="J23538"/>
      <c r="K23538"/>
      <c r="L23538"/>
    </row>
    <row r="23539" spans="2:12" x14ac:dyDescent="0.2">
      <c r="B23539"/>
      <c r="C23539"/>
      <c r="J23539"/>
      <c r="K23539"/>
      <c r="L23539"/>
    </row>
    <row r="23540" spans="2:12" x14ac:dyDescent="0.2">
      <c r="B23540"/>
      <c r="C23540"/>
      <c r="J23540"/>
      <c r="K23540"/>
      <c r="L23540"/>
    </row>
    <row r="23541" spans="2:12" x14ac:dyDescent="0.2">
      <c r="B23541"/>
      <c r="C23541"/>
      <c r="J23541"/>
      <c r="K23541"/>
      <c r="L23541"/>
    </row>
    <row r="23542" spans="2:12" x14ac:dyDescent="0.2">
      <c r="B23542"/>
      <c r="C23542"/>
      <c r="J23542"/>
      <c r="K23542"/>
      <c r="L23542"/>
    </row>
    <row r="23543" spans="2:12" x14ac:dyDescent="0.2">
      <c r="B23543"/>
      <c r="C23543"/>
      <c r="J23543"/>
      <c r="K23543"/>
      <c r="L23543"/>
    </row>
    <row r="23544" spans="2:12" x14ac:dyDescent="0.2">
      <c r="B23544"/>
      <c r="C23544"/>
      <c r="J23544"/>
      <c r="K23544"/>
      <c r="L23544"/>
    </row>
    <row r="23545" spans="2:12" x14ac:dyDescent="0.2">
      <c r="B23545"/>
      <c r="C23545"/>
      <c r="J23545"/>
      <c r="K23545"/>
      <c r="L23545"/>
    </row>
    <row r="23546" spans="2:12" x14ac:dyDescent="0.2">
      <c r="B23546"/>
      <c r="C23546"/>
      <c r="J23546"/>
      <c r="K23546"/>
      <c r="L23546"/>
    </row>
    <row r="23547" spans="2:12" x14ac:dyDescent="0.2">
      <c r="B23547"/>
      <c r="C23547"/>
      <c r="J23547"/>
      <c r="K23547"/>
      <c r="L23547"/>
    </row>
    <row r="23548" spans="2:12" x14ac:dyDescent="0.2">
      <c r="B23548"/>
      <c r="C23548"/>
      <c r="J23548"/>
      <c r="K23548"/>
      <c r="L23548"/>
    </row>
    <row r="23549" spans="2:12" x14ac:dyDescent="0.2">
      <c r="B23549"/>
      <c r="C23549"/>
      <c r="J23549"/>
      <c r="K23549"/>
      <c r="L23549"/>
    </row>
    <row r="23550" spans="2:12" x14ac:dyDescent="0.2">
      <c r="B23550"/>
      <c r="C23550"/>
      <c r="J23550"/>
      <c r="K23550"/>
      <c r="L23550"/>
    </row>
    <row r="23551" spans="2:12" x14ac:dyDescent="0.2">
      <c r="B23551"/>
      <c r="C23551"/>
      <c r="J23551"/>
      <c r="K23551"/>
      <c r="L23551"/>
    </row>
    <row r="23552" spans="2:12" x14ac:dyDescent="0.2">
      <c r="B23552"/>
      <c r="C23552"/>
      <c r="J23552"/>
      <c r="K23552"/>
      <c r="L23552"/>
    </row>
    <row r="23553" spans="2:12" x14ac:dyDescent="0.2">
      <c r="B23553"/>
      <c r="C23553"/>
      <c r="J23553"/>
      <c r="K23553"/>
      <c r="L23553"/>
    </row>
    <row r="23554" spans="2:12" x14ac:dyDescent="0.2">
      <c r="B23554"/>
      <c r="C23554"/>
      <c r="J23554"/>
      <c r="K23554"/>
      <c r="L23554"/>
    </row>
    <row r="23555" spans="2:12" x14ac:dyDescent="0.2">
      <c r="B23555"/>
      <c r="C23555"/>
      <c r="J23555"/>
      <c r="K23555"/>
      <c r="L23555"/>
    </row>
    <row r="23556" spans="2:12" x14ac:dyDescent="0.2">
      <c r="B23556"/>
      <c r="C23556"/>
      <c r="J23556"/>
      <c r="K23556"/>
      <c r="L23556"/>
    </row>
    <row r="23557" spans="2:12" x14ac:dyDescent="0.2">
      <c r="B23557"/>
      <c r="C23557"/>
      <c r="J23557"/>
      <c r="K23557"/>
      <c r="L23557"/>
    </row>
    <row r="23558" spans="2:12" x14ac:dyDescent="0.2">
      <c r="B23558"/>
      <c r="C23558"/>
      <c r="J23558"/>
      <c r="K23558"/>
      <c r="L23558"/>
    </row>
    <row r="23559" spans="2:12" x14ac:dyDescent="0.2">
      <c r="B23559"/>
      <c r="C23559"/>
      <c r="J23559"/>
      <c r="K23559"/>
      <c r="L23559"/>
    </row>
    <row r="23560" spans="2:12" x14ac:dyDescent="0.2">
      <c r="B23560"/>
      <c r="C23560"/>
      <c r="J23560"/>
      <c r="K23560"/>
      <c r="L23560"/>
    </row>
    <row r="23561" spans="2:12" x14ac:dyDescent="0.2">
      <c r="B23561"/>
      <c r="C23561"/>
      <c r="J23561"/>
      <c r="K23561"/>
      <c r="L23561"/>
    </row>
    <row r="23562" spans="2:12" x14ac:dyDescent="0.2">
      <c r="B23562"/>
      <c r="C23562"/>
      <c r="J23562"/>
      <c r="K23562"/>
      <c r="L23562"/>
    </row>
    <row r="23563" spans="2:12" x14ac:dyDescent="0.2">
      <c r="B23563"/>
      <c r="C23563"/>
      <c r="J23563"/>
      <c r="K23563"/>
      <c r="L23563"/>
    </row>
    <row r="23564" spans="2:12" x14ac:dyDescent="0.2">
      <c r="B23564"/>
      <c r="C23564"/>
      <c r="J23564"/>
      <c r="K23564"/>
      <c r="L23564"/>
    </row>
    <row r="23565" spans="2:12" x14ac:dyDescent="0.2">
      <c r="B23565"/>
      <c r="C23565"/>
      <c r="J23565"/>
      <c r="K23565"/>
      <c r="L23565"/>
    </row>
    <row r="23566" spans="2:12" x14ac:dyDescent="0.2">
      <c r="B23566"/>
      <c r="C23566"/>
      <c r="J23566"/>
      <c r="K23566"/>
      <c r="L23566"/>
    </row>
    <row r="23567" spans="2:12" x14ac:dyDescent="0.2">
      <c r="B23567"/>
      <c r="C23567"/>
      <c r="J23567"/>
      <c r="K23567"/>
      <c r="L23567"/>
    </row>
    <row r="23568" spans="2:12" x14ac:dyDescent="0.2">
      <c r="B23568"/>
      <c r="C23568"/>
      <c r="J23568"/>
      <c r="K23568"/>
      <c r="L23568"/>
    </row>
    <row r="23569" spans="2:12" x14ac:dyDescent="0.2">
      <c r="B23569"/>
      <c r="C23569"/>
      <c r="J23569"/>
      <c r="K23569"/>
      <c r="L23569"/>
    </row>
    <row r="23570" spans="2:12" x14ac:dyDescent="0.2">
      <c r="B23570"/>
      <c r="C23570"/>
      <c r="J23570"/>
      <c r="K23570"/>
      <c r="L23570"/>
    </row>
    <row r="23571" spans="2:12" x14ac:dyDescent="0.2">
      <c r="B23571"/>
      <c r="C23571"/>
      <c r="J23571"/>
      <c r="K23571"/>
      <c r="L23571"/>
    </row>
    <row r="23572" spans="2:12" x14ac:dyDescent="0.2">
      <c r="B23572"/>
      <c r="C23572"/>
      <c r="J23572"/>
      <c r="K23572"/>
      <c r="L23572"/>
    </row>
    <row r="23573" spans="2:12" x14ac:dyDescent="0.2">
      <c r="B23573"/>
      <c r="C23573"/>
      <c r="J23573"/>
      <c r="K23573"/>
      <c r="L23573"/>
    </row>
    <row r="23574" spans="2:12" x14ac:dyDescent="0.2">
      <c r="B23574"/>
      <c r="C23574"/>
      <c r="J23574"/>
      <c r="K23574"/>
      <c r="L23574"/>
    </row>
    <row r="23575" spans="2:12" x14ac:dyDescent="0.2">
      <c r="B23575"/>
      <c r="C23575"/>
      <c r="J23575"/>
      <c r="K23575"/>
      <c r="L23575"/>
    </row>
    <row r="23576" spans="2:12" x14ac:dyDescent="0.2">
      <c r="B23576"/>
      <c r="C23576"/>
      <c r="J23576"/>
      <c r="K23576"/>
      <c r="L23576"/>
    </row>
    <row r="23577" spans="2:12" x14ac:dyDescent="0.2">
      <c r="B23577"/>
      <c r="C23577"/>
      <c r="J23577"/>
      <c r="K23577"/>
      <c r="L23577"/>
    </row>
    <row r="23578" spans="2:12" x14ac:dyDescent="0.2">
      <c r="B23578"/>
      <c r="C23578"/>
      <c r="J23578"/>
      <c r="K23578"/>
      <c r="L23578"/>
    </row>
    <row r="23579" spans="2:12" x14ac:dyDescent="0.2">
      <c r="B23579"/>
      <c r="C23579"/>
      <c r="J23579"/>
      <c r="K23579"/>
      <c r="L23579"/>
    </row>
    <row r="23580" spans="2:12" x14ac:dyDescent="0.2">
      <c r="B23580"/>
      <c r="C23580"/>
      <c r="J23580"/>
      <c r="K23580"/>
      <c r="L23580"/>
    </row>
    <row r="23581" spans="2:12" x14ac:dyDescent="0.2">
      <c r="B23581"/>
      <c r="C23581"/>
      <c r="J23581"/>
      <c r="K23581"/>
      <c r="L23581"/>
    </row>
    <row r="23582" spans="2:12" x14ac:dyDescent="0.2">
      <c r="B23582"/>
      <c r="C23582"/>
      <c r="J23582"/>
      <c r="K23582"/>
      <c r="L23582"/>
    </row>
    <row r="23583" spans="2:12" x14ac:dyDescent="0.2">
      <c r="B23583"/>
      <c r="C23583"/>
      <c r="J23583"/>
      <c r="K23583"/>
      <c r="L23583"/>
    </row>
    <row r="23584" spans="2:12" x14ac:dyDescent="0.2">
      <c r="B23584"/>
      <c r="C23584"/>
      <c r="J23584"/>
      <c r="K23584"/>
      <c r="L23584"/>
    </row>
    <row r="23585" spans="2:12" x14ac:dyDescent="0.2">
      <c r="B23585"/>
      <c r="C23585"/>
      <c r="J23585"/>
      <c r="K23585"/>
      <c r="L23585"/>
    </row>
    <row r="23586" spans="2:12" x14ac:dyDescent="0.2">
      <c r="B23586"/>
      <c r="C23586"/>
      <c r="J23586"/>
      <c r="K23586"/>
      <c r="L23586"/>
    </row>
    <row r="23587" spans="2:12" x14ac:dyDescent="0.2">
      <c r="B23587"/>
      <c r="C23587"/>
      <c r="J23587"/>
      <c r="K23587"/>
      <c r="L23587"/>
    </row>
    <row r="23588" spans="2:12" x14ac:dyDescent="0.2">
      <c r="B23588"/>
      <c r="C23588"/>
      <c r="J23588"/>
      <c r="K23588"/>
      <c r="L23588"/>
    </row>
    <row r="23589" spans="2:12" x14ac:dyDescent="0.2">
      <c r="B23589"/>
      <c r="C23589"/>
      <c r="J23589"/>
      <c r="K23589"/>
      <c r="L23589"/>
    </row>
    <row r="23590" spans="2:12" x14ac:dyDescent="0.2">
      <c r="B23590"/>
      <c r="C23590"/>
      <c r="J23590"/>
      <c r="K23590"/>
      <c r="L23590"/>
    </row>
    <row r="23591" spans="2:12" x14ac:dyDescent="0.2">
      <c r="B23591"/>
      <c r="C23591"/>
      <c r="J23591"/>
      <c r="K23591"/>
      <c r="L23591"/>
    </row>
    <row r="23592" spans="2:12" x14ac:dyDescent="0.2">
      <c r="B23592"/>
      <c r="C23592"/>
      <c r="J23592"/>
      <c r="K23592"/>
      <c r="L23592"/>
    </row>
    <row r="23593" spans="2:12" x14ac:dyDescent="0.2">
      <c r="B23593"/>
      <c r="C23593"/>
      <c r="J23593"/>
      <c r="K23593"/>
      <c r="L23593"/>
    </row>
    <row r="23594" spans="2:12" x14ac:dyDescent="0.2">
      <c r="B23594"/>
      <c r="C23594"/>
      <c r="J23594"/>
      <c r="K23594"/>
      <c r="L23594"/>
    </row>
    <row r="23595" spans="2:12" x14ac:dyDescent="0.2">
      <c r="B23595"/>
      <c r="C23595"/>
      <c r="J23595"/>
      <c r="K23595"/>
      <c r="L23595"/>
    </row>
    <row r="23596" spans="2:12" x14ac:dyDescent="0.2">
      <c r="B23596"/>
      <c r="C23596"/>
      <c r="J23596"/>
      <c r="K23596"/>
      <c r="L23596"/>
    </row>
    <row r="23597" spans="2:12" x14ac:dyDescent="0.2">
      <c r="B23597"/>
      <c r="C23597"/>
      <c r="J23597"/>
      <c r="K23597"/>
      <c r="L23597"/>
    </row>
    <row r="23598" spans="2:12" x14ac:dyDescent="0.2">
      <c r="B23598"/>
      <c r="C23598"/>
      <c r="J23598"/>
      <c r="K23598"/>
      <c r="L23598"/>
    </row>
    <row r="23599" spans="2:12" x14ac:dyDescent="0.2">
      <c r="B23599"/>
      <c r="C23599"/>
      <c r="J23599"/>
      <c r="K23599"/>
      <c r="L23599"/>
    </row>
    <row r="23600" spans="2:12" x14ac:dyDescent="0.2">
      <c r="B23600"/>
      <c r="C23600"/>
      <c r="J23600"/>
      <c r="K23600"/>
      <c r="L23600"/>
    </row>
    <row r="23601" spans="2:12" x14ac:dyDescent="0.2">
      <c r="B23601"/>
      <c r="C23601"/>
      <c r="J23601"/>
      <c r="K23601"/>
      <c r="L23601"/>
    </row>
    <row r="23602" spans="2:12" x14ac:dyDescent="0.2">
      <c r="B23602"/>
      <c r="C23602"/>
      <c r="J23602"/>
      <c r="K23602"/>
      <c r="L23602"/>
    </row>
    <row r="23603" spans="2:12" x14ac:dyDescent="0.2">
      <c r="B23603"/>
      <c r="C23603"/>
      <c r="J23603"/>
      <c r="K23603"/>
      <c r="L23603"/>
    </row>
    <row r="23604" spans="2:12" x14ac:dyDescent="0.2">
      <c r="B23604"/>
      <c r="C23604"/>
      <c r="J23604"/>
      <c r="K23604"/>
      <c r="L23604"/>
    </row>
    <row r="23605" spans="2:12" x14ac:dyDescent="0.2">
      <c r="B23605"/>
      <c r="C23605"/>
      <c r="J23605"/>
      <c r="K23605"/>
      <c r="L23605"/>
    </row>
    <row r="23606" spans="2:12" x14ac:dyDescent="0.2">
      <c r="B23606"/>
      <c r="C23606"/>
      <c r="J23606"/>
      <c r="K23606"/>
      <c r="L23606"/>
    </row>
    <row r="23607" spans="2:12" x14ac:dyDescent="0.2">
      <c r="B23607"/>
      <c r="C23607"/>
      <c r="J23607"/>
      <c r="K23607"/>
      <c r="L23607"/>
    </row>
    <row r="23608" spans="2:12" x14ac:dyDescent="0.2">
      <c r="B23608"/>
      <c r="C23608"/>
      <c r="J23608"/>
      <c r="K23608"/>
      <c r="L23608"/>
    </row>
    <row r="23609" spans="2:12" x14ac:dyDescent="0.2">
      <c r="B23609"/>
      <c r="C23609"/>
      <c r="J23609"/>
      <c r="K23609"/>
      <c r="L23609"/>
    </row>
    <row r="23610" spans="2:12" x14ac:dyDescent="0.2">
      <c r="B23610"/>
      <c r="C23610"/>
      <c r="J23610"/>
      <c r="K23610"/>
      <c r="L23610"/>
    </row>
    <row r="23611" spans="2:12" x14ac:dyDescent="0.2">
      <c r="B23611"/>
      <c r="C23611"/>
      <c r="J23611"/>
      <c r="K23611"/>
      <c r="L23611"/>
    </row>
    <row r="23612" spans="2:12" x14ac:dyDescent="0.2">
      <c r="B23612"/>
      <c r="C23612"/>
      <c r="J23612"/>
      <c r="K23612"/>
      <c r="L23612"/>
    </row>
    <row r="23613" spans="2:12" x14ac:dyDescent="0.2">
      <c r="B23613"/>
      <c r="C23613"/>
      <c r="J23613"/>
      <c r="K23613"/>
      <c r="L23613"/>
    </row>
    <row r="23614" spans="2:12" x14ac:dyDescent="0.2">
      <c r="B23614"/>
      <c r="C23614"/>
      <c r="J23614"/>
      <c r="K23614"/>
      <c r="L23614"/>
    </row>
    <row r="23615" spans="2:12" x14ac:dyDescent="0.2">
      <c r="B23615"/>
      <c r="C23615"/>
      <c r="J23615"/>
      <c r="K23615"/>
      <c r="L23615"/>
    </row>
    <row r="23616" spans="2:12" x14ac:dyDescent="0.2">
      <c r="B23616"/>
      <c r="C23616"/>
      <c r="J23616"/>
      <c r="K23616"/>
      <c r="L23616"/>
    </row>
    <row r="23617" spans="2:12" x14ac:dyDescent="0.2">
      <c r="B23617"/>
      <c r="C23617"/>
      <c r="J23617"/>
      <c r="K23617"/>
      <c r="L23617"/>
    </row>
    <row r="23618" spans="2:12" x14ac:dyDescent="0.2">
      <c r="B23618"/>
      <c r="C23618"/>
      <c r="J23618"/>
      <c r="K23618"/>
      <c r="L23618"/>
    </row>
    <row r="23619" spans="2:12" x14ac:dyDescent="0.2">
      <c r="B23619"/>
      <c r="C23619"/>
      <c r="J23619"/>
      <c r="K23619"/>
      <c r="L23619"/>
    </row>
    <row r="23620" spans="2:12" x14ac:dyDescent="0.2">
      <c r="B23620"/>
      <c r="C23620"/>
      <c r="J23620"/>
      <c r="K23620"/>
      <c r="L23620"/>
    </row>
    <row r="23621" spans="2:12" x14ac:dyDescent="0.2">
      <c r="B23621"/>
      <c r="C23621"/>
      <c r="J23621"/>
      <c r="K23621"/>
      <c r="L23621"/>
    </row>
    <row r="23622" spans="2:12" x14ac:dyDescent="0.2">
      <c r="B23622"/>
      <c r="C23622"/>
      <c r="J23622"/>
      <c r="K23622"/>
      <c r="L23622"/>
    </row>
    <row r="23623" spans="2:12" x14ac:dyDescent="0.2">
      <c r="B23623"/>
      <c r="C23623"/>
      <c r="J23623"/>
      <c r="K23623"/>
      <c r="L23623"/>
    </row>
    <row r="23624" spans="2:12" x14ac:dyDescent="0.2">
      <c r="B23624"/>
      <c r="C23624"/>
      <c r="J23624"/>
      <c r="K23624"/>
      <c r="L23624"/>
    </row>
    <row r="23625" spans="2:12" x14ac:dyDescent="0.2">
      <c r="B23625"/>
      <c r="C23625"/>
      <c r="J23625"/>
      <c r="K23625"/>
      <c r="L23625"/>
    </row>
    <row r="23626" spans="2:12" x14ac:dyDescent="0.2">
      <c r="B23626"/>
      <c r="C23626"/>
      <c r="J23626"/>
      <c r="K23626"/>
      <c r="L23626"/>
    </row>
    <row r="23627" spans="2:12" x14ac:dyDescent="0.2">
      <c r="B23627"/>
      <c r="C23627"/>
      <c r="J23627"/>
      <c r="K23627"/>
      <c r="L23627"/>
    </row>
    <row r="23628" spans="2:12" x14ac:dyDescent="0.2">
      <c r="B23628"/>
      <c r="C23628"/>
      <c r="J23628"/>
      <c r="K23628"/>
      <c r="L23628"/>
    </row>
    <row r="23629" spans="2:12" x14ac:dyDescent="0.2">
      <c r="B23629"/>
      <c r="C23629"/>
      <c r="J23629"/>
      <c r="K23629"/>
      <c r="L23629"/>
    </row>
    <row r="23630" spans="2:12" x14ac:dyDescent="0.2">
      <c r="B23630"/>
      <c r="C23630"/>
      <c r="J23630"/>
      <c r="K23630"/>
      <c r="L23630"/>
    </row>
    <row r="23631" spans="2:12" x14ac:dyDescent="0.2">
      <c r="B23631"/>
      <c r="C23631"/>
      <c r="J23631"/>
      <c r="K23631"/>
      <c r="L23631"/>
    </row>
    <row r="23632" spans="2:12" x14ac:dyDescent="0.2">
      <c r="B23632"/>
      <c r="C23632"/>
      <c r="J23632"/>
      <c r="K23632"/>
      <c r="L23632"/>
    </row>
    <row r="23633" spans="2:12" x14ac:dyDescent="0.2">
      <c r="B23633"/>
      <c r="C23633"/>
      <c r="J23633"/>
      <c r="K23633"/>
      <c r="L23633"/>
    </row>
    <row r="23634" spans="2:12" x14ac:dyDescent="0.2">
      <c r="B23634"/>
      <c r="C23634"/>
      <c r="J23634"/>
      <c r="K23634"/>
      <c r="L23634"/>
    </row>
    <row r="23635" spans="2:12" x14ac:dyDescent="0.2">
      <c r="B23635"/>
      <c r="C23635"/>
      <c r="J23635"/>
      <c r="K23635"/>
      <c r="L23635"/>
    </row>
    <row r="23636" spans="2:12" x14ac:dyDescent="0.2">
      <c r="B23636"/>
      <c r="C23636"/>
      <c r="J23636"/>
      <c r="K23636"/>
      <c r="L23636"/>
    </row>
    <row r="23637" spans="2:12" x14ac:dyDescent="0.2">
      <c r="B23637"/>
      <c r="C23637"/>
      <c r="J23637"/>
      <c r="K23637"/>
      <c r="L23637"/>
    </row>
    <row r="23638" spans="2:12" x14ac:dyDescent="0.2">
      <c r="B23638"/>
      <c r="C23638"/>
      <c r="J23638"/>
      <c r="K23638"/>
      <c r="L23638"/>
    </row>
    <row r="23639" spans="2:12" x14ac:dyDescent="0.2">
      <c r="B23639"/>
      <c r="C23639"/>
      <c r="J23639"/>
      <c r="K23639"/>
      <c r="L23639"/>
    </row>
    <row r="23640" spans="2:12" x14ac:dyDescent="0.2">
      <c r="B23640"/>
      <c r="C23640"/>
      <c r="J23640"/>
      <c r="K23640"/>
      <c r="L23640"/>
    </row>
    <row r="23641" spans="2:12" x14ac:dyDescent="0.2">
      <c r="B23641"/>
      <c r="C23641"/>
      <c r="J23641"/>
      <c r="K23641"/>
      <c r="L23641"/>
    </row>
    <row r="23642" spans="2:12" x14ac:dyDescent="0.2">
      <c r="B23642"/>
      <c r="C23642"/>
      <c r="J23642"/>
      <c r="K23642"/>
      <c r="L23642"/>
    </row>
    <row r="23643" spans="2:12" x14ac:dyDescent="0.2">
      <c r="B23643"/>
      <c r="C23643"/>
      <c r="J23643"/>
      <c r="K23643"/>
      <c r="L23643"/>
    </row>
    <row r="23644" spans="2:12" x14ac:dyDescent="0.2">
      <c r="B23644"/>
      <c r="C23644"/>
      <c r="J23644"/>
      <c r="K23644"/>
      <c r="L23644"/>
    </row>
    <row r="23645" spans="2:12" x14ac:dyDescent="0.2">
      <c r="B23645"/>
      <c r="C23645"/>
      <c r="J23645"/>
      <c r="K23645"/>
      <c r="L23645"/>
    </row>
    <row r="23646" spans="2:12" x14ac:dyDescent="0.2">
      <c r="B23646"/>
      <c r="C23646"/>
      <c r="J23646"/>
      <c r="K23646"/>
      <c r="L23646"/>
    </row>
    <row r="23647" spans="2:12" x14ac:dyDescent="0.2">
      <c r="B23647"/>
      <c r="C23647"/>
      <c r="J23647"/>
      <c r="K23647"/>
      <c r="L23647"/>
    </row>
    <row r="23648" spans="2:12" x14ac:dyDescent="0.2">
      <c r="B23648"/>
      <c r="C23648"/>
      <c r="J23648"/>
      <c r="K23648"/>
      <c r="L23648"/>
    </row>
    <row r="23649" spans="2:12" x14ac:dyDescent="0.2">
      <c r="B23649"/>
      <c r="C23649"/>
      <c r="J23649"/>
      <c r="K23649"/>
      <c r="L23649"/>
    </row>
    <row r="23650" spans="2:12" x14ac:dyDescent="0.2">
      <c r="B23650"/>
      <c r="C23650"/>
      <c r="J23650"/>
      <c r="K23650"/>
      <c r="L23650"/>
    </row>
    <row r="23651" spans="2:12" x14ac:dyDescent="0.2">
      <c r="B23651"/>
      <c r="C23651"/>
      <c r="J23651"/>
      <c r="K23651"/>
      <c r="L23651"/>
    </row>
    <row r="23652" spans="2:12" x14ac:dyDescent="0.2">
      <c r="B23652"/>
      <c r="C23652"/>
      <c r="J23652"/>
      <c r="K23652"/>
      <c r="L23652"/>
    </row>
    <row r="23653" spans="2:12" x14ac:dyDescent="0.2">
      <c r="B23653"/>
      <c r="C23653"/>
      <c r="J23653"/>
      <c r="K23653"/>
      <c r="L23653"/>
    </row>
    <row r="23654" spans="2:12" x14ac:dyDescent="0.2">
      <c r="B23654"/>
      <c r="C23654"/>
      <c r="J23654"/>
      <c r="K23654"/>
      <c r="L23654"/>
    </row>
    <row r="23655" spans="2:12" x14ac:dyDescent="0.2">
      <c r="B23655"/>
      <c r="C23655"/>
      <c r="J23655"/>
      <c r="K23655"/>
      <c r="L23655"/>
    </row>
    <row r="23656" spans="2:12" x14ac:dyDescent="0.2">
      <c r="B23656"/>
      <c r="C23656"/>
      <c r="J23656"/>
      <c r="K23656"/>
      <c r="L23656"/>
    </row>
    <row r="23657" spans="2:12" x14ac:dyDescent="0.2">
      <c r="B23657"/>
      <c r="C23657"/>
      <c r="J23657"/>
      <c r="K23657"/>
      <c r="L23657"/>
    </row>
    <row r="23658" spans="2:12" x14ac:dyDescent="0.2">
      <c r="B23658"/>
      <c r="C23658"/>
      <c r="J23658"/>
      <c r="K23658"/>
      <c r="L23658"/>
    </row>
    <row r="23659" spans="2:12" x14ac:dyDescent="0.2">
      <c r="B23659"/>
      <c r="C23659"/>
      <c r="J23659"/>
      <c r="K23659"/>
      <c r="L23659"/>
    </row>
    <row r="23660" spans="2:12" x14ac:dyDescent="0.2">
      <c r="B23660"/>
      <c r="C23660"/>
      <c r="J23660"/>
      <c r="K23660"/>
      <c r="L23660"/>
    </row>
    <row r="23661" spans="2:12" x14ac:dyDescent="0.2">
      <c r="B23661"/>
      <c r="C23661"/>
      <c r="J23661"/>
      <c r="K23661"/>
      <c r="L23661"/>
    </row>
    <row r="23662" spans="2:12" x14ac:dyDescent="0.2">
      <c r="B23662"/>
      <c r="C23662"/>
      <c r="J23662"/>
      <c r="K23662"/>
      <c r="L23662"/>
    </row>
    <row r="23663" spans="2:12" x14ac:dyDescent="0.2">
      <c r="B23663"/>
      <c r="C23663"/>
      <c r="J23663"/>
      <c r="K23663"/>
      <c r="L23663"/>
    </row>
    <row r="23664" spans="2:12" x14ac:dyDescent="0.2">
      <c r="B23664"/>
      <c r="C23664"/>
      <c r="J23664"/>
      <c r="K23664"/>
      <c r="L23664"/>
    </row>
    <row r="23665" spans="2:12" x14ac:dyDescent="0.2">
      <c r="B23665"/>
      <c r="C23665"/>
      <c r="J23665"/>
      <c r="K23665"/>
      <c r="L23665"/>
    </row>
    <row r="23666" spans="2:12" x14ac:dyDescent="0.2">
      <c r="B23666"/>
      <c r="C23666"/>
      <c r="J23666"/>
      <c r="K23666"/>
      <c r="L23666"/>
    </row>
    <row r="23667" spans="2:12" x14ac:dyDescent="0.2">
      <c r="B23667"/>
      <c r="C23667"/>
      <c r="J23667"/>
      <c r="K23667"/>
      <c r="L23667"/>
    </row>
    <row r="23668" spans="2:12" x14ac:dyDescent="0.2">
      <c r="B23668"/>
      <c r="C23668"/>
      <c r="J23668"/>
      <c r="K23668"/>
      <c r="L23668"/>
    </row>
    <row r="23669" spans="2:12" x14ac:dyDescent="0.2">
      <c r="B23669"/>
      <c r="C23669"/>
      <c r="J23669"/>
      <c r="K23669"/>
      <c r="L23669"/>
    </row>
    <row r="23670" spans="2:12" x14ac:dyDescent="0.2">
      <c r="B23670"/>
      <c r="C23670"/>
      <c r="J23670"/>
      <c r="K23670"/>
      <c r="L23670"/>
    </row>
    <row r="23671" spans="2:12" x14ac:dyDescent="0.2">
      <c r="B23671"/>
      <c r="C23671"/>
      <c r="J23671"/>
      <c r="K23671"/>
      <c r="L23671"/>
    </row>
    <row r="23672" spans="2:12" x14ac:dyDescent="0.2">
      <c r="B23672"/>
      <c r="C23672"/>
      <c r="J23672"/>
      <c r="K23672"/>
      <c r="L23672"/>
    </row>
    <row r="23673" spans="2:12" x14ac:dyDescent="0.2">
      <c r="B23673"/>
      <c r="C23673"/>
      <c r="J23673"/>
      <c r="K23673"/>
      <c r="L23673"/>
    </row>
    <row r="23674" spans="2:12" x14ac:dyDescent="0.2">
      <c r="B23674"/>
      <c r="C23674"/>
      <c r="J23674"/>
      <c r="K23674"/>
      <c r="L23674"/>
    </row>
    <row r="23675" spans="2:12" x14ac:dyDescent="0.2">
      <c r="B23675"/>
      <c r="C23675"/>
      <c r="J23675"/>
      <c r="K23675"/>
      <c r="L23675"/>
    </row>
    <row r="23676" spans="2:12" x14ac:dyDescent="0.2">
      <c r="B23676"/>
      <c r="C23676"/>
      <c r="J23676"/>
      <c r="K23676"/>
      <c r="L23676"/>
    </row>
    <row r="23677" spans="2:12" x14ac:dyDescent="0.2">
      <c r="B23677"/>
      <c r="C23677"/>
      <c r="J23677"/>
      <c r="K23677"/>
      <c r="L23677"/>
    </row>
    <row r="23678" spans="2:12" x14ac:dyDescent="0.2">
      <c r="B23678"/>
      <c r="C23678"/>
      <c r="J23678"/>
      <c r="K23678"/>
      <c r="L23678"/>
    </row>
    <row r="23679" spans="2:12" x14ac:dyDescent="0.2">
      <c r="B23679"/>
      <c r="C23679"/>
      <c r="J23679"/>
      <c r="K23679"/>
      <c r="L23679"/>
    </row>
    <row r="23680" spans="2:12" x14ac:dyDescent="0.2">
      <c r="B23680"/>
      <c r="C23680"/>
      <c r="J23680"/>
      <c r="K23680"/>
      <c r="L23680"/>
    </row>
    <row r="23681" spans="2:12" x14ac:dyDescent="0.2">
      <c r="B23681"/>
      <c r="C23681"/>
      <c r="J23681"/>
      <c r="K23681"/>
      <c r="L23681"/>
    </row>
    <row r="23682" spans="2:12" x14ac:dyDescent="0.2">
      <c r="B23682"/>
      <c r="C23682"/>
      <c r="J23682"/>
      <c r="K23682"/>
      <c r="L23682"/>
    </row>
    <row r="23683" spans="2:12" x14ac:dyDescent="0.2">
      <c r="B23683"/>
      <c r="C23683"/>
      <c r="J23683"/>
      <c r="K23683"/>
      <c r="L23683"/>
    </row>
    <row r="23684" spans="2:12" x14ac:dyDescent="0.2">
      <c r="B23684"/>
      <c r="C23684"/>
      <c r="J23684"/>
      <c r="K23684"/>
      <c r="L23684"/>
    </row>
    <row r="23685" spans="2:12" x14ac:dyDescent="0.2">
      <c r="B23685"/>
      <c r="C23685"/>
      <c r="J23685"/>
      <c r="K23685"/>
      <c r="L23685"/>
    </row>
    <row r="23686" spans="2:12" x14ac:dyDescent="0.2">
      <c r="B23686"/>
      <c r="C23686"/>
      <c r="J23686"/>
      <c r="K23686"/>
      <c r="L23686"/>
    </row>
    <row r="23687" spans="2:12" x14ac:dyDescent="0.2">
      <c r="B23687"/>
      <c r="C23687"/>
      <c r="J23687"/>
      <c r="K23687"/>
      <c r="L23687"/>
    </row>
    <row r="23688" spans="2:12" x14ac:dyDescent="0.2">
      <c r="B23688"/>
      <c r="C23688"/>
      <c r="J23688"/>
      <c r="K23688"/>
      <c r="L23688"/>
    </row>
    <row r="23689" spans="2:12" x14ac:dyDescent="0.2">
      <c r="B23689"/>
      <c r="C23689"/>
      <c r="J23689"/>
      <c r="K23689"/>
      <c r="L23689"/>
    </row>
    <row r="23690" spans="2:12" x14ac:dyDescent="0.2">
      <c r="B23690"/>
      <c r="C23690"/>
      <c r="J23690"/>
      <c r="K23690"/>
      <c r="L23690"/>
    </row>
    <row r="23691" spans="2:12" x14ac:dyDescent="0.2">
      <c r="B23691"/>
      <c r="C23691"/>
      <c r="J23691"/>
      <c r="K23691"/>
      <c r="L23691"/>
    </row>
    <row r="23692" spans="2:12" x14ac:dyDescent="0.2">
      <c r="B23692"/>
      <c r="C23692"/>
      <c r="J23692"/>
      <c r="K23692"/>
      <c r="L23692"/>
    </row>
    <row r="23693" spans="2:12" x14ac:dyDescent="0.2">
      <c r="B23693"/>
      <c r="C23693"/>
      <c r="J23693"/>
      <c r="K23693"/>
      <c r="L23693"/>
    </row>
    <row r="23694" spans="2:12" x14ac:dyDescent="0.2">
      <c r="B23694"/>
      <c r="C23694"/>
      <c r="J23694"/>
      <c r="K23694"/>
      <c r="L23694"/>
    </row>
    <row r="23695" spans="2:12" x14ac:dyDescent="0.2">
      <c r="B23695"/>
      <c r="C23695"/>
      <c r="J23695"/>
      <c r="K23695"/>
      <c r="L23695"/>
    </row>
    <row r="23696" spans="2:12" x14ac:dyDescent="0.2">
      <c r="B23696"/>
      <c r="C23696"/>
      <c r="J23696"/>
      <c r="K23696"/>
      <c r="L23696"/>
    </row>
    <row r="23697" spans="2:12" x14ac:dyDescent="0.2">
      <c r="B23697"/>
      <c r="C23697"/>
      <c r="J23697"/>
      <c r="K23697"/>
      <c r="L23697"/>
    </row>
    <row r="23698" spans="2:12" x14ac:dyDescent="0.2">
      <c r="B23698"/>
      <c r="C23698"/>
      <c r="J23698"/>
      <c r="K23698"/>
      <c r="L23698"/>
    </row>
    <row r="23699" spans="2:12" x14ac:dyDescent="0.2">
      <c r="B23699"/>
      <c r="C23699"/>
      <c r="J23699"/>
      <c r="K23699"/>
      <c r="L23699"/>
    </row>
    <row r="23700" spans="2:12" x14ac:dyDescent="0.2">
      <c r="B23700"/>
      <c r="C23700"/>
      <c r="J23700"/>
      <c r="K23700"/>
      <c r="L23700"/>
    </row>
    <row r="23701" spans="2:12" x14ac:dyDescent="0.2">
      <c r="B23701"/>
      <c r="C23701"/>
      <c r="J23701"/>
      <c r="K23701"/>
      <c r="L23701"/>
    </row>
    <row r="23702" spans="2:12" x14ac:dyDescent="0.2">
      <c r="B23702"/>
      <c r="C23702"/>
      <c r="J23702"/>
      <c r="K23702"/>
      <c r="L23702"/>
    </row>
    <row r="23703" spans="2:12" x14ac:dyDescent="0.2">
      <c r="B23703"/>
      <c r="C23703"/>
      <c r="J23703"/>
      <c r="K23703"/>
      <c r="L23703"/>
    </row>
    <row r="23704" spans="2:12" x14ac:dyDescent="0.2">
      <c r="B23704"/>
      <c r="C23704"/>
      <c r="J23704"/>
      <c r="K23704"/>
      <c r="L23704"/>
    </row>
    <row r="23705" spans="2:12" x14ac:dyDescent="0.2">
      <c r="B23705"/>
      <c r="C23705"/>
      <c r="J23705"/>
      <c r="K23705"/>
      <c r="L23705"/>
    </row>
    <row r="23706" spans="2:12" x14ac:dyDescent="0.2">
      <c r="B23706"/>
      <c r="C23706"/>
      <c r="J23706"/>
      <c r="K23706"/>
      <c r="L23706"/>
    </row>
    <row r="23707" spans="2:12" x14ac:dyDescent="0.2">
      <c r="B23707"/>
      <c r="C23707"/>
      <c r="J23707"/>
      <c r="K23707"/>
      <c r="L23707"/>
    </row>
    <row r="23708" spans="2:12" x14ac:dyDescent="0.2">
      <c r="B23708"/>
      <c r="C23708"/>
      <c r="J23708"/>
      <c r="K23708"/>
      <c r="L23708"/>
    </row>
    <row r="23709" spans="2:12" x14ac:dyDescent="0.2">
      <c r="B23709"/>
      <c r="C23709"/>
      <c r="J23709"/>
      <c r="K23709"/>
      <c r="L23709"/>
    </row>
    <row r="23710" spans="2:12" x14ac:dyDescent="0.2">
      <c r="B23710"/>
      <c r="C23710"/>
      <c r="J23710"/>
      <c r="K23710"/>
      <c r="L23710"/>
    </row>
    <row r="23711" spans="2:12" x14ac:dyDescent="0.2">
      <c r="B23711"/>
      <c r="C23711"/>
      <c r="J23711"/>
      <c r="K23711"/>
      <c r="L23711"/>
    </row>
    <row r="23712" spans="2:12" x14ac:dyDescent="0.2">
      <c r="B23712"/>
      <c r="C23712"/>
      <c r="J23712"/>
      <c r="K23712"/>
      <c r="L23712"/>
    </row>
    <row r="23713" spans="2:12" x14ac:dyDescent="0.2">
      <c r="B23713"/>
      <c r="C23713"/>
      <c r="J23713"/>
      <c r="K23713"/>
      <c r="L23713"/>
    </row>
    <row r="23714" spans="2:12" x14ac:dyDescent="0.2">
      <c r="B23714"/>
      <c r="C23714"/>
      <c r="J23714"/>
      <c r="K23714"/>
      <c r="L23714"/>
    </row>
    <row r="23715" spans="2:12" x14ac:dyDescent="0.2">
      <c r="B23715"/>
      <c r="C23715"/>
      <c r="J23715"/>
      <c r="K23715"/>
      <c r="L23715"/>
    </row>
    <row r="23716" spans="2:12" x14ac:dyDescent="0.2">
      <c r="B23716"/>
      <c r="C23716"/>
      <c r="J23716"/>
      <c r="K23716"/>
      <c r="L23716"/>
    </row>
    <row r="23717" spans="2:12" x14ac:dyDescent="0.2">
      <c r="B23717"/>
      <c r="C23717"/>
      <c r="J23717"/>
      <c r="K23717"/>
      <c r="L23717"/>
    </row>
    <row r="23718" spans="2:12" x14ac:dyDescent="0.2">
      <c r="B23718"/>
      <c r="C23718"/>
      <c r="J23718"/>
      <c r="K23718"/>
      <c r="L23718"/>
    </row>
    <row r="23719" spans="2:12" x14ac:dyDescent="0.2">
      <c r="B23719"/>
      <c r="C23719"/>
      <c r="J23719"/>
      <c r="K23719"/>
      <c r="L23719"/>
    </row>
    <row r="23720" spans="2:12" x14ac:dyDescent="0.2">
      <c r="B23720"/>
      <c r="C23720"/>
      <c r="J23720"/>
      <c r="K23720"/>
      <c r="L23720"/>
    </row>
    <row r="23721" spans="2:12" x14ac:dyDescent="0.2">
      <c r="B23721"/>
      <c r="C23721"/>
      <c r="J23721"/>
      <c r="K23721"/>
      <c r="L23721"/>
    </row>
    <row r="23722" spans="2:12" x14ac:dyDescent="0.2">
      <c r="B23722"/>
      <c r="C23722"/>
      <c r="J23722"/>
      <c r="K23722"/>
      <c r="L23722"/>
    </row>
    <row r="23723" spans="2:12" x14ac:dyDescent="0.2">
      <c r="B23723"/>
      <c r="C23723"/>
      <c r="J23723"/>
      <c r="K23723"/>
      <c r="L23723"/>
    </row>
    <row r="23724" spans="2:12" x14ac:dyDescent="0.2">
      <c r="B23724"/>
      <c r="C23724"/>
      <c r="J23724"/>
      <c r="K23724"/>
      <c r="L23724"/>
    </row>
    <row r="23725" spans="2:12" x14ac:dyDescent="0.2">
      <c r="B23725"/>
      <c r="C23725"/>
      <c r="J23725"/>
      <c r="K23725"/>
      <c r="L23725"/>
    </row>
    <row r="23726" spans="2:12" x14ac:dyDescent="0.2">
      <c r="B23726"/>
      <c r="C23726"/>
      <c r="J23726"/>
      <c r="K23726"/>
      <c r="L23726"/>
    </row>
    <row r="23727" spans="2:12" x14ac:dyDescent="0.2">
      <c r="B23727"/>
      <c r="C23727"/>
      <c r="J23727"/>
      <c r="K23727"/>
      <c r="L23727"/>
    </row>
    <row r="23728" spans="2:12" x14ac:dyDescent="0.2">
      <c r="B23728"/>
      <c r="C23728"/>
      <c r="J23728"/>
      <c r="K23728"/>
      <c r="L23728"/>
    </row>
    <row r="23729" spans="2:12" x14ac:dyDescent="0.2">
      <c r="B23729"/>
      <c r="C23729"/>
      <c r="J23729"/>
      <c r="K23729"/>
      <c r="L23729"/>
    </row>
    <row r="23730" spans="2:12" x14ac:dyDescent="0.2">
      <c r="B23730"/>
      <c r="C23730"/>
      <c r="J23730"/>
      <c r="K23730"/>
      <c r="L23730"/>
    </row>
    <row r="23731" spans="2:12" x14ac:dyDescent="0.2">
      <c r="B23731"/>
      <c r="C23731"/>
      <c r="J23731"/>
      <c r="K23731"/>
      <c r="L23731"/>
    </row>
    <row r="23732" spans="2:12" x14ac:dyDescent="0.2">
      <c r="B23732"/>
      <c r="C23732"/>
      <c r="J23732"/>
      <c r="K23732"/>
      <c r="L23732"/>
    </row>
    <row r="23733" spans="2:12" x14ac:dyDescent="0.2">
      <c r="B23733"/>
      <c r="C23733"/>
      <c r="J23733"/>
      <c r="K23733"/>
      <c r="L23733"/>
    </row>
    <row r="23734" spans="2:12" x14ac:dyDescent="0.2">
      <c r="B23734"/>
      <c r="C23734"/>
      <c r="J23734"/>
      <c r="K23734"/>
      <c r="L23734"/>
    </row>
    <row r="23735" spans="2:12" x14ac:dyDescent="0.2">
      <c r="B23735"/>
      <c r="C23735"/>
      <c r="J23735"/>
      <c r="K23735"/>
      <c r="L23735"/>
    </row>
    <row r="23736" spans="2:12" x14ac:dyDescent="0.2">
      <c r="B23736"/>
      <c r="C23736"/>
      <c r="J23736"/>
      <c r="K23736"/>
      <c r="L23736"/>
    </row>
    <row r="23737" spans="2:12" x14ac:dyDescent="0.2">
      <c r="B23737"/>
      <c r="C23737"/>
      <c r="J23737"/>
      <c r="K23737"/>
      <c r="L23737"/>
    </row>
    <row r="23738" spans="2:12" x14ac:dyDescent="0.2">
      <c r="B23738"/>
      <c r="C23738"/>
      <c r="J23738"/>
      <c r="K23738"/>
      <c r="L23738"/>
    </row>
    <row r="23739" spans="2:12" x14ac:dyDescent="0.2">
      <c r="B23739"/>
      <c r="C23739"/>
      <c r="J23739"/>
      <c r="K23739"/>
      <c r="L23739"/>
    </row>
    <row r="23740" spans="2:12" x14ac:dyDescent="0.2">
      <c r="B23740"/>
      <c r="C23740"/>
      <c r="J23740"/>
      <c r="K23740"/>
      <c r="L23740"/>
    </row>
    <row r="23741" spans="2:12" x14ac:dyDescent="0.2">
      <c r="B23741"/>
      <c r="C23741"/>
      <c r="J23741"/>
      <c r="K23741"/>
      <c r="L23741"/>
    </row>
    <row r="23742" spans="2:12" x14ac:dyDescent="0.2">
      <c r="B23742"/>
      <c r="C23742"/>
      <c r="J23742"/>
      <c r="K23742"/>
      <c r="L23742"/>
    </row>
    <row r="23743" spans="2:12" x14ac:dyDescent="0.2">
      <c r="B23743"/>
      <c r="C23743"/>
      <c r="J23743"/>
      <c r="K23743"/>
      <c r="L23743"/>
    </row>
    <row r="23744" spans="2:12" x14ac:dyDescent="0.2">
      <c r="B23744"/>
      <c r="C23744"/>
      <c r="J23744"/>
      <c r="K23744"/>
      <c r="L23744"/>
    </row>
    <row r="23745" spans="2:12" x14ac:dyDescent="0.2">
      <c r="B23745"/>
      <c r="C23745"/>
      <c r="J23745"/>
      <c r="K23745"/>
      <c r="L23745"/>
    </row>
    <row r="23746" spans="2:12" x14ac:dyDescent="0.2">
      <c r="B23746"/>
      <c r="C23746"/>
      <c r="J23746"/>
      <c r="K23746"/>
      <c r="L23746"/>
    </row>
    <row r="23747" spans="2:12" x14ac:dyDescent="0.2">
      <c r="B23747"/>
      <c r="C23747"/>
      <c r="J23747"/>
      <c r="K23747"/>
      <c r="L23747"/>
    </row>
    <row r="23748" spans="2:12" x14ac:dyDescent="0.2">
      <c r="B23748"/>
      <c r="C23748"/>
      <c r="J23748"/>
      <c r="K23748"/>
      <c r="L23748"/>
    </row>
    <row r="23749" spans="2:12" x14ac:dyDescent="0.2">
      <c r="B23749"/>
      <c r="C23749"/>
      <c r="J23749"/>
      <c r="K23749"/>
      <c r="L23749"/>
    </row>
    <row r="23750" spans="2:12" x14ac:dyDescent="0.2">
      <c r="B23750"/>
      <c r="C23750"/>
      <c r="J23750"/>
      <c r="K23750"/>
      <c r="L23750"/>
    </row>
    <row r="23751" spans="2:12" x14ac:dyDescent="0.2">
      <c r="B23751"/>
      <c r="C23751"/>
      <c r="J23751"/>
      <c r="K23751"/>
      <c r="L23751"/>
    </row>
    <row r="23752" spans="2:12" x14ac:dyDescent="0.2">
      <c r="B23752"/>
      <c r="C23752"/>
      <c r="J23752"/>
      <c r="K23752"/>
      <c r="L23752"/>
    </row>
    <row r="23753" spans="2:12" x14ac:dyDescent="0.2">
      <c r="B23753"/>
      <c r="C23753"/>
      <c r="J23753"/>
      <c r="K23753"/>
      <c r="L23753"/>
    </row>
    <row r="23754" spans="2:12" x14ac:dyDescent="0.2">
      <c r="B23754"/>
      <c r="C23754"/>
      <c r="J23754"/>
      <c r="K23754"/>
      <c r="L23754"/>
    </row>
    <row r="23755" spans="2:12" x14ac:dyDescent="0.2">
      <c r="B23755"/>
      <c r="C23755"/>
      <c r="J23755"/>
      <c r="K23755"/>
      <c r="L23755"/>
    </row>
    <row r="23756" spans="2:12" x14ac:dyDescent="0.2">
      <c r="B23756"/>
      <c r="C23756"/>
      <c r="J23756"/>
      <c r="K23756"/>
      <c r="L23756"/>
    </row>
    <row r="23757" spans="2:12" x14ac:dyDescent="0.2">
      <c r="B23757"/>
      <c r="C23757"/>
      <c r="J23757"/>
      <c r="K23757"/>
      <c r="L23757"/>
    </row>
    <row r="23758" spans="2:12" x14ac:dyDescent="0.2">
      <c r="B23758"/>
      <c r="C23758"/>
      <c r="J23758"/>
      <c r="K23758"/>
      <c r="L23758"/>
    </row>
    <row r="23759" spans="2:12" x14ac:dyDescent="0.2">
      <c r="B23759"/>
      <c r="C23759"/>
      <c r="J23759"/>
      <c r="K23759"/>
      <c r="L23759"/>
    </row>
    <row r="23760" spans="2:12" x14ac:dyDescent="0.2">
      <c r="B23760"/>
      <c r="C23760"/>
      <c r="J23760"/>
      <c r="K23760"/>
      <c r="L23760"/>
    </row>
    <row r="23761" spans="2:12" x14ac:dyDescent="0.2">
      <c r="B23761"/>
      <c r="C23761"/>
      <c r="J23761"/>
      <c r="K23761"/>
      <c r="L23761"/>
    </row>
    <row r="23762" spans="2:12" x14ac:dyDescent="0.2">
      <c r="B23762"/>
      <c r="C23762"/>
      <c r="J23762"/>
      <c r="K23762"/>
      <c r="L23762"/>
    </row>
    <row r="23763" spans="2:12" x14ac:dyDescent="0.2">
      <c r="B23763"/>
      <c r="C23763"/>
      <c r="J23763"/>
      <c r="K23763"/>
      <c r="L23763"/>
    </row>
    <row r="23764" spans="2:12" x14ac:dyDescent="0.2">
      <c r="B23764"/>
      <c r="C23764"/>
      <c r="J23764"/>
      <c r="K23764"/>
      <c r="L23764"/>
    </row>
    <row r="23765" spans="2:12" x14ac:dyDescent="0.2">
      <c r="B23765"/>
      <c r="C23765"/>
      <c r="J23765"/>
      <c r="K23765"/>
      <c r="L23765"/>
    </row>
    <row r="23766" spans="2:12" x14ac:dyDescent="0.2">
      <c r="B23766"/>
      <c r="C23766"/>
      <c r="J23766"/>
      <c r="K23766"/>
      <c r="L23766"/>
    </row>
    <row r="23767" spans="2:12" x14ac:dyDescent="0.2">
      <c r="B23767"/>
      <c r="C23767"/>
      <c r="J23767"/>
      <c r="K23767"/>
      <c r="L23767"/>
    </row>
    <row r="23768" spans="2:12" x14ac:dyDescent="0.2">
      <c r="B23768"/>
      <c r="C23768"/>
      <c r="J23768"/>
      <c r="K23768"/>
      <c r="L23768"/>
    </row>
    <row r="23769" spans="2:12" x14ac:dyDescent="0.2">
      <c r="B23769"/>
      <c r="C23769"/>
      <c r="J23769"/>
      <c r="K23769"/>
      <c r="L23769"/>
    </row>
    <row r="23770" spans="2:12" x14ac:dyDescent="0.2">
      <c r="B23770"/>
      <c r="C23770"/>
      <c r="J23770"/>
      <c r="K23770"/>
      <c r="L23770"/>
    </row>
    <row r="23771" spans="2:12" x14ac:dyDescent="0.2">
      <c r="B23771"/>
      <c r="C23771"/>
      <c r="J23771"/>
      <c r="K23771"/>
      <c r="L23771"/>
    </row>
    <row r="23772" spans="2:12" x14ac:dyDescent="0.2">
      <c r="B23772"/>
      <c r="C23772"/>
      <c r="J23772"/>
      <c r="K23772"/>
      <c r="L23772"/>
    </row>
    <row r="23773" spans="2:12" x14ac:dyDescent="0.2">
      <c r="B23773"/>
      <c r="C23773"/>
      <c r="J23773"/>
      <c r="K23773"/>
      <c r="L23773"/>
    </row>
    <row r="23774" spans="2:12" x14ac:dyDescent="0.2">
      <c r="B23774"/>
      <c r="C23774"/>
      <c r="J23774"/>
      <c r="K23774"/>
      <c r="L23774"/>
    </row>
    <row r="23775" spans="2:12" x14ac:dyDescent="0.2">
      <c r="B23775"/>
      <c r="C23775"/>
      <c r="J23775"/>
      <c r="K23775"/>
      <c r="L23775"/>
    </row>
    <row r="23776" spans="2:12" x14ac:dyDescent="0.2">
      <c r="B23776"/>
      <c r="C23776"/>
      <c r="J23776"/>
      <c r="K23776"/>
      <c r="L23776"/>
    </row>
    <row r="23777" spans="2:12" x14ac:dyDescent="0.2">
      <c r="B23777"/>
      <c r="C23777"/>
      <c r="J23777"/>
      <c r="K23777"/>
      <c r="L23777"/>
    </row>
    <row r="23778" spans="2:12" x14ac:dyDescent="0.2">
      <c r="B23778"/>
      <c r="C23778"/>
      <c r="J23778"/>
      <c r="K23778"/>
      <c r="L23778"/>
    </row>
    <row r="23779" spans="2:12" x14ac:dyDescent="0.2">
      <c r="B23779"/>
      <c r="C23779"/>
      <c r="J23779"/>
      <c r="K23779"/>
      <c r="L23779"/>
    </row>
    <row r="23780" spans="2:12" x14ac:dyDescent="0.2">
      <c r="B23780"/>
      <c r="C23780"/>
      <c r="J23780"/>
      <c r="K23780"/>
      <c r="L23780"/>
    </row>
    <row r="23781" spans="2:12" x14ac:dyDescent="0.2">
      <c r="B23781"/>
      <c r="C23781"/>
      <c r="J23781"/>
      <c r="K23781"/>
      <c r="L23781"/>
    </row>
    <row r="23782" spans="2:12" x14ac:dyDescent="0.2">
      <c r="B23782"/>
      <c r="C23782"/>
      <c r="J23782"/>
      <c r="K23782"/>
      <c r="L23782"/>
    </row>
    <row r="23783" spans="2:12" x14ac:dyDescent="0.2">
      <c r="B23783"/>
      <c r="C23783"/>
      <c r="J23783"/>
      <c r="K23783"/>
      <c r="L23783"/>
    </row>
    <row r="23784" spans="2:12" x14ac:dyDescent="0.2">
      <c r="B23784"/>
      <c r="C23784"/>
      <c r="J23784"/>
      <c r="K23784"/>
      <c r="L23784"/>
    </row>
    <row r="23785" spans="2:12" x14ac:dyDescent="0.2">
      <c r="B23785"/>
      <c r="C23785"/>
      <c r="J23785"/>
      <c r="K23785"/>
      <c r="L23785"/>
    </row>
    <row r="23786" spans="2:12" x14ac:dyDescent="0.2">
      <c r="B23786"/>
      <c r="C23786"/>
      <c r="J23786"/>
      <c r="K23786"/>
      <c r="L23786"/>
    </row>
    <row r="23787" spans="2:12" x14ac:dyDescent="0.2">
      <c r="B23787"/>
      <c r="C23787"/>
      <c r="J23787"/>
      <c r="K23787"/>
      <c r="L23787"/>
    </row>
    <row r="23788" spans="2:12" x14ac:dyDescent="0.2">
      <c r="B23788"/>
      <c r="C23788"/>
      <c r="J23788"/>
      <c r="K23788"/>
      <c r="L23788"/>
    </row>
    <row r="23789" spans="2:12" x14ac:dyDescent="0.2">
      <c r="B23789"/>
      <c r="C23789"/>
      <c r="J23789"/>
      <c r="K23789"/>
      <c r="L23789"/>
    </row>
    <row r="23790" spans="2:12" x14ac:dyDescent="0.2">
      <c r="B23790"/>
      <c r="C23790"/>
      <c r="J23790"/>
      <c r="K23790"/>
      <c r="L23790"/>
    </row>
    <row r="23791" spans="2:12" x14ac:dyDescent="0.2">
      <c r="B23791"/>
      <c r="C23791"/>
      <c r="J23791"/>
      <c r="K23791"/>
      <c r="L23791"/>
    </row>
    <row r="23792" spans="2:12" x14ac:dyDescent="0.2">
      <c r="B23792"/>
      <c r="C23792"/>
      <c r="J23792"/>
      <c r="K23792"/>
      <c r="L23792"/>
    </row>
    <row r="23793" spans="2:12" x14ac:dyDescent="0.2">
      <c r="B23793"/>
      <c r="C23793"/>
      <c r="J23793"/>
      <c r="K23793"/>
      <c r="L23793"/>
    </row>
    <row r="23794" spans="2:12" x14ac:dyDescent="0.2">
      <c r="B23794"/>
      <c r="C23794"/>
      <c r="J23794"/>
      <c r="K23794"/>
      <c r="L23794"/>
    </row>
    <row r="23795" spans="2:12" x14ac:dyDescent="0.2">
      <c r="B23795"/>
      <c r="C23795"/>
      <c r="J23795"/>
      <c r="K23795"/>
      <c r="L23795"/>
    </row>
    <row r="23796" spans="2:12" x14ac:dyDescent="0.2">
      <c r="B23796"/>
      <c r="C23796"/>
      <c r="J23796"/>
      <c r="K23796"/>
      <c r="L23796"/>
    </row>
    <row r="23797" spans="2:12" x14ac:dyDescent="0.2">
      <c r="B23797"/>
      <c r="C23797"/>
      <c r="J23797"/>
      <c r="K23797"/>
      <c r="L23797"/>
    </row>
    <row r="23798" spans="2:12" x14ac:dyDescent="0.2">
      <c r="B23798"/>
      <c r="C23798"/>
      <c r="J23798"/>
      <c r="K23798"/>
      <c r="L23798"/>
    </row>
    <row r="23799" spans="2:12" x14ac:dyDescent="0.2">
      <c r="B23799"/>
      <c r="C23799"/>
      <c r="J23799"/>
      <c r="K23799"/>
      <c r="L23799"/>
    </row>
    <row r="23800" spans="2:12" x14ac:dyDescent="0.2">
      <c r="B23800"/>
      <c r="C23800"/>
      <c r="J23800"/>
      <c r="K23800"/>
      <c r="L23800"/>
    </row>
    <row r="23801" spans="2:12" x14ac:dyDescent="0.2">
      <c r="B23801"/>
      <c r="C23801"/>
      <c r="J23801"/>
      <c r="K23801"/>
      <c r="L23801"/>
    </row>
    <row r="23802" spans="2:12" x14ac:dyDescent="0.2">
      <c r="B23802"/>
      <c r="C23802"/>
      <c r="J23802"/>
      <c r="K23802"/>
      <c r="L23802"/>
    </row>
    <row r="23803" spans="2:12" x14ac:dyDescent="0.2">
      <c r="B23803"/>
      <c r="C23803"/>
      <c r="J23803"/>
      <c r="K23803"/>
      <c r="L23803"/>
    </row>
    <row r="23804" spans="2:12" x14ac:dyDescent="0.2">
      <c r="B23804"/>
      <c r="C23804"/>
      <c r="J23804"/>
      <c r="K23804"/>
      <c r="L23804"/>
    </row>
    <row r="23805" spans="2:12" x14ac:dyDescent="0.2">
      <c r="B23805"/>
      <c r="C23805"/>
      <c r="J23805"/>
      <c r="K23805"/>
      <c r="L23805"/>
    </row>
    <row r="23806" spans="2:12" x14ac:dyDescent="0.2">
      <c r="B23806"/>
      <c r="C23806"/>
      <c r="J23806"/>
      <c r="K23806"/>
      <c r="L23806"/>
    </row>
    <row r="23807" spans="2:12" x14ac:dyDescent="0.2">
      <c r="B23807"/>
      <c r="C23807"/>
      <c r="J23807"/>
      <c r="K23807"/>
      <c r="L23807"/>
    </row>
    <row r="23808" spans="2:12" x14ac:dyDescent="0.2">
      <c r="B23808"/>
      <c r="C23808"/>
      <c r="J23808"/>
      <c r="K23808"/>
      <c r="L23808"/>
    </row>
    <row r="23809" spans="2:12" x14ac:dyDescent="0.2">
      <c r="B23809"/>
      <c r="C23809"/>
      <c r="J23809"/>
      <c r="K23809"/>
      <c r="L23809"/>
    </row>
    <row r="23810" spans="2:12" x14ac:dyDescent="0.2">
      <c r="B23810"/>
      <c r="C23810"/>
      <c r="J23810"/>
      <c r="K23810"/>
      <c r="L23810"/>
    </row>
    <row r="23811" spans="2:12" x14ac:dyDescent="0.2">
      <c r="B23811"/>
      <c r="C23811"/>
      <c r="J23811"/>
      <c r="K23811"/>
      <c r="L23811"/>
    </row>
    <row r="23812" spans="2:12" x14ac:dyDescent="0.2">
      <c r="B23812"/>
      <c r="C23812"/>
      <c r="J23812"/>
      <c r="K23812"/>
      <c r="L23812"/>
    </row>
    <row r="23813" spans="2:12" x14ac:dyDescent="0.2">
      <c r="B23813"/>
      <c r="C23813"/>
      <c r="J23813"/>
      <c r="K23813"/>
      <c r="L23813"/>
    </row>
    <row r="23814" spans="2:12" x14ac:dyDescent="0.2">
      <c r="B23814"/>
      <c r="C23814"/>
      <c r="J23814"/>
      <c r="K23814"/>
      <c r="L23814"/>
    </row>
    <row r="23815" spans="2:12" x14ac:dyDescent="0.2">
      <c r="B23815"/>
      <c r="C23815"/>
      <c r="J23815"/>
      <c r="K23815"/>
      <c r="L23815"/>
    </row>
    <row r="23816" spans="2:12" x14ac:dyDescent="0.2">
      <c r="B23816"/>
      <c r="C23816"/>
      <c r="J23816"/>
      <c r="K23816"/>
      <c r="L23816"/>
    </row>
    <row r="23817" spans="2:12" x14ac:dyDescent="0.2">
      <c r="B23817"/>
      <c r="C23817"/>
      <c r="J23817"/>
      <c r="K23817"/>
      <c r="L23817"/>
    </row>
    <row r="23818" spans="2:12" x14ac:dyDescent="0.2">
      <c r="B23818"/>
      <c r="C23818"/>
      <c r="J23818"/>
      <c r="K23818"/>
      <c r="L23818"/>
    </row>
    <row r="23819" spans="2:12" x14ac:dyDescent="0.2">
      <c r="B23819"/>
      <c r="C23819"/>
      <c r="J23819"/>
      <c r="K23819"/>
      <c r="L23819"/>
    </row>
    <row r="23820" spans="2:12" x14ac:dyDescent="0.2">
      <c r="B23820"/>
      <c r="C23820"/>
      <c r="J23820"/>
      <c r="K23820"/>
      <c r="L23820"/>
    </row>
    <row r="23821" spans="2:12" x14ac:dyDescent="0.2">
      <c r="B23821"/>
      <c r="C23821"/>
      <c r="J23821"/>
      <c r="K23821"/>
      <c r="L23821"/>
    </row>
    <row r="23822" spans="2:12" x14ac:dyDescent="0.2">
      <c r="B23822"/>
      <c r="C23822"/>
      <c r="J23822"/>
      <c r="K23822"/>
      <c r="L23822"/>
    </row>
    <row r="23823" spans="2:12" x14ac:dyDescent="0.2">
      <c r="B23823"/>
      <c r="C23823"/>
      <c r="J23823"/>
      <c r="K23823"/>
      <c r="L23823"/>
    </row>
    <row r="23824" spans="2:12" x14ac:dyDescent="0.2">
      <c r="B23824"/>
      <c r="C23824"/>
      <c r="J23824"/>
      <c r="K23824"/>
      <c r="L23824"/>
    </row>
    <row r="23825" spans="2:12" x14ac:dyDescent="0.2">
      <c r="B23825"/>
      <c r="C23825"/>
      <c r="J23825"/>
      <c r="K23825"/>
      <c r="L23825"/>
    </row>
    <row r="23826" spans="2:12" x14ac:dyDescent="0.2">
      <c r="B23826"/>
      <c r="C23826"/>
      <c r="J23826"/>
      <c r="K23826"/>
      <c r="L23826"/>
    </row>
    <row r="23827" spans="2:12" x14ac:dyDescent="0.2">
      <c r="B23827"/>
      <c r="C23827"/>
      <c r="J23827"/>
      <c r="K23827"/>
      <c r="L23827"/>
    </row>
    <row r="23828" spans="2:12" x14ac:dyDescent="0.2">
      <c r="B23828"/>
      <c r="C23828"/>
      <c r="J23828"/>
      <c r="K23828"/>
      <c r="L23828"/>
    </row>
    <row r="23829" spans="2:12" x14ac:dyDescent="0.2">
      <c r="B23829"/>
      <c r="C23829"/>
      <c r="J23829"/>
      <c r="K23829"/>
      <c r="L23829"/>
    </row>
    <row r="23830" spans="2:12" x14ac:dyDescent="0.2">
      <c r="B23830"/>
      <c r="C23830"/>
      <c r="J23830"/>
      <c r="K23830"/>
      <c r="L23830"/>
    </row>
    <row r="23831" spans="2:12" x14ac:dyDescent="0.2">
      <c r="B23831"/>
      <c r="C23831"/>
      <c r="J23831"/>
      <c r="K23831"/>
      <c r="L23831"/>
    </row>
    <row r="23832" spans="2:12" x14ac:dyDescent="0.2">
      <c r="B23832"/>
      <c r="C23832"/>
      <c r="J23832"/>
      <c r="K23832"/>
      <c r="L23832"/>
    </row>
    <row r="23833" spans="2:12" x14ac:dyDescent="0.2">
      <c r="B23833"/>
      <c r="C23833"/>
      <c r="J23833"/>
      <c r="K23833"/>
      <c r="L23833"/>
    </row>
    <row r="23834" spans="2:12" x14ac:dyDescent="0.2">
      <c r="B23834"/>
      <c r="C23834"/>
      <c r="J23834"/>
      <c r="K23834"/>
      <c r="L23834"/>
    </row>
    <row r="23835" spans="2:12" x14ac:dyDescent="0.2">
      <c r="B23835"/>
      <c r="C23835"/>
      <c r="J23835"/>
      <c r="K23835"/>
      <c r="L23835"/>
    </row>
    <row r="23836" spans="2:12" x14ac:dyDescent="0.2">
      <c r="B23836"/>
      <c r="C23836"/>
      <c r="J23836"/>
      <c r="K23836"/>
      <c r="L23836"/>
    </row>
    <row r="23837" spans="2:12" x14ac:dyDescent="0.2">
      <c r="B23837"/>
      <c r="C23837"/>
      <c r="J23837"/>
      <c r="K23837"/>
      <c r="L23837"/>
    </row>
    <row r="23838" spans="2:12" x14ac:dyDescent="0.2">
      <c r="B23838"/>
      <c r="C23838"/>
      <c r="J23838"/>
      <c r="K23838"/>
      <c r="L23838"/>
    </row>
    <row r="23839" spans="2:12" x14ac:dyDescent="0.2">
      <c r="B23839"/>
      <c r="C23839"/>
      <c r="J23839"/>
      <c r="K23839"/>
      <c r="L23839"/>
    </row>
    <row r="23840" spans="2:12" x14ac:dyDescent="0.2">
      <c r="B23840"/>
      <c r="C23840"/>
      <c r="J23840"/>
      <c r="K23840"/>
      <c r="L23840"/>
    </row>
    <row r="23841" spans="2:12" x14ac:dyDescent="0.2">
      <c r="B23841"/>
      <c r="C23841"/>
      <c r="J23841"/>
      <c r="K23841"/>
      <c r="L23841"/>
    </row>
    <row r="23842" spans="2:12" x14ac:dyDescent="0.2">
      <c r="B23842"/>
      <c r="C23842"/>
      <c r="J23842"/>
      <c r="K23842"/>
      <c r="L23842"/>
    </row>
    <row r="23843" spans="2:12" x14ac:dyDescent="0.2">
      <c r="B23843"/>
      <c r="C23843"/>
      <c r="J23843"/>
      <c r="K23843"/>
      <c r="L23843"/>
    </row>
    <row r="23844" spans="2:12" x14ac:dyDescent="0.2">
      <c r="B23844"/>
      <c r="C23844"/>
      <c r="J23844"/>
      <c r="K23844"/>
      <c r="L23844"/>
    </row>
    <row r="23845" spans="2:12" x14ac:dyDescent="0.2">
      <c r="B23845"/>
      <c r="C23845"/>
      <c r="J23845"/>
      <c r="K23845"/>
      <c r="L23845"/>
    </row>
    <row r="23846" spans="2:12" x14ac:dyDescent="0.2">
      <c r="B23846"/>
      <c r="C23846"/>
      <c r="J23846"/>
      <c r="K23846"/>
      <c r="L23846"/>
    </row>
    <row r="23847" spans="2:12" x14ac:dyDescent="0.2">
      <c r="B23847"/>
      <c r="C23847"/>
      <c r="J23847"/>
      <c r="K23847"/>
      <c r="L23847"/>
    </row>
    <row r="23848" spans="2:12" x14ac:dyDescent="0.2">
      <c r="B23848"/>
      <c r="C23848"/>
      <c r="J23848"/>
      <c r="K23848"/>
      <c r="L23848"/>
    </row>
    <row r="23849" spans="2:12" x14ac:dyDescent="0.2">
      <c r="B23849"/>
      <c r="C23849"/>
      <c r="J23849"/>
      <c r="K23849"/>
      <c r="L23849"/>
    </row>
    <row r="23850" spans="2:12" x14ac:dyDescent="0.2">
      <c r="B23850"/>
      <c r="C23850"/>
      <c r="J23850"/>
      <c r="K23850"/>
      <c r="L23850"/>
    </row>
    <row r="23851" spans="2:12" x14ac:dyDescent="0.2">
      <c r="B23851"/>
      <c r="C23851"/>
      <c r="J23851"/>
      <c r="K23851"/>
      <c r="L23851"/>
    </row>
    <row r="23852" spans="2:12" x14ac:dyDescent="0.2">
      <c r="B23852"/>
      <c r="C23852"/>
      <c r="J23852"/>
      <c r="K23852"/>
      <c r="L23852"/>
    </row>
    <row r="23853" spans="2:12" x14ac:dyDescent="0.2">
      <c r="B23853"/>
      <c r="C23853"/>
      <c r="J23853"/>
      <c r="K23853"/>
      <c r="L23853"/>
    </row>
    <row r="23854" spans="2:12" x14ac:dyDescent="0.2">
      <c r="B23854"/>
      <c r="C23854"/>
      <c r="J23854"/>
      <c r="K23854"/>
      <c r="L23854"/>
    </row>
    <row r="23855" spans="2:12" x14ac:dyDescent="0.2">
      <c r="B23855"/>
      <c r="C23855"/>
      <c r="J23855"/>
      <c r="K23855"/>
      <c r="L23855"/>
    </row>
    <row r="23856" spans="2:12" x14ac:dyDescent="0.2">
      <c r="B23856"/>
      <c r="C23856"/>
      <c r="J23856"/>
      <c r="K23856"/>
      <c r="L23856"/>
    </row>
    <row r="23857" spans="2:12" x14ac:dyDescent="0.2">
      <c r="B23857"/>
      <c r="C23857"/>
      <c r="J23857"/>
      <c r="K23857"/>
      <c r="L23857"/>
    </row>
    <row r="23858" spans="2:12" x14ac:dyDescent="0.2">
      <c r="B23858"/>
      <c r="C23858"/>
      <c r="J23858"/>
      <c r="K23858"/>
      <c r="L23858"/>
    </row>
    <row r="23859" spans="2:12" x14ac:dyDescent="0.2">
      <c r="B23859"/>
      <c r="C23859"/>
      <c r="J23859"/>
      <c r="K23859"/>
      <c r="L23859"/>
    </row>
    <row r="23860" spans="2:12" x14ac:dyDescent="0.2">
      <c r="B23860"/>
      <c r="C23860"/>
      <c r="J23860"/>
      <c r="K23860"/>
      <c r="L23860"/>
    </row>
    <row r="23861" spans="2:12" x14ac:dyDescent="0.2">
      <c r="B23861"/>
      <c r="C23861"/>
      <c r="J23861"/>
      <c r="K23861"/>
      <c r="L23861"/>
    </row>
    <row r="23862" spans="2:12" x14ac:dyDescent="0.2">
      <c r="B23862"/>
      <c r="C23862"/>
      <c r="J23862"/>
      <c r="K23862"/>
      <c r="L23862"/>
    </row>
    <row r="23863" spans="2:12" x14ac:dyDescent="0.2">
      <c r="B23863"/>
      <c r="C23863"/>
      <c r="J23863"/>
      <c r="K23863"/>
      <c r="L23863"/>
    </row>
    <row r="23864" spans="2:12" x14ac:dyDescent="0.2">
      <c r="B23864"/>
      <c r="C23864"/>
      <c r="J23864"/>
      <c r="K23864"/>
      <c r="L23864"/>
    </row>
    <row r="23865" spans="2:12" x14ac:dyDescent="0.2">
      <c r="B23865"/>
      <c r="C23865"/>
      <c r="J23865"/>
      <c r="K23865"/>
      <c r="L23865"/>
    </row>
    <row r="23866" spans="2:12" x14ac:dyDescent="0.2">
      <c r="B23866"/>
      <c r="C23866"/>
      <c r="J23866"/>
      <c r="K23866"/>
      <c r="L23866"/>
    </row>
    <row r="23867" spans="2:12" x14ac:dyDescent="0.2">
      <c r="B23867"/>
      <c r="C23867"/>
      <c r="J23867"/>
      <c r="K23867"/>
      <c r="L23867"/>
    </row>
    <row r="23868" spans="2:12" x14ac:dyDescent="0.2">
      <c r="B23868"/>
      <c r="C23868"/>
      <c r="J23868"/>
      <c r="K23868"/>
      <c r="L23868"/>
    </row>
    <row r="23869" spans="2:12" x14ac:dyDescent="0.2">
      <c r="B23869"/>
      <c r="C23869"/>
      <c r="J23869"/>
      <c r="K23869"/>
      <c r="L23869"/>
    </row>
    <row r="23870" spans="2:12" x14ac:dyDescent="0.2">
      <c r="B23870"/>
      <c r="C23870"/>
      <c r="J23870"/>
      <c r="K23870"/>
      <c r="L23870"/>
    </row>
    <row r="23871" spans="2:12" x14ac:dyDescent="0.2">
      <c r="B23871"/>
      <c r="C23871"/>
      <c r="J23871"/>
      <c r="K23871"/>
      <c r="L23871"/>
    </row>
    <row r="23872" spans="2:12" x14ac:dyDescent="0.2">
      <c r="B23872"/>
      <c r="C23872"/>
      <c r="J23872"/>
      <c r="K23872"/>
      <c r="L23872"/>
    </row>
    <row r="23873" spans="2:12" x14ac:dyDescent="0.2">
      <c r="B23873"/>
      <c r="C23873"/>
      <c r="J23873"/>
      <c r="K23873"/>
      <c r="L23873"/>
    </row>
    <row r="23874" spans="2:12" x14ac:dyDescent="0.2">
      <c r="B23874"/>
      <c r="C23874"/>
      <c r="J23874"/>
      <c r="K23874"/>
      <c r="L23874"/>
    </row>
    <row r="23875" spans="2:12" x14ac:dyDescent="0.2">
      <c r="B23875"/>
      <c r="C23875"/>
      <c r="J23875"/>
      <c r="K23875"/>
      <c r="L23875"/>
    </row>
    <row r="23876" spans="2:12" x14ac:dyDescent="0.2">
      <c r="B23876"/>
      <c r="C23876"/>
      <c r="J23876"/>
      <c r="K23876"/>
      <c r="L23876"/>
    </row>
    <row r="23877" spans="2:12" x14ac:dyDescent="0.2">
      <c r="B23877"/>
      <c r="C23877"/>
      <c r="J23877"/>
      <c r="K23877"/>
      <c r="L23877"/>
    </row>
    <row r="23878" spans="2:12" x14ac:dyDescent="0.2">
      <c r="B23878"/>
      <c r="C23878"/>
      <c r="J23878"/>
      <c r="K23878"/>
      <c r="L23878"/>
    </row>
    <row r="23879" spans="2:12" x14ac:dyDescent="0.2">
      <c r="B23879"/>
      <c r="C23879"/>
      <c r="J23879"/>
      <c r="K23879"/>
      <c r="L23879"/>
    </row>
    <row r="23880" spans="2:12" x14ac:dyDescent="0.2">
      <c r="B23880"/>
      <c r="C23880"/>
      <c r="J23880"/>
      <c r="K23880"/>
      <c r="L23880"/>
    </row>
    <row r="23881" spans="2:12" x14ac:dyDescent="0.2">
      <c r="B23881"/>
      <c r="C23881"/>
      <c r="J23881"/>
      <c r="K23881"/>
      <c r="L23881"/>
    </row>
    <row r="23882" spans="2:12" x14ac:dyDescent="0.2">
      <c r="B23882"/>
      <c r="C23882"/>
      <c r="J23882"/>
      <c r="K23882"/>
      <c r="L23882"/>
    </row>
    <row r="23883" spans="2:12" x14ac:dyDescent="0.2">
      <c r="B23883"/>
      <c r="C23883"/>
      <c r="J23883"/>
      <c r="K23883"/>
      <c r="L23883"/>
    </row>
    <row r="23884" spans="2:12" x14ac:dyDescent="0.2">
      <c r="B23884"/>
      <c r="C23884"/>
      <c r="J23884"/>
      <c r="K23884"/>
      <c r="L23884"/>
    </row>
    <row r="23885" spans="2:12" x14ac:dyDescent="0.2">
      <c r="B23885"/>
      <c r="C23885"/>
      <c r="J23885"/>
      <c r="K23885"/>
      <c r="L23885"/>
    </row>
    <row r="23886" spans="2:12" x14ac:dyDescent="0.2">
      <c r="B23886"/>
      <c r="C23886"/>
      <c r="J23886"/>
      <c r="K23886"/>
      <c r="L23886"/>
    </row>
    <row r="23887" spans="2:12" x14ac:dyDescent="0.2">
      <c r="B23887"/>
      <c r="C23887"/>
      <c r="J23887"/>
      <c r="K23887"/>
      <c r="L23887"/>
    </row>
    <row r="23888" spans="2:12" x14ac:dyDescent="0.2">
      <c r="B23888"/>
      <c r="C23888"/>
      <c r="J23888"/>
      <c r="K23888"/>
      <c r="L23888"/>
    </row>
    <row r="23889" spans="2:12" x14ac:dyDescent="0.2">
      <c r="B23889"/>
      <c r="C23889"/>
      <c r="J23889"/>
      <c r="K23889"/>
      <c r="L23889"/>
    </row>
    <row r="23890" spans="2:12" x14ac:dyDescent="0.2">
      <c r="B23890"/>
      <c r="C23890"/>
      <c r="J23890"/>
      <c r="K23890"/>
      <c r="L23890"/>
    </row>
    <row r="23891" spans="2:12" x14ac:dyDescent="0.2">
      <c r="B23891"/>
      <c r="C23891"/>
      <c r="J23891"/>
      <c r="K23891"/>
      <c r="L23891"/>
    </row>
    <row r="23892" spans="2:12" x14ac:dyDescent="0.2">
      <c r="B23892"/>
      <c r="C23892"/>
      <c r="J23892"/>
      <c r="K23892"/>
      <c r="L23892"/>
    </row>
    <row r="23893" spans="2:12" x14ac:dyDescent="0.2">
      <c r="B23893"/>
      <c r="C23893"/>
      <c r="J23893"/>
      <c r="K23893"/>
      <c r="L23893"/>
    </row>
    <row r="23894" spans="2:12" x14ac:dyDescent="0.2">
      <c r="B23894"/>
      <c r="C23894"/>
      <c r="J23894"/>
      <c r="K23894"/>
      <c r="L23894"/>
    </row>
    <row r="23895" spans="2:12" x14ac:dyDescent="0.2">
      <c r="B23895"/>
      <c r="C23895"/>
      <c r="J23895"/>
      <c r="K23895"/>
      <c r="L23895"/>
    </row>
    <row r="23896" spans="2:12" x14ac:dyDescent="0.2">
      <c r="B23896"/>
      <c r="C23896"/>
      <c r="J23896"/>
      <c r="K23896"/>
      <c r="L23896"/>
    </row>
    <row r="23897" spans="2:12" x14ac:dyDescent="0.2">
      <c r="B23897"/>
      <c r="C23897"/>
      <c r="J23897"/>
      <c r="K23897"/>
      <c r="L23897"/>
    </row>
    <row r="23898" spans="2:12" x14ac:dyDescent="0.2">
      <c r="B23898"/>
      <c r="C23898"/>
      <c r="J23898"/>
      <c r="K23898"/>
      <c r="L23898"/>
    </row>
    <row r="23899" spans="2:12" x14ac:dyDescent="0.2">
      <c r="B23899"/>
      <c r="C23899"/>
      <c r="J23899"/>
      <c r="K23899"/>
      <c r="L23899"/>
    </row>
    <row r="23900" spans="2:12" x14ac:dyDescent="0.2">
      <c r="B23900"/>
      <c r="C23900"/>
      <c r="J23900"/>
      <c r="K23900"/>
      <c r="L23900"/>
    </row>
    <row r="23901" spans="2:12" x14ac:dyDescent="0.2">
      <c r="B23901"/>
      <c r="C23901"/>
      <c r="J23901"/>
      <c r="K23901"/>
      <c r="L23901"/>
    </row>
    <row r="23902" spans="2:12" x14ac:dyDescent="0.2">
      <c r="B23902"/>
      <c r="C23902"/>
      <c r="J23902"/>
      <c r="K23902"/>
      <c r="L23902"/>
    </row>
    <row r="23903" spans="2:12" x14ac:dyDescent="0.2">
      <c r="B23903"/>
      <c r="C23903"/>
      <c r="J23903"/>
      <c r="K23903"/>
      <c r="L23903"/>
    </row>
    <row r="23904" spans="2:12" x14ac:dyDescent="0.2">
      <c r="B23904"/>
      <c r="C23904"/>
      <c r="J23904"/>
      <c r="K23904"/>
      <c r="L23904"/>
    </row>
    <row r="23905" spans="2:12" x14ac:dyDescent="0.2">
      <c r="B23905"/>
      <c r="C23905"/>
      <c r="J23905"/>
      <c r="K23905"/>
      <c r="L23905"/>
    </row>
    <row r="23906" spans="2:12" x14ac:dyDescent="0.2">
      <c r="B23906"/>
      <c r="C23906"/>
      <c r="J23906"/>
      <c r="K23906"/>
      <c r="L23906"/>
    </row>
    <row r="23907" spans="2:12" x14ac:dyDescent="0.2">
      <c r="B23907"/>
      <c r="C23907"/>
      <c r="J23907"/>
      <c r="K23907"/>
      <c r="L23907"/>
    </row>
    <row r="23908" spans="2:12" x14ac:dyDescent="0.2">
      <c r="B23908"/>
      <c r="C23908"/>
      <c r="J23908"/>
      <c r="K23908"/>
      <c r="L23908"/>
    </row>
    <row r="23909" spans="2:12" x14ac:dyDescent="0.2">
      <c r="B23909"/>
      <c r="C23909"/>
      <c r="J23909"/>
      <c r="K23909"/>
      <c r="L23909"/>
    </row>
    <row r="23910" spans="2:12" x14ac:dyDescent="0.2">
      <c r="B23910"/>
      <c r="C23910"/>
      <c r="J23910"/>
      <c r="K23910"/>
      <c r="L23910"/>
    </row>
    <row r="23911" spans="2:12" x14ac:dyDescent="0.2">
      <c r="B23911"/>
      <c r="C23911"/>
      <c r="J23911"/>
      <c r="K23911"/>
      <c r="L23911"/>
    </row>
    <row r="23912" spans="2:12" x14ac:dyDescent="0.2">
      <c r="B23912"/>
      <c r="C23912"/>
      <c r="J23912"/>
      <c r="K23912"/>
      <c r="L23912"/>
    </row>
    <row r="23913" spans="2:12" x14ac:dyDescent="0.2">
      <c r="B23913"/>
      <c r="C23913"/>
      <c r="J23913"/>
      <c r="K23913"/>
      <c r="L23913"/>
    </row>
    <row r="23914" spans="2:12" x14ac:dyDescent="0.2">
      <c r="B23914"/>
      <c r="C23914"/>
      <c r="J23914"/>
      <c r="K23914"/>
      <c r="L23914"/>
    </row>
    <row r="23915" spans="2:12" x14ac:dyDescent="0.2">
      <c r="B23915"/>
      <c r="C23915"/>
      <c r="J23915"/>
      <c r="K23915"/>
      <c r="L23915"/>
    </row>
    <row r="23916" spans="2:12" x14ac:dyDescent="0.2">
      <c r="B23916"/>
      <c r="C23916"/>
      <c r="J23916"/>
      <c r="K23916"/>
      <c r="L23916"/>
    </row>
    <row r="23917" spans="2:12" x14ac:dyDescent="0.2">
      <c r="B23917"/>
      <c r="C23917"/>
      <c r="J23917"/>
      <c r="K23917"/>
      <c r="L23917"/>
    </row>
    <row r="23918" spans="2:12" x14ac:dyDescent="0.2">
      <c r="B23918"/>
      <c r="C23918"/>
      <c r="J23918"/>
      <c r="K23918"/>
      <c r="L23918"/>
    </row>
    <row r="23919" spans="2:12" x14ac:dyDescent="0.2">
      <c r="B23919"/>
      <c r="C23919"/>
      <c r="J23919"/>
      <c r="K23919"/>
      <c r="L23919"/>
    </row>
    <row r="23920" spans="2:12" x14ac:dyDescent="0.2">
      <c r="B23920"/>
      <c r="C23920"/>
      <c r="J23920"/>
      <c r="K23920"/>
      <c r="L23920"/>
    </row>
    <row r="23921" spans="2:12" x14ac:dyDescent="0.2">
      <c r="B23921"/>
      <c r="C23921"/>
      <c r="J23921"/>
      <c r="K23921"/>
      <c r="L23921"/>
    </row>
    <row r="23922" spans="2:12" x14ac:dyDescent="0.2">
      <c r="B23922"/>
      <c r="C23922"/>
      <c r="J23922"/>
      <c r="K23922"/>
      <c r="L23922"/>
    </row>
    <row r="23923" spans="2:12" x14ac:dyDescent="0.2">
      <c r="B23923"/>
      <c r="C23923"/>
      <c r="J23923"/>
      <c r="K23923"/>
      <c r="L23923"/>
    </row>
    <row r="23924" spans="2:12" x14ac:dyDescent="0.2">
      <c r="B23924"/>
      <c r="C23924"/>
      <c r="J23924"/>
      <c r="K23924"/>
      <c r="L23924"/>
    </row>
    <row r="23925" spans="2:12" x14ac:dyDescent="0.2">
      <c r="B23925"/>
      <c r="C23925"/>
      <c r="J23925"/>
      <c r="K23925"/>
      <c r="L23925"/>
    </row>
    <row r="23926" spans="2:12" x14ac:dyDescent="0.2">
      <c r="B23926"/>
      <c r="C23926"/>
      <c r="J23926"/>
      <c r="K23926"/>
      <c r="L23926"/>
    </row>
    <row r="23927" spans="2:12" x14ac:dyDescent="0.2">
      <c r="B23927"/>
      <c r="C23927"/>
      <c r="J23927"/>
      <c r="K23927"/>
      <c r="L23927"/>
    </row>
    <row r="23928" spans="2:12" x14ac:dyDescent="0.2">
      <c r="B23928"/>
      <c r="C23928"/>
      <c r="J23928"/>
      <c r="K23928"/>
      <c r="L23928"/>
    </row>
    <row r="23929" spans="2:12" x14ac:dyDescent="0.2">
      <c r="B23929"/>
      <c r="C23929"/>
      <c r="J23929"/>
      <c r="K23929"/>
      <c r="L23929"/>
    </row>
    <row r="23930" spans="2:12" x14ac:dyDescent="0.2">
      <c r="B23930"/>
      <c r="C23930"/>
      <c r="J23930"/>
      <c r="K23930"/>
      <c r="L23930"/>
    </row>
    <row r="23931" spans="2:12" x14ac:dyDescent="0.2">
      <c r="B23931"/>
      <c r="C23931"/>
      <c r="J23931"/>
      <c r="K23931"/>
      <c r="L23931"/>
    </row>
    <row r="23932" spans="2:12" x14ac:dyDescent="0.2">
      <c r="B23932"/>
      <c r="C23932"/>
      <c r="J23932"/>
      <c r="K23932"/>
      <c r="L23932"/>
    </row>
    <row r="23933" spans="2:12" x14ac:dyDescent="0.2">
      <c r="B23933"/>
      <c r="C23933"/>
      <c r="J23933"/>
      <c r="K23933"/>
      <c r="L23933"/>
    </row>
    <row r="23934" spans="2:12" x14ac:dyDescent="0.2">
      <c r="B23934"/>
      <c r="C23934"/>
      <c r="J23934"/>
      <c r="K23934"/>
      <c r="L23934"/>
    </row>
    <row r="23935" spans="2:12" x14ac:dyDescent="0.2">
      <c r="B23935"/>
      <c r="C23935"/>
      <c r="J23935"/>
      <c r="K23935"/>
      <c r="L23935"/>
    </row>
    <row r="23936" spans="2:12" x14ac:dyDescent="0.2">
      <c r="B23936"/>
      <c r="C23936"/>
      <c r="J23936"/>
      <c r="K23936"/>
      <c r="L23936"/>
    </row>
    <row r="23937" spans="2:12" x14ac:dyDescent="0.2">
      <c r="B23937"/>
      <c r="C23937"/>
      <c r="J23937"/>
      <c r="K23937"/>
      <c r="L23937"/>
    </row>
    <row r="23938" spans="2:12" x14ac:dyDescent="0.2">
      <c r="B23938"/>
      <c r="C23938"/>
      <c r="J23938"/>
      <c r="K23938"/>
      <c r="L23938"/>
    </row>
    <row r="23939" spans="2:12" x14ac:dyDescent="0.2">
      <c r="B23939"/>
      <c r="C23939"/>
      <c r="J23939"/>
      <c r="K23939"/>
      <c r="L23939"/>
    </row>
    <row r="23940" spans="2:12" x14ac:dyDescent="0.2">
      <c r="B23940"/>
      <c r="C23940"/>
      <c r="J23940"/>
      <c r="K23940"/>
      <c r="L23940"/>
    </row>
    <row r="23941" spans="2:12" x14ac:dyDescent="0.2">
      <c r="B23941"/>
      <c r="C23941"/>
      <c r="J23941"/>
      <c r="K23941"/>
      <c r="L23941"/>
    </row>
    <row r="23942" spans="2:12" x14ac:dyDescent="0.2">
      <c r="B23942"/>
      <c r="C23942"/>
      <c r="J23942"/>
      <c r="K23942"/>
      <c r="L23942"/>
    </row>
    <row r="23943" spans="2:12" x14ac:dyDescent="0.2">
      <c r="B23943"/>
      <c r="C23943"/>
      <c r="J23943"/>
      <c r="K23943"/>
      <c r="L23943"/>
    </row>
    <row r="23944" spans="2:12" x14ac:dyDescent="0.2">
      <c r="B23944"/>
      <c r="C23944"/>
      <c r="J23944"/>
      <c r="K23944"/>
      <c r="L23944"/>
    </row>
    <row r="23945" spans="2:12" x14ac:dyDescent="0.2">
      <c r="B23945"/>
      <c r="C23945"/>
      <c r="J23945"/>
      <c r="K23945"/>
      <c r="L23945"/>
    </row>
    <row r="23946" spans="2:12" x14ac:dyDescent="0.2">
      <c r="B23946"/>
      <c r="C23946"/>
      <c r="J23946"/>
      <c r="K23946"/>
      <c r="L23946"/>
    </row>
    <row r="23947" spans="2:12" x14ac:dyDescent="0.2">
      <c r="B23947"/>
      <c r="C23947"/>
      <c r="J23947"/>
      <c r="K23947"/>
      <c r="L23947"/>
    </row>
    <row r="23948" spans="2:12" x14ac:dyDescent="0.2">
      <c r="B23948"/>
      <c r="C23948"/>
      <c r="J23948"/>
      <c r="K23948"/>
      <c r="L23948"/>
    </row>
    <row r="23949" spans="2:12" x14ac:dyDescent="0.2">
      <c r="B23949"/>
      <c r="C23949"/>
      <c r="J23949"/>
      <c r="K23949"/>
      <c r="L23949"/>
    </row>
    <row r="23950" spans="2:12" x14ac:dyDescent="0.2">
      <c r="B23950"/>
      <c r="C23950"/>
      <c r="J23950"/>
      <c r="K23950"/>
      <c r="L23950"/>
    </row>
    <row r="23951" spans="2:12" x14ac:dyDescent="0.2">
      <c r="B23951"/>
      <c r="C23951"/>
      <c r="J23951"/>
      <c r="K23951"/>
      <c r="L23951"/>
    </row>
    <row r="23952" spans="2:12" x14ac:dyDescent="0.2">
      <c r="B23952"/>
      <c r="C23952"/>
      <c r="J23952"/>
      <c r="K23952"/>
      <c r="L23952"/>
    </row>
    <row r="23953" spans="2:12" x14ac:dyDescent="0.2">
      <c r="B23953"/>
      <c r="C23953"/>
      <c r="J23953"/>
      <c r="K23953"/>
      <c r="L23953"/>
    </row>
    <row r="23954" spans="2:12" x14ac:dyDescent="0.2">
      <c r="B23954"/>
      <c r="C23954"/>
      <c r="J23954"/>
      <c r="K23954"/>
      <c r="L23954"/>
    </row>
    <row r="23955" spans="2:12" x14ac:dyDescent="0.2">
      <c r="B23955"/>
      <c r="C23955"/>
      <c r="J23955"/>
      <c r="K23955"/>
      <c r="L23955"/>
    </row>
    <row r="23956" spans="2:12" x14ac:dyDescent="0.2">
      <c r="B23956"/>
      <c r="C23956"/>
      <c r="J23956"/>
      <c r="K23956"/>
      <c r="L23956"/>
    </row>
    <row r="23957" spans="2:12" x14ac:dyDescent="0.2">
      <c r="B23957"/>
      <c r="C23957"/>
      <c r="J23957"/>
      <c r="K23957"/>
      <c r="L23957"/>
    </row>
    <row r="23958" spans="2:12" x14ac:dyDescent="0.2">
      <c r="B23958"/>
      <c r="C23958"/>
      <c r="J23958"/>
      <c r="K23958"/>
      <c r="L23958"/>
    </row>
    <row r="23959" spans="2:12" x14ac:dyDescent="0.2">
      <c r="B23959"/>
      <c r="C23959"/>
      <c r="J23959"/>
      <c r="K23959"/>
      <c r="L23959"/>
    </row>
    <row r="23960" spans="2:12" x14ac:dyDescent="0.2">
      <c r="B23960"/>
      <c r="C23960"/>
      <c r="J23960"/>
      <c r="K23960"/>
      <c r="L23960"/>
    </row>
    <row r="23961" spans="2:12" x14ac:dyDescent="0.2">
      <c r="B23961"/>
      <c r="C23961"/>
      <c r="J23961"/>
      <c r="K23961"/>
      <c r="L23961"/>
    </row>
    <row r="23962" spans="2:12" x14ac:dyDescent="0.2">
      <c r="B23962"/>
      <c r="C23962"/>
      <c r="J23962"/>
      <c r="K23962"/>
      <c r="L23962"/>
    </row>
    <row r="23963" spans="2:12" x14ac:dyDescent="0.2">
      <c r="B23963"/>
      <c r="C23963"/>
      <c r="J23963"/>
      <c r="K23963"/>
      <c r="L23963"/>
    </row>
    <row r="23964" spans="2:12" x14ac:dyDescent="0.2">
      <c r="B23964"/>
      <c r="C23964"/>
      <c r="J23964"/>
      <c r="K23964"/>
      <c r="L23964"/>
    </row>
    <row r="23965" spans="2:12" x14ac:dyDescent="0.2">
      <c r="B23965"/>
      <c r="C23965"/>
      <c r="J23965"/>
      <c r="K23965"/>
      <c r="L23965"/>
    </row>
    <row r="23966" spans="2:12" x14ac:dyDescent="0.2">
      <c r="B23966"/>
      <c r="C23966"/>
      <c r="J23966"/>
      <c r="K23966"/>
      <c r="L23966"/>
    </row>
    <row r="23967" spans="2:12" x14ac:dyDescent="0.2">
      <c r="B23967"/>
      <c r="C23967"/>
      <c r="J23967"/>
      <c r="K23967"/>
      <c r="L23967"/>
    </row>
    <row r="23968" spans="2:12" x14ac:dyDescent="0.2">
      <c r="B23968"/>
      <c r="C23968"/>
      <c r="J23968"/>
      <c r="K23968"/>
      <c r="L23968"/>
    </row>
    <row r="23969" spans="2:12" x14ac:dyDescent="0.2">
      <c r="B23969"/>
      <c r="C23969"/>
      <c r="J23969"/>
      <c r="K23969"/>
      <c r="L23969"/>
    </row>
    <row r="23970" spans="2:12" x14ac:dyDescent="0.2">
      <c r="B23970"/>
      <c r="C23970"/>
      <c r="J23970"/>
      <c r="K23970"/>
      <c r="L23970"/>
    </row>
    <row r="23971" spans="2:12" x14ac:dyDescent="0.2">
      <c r="B23971"/>
      <c r="C23971"/>
      <c r="J23971"/>
      <c r="K23971"/>
      <c r="L23971"/>
    </row>
    <row r="23972" spans="2:12" x14ac:dyDescent="0.2">
      <c r="B23972"/>
      <c r="C23972"/>
      <c r="J23972"/>
      <c r="K23972"/>
      <c r="L23972"/>
    </row>
    <row r="23973" spans="2:12" x14ac:dyDescent="0.2">
      <c r="B23973"/>
      <c r="C23973"/>
      <c r="J23973"/>
      <c r="K23973"/>
      <c r="L23973"/>
    </row>
    <row r="23974" spans="2:12" x14ac:dyDescent="0.2">
      <c r="B23974"/>
      <c r="C23974"/>
      <c r="J23974"/>
      <c r="K23974"/>
      <c r="L23974"/>
    </row>
    <row r="23975" spans="2:12" x14ac:dyDescent="0.2">
      <c r="B23975"/>
      <c r="C23975"/>
      <c r="J23975"/>
      <c r="K23975"/>
      <c r="L23975"/>
    </row>
    <row r="23976" spans="2:12" x14ac:dyDescent="0.2">
      <c r="B23976"/>
      <c r="C23976"/>
      <c r="J23976"/>
      <c r="K23976"/>
      <c r="L23976"/>
    </row>
    <row r="23977" spans="2:12" x14ac:dyDescent="0.2">
      <c r="B23977"/>
      <c r="C23977"/>
      <c r="J23977"/>
      <c r="K23977"/>
      <c r="L23977"/>
    </row>
    <row r="23978" spans="2:12" x14ac:dyDescent="0.2">
      <c r="B23978"/>
      <c r="C23978"/>
      <c r="J23978"/>
      <c r="K23978"/>
      <c r="L23978"/>
    </row>
    <row r="23979" spans="2:12" x14ac:dyDescent="0.2">
      <c r="B23979"/>
      <c r="C23979"/>
      <c r="J23979"/>
      <c r="K23979"/>
      <c r="L23979"/>
    </row>
    <row r="23980" spans="2:12" x14ac:dyDescent="0.2">
      <c r="B23980"/>
      <c r="C23980"/>
      <c r="J23980"/>
      <c r="K23980"/>
      <c r="L23980"/>
    </row>
    <row r="23981" spans="2:12" x14ac:dyDescent="0.2">
      <c r="B23981"/>
      <c r="C23981"/>
      <c r="J23981"/>
      <c r="K23981"/>
      <c r="L23981"/>
    </row>
    <row r="23982" spans="2:12" x14ac:dyDescent="0.2">
      <c r="B23982"/>
      <c r="C23982"/>
      <c r="J23982"/>
      <c r="K23982"/>
      <c r="L23982"/>
    </row>
    <row r="23983" spans="2:12" x14ac:dyDescent="0.2">
      <c r="B23983"/>
      <c r="C23983"/>
      <c r="J23983"/>
      <c r="K23983"/>
      <c r="L23983"/>
    </row>
    <row r="23984" spans="2:12" x14ac:dyDescent="0.2">
      <c r="B23984"/>
      <c r="C23984"/>
      <c r="J23984"/>
      <c r="K23984"/>
      <c r="L23984"/>
    </row>
    <row r="23985" spans="2:12" x14ac:dyDescent="0.2">
      <c r="B23985"/>
      <c r="C23985"/>
      <c r="J23985"/>
      <c r="K23985"/>
      <c r="L23985"/>
    </row>
    <row r="23986" spans="2:12" x14ac:dyDescent="0.2">
      <c r="B23986"/>
      <c r="C23986"/>
      <c r="J23986"/>
      <c r="K23986"/>
      <c r="L23986"/>
    </row>
    <row r="23987" spans="2:12" x14ac:dyDescent="0.2">
      <c r="B23987"/>
      <c r="C23987"/>
      <c r="J23987"/>
      <c r="K23987"/>
      <c r="L23987"/>
    </row>
    <row r="23988" spans="2:12" x14ac:dyDescent="0.2">
      <c r="B23988"/>
      <c r="C23988"/>
      <c r="J23988"/>
      <c r="K23988"/>
      <c r="L23988"/>
    </row>
    <row r="23989" spans="2:12" x14ac:dyDescent="0.2">
      <c r="B23989"/>
      <c r="C23989"/>
      <c r="J23989"/>
      <c r="K23989"/>
      <c r="L23989"/>
    </row>
    <row r="23990" spans="2:12" x14ac:dyDescent="0.2">
      <c r="B23990"/>
      <c r="C23990"/>
      <c r="J23990"/>
      <c r="K23990"/>
      <c r="L23990"/>
    </row>
    <row r="23991" spans="2:12" x14ac:dyDescent="0.2">
      <c r="B23991"/>
      <c r="C23991"/>
      <c r="J23991"/>
      <c r="K23991"/>
      <c r="L23991"/>
    </row>
    <row r="23992" spans="2:12" x14ac:dyDescent="0.2">
      <c r="B23992"/>
      <c r="C23992"/>
      <c r="J23992"/>
      <c r="K23992"/>
      <c r="L23992"/>
    </row>
    <row r="23993" spans="2:12" x14ac:dyDescent="0.2">
      <c r="B23993"/>
      <c r="C23993"/>
      <c r="J23993"/>
      <c r="K23993"/>
      <c r="L23993"/>
    </row>
    <row r="23994" spans="2:12" x14ac:dyDescent="0.2">
      <c r="B23994"/>
      <c r="C23994"/>
      <c r="J23994"/>
      <c r="K23994"/>
      <c r="L23994"/>
    </row>
    <row r="23995" spans="2:12" x14ac:dyDescent="0.2">
      <c r="B23995"/>
      <c r="C23995"/>
      <c r="J23995"/>
      <c r="K23995"/>
      <c r="L23995"/>
    </row>
    <row r="23996" spans="2:12" x14ac:dyDescent="0.2">
      <c r="B23996"/>
      <c r="C23996"/>
      <c r="J23996"/>
      <c r="K23996"/>
      <c r="L23996"/>
    </row>
    <row r="23997" spans="2:12" x14ac:dyDescent="0.2">
      <c r="B23997"/>
      <c r="C23997"/>
      <c r="J23997"/>
      <c r="K23997"/>
      <c r="L23997"/>
    </row>
    <row r="23998" spans="2:12" x14ac:dyDescent="0.2">
      <c r="B23998"/>
      <c r="C23998"/>
      <c r="J23998"/>
      <c r="K23998"/>
      <c r="L23998"/>
    </row>
    <row r="23999" spans="2:12" x14ac:dyDescent="0.2">
      <c r="B23999"/>
      <c r="C23999"/>
      <c r="J23999"/>
      <c r="K23999"/>
      <c r="L23999"/>
    </row>
    <row r="24000" spans="2:12" x14ac:dyDescent="0.2">
      <c r="B24000"/>
      <c r="C24000"/>
      <c r="J24000"/>
      <c r="K24000"/>
      <c r="L24000"/>
    </row>
    <row r="24001" spans="2:12" x14ac:dyDescent="0.2">
      <c r="B24001"/>
      <c r="C24001"/>
      <c r="J24001"/>
      <c r="K24001"/>
      <c r="L24001"/>
    </row>
    <row r="24002" spans="2:12" x14ac:dyDescent="0.2">
      <c r="B24002"/>
      <c r="C24002"/>
      <c r="J24002"/>
      <c r="K24002"/>
      <c r="L24002"/>
    </row>
    <row r="24003" spans="2:12" x14ac:dyDescent="0.2">
      <c r="B24003"/>
      <c r="C24003"/>
      <c r="J24003"/>
      <c r="K24003"/>
      <c r="L24003"/>
    </row>
    <row r="24004" spans="2:12" x14ac:dyDescent="0.2">
      <c r="B24004"/>
      <c r="C24004"/>
      <c r="J24004"/>
      <c r="K24004"/>
      <c r="L24004"/>
    </row>
    <row r="24005" spans="2:12" x14ac:dyDescent="0.2">
      <c r="B24005"/>
      <c r="C24005"/>
      <c r="J24005"/>
      <c r="K24005"/>
      <c r="L24005"/>
    </row>
    <row r="24006" spans="2:12" x14ac:dyDescent="0.2">
      <c r="B24006"/>
      <c r="C24006"/>
      <c r="J24006"/>
      <c r="K24006"/>
      <c r="L24006"/>
    </row>
    <row r="24007" spans="2:12" x14ac:dyDescent="0.2">
      <c r="B24007"/>
      <c r="C24007"/>
      <c r="J24007"/>
      <c r="K24007"/>
      <c r="L24007"/>
    </row>
    <row r="24008" spans="2:12" x14ac:dyDescent="0.2">
      <c r="B24008"/>
      <c r="C24008"/>
      <c r="J24008"/>
      <c r="K24008"/>
      <c r="L24008"/>
    </row>
    <row r="24009" spans="2:12" x14ac:dyDescent="0.2">
      <c r="B24009"/>
      <c r="C24009"/>
      <c r="J24009"/>
      <c r="K24009"/>
      <c r="L24009"/>
    </row>
    <row r="24010" spans="2:12" x14ac:dyDescent="0.2">
      <c r="B24010"/>
      <c r="C24010"/>
      <c r="J24010"/>
      <c r="K24010"/>
      <c r="L24010"/>
    </row>
    <row r="24011" spans="2:12" x14ac:dyDescent="0.2">
      <c r="B24011"/>
      <c r="C24011"/>
      <c r="J24011"/>
      <c r="K24011"/>
      <c r="L24011"/>
    </row>
    <row r="24012" spans="2:12" x14ac:dyDescent="0.2">
      <c r="B24012"/>
      <c r="C24012"/>
      <c r="J24012"/>
      <c r="K24012"/>
      <c r="L24012"/>
    </row>
    <row r="24013" spans="2:12" x14ac:dyDescent="0.2">
      <c r="B24013"/>
      <c r="C24013"/>
      <c r="J24013"/>
      <c r="K24013"/>
      <c r="L24013"/>
    </row>
    <row r="24014" spans="2:12" x14ac:dyDescent="0.2">
      <c r="B24014"/>
      <c r="C24014"/>
      <c r="J24014"/>
      <c r="K24014"/>
      <c r="L24014"/>
    </row>
    <row r="24015" spans="2:12" x14ac:dyDescent="0.2">
      <c r="B24015"/>
      <c r="C24015"/>
      <c r="J24015"/>
      <c r="K24015"/>
      <c r="L24015"/>
    </row>
    <row r="24016" spans="2:12" x14ac:dyDescent="0.2">
      <c r="B24016"/>
      <c r="C24016"/>
      <c r="J24016"/>
      <c r="K24016"/>
      <c r="L24016"/>
    </row>
    <row r="24017" spans="2:12" x14ac:dyDescent="0.2">
      <c r="B24017"/>
      <c r="C24017"/>
      <c r="J24017"/>
      <c r="K24017"/>
      <c r="L24017"/>
    </row>
    <row r="24018" spans="2:12" x14ac:dyDescent="0.2">
      <c r="B24018"/>
      <c r="C24018"/>
      <c r="J24018"/>
      <c r="K24018"/>
      <c r="L24018"/>
    </row>
    <row r="24019" spans="2:12" x14ac:dyDescent="0.2">
      <c r="B24019"/>
      <c r="C24019"/>
      <c r="J24019"/>
      <c r="K24019"/>
      <c r="L24019"/>
    </row>
    <row r="24020" spans="2:12" x14ac:dyDescent="0.2">
      <c r="B24020"/>
      <c r="C24020"/>
      <c r="J24020"/>
      <c r="K24020"/>
      <c r="L24020"/>
    </row>
    <row r="24021" spans="2:12" x14ac:dyDescent="0.2">
      <c r="B24021"/>
      <c r="C24021"/>
      <c r="J24021"/>
      <c r="K24021"/>
      <c r="L24021"/>
    </row>
    <row r="24022" spans="2:12" x14ac:dyDescent="0.2">
      <c r="B24022"/>
      <c r="C24022"/>
      <c r="J24022"/>
      <c r="K24022"/>
      <c r="L24022"/>
    </row>
    <row r="24023" spans="2:12" x14ac:dyDescent="0.2">
      <c r="B24023"/>
      <c r="C24023"/>
      <c r="J24023"/>
      <c r="K24023"/>
      <c r="L24023"/>
    </row>
    <row r="24024" spans="2:12" x14ac:dyDescent="0.2">
      <c r="B24024"/>
      <c r="C24024"/>
      <c r="J24024"/>
      <c r="K24024"/>
      <c r="L24024"/>
    </row>
    <row r="24025" spans="2:12" x14ac:dyDescent="0.2">
      <c r="B24025"/>
      <c r="C24025"/>
      <c r="J24025"/>
      <c r="K24025"/>
      <c r="L24025"/>
    </row>
    <row r="24026" spans="2:12" x14ac:dyDescent="0.2">
      <c r="B24026"/>
      <c r="C24026"/>
      <c r="J24026"/>
      <c r="K24026"/>
      <c r="L24026"/>
    </row>
    <row r="24027" spans="2:12" x14ac:dyDescent="0.2">
      <c r="B24027"/>
      <c r="C24027"/>
      <c r="J24027"/>
      <c r="K24027"/>
      <c r="L24027"/>
    </row>
    <row r="24028" spans="2:12" x14ac:dyDescent="0.2">
      <c r="B24028"/>
      <c r="C24028"/>
      <c r="J24028"/>
      <c r="K24028"/>
      <c r="L24028"/>
    </row>
    <row r="24029" spans="2:12" x14ac:dyDescent="0.2">
      <c r="B24029"/>
      <c r="C24029"/>
      <c r="J24029"/>
      <c r="K24029"/>
      <c r="L24029"/>
    </row>
    <row r="24030" spans="2:12" x14ac:dyDescent="0.2">
      <c r="B24030"/>
      <c r="C24030"/>
      <c r="J24030"/>
      <c r="K24030"/>
      <c r="L24030"/>
    </row>
    <row r="24031" spans="2:12" x14ac:dyDescent="0.2">
      <c r="B24031"/>
      <c r="C24031"/>
      <c r="J24031"/>
      <c r="K24031"/>
      <c r="L24031"/>
    </row>
    <row r="24032" spans="2:12" x14ac:dyDescent="0.2">
      <c r="B24032"/>
      <c r="C24032"/>
      <c r="J24032"/>
      <c r="K24032"/>
      <c r="L24032"/>
    </row>
    <row r="24033" spans="2:12" x14ac:dyDescent="0.2">
      <c r="B24033"/>
      <c r="C24033"/>
      <c r="J24033"/>
      <c r="K24033"/>
      <c r="L24033"/>
    </row>
    <row r="24034" spans="2:12" x14ac:dyDescent="0.2">
      <c r="B24034"/>
      <c r="C24034"/>
      <c r="J24034"/>
      <c r="K24034"/>
      <c r="L24034"/>
    </row>
    <row r="24035" spans="2:12" x14ac:dyDescent="0.2">
      <c r="B24035"/>
      <c r="C24035"/>
      <c r="J24035"/>
      <c r="K24035"/>
      <c r="L24035"/>
    </row>
    <row r="24036" spans="2:12" x14ac:dyDescent="0.2">
      <c r="B24036"/>
      <c r="C24036"/>
      <c r="J24036"/>
      <c r="K24036"/>
      <c r="L24036"/>
    </row>
    <row r="24037" spans="2:12" x14ac:dyDescent="0.2">
      <c r="B24037"/>
      <c r="C24037"/>
      <c r="J24037"/>
      <c r="K24037"/>
      <c r="L24037"/>
    </row>
    <row r="24038" spans="2:12" x14ac:dyDescent="0.2">
      <c r="B24038"/>
      <c r="C24038"/>
      <c r="J24038"/>
      <c r="K24038"/>
      <c r="L24038"/>
    </row>
    <row r="24039" spans="2:12" x14ac:dyDescent="0.2">
      <c r="B24039"/>
      <c r="C24039"/>
      <c r="J24039"/>
      <c r="K24039"/>
      <c r="L24039"/>
    </row>
    <row r="24040" spans="2:12" x14ac:dyDescent="0.2">
      <c r="B24040"/>
      <c r="C24040"/>
      <c r="J24040"/>
      <c r="K24040"/>
      <c r="L24040"/>
    </row>
    <row r="24041" spans="2:12" x14ac:dyDescent="0.2">
      <c r="B24041"/>
      <c r="C24041"/>
      <c r="J24041"/>
      <c r="K24041"/>
      <c r="L24041"/>
    </row>
    <row r="24042" spans="2:12" x14ac:dyDescent="0.2">
      <c r="B24042"/>
      <c r="C24042"/>
      <c r="J24042"/>
      <c r="K24042"/>
      <c r="L24042"/>
    </row>
    <row r="24043" spans="2:12" x14ac:dyDescent="0.2">
      <c r="B24043"/>
      <c r="C24043"/>
      <c r="J24043"/>
      <c r="K24043"/>
      <c r="L24043"/>
    </row>
    <row r="24044" spans="2:12" x14ac:dyDescent="0.2">
      <c r="B24044"/>
      <c r="C24044"/>
      <c r="J24044"/>
      <c r="K24044"/>
      <c r="L24044"/>
    </row>
    <row r="24045" spans="2:12" x14ac:dyDescent="0.2">
      <c r="B24045"/>
      <c r="C24045"/>
      <c r="J24045"/>
      <c r="K24045"/>
      <c r="L24045"/>
    </row>
    <row r="24046" spans="2:12" x14ac:dyDescent="0.2">
      <c r="B24046"/>
      <c r="C24046"/>
      <c r="J24046"/>
      <c r="K24046"/>
      <c r="L24046"/>
    </row>
    <row r="24047" spans="2:12" x14ac:dyDescent="0.2">
      <c r="B24047"/>
      <c r="C24047"/>
      <c r="J24047"/>
      <c r="K24047"/>
      <c r="L24047"/>
    </row>
    <row r="24048" spans="2:12" x14ac:dyDescent="0.2">
      <c r="B24048"/>
      <c r="C24048"/>
      <c r="J24048"/>
      <c r="K24048"/>
      <c r="L24048"/>
    </row>
    <row r="24049" spans="2:12" x14ac:dyDescent="0.2">
      <c r="B24049"/>
      <c r="C24049"/>
      <c r="J24049"/>
      <c r="K24049"/>
      <c r="L24049"/>
    </row>
    <row r="24050" spans="2:12" x14ac:dyDescent="0.2">
      <c r="B24050"/>
      <c r="C24050"/>
      <c r="J24050"/>
      <c r="K24050"/>
      <c r="L24050"/>
    </row>
    <row r="24051" spans="2:12" x14ac:dyDescent="0.2">
      <c r="B24051"/>
      <c r="C24051"/>
      <c r="J24051"/>
      <c r="K24051"/>
      <c r="L24051"/>
    </row>
    <row r="24052" spans="2:12" x14ac:dyDescent="0.2">
      <c r="B24052"/>
      <c r="C24052"/>
      <c r="J24052"/>
      <c r="K24052"/>
      <c r="L24052"/>
    </row>
    <row r="24053" spans="2:12" x14ac:dyDescent="0.2">
      <c r="B24053"/>
      <c r="C24053"/>
      <c r="J24053"/>
      <c r="K24053"/>
      <c r="L24053"/>
    </row>
    <row r="24054" spans="2:12" x14ac:dyDescent="0.2">
      <c r="B24054"/>
      <c r="C24054"/>
      <c r="J24054"/>
      <c r="K24054"/>
      <c r="L24054"/>
    </row>
    <row r="24055" spans="2:12" x14ac:dyDescent="0.2">
      <c r="B24055"/>
      <c r="C24055"/>
      <c r="J24055"/>
      <c r="K24055"/>
      <c r="L24055"/>
    </row>
    <row r="24056" spans="2:12" x14ac:dyDescent="0.2">
      <c r="B24056"/>
      <c r="C24056"/>
      <c r="J24056"/>
      <c r="K24056"/>
      <c r="L24056"/>
    </row>
    <row r="24057" spans="2:12" x14ac:dyDescent="0.2">
      <c r="B24057"/>
      <c r="C24057"/>
      <c r="J24057"/>
      <c r="K24057"/>
      <c r="L24057"/>
    </row>
    <row r="24058" spans="2:12" x14ac:dyDescent="0.2">
      <c r="B24058"/>
      <c r="C24058"/>
      <c r="J24058"/>
      <c r="K24058"/>
      <c r="L24058"/>
    </row>
    <row r="24059" spans="2:12" x14ac:dyDescent="0.2">
      <c r="B24059"/>
      <c r="C24059"/>
      <c r="J24059"/>
      <c r="K24059"/>
      <c r="L24059"/>
    </row>
    <row r="24060" spans="2:12" x14ac:dyDescent="0.2">
      <c r="B24060"/>
      <c r="C24060"/>
      <c r="J24060"/>
      <c r="K24060"/>
      <c r="L24060"/>
    </row>
    <row r="24061" spans="2:12" x14ac:dyDescent="0.2">
      <c r="B24061"/>
      <c r="C24061"/>
      <c r="J24061"/>
      <c r="K24061"/>
      <c r="L24061"/>
    </row>
    <row r="24062" spans="2:12" x14ac:dyDescent="0.2">
      <c r="B24062"/>
      <c r="C24062"/>
      <c r="J24062"/>
      <c r="K24062"/>
      <c r="L24062"/>
    </row>
    <row r="24063" spans="2:12" x14ac:dyDescent="0.2">
      <c r="B24063"/>
      <c r="C24063"/>
      <c r="J24063"/>
      <c r="K24063"/>
      <c r="L24063"/>
    </row>
    <row r="24064" spans="2:12" x14ac:dyDescent="0.2">
      <c r="B24064"/>
      <c r="C24064"/>
      <c r="J24064"/>
      <c r="K24064"/>
      <c r="L24064"/>
    </row>
    <row r="24065" spans="2:12" x14ac:dyDescent="0.2">
      <c r="B24065"/>
      <c r="C24065"/>
      <c r="J24065"/>
      <c r="K24065"/>
      <c r="L24065"/>
    </row>
    <row r="24066" spans="2:12" x14ac:dyDescent="0.2">
      <c r="B24066"/>
      <c r="C24066"/>
      <c r="J24066"/>
      <c r="K24066"/>
      <c r="L24066"/>
    </row>
    <row r="24067" spans="2:12" x14ac:dyDescent="0.2">
      <c r="B24067"/>
      <c r="C24067"/>
      <c r="J24067"/>
      <c r="K24067"/>
      <c r="L24067"/>
    </row>
    <row r="24068" spans="2:12" x14ac:dyDescent="0.2">
      <c r="B24068"/>
      <c r="C24068"/>
      <c r="J24068"/>
      <c r="K24068"/>
      <c r="L24068"/>
    </row>
    <row r="24069" spans="2:12" x14ac:dyDescent="0.2">
      <c r="B24069"/>
      <c r="C24069"/>
      <c r="J24069"/>
      <c r="K24069"/>
      <c r="L24069"/>
    </row>
    <row r="24070" spans="2:12" x14ac:dyDescent="0.2">
      <c r="B24070"/>
      <c r="C24070"/>
      <c r="J24070"/>
      <c r="K24070"/>
      <c r="L24070"/>
    </row>
    <row r="24071" spans="2:12" x14ac:dyDescent="0.2">
      <c r="B24071"/>
      <c r="C24071"/>
      <c r="J24071"/>
      <c r="K24071"/>
      <c r="L24071"/>
    </row>
    <row r="24072" spans="2:12" x14ac:dyDescent="0.2">
      <c r="B24072"/>
      <c r="C24072"/>
      <c r="J24072"/>
      <c r="K24072"/>
      <c r="L24072"/>
    </row>
    <row r="24073" spans="2:12" x14ac:dyDescent="0.2">
      <c r="B24073"/>
      <c r="C24073"/>
      <c r="J24073"/>
      <c r="K24073"/>
      <c r="L24073"/>
    </row>
    <row r="24074" spans="2:12" x14ac:dyDescent="0.2">
      <c r="B24074"/>
      <c r="C24074"/>
      <c r="J24074"/>
      <c r="K24074"/>
      <c r="L24074"/>
    </row>
    <row r="24075" spans="2:12" x14ac:dyDescent="0.2">
      <c r="B24075"/>
      <c r="C24075"/>
      <c r="J24075"/>
      <c r="K24075"/>
      <c r="L24075"/>
    </row>
    <row r="24076" spans="2:12" x14ac:dyDescent="0.2">
      <c r="B24076"/>
      <c r="C24076"/>
      <c r="J24076"/>
      <c r="K24076"/>
      <c r="L24076"/>
    </row>
    <row r="24077" spans="2:12" x14ac:dyDescent="0.2">
      <c r="B24077"/>
      <c r="C24077"/>
      <c r="J24077"/>
      <c r="K24077"/>
      <c r="L24077"/>
    </row>
    <row r="24078" spans="2:12" x14ac:dyDescent="0.2">
      <c r="B24078"/>
      <c r="C24078"/>
      <c r="J24078"/>
      <c r="K24078"/>
      <c r="L24078"/>
    </row>
    <row r="24079" spans="2:12" x14ac:dyDescent="0.2">
      <c r="B24079"/>
      <c r="C24079"/>
      <c r="J24079"/>
      <c r="K24079"/>
      <c r="L24079"/>
    </row>
    <row r="24080" spans="2:12" x14ac:dyDescent="0.2">
      <c r="B24080"/>
      <c r="C24080"/>
      <c r="J24080"/>
      <c r="K24080"/>
      <c r="L24080"/>
    </row>
    <row r="24081" spans="2:12" x14ac:dyDescent="0.2">
      <c r="B24081"/>
      <c r="C24081"/>
      <c r="J24081"/>
      <c r="K24081"/>
      <c r="L24081"/>
    </row>
    <row r="24082" spans="2:12" x14ac:dyDescent="0.2">
      <c r="B24082"/>
      <c r="C24082"/>
      <c r="J24082"/>
      <c r="K24082"/>
      <c r="L24082"/>
    </row>
    <row r="24083" spans="2:12" x14ac:dyDescent="0.2">
      <c r="B24083"/>
      <c r="C24083"/>
      <c r="J24083"/>
      <c r="K24083"/>
      <c r="L24083"/>
    </row>
    <row r="24084" spans="2:12" x14ac:dyDescent="0.2">
      <c r="B24084"/>
      <c r="C24084"/>
      <c r="J24084"/>
      <c r="K24084"/>
      <c r="L24084"/>
    </row>
    <row r="24085" spans="2:12" x14ac:dyDescent="0.2">
      <c r="B24085"/>
      <c r="C24085"/>
      <c r="J24085"/>
      <c r="K24085"/>
      <c r="L24085"/>
    </row>
    <row r="24086" spans="2:12" x14ac:dyDescent="0.2">
      <c r="B24086"/>
      <c r="C24086"/>
      <c r="J24086"/>
      <c r="K24086"/>
      <c r="L24086"/>
    </row>
    <row r="24087" spans="2:12" x14ac:dyDescent="0.2">
      <c r="B24087"/>
      <c r="C24087"/>
      <c r="J24087"/>
      <c r="K24087"/>
      <c r="L24087"/>
    </row>
    <row r="24088" spans="2:12" x14ac:dyDescent="0.2">
      <c r="B24088"/>
      <c r="C24088"/>
      <c r="J24088"/>
      <c r="K24088"/>
      <c r="L24088"/>
    </row>
    <row r="24089" spans="2:12" x14ac:dyDescent="0.2">
      <c r="B24089"/>
      <c r="C24089"/>
      <c r="J24089"/>
      <c r="K24089"/>
      <c r="L24089"/>
    </row>
    <row r="24090" spans="2:12" x14ac:dyDescent="0.2">
      <c r="B24090"/>
      <c r="C24090"/>
      <c r="J24090"/>
      <c r="K24090"/>
      <c r="L24090"/>
    </row>
    <row r="24091" spans="2:12" x14ac:dyDescent="0.2">
      <c r="B24091"/>
      <c r="C24091"/>
      <c r="J24091"/>
      <c r="K24091"/>
      <c r="L24091"/>
    </row>
    <row r="24092" spans="2:12" x14ac:dyDescent="0.2">
      <c r="B24092"/>
      <c r="C24092"/>
      <c r="J24092"/>
      <c r="K24092"/>
      <c r="L24092"/>
    </row>
    <row r="24093" spans="2:12" x14ac:dyDescent="0.2">
      <c r="B24093"/>
      <c r="C24093"/>
      <c r="J24093"/>
      <c r="K24093"/>
      <c r="L24093"/>
    </row>
    <row r="24094" spans="2:12" x14ac:dyDescent="0.2">
      <c r="B24094"/>
      <c r="C24094"/>
      <c r="J24094"/>
      <c r="K24094"/>
      <c r="L24094"/>
    </row>
    <row r="24095" spans="2:12" x14ac:dyDescent="0.2">
      <c r="B24095"/>
      <c r="C24095"/>
      <c r="J24095"/>
      <c r="K24095"/>
      <c r="L24095"/>
    </row>
    <row r="24096" spans="2:12" x14ac:dyDescent="0.2">
      <c r="B24096"/>
      <c r="C24096"/>
      <c r="J24096"/>
      <c r="K24096"/>
      <c r="L24096"/>
    </row>
    <row r="24097" spans="2:12" x14ac:dyDescent="0.2">
      <c r="B24097"/>
      <c r="C24097"/>
      <c r="J24097"/>
      <c r="K24097"/>
      <c r="L24097"/>
    </row>
    <row r="24098" spans="2:12" x14ac:dyDescent="0.2">
      <c r="B24098"/>
      <c r="C24098"/>
      <c r="J24098"/>
      <c r="K24098"/>
      <c r="L24098"/>
    </row>
    <row r="24099" spans="2:12" x14ac:dyDescent="0.2">
      <c r="B24099"/>
      <c r="C24099"/>
      <c r="J24099"/>
      <c r="K24099"/>
      <c r="L24099"/>
    </row>
    <row r="24100" spans="2:12" x14ac:dyDescent="0.2">
      <c r="B24100"/>
      <c r="C24100"/>
      <c r="J24100"/>
      <c r="K24100"/>
      <c r="L24100"/>
    </row>
    <row r="24101" spans="2:12" x14ac:dyDescent="0.2">
      <c r="B24101"/>
      <c r="C24101"/>
      <c r="J24101"/>
      <c r="K24101"/>
      <c r="L24101"/>
    </row>
    <row r="24102" spans="2:12" x14ac:dyDescent="0.2">
      <c r="B24102"/>
      <c r="C24102"/>
      <c r="J24102"/>
      <c r="K24102"/>
      <c r="L24102"/>
    </row>
    <row r="24103" spans="2:12" x14ac:dyDescent="0.2">
      <c r="B24103"/>
      <c r="C24103"/>
      <c r="J24103"/>
      <c r="K24103"/>
      <c r="L24103"/>
    </row>
    <row r="24104" spans="2:12" x14ac:dyDescent="0.2">
      <c r="B24104"/>
      <c r="C24104"/>
      <c r="J24104"/>
      <c r="K24104"/>
      <c r="L24104"/>
    </row>
    <row r="24105" spans="2:12" x14ac:dyDescent="0.2">
      <c r="B24105"/>
      <c r="C24105"/>
      <c r="J24105"/>
      <c r="K24105"/>
      <c r="L24105"/>
    </row>
    <row r="24106" spans="2:12" x14ac:dyDescent="0.2">
      <c r="B24106"/>
      <c r="C24106"/>
      <c r="J24106"/>
      <c r="K24106"/>
      <c r="L24106"/>
    </row>
    <row r="24107" spans="2:12" x14ac:dyDescent="0.2">
      <c r="B24107"/>
      <c r="C24107"/>
      <c r="J24107"/>
      <c r="K24107"/>
      <c r="L24107"/>
    </row>
    <row r="24108" spans="2:12" x14ac:dyDescent="0.2">
      <c r="B24108"/>
      <c r="C24108"/>
      <c r="J24108"/>
      <c r="K24108"/>
      <c r="L24108"/>
    </row>
    <row r="24109" spans="2:12" x14ac:dyDescent="0.2">
      <c r="B24109"/>
      <c r="C24109"/>
      <c r="J24109"/>
      <c r="K24109"/>
      <c r="L24109"/>
    </row>
    <row r="24110" spans="2:12" x14ac:dyDescent="0.2">
      <c r="B24110"/>
      <c r="C24110"/>
      <c r="J24110"/>
      <c r="K24110"/>
      <c r="L24110"/>
    </row>
    <row r="24111" spans="2:12" x14ac:dyDescent="0.2">
      <c r="B24111"/>
      <c r="C24111"/>
      <c r="J24111"/>
      <c r="K24111"/>
      <c r="L24111"/>
    </row>
    <row r="24112" spans="2:12" x14ac:dyDescent="0.2">
      <c r="B24112"/>
      <c r="C24112"/>
      <c r="J24112"/>
      <c r="K24112"/>
      <c r="L24112"/>
    </row>
    <row r="24113" spans="2:12" x14ac:dyDescent="0.2">
      <c r="B24113"/>
      <c r="C24113"/>
      <c r="J24113"/>
      <c r="K24113"/>
      <c r="L24113"/>
    </row>
    <row r="24114" spans="2:12" x14ac:dyDescent="0.2">
      <c r="B24114"/>
      <c r="C24114"/>
      <c r="J24114"/>
      <c r="K24114"/>
      <c r="L24114"/>
    </row>
    <row r="24115" spans="2:12" x14ac:dyDescent="0.2">
      <c r="B24115"/>
      <c r="C24115"/>
      <c r="J24115"/>
      <c r="K24115"/>
      <c r="L24115"/>
    </row>
    <row r="24116" spans="2:12" x14ac:dyDescent="0.2">
      <c r="B24116"/>
      <c r="C24116"/>
      <c r="J24116"/>
      <c r="K24116"/>
      <c r="L24116"/>
    </row>
    <row r="24117" spans="2:12" x14ac:dyDescent="0.2">
      <c r="B24117"/>
      <c r="C24117"/>
      <c r="J24117"/>
      <c r="K24117"/>
      <c r="L24117"/>
    </row>
    <row r="24118" spans="2:12" x14ac:dyDescent="0.2">
      <c r="B24118"/>
      <c r="C24118"/>
      <c r="J24118"/>
      <c r="K24118"/>
      <c r="L24118"/>
    </row>
    <row r="24119" spans="2:12" x14ac:dyDescent="0.2">
      <c r="B24119"/>
      <c r="C24119"/>
      <c r="J24119"/>
      <c r="K24119"/>
      <c r="L24119"/>
    </row>
    <row r="24120" spans="2:12" x14ac:dyDescent="0.2">
      <c r="B24120"/>
      <c r="C24120"/>
      <c r="J24120"/>
      <c r="K24120"/>
      <c r="L24120"/>
    </row>
    <row r="24121" spans="2:12" x14ac:dyDescent="0.2">
      <c r="B24121"/>
      <c r="C24121"/>
      <c r="J24121"/>
      <c r="K24121"/>
      <c r="L24121"/>
    </row>
    <row r="24122" spans="2:12" x14ac:dyDescent="0.2">
      <c r="B24122"/>
      <c r="C24122"/>
      <c r="J24122"/>
      <c r="K24122"/>
      <c r="L24122"/>
    </row>
    <row r="24123" spans="2:12" x14ac:dyDescent="0.2">
      <c r="B24123"/>
      <c r="C24123"/>
      <c r="J24123"/>
      <c r="K24123"/>
      <c r="L24123"/>
    </row>
    <row r="24124" spans="2:12" x14ac:dyDescent="0.2">
      <c r="B24124"/>
      <c r="C24124"/>
      <c r="J24124"/>
      <c r="K24124"/>
      <c r="L24124"/>
    </row>
    <row r="24125" spans="2:12" x14ac:dyDescent="0.2">
      <c r="B24125"/>
      <c r="C24125"/>
      <c r="J24125"/>
      <c r="K24125"/>
      <c r="L24125"/>
    </row>
    <row r="24126" spans="2:12" x14ac:dyDescent="0.2">
      <c r="B24126"/>
      <c r="C24126"/>
      <c r="J24126"/>
      <c r="K24126"/>
      <c r="L24126"/>
    </row>
    <row r="24127" spans="2:12" x14ac:dyDescent="0.2">
      <c r="B24127"/>
      <c r="C24127"/>
      <c r="J24127"/>
      <c r="K24127"/>
      <c r="L24127"/>
    </row>
    <row r="24128" spans="2:12" x14ac:dyDescent="0.2">
      <c r="B24128"/>
      <c r="C24128"/>
      <c r="J24128"/>
      <c r="K24128"/>
      <c r="L24128"/>
    </row>
    <row r="24129" spans="2:12" x14ac:dyDescent="0.2">
      <c r="B24129"/>
      <c r="C24129"/>
      <c r="J24129"/>
      <c r="K24129"/>
      <c r="L24129"/>
    </row>
    <row r="24130" spans="2:12" x14ac:dyDescent="0.2">
      <c r="B24130"/>
      <c r="C24130"/>
      <c r="J24130"/>
      <c r="K24130"/>
      <c r="L24130"/>
    </row>
    <row r="24131" spans="2:12" x14ac:dyDescent="0.2">
      <c r="B24131"/>
      <c r="C24131"/>
      <c r="J24131"/>
      <c r="K24131"/>
      <c r="L24131"/>
    </row>
    <row r="24132" spans="2:12" x14ac:dyDescent="0.2">
      <c r="B24132"/>
      <c r="C24132"/>
      <c r="J24132"/>
      <c r="K24132"/>
      <c r="L24132"/>
    </row>
    <row r="24133" spans="2:12" x14ac:dyDescent="0.2">
      <c r="B24133"/>
      <c r="C24133"/>
      <c r="J24133"/>
      <c r="K24133"/>
      <c r="L24133"/>
    </row>
    <row r="24134" spans="2:12" x14ac:dyDescent="0.2">
      <c r="B24134"/>
      <c r="C24134"/>
      <c r="J24134"/>
      <c r="K24134"/>
      <c r="L24134"/>
    </row>
    <row r="24135" spans="2:12" x14ac:dyDescent="0.2">
      <c r="B24135"/>
      <c r="C24135"/>
      <c r="J24135"/>
      <c r="K24135"/>
      <c r="L24135"/>
    </row>
    <row r="24136" spans="2:12" x14ac:dyDescent="0.2">
      <c r="B24136"/>
      <c r="C24136"/>
      <c r="J24136"/>
      <c r="K24136"/>
      <c r="L24136"/>
    </row>
    <row r="24137" spans="2:12" x14ac:dyDescent="0.2">
      <c r="B24137"/>
      <c r="C24137"/>
      <c r="J24137"/>
      <c r="K24137"/>
      <c r="L24137"/>
    </row>
    <row r="24138" spans="2:12" x14ac:dyDescent="0.2">
      <c r="B24138"/>
      <c r="C24138"/>
      <c r="J24138"/>
      <c r="K24138"/>
      <c r="L24138"/>
    </row>
    <row r="24139" spans="2:12" x14ac:dyDescent="0.2">
      <c r="B24139"/>
      <c r="C24139"/>
      <c r="J24139"/>
      <c r="K24139"/>
      <c r="L24139"/>
    </row>
    <row r="24140" spans="2:12" x14ac:dyDescent="0.2">
      <c r="B24140"/>
      <c r="C24140"/>
      <c r="J24140"/>
      <c r="K24140"/>
      <c r="L24140"/>
    </row>
    <row r="24141" spans="2:12" x14ac:dyDescent="0.2">
      <c r="B24141"/>
      <c r="C24141"/>
      <c r="J24141"/>
      <c r="K24141"/>
      <c r="L24141"/>
    </row>
    <row r="24142" spans="2:12" x14ac:dyDescent="0.2">
      <c r="B24142"/>
      <c r="C24142"/>
      <c r="J24142"/>
      <c r="K24142"/>
      <c r="L24142"/>
    </row>
    <row r="24143" spans="2:12" x14ac:dyDescent="0.2">
      <c r="B24143"/>
      <c r="C24143"/>
      <c r="J24143"/>
      <c r="K24143"/>
      <c r="L24143"/>
    </row>
    <row r="24144" spans="2:12" x14ac:dyDescent="0.2">
      <c r="B24144"/>
      <c r="C24144"/>
      <c r="J24144"/>
      <c r="K24144"/>
      <c r="L24144"/>
    </row>
    <row r="24145" spans="2:12" x14ac:dyDescent="0.2">
      <c r="B24145"/>
      <c r="C24145"/>
      <c r="J24145"/>
      <c r="K24145"/>
      <c r="L24145"/>
    </row>
    <row r="24146" spans="2:12" x14ac:dyDescent="0.2">
      <c r="B24146"/>
      <c r="C24146"/>
      <c r="J24146"/>
      <c r="K24146"/>
      <c r="L24146"/>
    </row>
    <row r="24147" spans="2:12" x14ac:dyDescent="0.2">
      <c r="B24147"/>
      <c r="C24147"/>
      <c r="J24147"/>
      <c r="K24147"/>
      <c r="L24147"/>
    </row>
    <row r="24148" spans="2:12" x14ac:dyDescent="0.2">
      <c r="B24148"/>
      <c r="C24148"/>
      <c r="J24148"/>
      <c r="K24148"/>
      <c r="L24148"/>
    </row>
    <row r="24149" spans="2:12" x14ac:dyDescent="0.2">
      <c r="B24149"/>
      <c r="C24149"/>
      <c r="J24149"/>
      <c r="K24149"/>
      <c r="L24149"/>
    </row>
    <row r="24150" spans="2:12" x14ac:dyDescent="0.2">
      <c r="B24150"/>
      <c r="C24150"/>
      <c r="J24150"/>
      <c r="K24150"/>
      <c r="L24150"/>
    </row>
    <row r="24151" spans="2:12" x14ac:dyDescent="0.2">
      <c r="B24151"/>
      <c r="C24151"/>
      <c r="J24151"/>
      <c r="K24151"/>
      <c r="L24151"/>
    </row>
    <row r="24152" spans="2:12" x14ac:dyDescent="0.2">
      <c r="B24152"/>
      <c r="C24152"/>
      <c r="J24152"/>
      <c r="K24152"/>
      <c r="L24152"/>
    </row>
    <row r="24153" spans="2:12" x14ac:dyDescent="0.2">
      <c r="B24153"/>
      <c r="C24153"/>
      <c r="J24153"/>
      <c r="K24153"/>
      <c r="L24153"/>
    </row>
    <row r="24154" spans="2:12" x14ac:dyDescent="0.2">
      <c r="B24154"/>
      <c r="C24154"/>
      <c r="J24154"/>
      <c r="K24154"/>
      <c r="L24154"/>
    </row>
    <row r="24155" spans="2:12" x14ac:dyDescent="0.2">
      <c r="B24155"/>
      <c r="C24155"/>
      <c r="J24155"/>
      <c r="K24155"/>
      <c r="L24155"/>
    </row>
    <row r="24156" spans="2:12" x14ac:dyDescent="0.2">
      <c r="B24156"/>
      <c r="C24156"/>
      <c r="J24156"/>
      <c r="K24156"/>
      <c r="L24156"/>
    </row>
    <row r="24157" spans="2:12" x14ac:dyDescent="0.2">
      <c r="B24157"/>
      <c r="C24157"/>
      <c r="J24157"/>
      <c r="K24157"/>
      <c r="L24157"/>
    </row>
    <row r="24158" spans="2:12" x14ac:dyDescent="0.2">
      <c r="B24158"/>
      <c r="C24158"/>
      <c r="J24158"/>
      <c r="K24158"/>
      <c r="L24158"/>
    </row>
    <row r="24159" spans="2:12" x14ac:dyDescent="0.2">
      <c r="B24159"/>
      <c r="C24159"/>
      <c r="J24159"/>
      <c r="K24159"/>
      <c r="L24159"/>
    </row>
    <row r="24160" spans="2:12" x14ac:dyDescent="0.2">
      <c r="B24160"/>
      <c r="C24160"/>
      <c r="J24160"/>
      <c r="K24160"/>
      <c r="L24160"/>
    </row>
    <row r="24161" spans="2:12" x14ac:dyDescent="0.2">
      <c r="B24161"/>
      <c r="C24161"/>
      <c r="J24161"/>
      <c r="K24161"/>
      <c r="L24161"/>
    </row>
    <row r="24162" spans="2:12" x14ac:dyDescent="0.2">
      <c r="B24162"/>
      <c r="C24162"/>
      <c r="J24162"/>
      <c r="K24162"/>
      <c r="L24162"/>
    </row>
    <row r="24163" spans="2:12" x14ac:dyDescent="0.2">
      <c r="B24163"/>
      <c r="C24163"/>
      <c r="J24163"/>
      <c r="K24163"/>
      <c r="L24163"/>
    </row>
    <row r="24164" spans="2:12" x14ac:dyDescent="0.2">
      <c r="B24164"/>
      <c r="C24164"/>
      <c r="J24164"/>
      <c r="K24164"/>
      <c r="L24164"/>
    </row>
    <row r="24165" spans="2:12" x14ac:dyDescent="0.2">
      <c r="B24165"/>
      <c r="C24165"/>
      <c r="J24165"/>
      <c r="K24165"/>
      <c r="L24165"/>
    </row>
    <row r="24166" spans="2:12" x14ac:dyDescent="0.2">
      <c r="B24166"/>
      <c r="C24166"/>
      <c r="J24166"/>
      <c r="K24166"/>
      <c r="L24166"/>
    </row>
    <row r="24167" spans="2:12" x14ac:dyDescent="0.2">
      <c r="B24167"/>
      <c r="C24167"/>
      <c r="J24167"/>
      <c r="K24167"/>
      <c r="L24167"/>
    </row>
    <row r="24168" spans="2:12" x14ac:dyDescent="0.2">
      <c r="B24168"/>
      <c r="C24168"/>
      <c r="J24168"/>
      <c r="K24168"/>
      <c r="L24168"/>
    </row>
    <row r="24169" spans="2:12" x14ac:dyDescent="0.2">
      <c r="B24169"/>
      <c r="C24169"/>
      <c r="J24169"/>
      <c r="K24169"/>
      <c r="L24169"/>
    </row>
    <row r="24170" spans="2:12" x14ac:dyDescent="0.2">
      <c r="B24170"/>
      <c r="C24170"/>
      <c r="J24170"/>
      <c r="K24170"/>
      <c r="L24170"/>
    </row>
    <row r="24171" spans="2:12" x14ac:dyDescent="0.2">
      <c r="B24171"/>
      <c r="C24171"/>
      <c r="J24171"/>
      <c r="K24171"/>
      <c r="L24171"/>
    </row>
    <row r="24172" spans="2:12" x14ac:dyDescent="0.2">
      <c r="B24172"/>
      <c r="C24172"/>
      <c r="J24172"/>
      <c r="K24172"/>
      <c r="L24172"/>
    </row>
    <row r="24173" spans="2:12" x14ac:dyDescent="0.2">
      <c r="B24173"/>
      <c r="C24173"/>
      <c r="J24173"/>
      <c r="K24173"/>
      <c r="L24173"/>
    </row>
    <row r="24174" spans="2:12" x14ac:dyDescent="0.2">
      <c r="B24174"/>
      <c r="C24174"/>
      <c r="J24174"/>
      <c r="K24174"/>
      <c r="L24174"/>
    </row>
    <row r="24175" spans="2:12" x14ac:dyDescent="0.2">
      <c r="B24175"/>
      <c r="C24175"/>
      <c r="J24175"/>
      <c r="K24175"/>
      <c r="L24175"/>
    </row>
    <row r="24176" spans="2:12" x14ac:dyDescent="0.2">
      <c r="B24176"/>
      <c r="C24176"/>
      <c r="J24176"/>
      <c r="K24176"/>
      <c r="L24176"/>
    </row>
    <row r="24177" spans="2:12" x14ac:dyDescent="0.2">
      <c r="B24177"/>
      <c r="C24177"/>
      <c r="J24177"/>
      <c r="K24177"/>
      <c r="L24177"/>
    </row>
    <row r="24178" spans="2:12" x14ac:dyDescent="0.2">
      <c r="B24178"/>
      <c r="C24178"/>
      <c r="J24178"/>
      <c r="K24178"/>
      <c r="L24178"/>
    </row>
    <row r="24179" spans="2:12" x14ac:dyDescent="0.2">
      <c r="B24179"/>
      <c r="C24179"/>
      <c r="J24179"/>
      <c r="K24179"/>
      <c r="L24179"/>
    </row>
    <row r="24180" spans="2:12" x14ac:dyDescent="0.2">
      <c r="B24180"/>
      <c r="C24180"/>
      <c r="J24180"/>
      <c r="K24180"/>
      <c r="L24180"/>
    </row>
    <row r="24181" spans="2:12" x14ac:dyDescent="0.2">
      <c r="B24181"/>
      <c r="C24181"/>
      <c r="J24181"/>
      <c r="K24181"/>
      <c r="L24181"/>
    </row>
    <row r="24182" spans="2:12" x14ac:dyDescent="0.2">
      <c r="B24182"/>
      <c r="C24182"/>
      <c r="J24182"/>
      <c r="K24182"/>
      <c r="L24182"/>
    </row>
    <row r="24183" spans="2:12" x14ac:dyDescent="0.2">
      <c r="B24183"/>
      <c r="C24183"/>
      <c r="J24183"/>
      <c r="K24183"/>
      <c r="L24183"/>
    </row>
    <row r="24184" spans="2:12" x14ac:dyDescent="0.2">
      <c r="B24184"/>
      <c r="C24184"/>
      <c r="J24184"/>
      <c r="K24184"/>
      <c r="L24184"/>
    </row>
    <row r="24185" spans="2:12" x14ac:dyDescent="0.2">
      <c r="B24185"/>
      <c r="C24185"/>
      <c r="J24185"/>
      <c r="K24185"/>
      <c r="L24185"/>
    </row>
    <row r="24186" spans="2:12" x14ac:dyDescent="0.2">
      <c r="B24186"/>
      <c r="C24186"/>
      <c r="J24186"/>
      <c r="K24186"/>
      <c r="L24186"/>
    </row>
    <row r="24187" spans="2:12" x14ac:dyDescent="0.2">
      <c r="B24187"/>
      <c r="C24187"/>
      <c r="J24187"/>
      <c r="K24187"/>
      <c r="L24187"/>
    </row>
    <row r="24188" spans="2:12" x14ac:dyDescent="0.2">
      <c r="B24188"/>
      <c r="C24188"/>
      <c r="J24188"/>
      <c r="K24188"/>
      <c r="L24188"/>
    </row>
    <row r="24189" spans="2:12" x14ac:dyDescent="0.2">
      <c r="B24189"/>
      <c r="C24189"/>
      <c r="J24189"/>
      <c r="K24189"/>
      <c r="L24189"/>
    </row>
    <row r="24190" spans="2:12" x14ac:dyDescent="0.2">
      <c r="B24190"/>
      <c r="C24190"/>
      <c r="J24190"/>
      <c r="K24190"/>
      <c r="L24190"/>
    </row>
    <row r="24191" spans="2:12" x14ac:dyDescent="0.2">
      <c r="B24191"/>
      <c r="C24191"/>
      <c r="J24191"/>
      <c r="K24191"/>
      <c r="L24191"/>
    </row>
    <row r="24192" spans="2:12" x14ac:dyDescent="0.2">
      <c r="B24192"/>
      <c r="C24192"/>
      <c r="J24192"/>
      <c r="K24192"/>
      <c r="L24192"/>
    </row>
    <row r="24193" spans="2:12" x14ac:dyDescent="0.2">
      <c r="B24193"/>
      <c r="C24193"/>
      <c r="J24193"/>
      <c r="K24193"/>
      <c r="L24193"/>
    </row>
    <row r="24194" spans="2:12" x14ac:dyDescent="0.2">
      <c r="B24194"/>
      <c r="C24194"/>
      <c r="J24194"/>
      <c r="K24194"/>
      <c r="L24194"/>
    </row>
    <row r="24195" spans="2:12" x14ac:dyDescent="0.2">
      <c r="B24195"/>
      <c r="C24195"/>
      <c r="J24195"/>
      <c r="K24195"/>
      <c r="L24195"/>
    </row>
    <row r="24196" spans="2:12" x14ac:dyDescent="0.2">
      <c r="B24196"/>
      <c r="C24196"/>
      <c r="J24196"/>
      <c r="K24196"/>
      <c r="L24196"/>
    </row>
    <row r="24197" spans="2:12" x14ac:dyDescent="0.2">
      <c r="B24197"/>
      <c r="C24197"/>
      <c r="J24197"/>
      <c r="K24197"/>
      <c r="L24197"/>
    </row>
    <row r="24198" spans="2:12" x14ac:dyDescent="0.2">
      <c r="B24198"/>
      <c r="C24198"/>
      <c r="J24198"/>
      <c r="K24198"/>
      <c r="L24198"/>
    </row>
    <row r="24199" spans="2:12" x14ac:dyDescent="0.2">
      <c r="B24199"/>
      <c r="C24199"/>
      <c r="J24199"/>
      <c r="K24199"/>
      <c r="L24199"/>
    </row>
    <row r="24200" spans="2:12" x14ac:dyDescent="0.2">
      <c r="B24200"/>
      <c r="C24200"/>
      <c r="J24200"/>
      <c r="K24200"/>
      <c r="L24200"/>
    </row>
    <row r="24201" spans="2:12" x14ac:dyDescent="0.2">
      <c r="B24201"/>
      <c r="C24201"/>
      <c r="J24201"/>
      <c r="K24201"/>
      <c r="L24201"/>
    </row>
    <row r="24202" spans="2:12" x14ac:dyDescent="0.2">
      <c r="B24202"/>
      <c r="C24202"/>
      <c r="J24202"/>
      <c r="K24202"/>
      <c r="L24202"/>
    </row>
    <row r="24203" spans="2:12" x14ac:dyDescent="0.2">
      <c r="B24203"/>
      <c r="C24203"/>
      <c r="J24203"/>
      <c r="K24203"/>
      <c r="L24203"/>
    </row>
    <row r="24204" spans="2:12" x14ac:dyDescent="0.2">
      <c r="B24204"/>
      <c r="C24204"/>
      <c r="J24204"/>
      <c r="K24204"/>
      <c r="L24204"/>
    </row>
    <row r="24205" spans="2:12" x14ac:dyDescent="0.2">
      <c r="B24205"/>
      <c r="C24205"/>
      <c r="J24205"/>
      <c r="K24205"/>
      <c r="L24205"/>
    </row>
    <row r="24206" spans="2:12" x14ac:dyDescent="0.2">
      <c r="B24206"/>
      <c r="C24206"/>
      <c r="J24206"/>
      <c r="K24206"/>
      <c r="L24206"/>
    </row>
    <row r="24207" spans="2:12" x14ac:dyDescent="0.2">
      <c r="B24207"/>
      <c r="C24207"/>
      <c r="J24207"/>
      <c r="K24207"/>
      <c r="L24207"/>
    </row>
    <row r="24208" spans="2:12" x14ac:dyDescent="0.2">
      <c r="B24208"/>
      <c r="C24208"/>
      <c r="J24208"/>
      <c r="K24208"/>
      <c r="L24208"/>
    </row>
    <row r="24209" spans="2:12" x14ac:dyDescent="0.2">
      <c r="B24209"/>
      <c r="C24209"/>
      <c r="J24209"/>
      <c r="K24209"/>
      <c r="L24209"/>
    </row>
    <row r="24210" spans="2:12" x14ac:dyDescent="0.2">
      <c r="B24210"/>
      <c r="C24210"/>
      <c r="J24210"/>
      <c r="K24210"/>
      <c r="L24210"/>
    </row>
    <row r="24211" spans="2:12" x14ac:dyDescent="0.2">
      <c r="B24211"/>
      <c r="C24211"/>
      <c r="J24211"/>
      <c r="K24211"/>
      <c r="L24211"/>
    </row>
    <row r="24212" spans="2:12" x14ac:dyDescent="0.2">
      <c r="B24212"/>
      <c r="C24212"/>
      <c r="J24212"/>
      <c r="K24212"/>
      <c r="L24212"/>
    </row>
    <row r="24213" spans="2:12" x14ac:dyDescent="0.2">
      <c r="B24213"/>
      <c r="C24213"/>
      <c r="J24213"/>
      <c r="K24213"/>
      <c r="L24213"/>
    </row>
    <row r="24214" spans="2:12" x14ac:dyDescent="0.2">
      <c r="B24214"/>
      <c r="C24214"/>
      <c r="J24214"/>
      <c r="K24214"/>
      <c r="L24214"/>
    </row>
    <row r="24215" spans="2:12" x14ac:dyDescent="0.2">
      <c r="B24215"/>
      <c r="C24215"/>
      <c r="J24215"/>
      <c r="K24215"/>
      <c r="L24215"/>
    </row>
    <row r="24216" spans="2:12" x14ac:dyDescent="0.2">
      <c r="B24216"/>
      <c r="C24216"/>
      <c r="J24216"/>
      <c r="K24216"/>
      <c r="L24216"/>
    </row>
    <row r="24217" spans="2:12" x14ac:dyDescent="0.2">
      <c r="B24217"/>
      <c r="C24217"/>
      <c r="J24217"/>
      <c r="K24217"/>
      <c r="L24217"/>
    </row>
    <row r="24218" spans="2:12" x14ac:dyDescent="0.2">
      <c r="B24218"/>
      <c r="C24218"/>
      <c r="J24218"/>
      <c r="K24218"/>
      <c r="L24218"/>
    </row>
    <row r="24219" spans="2:12" x14ac:dyDescent="0.2">
      <c r="B24219"/>
      <c r="C24219"/>
      <c r="J24219"/>
      <c r="K24219"/>
      <c r="L24219"/>
    </row>
    <row r="24220" spans="2:12" x14ac:dyDescent="0.2">
      <c r="B24220"/>
      <c r="C24220"/>
      <c r="J24220"/>
      <c r="K24220"/>
      <c r="L24220"/>
    </row>
    <row r="24221" spans="2:12" x14ac:dyDescent="0.2">
      <c r="B24221"/>
      <c r="C24221"/>
      <c r="J24221"/>
      <c r="K24221"/>
      <c r="L24221"/>
    </row>
    <row r="24222" spans="2:12" x14ac:dyDescent="0.2">
      <c r="B24222"/>
      <c r="C24222"/>
      <c r="J24222"/>
      <c r="K24222"/>
      <c r="L24222"/>
    </row>
    <row r="24223" spans="2:12" x14ac:dyDescent="0.2">
      <c r="B24223"/>
      <c r="C24223"/>
      <c r="J24223"/>
      <c r="K24223"/>
      <c r="L24223"/>
    </row>
    <row r="24224" spans="2:12" x14ac:dyDescent="0.2">
      <c r="B24224"/>
      <c r="C24224"/>
      <c r="J24224"/>
      <c r="K24224"/>
      <c r="L24224"/>
    </row>
    <row r="24225" spans="2:12" x14ac:dyDescent="0.2">
      <c r="B24225"/>
      <c r="C24225"/>
      <c r="J24225"/>
      <c r="K24225"/>
      <c r="L24225"/>
    </row>
    <row r="24226" spans="2:12" x14ac:dyDescent="0.2">
      <c r="B24226"/>
      <c r="C24226"/>
      <c r="J24226"/>
      <c r="K24226"/>
      <c r="L24226"/>
    </row>
    <row r="24227" spans="2:12" x14ac:dyDescent="0.2">
      <c r="B24227"/>
      <c r="C24227"/>
      <c r="J24227"/>
      <c r="K24227"/>
      <c r="L24227"/>
    </row>
    <row r="24228" spans="2:12" x14ac:dyDescent="0.2">
      <c r="B24228"/>
      <c r="C24228"/>
      <c r="J24228"/>
      <c r="K24228"/>
      <c r="L24228"/>
    </row>
    <row r="24229" spans="2:12" x14ac:dyDescent="0.2">
      <c r="B24229"/>
      <c r="C24229"/>
      <c r="J24229"/>
      <c r="K24229"/>
      <c r="L24229"/>
    </row>
    <row r="24230" spans="2:12" x14ac:dyDescent="0.2">
      <c r="B24230"/>
      <c r="C24230"/>
      <c r="J24230"/>
      <c r="K24230"/>
      <c r="L24230"/>
    </row>
    <row r="24231" spans="2:12" x14ac:dyDescent="0.2">
      <c r="B24231"/>
      <c r="C24231"/>
      <c r="J24231"/>
      <c r="K24231"/>
      <c r="L24231"/>
    </row>
    <row r="24232" spans="2:12" x14ac:dyDescent="0.2">
      <c r="B24232"/>
      <c r="C24232"/>
      <c r="J24232"/>
      <c r="K24232"/>
      <c r="L24232"/>
    </row>
    <row r="24233" spans="2:12" x14ac:dyDescent="0.2">
      <c r="B24233"/>
      <c r="C24233"/>
      <c r="J24233"/>
      <c r="K24233"/>
      <c r="L24233"/>
    </row>
    <row r="24234" spans="2:12" x14ac:dyDescent="0.2">
      <c r="B24234"/>
      <c r="C24234"/>
      <c r="J24234"/>
      <c r="K24234"/>
      <c r="L24234"/>
    </row>
    <row r="24235" spans="2:12" x14ac:dyDescent="0.2">
      <c r="B24235"/>
      <c r="C24235"/>
      <c r="J24235"/>
      <c r="K24235"/>
      <c r="L24235"/>
    </row>
    <row r="24236" spans="2:12" x14ac:dyDescent="0.2">
      <c r="B24236"/>
      <c r="C24236"/>
      <c r="J24236"/>
      <c r="K24236"/>
      <c r="L24236"/>
    </row>
    <row r="24237" spans="2:12" x14ac:dyDescent="0.2">
      <c r="B24237"/>
      <c r="C24237"/>
      <c r="J24237"/>
      <c r="K24237"/>
      <c r="L24237"/>
    </row>
    <row r="24238" spans="2:12" x14ac:dyDescent="0.2">
      <c r="B24238"/>
      <c r="C24238"/>
      <c r="J24238"/>
      <c r="K24238"/>
      <c r="L24238"/>
    </row>
    <row r="24239" spans="2:12" x14ac:dyDescent="0.2">
      <c r="B24239"/>
      <c r="C24239"/>
      <c r="J24239"/>
      <c r="K24239"/>
      <c r="L24239"/>
    </row>
    <row r="24240" spans="2:12" x14ac:dyDescent="0.2">
      <c r="B24240"/>
      <c r="C24240"/>
      <c r="J24240"/>
      <c r="K24240"/>
      <c r="L24240"/>
    </row>
    <row r="24241" spans="2:12" x14ac:dyDescent="0.2">
      <c r="B24241"/>
      <c r="C24241"/>
      <c r="J24241"/>
      <c r="K24241"/>
      <c r="L24241"/>
    </row>
    <row r="24242" spans="2:12" x14ac:dyDescent="0.2">
      <c r="B24242"/>
      <c r="C24242"/>
      <c r="J24242"/>
      <c r="K24242"/>
      <c r="L24242"/>
    </row>
    <row r="24243" spans="2:12" x14ac:dyDescent="0.2">
      <c r="B24243"/>
      <c r="C24243"/>
      <c r="J24243"/>
      <c r="K24243"/>
      <c r="L24243"/>
    </row>
    <row r="24244" spans="2:12" x14ac:dyDescent="0.2">
      <c r="B24244"/>
      <c r="C24244"/>
      <c r="J24244"/>
      <c r="K24244"/>
      <c r="L24244"/>
    </row>
    <row r="24245" spans="2:12" x14ac:dyDescent="0.2">
      <c r="B24245"/>
      <c r="C24245"/>
      <c r="J24245"/>
      <c r="K24245"/>
      <c r="L24245"/>
    </row>
    <row r="24246" spans="2:12" x14ac:dyDescent="0.2">
      <c r="B24246"/>
      <c r="C24246"/>
      <c r="J24246"/>
      <c r="K24246"/>
      <c r="L24246"/>
    </row>
    <row r="24247" spans="2:12" x14ac:dyDescent="0.2">
      <c r="B24247"/>
      <c r="C24247"/>
      <c r="J24247"/>
      <c r="K24247"/>
      <c r="L24247"/>
    </row>
    <row r="24248" spans="2:12" x14ac:dyDescent="0.2">
      <c r="B24248"/>
      <c r="C24248"/>
      <c r="J24248"/>
      <c r="K24248"/>
      <c r="L24248"/>
    </row>
    <row r="24249" spans="2:12" x14ac:dyDescent="0.2">
      <c r="B24249"/>
      <c r="C24249"/>
      <c r="J24249"/>
      <c r="K24249"/>
      <c r="L24249"/>
    </row>
    <row r="24250" spans="2:12" x14ac:dyDescent="0.2">
      <c r="B24250"/>
      <c r="C24250"/>
      <c r="J24250"/>
      <c r="K24250"/>
      <c r="L24250"/>
    </row>
    <row r="24251" spans="2:12" x14ac:dyDescent="0.2">
      <c r="B24251"/>
      <c r="C24251"/>
      <c r="J24251"/>
      <c r="K24251"/>
      <c r="L24251"/>
    </row>
    <row r="24252" spans="2:12" x14ac:dyDescent="0.2">
      <c r="B24252"/>
      <c r="C24252"/>
      <c r="J24252"/>
      <c r="K24252"/>
      <c r="L24252"/>
    </row>
    <row r="24253" spans="2:12" x14ac:dyDescent="0.2">
      <c r="B24253"/>
      <c r="C24253"/>
      <c r="J24253"/>
      <c r="K24253"/>
      <c r="L24253"/>
    </row>
    <row r="24254" spans="2:12" x14ac:dyDescent="0.2">
      <c r="B24254"/>
      <c r="C24254"/>
      <c r="J24254"/>
      <c r="K24254"/>
      <c r="L24254"/>
    </row>
    <row r="24255" spans="2:12" x14ac:dyDescent="0.2">
      <c r="B24255"/>
      <c r="C24255"/>
      <c r="J24255"/>
      <c r="K24255"/>
      <c r="L24255"/>
    </row>
    <row r="24256" spans="2:12" x14ac:dyDescent="0.2">
      <c r="B24256"/>
      <c r="C24256"/>
      <c r="J24256"/>
      <c r="K24256"/>
      <c r="L24256"/>
    </row>
    <row r="24257" spans="2:12" x14ac:dyDescent="0.2">
      <c r="B24257"/>
      <c r="C24257"/>
      <c r="J24257"/>
      <c r="K24257"/>
      <c r="L24257"/>
    </row>
    <row r="24258" spans="2:12" x14ac:dyDescent="0.2">
      <c r="B24258"/>
      <c r="C24258"/>
      <c r="J24258"/>
      <c r="K24258"/>
      <c r="L24258"/>
    </row>
    <row r="24259" spans="2:12" x14ac:dyDescent="0.2">
      <c r="B24259"/>
      <c r="C24259"/>
      <c r="J24259"/>
      <c r="K24259"/>
      <c r="L24259"/>
    </row>
    <row r="24260" spans="2:12" x14ac:dyDescent="0.2">
      <c r="B24260"/>
      <c r="C24260"/>
      <c r="J24260"/>
      <c r="K24260"/>
      <c r="L24260"/>
    </row>
    <row r="24261" spans="2:12" x14ac:dyDescent="0.2">
      <c r="B24261"/>
      <c r="C24261"/>
      <c r="J24261"/>
      <c r="K24261"/>
      <c r="L24261"/>
    </row>
    <row r="24262" spans="2:12" x14ac:dyDescent="0.2">
      <c r="B24262"/>
      <c r="C24262"/>
      <c r="J24262"/>
      <c r="K24262"/>
      <c r="L24262"/>
    </row>
    <row r="24263" spans="2:12" x14ac:dyDescent="0.2">
      <c r="B24263"/>
      <c r="C24263"/>
      <c r="J24263"/>
      <c r="K24263"/>
      <c r="L24263"/>
    </row>
    <row r="24264" spans="2:12" x14ac:dyDescent="0.2">
      <c r="B24264"/>
      <c r="C24264"/>
      <c r="J24264"/>
      <c r="K24264"/>
      <c r="L24264"/>
    </row>
    <row r="24265" spans="2:12" x14ac:dyDescent="0.2">
      <c r="B24265"/>
      <c r="C24265"/>
      <c r="J24265"/>
      <c r="K24265"/>
      <c r="L24265"/>
    </row>
    <row r="24266" spans="2:12" x14ac:dyDescent="0.2">
      <c r="B24266"/>
      <c r="C24266"/>
      <c r="J24266"/>
      <c r="K24266"/>
      <c r="L24266"/>
    </row>
    <row r="24267" spans="2:12" x14ac:dyDescent="0.2">
      <c r="B24267"/>
      <c r="C24267"/>
      <c r="J24267"/>
      <c r="K24267"/>
      <c r="L24267"/>
    </row>
    <row r="24268" spans="2:12" x14ac:dyDescent="0.2">
      <c r="B24268"/>
      <c r="C24268"/>
      <c r="J24268"/>
      <c r="K24268"/>
      <c r="L24268"/>
    </row>
    <row r="24269" spans="2:12" x14ac:dyDescent="0.2">
      <c r="B24269"/>
      <c r="C24269"/>
      <c r="J24269"/>
      <c r="K24269"/>
      <c r="L24269"/>
    </row>
    <row r="24270" spans="2:12" x14ac:dyDescent="0.2">
      <c r="B24270"/>
      <c r="C24270"/>
      <c r="J24270"/>
      <c r="K24270"/>
      <c r="L24270"/>
    </row>
    <row r="24271" spans="2:12" x14ac:dyDescent="0.2">
      <c r="B24271"/>
      <c r="C24271"/>
      <c r="J24271"/>
      <c r="K24271"/>
      <c r="L24271"/>
    </row>
    <row r="24272" spans="2:12" x14ac:dyDescent="0.2">
      <c r="B24272"/>
      <c r="C24272"/>
      <c r="J24272"/>
      <c r="K24272"/>
      <c r="L24272"/>
    </row>
    <row r="24273" spans="2:12" x14ac:dyDescent="0.2">
      <c r="B24273"/>
      <c r="C24273"/>
      <c r="J24273"/>
      <c r="K24273"/>
      <c r="L24273"/>
    </row>
    <row r="24274" spans="2:12" x14ac:dyDescent="0.2">
      <c r="B24274"/>
      <c r="C24274"/>
      <c r="J24274"/>
      <c r="K24274"/>
      <c r="L24274"/>
    </row>
    <row r="24275" spans="2:12" x14ac:dyDescent="0.2">
      <c r="B24275"/>
      <c r="C24275"/>
      <c r="J24275"/>
      <c r="K24275"/>
      <c r="L24275"/>
    </row>
    <row r="24276" spans="2:12" x14ac:dyDescent="0.2">
      <c r="B24276"/>
      <c r="C24276"/>
      <c r="J24276"/>
      <c r="K24276"/>
      <c r="L24276"/>
    </row>
    <row r="24277" spans="2:12" x14ac:dyDescent="0.2">
      <c r="B24277"/>
      <c r="C24277"/>
      <c r="J24277"/>
      <c r="K24277"/>
      <c r="L24277"/>
    </row>
    <row r="24278" spans="2:12" x14ac:dyDescent="0.2">
      <c r="B24278"/>
      <c r="C24278"/>
      <c r="J24278"/>
      <c r="K24278"/>
      <c r="L24278"/>
    </row>
    <row r="24279" spans="2:12" x14ac:dyDescent="0.2">
      <c r="B24279"/>
      <c r="C24279"/>
      <c r="J24279"/>
      <c r="K24279"/>
      <c r="L24279"/>
    </row>
    <row r="24280" spans="2:12" x14ac:dyDescent="0.2">
      <c r="B24280"/>
      <c r="C24280"/>
      <c r="J24280"/>
      <c r="K24280"/>
      <c r="L24280"/>
    </row>
    <row r="24281" spans="2:12" x14ac:dyDescent="0.2">
      <c r="B24281"/>
      <c r="C24281"/>
      <c r="J24281"/>
      <c r="K24281"/>
      <c r="L24281"/>
    </row>
    <row r="24282" spans="2:12" x14ac:dyDescent="0.2">
      <c r="B24282"/>
      <c r="C24282"/>
      <c r="J24282"/>
      <c r="K24282"/>
      <c r="L24282"/>
    </row>
    <row r="24283" spans="2:12" x14ac:dyDescent="0.2">
      <c r="B24283"/>
      <c r="C24283"/>
      <c r="J24283"/>
      <c r="K24283"/>
      <c r="L24283"/>
    </row>
    <row r="24284" spans="2:12" x14ac:dyDescent="0.2">
      <c r="B24284"/>
      <c r="C24284"/>
      <c r="J24284"/>
      <c r="K24284"/>
      <c r="L24284"/>
    </row>
    <row r="24285" spans="2:12" x14ac:dyDescent="0.2">
      <c r="B24285"/>
      <c r="C24285"/>
      <c r="J24285"/>
      <c r="K24285"/>
      <c r="L24285"/>
    </row>
    <row r="24286" spans="2:12" x14ac:dyDescent="0.2">
      <c r="B24286"/>
      <c r="C24286"/>
      <c r="J24286"/>
      <c r="K24286"/>
      <c r="L24286"/>
    </row>
    <row r="24287" spans="2:12" x14ac:dyDescent="0.2">
      <c r="B24287"/>
      <c r="C24287"/>
      <c r="J24287"/>
      <c r="K24287"/>
      <c r="L24287"/>
    </row>
    <row r="24288" spans="2:12" x14ac:dyDescent="0.2">
      <c r="B24288"/>
      <c r="C24288"/>
      <c r="J24288"/>
      <c r="K24288"/>
      <c r="L24288"/>
    </row>
    <row r="24289" spans="2:12" x14ac:dyDescent="0.2">
      <c r="B24289"/>
      <c r="C24289"/>
      <c r="J24289"/>
      <c r="K24289"/>
      <c r="L24289"/>
    </row>
    <row r="24290" spans="2:12" x14ac:dyDescent="0.2">
      <c r="B24290"/>
      <c r="C24290"/>
      <c r="J24290"/>
      <c r="K24290"/>
      <c r="L24290"/>
    </row>
    <row r="24291" spans="2:12" x14ac:dyDescent="0.2">
      <c r="B24291"/>
      <c r="C24291"/>
      <c r="J24291"/>
      <c r="K24291"/>
      <c r="L24291"/>
    </row>
    <row r="24292" spans="2:12" x14ac:dyDescent="0.2">
      <c r="B24292"/>
      <c r="C24292"/>
      <c r="J24292"/>
      <c r="K24292"/>
      <c r="L24292"/>
    </row>
    <row r="24293" spans="2:12" x14ac:dyDescent="0.2">
      <c r="B24293"/>
      <c r="C24293"/>
      <c r="J24293"/>
      <c r="K24293"/>
      <c r="L24293"/>
    </row>
    <row r="24294" spans="2:12" x14ac:dyDescent="0.2">
      <c r="B24294"/>
      <c r="C24294"/>
      <c r="J24294"/>
      <c r="K24294"/>
      <c r="L24294"/>
    </row>
    <row r="24295" spans="2:12" x14ac:dyDescent="0.2">
      <c r="B24295"/>
      <c r="C24295"/>
      <c r="J24295"/>
      <c r="K24295"/>
      <c r="L24295"/>
    </row>
    <row r="24296" spans="2:12" x14ac:dyDescent="0.2">
      <c r="B24296"/>
      <c r="C24296"/>
      <c r="J24296"/>
      <c r="K24296"/>
      <c r="L24296"/>
    </row>
    <row r="24297" spans="2:12" x14ac:dyDescent="0.2">
      <c r="B24297"/>
      <c r="C24297"/>
      <c r="J24297"/>
      <c r="K24297"/>
      <c r="L24297"/>
    </row>
    <row r="24298" spans="2:12" x14ac:dyDescent="0.2">
      <c r="B24298"/>
      <c r="C24298"/>
      <c r="J24298"/>
      <c r="K24298"/>
      <c r="L24298"/>
    </row>
    <row r="24299" spans="2:12" x14ac:dyDescent="0.2">
      <c r="B24299"/>
      <c r="C24299"/>
      <c r="J24299"/>
      <c r="K24299"/>
      <c r="L24299"/>
    </row>
    <row r="24300" spans="2:12" x14ac:dyDescent="0.2">
      <c r="B24300"/>
      <c r="C24300"/>
      <c r="J24300"/>
      <c r="K24300"/>
      <c r="L24300"/>
    </row>
    <row r="24301" spans="2:12" x14ac:dyDescent="0.2">
      <c r="B24301"/>
      <c r="C24301"/>
      <c r="J24301"/>
      <c r="K24301"/>
      <c r="L24301"/>
    </row>
    <row r="24302" spans="2:12" x14ac:dyDescent="0.2">
      <c r="B24302"/>
      <c r="C24302"/>
      <c r="J24302"/>
      <c r="K24302"/>
      <c r="L24302"/>
    </row>
    <row r="24303" spans="2:12" x14ac:dyDescent="0.2">
      <c r="B24303"/>
      <c r="C24303"/>
      <c r="J24303"/>
      <c r="K24303"/>
      <c r="L24303"/>
    </row>
    <row r="24304" spans="2:12" x14ac:dyDescent="0.2">
      <c r="B24304"/>
      <c r="C24304"/>
      <c r="J24304"/>
      <c r="K24304"/>
      <c r="L24304"/>
    </row>
    <row r="24305" spans="2:12" x14ac:dyDescent="0.2">
      <c r="B24305"/>
      <c r="C24305"/>
      <c r="J24305"/>
      <c r="K24305"/>
      <c r="L24305"/>
    </row>
    <row r="24306" spans="2:12" x14ac:dyDescent="0.2">
      <c r="B24306"/>
      <c r="C24306"/>
      <c r="J24306"/>
      <c r="K24306"/>
      <c r="L24306"/>
    </row>
    <row r="24307" spans="2:12" x14ac:dyDescent="0.2">
      <c r="B24307"/>
      <c r="C24307"/>
      <c r="J24307"/>
      <c r="K24307"/>
      <c r="L24307"/>
    </row>
    <row r="24308" spans="2:12" x14ac:dyDescent="0.2">
      <c r="B24308"/>
      <c r="C24308"/>
      <c r="J24308"/>
      <c r="K24308"/>
      <c r="L24308"/>
    </row>
    <row r="24309" spans="2:12" x14ac:dyDescent="0.2">
      <c r="B24309"/>
      <c r="C24309"/>
      <c r="J24309"/>
      <c r="K24309"/>
      <c r="L24309"/>
    </row>
    <row r="24310" spans="2:12" x14ac:dyDescent="0.2">
      <c r="B24310"/>
      <c r="C24310"/>
      <c r="J24310"/>
      <c r="K24310"/>
      <c r="L24310"/>
    </row>
    <row r="24311" spans="2:12" x14ac:dyDescent="0.2">
      <c r="B24311"/>
      <c r="C24311"/>
      <c r="J24311"/>
      <c r="K24311"/>
      <c r="L24311"/>
    </row>
    <row r="24312" spans="2:12" x14ac:dyDescent="0.2">
      <c r="B24312"/>
      <c r="C24312"/>
      <c r="J24312"/>
      <c r="K24312"/>
      <c r="L24312"/>
    </row>
    <row r="24313" spans="2:12" x14ac:dyDescent="0.2">
      <c r="B24313"/>
      <c r="C24313"/>
      <c r="J24313"/>
      <c r="K24313"/>
      <c r="L24313"/>
    </row>
    <row r="24314" spans="2:12" x14ac:dyDescent="0.2">
      <c r="B24314"/>
      <c r="C24314"/>
      <c r="J24314"/>
      <c r="K24314"/>
      <c r="L24314"/>
    </row>
    <row r="24315" spans="2:12" x14ac:dyDescent="0.2">
      <c r="B24315"/>
      <c r="C24315"/>
      <c r="J24315"/>
      <c r="K24315"/>
      <c r="L24315"/>
    </row>
    <row r="24316" spans="2:12" x14ac:dyDescent="0.2">
      <c r="B24316"/>
      <c r="C24316"/>
      <c r="J24316"/>
      <c r="K24316"/>
      <c r="L24316"/>
    </row>
    <row r="24317" spans="2:12" x14ac:dyDescent="0.2">
      <c r="B24317"/>
      <c r="C24317"/>
      <c r="J24317"/>
      <c r="K24317"/>
      <c r="L24317"/>
    </row>
    <row r="24318" spans="2:12" x14ac:dyDescent="0.2">
      <c r="B24318"/>
      <c r="C24318"/>
      <c r="J24318"/>
      <c r="K24318"/>
      <c r="L24318"/>
    </row>
    <row r="24319" spans="2:12" x14ac:dyDescent="0.2">
      <c r="B24319"/>
      <c r="C24319"/>
      <c r="J24319"/>
      <c r="K24319"/>
      <c r="L24319"/>
    </row>
    <row r="24320" spans="2:12" x14ac:dyDescent="0.2">
      <c r="B24320"/>
      <c r="C24320"/>
      <c r="J24320"/>
      <c r="K24320"/>
      <c r="L24320"/>
    </row>
    <row r="24321" spans="2:12" x14ac:dyDescent="0.2">
      <c r="B24321"/>
      <c r="C24321"/>
      <c r="J24321"/>
      <c r="K24321"/>
      <c r="L24321"/>
    </row>
    <row r="24322" spans="2:12" x14ac:dyDescent="0.2">
      <c r="B24322"/>
      <c r="C24322"/>
      <c r="J24322"/>
      <c r="K24322"/>
      <c r="L24322"/>
    </row>
    <row r="24323" spans="2:12" x14ac:dyDescent="0.2">
      <c r="B24323"/>
      <c r="C24323"/>
      <c r="J24323"/>
      <c r="K24323"/>
      <c r="L24323"/>
    </row>
    <row r="24324" spans="2:12" x14ac:dyDescent="0.2">
      <c r="B24324"/>
      <c r="C24324"/>
      <c r="J24324"/>
      <c r="K24324"/>
      <c r="L24324"/>
    </row>
    <row r="24325" spans="2:12" x14ac:dyDescent="0.2">
      <c r="B24325"/>
      <c r="C24325"/>
      <c r="J24325"/>
      <c r="K24325"/>
      <c r="L24325"/>
    </row>
    <row r="24326" spans="2:12" x14ac:dyDescent="0.2">
      <c r="B24326"/>
      <c r="C24326"/>
      <c r="J24326"/>
      <c r="K24326"/>
      <c r="L24326"/>
    </row>
    <row r="24327" spans="2:12" x14ac:dyDescent="0.2">
      <c r="B24327"/>
      <c r="C24327"/>
      <c r="J24327"/>
      <c r="K24327"/>
      <c r="L24327"/>
    </row>
    <row r="24328" spans="2:12" x14ac:dyDescent="0.2">
      <c r="B24328"/>
      <c r="C24328"/>
      <c r="J24328"/>
      <c r="K24328"/>
      <c r="L24328"/>
    </row>
    <row r="24329" spans="2:12" x14ac:dyDescent="0.2">
      <c r="B24329"/>
      <c r="C24329"/>
      <c r="J24329"/>
      <c r="K24329"/>
      <c r="L24329"/>
    </row>
    <row r="24330" spans="2:12" x14ac:dyDescent="0.2">
      <c r="B24330"/>
      <c r="C24330"/>
      <c r="J24330"/>
      <c r="K24330"/>
      <c r="L24330"/>
    </row>
    <row r="24331" spans="2:12" x14ac:dyDescent="0.2">
      <c r="B24331"/>
      <c r="C24331"/>
      <c r="J24331"/>
      <c r="K24331"/>
      <c r="L24331"/>
    </row>
    <row r="24332" spans="2:12" x14ac:dyDescent="0.2">
      <c r="B24332"/>
      <c r="C24332"/>
      <c r="J24332"/>
      <c r="K24332"/>
      <c r="L24332"/>
    </row>
    <row r="24333" spans="2:12" x14ac:dyDescent="0.2">
      <c r="B24333"/>
      <c r="C24333"/>
      <c r="J24333"/>
      <c r="K24333"/>
      <c r="L24333"/>
    </row>
    <row r="24334" spans="2:12" x14ac:dyDescent="0.2">
      <c r="B24334"/>
      <c r="C24334"/>
      <c r="J24334"/>
      <c r="K24334"/>
      <c r="L24334"/>
    </row>
    <row r="24335" spans="2:12" x14ac:dyDescent="0.2">
      <c r="B24335"/>
      <c r="C24335"/>
      <c r="J24335"/>
      <c r="K24335"/>
      <c r="L24335"/>
    </row>
    <row r="24336" spans="2:12" x14ac:dyDescent="0.2">
      <c r="B24336"/>
      <c r="C24336"/>
      <c r="J24336"/>
      <c r="K24336"/>
      <c r="L24336"/>
    </row>
    <row r="24337" spans="2:12" x14ac:dyDescent="0.2">
      <c r="B24337"/>
      <c r="C24337"/>
      <c r="J24337"/>
      <c r="K24337"/>
      <c r="L24337"/>
    </row>
    <row r="24338" spans="2:12" x14ac:dyDescent="0.2">
      <c r="B24338"/>
      <c r="C24338"/>
      <c r="J24338"/>
      <c r="K24338"/>
      <c r="L24338"/>
    </row>
    <row r="24339" spans="2:12" x14ac:dyDescent="0.2">
      <c r="B24339"/>
      <c r="C24339"/>
      <c r="J24339"/>
      <c r="K24339"/>
      <c r="L24339"/>
    </row>
    <row r="24340" spans="2:12" x14ac:dyDescent="0.2">
      <c r="B24340"/>
      <c r="C24340"/>
      <c r="J24340"/>
      <c r="K24340"/>
      <c r="L24340"/>
    </row>
    <row r="24341" spans="2:12" x14ac:dyDescent="0.2">
      <c r="B24341"/>
      <c r="C24341"/>
      <c r="J24341"/>
      <c r="K24341"/>
      <c r="L24341"/>
    </row>
    <row r="24342" spans="2:12" x14ac:dyDescent="0.2">
      <c r="B24342"/>
      <c r="C24342"/>
      <c r="J24342"/>
      <c r="K24342"/>
      <c r="L24342"/>
    </row>
    <row r="24343" spans="2:12" x14ac:dyDescent="0.2">
      <c r="B24343"/>
      <c r="C24343"/>
      <c r="J24343"/>
      <c r="K24343"/>
      <c r="L24343"/>
    </row>
    <row r="24344" spans="2:12" x14ac:dyDescent="0.2">
      <c r="B24344"/>
      <c r="C24344"/>
      <c r="J24344"/>
      <c r="K24344"/>
      <c r="L24344"/>
    </row>
    <row r="24345" spans="2:12" x14ac:dyDescent="0.2">
      <c r="B24345"/>
      <c r="C24345"/>
      <c r="J24345"/>
      <c r="K24345"/>
      <c r="L24345"/>
    </row>
    <row r="24346" spans="2:12" x14ac:dyDescent="0.2">
      <c r="B24346"/>
      <c r="C24346"/>
      <c r="J24346"/>
      <c r="K24346"/>
      <c r="L24346"/>
    </row>
    <row r="24347" spans="2:12" x14ac:dyDescent="0.2">
      <c r="B24347"/>
      <c r="C24347"/>
      <c r="J24347"/>
      <c r="K24347"/>
      <c r="L24347"/>
    </row>
    <row r="24348" spans="2:12" x14ac:dyDescent="0.2">
      <c r="B24348"/>
      <c r="C24348"/>
      <c r="J24348"/>
      <c r="K24348"/>
      <c r="L24348"/>
    </row>
    <row r="24349" spans="2:12" x14ac:dyDescent="0.2">
      <c r="B24349"/>
      <c r="C24349"/>
      <c r="J24349"/>
      <c r="K24349"/>
      <c r="L24349"/>
    </row>
    <row r="24350" spans="2:12" x14ac:dyDescent="0.2">
      <c r="B24350"/>
      <c r="C24350"/>
      <c r="J24350"/>
      <c r="K24350"/>
      <c r="L24350"/>
    </row>
    <row r="24351" spans="2:12" x14ac:dyDescent="0.2">
      <c r="B24351"/>
      <c r="C24351"/>
      <c r="J24351"/>
      <c r="K24351"/>
      <c r="L24351"/>
    </row>
    <row r="24352" spans="2:12" x14ac:dyDescent="0.2">
      <c r="B24352"/>
      <c r="C24352"/>
      <c r="J24352"/>
      <c r="K24352"/>
      <c r="L24352"/>
    </row>
    <row r="24353" spans="2:12" x14ac:dyDescent="0.2">
      <c r="B24353"/>
      <c r="C24353"/>
      <c r="J24353"/>
      <c r="K24353"/>
      <c r="L24353"/>
    </row>
    <row r="24354" spans="2:12" x14ac:dyDescent="0.2">
      <c r="B24354"/>
      <c r="C24354"/>
      <c r="J24354"/>
      <c r="K24354"/>
      <c r="L24354"/>
    </row>
    <row r="24355" spans="2:12" x14ac:dyDescent="0.2">
      <c r="B24355"/>
      <c r="C24355"/>
      <c r="J24355"/>
      <c r="K24355"/>
      <c r="L24355"/>
    </row>
    <row r="24356" spans="2:12" x14ac:dyDescent="0.2">
      <c r="B24356"/>
      <c r="C24356"/>
      <c r="J24356"/>
      <c r="K24356"/>
      <c r="L24356"/>
    </row>
    <row r="24357" spans="2:12" x14ac:dyDescent="0.2">
      <c r="B24357"/>
      <c r="C24357"/>
      <c r="J24357"/>
      <c r="K24357"/>
      <c r="L24357"/>
    </row>
    <row r="24358" spans="2:12" x14ac:dyDescent="0.2">
      <c r="B24358"/>
      <c r="C24358"/>
      <c r="J24358"/>
      <c r="K24358"/>
      <c r="L24358"/>
    </row>
    <row r="24359" spans="2:12" x14ac:dyDescent="0.2">
      <c r="B24359"/>
      <c r="C24359"/>
      <c r="J24359"/>
      <c r="K24359"/>
      <c r="L24359"/>
    </row>
    <row r="24360" spans="2:12" x14ac:dyDescent="0.2">
      <c r="B24360"/>
      <c r="C24360"/>
      <c r="J24360"/>
      <c r="K24360"/>
      <c r="L24360"/>
    </row>
    <row r="24361" spans="2:12" x14ac:dyDescent="0.2">
      <c r="B24361"/>
      <c r="C24361"/>
      <c r="J24361"/>
      <c r="K24361"/>
      <c r="L24361"/>
    </row>
    <row r="24362" spans="2:12" x14ac:dyDescent="0.2">
      <c r="B24362"/>
      <c r="C24362"/>
      <c r="J24362"/>
      <c r="K24362"/>
      <c r="L24362"/>
    </row>
    <row r="24363" spans="2:12" x14ac:dyDescent="0.2">
      <c r="B24363"/>
      <c r="C24363"/>
      <c r="J24363"/>
      <c r="K24363"/>
      <c r="L24363"/>
    </row>
    <row r="24364" spans="2:12" x14ac:dyDescent="0.2">
      <c r="B24364"/>
      <c r="C24364"/>
      <c r="J24364"/>
      <c r="K24364"/>
      <c r="L24364"/>
    </row>
    <row r="24365" spans="2:12" x14ac:dyDescent="0.2">
      <c r="B24365"/>
      <c r="C24365"/>
      <c r="J24365"/>
      <c r="K24365"/>
      <c r="L24365"/>
    </row>
    <row r="24366" spans="2:12" x14ac:dyDescent="0.2">
      <c r="B24366"/>
      <c r="C24366"/>
      <c r="J24366"/>
      <c r="K24366"/>
      <c r="L24366"/>
    </row>
    <row r="24367" spans="2:12" x14ac:dyDescent="0.2">
      <c r="B24367"/>
      <c r="C24367"/>
      <c r="J24367"/>
      <c r="K24367"/>
      <c r="L24367"/>
    </row>
    <row r="24368" spans="2:12" x14ac:dyDescent="0.2">
      <c r="B24368"/>
      <c r="C24368"/>
      <c r="J24368"/>
      <c r="K24368"/>
      <c r="L24368"/>
    </row>
    <row r="24369" spans="2:12" x14ac:dyDescent="0.2">
      <c r="B24369"/>
      <c r="C24369"/>
      <c r="J24369"/>
      <c r="K24369"/>
      <c r="L24369"/>
    </row>
    <row r="24370" spans="2:12" x14ac:dyDescent="0.2">
      <c r="B24370"/>
      <c r="C24370"/>
      <c r="J24370"/>
      <c r="K24370"/>
      <c r="L24370"/>
    </row>
    <row r="24371" spans="2:12" x14ac:dyDescent="0.2">
      <c r="B24371"/>
      <c r="C24371"/>
      <c r="J24371"/>
      <c r="K24371"/>
      <c r="L24371"/>
    </row>
    <row r="24372" spans="2:12" x14ac:dyDescent="0.2">
      <c r="B24372"/>
      <c r="C24372"/>
      <c r="J24372"/>
      <c r="K24372"/>
      <c r="L24372"/>
    </row>
    <row r="24373" spans="2:12" x14ac:dyDescent="0.2">
      <c r="B24373"/>
      <c r="C24373"/>
      <c r="J24373"/>
      <c r="K24373"/>
      <c r="L24373"/>
    </row>
    <row r="24374" spans="2:12" x14ac:dyDescent="0.2">
      <c r="B24374"/>
      <c r="C24374"/>
      <c r="J24374"/>
      <c r="K24374"/>
      <c r="L24374"/>
    </row>
    <row r="24375" spans="2:12" x14ac:dyDescent="0.2">
      <c r="B24375"/>
      <c r="C24375"/>
      <c r="J24375"/>
      <c r="K24375"/>
      <c r="L24375"/>
    </row>
    <row r="24376" spans="2:12" x14ac:dyDescent="0.2">
      <c r="B24376"/>
      <c r="C24376"/>
      <c r="J24376"/>
      <c r="K24376"/>
      <c r="L24376"/>
    </row>
    <row r="24377" spans="2:12" x14ac:dyDescent="0.2">
      <c r="B24377"/>
      <c r="C24377"/>
      <c r="J24377"/>
      <c r="K24377"/>
      <c r="L24377"/>
    </row>
    <row r="24378" spans="2:12" x14ac:dyDescent="0.2">
      <c r="B24378"/>
      <c r="C24378"/>
      <c r="J24378"/>
      <c r="K24378"/>
      <c r="L24378"/>
    </row>
    <row r="24379" spans="2:12" x14ac:dyDescent="0.2">
      <c r="B24379"/>
      <c r="C24379"/>
      <c r="J24379"/>
      <c r="K24379"/>
      <c r="L24379"/>
    </row>
    <row r="24380" spans="2:12" x14ac:dyDescent="0.2">
      <c r="B24380"/>
      <c r="C24380"/>
      <c r="J24380"/>
      <c r="K24380"/>
      <c r="L24380"/>
    </row>
    <row r="24381" spans="2:12" x14ac:dyDescent="0.2">
      <c r="B24381"/>
      <c r="C24381"/>
      <c r="J24381"/>
      <c r="K24381"/>
      <c r="L24381"/>
    </row>
    <row r="24382" spans="2:12" x14ac:dyDescent="0.2">
      <c r="B24382"/>
      <c r="C24382"/>
      <c r="J24382"/>
      <c r="K24382"/>
      <c r="L24382"/>
    </row>
    <row r="24383" spans="2:12" x14ac:dyDescent="0.2">
      <c r="B24383"/>
      <c r="C24383"/>
      <c r="J24383"/>
      <c r="K24383"/>
      <c r="L24383"/>
    </row>
    <row r="24384" spans="2:12" x14ac:dyDescent="0.2">
      <c r="B24384"/>
      <c r="C24384"/>
      <c r="J24384"/>
      <c r="K24384"/>
      <c r="L24384"/>
    </row>
    <row r="24385" spans="2:12" x14ac:dyDescent="0.2">
      <c r="B24385"/>
      <c r="C24385"/>
      <c r="J24385"/>
      <c r="K24385"/>
      <c r="L24385"/>
    </row>
    <row r="24386" spans="2:12" x14ac:dyDescent="0.2">
      <c r="B24386"/>
      <c r="C24386"/>
      <c r="J24386"/>
      <c r="K24386"/>
      <c r="L24386"/>
    </row>
    <row r="24387" spans="2:12" x14ac:dyDescent="0.2">
      <c r="B24387"/>
      <c r="C24387"/>
      <c r="J24387"/>
      <c r="K24387"/>
      <c r="L24387"/>
    </row>
    <row r="24388" spans="2:12" x14ac:dyDescent="0.2">
      <c r="B24388"/>
      <c r="C24388"/>
      <c r="J24388"/>
      <c r="K24388"/>
      <c r="L24388"/>
    </row>
    <row r="24389" spans="2:12" x14ac:dyDescent="0.2">
      <c r="B24389"/>
      <c r="C24389"/>
      <c r="J24389"/>
      <c r="K24389"/>
      <c r="L24389"/>
    </row>
    <row r="24390" spans="2:12" x14ac:dyDescent="0.2">
      <c r="B24390"/>
      <c r="C24390"/>
      <c r="J24390"/>
      <c r="K24390"/>
      <c r="L24390"/>
    </row>
    <row r="24391" spans="2:12" x14ac:dyDescent="0.2">
      <c r="B24391"/>
      <c r="C24391"/>
      <c r="J24391"/>
      <c r="K24391"/>
      <c r="L24391"/>
    </row>
    <row r="24392" spans="2:12" x14ac:dyDescent="0.2">
      <c r="B24392"/>
      <c r="C24392"/>
      <c r="J24392"/>
      <c r="K24392"/>
      <c r="L24392"/>
    </row>
    <row r="24393" spans="2:12" x14ac:dyDescent="0.2">
      <c r="B24393"/>
      <c r="C24393"/>
      <c r="J24393"/>
      <c r="K24393"/>
      <c r="L24393"/>
    </row>
    <row r="24394" spans="2:12" x14ac:dyDescent="0.2">
      <c r="B24394"/>
      <c r="C24394"/>
      <c r="J24394"/>
      <c r="K24394"/>
      <c r="L24394"/>
    </row>
    <row r="24395" spans="2:12" x14ac:dyDescent="0.2">
      <c r="B24395"/>
      <c r="C24395"/>
      <c r="J24395"/>
      <c r="K24395"/>
      <c r="L24395"/>
    </row>
    <row r="24396" spans="2:12" x14ac:dyDescent="0.2">
      <c r="B24396"/>
      <c r="C24396"/>
      <c r="J24396"/>
      <c r="K24396"/>
      <c r="L24396"/>
    </row>
    <row r="24397" spans="2:12" x14ac:dyDescent="0.2">
      <c r="B24397"/>
      <c r="C24397"/>
      <c r="J24397"/>
      <c r="K24397"/>
      <c r="L24397"/>
    </row>
    <row r="24398" spans="2:12" x14ac:dyDescent="0.2">
      <c r="B24398"/>
      <c r="C24398"/>
      <c r="J24398"/>
      <c r="K24398"/>
      <c r="L24398"/>
    </row>
    <row r="24399" spans="2:12" x14ac:dyDescent="0.2">
      <c r="B24399"/>
      <c r="C24399"/>
      <c r="J24399"/>
      <c r="K24399"/>
      <c r="L24399"/>
    </row>
    <row r="24400" spans="2:12" x14ac:dyDescent="0.2">
      <c r="B24400"/>
      <c r="C24400"/>
      <c r="J24400"/>
      <c r="K24400"/>
      <c r="L24400"/>
    </row>
    <row r="24401" spans="2:12" x14ac:dyDescent="0.2">
      <c r="B24401"/>
      <c r="C24401"/>
      <c r="J24401"/>
      <c r="K24401"/>
      <c r="L24401"/>
    </row>
    <row r="24402" spans="2:12" x14ac:dyDescent="0.2">
      <c r="B24402"/>
      <c r="C24402"/>
      <c r="J24402"/>
      <c r="K24402"/>
      <c r="L24402"/>
    </row>
    <row r="24403" spans="2:12" x14ac:dyDescent="0.2">
      <c r="B24403"/>
      <c r="C24403"/>
      <c r="J24403"/>
      <c r="K24403"/>
      <c r="L24403"/>
    </row>
    <row r="24404" spans="2:12" x14ac:dyDescent="0.2">
      <c r="B24404"/>
      <c r="C24404"/>
      <c r="J24404"/>
      <c r="K24404"/>
      <c r="L24404"/>
    </row>
    <row r="24405" spans="2:12" x14ac:dyDescent="0.2">
      <c r="B24405"/>
      <c r="C24405"/>
      <c r="J24405"/>
      <c r="K24405"/>
      <c r="L24405"/>
    </row>
    <row r="24406" spans="2:12" x14ac:dyDescent="0.2">
      <c r="B24406"/>
      <c r="C24406"/>
      <c r="J24406"/>
      <c r="K24406"/>
      <c r="L24406"/>
    </row>
    <row r="24407" spans="2:12" x14ac:dyDescent="0.2">
      <c r="B24407"/>
      <c r="C24407"/>
      <c r="J24407"/>
      <c r="K24407"/>
      <c r="L24407"/>
    </row>
    <row r="24408" spans="2:12" x14ac:dyDescent="0.2">
      <c r="B24408"/>
      <c r="C24408"/>
      <c r="J24408"/>
      <c r="K24408"/>
      <c r="L24408"/>
    </row>
    <row r="24409" spans="2:12" x14ac:dyDescent="0.2">
      <c r="B24409"/>
      <c r="C24409"/>
      <c r="J24409"/>
      <c r="K24409"/>
      <c r="L24409"/>
    </row>
    <row r="24410" spans="2:12" x14ac:dyDescent="0.2">
      <c r="B24410"/>
      <c r="C24410"/>
      <c r="J24410"/>
      <c r="K24410"/>
      <c r="L24410"/>
    </row>
    <row r="24411" spans="2:12" x14ac:dyDescent="0.2">
      <c r="B24411"/>
      <c r="C24411"/>
      <c r="J24411"/>
      <c r="K24411"/>
      <c r="L24411"/>
    </row>
    <row r="24412" spans="2:12" x14ac:dyDescent="0.2">
      <c r="B24412"/>
      <c r="C24412"/>
      <c r="J24412"/>
      <c r="K24412"/>
      <c r="L24412"/>
    </row>
    <row r="24413" spans="2:12" x14ac:dyDescent="0.2">
      <c r="B24413"/>
      <c r="C24413"/>
      <c r="J24413"/>
      <c r="K24413"/>
      <c r="L24413"/>
    </row>
    <row r="24414" spans="2:12" x14ac:dyDescent="0.2">
      <c r="B24414"/>
      <c r="C24414"/>
      <c r="J24414"/>
      <c r="K24414"/>
      <c r="L24414"/>
    </row>
    <row r="24415" spans="2:12" x14ac:dyDescent="0.2">
      <c r="B24415"/>
      <c r="C24415"/>
      <c r="J24415"/>
      <c r="K24415"/>
      <c r="L24415"/>
    </row>
    <row r="24416" spans="2:12" x14ac:dyDescent="0.2">
      <c r="B24416"/>
      <c r="C24416"/>
      <c r="J24416"/>
      <c r="K24416"/>
      <c r="L24416"/>
    </row>
    <row r="24417" spans="2:12" x14ac:dyDescent="0.2">
      <c r="B24417"/>
      <c r="C24417"/>
      <c r="J24417"/>
      <c r="K24417"/>
      <c r="L24417"/>
    </row>
    <row r="24418" spans="2:12" x14ac:dyDescent="0.2">
      <c r="B24418"/>
      <c r="C24418"/>
      <c r="J24418"/>
      <c r="K24418"/>
      <c r="L24418"/>
    </row>
    <row r="24419" spans="2:12" x14ac:dyDescent="0.2">
      <c r="B24419"/>
      <c r="C24419"/>
      <c r="J24419"/>
      <c r="K24419"/>
      <c r="L24419"/>
    </row>
    <row r="24420" spans="2:12" x14ac:dyDescent="0.2">
      <c r="B24420"/>
      <c r="C24420"/>
      <c r="J24420"/>
      <c r="K24420"/>
      <c r="L24420"/>
    </row>
    <row r="24421" spans="2:12" x14ac:dyDescent="0.2">
      <c r="B24421"/>
      <c r="C24421"/>
      <c r="J24421"/>
      <c r="K24421"/>
      <c r="L24421"/>
    </row>
    <row r="24422" spans="2:12" x14ac:dyDescent="0.2">
      <c r="B24422"/>
      <c r="C24422"/>
      <c r="J24422"/>
      <c r="K24422"/>
      <c r="L24422"/>
    </row>
    <row r="24423" spans="2:12" x14ac:dyDescent="0.2">
      <c r="B24423"/>
      <c r="C24423"/>
      <c r="J24423"/>
      <c r="K24423"/>
      <c r="L24423"/>
    </row>
    <row r="24424" spans="2:12" x14ac:dyDescent="0.2">
      <c r="B24424"/>
      <c r="C24424"/>
      <c r="J24424"/>
      <c r="K24424"/>
      <c r="L24424"/>
    </row>
    <row r="24425" spans="2:12" x14ac:dyDescent="0.2">
      <c r="B24425"/>
      <c r="C24425"/>
      <c r="J24425"/>
      <c r="K24425"/>
      <c r="L24425"/>
    </row>
    <row r="24426" spans="2:12" x14ac:dyDescent="0.2">
      <c r="B24426"/>
      <c r="C24426"/>
      <c r="J24426"/>
      <c r="K24426"/>
      <c r="L24426"/>
    </row>
    <row r="24427" spans="2:12" x14ac:dyDescent="0.2">
      <c r="B24427"/>
      <c r="C24427"/>
      <c r="J24427"/>
      <c r="K24427"/>
      <c r="L24427"/>
    </row>
    <row r="24428" spans="2:12" x14ac:dyDescent="0.2">
      <c r="B24428"/>
      <c r="C24428"/>
      <c r="J24428"/>
      <c r="K24428"/>
      <c r="L24428"/>
    </row>
    <row r="24429" spans="2:12" x14ac:dyDescent="0.2">
      <c r="B24429"/>
      <c r="C24429"/>
      <c r="J24429"/>
      <c r="K24429"/>
      <c r="L24429"/>
    </row>
    <row r="24430" spans="2:12" x14ac:dyDescent="0.2">
      <c r="B24430"/>
      <c r="C24430"/>
      <c r="J24430"/>
      <c r="K24430"/>
      <c r="L24430"/>
    </row>
    <row r="24431" spans="2:12" x14ac:dyDescent="0.2">
      <c r="B24431"/>
      <c r="C24431"/>
      <c r="J24431"/>
      <c r="K24431"/>
      <c r="L24431"/>
    </row>
    <row r="24432" spans="2:12" x14ac:dyDescent="0.2">
      <c r="B24432"/>
      <c r="C24432"/>
      <c r="J24432"/>
      <c r="K24432"/>
      <c r="L24432"/>
    </row>
    <row r="24433" spans="2:12" x14ac:dyDescent="0.2">
      <c r="B24433"/>
      <c r="C24433"/>
      <c r="J24433"/>
      <c r="K24433"/>
      <c r="L24433"/>
    </row>
    <row r="24434" spans="2:12" x14ac:dyDescent="0.2">
      <c r="B24434"/>
      <c r="C24434"/>
      <c r="J24434"/>
      <c r="K24434"/>
      <c r="L24434"/>
    </row>
    <row r="24435" spans="2:12" x14ac:dyDescent="0.2">
      <c r="B24435"/>
      <c r="C24435"/>
      <c r="J24435"/>
      <c r="K24435"/>
      <c r="L24435"/>
    </row>
    <row r="24436" spans="2:12" x14ac:dyDescent="0.2">
      <c r="B24436"/>
      <c r="C24436"/>
      <c r="J24436"/>
      <c r="K24436"/>
      <c r="L24436"/>
    </row>
    <row r="24437" spans="2:12" x14ac:dyDescent="0.2">
      <c r="B24437"/>
      <c r="C24437"/>
      <c r="J24437"/>
      <c r="K24437"/>
      <c r="L24437"/>
    </row>
    <row r="24438" spans="2:12" x14ac:dyDescent="0.2">
      <c r="B24438"/>
      <c r="C24438"/>
      <c r="J24438"/>
      <c r="K24438"/>
      <c r="L24438"/>
    </row>
    <row r="24439" spans="2:12" x14ac:dyDescent="0.2">
      <c r="B24439"/>
      <c r="C24439"/>
      <c r="J24439"/>
      <c r="K24439"/>
      <c r="L24439"/>
    </row>
    <row r="24440" spans="2:12" x14ac:dyDescent="0.2">
      <c r="B24440"/>
      <c r="C24440"/>
      <c r="J24440"/>
      <c r="K24440"/>
      <c r="L24440"/>
    </row>
    <row r="24441" spans="2:12" x14ac:dyDescent="0.2">
      <c r="B24441"/>
      <c r="C24441"/>
      <c r="J24441"/>
      <c r="K24441"/>
      <c r="L24441"/>
    </row>
    <row r="24442" spans="2:12" x14ac:dyDescent="0.2">
      <c r="B24442"/>
      <c r="C24442"/>
      <c r="J24442"/>
      <c r="K24442"/>
      <c r="L24442"/>
    </row>
    <row r="24443" spans="2:12" x14ac:dyDescent="0.2">
      <c r="B24443"/>
      <c r="C24443"/>
      <c r="J24443"/>
      <c r="K24443"/>
      <c r="L24443"/>
    </row>
    <row r="24444" spans="2:12" x14ac:dyDescent="0.2">
      <c r="B24444"/>
      <c r="C24444"/>
      <c r="J24444"/>
      <c r="K24444"/>
      <c r="L24444"/>
    </row>
    <row r="24445" spans="2:12" x14ac:dyDescent="0.2">
      <c r="B24445"/>
      <c r="C24445"/>
      <c r="J24445"/>
      <c r="K24445"/>
      <c r="L24445"/>
    </row>
    <row r="24446" spans="2:12" x14ac:dyDescent="0.2">
      <c r="B24446"/>
      <c r="C24446"/>
      <c r="J24446"/>
      <c r="K24446"/>
      <c r="L24446"/>
    </row>
    <row r="24447" spans="2:12" x14ac:dyDescent="0.2">
      <c r="B24447"/>
      <c r="C24447"/>
      <c r="J24447"/>
      <c r="K24447"/>
      <c r="L24447"/>
    </row>
    <row r="24448" spans="2:12" x14ac:dyDescent="0.2">
      <c r="B24448"/>
      <c r="C24448"/>
      <c r="J24448"/>
      <c r="K24448"/>
      <c r="L24448"/>
    </row>
    <row r="24449" spans="2:12" x14ac:dyDescent="0.2">
      <c r="B24449"/>
      <c r="C24449"/>
      <c r="J24449"/>
      <c r="K24449"/>
      <c r="L24449"/>
    </row>
    <row r="24450" spans="2:12" x14ac:dyDescent="0.2">
      <c r="B24450"/>
      <c r="C24450"/>
      <c r="J24450"/>
      <c r="K24450"/>
      <c r="L24450"/>
    </row>
    <row r="24451" spans="2:12" x14ac:dyDescent="0.2">
      <c r="B24451"/>
      <c r="C24451"/>
      <c r="J24451"/>
      <c r="K24451"/>
      <c r="L24451"/>
    </row>
    <row r="24452" spans="2:12" x14ac:dyDescent="0.2">
      <c r="B24452"/>
      <c r="C24452"/>
      <c r="J24452"/>
      <c r="K24452"/>
      <c r="L24452"/>
    </row>
    <row r="24453" spans="2:12" x14ac:dyDescent="0.2">
      <c r="B24453"/>
      <c r="C24453"/>
      <c r="J24453"/>
      <c r="K24453"/>
      <c r="L24453"/>
    </row>
    <row r="24454" spans="2:12" x14ac:dyDescent="0.2">
      <c r="B24454"/>
      <c r="C24454"/>
      <c r="J24454"/>
      <c r="K24454"/>
      <c r="L24454"/>
    </row>
    <row r="24455" spans="2:12" x14ac:dyDescent="0.2">
      <c r="B24455"/>
      <c r="C24455"/>
      <c r="J24455"/>
      <c r="K24455"/>
      <c r="L24455"/>
    </row>
    <row r="24456" spans="2:12" x14ac:dyDescent="0.2">
      <c r="B24456"/>
      <c r="C24456"/>
      <c r="J24456"/>
      <c r="K24456"/>
      <c r="L24456"/>
    </row>
    <row r="24457" spans="2:12" x14ac:dyDescent="0.2">
      <c r="B24457"/>
      <c r="C24457"/>
      <c r="J24457"/>
      <c r="K24457"/>
      <c r="L24457"/>
    </row>
    <row r="24458" spans="2:12" x14ac:dyDescent="0.2">
      <c r="B24458"/>
      <c r="C24458"/>
      <c r="J24458"/>
      <c r="K24458"/>
      <c r="L24458"/>
    </row>
    <row r="24459" spans="2:12" x14ac:dyDescent="0.2">
      <c r="B24459"/>
      <c r="C24459"/>
      <c r="J24459"/>
      <c r="K24459"/>
      <c r="L24459"/>
    </row>
    <row r="24460" spans="2:12" x14ac:dyDescent="0.2">
      <c r="B24460"/>
      <c r="C24460"/>
      <c r="J24460"/>
      <c r="K24460"/>
      <c r="L24460"/>
    </row>
    <row r="24461" spans="2:12" x14ac:dyDescent="0.2">
      <c r="B24461"/>
      <c r="C24461"/>
      <c r="J24461"/>
      <c r="K24461"/>
      <c r="L24461"/>
    </row>
    <row r="24462" spans="2:12" x14ac:dyDescent="0.2">
      <c r="B24462"/>
      <c r="C24462"/>
      <c r="J24462"/>
      <c r="K24462"/>
      <c r="L24462"/>
    </row>
    <row r="24463" spans="2:12" x14ac:dyDescent="0.2">
      <c r="B24463"/>
      <c r="C24463"/>
      <c r="J24463"/>
      <c r="K24463"/>
      <c r="L24463"/>
    </row>
    <row r="24464" spans="2:12" x14ac:dyDescent="0.2">
      <c r="B24464"/>
      <c r="C24464"/>
      <c r="J24464"/>
      <c r="K24464"/>
      <c r="L24464"/>
    </row>
    <row r="24465" spans="2:12" x14ac:dyDescent="0.2">
      <c r="B24465"/>
      <c r="C24465"/>
      <c r="J24465"/>
      <c r="K24465"/>
      <c r="L24465"/>
    </row>
    <row r="24466" spans="2:12" x14ac:dyDescent="0.2">
      <c r="B24466"/>
      <c r="C24466"/>
      <c r="J24466"/>
      <c r="K24466"/>
      <c r="L24466"/>
    </row>
    <row r="24467" spans="2:12" x14ac:dyDescent="0.2">
      <c r="B24467"/>
      <c r="C24467"/>
      <c r="J24467"/>
      <c r="K24467"/>
      <c r="L24467"/>
    </row>
    <row r="24468" spans="2:12" x14ac:dyDescent="0.2">
      <c r="B24468"/>
      <c r="C24468"/>
      <c r="J24468"/>
      <c r="K24468"/>
      <c r="L24468"/>
    </row>
    <row r="24469" spans="2:12" x14ac:dyDescent="0.2">
      <c r="B24469"/>
      <c r="C24469"/>
      <c r="J24469"/>
      <c r="K24469"/>
      <c r="L24469"/>
    </row>
    <row r="24470" spans="2:12" x14ac:dyDescent="0.2">
      <c r="B24470"/>
      <c r="C24470"/>
      <c r="J24470"/>
      <c r="K24470"/>
      <c r="L24470"/>
    </row>
    <row r="24471" spans="2:12" x14ac:dyDescent="0.2">
      <c r="B24471"/>
      <c r="C24471"/>
      <c r="J24471"/>
      <c r="K24471"/>
      <c r="L24471"/>
    </row>
    <row r="24472" spans="2:12" x14ac:dyDescent="0.2">
      <c r="B24472"/>
      <c r="C24472"/>
      <c r="J24472"/>
      <c r="K24472"/>
      <c r="L24472"/>
    </row>
    <row r="24473" spans="2:12" x14ac:dyDescent="0.2">
      <c r="B24473"/>
      <c r="C24473"/>
      <c r="J24473"/>
      <c r="K24473"/>
      <c r="L24473"/>
    </row>
    <row r="24474" spans="2:12" x14ac:dyDescent="0.2">
      <c r="B24474"/>
      <c r="C24474"/>
      <c r="J24474"/>
      <c r="K24474"/>
      <c r="L24474"/>
    </row>
    <row r="24475" spans="2:12" x14ac:dyDescent="0.2">
      <c r="B24475"/>
      <c r="C24475"/>
      <c r="J24475"/>
      <c r="K24475"/>
      <c r="L24475"/>
    </row>
    <row r="24476" spans="2:12" x14ac:dyDescent="0.2">
      <c r="B24476"/>
      <c r="C24476"/>
      <c r="J24476"/>
      <c r="K24476"/>
      <c r="L24476"/>
    </row>
    <row r="24477" spans="2:12" x14ac:dyDescent="0.2">
      <c r="B24477"/>
      <c r="C24477"/>
      <c r="J24477"/>
      <c r="K24477"/>
      <c r="L24477"/>
    </row>
    <row r="24478" spans="2:12" x14ac:dyDescent="0.2">
      <c r="B24478"/>
      <c r="C24478"/>
      <c r="J24478"/>
      <c r="K24478"/>
      <c r="L24478"/>
    </row>
    <row r="24479" spans="2:12" x14ac:dyDescent="0.2">
      <c r="B24479"/>
      <c r="C24479"/>
      <c r="J24479"/>
      <c r="K24479"/>
      <c r="L24479"/>
    </row>
    <row r="24480" spans="2:12" x14ac:dyDescent="0.2">
      <c r="B24480"/>
      <c r="C24480"/>
      <c r="J24480"/>
      <c r="K24480"/>
      <c r="L24480"/>
    </row>
    <row r="24481" spans="2:12" x14ac:dyDescent="0.2">
      <c r="B24481"/>
      <c r="C24481"/>
      <c r="J24481"/>
      <c r="K24481"/>
      <c r="L24481"/>
    </row>
    <row r="24482" spans="2:12" x14ac:dyDescent="0.2">
      <c r="B24482"/>
      <c r="C24482"/>
      <c r="J24482"/>
      <c r="K24482"/>
      <c r="L24482"/>
    </row>
    <row r="24483" spans="2:12" x14ac:dyDescent="0.2">
      <c r="B24483"/>
      <c r="C24483"/>
      <c r="J24483"/>
      <c r="K24483"/>
      <c r="L24483"/>
    </row>
    <row r="24484" spans="2:12" x14ac:dyDescent="0.2">
      <c r="B24484"/>
      <c r="C24484"/>
      <c r="J24484"/>
      <c r="K24484"/>
      <c r="L24484"/>
    </row>
    <row r="24485" spans="2:12" x14ac:dyDescent="0.2">
      <c r="B24485"/>
      <c r="C24485"/>
      <c r="J24485"/>
      <c r="K24485"/>
      <c r="L24485"/>
    </row>
    <row r="24486" spans="2:12" x14ac:dyDescent="0.2">
      <c r="B24486"/>
      <c r="C24486"/>
      <c r="J24486"/>
      <c r="K24486"/>
      <c r="L24486"/>
    </row>
    <row r="24487" spans="2:12" x14ac:dyDescent="0.2">
      <c r="B24487"/>
      <c r="C24487"/>
      <c r="J24487"/>
      <c r="K24487"/>
      <c r="L24487"/>
    </row>
    <row r="24488" spans="2:12" x14ac:dyDescent="0.2">
      <c r="B24488"/>
      <c r="C24488"/>
      <c r="J24488"/>
      <c r="K24488"/>
      <c r="L24488"/>
    </row>
    <row r="24489" spans="2:12" x14ac:dyDescent="0.2">
      <c r="B24489"/>
      <c r="C24489"/>
      <c r="J24489"/>
      <c r="K24489"/>
      <c r="L24489"/>
    </row>
    <row r="24490" spans="2:12" x14ac:dyDescent="0.2">
      <c r="B24490"/>
      <c r="C24490"/>
      <c r="J24490"/>
      <c r="K24490"/>
      <c r="L24490"/>
    </row>
    <row r="24491" spans="2:12" x14ac:dyDescent="0.2">
      <c r="B24491"/>
      <c r="C24491"/>
      <c r="J24491"/>
      <c r="K24491"/>
      <c r="L24491"/>
    </row>
    <row r="24492" spans="2:12" x14ac:dyDescent="0.2">
      <c r="B24492"/>
      <c r="C24492"/>
      <c r="J24492"/>
      <c r="K24492"/>
      <c r="L24492"/>
    </row>
    <row r="24493" spans="2:12" x14ac:dyDescent="0.2">
      <c r="B24493"/>
      <c r="C24493"/>
      <c r="J24493"/>
      <c r="K24493"/>
      <c r="L24493"/>
    </row>
    <row r="24494" spans="2:12" x14ac:dyDescent="0.2">
      <c r="B24494"/>
      <c r="C24494"/>
      <c r="J24494"/>
      <c r="K24494"/>
      <c r="L24494"/>
    </row>
    <row r="24495" spans="2:12" x14ac:dyDescent="0.2">
      <c r="B24495"/>
      <c r="C24495"/>
      <c r="J24495"/>
      <c r="K24495"/>
      <c r="L24495"/>
    </row>
    <row r="24496" spans="2:12" x14ac:dyDescent="0.2">
      <c r="B24496"/>
      <c r="C24496"/>
      <c r="J24496"/>
      <c r="K24496"/>
      <c r="L24496"/>
    </row>
    <row r="24497" spans="2:12" x14ac:dyDescent="0.2">
      <c r="B24497"/>
      <c r="C24497"/>
      <c r="J24497"/>
      <c r="K24497"/>
      <c r="L24497"/>
    </row>
    <row r="24498" spans="2:12" x14ac:dyDescent="0.2">
      <c r="B24498"/>
      <c r="C24498"/>
      <c r="J24498"/>
      <c r="K24498"/>
      <c r="L24498"/>
    </row>
    <row r="24499" spans="2:12" x14ac:dyDescent="0.2">
      <c r="B24499"/>
      <c r="C24499"/>
      <c r="J24499"/>
      <c r="K24499"/>
      <c r="L24499"/>
    </row>
    <row r="24500" spans="2:12" x14ac:dyDescent="0.2">
      <c r="B24500"/>
      <c r="C24500"/>
      <c r="J24500"/>
      <c r="K24500"/>
      <c r="L24500"/>
    </row>
    <row r="24501" spans="2:12" x14ac:dyDescent="0.2">
      <c r="B24501"/>
      <c r="C24501"/>
      <c r="J24501"/>
      <c r="K24501"/>
      <c r="L24501"/>
    </row>
    <row r="24502" spans="2:12" x14ac:dyDescent="0.2">
      <c r="B24502"/>
      <c r="C24502"/>
      <c r="J24502"/>
      <c r="K24502"/>
      <c r="L24502"/>
    </row>
    <row r="24503" spans="2:12" x14ac:dyDescent="0.2">
      <c r="B24503"/>
      <c r="C24503"/>
      <c r="J24503"/>
      <c r="K24503"/>
      <c r="L24503"/>
    </row>
    <row r="24504" spans="2:12" x14ac:dyDescent="0.2">
      <c r="B24504"/>
      <c r="C24504"/>
      <c r="J24504"/>
      <c r="K24504"/>
      <c r="L24504"/>
    </row>
    <row r="24505" spans="2:12" x14ac:dyDescent="0.2">
      <c r="B24505"/>
      <c r="C24505"/>
      <c r="J24505"/>
      <c r="K24505"/>
      <c r="L24505"/>
    </row>
    <row r="24506" spans="2:12" x14ac:dyDescent="0.2">
      <c r="B24506"/>
      <c r="C24506"/>
      <c r="J24506"/>
      <c r="K24506"/>
      <c r="L24506"/>
    </row>
    <row r="24507" spans="2:12" x14ac:dyDescent="0.2">
      <c r="B24507"/>
      <c r="C24507"/>
      <c r="J24507"/>
      <c r="K24507"/>
      <c r="L24507"/>
    </row>
    <row r="24508" spans="2:12" x14ac:dyDescent="0.2">
      <c r="B24508"/>
      <c r="C24508"/>
      <c r="J24508"/>
      <c r="K24508"/>
      <c r="L24508"/>
    </row>
    <row r="24509" spans="2:12" x14ac:dyDescent="0.2">
      <c r="B24509"/>
      <c r="C24509"/>
      <c r="J24509"/>
      <c r="K24509"/>
      <c r="L24509"/>
    </row>
    <row r="24510" spans="2:12" x14ac:dyDescent="0.2">
      <c r="B24510"/>
      <c r="C24510"/>
      <c r="J24510"/>
      <c r="K24510"/>
      <c r="L24510"/>
    </row>
    <row r="24511" spans="2:12" x14ac:dyDescent="0.2">
      <c r="B24511"/>
      <c r="C24511"/>
      <c r="J24511"/>
      <c r="K24511"/>
      <c r="L24511"/>
    </row>
    <row r="24512" spans="2:12" x14ac:dyDescent="0.2">
      <c r="B24512"/>
      <c r="C24512"/>
      <c r="J24512"/>
      <c r="K24512"/>
      <c r="L24512"/>
    </row>
    <row r="24513" spans="2:12" x14ac:dyDescent="0.2">
      <c r="B24513"/>
      <c r="C24513"/>
      <c r="J24513"/>
      <c r="K24513"/>
      <c r="L24513"/>
    </row>
    <row r="24514" spans="2:12" x14ac:dyDescent="0.2">
      <c r="B24514"/>
      <c r="C24514"/>
      <c r="J24514"/>
      <c r="K24514"/>
      <c r="L24514"/>
    </row>
    <row r="24515" spans="2:12" x14ac:dyDescent="0.2">
      <c r="B24515"/>
      <c r="C24515"/>
      <c r="J24515"/>
      <c r="K24515"/>
      <c r="L24515"/>
    </row>
    <row r="24516" spans="2:12" x14ac:dyDescent="0.2">
      <c r="B24516"/>
      <c r="C24516"/>
      <c r="J24516"/>
      <c r="K24516"/>
      <c r="L24516"/>
    </row>
    <row r="24517" spans="2:12" x14ac:dyDescent="0.2">
      <c r="B24517"/>
      <c r="C24517"/>
      <c r="J24517"/>
      <c r="K24517"/>
      <c r="L24517"/>
    </row>
    <row r="24518" spans="2:12" x14ac:dyDescent="0.2">
      <c r="B24518"/>
      <c r="C24518"/>
      <c r="J24518"/>
      <c r="K24518"/>
      <c r="L24518"/>
    </row>
    <row r="24519" spans="2:12" x14ac:dyDescent="0.2">
      <c r="B24519"/>
      <c r="C24519"/>
      <c r="J24519"/>
      <c r="K24519"/>
      <c r="L24519"/>
    </row>
    <row r="24520" spans="2:12" x14ac:dyDescent="0.2">
      <c r="B24520"/>
      <c r="C24520"/>
      <c r="J24520"/>
      <c r="K24520"/>
      <c r="L24520"/>
    </row>
    <row r="24521" spans="2:12" x14ac:dyDescent="0.2">
      <c r="B24521"/>
      <c r="C24521"/>
      <c r="J24521"/>
      <c r="K24521"/>
      <c r="L24521"/>
    </row>
    <row r="24522" spans="2:12" x14ac:dyDescent="0.2">
      <c r="B24522"/>
      <c r="C24522"/>
      <c r="J24522"/>
      <c r="K24522"/>
      <c r="L24522"/>
    </row>
    <row r="24523" spans="2:12" x14ac:dyDescent="0.2">
      <c r="B24523"/>
      <c r="C24523"/>
      <c r="J24523"/>
      <c r="K24523"/>
      <c r="L24523"/>
    </row>
    <row r="24524" spans="2:12" x14ac:dyDescent="0.2">
      <c r="B24524"/>
      <c r="C24524"/>
      <c r="J24524"/>
      <c r="K24524"/>
      <c r="L24524"/>
    </row>
    <row r="24525" spans="2:12" x14ac:dyDescent="0.2">
      <c r="B24525"/>
      <c r="C24525"/>
      <c r="J24525"/>
      <c r="K24525"/>
      <c r="L24525"/>
    </row>
    <row r="24526" spans="2:12" x14ac:dyDescent="0.2">
      <c r="B24526"/>
      <c r="C24526"/>
      <c r="J24526"/>
      <c r="K24526"/>
      <c r="L24526"/>
    </row>
    <row r="24527" spans="2:12" x14ac:dyDescent="0.2">
      <c r="B24527"/>
      <c r="C24527"/>
      <c r="J24527"/>
      <c r="K24527"/>
      <c r="L24527"/>
    </row>
    <row r="24528" spans="2:12" x14ac:dyDescent="0.2">
      <c r="B24528"/>
      <c r="C24528"/>
      <c r="J24528"/>
      <c r="K24528"/>
      <c r="L24528"/>
    </row>
    <row r="24529" spans="2:12" x14ac:dyDescent="0.2">
      <c r="B24529"/>
      <c r="C24529"/>
      <c r="J24529"/>
      <c r="K24529"/>
      <c r="L24529"/>
    </row>
    <row r="24530" spans="2:12" x14ac:dyDescent="0.2">
      <c r="B24530"/>
      <c r="C24530"/>
      <c r="J24530"/>
      <c r="K24530"/>
      <c r="L24530"/>
    </row>
    <row r="24531" spans="2:12" x14ac:dyDescent="0.2">
      <c r="B24531"/>
      <c r="C24531"/>
      <c r="J24531"/>
      <c r="K24531"/>
      <c r="L24531"/>
    </row>
    <row r="24532" spans="2:12" x14ac:dyDescent="0.2">
      <c r="B24532"/>
      <c r="C24532"/>
      <c r="J24532"/>
      <c r="K24532"/>
      <c r="L24532"/>
    </row>
    <row r="24533" spans="2:12" x14ac:dyDescent="0.2">
      <c r="B24533"/>
      <c r="C24533"/>
      <c r="J24533"/>
      <c r="K24533"/>
      <c r="L24533"/>
    </row>
    <row r="24534" spans="2:12" x14ac:dyDescent="0.2">
      <c r="B24534"/>
      <c r="C24534"/>
      <c r="J24534"/>
      <c r="K24534"/>
      <c r="L24534"/>
    </row>
    <row r="24535" spans="2:12" x14ac:dyDescent="0.2">
      <c r="B24535"/>
      <c r="C24535"/>
      <c r="J24535"/>
      <c r="K24535"/>
      <c r="L24535"/>
    </row>
    <row r="24536" spans="2:12" x14ac:dyDescent="0.2">
      <c r="B24536"/>
      <c r="C24536"/>
      <c r="J24536"/>
      <c r="K24536"/>
      <c r="L24536"/>
    </row>
    <row r="24537" spans="2:12" x14ac:dyDescent="0.2">
      <c r="B24537"/>
      <c r="C24537"/>
      <c r="J24537"/>
      <c r="K24537"/>
      <c r="L24537"/>
    </row>
    <row r="24538" spans="2:12" x14ac:dyDescent="0.2">
      <c r="B24538"/>
      <c r="C24538"/>
      <c r="J24538"/>
      <c r="K24538"/>
      <c r="L24538"/>
    </row>
    <row r="24539" spans="2:12" x14ac:dyDescent="0.2">
      <c r="B24539"/>
      <c r="C24539"/>
      <c r="J24539"/>
      <c r="K24539"/>
      <c r="L24539"/>
    </row>
    <row r="24540" spans="2:12" x14ac:dyDescent="0.2">
      <c r="B24540"/>
      <c r="C24540"/>
      <c r="J24540"/>
      <c r="K24540"/>
      <c r="L24540"/>
    </row>
    <row r="24541" spans="2:12" x14ac:dyDescent="0.2">
      <c r="B24541"/>
      <c r="C24541"/>
      <c r="J24541"/>
      <c r="K24541"/>
      <c r="L24541"/>
    </row>
    <row r="24542" spans="2:12" x14ac:dyDescent="0.2">
      <c r="B24542"/>
      <c r="C24542"/>
      <c r="J24542"/>
      <c r="K24542"/>
      <c r="L24542"/>
    </row>
    <row r="24543" spans="2:12" x14ac:dyDescent="0.2">
      <c r="B24543"/>
      <c r="C24543"/>
      <c r="J24543"/>
      <c r="K24543"/>
      <c r="L24543"/>
    </row>
    <row r="24544" spans="2:12" x14ac:dyDescent="0.2">
      <c r="B24544"/>
      <c r="C24544"/>
      <c r="J24544"/>
      <c r="K24544"/>
      <c r="L24544"/>
    </row>
    <row r="24545" spans="2:12" x14ac:dyDescent="0.2">
      <c r="B24545"/>
      <c r="C24545"/>
      <c r="J24545"/>
      <c r="K24545"/>
      <c r="L24545"/>
    </row>
    <row r="24546" spans="2:12" x14ac:dyDescent="0.2">
      <c r="B24546"/>
      <c r="C24546"/>
      <c r="J24546"/>
      <c r="K24546"/>
      <c r="L24546"/>
    </row>
    <row r="24547" spans="2:12" x14ac:dyDescent="0.2">
      <c r="B24547"/>
      <c r="C24547"/>
      <c r="J24547"/>
      <c r="K24547"/>
      <c r="L24547"/>
    </row>
    <row r="24548" spans="2:12" x14ac:dyDescent="0.2">
      <c r="B24548"/>
      <c r="C24548"/>
      <c r="J24548"/>
      <c r="K24548"/>
      <c r="L24548"/>
    </row>
    <row r="24549" spans="2:12" x14ac:dyDescent="0.2">
      <c r="B24549"/>
      <c r="C24549"/>
      <c r="J24549"/>
      <c r="K24549"/>
      <c r="L24549"/>
    </row>
    <row r="24550" spans="2:12" x14ac:dyDescent="0.2">
      <c r="B24550"/>
      <c r="C24550"/>
      <c r="J24550"/>
      <c r="K24550"/>
      <c r="L24550"/>
    </row>
    <row r="24551" spans="2:12" x14ac:dyDescent="0.2">
      <c r="B24551"/>
      <c r="C24551"/>
      <c r="J24551"/>
      <c r="K24551"/>
      <c r="L24551"/>
    </row>
    <row r="24552" spans="2:12" x14ac:dyDescent="0.2">
      <c r="B24552"/>
      <c r="C24552"/>
      <c r="J24552"/>
      <c r="K24552"/>
      <c r="L24552"/>
    </row>
    <row r="24553" spans="2:12" x14ac:dyDescent="0.2">
      <c r="B24553"/>
      <c r="C24553"/>
      <c r="J24553"/>
      <c r="K24553"/>
      <c r="L24553"/>
    </row>
    <row r="24554" spans="2:12" x14ac:dyDescent="0.2">
      <c r="B24554"/>
      <c r="C24554"/>
      <c r="J24554"/>
      <c r="K24554"/>
      <c r="L24554"/>
    </row>
    <row r="24555" spans="2:12" x14ac:dyDescent="0.2">
      <c r="B24555"/>
      <c r="C24555"/>
      <c r="J24555"/>
      <c r="K24555"/>
      <c r="L24555"/>
    </row>
    <row r="24556" spans="2:12" x14ac:dyDescent="0.2">
      <c r="B24556"/>
      <c r="C24556"/>
      <c r="J24556"/>
      <c r="K24556"/>
      <c r="L24556"/>
    </row>
    <row r="24557" spans="2:12" x14ac:dyDescent="0.2">
      <c r="B24557"/>
      <c r="C24557"/>
      <c r="J24557"/>
      <c r="K24557"/>
      <c r="L24557"/>
    </row>
    <row r="24558" spans="2:12" x14ac:dyDescent="0.2">
      <c r="B24558"/>
      <c r="C24558"/>
      <c r="J24558"/>
      <c r="K24558"/>
      <c r="L24558"/>
    </row>
    <row r="24559" spans="2:12" x14ac:dyDescent="0.2">
      <c r="B24559"/>
      <c r="C24559"/>
      <c r="J24559"/>
      <c r="K24559"/>
      <c r="L24559"/>
    </row>
    <row r="24560" spans="2:12" x14ac:dyDescent="0.2">
      <c r="B24560"/>
      <c r="C24560"/>
      <c r="J24560"/>
      <c r="K24560"/>
      <c r="L24560"/>
    </row>
    <row r="24561" spans="2:12" x14ac:dyDescent="0.2">
      <c r="B24561"/>
      <c r="C24561"/>
      <c r="J24561"/>
      <c r="K24561"/>
      <c r="L24561"/>
    </row>
    <row r="24562" spans="2:12" x14ac:dyDescent="0.2">
      <c r="B24562"/>
      <c r="C24562"/>
      <c r="J24562"/>
      <c r="K24562"/>
      <c r="L24562"/>
    </row>
    <row r="24563" spans="2:12" x14ac:dyDescent="0.2">
      <c r="B24563"/>
      <c r="C24563"/>
      <c r="J24563"/>
      <c r="K24563"/>
      <c r="L24563"/>
    </row>
    <row r="24564" spans="2:12" x14ac:dyDescent="0.2">
      <c r="B24564"/>
      <c r="C24564"/>
      <c r="J24564"/>
      <c r="K24564"/>
      <c r="L24564"/>
    </row>
    <row r="24565" spans="2:12" x14ac:dyDescent="0.2">
      <c r="B24565"/>
      <c r="C24565"/>
      <c r="J24565"/>
      <c r="K24565"/>
      <c r="L24565"/>
    </row>
    <row r="24566" spans="2:12" x14ac:dyDescent="0.2">
      <c r="B24566"/>
      <c r="C24566"/>
      <c r="J24566"/>
      <c r="K24566"/>
      <c r="L24566"/>
    </row>
    <row r="24567" spans="2:12" x14ac:dyDescent="0.2">
      <c r="B24567"/>
      <c r="C24567"/>
      <c r="J24567"/>
      <c r="K24567"/>
      <c r="L24567"/>
    </row>
    <row r="24568" spans="2:12" x14ac:dyDescent="0.2">
      <c r="B24568"/>
      <c r="C24568"/>
      <c r="J24568"/>
      <c r="K24568"/>
      <c r="L24568"/>
    </row>
    <row r="24569" spans="2:12" x14ac:dyDescent="0.2">
      <c r="B24569"/>
      <c r="C24569"/>
      <c r="J24569"/>
      <c r="K24569"/>
      <c r="L24569"/>
    </row>
    <row r="24570" spans="2:12" x14ac:dyDescent="0.2">
      <c r="B24570"/>
      <c r="C24570"/>
      <c r="J24570"/>
      <c r="K24570"/>
      <c r="L24570"/>
    </row>
    <row r="24571" spans="2:12" x14ac:dyDescent="0.2">
      <c r="B24571"/>
      <c r="C24571"/>
      <c r="J24571"/>
      <c r="K24571"/>
      <c r="L24571"/>
    </row>
    <row r="24572" spans="2:12" x14ac:dyDescent="0.2">
      <c r="B24572"/>
      <c r="C24572"/>
      <c r="J24572"/>
      <c r="K24572"/>
      <c r="L24572"/>
    </row>
    <row r="24573" spans="2:12" x14ac:dyDescent="0.2">
      <c r="B24573"/>
      <c r="C24573"/>
      <c r="J24573"/>
      <c r="K24573"/>
      <c r="L24573"/>
    </row>
    <row r="24574" spans="2:12" x14ac:dyDescent="0.2">
      <c r="B24574"/>
      <c r="C24574"/>
      <c r="J24574"/>
      <c r="K24574"/>
      <c r="L24574"/>
    </row>
    <row r="24575" spans="2:12" x14ac:dyDescent="0.2">
      <c r="B24575"/>
      <c r="C24575"/>
      <c r="J24575"/>
      <c r="K24575"/>
      <c r="L24575"/>
    </row>
    <row r="24576" spans="2:12" x14ac:dyDescent="0.2">
      <c r="B24576"/>
      <c r="C24576"/>
      <c r="J24576"/>
      <c r="K24576"/>
      <c r="L24576"/>
    </row>
    <row r="24577" spans="2:12" x14ac:dyDescent="0.2">
      <c r="B24577"/>
      <c r="C24577"/>
      <c r="J24577"/>
      <c r="K24577"/>
      <c r="L24577"/>
    </row>
    <row r="24578" spans="2:12" x14ac:dyDescent="0.2">
      <c r="B24578"/>
      <c r="C24578"/>
      <c r="J24578"/>
      <c r="K24578"/>
      <c r="L24578"/>
    </row>
    <row r="24579" spans="2:12" x14ac:dyDescent="0.2">
      <c r="B24579"/>
      <c r="C24579"/>
      <c r="J24579"/>
      <c r="K24579"/>
      <c r="L24579"/>
    </row>
    <row r="24580" spans="2:12" x14ac:dyDescent="0.2">
      <c r="B24580"/>
      <c r="C24580"/>
      <c r="J24580"/>
      <c r="K24580"/>
      <c r="L24580"/>
    </row>
    <row r="24581" spans="2:12" x14ac:dyDescent="0.2">
      <c r="B24581"/>
      <c r="C24581"/>
      <c r="J24581"/>
      <c r="K24581"/>
      <c r="L24581"/>
    </row>
    <row r="24582" spans="2:12" x14ac:dyDescent="0.2">
      <c r="B24582"/>
      <c r="C24582"/>
      <c r="J24582"/>
      <c r="K24582"/>
      <c r="L24582"/>
    </row>
    <row r="24583" spans="2:12" x14ac:dyDescent="0.2">
      <c r="B24583"/>
      <c r="C24583"/>
      <c r="J24583"/>
      <c r="K24583"/>
      <c r="L24583"/>
    </row>
    <row r="24584" spans="2:12" x14ac:dyDescent="0.2">
      <c r="B24584"/>
      <c r="C24584"/>
      <c r="J24584"/>
      <c r="K24584"/>
      <c r="L24584"/>
    </row>
    <row r="24585" spans="2:12" x14ac:dyDescent="0.2">
      <c r="B24585"/>
      <c r="C24585"/>
      <c r="J24585"/>
      <c r="K24585"/>
      <c r="L24585"/>
    </row>
    <row r="24586" spans="2:12" x14ac:dyDescent="0.2">
      <c r="B24586"/>
      <c r="C24586"/>
      <c r="J24586"/>
      <c r="K24586"/>
      <c r="L24586"/>
    </row>
    <row r="24587" spans="2:12" x14ac:dyDescent="0.2">
      <c r="B24587"/>
      <c r="C24587"/>
      <c r="J24587"/>
      <c r="K24587"/>
      <c r="L24587"/>
    </row>
    <row r="24588" spans="2:12" x14ac:dyDescent="0.2">
      <c r="B24588"/>
      <c r="C24588"/>
      <c r="J24588"/>
      <c r="K24588"/>
      <c r="L24588"/>
    </row>
    <row r="24589" spans="2:12" x14ac:dyDescent="0.2">
      <c r="B24589"/>
      <c r="C24589"/>
      <c r="J24589"/>
      <c r="K24589"/>
      <c r="L24589"/>
    </row>
    <row r="24590" spans="2:12" x14ac:dyDescent="0.2">
      <c r="B24590"/>
      <c r="C24590"/>
      <c r="J24590"/>
      <c r="K24590"/>
      <c r="L24590"/>
    </row>
    <row r="24591" spans="2:12" x14ac:dyDescent="0.2">
      <c r="B24591"/>
      <c r="C24591"/>
      <c r="J24591"/>
      <c r="K24591"/>
      <c r="L24591"/>
    </row>
    <row r="24592" spans="2:12" x14ac:dyDescent="0.2">
      <c r="B24592"/>
      <c r="C24592"/>
      <c r="J24592"/>
      <c r="K24592"/>
      <c r="L24592"/>
    </row>
    <row r="24593" spans="2:12" x14ac:dyDescent="0.2">
      <c r="B24593"/>
      <c r="C24593"/>
      <c r="J24593"/>
      <c r="K24593"/>
      <c r="L24593"/>
    </row>
    <row r="24594" spans="2:12" x14ac:dyDescent="0.2">
      <c r="B24594"/>
      <c r="C24594"/>
      <c r="J24594"/>
      <c r="K24594"/>
      <c r="L24594"/>
    </row>
    <row r="24595" spans="2:12" x14ac:dyDescent="0.2">
      <c r="B24595"/>
      <c r="C24595"/>
      <c r="J24595"/>
      <c r="K24595"/>
      <c r="L24595"/>
    </row>
    <row r="24596" spans="2:12" x14ac:dyDescent="0.2">
      <c r="B24596"/>
      <c r="C24596"/>
      <c r="J24596"/>
      <c r="K24596"/>
      <c r="L24596"/>
    </row>
    <row r="24597" spans="2:12" x14ac:dyDescent="0.2">
      <c r="B24597"/>
      <c r="C24597"/>
      <c r="J24597"/>
      <c r="K24597"/>
      <c r="L24597"/>
    </row>
    <row r="24598" spans="2:12" x14ac:dyDescent="0.2">
      <c r="B24598"/>
      <c r="C24598"/>
      <c r="J24598"/>
      <c r="K24598"/>
      <c r="L24598"/>
    </row>
    <row r="24599" spans="2:12" x14ac:dyDescent="0.2">
      <c r="B24599"/>
      <c r="C24599"/>
      <c r="J24599"/>
      <c r="K24599"/>
      <c r="L24599"/>
    </row>
    <row r="24600" spans="2:12" x14ac:dyDescent="0.2">
      <c r="B24600"/>
      <c r="C24600"/>
      <c r="J24600"/>
      <c r="K24600"/>
      <c r="L24600"/>
    </row>
    <row r="24601" spans="2:12" x14ac:dyDescent="0.2">
      <c r="B24601"/>
      <c r="C24601"/>
      <c r="J24601"/>
      <c r="K24601"/>
      <c r="L24601"/>
    </row>
    <row r="24602" spans="2:12" x14ac:dyDescent="0.2">
      <c r="B24602"/>
      <c r="C24602"/>
      <c r="J24602"/>
      <c r="K24602"/>
      <c r="L24602"/>
    </row>
    <row r="24603" spans="2:12" x14ac:dyDescent="0.2">
      <c r="B24603"/>
      <c r="C24603"/>
      <c r="J24603"/>
      <c r="K24603"/>
      <c r="L24603"/>
    </row>
    <row r="24604" spans="2:12" x14ac:dyDescent="0.2">
      <c r="B24604"/>
      <c r="C24604"/>
      <c r="J24604"/>
      <c r="K24604"/>
      <c r="L24604"/>
    </row>
    <row r="24605" spans="2:12" x14ac:dyDescent="0.2">
      <c r="B24605"/>
      <c r="C24605"/>
      <c r="J24605"/>
      <c r="K24605"/>
      <c r="L24605"/>
    </row>
    <row r="24606" spans="2:12" x14ac:dyDescent="0.2">
      <c r="B24606"/>
      <c r="C24606"/>
      <c r="J24606"/>
      <c r="K24606"/>
      <c r="L24606"/>
    </row>
    <row r="24607" spans="2:12" x14ac:dyDescent="0.2">
      <c r="B24607"/>
      <c r="C24607"/>
      <c r="J24607"/>
      <c r="K24607"/>
      <c r="L24607"/>
    </row>
    <row r="24608" spans="2:12" x14ac:dyDescent="0.2">
      <c r="B24608"/>
      <c r="C24608"/>
      <c r="J24608"/>
      <c r="K24608"/>
      <c r="L24608"/>
    </row>
    <row r="24609" spans="2:12" x14ac:dyDescent="0.2">
      <c r="B24609"/>
      <c r="C24609"/>
      <c r="J24609"/>
      <c r="K24609"/>
      <c r="L24609"/>
    </row>
    <row r="24610" spans="2:12" x14ac:dyDescent="0.2">
      <c r="B24610"/>
      <c r="C24610"/>
      <c r="J24610"/>
      <c r="K24610"/>
      <c r="L24610"/>
    </row>
    <row r="24611" spans="2:12" x14ac:dyDescent="0.2">
      <c r="B24611"/>
      <c r="C24611"/>
      <c r="J24611"/>
      <c r="K24611"/>
      <c r="L24611"/>
    </row>
    <row r="24612" spans="2:12" x14ac:dyDescent="0.2">
      <c r="B24612"/>
      <c r="C24612"/>
      <c r="J24612"/>
      <c r="K24612"/>
      <c r="L24612"/>
    </row>
    <row r="24613" spans="2:12" x14ac:dyDescent="0.2">
      <c r="B24613"/>
      <c r="C24613"/>
      <c r="J24613"/>
      <c r="K24613"/>
      <c r="L24613"/>
    </row>
    <row r="24614" spans="2:12" x14ac:dyDescent="0.2">
      <c r="B24614"/>
      <c r="C24614"/>
      <c r="J24614"/>
      <c r="K24614"/>
      <c r="L24614"/>
    </row>
    <row r="24615" spans="2:12" x14ac:dyDescent="0.2">
      <c r="B24615"/>
      <c r="C24615"/>
      <c r="J24615"/>
      <c r="K24615"/>
      <c r="L24615"/>
    </row>
    <row r="24616" spans="2:12" x14ac:dyDescent="0.2">
      <c r="B24616"/>
      <c r="C24616"/>
      <c r="J24616"/>
      <c r="K24616"/>
      <c r="L24616"/>
    </row>
    <row r="24617" spans="2:12" x14ac:dyDescent="0.2">
      <c r="B24617"/>
      <c r="C24617"/>
      <c r="J24617"/>
      <c r="K24617"/>
      <c r="L24617"/>
    </row>
    <row r="24618" spans="2:12" x14ac:dyDescent="0.2">
      <c r="B24618"/>
      <c r="C24618"/>
      <c r="J24618"/>
      <c r="K24618"/>
      <c r="L24618"/>
    </row>
    <row r="24619" spans="2:12" x14ac:dyDescent="0.2">
      <c r="B24619"/>
      <c r="C24619"/>
      <c r="J24619"/>
      <c r="K24619"/>
      <c r="L24619"/>
    </row>
    <row r="24620" spans="2:12" x14ac:dyDescent="0.2">
      <c r="B24620"/>
      <c r="C24620"/>
      <c r="J24620"/>
      <c r="K24620"/>
      <c r="L24620"/>
    </row>
    <row r="24621" spans="2:12" x14ac:dyDescent="0.2">
      <c r="B24621"/>
      <c r="C24621"/>
      <c r="J24621"/>
      <c r="K24621"/>
      <c r="L24621"/>
    </row>
    <row r="24622" spans="2:12" x14ac:dyDescent="0.2">
      <c r="B24622"/>
      <c r="C24622"/>
      <c r="J24622"/>
      <c r="K24622"/>
      <c r="L24622"/>
    </row>
    <row r="24623" spans="2:12" x14ac:dyDescent="0.2">
      <c r="B24623"/>
      <c r="C24623"/>
      <c r="J24623"/>
      <c r="K24623"/>
      <c r="L24623"/>
    </row>
    <row r="24624" spans="2:12" x14ac:dyDescent="0.2">
      <c r="B24624"/>
      <c r="C24624"/>
      <c r="J24624"/>
      <c r="K24624"/>
      <c r="L24624"/>
    </row>
    <row r="24625" spans="2:12" x14ac:dyDescent="0.2">
      <c r="B24625"/>
      <c r="C24625"/>
      <c r="J24625"/>
      <c r="K24625"/>
      <c r="L24625"/>
    </row>
    <row r="24626" spans="2:12" x14ac:dyDescent="0.2">
      <c r="B24626"/>
      <c r="C24626"/>
      <c r="J24626"/>
      <c r="K24626"/>
      <c r="L24626"/>
    </row>
    <row r="24627" spans="2:12" x14ac:dyDescent="0.2">
      <c r="B24627"/>
      <c r="C24627"/>
      <c r="J24627"/>
      <c r="K24627"/>
      <c r="L24627"/>
    </row>
    <row r="24628" spans="2:12" x14ac:dyDescent="0.2">
      <c r="B24628"/>
      <c r="C24628"/>
      <c r="J24628"/>
      <c r="K24628"/>
      <c r="L24628"/>
    </row>
    <row r="24629" spans="2:12" x14ac:dyDescent="0.2">
      <c r="B24629"/>
      <c r="C24629"/>
      <c r="J24629"/>
      <c r="K24629"/>
      <c r="L24629"/>
    </row>
    <row r="24630" spans="2:12" x14ac:dyDescent="0.2">
      <c r="B24630"/>
      <c r="C24630"/>
      <c r="J24630"/>
      <c r="K24630"/>
      <c r="L24630"/>
    </row>
    <row r="24631" spans="2:12" x14ac:dyDescent="0.2">
      <c r="B24631"/>
      <c r="C24631"/>
      <c r="J24631"/>
      <c r="K24631"/>
      <c r="L24631"/>
    </row>
    <row r="24632" spans="2:12" x14ac:dyDescent="0.2">
      <c r="B24632"/>
      <c r="C24632"/>
      <c r="J24632"/>
      <c r="K24632"/>
      <c r="L24632"/>
    </row>
    <row r="24633" spans="2:12" x14ac:dyDescent="0.2">
      <c r="B24633"/>
      <c r="C24633"/>
      <c r="J24633"/>
      <c r="K24633"/>
      <c r="L24633"/>
    </row>
    <row r="24634" spans="2:12" x14ac:dyDescent="0.2">
      <c r="B24634"/>
      <c r="C24634"/>
      <c r="J24634"/>
      <c r="K24634"/>
      <c r="L24634"/>
    </row>
    <row r="24635" spans="2:12" x14ac:dyDescent="0.2">
      <c r="B24635"/>
      <c r="C24635"/>
      <c r="J24635"/>
      <c r="K24635"/>
      <c r="L24635"/>
    </row>
    <row r="24636" spans="2:12" x14ac:dyDescent="0.2">
      <c r="B24636"/>
      <c r="C24636"/>
      <c r="J24636"/>
      <c r="K24636"/>
      <c r="L24636"/>
    </row>
    <row r="24637" spans="2:12" x14ac:dyDescent="0.2">
      <c r="B24637"/>
      <c r="C24637"/>
      <c r="J24637"/>
      <c r="K24637"/>
      <c r="L24637"/>
    </row>
    <row r="24638" spans="2:12" x14ac:dyDescent="0.2">
      <c r="B24638"/>
      <c r="C24638"/>
      <c r="J24638"/>
      <c r="K24638"/>
      <c r="L24638"/>
    </row>
    <row r="24639" spans="2:12" x14ac:dyDescent="0.2">
      <c r="B24639"/>
      <c r="C24639"/>
      <c r="J24639"/>
      <c r="K24639"/>
      <c r="L24639"/>
    </row>
    <row r="24640" spans="2:12" x14ac:dyDescent="0.2">
      <c r="B24640"/>
      <c r="C24640"/>
      <c r="J24640"/>
      <c r="K24640"/>
      <c r="L24640"/>
    </row>
    <row r="24641" spans="2:12" x14ac:dyDescent="0.2">
      <c r="B24641"/>
      <c r="C24641"/>
      <c r="J24641"/>
      <c r="K24641"/>
      <c r="L24641"/>
    </row>
    <row r="24642" spans="2:12" x14ac:dyDescent="0.2">
      <c r="B24642"/>
      <c r="C24642"/>
      <c r="J24642"/>
      <c r="K24642"/>
      <c r="L24642"/>
    </row>
    <row r="24643" spans="2:12" x14ac:dyDescent="0.2">
      <c r="B24643"/>
      <c r="C24643"/>
      <c r="J24643"/>
      <c r="K24643"/>
      <c r="L24643"/>
    </row>
    <row r="24644" spans="2:12" x14ac:dyDescent="0.2">
      <c r="B24644"/>
      <c r="C24644"/>
      <c r="J24644"/>
      <c r="K24644"/>
      <c r="L24644"/>
    </row>
    <row r="24645" spans="2:12" x14ac:dyDescent="0.2">
      <c r="B24645"/>
      <c r="C24645"/>
      <c r="J24645"/>
      <c r="K24645"/>
      <c r="L24645"/>
    </row>
    <row r="24646" spans="2:12" x14ac:dyDescent="0.2">
      <c r="B24646"/>
      <c r="C24646"/>
      <c r="J24646"/>
      <c r="K24646"/>
      <c r="L24646"/>
    </row>
    <row r="24647" spans="2:12" x14ac:dyDescent="0.2">
      <c r="B24647"/>
      <c r="C24647"/>
      <c r="J24647"/>
      <c r="K24647"/>
      <c r="L24647"/>
    </row>
    <row r="24648" spans="2:12" x14ac:dyDescent="0.2">
      <c r="B24648"/>
      <c r="C24648"/>
      <c r="J24648"/>
      <c r="K24648"/>
      <c r="L24648"/>
    </row>
    <row r="24649" spans="2:12" x14ac:dyDescent="0.2">
      <c r="B24649"/>
      <c r="C24649"/>
      <c r="J24649"/>
      <c r="K24649"/>
      <c r="L24649"/>
    </row>
    <row r="24650" spans="2:12" x14ac:dyDescent="0.2">
      <c r="B24650"/>
      <c r="C24650"/>
      <c r="J24650"/>
      <c r="K24650"/>
      <c r="L24650"/>
    </row>
    <row r="24651" spans="2:12" x14ac:dyDescent="0.2">
      <c r="B24651"/>
      <c r="C24651"/>
      <c r="J24651"/>
      <c r="K24651"/>
      <c r="L24651"/>
    </row>
    <row r="24652" spans="2:12" x14ac:dyDescent="0.2">
      <c r="B24652"/>
      <c r="C24652"/>
      <c r="J24652"/>
      <c r="K24652"/>
      <c r="L24652"/>
    </row>
    <row r="24653" spans="2:12" x14ac:dyDescent="0.2">
      <c r="B24653"/>
      <c r="C24653"/>
      <c r="J24653"/>
      <c r="K24653"/>
      <c r="L24653"/>
    </row>
    <row r="24654" spans="2:12" x14ac:dyDescent="0.2">
      <c r="B24654"/>
      <c r="C24654"/>
      <c r="J24654"/>
      <c r="K24654"/>
      <c r="L24654"/>
    </row>
    <row r="24655" spans="2:12" x14ac:dyDescent="0.2">
      <c r="B24655"/>
      <c r="C24655"/>
      <c r="J24655"/>
      <c r="K24655"/>
      <c r="L24655"/>
    </row>
    <row r="24656" spans="2:12" x14ac:dyDescent="0.2">
      <c r="B24656"/>
      <c r="C24656"/>
      <c r="J24656"/>
      <c r="K24656"/>
      <c r="L24656"/>
    </row>
    <row r="24657" spans="2:12" x14ac:dyDescent="0.2">
      <c r="B24657"/>
      <c r="C24657"/>
      <c r="J24657"/>
      <c r="K24657"/>
      <c r="L24657"/>
    </row>
    <row r="24658" spans="2:12" x14ac:dyDescent="0.2">
      <c r="B24658"/>
      <c r="C24658"/>
      <c r="J24658"/>
      <c r="K24658"/>
      <c r="L24658"/>
    </row>
    <row r="24659" spans="2:12" x14ac:dyDescent="0.2">
      <c r="B24659"/>
      <c r="C24659"/>
      <c r="J24659"/>
      <c r="K24659"/>
      <c r="L24659"/>
    </row>
    <row r="24660" spans="2:12" x14ac:dyDescent="0.2">
      <c r="B24660"/>
      <c r="C24660"/>
      <c r="J24660"/>
      <c r="K24660"/>
      <c r="L24660"/>
    </row>
    <row r="24661" spans="2:12" x14ac:dyDescent="0.2">
      <c r="B24661"/>
      <c r="C24661"/>
      <c r="J24661"/>
      <c r="K24661"/>
      <c r="L24661"/>
    </row>
    <row r="24662" spans="2:12" x14ac:dyDescent="0.2">
      <c r="B24662"/>
      <c r="C24662"/>
      <c r="J24662"/>
      <c r="K24662"/>
      <c r="L24662"/>
    </row>
    <row r="24663" spans="2:12" x14ac:dyDescent="0.2">
      <c r="B24663"/>
      <c r="C24663"/>
      <c r="J24663"/>
      <c r="K24663"/>
      <c r="L24663"/>
    </row>
    <row r="24664" spans="2:12" x14ac:dyDescent="0.2">
      <c r="B24664"/>
      <c r="C24664"/>
      <c r="J24664"/>
      <c r="K24664"/>
      <c r="L24664"/>
    </row>
    <row r="24665" spans="2:12" x14ac:dyDescent="0.2">
      <c r="B24665"/>
      <c r="C24665"/>
      <c r="J24665"/>
      <c r="K24665"/>
      <c r="L24665"/>
    </row>
    <row r="24666" spans="2:12" x14ac:dyDescent="0.2">
      <c r="B24666"/>
      <c r="C24666"/>
      <c r="J24666"/>
      <c r="K24666"/>
      <c r="L24666"/>
    </row>
    <row r="24667" spans="2:12" x14ac:dyDescent="0.2">
      <c r="B24667"/>
      <c r="C24667"/>
      <c r="J24667"/>
      <c r="K24667"/>
      <c r="L24667"/>
    </row>
    <row r="24668" spans="2:12" x14ac:dyDescent="0.2">
      <c r="B24668"/>
      <c r="C24668"/>
      <c r="J24668"/>
      <c r="K24668"/>
      <c r="L24668"/>
    </row>
    <row r="24669" spans="2:12" x14ac:dyDescent="0.2">
      <c r="B24669"/>
      <c r="C24669"/>
      <c r="J24669"/>
      <c r="K24669"/>
      <c r="L24669"/>
    </row>
    <row r="24670" spans="2:12" x14ac:dyDescent="0.2">
      <c r="B24670"/>
      <c r="C24670"/>
      <c r="J24670"/>
      <c r="K24670"/>
      <c r="L24670"/>
    </row>
    <row r="24671" spans="2:12" x14ac:dyDescent="0.2">
      <c r="B24671"/>
      <c r="C24671"/>
      <c r="J24671"/>
      <c r="K24671"/>
      <c r="L24671"/>
    </row>
    <row r="24672" spans="2:12" x14ac:dyDescent="0.2">
      <c r="B24672"/>
      <c r="C24672"/>
      <c r="J24672"/>
      <c r="K24672"/>
      <c r="L24672"/>
    </row>
    <row r="24673" spans="2:12" x14ac:dyDescent="0.2">
      <c r="B24673"/>
      <c r="C24673"/>
      <c r="J24673"/>
      <c r="K24673"/>
      <c r="L24673"/>
    </row>
    <row r="24674" spans="2:12" x14ac:dyDescent="0.2">
      <c r="B24674"/>
      <c r="C24674"/>
      <c r="J24674"/>
      <c r="K24674"/>
      <c r="L24674"/>
    </row>
    <row r="24675" spans="2:12" x14ac:dyDescent="0.2">
      <c r="B24675"/>
      <c r="C24675"/>
      <c r="J24675"/>
      <c r="K24675"/>
      <c r="L24675"/>
    </row>
    <row r="24676" spans="2:12" x14ac:dyDescent="0.2">
      <c r="B24676"/>
      <c r="C24676"/>
      <c r="J24676"/>
      <c r="K24676"/>
      <c r="L24676"/>
    </row>
    <row r="24677" spans="2:12" x14ac:dyDescent="0.2">
      <c r="B24677"/>
      <c r="C24677"/>
      <c r="J24677"/>
      <c r="K24677"/>
      <c r="L24677"/>
    </row>
    <row r="24678" spans="2:12" x14ac:dyDescent="0.2">
      <c r="B24678"/>
      <c r="C24678"/>
      <c r="J24678"/>
      <c r="K24678"/>
      <c r="L24678"/>
    </row>
    <row r="24679" spans="2:12" x14ac:dyDescent="0.2">
      <c r="B24679"/>
      <c r="C24679"/>
      <c r="J24679"/>
      <c r="K24679"/>
      <c r="L24679"/>
    </row>
    <row r="24680" spans="2:12" x14ac:dyDescent="0.2">
      <c r="B24680"/>
      <c r="C24680"/>
      <c r="J24680"/>
      <c r="K24680"/>
      <c r="L24680"/>
    </row>
    <row r="24681" spans="2:12" x14ac:dyDescent="0.2">
      <c r="B24681"/>
      <c r="C24681"/>
      <c r="J24681"/>
      <c r="K24681"/>
      <c r="L24681"/>
    </row>
    <row r="24682" spans="2:12" x14ac:dyDescent="0.2">
      <c r="B24682"/>
      <c r="C24682"/>
      <c r="J24682"/>
      <c r="K24682"/>
      <c r="L24682"/>
    </row>
    <row r="24683" spans="2:12" x14ac:dyDescent="0.2">
      <c r="B24683"/>
      <c r="C24683"/>
      <c r="J24683"/>
      <c r="K24683"/>
      <c r="L24683"/>
    </row>
    <row r="24684" spans="2:12" x14ac:dyDescent="0.2">
      <c r="B24684"/>
      <c r="C24684"/>
      <c r="J24684"/>
      <c r="K24684"/>
      <c r="L24684"/>
    </row>
    <row r="24685" spans="2:12" x14ac:dyDescent="0.2">
      <c r="B24685"/>
      <c r="C24685"/>
      <c r="J24685"/>
      <c r="K24685"/>
      <c r="L24685"/>
    </row>
    <row r="24686" spans="2:12" x14ac:dyDescent="0.2">
      <c r="B24686"/>
      <c r="C24686"/>
      <c r="J24686"/>
      <c r="K24686"/>
      <c r="L24686"/>
    </row>
    <row r="24687" spans="2:12" x14ac:dyDescent="0.2">
      <c r="B24687"/>
      <c r="C24687"/>
      <c r="J24687"/>
      <c r="K24687"/>
      <c r="L24687"/>
    </row>
    <row r="24688" spans="2:12" x14ac:dyDescent="0.2">
      <c r="B24688"/>
      <c r="C24688"/>
      <c r="J24688"/>
      <c r="K24688"/>
      <c r="L24688"/>
    </row>
    <row r="24689" spans="2:12" x14ac:dyDescent="0.2">
      <c r="B24689"/>
      <c r="C24689"/>
      <c r="J24689"/>
      <c r="K24689"/>
      <c r="L24689"/>
    </row>
    <row r="24690" spans="2:12" x14ac:dyDescent="0.2">
      <c r="B24690"/>
      <c r="C24690"/>
      <c r="J24690"/>
      <c r="K24690"/>
      <c r="L24690"/>
    </row>
    <row r="24691" spans="2:12" x14ac:dyDescent="0.2">
      <c r="B24691"/>
      <c r="C24691"/>
      <c r="J24691"/>
      <c r="K24691"/>
      <c r="L24691"/>
    </row>
    <row r="24692" spans="2:12" x14ac:dyDescent="0.2">
      <c r="B24692"/>
      <c r="C24692"/>
      <c r="J24692"/>
      <c r="K24692"/>
      <c r="L24692"/>
    </row>
    <row r="24693" spans="2:12" x14ac:dyDescent="0.2">
      <c r="B24693"/>
      <c r="C24693"/>
      <c r="J24693"/>
      <c r="K24693"/>
      <c r="L24693"/>
    </row>
    <row r="24694" spans="2:12" x14ac:dyDescent="0.2">
      <c r="B24694"/>
      <c r="C24694"/>
      <c r="J24694"/>
      <c r="K24694"/>
      <c r="L24694"/>
    </row>
    <row r="24695" spans="2:12" x14ac:dyDescent="0.2">
      <c r="B24695"/>
      <c r="C24695"/>
      <c r="J24695"/>
      <c r="K24695"/>
      <c r="L24695"/>
    </row>
    <row r="24696" spans="2:12" x14ac:dyDescent="0.2">
      <c r="B24696"/>
      <c r="C24696"/>
      <c r="J24696"/>
      <c r="K24696"/>
      <c r="L24696"/>
    </row>
    <row r="24697" spans="2:12" x14ac:dyDescent="0.2">
      <c r="B24697"/>
      <c r="C24697"/>
      <c r="J24697"/>
      <c r="K24697"/>
      <c r="L24697"/>
    </row>
    <row r="24698" spans="2:12" x14ac:dyDescent="0.2">
      <c r="B24698"/>
      <c r="C24698"/>
      <c r="J24698"/>
      <c r="K24698"/>
      <c r="L24698"/>
    </row>
    <row r="24699" spans="2:12" x14ac:dyDescent="0.2">
      <c r="B24699"/>
      <c r="C24699"/>
      <c r="J24699"/>
      <c r="K24699"/>
      <c r="L24699"/>
    </row>
    <row r="24700" spans="2:12" x14ac:dyDescent="0.2">
      <c r="B24700"/>
      <c r="C24700"/>
      <c r="J24700"/>
      <c r="K24700"/>
      <c r="L24700"/>
    </row>
    <row r="24701" spans="2:12" x14ac:dyDescent="0.2">
      <c r="B24701"/>
      <c r="C24701"/>
      <c r="J24701"/>
      <c r="K24701"/>
      <c r="L24701"/>
    </row>
    <row r="24702" spans="2:12" x14ac:dyDescent="0.2">
      <c r="B24702"/>
      <c r="C24702"/>
      <c r="J24702"/>
      <c r="K24702"/>
      <c r="L24702"/>
    </row>
    <row r="24703" spans="2:12" x14ac:dyDescent="0.2">
      <c r="B24703"/>
      <c r="C24703"/>
      <c r="J24703"/>
      <c r="K24703"/>
      <c r="L24703"/>
    </row>
    <row r="24704" spans="2:12" x14ac:dyDescent="0.2">
      <c r="B24704"/>
      <c r="C24704"/>
      <c r="J24704"/>
      <c r="K24704"/>
      <c r="L24704"/>
    </row>
    <row r="24705" spans="2:12" x14ac:dyDescent="0.2">
      <c r="B24705"/>
      <c r="C24705"/>
      <c r="J24705"/>
      <c r="K24705"/>
      <c r="L24705"/>
    </row>
    <row r="24706" spans="2:12" x14ac:dyDescent="0.2">
      <c r="B24706"/>
      <c r="C24706"/>
      <c r="J24706"/>
      <c r="K24706"/>
      <c r="L24706"/>
    </row>
    <row r="24707" spans="2:12" x14ac:dyDescent="0.2">
      <c r="B24707"/>
      <c r="C24707"/>
      <c r="J24707"/>
      <c r="K24707"/>
      <c r="L24707"/>
    </row>
    <row r="24708" spans="2:12" x14ac:dyDescent="0.2">
      <c r="B24708"/>
      <c r="C24708"/>
      <c r="J24708"/>
      <c r="K24708"/>
      <c r="L24708"/>
    </row>
    <row r="24709" spans="2:12" x14ac:dyDescent="0.2">
      <c r="B24709"/>
      <c r="C24709"/>
      <c r="J24709"/>
      <c r="K24709"/>
      <c r="L24709"/>
    </row>
    <row r="24710" spans="2:12" x14ac:dyDescent="0.2">
      <c r="B24710"/>
      <c r="C24710"/>
      <c r="J24710"/>
      <c r="K24710"/>
      <c r="L24710"/>
    </row>
    <row r="24711" spans="2:12" x14ac:dyDescent="0.2">
      <c r="B24711"/>
      <c r="C24711"/>
      <c r="J24711"/>
      <c r="K24711"/>
      <c r="L24711"/>
    </row>
    <row r="24712" spans="2:12" x14ac:dyDescent="0.2">
      <c r="B24712"/>
      <c r="C24712"/>
      <c r="J24712"/>
      <c r="K24712"/>
      <c r="L24712"/>
    </row>
    <row r="24713" spans="2:12" x14ac:dyDescent="0.2">
      <c r="B24713"/>
      <c r="C24713"/>
      <c r="J24713"/>
      <c r="K24713"/>
      <c r="L24713"/>
    </row>
    <row r="24714" spans="2:12" x14ac:dyDescent="0.2">
      <c r="B24714"/>
      <c r="C24714"/>
      <c r="J24714"/>
      <c r="K24714"/>
      <c r="L24714"/>
    </row>
    <row r="24715" spans="2:12" x14ac:dyDescent="0.2">
      <c r="B24715"/>
      <c r="C24715"/>
      <c r="J24715"/>
      <c r="K24715"/>
      <c r="L24715"/>
    </row>
    <row r="24716" spans="2:12" x14ac:dyDescent="0.2">
      <c r="B24716"/>
      <c r="C24716"/>
      <c r="J24716"/>
      <c r="K24716"/>
      <c r="L24716"/>
    </row>
    <row r="24717" spans="2:12" x14ac:dyDescent="0.2">
      <c r="B24717"/>
      <c r="C24717"/>
      <c r="J24717"/>
      <c r="K24717"/>
      <c r="L24717"/>
    </row>
    <row r="24718" spans="2:12" x14ac:dyDescent="0.2">
      <c r="B24718"/>
      <c r="C24718"/>
      <c r="J24718"/>
      <c r="K24718"/>
      <c r="L24718"/>
    </row>
    <row r="24719" spans="2:12" x14ac:dyDescent="0.2">
      <c r="B24719"/>
      <c r="C24719"/>
      <c r="J24719"/>
      <c r="K24719"/>
      <c r="L24719"/>
    </row>
    <row r="24720" spans="2:12" x14ac:dyDescent="0.2">
      <c r="B24720"/>
      <c r="C24720"/>
      <c r="J24720"/>
      <c r="K24720"/>
      <c r="L24720"/>
    </row>
    <row r="24721" spans="2:12" x14ac:dyDescent="0.2">
      <c r="B24721"/>
      <c r="C24721"/>
      <c r="J24721"/>
      <c r="K24721"/>
      <c r="L24721"/>
    </row>
    <row r="24722" spans="2:12" x14ac:dyDescent="0.2">
      <c r="B24722"/>
      <c r="C24722"/>
      <c r="J24722"/>
      <c r="K24722"/>
      <c r="L24722"/>
    </row>
    <row r="24723" spans="2:12" x14ac:dyDescent="0.2">
      <c r="B24723"/>
      <c r="C24723"/>
      <c r="J24723"/>
      <c r="K24723"/>
      <c r="L24723"/>
    </row>
    <row r="24724" spans="2:12" x14ac:dyDescent="0.2">
      <c r="B24724"/>
      <c r="C24724"/>
      <c r="J24724"/>
      <c r="K24724"/>
      <c r="L24724"/>
    </row>
    <row r="24725" spans="2:12" x14ac:dyDescent="0.2">
      <c r="B24725"/>
      <c r="C24725"/>
      <c r="J24725"/>
      <c r="K24725"/>
      <c r="L24725"/>
    </row>
    <row r="24726" spans="2:12" x14ac:dyDescent="0.2">
      <c r="B24726"/>
      <c r="C24726"/>
      <c r="J24726"/>
      <c r="K24726"/>
      <c r="L24726"/>
    </row>
    <row r="24727" spans="2:12" x14ac:dyDescent="0.2">
      <c r="B24727"/>
      <c r="C24727"/>
      <c r="J24727"/>
      <c r="K24727"/>
      <c r="L24727"/>
    </row>
    <row r="24728" spans="2:12" x14ac:dyDescent="0.2">
      <c r="B24728"/>
      <c r="C24728"/>
      <c r="J24728"/>
      <c r="K24728"/>
      <c r="L24728"/>
    </row>
    <row r="24729" spans="2:12" x14ac:dyDescent="0.2">
      <c r="B24729"/>
      <c r="C24729"/>
      <c r="J24729"/>
      <c r="K24729"/>
      <c r="L24729"/>
    </row>
    <row r="24730" spans="2:12" x14ac:dyDescent="0.2">
      <c r="B24730"/>
      <c r="C24730"/>
      <c r="J24730"/>
      <c r="K24730"/>
      <c r="L24730"/>
    </row>
    <row r="24731" spans="2:12" x14ac:dyDescent="0.2">
      <c r="B24731"/>
      <c r="C24731"/>
      <c r="J24731"/>
      <c r="K24731"/>
      <c r="L24731"/>
    </row>
    <row r="24732" spans="2:12" x14ac:dyDescent="0.2">
      <c r="B24732"/>
      <c r="C24732"/>
      <c r="J24732"/>
      <c r="K24732"/>
      <c r="L24732"/>
    </row>
    <row r="24733" spans="2:12" x14ac:dyDescent="0.2">
      <c r="B24733"/>
      <c r="C24733"/>
      <c r="J24733"/>
      <c r="K24733"/>
      <c r="L24733"/>
    </row>
    <row r="24734" spans="2:12" x14ac:dyDescent="0.2">
      <c r="B24734"/>
      <c r="C24734"/>
      <c r="J24734"/>
      <c r="K24734"/>
      <c r="L24734"/>
    </row>
    <row r="24735" spans="2:12" x14ac:dyDescent="0.2">
      <c r="B24735"/>
      <c r="C24735"/>
      <c r="J24735"/>
      <c r="K24735"/>
      <c r="L24735"/>
    </row>
    <row r="24736" spans="2:12" x14ac:dyDescent="0.2">
      <c r="B24736"/>
      <c r="C24736"/>
      <c r="J24736"/>
      <c r="K24736"/>
      <c r="L24736"/>
    </row>
    <row r="24737" spans="2:12" x14ac:dyDescent="0.2">
      <c r="B24737"/>
      <c r="C24737"/>
      <c r="J24737"/>
      <c r="K24737"/>
      <c r="L24737"/>
    </row>
    <row r="24738" spans="2:12" x14ac:dyDescent="0.2">
      <c r="B24738"/>
      <c r="C24738"/>
      <c r="J24738"/>
      <c r="K24738"/>
      <c r="L24738"/>
    </row>
    <row r="24739" spans="2:12" x14ac:dyDescent="0.2">
      <c r="B24739"/>
      <c r="C24739"/>
      <c r="J24739"/>
      <c r="K24739"/>
      <c r="L24739"/>
    </row>
    <row r="24740" spans="2:12" x14ac:dyDescent="0.2">
      <c r="B24740"/>
      <c r="C24740"/>
      <c r="J24740"/>
      <c r="K24740"/>
      <c r="L24740"/>
    </row>
    <row r="24741" spans="2:12" x14ac:dyDescent="0.2">
      <c r="B24741"/>
      <c r="C24741"/>
      <c r="J24741"/>
      <c r="K24741"/>
      <c r="L24741"/>
    </row>
    <row r="24742" spans="2:12" x14ac:dyDescent="0.2">
      <c r="B24742"/>
      <c r="C24742"/>
      <c r="J24742"/>
      <c r="K24742"/>
      <c r="L24742"/>
    </row>
    <row r="24743" spans="2:12" x14ac:dyDescent="0.2">
      <c r="B24743"/>
      <c r="C24743"/>
      <c r="J24743"/>
      <c r="K24743"/>
      <c r="L24743"/>
    </row>
    <row r="24744" spans="2:12" x14ac:dyDescent="0.2">
      <c r="B24744"/>
      <c r="C24744"/>
      <c r="J24744"/>
      <c r="K24744"/>
      <c r="L24744"/>
    </row>
    <row r="24745" spans="2:12" x14ac:dyDescent="0.2">
      <c r="B24745"/>
      <c r="C24745"/>
      <c r="J24745"/>
      <c r="K24745"/>
      <c r="L24745"/>
    </row>
    <row r="24746" spans="2:12" x14ac:dyDescent="0.2">
      <c r="B24746"/>
      <c r="C24746"/>
      <c r="J24746"/>
      <c r="K24746"/>
      <c r="L24746"/>
    </row>
    <row r="24747" spans="2:12" x14ac:dyDescent="0.2">
      <c r="B24747"/>
      <c r="C24747"/>
      <c r="J24747"/>
      <c r="K24747"/>
      <c r="L24747"/>
    </row>
    <row r="24748" spans="2:12" x14ac:dyDescent="0.2">
      <c r="B24748"/>
      <c r="C24748"/>
      <c r="J24748"/>
      <c r="K24748"/>
      <c r="L24748"/>
    </row>
    <row r="24749" spans="2:12" x14ac:dyDescent="0.2">
      <c r="B24749"/>
      <c r="C24749"/>
      <c r="J24749"/>
      <c r="K24749"/>
      <c r="L24749"/>
    </row>
    <row r="24750" spans="2:12" x14ac:dyDescent="0.2">
      <c r="B24750"/>
      <c r="C24750"/>
      <c r="J24750"/>
      <c r="K24750"/>
      <c r="L24750"/>
    </row>
    <row r="24751" spans="2:12" x14ac:dyDescent="0.2">
      <c r="B24751"/>
      <c r="C24751"/>
      <c r="J24751"/>
      <c r="K24751"/>
      <c r="L24751"/>
    </row>
    <row r="24752" spans="2:12" x14ac:dyDescent="0.2">
      <c r="B24752"/>
      <c r="C24752"/>
      <c r="J24752"/>
      <c r="K24752"/>
      <c r="L24752"/>
    </row>
    <row r="24753" spans="2:12" x14ac:dyDescent="0.2">
      <c r="B24753"/>
      <c r="C24753"/>
      <c r="J24753"/>
      <c r="K24753"/>
      <c r="L24753"/>
    </row>
    <row r="24754" spans="2:12" x14ac:dyDescent="0.2">
      <c r="B24754"/>
      <c r="C24754"/>
      <c r="J24754"/>
      <c r="K24754"/>
      <c r="L24754"/>
    </row>
    <row r="24755" spans="2:12" x14ac:dyDescent="0.2">
      <c r="B24755"/>
      <c r="C24755"/>
      <c r="J24755"/>
      <c r="K24755"/>
      <c r="L24755"/>
    </row>
    <row r="24756" spans="2:12" x14ac:dyDescent="0.2">
      <c r="B24756"/>
      <c r="C24756"/>
      <c r="J24756"/>
      <c r="K24756"/>
      <c r="L24756"/>
    </row>
    <row r="24757" spans="2:12" x14ac:dyDescent="0.2">
      <c r="B24757"/>
      <c r="C24757"/>
      <c r="J24757"/>
      <c r="K24757"/>
      <c r="L24757"/>
    </row>
    <row r="24758" spans="2:12" x14ac:dyDescent="0.2">
      <c r="B24758"/>
      <c r="C24758"/>
      <c r="J24758"/>
      <c r="K24758"/>
      <c r="L24758"/>
    </row>
    <row r="24759" spans="2:12" x14ac:dyDescent="0.2">
      <c r="B24759"/>
      <c r="C24759"/>
      <c r="J24759"/>
      <c r="K24759"/>
      <c r="L24759"/>
    </row>
    <row r="24760" spans="2:12" x14ac:dyDescent="0.2">
      <c r="B24760"/>
      <c r="C24760"/>
      <c r="J24760"/>
      <c r="K24760"/>
      <c r="L24760"/>
    </row>
    <row r="24761" spans="2:12" x14ac:dyDescent="0.2">
      <c r="B24761"/>
      <c r="C24761"/>
      <c r="J24761"/>
      <c r="K24761"/>
      <c r="L24761"/>
    </row>
    <row r="24762" spans="2:12" x14ac:dyDescent="0.2">
      <c r="B24762"/>
      <c r="C24762"/>
      <c r="J24762"/>
      <c r="K24762"/>
      <c r="L24762"/>
    </row>
    <row r="24763" spans="2:12" x14ac:dyDescent="0.2">
      <c r="B24763"/>
      <c r="C24763"/>
      <c r="J24763"/>
      <c r="K24763"/>
      <c r="L24763"/>
    </row>
    <row r="24764" spans="2:12" x14ac:dyDescent="0.2">
      <c r="B24764"/>
      <c r="C24764"/>
      <c r="J24764"/>
      <c r="K24764"/>
      <c r="L24764"/>
    </row>
    <row r="24765" spans="2:12" x14ac:dyDescent="0.2">
      <c r="B24765"/>
      <c r="C24765"/>
      <c r="J24765"/>
      <c r="K24765"/>
      <c r="L24765"/>
    </row>
    <row r="24766" spans="2:12" x14ac:dyDescent="0.2">
      <c r="B24766"/>
      <c r="C24766"/>
      <c r="J24766"/>
      <c r="K24766"/>
      <c r="L24766"/>
    </row>
    <row r="24767" spans="2:12" x14ac:dyDescent="0.2">
      <c r="B24767"/>
      <c r="C24767"/>
      <c r="J24767"/>
      <c r="K24767"/>
      <c r="L24767"/>
    </row>
    <row r="24768" spans="2:12" x14ac:dyDescent="0.2">
      <c r="B24768"/>
      <c r="C24768"/>
      <c r="J24768"/>
      <c r="K24768"/>
      <c r="L24768"/>
    </row>
    <row r="24769" spans="2:12" x14ac:dyDescent="0.2">
      <c r="B24769"/>
      <c r="C24769"/>
      <c r="J24769"/>
      <c r="K24769"/>
      <c r="L24769"/>
    </row>
    <row r="24770" spans="2:12" x14ac:dyDescent="0.2">
      <c r="B24770"/>
      <c r="C24770"/>
      <c r="J24770"/>
      <c r="K24770"/>
      <c r="L24770"/>
    </row>
    <row r="24771" spans="2:12" x14ac:dyDescent="0.2">
      <c r="B24771"/>
      <c r="C24771"/>
      <c r="J24771"/>
      <c r="K24771"/>
      <c r="L24771"/>
    </row>
    <row r="24772" spans="2:12" x14ac:dyDescent="0.2">
      <c r="B24772"/>
      <c r="C24772"/>
      <c r="J24772"/>
      <c r="K24772"/>
      <c r="L24772"/>
    </row>
    <row r="24773" spans="2:12" x14ac:dyDescent="0.2">
      <c r="B24773"/>
      <c r="C24773"/>
      <c r="J24773"/>
      <c r="K24773"/>
      <c r="L24773"/>
    </row>
    <row r="24774" spans="2:12" x14ac:dyDescent="0.2">
      <c r="B24774"/>
      <c r="C24774"/>
      <c r="J24774"/>
      <c r="K24774"/>
      <c r="L24774"/>
    </row>
    <row r="24775" spans="2:12" x14ac:dyDescent="0.2">
      <c r="B24775"/>
      <c r="C24775"/>
      <c r="J24775"/>
      <c r="K24775"/>
      <c r="L24775"/>
    </row>
    <row r="24776" spans="2:12" x14ac:dyDescent="0.2">
      <c r="B24776"/>
      <c r="C24776"/>
      <c r="J24776"/>
      <c r="K24776"/>
      <c r="L24776"/>
    </row>
    <row r="24777" spans="2:12" x14ac:dyDescent="0.2">
      <c r="B24777"/>
      <c r="C24777"/>
      <c r="J24777"/>
      <c r="K24777"/>
      <c r="L24777"/>
    </row>
    <row r="24778" spans="2:12" x14ac:dyDescent="0.2">
      <c r="B24778"/>
      <c r="C24778"/>
      <c r="J24778"/>
      <c r="K24778"/>
      <c r="L24778"/>
    </row>
    <row r="24779" spans="2:12" x14ac:dyDescent="0.2">
      <c r="B24779"/>
      <c r="C24779"/>
      <c r="J24779"/>
      <c r="K24779"/>
      <c r="L24779"/>
    </row>
    <row r="24780" spans="2:12" x14ac:dyDescent="0.2">
      <c r="B24780"/>
      <c r="C24780"/>
      <c r="J24780"/>
      <c r="K24780"/>
      <c r="L24780"/>
    </row>
    <row r="24781" spans="2:12" x14ac:dyDescent="0.2">
      <c r="B24781"/>
      <c r="C24781"/>
      <c r="J24781"/>
      <c r="K24781"/>
      <c r="L24781"/>
    </row>
    <row r="24782" spans="2:12" x14ac:dyDescent="0.2">
      <c r="B24782"/>
      <c r="C24782"/>
      <c r="J24782"/>
      <c r="K24782"/>
      <c r="L24782"/>
    </row>
    <row r="24783" spans="2:12" x14ac:dyDescent="0.2">
      <c r="B24783"/>
      <c r="C24783"/>
      <c r="J24783"/>
      <c r="K24783"/>
      <c r="L24783"/>
    </row>
    <row r="24784" spans="2:12" x14ac:dyDescent="0.2">
      <c r="B24784"/>
      <c r="C24784"/>
      <c r="J24784"/>
      <c r="K24784"/>
      <c r="L24784"/>
    </row>
    <row r="24785" spans="2:12" x14ac:dyDescent="0.2">
      <c r="B24785"/>
      <c r="C24785"/>
      <c r="J24785"/>
      <c r="K24785"/>
      <c r="L24785"/>
    </row>
    <row r="24786" spans="2:12" x14ac:dyDescent="0.2">
      <c r="B24786"/>
      <c r="C24786"/>
      <c r="J24786"/>
      <c r="K24786"/>
      <c r="L24786"/>
    </row>
    <row r="24787" spans="2:12" x14ac:dyDescent="0.2">
      <c r="B24787"/>
      <c r="C24787"/>
      <c r="J24787"/>
      <c r="K24787"/>
      <c r="L24787"/>
    </row>
    <row r="24788" spans="2:12" x14ac:dyDescent="0.2">
      <c r="B24788"/>
      <c r="C24788"/>
      <c r="J24788"/>
      <c r="K24788"/>
      <c r="L24788"/>
    </row>
    <row r="24789" spans="2:12" x14ac:dyDescent="0.2">
      <c r="B24789"/>
      <c r="C24789"/>
      <c r="J24789"/>
      <c r="K24789"/>
      <c r="L24789"/>
    </row>
    <row r="24790" spans="2:12" x14ac:dyDescent="0.2">
      <c r="B24790"/>
      <c r="C24790"/>
      <c r="J24790"/>
      <c r="K24790"/>
      <c r="L24790"/>
    </row>
    <row r="24791" spans="2:12" x14ac:dyDescent="0.2">
      <c r="B24791"/>
      <c r="C24791"/>
      <c r="J24791"/>
      <c r="K24791"/>
      <c r="L24791"/>
    </row>
    <row r="24792" spans="2:12" x14ac:dyDescent="0.2">
      <c r="B24792"/>
      <c r="C24792"/>
      <c r="J24792"/>
      <c r="K24792"/>
      <c r="L24792"/>
    </row>
    <row r="24793" spans="2:12" x14ac:dyDescent="0.2">
      <c r="B24793"/>
      <c r="C24793"/>
      <c r="J24793"/>
      <c r="K24793"/>
      <c r="L24793"/>
    </row>
    <row r="24794" spans="2:12" x14ac:dyDescent="0.2">
      <c r="B24794"/>
      <c r="C24794"/>
      <c r="J24794"/>
      <c r="K24794"/>
      <c r="L24794"/>
    </row>
    <row r="24795" spans="2:12" x14ac:dyDescent="0.2">
      <c r="B24795"/>
      <c r="C24795"/>
      <c r="J24795"/>
      <c r="K24795"/>
      <c r="L24795"/>
    </row>
    <row r="24796" spans="2:12" x14ac:dyDescent="0.2">
      <c r="B24796"/>
      <c r="C24796"/>
      <c r="J24796"/>
      <c r="K24796"/>
      <c r="L24796"/>
    </row>
    <row r="24797" spans="2:12" x14ac:dyDescent="0.2">
      <c r="B24797"/>
      <c r="C24797"/>
      <c r="J24797"/>
      <c r="K24797"/>
      <c r="L24797"/>
    </row>
    <row r="24798" spans="2:12" x14ac:dyDescent="0.2">
      <c r="B24798"/>
      <c r="C24798"/>
      <c r="J24798"/>
      <c r="K24798"/>
      <c r="L24798"/>
    </row>
    <row r="24799" spans="2:12" x14ac:dyDescent="0.2">
      <c r="B24799"/>
      <c r="C24799"/>
      <c r="J24799"/>
      <c r="K24799"/>
      <c r="L24799"/>
    </row>
    <row r="24800" spans="2:12" x14ac:dyDescent="0.2">
      <c r="B24800"/>
      <c r="C24800"/>
      <c r="J24800"/>
      <c r="K24800"/>
      <c r="L24800"/>
    </row>
    <row r="24801" spans="2:12" x14ac:dyDescent="0.2">
      <c r="B24801"/>
      <c r="C24801"/>
      <c r="J24801"/>
      <c r="K24801"/>
      <c r="L24801"/>
    </row>
    <row r="24802" spans="2:12" x14ac:dyDescent="0.2">
      <c r="B24802"/>
      <c r="C24802"/>
      <c r="J24802"/>
      <c r="K24802"/>
      <c r="L24802"/>
    </row>
    <row r="24803" spans="2:12" x14ac:dyDescent="0.2">
      <c r="B24803"/>
      <c r="C24803"/>
      <c r="J24803"/>
      <c r="K24803"/>
      <c r="L24803"/>
    </row>
    <row r="24804" spans="2:12" x14ac:dyDescent="0.2">
      <c r="B24804"/>
      <c r="C24804"/>
      <c r="J24804"/>
      <c r="K24804"/>
      <c r="L24804"/>
    </row>
    <row r="24805" spans="2:12" x14ac:dyDescent="0.2">
      <c r="B24805"/>
      <c r="C24805"/>
      <c r="J24805"/>
      <c r="K24805"/>
      <c r="L24805"/>
    </row>
    <row r="24806" spans="2:12" x14ac:dyDescent="0.2">
      <c r="B24806"/>
      <c r="C24806"/>
      <c r="J24806"/>
      <c r="K24806"/>
      <c r="L24806"/>
    </row>
    <row r="24807" spans="2:12" x14ac:dyDescent="0.2">
      <c r="B24807"/>
      <c r="C24807"/>
      <c r="J24807"/>
      <c r="K24807"/>
      <c r="L24807"/>
    </row>
    <row r="24808" spans="2:12" x14ac:dyDescent="0.2">
      <c r="B24808"/>
      <c r="C24808"/>
      <c r="J24808"/>
      <c r="K24808"/>
      <c r="L24808"/>
    </row>
    <row r="24809" spans="2:12" x14ac:dyDescent="0.2">
      <c r="B24809"/>
      <c r="C24809"/>
      <c r="J24809"/>
      <c r="K24809"/>
      <c r="L24809"/>
    </row>
    <row r="24810" spans="2:12" x14ac:dyDescent="0.2">
      <c r="B24810"/>
      <c r="C24810"/>
      <c r="J24810"/>
      <c r="K24810"/>
      <c r="L24810"/>
    </row>
    <row r="24811" spans="2:12" x14ac:dyDescent="0.2">
      <c r="B24811"/>
      <c r="C24811"/>
      <c r="J24811"/>
      <c r="K24811"/>
      <c r="L24811"/>
    </row>
    <row r="24812" spans="2:12" x14ac:dyDescent="0.2">
      <c r="B24812"/>
      <c r="C24812"/>
      <c r="J24812"/>
      <c r="K24812"/>
      <c r="L24812"/>
    </row>
    <row r="24813" spans="2:12" x14ac:dyDescent="0.2">
      <c r="B24813"/>
      <c r="C24813"/>
      <c r="J24813"/>
      <c r="K24813"/>
      <c r="L24813"/>
    </row>
    <row r="24814" spans="2:12" x14ac:dyDescent="0.2">
      <c r="B24814"/>
      <c r="C24814"/>
      <c r="J24814"/>
      <c r="K24814"/>
      <c r="L24814"/>
    </row>
    <row r="24815" spans="2:12" x14ac:dyDescent="0.2">
      <c r="B24815"/>
      <c r="C24815"/>
      <c r="J24815"/>
      <c r="K24815"/>
      <c r="L24815"/>
    </row>
    <row r="24816" spans="2:12" x14ac:dyDescent="0.2">
      <c r="B24816"/>
      <c r="C24816"/>
      <c r="J24816"/>
      <c r="K24816"/>
      <c r="L24816"/>
    </row>
    <row r="24817" spans="2:12" x14ac:dyDescent="0.2">
      <c r="B24817"/>
      <c r="C24817"/>
      <c r="J24817"/>
      <c r="K24817"/>
      <c r="L24817"/>
    </row>
    <row r="24818" spans="2:12" x14ac:dyDescent="0.2">
      <c r="B24818"/>
      <c r="C24818"/>
      <c r="J24818"/>
      <c r="K24818"/>
      <c r="L24818"/>
    </row>
    <row r="24819" spans="2:12" x14ac:dyDescent="0.2">
      <c r="B24819"/>
      <c r="C24819"/>
      <c r="J24819"/>
      <c r="K24819"/>
      <c r="L24819"/>
    </row>
    <row r="24820" spans="2:12" x14ac:dyDescent="0.2">
      <c r="B24820"/>
      <c r="C24820"/>
      <c r="J24820"/>
      <c r="K24820"/>
      <c r="L24820"/>
    </row>
    <row r="24821" spans="2:12" x14ac:dyDescent="0.2">
      <c r="B24821"/>
      <c r="C24821"/>
      <c r="J24821"/>
      <c r="K24821"/>
      <c r="L24821"/>
    </row>
    <row r="24822" spans="2:12" x14ac:dyDescent="0.2">
      <c r="B24822"/>
      <c r="C24822"/>
      <c r="J24822"/>
      <c r="K24822"/>
      <c r="L24822"/>
    </row>
    <row r="24823" spans="2:12" x14ac:dyDescent="0.2">
      <c r="B24823"/>
      <c r="C24823"/>
      <c r="J24823"/>
      <c r="K24823"/>
      <c r="L24823"/>
    </row>
    <row r="24824" spans="2:12" x14ac:dyDescent="0.2">
      <c r="B24824"/>
      <c r="C24824"/>
      <c r="J24824"/>
      <c r="K24824"/>
      <c r="L24824"/>
    </row>
    <row r="24825" spans="2:12" x14ac:dyDescent="0.2">
      <c r="B24825"/>
      <c r="C24825"/>
      <c r="J24825"/>
      <c r="K24825"/>
      <c r="L24825"/>
    </row>
    <row r="24826" spans="2:12" x14ac:dyDescent="0.2">
      <c r="B24826"/>
      <c r="C24826"/>
      <c r="J24826"/>
      <c r="K24826"/>
      <c r="L24826"/>
    </row>
    <row r="24827" spans="2:12" x14ac:dyDescent="0.2">
      <c r="B24827"/>
      <c r="C24827"/>
      <c r="J24827"/>
      <c r="K24827"/>
      <c r="L24827"/>
    </row>
    <row r="24828" spans="2:12" x14ac:dyDescent="0.2">
      <c r="B24828"/>
      <c r="C24828"/>
      <c r="J24828"/>
      <c r="K24828"/>
      <c r="L24828"/>
    </row>
    <row r="24829" spans="2:12" x14ac:dyDescent="0.2">
      <c r="B24829"/>
      <c r="C24829"/>
      <c r="J24829"/>
      <c r="K24829"/>
      <c r="L24829"/>
    </row>
    <row r="24830" spans="2:12" x14ac:dyDescent="0.2">
      <c r="B24830"/>
      <c r="C24830"/>
      <c r="J24830"/>
      <c r="K24830"/>
      <c r="L24830"/>
    </row>
    <row r="24831" spans="2:12" x14ac:dyDescent="0.2">
      <c r="B24831"/>
      <c r="C24831"/>
      <c r="J24831"/>
      <c r="K24831"/>
      <c r="L24831"/>
    </row>
    <row r="24832" spans="2:12" x14ac:dyDescent="0.2">
      <c r="B24832"/>
      <c r="C24832"/>
      <c r="J24832"/>
      <c r="K24832"/>
      <c r="L24832"/>
    </row>
    <row r="24833" spans="2:12" x14ac:dyDescent="0.2">
      <c r="B24833"/>
      <c r="C24833"/>
      <c r="J24833"/>
      <c r="K24833"/>
      <c r="L24833"/>
    </row>
    <row r="24834" spans="2:12" x14ac:dyDescent="0.2">
      <c r="B24834"/>
      <c r="C24834"/>
      <c r="J24834"/>
      <c r="K24834"/>
      <c r="L24834"/>
    </row>
    <row r="24835" spans="2:12" x14ac:dyDescent="0.2">
      <c r="B24835"/>
      <c r="C24835"/>
      <c r="J24835"/>
      <c r="K24835"/>
      <c r="L24835"/>
    </row>
    <row r="24836" spans="2:12" x14ac:dyDescent="0.2">
      <c r="B24836"/>
      <c r="C24836"/>
      <c r="J24836"/>
      <c r="K24836"/>
      <c r="L24836"/>
    </row>
    <row r="24837" spans="2:12" x14ac:dyDescent="0.2">
      <c r="B24837"/>
      <c r="C24837"/>
      <c r="J24837"/>
      <c r="K24837"/>
      <c r="L24837"/>
    </row>
    <row r="24838" spans="2:12" x14ac:dyDescent="0.2">
      <c r="B24838"/>
      <c r="C24838"/>
      <c r="J24838"/>
      <c r="K24838"/>
      <c r="L24838"/>
    </row>
    <row r="24839" spans="2:12" x14ac:dyDescent="0.2">
      <c r="B24839"/>
      <c r="C24839"/>
      <c r="J24839"/>
      <c r="K24839"/>
      <c r="L24839"/>
    </row>
    <row r="24840" spans="2:12" x14ac:dyDescent="0.2">
      <c r="B24840"/>
      <c r="C24840"/>
      <c r="J24840"/>
      <c r="K24840"/>
      <c r="L24840"/>
    </row>
    <row r="24841" spans="2:12" x14ac:dyDescent="0.2">
      <c r="B24841"/>
      <c r="C24841"/>
      <c r="J24841"/>
      <c r="K24841"/>
      <c r="L24841"/>
    </row>
    <row r="24842" spans="2:12" x14ac:dyDescent="0.2">
      <c r="B24842"/>
      <c r="C24842"/>
      <c r="J24842"/>
      <c r="K24842"/>
      <c r="L24842"/>
    </row>
    <row r="24843" spans="2:12" x14ac:dyDescent="0.2">
      <c r="B24843"/>
      <c r="C24843"/>
      <c r="J24843"/>
      <c r="K24843"/>
      <c r="L24843"/>
    </row>
    <row r="24844" spans="2:12" x14ac:dyDescent="0.2">
      <c r="B24844"/>
      <c r="C24844"/>
      <c r="J24844"/>
      <c r="K24844"/>
      <c r="L24844"/>
    </row>
    <row r="24845" spans="2:12" x14ac:dyDescent="0.2">
      <c r="B24845"/>
      <c r="C24845"/>
      <c r="J24845"/>
      <c r="K24845"/>
      <c r="L24845"/>
    </row>
    <row r="24846" spans="2:12" x14ac:dyDescent="0.2">
      <c r="B24846"/>
      <c r="C24846"/>
      <c r="J24846"/>
      <c r="K24846"/>
      <c r="L24846"/>
    </row>
    <row r="24847" spans="2:12" x14ac:dyDescent="0.2">
      <c r="B24847"/>
      <c r="C24847"/>
      <c r="J24847"/>
      <c r="K24847"/>
      <c r="L24847"/>
    </row>
    <row r="24848" spans="2:12" x14ac:dyDescent="0.2">
      <c r="B24848"/>
      <c r="C24848"/>
      <c r="J24848"/>
      <c r="K24848"/>
      <c r="L24848"/>
    </row>
    <row r="24849" spans="2:12" x14ac:dyDescent="0.2">
      <c r="B24849"/>
      <c r="C24849"/>
      <c r="J24849"/>
      <c r="K24849"/>
      <c r="L24849"/>
    </row>
    <row r="24850" spans="2:12" x14ac:dyDescent="0.2">
      <c r="B24850"/>
      <c r="C24850"/>
      <c r="J24850"/>
      <c r="K24850"/>
      <c r="L24850"/>
    </row>
    <row r="24851" spans="2:12" x14ac:dyDescent="0.2">
      <c r="B24851"/>
      <c r="C24851"/>
      <c r="J24851"/>
      <c r="K24851"/>
      <c r="L24851"/>
    </row>
    <row r="24852" spans="2:12" x14ac:dyDescent="0.2">
      <c r="B24852"/>
      <c r="C24852"/>
      <c r="J24852"/>
      <c r="K24852"/>
      <c r="L24852"/>
    </row>
    <row r="24853" spans="2:12" x14ac:dyDescent="0.2">
      <c r="B24853"/>
      <c r="C24853"/>
      <c r="J24853"/>
      <c r="K24853"/>
      <c r="L24853"/>
    </row>
    <row r="24854" spans="2:12" x14ac:dyDescent="0.2">
      <c r="B24854"/>
      <c r="C24854"/>
      <c r="J24854"/>
      <c r="K24854"/>
      <c r="L24854"/>
    </row>
    <row r="24855" spans="2:12" x14ac:dyDescent="0.2">
      <c r="B24855"/>
      <c r="C24855"/>
      <c r="J24855"/>
      <c r="K24855"/>
      <c r="L24855"/>
    </row>
    <row r="24856" spans="2:12" x14ac:dyDescent="0.2">
      <c r="B24856"/>
      <c r="C24856"/>
      <c r="J24856"/>
      <c r="K24856"/>
      <c r="L24856"/>
    </row>
    <row r="24857" spans="2:12" x14ac:dyDescent="0.2">
      <c r="B24857"/>
      <c r="C24857"/>
      <c r="J24857"/>
      <c r="K24857"/>
      <c r="L24857"/>
    </row>
    <row r="24858" spans="2:12" x14ac:dyDescent="0.2">
      <c r="B24858"/>
      <c r="C24858"/>
      <c r="J24858"/>
      <c r="K24858"/>
      <c r="L24858"/>
    </row>
    <row r="24859" spans="2:12" x14ac:dyDescent="0.2">
      <c r="B24859"/>
      <c r="C24859"/>
      <c r="J24859"/>
      <c r="K24859"/>
      <c r="L24859"/>
    </row>
    <row r="24860" spans="2:12" x14ac:dyDescent="0.2">
      <c r="B24860"/>
      <c r="C24860"/>
      <c r="J24860"/>
      <c r="K24860"/>
      <c r="L24860"/>
    </row>
    <row r="24861" spans="2:12" x14ac:dyDescent="0.2">
      <c r="B24861"/>
      <c r="C24861"/>
      <c r="J24861"/>
      <c r="K24861"/>
      <c r="L24861"/>
    </row>
    <row r="24862" spans="2:12" x14ac:dyDescent="0.2">
      <c r="B24862"/>
      <c r="C24862"/>
      <c r="J24862"/>
      <c r="K24862"/>
      <c r="L24862"/>
    </row>
    <row r="24863" spans="2:12" x14ac:dyDescent="0.2">
      <c r="B24863"/>
      <c r="C24863"/>
      <c r="J24863"/>
      <c r="K24863"/>
      <c r="L24863"/>
    </row>
    <row r="24864" spans="2:12" x14ac:dyDescent="0.2">
      <c r="B24864"/>
      <c r="C24864"/>
      <c r="J24864"/>
      <c r="K24864"/>
      <c r="L24864"/>
    </row>
    <row r="24865" spans="2:12" x14ac:dyDescent="0.2">
      <c r="B24865"/>
      <c r="C24865"/>
      <c r="J24865"/>
      <c r="K24865"/>
      <c r="L24865"/>
    </row>
    <row r="24866" spans="2:12" x14ac:dyDescent="0.2">
      <c r="B24866"/>
      <c r="C24866"/>
      <c r="J24866"/>
      <c r="K24866"/>
      <c r="L24866"/>
    </row>
    <row r="24867" spans="2:12" x14ac:dyDescent="0.2">
      <c r="B24867"/>
      <c r="C24867"/>
      <c r="J24867"/>
      <c r="K24867"/>
      <c r="L24867"/>
    </row>
    <row r="24868" spans="2:12" x14ac:dyDescent="0.2">
      <c r="B24868"/>
      <c r="C24868"/>
      <c r="J24868"/>
      <c r="K24868"/>
      <c r="L24868"/>
    </row>
    <row r="24869" spans="2:12" x14ac:dyDescent="0.2">
      <c r="B24869"/>
      <c r="C24869"/>
      <c r="J24869"/>
      <c r="K24869"/>
      <c r="L24869"/>
    </row>
    <row r="24870" spans="2:12" x14ac:dyDescent="0.2">
      <c r="B24870"/>
      <c r="C24870"/>
      <c r="J24870"/>
      <c r="K24870"/>
      <c r="L24870"/>
    </row>
    <row r="24871" spans="2:12" x14ac:dyDescent="0.2">
      <c r="B24871"/>
      <c r="C24871"/>
      <c r="J24871"/>
      <c r="K24871"/>
      <c r="L24871"/>
    </row>
    <row r="24872" spans="2:12" x14ac:dyDescent="0.2">
      <c r="B24872"/>
      <c r="C24872"/>
      <c r="J24872"/>
      <c r="K24872"/>
      <c r="L24872"/>
    </row>
    <row r="24873" spans="2:12" x14ac:dyDescent="0.2">
      <c r="B24873"/>
      <c r="C24873"/>
      <c r="J24873"/>
      <c r="K24873"/>
      <c r="L24873"/>
    </row>
    <row r="24874" spans="2:12" x14ac:dyDescent="0.2">
      <c r="B24874"/>
      <c r="C24874"/>
      <c r="J24874"/>
      <c r="K24874"/>
      <c r="L24874"/>
    </row>
    <row r="24875" spans="2:12" x14ac:dyDescent="0.2">
      <c r="B24875"/>
      <c r="C24875"/>
      <c r="J24875"/>
      <c r="K24875"/>
      <c r="L24875"/>
    </row>
    <row r="24876" spans="2:12" x14ac:dyDescent="0.2">
      <c r="B24876"/>
      <c r="C24876"/>
      <c r="J24876"/>
      <c r="K24876"/>
      <c r="L24876"/>
    </row>
    <row r="24877" spans="2:12" x14ac:dyDescent="0.2">
      <c r="B24877"/>
      <c r="C24877"/>
      <c r="J24877"/>
      <c r="K24877"/>
      <c r="L24877"/>
    </row>
    <row r="24878" spans="2:12" x14ac:dyDescent="0.2">
      <c r="B24878"/>
      <c r="C24878"/>
      <c r="J24878"/>
      <c r="K24878"/>
      <c r="L24878"/>
    </row>
    <row r="24879" spans="2:12" x14ac:dyDescent="0.2">
      <c r="B24879"/>
      <c r="C24879"/>
      <c r="J24879"/>
      <c r="K24879"/>
      <c r="L24879"/>
    </row>
    <row r="24880" spans="2:12" x14ac:dyDescent="0.2">
      <c r="B24880"/>
      <c r="C24880"/>
      <c r="J24880"/>
      <c r="K24880"/>
      <c r="L24880"/>
    </row>
    <row r="24881" spans="2:12" x14ac:dyDescent="0.2">
      <c r="B24881"/>
      <c r="C24881"/>
      <c r="J24881"/>
      <c r="K24881"/>
      <c r="L24881"/>
    </row>
    <row r="24882" spans="2:12" x14ac:dyDescent="0.2">
      <c r="B24882"/>
      <c r="C24882"/>
      <c r="J24882"/>
      <c r="K24882"/>
      <c r="L24882"/>
    </row>
    <row r="24883" spans="2:12" x14ac:dyDescent="0.2">
      <c r="B24883"/>
      <c r="C24883"/>
      <c r="J24883"/>
      <c r="K24883"/>
      <c r="L24883"/>
    </row>
    <row r="24884" spans="2:12" x14ac:dyDescent="0.2">
      <c r="B24884"/>
      <c r="C24884"/>
      <c r="J24884"/>
      <c r="K24884"/>
      <c r="L24884"/>
    </row>
    <row r="24885" spans="2:12" x14ac:dyDescent="0.2">
      <c r="B24885"/>
      <c r="C24885"/>
      <c r="J24885"/>
      <c r="K24885"/>
      <c r="L24885"/>
    </row>
    <row r="24886" spans="2:12" x14ac:dyDescent="0.2">
      <c r="B24886"/>
      <c r="C24886"/>
      <c r="J24886"/>
      <c r="K24886"/>
      <c r="L24886"/>
    </row>
    <row r="24887" spans="2:12" x14ac:dyDescent="0.2">
      <c r="B24887"/>
      <c r="C24887"/>
      <c r="J24887"/>
      <c r="K24887"/>
      <c r="L24887"/>
    </row>
    <row r="24888" spans="2:12" x14ac:dyDescent="0.2">
      <c r="B24888"/>
      <c r="C24888"/>
      <c r="J24888"/>
      <c r="K24888"/>
      <c r="L24888"/>
    </row>
    <row r="24889" spans="2:12" x14ac:dyDescent="0.2">
      <c r="B24889"/>
      <c r="C24889"/>
      <c r="J24889"/>
      <c r="K24889"/>
      <c r="L24889"/>
    </row>
    <row r="24890" spans="2:12" x14ac:dyDescent="0.2">
      <c r="B24890"/>
      <c r="C24890"/>
      <c r="J24890"/>
      <c r="K24890"/>
      <c r="L24890"/>
    </row>
    <row r="24891" spans="2:12" x14ac:dyDescent="0.2">
      <c r="B24891"/>
      <c r="C24891"/>
      <c r="J24891"/>
      <c r="K24891"/>
      <c r="L24891"/>
    </row>
    <row r="24892" spans="2:12" x14ac:dyDescent="0.2">
      <c r="B24892"/>
      <c r="C24892"/>
      <c r="J24892"/>
      <c r="K24892"/>
      <c r="L24892"/>
    </row>
    <row r="24893" spans="2:12" x14ac:dyDescent="0.2">
      <c r="B24893"/>
      <c r="C24893"/>
      <c r="J24893"/>
      <c r="K24893"/>
      <c r="L24893"/>
    </row>
    <row r="24894" spans="2:12" x14ac:dyDescent="0.2">
      <c r="B24894"/>
      <c r="C24894"/>
      <c r="J24894"/>
      <c r="K24894"/>
      <c r="L24894"/>
    </row>
    <row r="24895" spans="2:12" x14ac:dyDescent="0.2">
      <c r="B24895"/>
      <c r="C24895"/>
      <c r="J24895"/>
      <c r="K24895"/>
      <c r="L24895"/>
    </row>
    <row r="24896" spans="2:12" x14ac:dyDescent="0.2">
      <c r="B24896"/>
      <c r="C24896"/>
      <c r="J24896"/>
      <c r="K24896"/>
      <c r="L24896"/>
    </row>
    <row r="24897" spans="2:12" x14ac:dyDescent="0.2">
      <c r="B24897"/>
      <c r="C24897"/>
      <c r="J24897"/>
      <c r="K24897"/>
      <c r="L24897"/>
    </row>
    <row r="24898" spans="2:12" x14ac:dyDescent="0.2">
      <c r="B24898"/>
      <c r="C24898"/>
      <c r="J24898"/>
      <c r="K24898"/>
      <c r="L24898"/>
    </row>
    <row r="24899" spans="2:12" x14ac:dyDescent="0.2">
      <c r="B24899"/>
      <c r="C24899"/>
      <c r="J24899"/>
      <c r="K24899"/>
      <c r="L24899"/>
    </row>
    <row r="24900" spans="2:12" x14ac:dyDescent="0.2">
      <c r="B24900"/>
      <c r="C24900"/>
      <c r="J24900"/>
      <c r="K24900"/>
      <c r="L24900"/>
    </row>
    <row r="24901" spans="2:12" x14ac:dyDescent="0.2">
      <c r="B24901"/>
      <c r="C24901"/>
      <c r="J24901"/>
      <c r="K24901"/>
      <c r="L24901"/>
    </row>
    <row r="24902" spans="2:12" x14ac:dyDescent="0.2">
      <c r="B24902"/>
      <c r="C24902"/>
      <c r="J24902"/>
      <c r="K24902"/>
      <c r="L24902"/>
    </row>
    <row r="24903" spans="2:12" x14ac:dyDescent="0.2">
      <c r="B24903"/>
      <c r="C24903"/>
      <c r="J24903"/>
      <c r="K24903"/>
      <c r="L24903"/>
    </row>
    <row r="24904" spans="2:12" x14ac:dyDescent="0.2">
      <c r="B24904"/>
      <c r="C24904"/>
      <c r="J24904"/>
      <c r="K24904"/>
      <c r="L24904"/>
    </row>
    <row r="24905" spans="2:12" x14ac:dyDescent="0.2">
      <c r="B24905"/>
      <c r="C24905"/>
      <c r="J24905"/>
      <c r="K24905"/>
      <c r="L24905"/>
    </row>
    <row r="24906" spans="2:12" x14ac:dyDescent="0.2">
      <c r="B24906"/>
      <c r="C24906"/>
      <c r="J24906"/>
      <c r="K24906"/>
      <c r="L24906"/>
    </row>
    <row r="24907" spans="2:12" x14ac:dyDescent="0.2">
      <c r="B24907"/>
      <c r="C24907"/>
      <c r="J24907"/>
      <c r="K24907"/>
      <c r="L24907"/>
    </row>
    <row r="24908" spans="2:12" x14ac:dyDescent="0.2">
      <c r="B24908"/>
      <c r="C24908"/>
      <c r="J24908"/>
      <c r="K24908"/>
      <c r="L24908"/>
    </row>
    <row r="24909" spans="2:12" x14ac:dyDescent="0.2">
      <c r="B24909"/>
      <c r="C24909"/>
      <c r="J24909"/>
      <c r="K24909"/>
      <c r="L24909"/>
    </row>
    <row r="24910" spans="2:12" x14ac:dyDescent="0.2">
      <c r="B24910"/>
      <c r="C24910"/>
      <c r="J24910"/>
      <c r="K24910"/>
      <c r="L24910"/>
    </row>
    <row r="24911" spans="2:12" x14ac:dyDescent="0.2">
      <c r="B24911"/>
      <c r="C24911"/>
      <c r="J24911"/>
      <c r="K24911"/>
      <c r="L24911"/>
    </row>
    <row r="24912" spans="2:12" x14ac:dyDescent="0.2">
      <c r="B24912"/>
      <c r="C24912"/>
      <c r="J24912"/>
      <c r="K24912"/>
      <c r="L24912"/>
    </row>
    <row r="24913" spans="2:12" x14ac:dyDescent="0.2">
      <c r="B24913"/>
      <c r="C24913"/>
      <c r="J24913"/>
      <c r="K24913"/>
      <c r="L24913"/>
    </row>
    <row r="24914" spans="2:12" x14ac:dyDescent="0.2">
      <c r="B24914"/>
      <c r="C24914"/>
      <c r="J24914"/>
      <c r="K24914"/>
      <c r="L24914"/>
    </row>
    <row r="24915" spans="2:12" x14ac:dyDescent="0.2">
      <c r="B24915"/>
      <c r="C24915"/>
      <c r="J24915"/>
      <c r="K24915"/>
      <c r="L24915"/>
    </row>
    <row r="24916" spans="2:12" x14ac:dyDescent="0.2">
      <c r="B24916"/>
      <c r="C24916"/>
      <c r="J24916"/>
      <c r="K24916"/>
      <c r="L24916"/>
    </row>
    <row r="24917" spans="2:12" x14ac:dyDescent="0.2">
      <c r="B24917"/>
      <c r="C24917"/>
      <c r="J24917"/>
      <c r="K24917"/>
      <c r="L24917"/>
    </row>
    <row r="24918" spans="2:12" x14ac:dyDescent="0.2">
      <c r="B24918"/>
      <c r="C24918"/>
      <c r="J24918"/>
      <c r="K24918"/>
      <c r="L24918"/>
    </row>
    <row r="24919" spans="2:12" x14ac:dyDescent="0.2">
      <c r="B24919"/>
      <c r="C24919"/>
      <c r="J24919"/>
      <c r="K24919"/>
      <c r="L24919"/>
    </row>
    <row r="24920" spans="2:12" x14ac:dyDescent="0.2">
      <c r="B24920"/>
      <c r="C24920"/>
      <c r="J24920"/>
      <c r="K24920"/>
      <c r="L24920"/>
    </row>
    <row r="24921" spans="2:12" x14ac:dyDescent="0.2">
      <c r="B24921"/>
      <c r="C24921"/>
      <c r="J24921"/>
      <c r="K24921"/>
      <c r="L24921"/>
    </row>
    <row r="24922" spans="2:12" x14ac:dyDescent="0.2">
      <c r="B24922"/>
      <c r="C24922"/>
      <c r="J24922"/>
      <c r="K24922"/>
      <c r="L24922"/>
    </row>
    <row r="24923" spans="2:12" x14ac:dyDescent="0.2">
      <c r="B24923"/>
      <c r="C24923"/>
      <c r="J24923"/>
      <c r="K24923"/>
      <c r="L24923"/>
    </row>
    <row r="24924" spans="2:12" x14ac:dyDescent="0.2">
      <c r="B24924"/>
      <c r="C24924"/>
      <c r="J24924"/>
      <c r="K24924"/>
      <c r="L24924"/>
    </row>
    <row r="24925" spans="2:12" x14ac:dyDescent="0.2">
      <c r="B24925"/>
      <c r="C24925"/>
      <c r="J24925"/>
      <c r="K24925"/>
      <c r="L24925"/>
    </row>
    <row r="24926" spans="2:12" x14ac:dyDescent="0.2">
      <c r="B24926"/>
      <c r="C24926"/>
      <c r="J24926"/>
      <c r="K24926"/>
      <c r="L24926"/>
    </row>
    <row r="24927" spans="2:12" x14ac:dyDescent="0.2">
      <c r="B24927"/>
      <c r="C24927"/>
      <c r="J24927"/>
      <c r="K24927"/>
      <c r="L24927"/>
    </row>
    <row r="24928" spans="2:12" x14ac:dyDescent="0.2">
      <c r="B24928"/>
      <c r="C24928"/>
      <c r="J24928"/>
      <c r="K24928"/>
      <c r="L24928"/>
    </row>
    <row r="24929" spans="2:12" x14ac:dyDescent="0.2">
      <c r="B24929"/>
      <c r="C24929"/>
      <c r="J24929"/>
      <c r="K24929"/>
      <c r="L24929"/>
    </row>
    <row r="24930" spans="2:12" x14ac:dyDescent="0.2">
      <c r="B24930"/>
      <c r="C24930"/>
      <c r="J24930"/>
      <c r="K24930"/>
      <c r="L24930"/>
    </row>
    <row r="24931" spans="2:12" x14ac:dyDescent="0.2">
      <c r="B24931"/>
      <c r="C24931"/>
      <c r="J24931"/>
      <c r="K24931"/>
      <c r="L24931"/>
    </row>
    <row r="24932" spans="2:12" x14ac:dyDescent="0.2">
      <c r="B24932"/>
      <c r="C24932"/>
      <c r="J24932"/>
      <c r="K24932"/>
      <c r="L24932"/>
    </row>
    <row r="24933" spans="2:12" x14ac:dyDescent="0.2">
      <c r="B24933"/>
      <c r="C24933"/>
      <c r="J24933"/>
      <c r="K24933"/>
      <c r="L24933"/>
    </row>
    <row r="24934" spans="2:12" x14ac:dyDescent="0.2">
      <c r="B24934"/>
      <c r="C24934"/>
      <c r="J24934"/>
      <c r="K24934"/>
      <c r="L24934"/>
    </row>
    <row r="24935" spans="2:12" x14ac:dyDescent="0.2">
      <c r="B24935"/>
      <c r="C24935"/>
      <c r="J24935"/>
      <c r="K24935"/>
      <c r="L24935"/>
    </row>
    <row r="24936" spans="2:12" x14ac:dyDescent="0.2">
      <c r="B24936"/>
      <c r="C24936"/>
      <c r="J24936"/>
      <c r="K24936"/>
      <c r="L24936"/>
    </row>
    <row r="24937" spans="2:12" x14ac:dyDescent="0.2">
      <c r="B24937"/>
      <c r="C24937"/>
      <c r="J24937"/>
      <c r="K24937"/>
      <c r="L24937"/>
    </row>
    <row r="24938" spans="2:12" x14ac:dyDescent="0.2">
      <c r="B24938"/>
      <c r="C24938"/>
      <c r="J24938"/>
      <c r="K24938"/>
      <c r="L24938"/>
    </row>
    <row r="24939" spans="2:12" x14ac:dyDescent="0.2">
      <c r="B24939"/>
      <c r="C24939"/>
      <c r="J24939"/>
      <c r="K24939"/>
      <c r="L24939"/>
    </row>
    <row r="24940" spans="2:12" x14ac:dyDescent="0.2">
      <c r="B24940"/>
      <c r="C24940"/>
      <c r="J24940"/>
      <c r="K24940"/>
      <c r="L24940"/>
    </row>
    <row r="24941" spans="2:12" x14ac:dyDescent="0.2">
      <c r="B24941"/>
      <c r="C24941"/>
      <c r="J24941"/>
      <c r="K24941"/>
      <c r="L24941"/>
    </row>
    <row r="24942" spans="2:12" x14ac:dyDescent="0.2">
      <c r="B24942"/>
      <c r="C24942"/>
      <c r="J24942"/>
      <c r="K24942"/>
      <c r="L24942"/>
    </row>
    <row r="24943" spans="2:12" x14ac:dyDescent="0.2">
      <c r="B24943"/>
      <c r="C24943"/>
      <c r="J24943"/>
      <c r="K24943"/>
      <c r="L24943"/>
    </row>
    <row r="24944" spans="2:12" x14ac:dyDescent="0.2">
      <c r="B24944"/>
      <c r="C24944"/>
      <c r="J24944"/>
      <c r="K24944"/>
      <c r="L24944"/>
    </row>
    <row r="24945" spans="2:12" x14ac:dyDescent="0.2">
      <c r="B24945"/>
      <c r="C24945"/>
      <c r="J24945"/>
      <c r="K24945"/>
      <c r="L24945"/>
    </row>
    <row r="24946" spans="2:12" x14ac:dyDescent="0.2">
      <c r="B24946"/>
      <c r="C24946"/>
      <c r="J24946"/>
      <c r="K24946"/>
      <c r="L24946"/>
    </row>
    <row r="24947" spans="2:12" x14ac:dyDescent="0.2">
      <c r="B24947"/>
      <c r="C24947"/>
      <c r="J24947"/>
      <c r="K24947"/>
      <c r="L24947"/>
    </row>
    <row r="24948" spans="2:12" x14ac:dyDescent="0.2">
      <c r="B24948"/>
      <c r="C24948"/>
      <c r="J24948"/>
      <c r="K24948"/>
      <c r="L24948"/>
    </row>
    <row r="24949" spans="2:12" x14ac:dyDescent="0.2">
      <c r="B24949"/>
      <c r="C24949"/>
      <c r="J24949"/>
      <c r="K24949"/>
      <c r="L24949"/>
    </row>
    <row r="24950" spans="2:12" x14ac:dyDescent="0.2">
      <c r="B24950"/>
      <c r="C24950"/>
      <c r="J24950"/>
      <c r="K24950"/>
      <c r="L24950"/>
    </row>
    <row r="24951" spans="2:12" x14ac:dyDescent="0.2">
      <c r="B24951"/>
      <c r="C24951"/>
      <c r="J24951"/>
      <c r="K24951"/>
      <c r="L24951"/>
    </row>
    <row r="24952" spans="2:12" x14ac:dyDescent="0.2">
      <c r="B24952"/>
      <c r="C24952"/>
      <c r="J24952"/>
      <c r="K24952"/>
      <c r="L24952"/>
    </row>
    <row r="24953" spans="2:12" x14ac:dyDescent="0.2">
      <c r="B24953"/>
      <c r="C24953"/>
      <c r="J24953"/>
      <c r="K24953"/>
      <c r="L24953"/>
    </row>
    <row r="24954" spans="2:12" x14ac:dyDescent="0.2">
      <c r="B24954"/>
      <c r="C24954"/>
      <c r="J24954"/>
      <c r="K24954"/>
      <c r="L24954"/>
    </row>
    <row r="24955" spans="2:12" x14ac:dyDescent="0.2">
      <c r="B24955"/>
      <c r="C24955"/>
      <c r="J24955"/>
      <c r="K24955"/>
      <c r="L24955"/>
    </row>
    <row r="24956" spans="2:12" x14ac:dyDescent="0.2">
      <c r="B24956"/>
      <c r="C24956"/>
      <c r="J24956"/>
      <c r="K24956"/>
      <c r="L24956"/>
    </row>
    <row r="24957" spans="2:12" x14ac:dyDescent="0.2">
      <c r="B24957"/>
      <c r="C24957"/>
      <c r="J24957"/>
      <c r="K24957"/>
      <c r="L24957"/>
    </row>
    <row r="24958" spans="2:12" x14ac:dyDescent="0.2">
      <c r="B24958"/>
      <c r="C24958"/>
      <c r="J24958"/>
      <c r="K24958"/>
      <c r="L24958"/>
    </row>
    <row r="24959" spans="2:12" x14ac:dyDescent="0.2">
      <c r="B24959"/>
      <c r="C24959"/>
      <c r="J24959"/>
      <c r="K24959"/>
      <c r="L24959"/>
    </row>
    <row r="24960" spans="2:12" x14ac:dyDescent="0.2">
      <c r="B24960"/>
      <c r="C24960"/>
      <c r="J24960"/>
      <c r="K24960"/>
      <c r="L24960"/>
    </row>
    <row r="24961" spans="2:12" x14ac:dyDescent="0.2">
      <c r="B24961"/>
      <c r="C24961"/>
      <c r="J24961"/>
      <c r="K24961"/>
      <c r="L24961"/>
    </row>
    <row r="24962" spans="2:12" x14ac:dyDescent="0.2">
      <c r="B24962"/>
      <c r="C24962"/>
      <c r="J24962"/>
      <c r="K24962"/>
      <c r="L24962"/>
    </row>
    <row r="24963" spans="2:12" x14ac:dyDescent="0.2">
      <c r="B24963"/>
      <c r="C24963"/>
      <c r="J24963"/>
      <c r="K24963"/>
      <c r="L24963"/>
    </row>
    <row r="24964" spans="2:12" x14ac:dyDescent="0.2">
      <c r="B24964"/>
      <c r="C24964"/>
      <c r="J24964"/>
      <c r="K24964"/>
      <c r="L24964"/>
    </row>
    <row r="24965" spans="2:12" x14ac:dyDescent="0.2">
      <c r="B24965"/>
      <c r="C24965"/>
      <c r="J24965"/>
      <c r="K24965"/>
      <c r="L24965"/>
    </row>
    <row r="24966" spans="2:12" x14ac:dyDescent="0.2">
      <c r="B24966"/>
      <c r="C24966"/>
      <c r="J24966"/>
      <c r="K24966"/>
      <c r="L24966"/>
    </row>
    <row r="24967" spans="2:12" x14ac:dyDescent="0.2">
      <c r="B24967"/>
      <c r="C24967"/>
      <c r="J24967"/>
      <c r="K24967"/>
      <c r="L24967"/>
    </row>
    <row r="24968" spans="2:12" x14ac:dyDescent="0.2">
      <c r="B24968"/>
      <c r="C24968"/>
      <c r="J24968"/>
      <c r="K24968"/>
      <c r="L24968"/>
    </row>
    <row r="24969" spans="2:12" x14ac:dyDescent="0.2">
      <c r="B24969"/>
      <c r="C24969"/>
      <c r="J24969"/>
      <c r="K24969"/>
      <c r="L24969"/>
    </row>
    <row r="24970" spans="2:12" x14ac:dyDescent="0.2">
      <c r="B24970"/>
      <c r="C24970"/>
      <c r="J24970"/>
      <c r="K24970"/>
      <c r="L24970"/>
    </row>
    <row r="24971" spans="2:12" x14ac:dyDescent="0.2">
      <c r="B24971"/>
      <c r="C24971"/>
      <c r="J24971"/>
      <c r="K24971"/>
      <c r="L24971"/>
    </row>
    <row r="24972" spans="2:12" x14ac:dyDescent="0.2">
      <c r="B24972"/>
      <c r="C24972"/>
      <c r="J24972"/>
      <c r="K24972"/>
      <c r="L24972"/>
    </row>
    <row r="24973" spans="2:12" x14ac:dyDescent="0.2">
      <c r="B24973"/>
      <c r="C24973"/>
      <c r="J24973"/>
      <c r="K24973"/>
      <c r="L24973"/>
    </row>
    <row r="24974" spans="2:12" x14ac:dyDescent="0.2">
      <c r="B24974"/>
      <c r="C24974"/>
      <c r="J24974"/>
      <c r="K24974"/>
      <c r="L24974"/>
    </row>
    <row r="24975" spans="2:12" x14ac:dyDescent="0.2">
      <c r="B24975"/>
      <c r="C24975"/>
      <c r="J24975"/>
      <c r="K24975"/>
      <c r="L24975"/>
    </row>
    <row r="24976" spans="2:12" x14ac:dyDescent="0.2">
      <c r="B24976"/>
      <c r="C24976"/>
      <c r="J24976"/>
      <c r="K24976"/>
      <c r="L24976"/>
    </row>
    <row r="24977" spans="2:12" x14ac:dyDescent="0.2">
      <c r="B24977"/>
      <c r="C24977"/>
      <c r="J24977"/>
      <c r="K24977"/>
      <c r="L24977"/>
    </row>
    <row r="24978" spans="2:12" x14ac:dyDescent="0.2">
      <c r="B24978"/>
      <c r="C24978"/>
      <c r="J24978"/>
      <c r="K24978"/>
      <c r="L24978"/>
    </row>
    <row r="24979" spans="2:12" x14ac:dyDescent="0.2">
      <c r="B24979"/>
      <c r="C24979"/>
      <c r="J24979"/>
      <c r="K24979"/>
      <c r="L24979"/>
    </row>
    <row r="24980" spans="2:12" x14ac:dyDescent="0.2">
      <c r="B24980"/>
      <c r="C24980"/>
      <c r="J24980"/>
      <c r="K24980"/>
      <c r="L24980"/>
    </row>
    <row r="24981" spans="2:12" x14ac:dyDescent="0.2">
      <c r="B24981"/>
      <c r="C24981"/>
      <c r="J24981"/>
      <c r="K24981"/>
      <c r="L24981"/>
    </row>
    <row r="24982" spans="2:12" x14ac:dyDescent="0.2">
      <c r="B24982"/>
      <c r="C24982"/>
      <c r="J24982"/>
      <c r="K24982"/>
      <c r="L24982"/>
    </row>
    <row r="24983" spans="2:12" x14ac:dyDescent="0.2">
      <c r="B24983"/>
      <c r="C24983"/>
      <c r="J24983"/>
      <c r="K24983"/>
      <c r="L24983"/>
    </row>
    <row r="24984" spans="2:12" x14ac:dyDescent="0.2">
      <c r="B24984"/>
      <c r="C24984"/>
      <c r="J24984"/>
      <c r="K24984"/>
      <c r="L24984"/>
    </row>
    <row r="24985" spans="2:12" x14ac:dyDescent="0.2">
      <c r="B24985"/>
      <c r="C24985"/>
      <c r="J24985"/>
      <c r="K24985"/>
      <c r="L24985"/>
    </row>
    <row r="24986" spans="2:12" x14ac:dyDescent="0.2">
      <c r="B24986"/>
      <c r="C24986"/>
      <c r="J24986"/>
      <c r="K24986"/>
      <c r="L24986"/>
    </row>
    <row r="24987" spans="2:12" x14ac:dyDescent="0.2">
      <c r="B24987"/>
      <c r="C24987"/>
      <c r="J24987"/>
      <c r="K24987"/>
      <c r="L24987"/>
    </row>
    <row r="24988" spans="2:12" x14ac:dyDescent="0.2">
      <c r="B24988"/>
      <c r="C24988"/>
      <c r="J24988"/>
      <c r="K24988"/>
      <c r="L24988"/>
    </row>
    <row r="24989" spans="2:12" x14ac:dyDescent="0.2">
      <c r="B24989"/>
      <c r="C24989"/>
      <c r="J24989"/>
      <c r="K24989"/>
      <c r="L24989"/>
    </row>
    <row r="24990" spans="2:12" x14ac:dyDescent="0.2">
      <c r="B24990"/>
      <c r="C24990"/>
      <c r="J24990"/>
      <c r="K24990"/>
      <c r="L24990"/>
    </row>
    <row r="24991" spans="2:12" x14ac:dyDescent="0.2">
      <c r="B24991"/>
      <c r="C24991"/>
      <c r="J24991"/>
      <c r="K24991"/>
      <c r="L24991"/>
    </row>
    <row r="24992" spans="2:12" x14ac:dyDescent="0.2">
      <c r="B24992"/>
      <c r="C24992"/>
      <c r="J24992"/>
      <c r="K24992"/>
      <c r="L24992"/>
    </row>
    <row r="24993" spans="2:12" x14ac:dyDescent="0.2">
      <c r="B24993"/>
      <c r="C24993"/>
      <c r="J24993"/>
      <c r="K24993"/>
      <c r="L24993"/>
    </row>
    <row r="24994" spans="2:12" x14ac:dyDescent="0.2">
      <c r="B24994"/>
      <c r="C24994"/>
      <c r="J24994"/>
      <c r="K24994"/>
      <c r="L24994"/>
    </row>
    <row r="24995" spans="2:12" x14ac:dyDescent="0.2">
      <c r="B24995"/>
      <c r="C24995"/>
      <c r="J24995"/>
      <c r="K24995"/>
      <c r="L24995"/>
    </row>
    <row r="24996" spans="2:12" x14ac:dyDescent="0.2">
      <c r="B24996"/>
      <c r="C24996"/>
      <c r="J24996"/>
      <c r="K24996"/>
      <c r="L24996"/>
    </row>
    <row r="24997" spans="2:12" x14ac:dyDescent="0.2">
      <c r="B24997"/>
      <c r="C24997"/>
      <c r="J24997"/>
      <c r="K24997"/>
      <c r="L24997"/>
    </row>
    <row r="24998" spans="2:12" x14ac:dyDescent="0.2">
      <c r="B24998"/>
      <c r="C24998"/>
      <c r="J24998"/>
      <c r="K24998"/>
      <c r="L24998"/>
    </row>
    <row r="24999" spans="2:12" x14ac:dyDescent="0.2">
      <c r="B24999"/>
      <c r="C24999"/>
      <c r="J24999"/>
      <c r="K24999"/>
      <c r="L24999"/>
    </row>
    <row r="25000" spans="2:12" x14ac:dyDescent="0.2">
      <c r="B25000"/>
      <c r="C25000"/>
      <c r="J25000"/>
      <c r="K25000"/>
      <c r="L25000"/>
    </row>
    <row r="25001" spans="2:12" x14ac:dyDescent="0.2">
      <c r="B25001"/>
      <c r="C25001"/>
      <c r="J25001"/>
      <c r="K25001"/>
      <c r="L25001"/>
    </row>
    <row r="25002" spans="2:12" x14ac:dyDescent="0.2">
      <c r="B25002"/>
      <c r="C25002"/>
      <c r="J25002"/>
      <c r="K25002"/>
      <c r="L25002"/>
    </row>
    <row r="25003" spans="2:12" x14ac:dyDescent="0.2">
      <c r="B25003"/>
      <c r="C25003"/>
      <c r="J25003"/>
      <c r="K25003"/>
      <c r="L25003"/>
    </row>
    <row r="25004" spans="2:12" x14ac:dyDescent="0.2">
      <c r="B25004"/>
      <c r="C25004"/>
      <c r="J25004"/>
      <c r="K25004"/>
      <c r="L25004"/>
    </row>
    <row r="25005" spans="2:12" x14ac:dyDescent="0.2">
      <c r="B25005"/>
      <c r="C25005"/>
      <c r="J25005"/>
      <c r="K25005"/>
      <c r="L25005"/>
    </row>
    <row r="25006" spans="2:12" x14ac:dyDescent="0.2">
      <c r="B25006"/>
      <c r="C25006"/>
      <c r="J25006"/>
      <c r="K25006"/>
      <c r="L25006"/>
    </row>
    <row r="25007" spans="2:12" x14ac:dyDescent="0.2">
      <c r="B25007"/>
      <c r="C25007"/>
      <c r="J25007"/>
      <c r="K25007"/>
      <c r="L25007"/>
    </row>
    <row r="25008" spans="2:12" x14ac:dyDescent="0.2">
      <c r="B25008"/>
      <c r="C25008"/>
      <c r="J25008"/>
      <c r="K25008"/>
      <c r="L25008"/>
    </row>
    <row r="25009" spans="2:12" x14ac:dyDescent="0.2">
      <c r="B25009"/>
      <c r="C25009"/>
      <c r="J25009"/>
      <c r="K25009"/>
      <c r="L25009"/>
    </row>
    <row r="25010" spans="2:12" x14ac:dyDescent="0.2">
      <c r="B25010"/>
      <c r="C25010"/>
      <c r="J25010"/>
      <c r="K25010"/>
      <c r="L25010"/>
    </row>
    <row r="25011" spans="2:12" x14ac:dyDescent="0.2">
      <c r="B25011"/>
      <c r="C25011"/>
      <c r="J25011"/>
      <c r="K25011"/>
      <c r="L25011"/>
    </row>
    <row r="25012" spans="2:12" x14ac:dyDescent="0.2">
      <c r="B25012"/>
      <c r="C25012"/>
      <c r="J25012"/>
      <c r="K25012"/>
      <c r="L25012"/>
    </row>
    <row r="25013" spans="2:12" x14ac:dyDescent="0.2">
      <c r="B25013"/>
      <c r="C25013"/>
      <c r="J25013"/>
      <c r="K25013"/>
      <c r="L25013"/>
    </row>
    <row r="25014" spans="2:12" x14ac:dyDescent="0.2">
      <c r="B25014"/>
      <c r="C25014"/>
      <c r="J25014"/>
      <c r="K25014"/>
      <c r="L25014"/>
    </row>
    <row r="25015" spans="2:12" x14ac:dyDescent="0.2">
      <c r="B25015"/>
      <c r="C25015"/>
      <c r="J25015"/>
      <c r="K25015"/>
      <c r="L25015"/>
    </row>
    <row r="25016" spans="2:12" x14ac:dyDescent="0.2">
      <c r="B25016"/>
      <c r="C25016"/>
      <c r="J25016"/>
      <c r="K25016"/>
      <c r="L25016"/>
    </row>
    <row r="25017" spans="2:12" x14ac:dyDescent="0.2">
      <c r="B25017"/>
      <c r="C25017"/>
      <c r="J25017"/>
      <c r="K25017"/>
      <c r="L25017"/>
    </row>
    <row r="25018" spans="2:12" x14ac:dyDescent="0.2">
      <c r="B25018"/>
      <c r="C25018"/>
      <c r="J25018"/>
      <c r="K25018"/>
      <c r="L25018"/>
    </row>
    <row r="25019" spans="2:12" x14ac:dyDescent="0.2">
      <c r="B25019"/>
      <c r="C25019"/>
      <c r="J25019"/>
      <c r="K25019"/>
      <c r="L25019"/>
    </row>
    <row r="25020" spans="2:12" x14ac:dyDescent="0.2">
      <c r="B25020"/>
      <c r="C25020"/>
      <c r="J25020"/>
      <c r="K25020"/>
      <c r="L25020"/>
    </row>
    <row r="25021" spans="2:12" x14ac:dyDescent="0.2">
      <c r="B25021"/>
      <c r="C25021"/>
      <c r="J25021"/>
      <c r="K25021"/>
      <c r="L25021"/>
    </row>
    <row r="25022" spans="2:12" x14ac:dyDescent="0.2">
      <c r="B25022"/>
      <c r="C25022"/>
      <c r="J25022"/>
      <c r="K25022"/>
      <c r="L25022"/>
    </row>
    <row r="25023" spans="2:12" x14ac:dyDescent="0.2">
      <c r="B25023"/>
      <c r="C25023"/>
      <c r="J25023"/>
      <c r="K25023"/>
      <c r="L25023"/>
    </row>
    <row r="25024" spans="2:12" x14ac:dyDescent="0.2">
      <c r="B25024"/>
      <c r="C25024"/>
      <c r="J25024"/>
      <c r="K25024"/>
      <c r="L25024"/>
    </row>
    <row r="25025" spans="2:12" x14ac:dyDescent="0.2">
      <c r="B25025"/>
      <c r="C25025"/>
      <c r="J25025"/>
      <c r="K25025"/>
      <c r="L25025"/>
    </row>
    <row r="25026" spans="2:12" x14ac:dyDescent="0.2">
      <c r="B25026"/>
      <c r="C25026"/>
      <c r="J25026"/>
      <c r="K25026"/>
      <c r="L25026"/>
    </row>
    <row r="25027" spans="2:12" x14ac:dyDescent="0.2">
      <c r="B25027"/>
      <c r="C25027"/>
      <c r="J25027"/>
      <c r="K25027"/>
      <c r="L25027"/>
    </row>
    <row r="25028" spans="2:12" x14ac:dyDescent="0.2">
      <c r="B25028"/>
      <c r="C25028"/>
      <c r="J25028"/>
      <c r="K25028"/>
      <c r="L25028"/>
    </row>
    <row r="25029" spans="2:12" x14ac:dyDescent="0.2">
      <c r="B25029"/>
      <c r="C25029"/>
      <c r="J25029"/>
      <c r="K25029"/>
      <c r="L25029"/>
    </row>
    <row r="25030" spans="2:12" x14ac:dyDescent="0.2">
      <c r="B25030"/>
      <c r="C25030"/>
      <c r="J25030"/>
      <c r="K25030"/>
      <c r="L25030"/>
    </row>
    <row r="25031" spans="2:12" x14ac:dyDescent="0.2">
      <c r="B25031"/>
      <c r="C25031"/>
      <c r="J25031"/>
      <c r="K25031"/>
      <c r="L25031"/>
    </row>
    <row r="25032" spans="2:12" x14ac:dyDescent="0.2">
      <c r="B25032"/>
      <c r="C25032"/>
      <c r="J25032"/>
      <c r="K25032"/>
      <c r="L25032"/>
    </row>
    <row r="25033" spans="2:12" x14ac:dyDescent="0.2">
      <c r="B25033"/>
      <c r="C25033"/>
      <c r="J25033"/>
      <c r="K25033"/>
      <c r="L25033"/>
    </row>
    <row r="25034" spans="2:12" x14ac:dyDescent="0.2">
      <c r="B25034"/>
      <c r="C25034"/>
      <c r="J25034"/>
      <c r="K25034"/>
      <c r="L25034"/>
    </row>
    <row r="25035" spans="2:12" x14ac:dyDescent="0.2">
      <c r="B25035"/>
      <c r="C25035"/>
      <c r="J25035"/>
      <c r="K25035"/>
      <c r="L25035"/>
    </row>
    <row r="25036" spans="2:12" x14ac:dyDescent="0.2">
      <c r="B25036"/>
      <c r="C25036"/>
      <c r="J25036"/>
      <c r="K25036"/>
      <c r="L25036"/>
    </row>
    <row r="25037" spans="2:12" x14ac:dyDescent="0.2">
      <c r="B25037"/>
      <c r="C25037"/>
      <c r="J25037"/>
      <c r="K25037"/>
      <c r="L25037"/>
    </row>
    <row r="25038" spans="2:12" x14ac:dyDescent="0.2">
      <c r="B25038"/>
      <c r="C25038"/>
      <c r="J25038"/>
      <c r="K25038"/>
      <c r="L25038"/>
    </row>
    <row r="25039" spans="2:12" x14ac:dyDescent="0.2">
      <c r="B25039"/>
      <c r="C25039"/>
      <c r="J25039"/>
      <c r="K25039"/>
      <c r="L25039"/>
    </row>
    <row r="25040" spans="2:12" x14ac:dyDescent="0.2">
      <c r="B25040"/>
      <c r="C25040"/>
      <c r="J25040"/>
      <c r="K25040"/>
      <c r="L25040"/>
    </row>
    <row r="25041" spans="2:12" x14ac:dyDescent="0.2">
      <c r="B25041"/>
      <c r="C25041"/>
      <c r="J25041"/>
      <c r="K25041"/>
      <c r="L25041"/>
    </row>
    <row r="25042" spans="2:12" x14ac:dyDescent="0.2">
      <c r="B25042"/>
      <c r="C25042"/>
      <c r="J25042"/>
      <c r="K25042"/>
      <c r="L25042"/>
    </row>
    <row r="25043" spans="2:12" x14ac:dyDescent="0.2">
      <c r="B25043"/>
      <c r="C25043"/>
      <c r="J25043"/>
      <c r="K25043"/>
      <c r="L25043"/>
    </row>
    <row r="25044" spans="2:12" x14ac:dyDescent="0.2">
      <c r="B25044"/>
      <c r="C25044"/>
      <c r="J25044"/>
      <c r="K25044"/>
      <c r="L25044"/>
    </row>
    <row r="25045" spans="2:12" x14ac:dyDescent="0.2">
      <c r="B25045"/>
      <c r="C25045"/>
      <c r="J25045"/>
      <c r="K25045"/>
      <c r="L25045"/>
    </row>
    <row r="25046" spans="2:12" x14ac:dyDescent="0.2">
      <c r="B25046"/>
      <c r="C25046"/>
      <c r="J25046"/>
      <c r="K25046"/>
      <c r="L25046"/>
    </row>
    <row r="25047" spans="2:12" x14ac:dyDescent="0.2">
      <c r="B25047"/>
      <c r="C25047"/>
      <c r="J25047"/>
      <c r="K25047"/>
      <c r="L25047"/>
    </row>
    <row r="25048" spans="2:12" x14ac:dyDescent="0.2">
      <c r="B25048"/>
      <c r="C25048"/>
      <c r="J25048"/>
      <c r="K25048"/>
      <c r="L25048"/>
    </row>
    <row r="25049" spans="2:12" x14ac:dyDescent="0.2">
      <c r="B25049"/>
      <c r="C25049"/>
      <c r="J25049"/>
      <c r="K25049"/>
      <c r="L25049"/>
    </row>
    <row r="25050" spans="2:12" x14ac:dyDescent="0.2">
      <c r="B25050"/>
      <c r="C25050"/>
      <c r="J25050"/>
      <c r="K25050"/>
      <c r="L25050"/>
    </row>
    <row r="25051" spans="2:12" x14ac:dyDescent="0.2">
      <c r="B25051"/>
      <c r="C25051"/>
      <c r="J25051"/>
      <c r="K25051"/>
      <c r="L25051"/>
    </row>
    <row r="25052" spans="2:12" x14ac:dyDescent="0.2">
      <c r="B25052"/>
      <c r="C25052"/>
      <c r="J25052"/>
      <c r="K25052"/>
      <c r="L25052"/>
    </row>
    <row r="25053" spans="2:12" x14ac:dyDescent="0.2">
      <c r="B25053"/>
      <c r="C25053"/>
      <c r="J25053"/>
      <c r="K25053"/>
      <c r="L25053"/>
    </row>
    <row r="25054" spans="2:12" x14ac:dyDescent="0.2">
      <c r="B25054"/>
      <c r="C25054"/>
      <c r="J25054"/>
      <c r="K25054"/>
      <c r="L25054"/>
    </row>
    <row r="25055" spans="2:12" x14ac:dyDescent="0.2">
      <c r="B25055"/>
      <c r="C25055"/>
      <c r="J25055"/>
      <c r="K25055"/>
      <c r="L25055"/>
    </row>
    <row r="25056" spans="2:12" x14ac:dyDescent="0.2">
      <c r="B25056"/>
      <c r="C25056"/>
      <c r="J25056"/>
      <c r="K25056"/>
      <c r="L25056"/>
    </row>
    <row r="25057" spans="2:12" x14ac:dyDescent="0.2">
      <c r="B25057"/>
      <c r="C25057"/>
      <c r="J25057"/>
      <c r="K25057"/>
      <c r="L25057"/>
    </row>
    <row r="25058" spans="2:12" x14ac:dyDescent="0.2">
      <c r="B25058"/>
      <c r="C25058"/>
      <c r="J25058"/>
      <c r="K25058"/>
      <c r="L25058"/>
    </row>
    <row r="25059" spans="2:12" x14ac:dyDescent="0.2">
      <c r="B25059"/>
      <c r="C25059"/>
      <c r="J25059"/>
      <c r="K25059"/>
      <c r="L25059"/>
    </row>
    <row r="25060" spans="2:12" x14ac:dyDescent="0.2">
      <c r="B25060"/>
      <c r="C25060"/>
      <c r="J25060"/>
      <c r="K25060"/>
      <c r="L25060"/>
    </row>
    <row r="25061" spans="2:12" x14ac:dyDescent="0.2">
      <c r="B25061"/>
      <c r="C25061"/>
      <c r="J25061"/>
      <c r="K25061"/>
      <c r="L25061"/>
    </row>
    <row r="25062" spans="2:12" x14ac:dyDescent="0.2">
      <c r="B25062"/>
      <c r="C25062"/>
      <c r="J25062"/>
      <c r="K25062"/>
      <c r="L25062"/>
    </row>
    <row r="25063" spans="2:12" x14ac:dyDescent="0.2">
      <c r="B25063"/>
      <c r="C25063"/>
      <c r="J25063"/>
      <c r="K25063"/>
      <c r="L25063"/>
    </row>
    <row r="25064" spans="2:12" x14ac:dyDescent="0.2">
      <c r="B25064"/>
      <c r="C25064"/>
      <c r="J25064"/>
      <c r="K25064"/>
      <c r="L25064"/>
    </row>
    <row r="25065" spans="2:12" x14ac:dyDescent="0.2">
      <c r="B25065"/>
      <c r="C25065"/>
      <c r="J25065"/>
      <c r="K25065"/>
      <c r="L25065"/>
    </row>
    <row r="25066" spans="2:12" x14ac:dyDescent="0.2">
      <c r="B25066"/>
      <c r="C25066"/>
      <c r="J25066"/>
      <c r="K25066"/>
      <c r="L25066"/>
    </row>
    <row r="25067" spans="2:12" x14ac:dyDescent="0.2">
      <c r="B25067"/>
      <c r="C25067"/>
      <c r="J25067"/>
      <c r="K25067"/>
      <c r="L25067"/>
    </row>
    <row r="25068" spans="2:12" x14ac:dyDescent="0.2">
      <c r="B25068"/>
      <c r="C25068"/>
      <c r="J25068"/>
      <c r="K25068"/>
      <c r="L25068"/>
    </row>
    <row r="25069" spans="2:12" x14ac:dyDescent="0.2">
      <c r="B25069"/>
      <c r="C25069"/>
      <c r="J25069"/>
      <c r="K25069"/>
      <c r="L25069"/>
    </row>
    <row r="25070" spans="2:12" x14ac:dyDescent="0.2">
      <c r="B25070"/>
      <c r="C25070"/>
      <c r="J25070"/>
      <c r="K25070"/>
      <c r="L25070"/>
    </row>
    <row r="25071" spans="2:12" x14ac:dyDescent="0.2">
      <c r="B25071"/>
      <c r="C25071"/>
      <c r="J25071"/>
      <c r="K25071"/>
      <c r="L25071"/>
    </row>
    <row r="25072" spans="2:12" x14ac:dyDescent="0.2">
      <c r="B25072"/>
      <c r="C25072"/>
      <c r="J25072"/>
      <c r="K25072"/>
      <c r="L25072"/>
    </row>
    <row r="25073" spans="2:12" x14ac:dyDescent="0.2">
      <c r="B25073"/>
      <c r="C25073"/>
      <c r="J25073"/>
      <c r="K25073"/>
      <c r="L25073"/>
    </row>
    <row r="25074" spans="2:12" x14ac:dyDescent="0.2">
      <c r="B25074"/>
      <c r="C25074"/>
      <c r="J25074"/>
      <c r="K25074"/>
      <c r="L25074"/>
    </row>
    <row r="25075" spans="2:12" x14ac:dyDescent="0.2">
      <c r="B25075"/>
      <c r="C25075"/>
      <c r="J25075"/>
      <c r="K25075"/>
      <c r="L25075"/>
    </row>
    <row r="25076" spans="2:12" x14ac:dyDescent="0.2">
      <c r="B25076"/>
      <c r="C25076"/>
      <c r="J25076"/>
      <c r="K25076"/>
      <c r="L25076"/>
    </row>
    <row r="25077" spans="2:12" x14ac:dyDescent="0.2">
      <c r="B25077"/>
      <c r="C25077"/>
      <c r="J25077"/>
      <c r="K25077"/>
      <c r="L25077"/>
    </row>
    <row r="25078" spans="2:12" x14ac:dyDescent="0.2">
      <c r="B25078"/>
      <c r="C25078"/>
      <c r="J25078"/>
      <c r="K25078"/>
      <c r="L25078"/>
    </row>
    <row r="25079" spans="2:12" x14ac:dyDescent="0.2">
      <c r="B25079"/>
      <c r="C25079"/>
      <c r="J25079"/>
      <c r="K25079"/>
      <c r="L25079"/>
    </row>
    <row r="25080" spans="2:12" x14ac:dyDescent="0.2">
      <c r="B25080"/>
      <c r="C25080"/>
      <c r="J25080"/>
      <c r="K25080"/>
      <c r="L25080"/>
    </row>
    <row r="25081" spans="2:12" x14ac:dyDescent="0.2">
      <c r="B25081"/>
      <c r="C25081"/>
      <c r="J25081"/>
      <c r="K25081"/>
      <c r="L25081"/>
    </row>
    <row r="25082" spans="2:12" x14ac:dyDescent="0.2">
      <c r="B25082"/>
      <c r="C25082"/>
      <c r="J25082"/>
      <c r="K25082"/>
      <c r="L25082"/>
    </row>
    <row r="25083" spans="2:12" x14ac:dyDescent="0.2">
      <c r="B25083"/>
      <c r="C25083"/>
      <c r="J25083"/>
      <c r="K25083"/>
      <c r="L25083"/>
    </row>
    <row r="25084" spans="2:12" x14ac:dyDescent="0.2">
      <c r="B25084"/>
      <c r="C25084"/>
      <c r="J25084"/>
      <c r="K25084"/>
      <c r="L25084"/>
    </row>
    <row r="25085" spans="2:12" x14ac:dyDescent="0.2">
      <c r="B25085"/>
      <c r="C25085"/>
      <c r="J25085"/>
      <c r="K25085"/>
      <c r="L25085"/>
    </row>
    <row r="25086" spans="2:12" x14ac:dyDescent="0.2">
      <c r="B25086"/>
      <c r="C25086"/>
      <c r="J25086"/>
      <c r="K25086"/>
      <c r="L25086"/>
    </row>
    <row r="25087" spans="2:12" x14ac:dyDescent="0.2">
      <c r="B25087"/>
      <c r="C25087"/>
      <c r="J25087"/>
      <c r="K25087"/>
      <c r="L25087"/>
    </row>
    <row r="25088" spans="2:12" x14ac:dyDescent="0.2">
      <c r="B25088"/>
      <c r="C25088"/>
      <c r="J25088"/>
      <c r="K25088"/>
      <c r="L25088"/>
    </row>
    <row r="25089" spans="2:12" x14ac:dyDescent="0.2">
      <c r="B25089"/>
      <c r="C25089"/>
      <c r="J25089"/>
      <c r="K25089"/>
      <c r="L25089"/>
    </row>
    <row r="25090" spans="2:12" x14ac:dyDescent="0.2">
      <c r="B25090"/>
      <c r="C25090"/>
      <c r="J25090"/>
      <c r="K25090"/>
      <c r="L25090"/>
    </row>
    <row r="25091" spans="2:12" x14ac:dyDescent="0.2">
      <c r="B25091"/>
      <c r="C25091"/>
      <c r="J25091"/>
      <c r="K25091"/>
      <c r="L25091"/>
    </row>
    <row r="25092" spans="2:12" x14ac:dyDescent="0.2">
      <c r="B25092"/>
      <c r="C25092"/>
      <c r="J25092"/>
      <c r="K25092"/>
      <c r="L25092"/>
    </row>
    <row r="25093" spans="2:12" x14ac:dyDescent="0.2">
      <c r="B25093"/>
      <c r="C25093"/>
      <c r="J25093"/>
      <c r="K25093"/>
      <c r="L25093"/>
    </row>
    <row r="25094" spans="2:12" x14ac:dyDescent="0.2">
      <c r="B25094"/>
      <c r="C25094"/>
      <c r="J25094"/>
      <c r="K25094"/>
      <c r="L25094"/>
    </row>
    <row r="25095" spans="2:12" x14ac:dyDescent="0.2">
      <c r="B25095"/>
      <c r="C25095"/>
      <c r="J25095"/>
      <c r="K25095"/>
      <c r="L25095"/>
    </row>
    <row r="25096" spans="2:12" x14ac:dyDescent="0.2">
      <c r="B25096"/>
      <c r="C25096"/>
      <c r="J25096"/>
      <c r="K25096"/>
      <c r="L25096"/>
    </row>
    <row r="25097" spans="2:12" x14ac:dyDescent="0.2">
      <c r="B25097"/>
      <c r="C25097"/>
      <c r="J25097"/>
      <c r="K25097"/>
      <c r="L25097"/>
    </row>
    <row r="25098" spans="2:12" x14ac:dyDescent="0.2">
      <c r="B25098"/>
      <c r="C25098"/>
      <c r="J25098"/>
      <c r="K25098"/>
      <c r="L25098"/>
    </row>
    <row r="25099" spans="2:12" x14ac:dyDescent="0.2">
      <c r="B25099"/>
      <c r="C25099"/>
      <c r="J25099"/>
      <c r="K25099"/>
      <c r="L25099"/>
    </row>
    <row r="25100" spans="2:12" x14ac:dyDescent="0.2">
      <c r="B25100"/>
      <c r="C25100"/>
      <c r="J25100"/>
      <c r="K25100"/>
      <c r="L25100"/>
    </row>
    <row r="25101" spans="2:12" x14ac:dyDescent="0.2">
      <c r="B25101"/>
      <c r="C25101"/>
      <c r="J25101"/>
      <c r="K25101"/>
      <c r="L25101"/>
    </row>
    <row r="25102" spans="2:12" x14ac:dyDescent="0.2">
      <c r="B25102"/>
      <c r="C25102"/>
      <c r="J25102"/>
      <c r="K25102"/>
      <c r="L25102"/>
    </row>
    <row r="25103" spans="2:12" x14ac:dyDescent="0.2">
      <c r="B25103"/>
      <c r="C25103"/>
      <c r="J25103"/>
      <c r="K25103"/>
      <c r="L25103"/>
    </row>
    <row r="25104" spans="2:12" x14ac:dyDescent="0.2">
      <c r="B25104"/>
      <c r="C25104"/>
      <c r="J25104"/>
      <c r="K25104"/>
      <c r="L25104"/>
    </row>
    <row r="25105" spans="2:12" x14ac:dyDescent="0.2">
      <c r="B25105"/>
      <c r="C25105"/>
      <c r="J25105"/>
      <c r="K25105"/>
      <c r="L25105"/>
    </row>
    <row r="25106" spans="2:12" x14ac:dyDescent="0.2">
      <c r="B25106"/>
      <c r="C25106"/>
      <c r="J25106"/>
      <c r="K25106"/>
      <c r="L25106"/>
    </row>
    <row r="25107" spans="2:12" x14ac:dyDescent="0.2">
      <c r="B25107"/>
      <c r="C25107"/>
      <c r="J25107"/>
      <c r="K25107"/>
      <c r="L25107"/>
    </row>
    <row r="25108" spans="2:12" x14ac:dyDescent="0.2">
      <c r="B25108"/>
      <c r="C25108"/>
      <c r="J25108"/>
      <c r="K25108"/>
      <c r="L25108"/>
    </row>
    <row r="25109" spans="2:12" x14ac:dyDescent="0.2">
      <c r="B25109"/>
      <c r="C25109"/>
      <c r="J25109"/>
      <c r="K25109"/>
      <c r="L25109"/>
    </row>
    <row r="25110" spans="2:12" x14ac:dyDescent="0.2">
      <c r="B25110"/>
      <c r="C25110"/>
      <c r="J25110"/>
      <c r="K25110"/>
      <c r="L25110"/>
    </row>
    <row r="25111" spans="2:12" x14ac:dyDescent="0.2">
      <c r="B25111"/>
      <c r="C25111"/>
      <c r="J25111"/>
      <c r="K25111"/>
      <c r="L25111"/>
    </row>
    <row r="25112" spans="2:12" x14ac:dyDescent="0.2">
      <c r="B25112"/>
      <c r="C25112"/>
      <c r="J25112"/>
      <c r="K25112"/>
      <c r="L25112"/>
    </row>
    <row r="25113" spans="2:12" x14ac:dyDescent="0.2">
      <c r="B25113"/>
      <c r="C25113"/>
      <c r="J25113"/>
      <c r="K25113"/>
      <c r="L25113"/>
    </row>
    <row r="25114" spans="2:12" x14ac:dyDescent="0.2">
      <c r="B25114"/>
      <c r="C25114"/>
      <c r="J25114"/>
      <c r="K25114"/>
      <c r="L25114"/>
    </row>
    <row r="25115" spans="2:12" x14ac:dyDescent="0.2">
      <c r="B25115"/>
      <c r="C25115"/>
      <c r="J25115"/>
      <c r="K25115"/>
      <c r="L25115"/>
    </row>
    <row r="25116" spans="2:12" x14ac:dyDescent="0.2">
      <c r="B25116"/>
      <c r="C25116"/>
      <c r="J25116"/>
      <c r="K25116"/>
      <c r="L25116"/>
    </row>
    <row r="25117" spans="2:12" x14ac:dyDescent="0.2">
      <c r="B25117"/>
      <c r="C25117"/>
      <c r="J25117"/>
      <c r="K25117"/>
      <c r="L25117"/>
    </row>
    <row r="25118" spans="2:12" x14ac:dyDescent="0.2">
      <c r="B25118"/>
      <c r="C25118"/>
      <c r="J25118"/>
      <c r="K25118"/>
      <c r="L25118"/>
    </row>
    <row r="25119" spans="2:12" x14ac:dyDescent="0.2">
      <c r="B25119"/>
      <c r="C25119"/>
      <c r="J25119"/>
      <c r="K25119"/>
      <c r="L25119"/>
    </row>
    <row r="25120" spans="2:12" x14ac:dyDescent="0.2">
      <c r="B25120"/>
      <c r="C25120"/>
      <c r="J25120"/>
      <c r="K25120"/>
      <c r="L25120"/>
    </row>
    <row r="25121" spans="2:12" x14ac:dyDescent="0.2">
      <c r="B25121"/>
      <c r="C25121"/>
      <c r="J25121"/>
      <c r="K25121"/>
      <c r="L25121"/>
    </row>
    <row r="25122" spans="2:12" x14ac:dyDescent="0.2">
      <c r="B25122"/>
      <c r="C25122"/>
      <c r="J25122"/>
      <c r="K25122"/>
      <c r="L25122"/>
    </row>
    <row r="25123" spans="2:12" x14ac:dyDescent="0.2">
      <c r="B25123"/>
      <c r="C25123"/>
      <c r="J25123"/>
      <c r="K25123"/>
      <c r="L25123"/>
    </row>
    <row r="25124" spans="2:12" x14ac:dyDescent="0.2">
      <c r="B25124"/>
      <c r="C25124"/>
      <c r="J25124"/>
      <c r="K25124"/>
      <c r="L25124"/>
    </row>
    <row r="25125" spans="2:12" x14ac:dyDescent="0.2">
      <c r="B25125"/>
      <c r="C25125"/>
      <c r="J25125"/>
      <c r="K25125"/>
      <c r="L25125"/>
    </row>
    <row r="25126" spans="2:12" x14ac:dyDescent="0.2">
      <c r="B25126"/>
      <c r="C25126"/>
      <c r="J25126"/>
      <c r="K25126"/>
      <c r="L25126"/>
    </row>
    <row r="25127" spans="2:12" x14ac:dyDescent="0.2">
      <c r="B25127"/>
      <c r="C25127"/>
      <c r="J25127"/>
      <c r="K25127"/>
      <c r="L25127"/>
    </row>
    <row r="25128" spans="2:12" x14ac:dyDescent="0.2">
      <c r="B25128"/>
      <c r="C25128"/>
      <c r="J25128"/>
      <c r="K25128"/>
      <c r="L25128"/>
    </row>
    <row r="25129" spans="2:12" x14ac:dyDescent="0.2">
      <c r="B25129"/>
      <c r="C25129"/>
      <c r="J25129"/>
      <c r="K25129"/>
      <c r="L25129"/>
    </row>
    <row r="25130" spans="2:12" x14ac:dyDescent="0.2">
      <c r="B25130"/>
      <c r="C25130"/>
      <c r="J25130"/>
      <c r="K25130"/>
      <c r="L25130"/>
    </row>
    <row r="25131" spans="2:12" x14ac:dyDescent="0.2">
      <c r="B25131"/>
      <c r="C25131"/>
      <c r="J25131"/>
      <c r="K25131"/>
      <c r="L25131"/>
    </row>
    <row r="25132" spans="2:12" x14ac:dyDescent="0.2">
      <c r="B25132"/>
      <c r="C25132"/>
      <c r="J25132"/>
      <c r="K25132"/>
      <c r="L25132"/>
    </row>
    <row r="25133" spans="2:12" x14ac:dyDescent="0.2">
      <c r="B25133"/>
      <c r="C25133"/>
      <c r="J25133"/>
      <c r="K25133"/>
      <c r="L25133"/>
    </row>
    <row r="25134" spans="2:12" x14ac:dyDescent="0.2">
      <c r="B25134"/>
      <c r="C25134"/>
      <c r="J25134"/>
      <c r="K25134"/>
      <c r="L25134"/>
    </row>
    <row r="25135" spans="2:12" x14ac:dyDescent="0.2">
      <c r="B25135"/>
      <c r="C25135"/>
      <c r="J25135"/>
      <c r="K25135"/>
      <c r="L25135"/>
    </row>
    <row r="25136" spans="2:12" x14ac:dyDescent="0.2">
      <c r="B25136"/>
      <c r="C25136"/>
      <c r="J25136"/>
      <c r="K25136"/>
      <c r="L25136"/>
    </row>
    <row r="25137" spans="2:12" x14ac:dyDescent="0.2">
      <c r="B25137"/>
      <c r="C25137"/>
      <c r="J25137"/>
      <c r="K25137"/>
      <c r="L25137"/>
    </row>
    <row r="25138" spans="2:12" x14ac:dyDescent="0.2">
      <c r="B25138"/>
      <c r="C25138"/>
      <c r="J25138"/>
      <c r="K25138"/>
      <c r="L25138"/>
    </row>
    <row r="25139" spans="2:12" x14ac:dyDescent="0.2">
      <c r="B25139"/>
      <c r="C25139"/>
      <c r="J25139"/>
      <c r="K25139"/>
      <c r="L25139"/>
    </row>
    <row r="25140" spans="2:12" x14ac:dyDescent="0.2">
      <c r="B25140"/>
      <c r="C25140"/>
      <c r="J25140"/>
      <c r="K25140"/>
      <c r="L25140"/>
    </row>
    <row r="25141" spans="2:12" x14ac:dyDescent="0.2">
      <c r="B25141"/>
      <c r="C25141"/>
      <c r="J25141"/>
      <c r="K25141"/>
      <c r="L25141"/>
    </row>
    <row r="25142" spans="2:12" x14ac:dyDescent="0.2">
      <c r="B25142"/>
      <c r="C25142"/>
      <c r="J25142"/>
      <c r="K25142"/>
      <c r="L25142"/>
    </row>
    <row r="25143" spans="2:12" x14ac:dyDescent="0.2">
      <c r="B25143"/>
      <c r="C25143"/>
      <c r="J25143"/>
      <c r="K25143"/>
      <c r="L25143"/>
    </row>
    <row r="25144" spans="2:12" x14ac:dyDescent="0.2">
      <c r="B25144"/>
      <c r="C25144"/>
      <c r="J25144"/>
      <c r="K25144"/>
      <c r="L25144"/>
    </row>
    <row r="25145" spans="2:12" x14ac:dyDescent="0.2">
      <c r="B25145"/>
      <c r="C25145"/>
      <c r="J25145"/>
      <c r="K25145"/>
      <c r="L25145"/>
    </row>
    <row r="25146" spans="2:12" x14ac:dyDescent="0.2">
      <c r="B25146"/>
      <c r="C25146"/>
      <c r="J25146"/>
      <c r="K25146"/>
      <c r="L25146"/>
    </row>
    <row r="25147" spans="2:12" x14ac:dyDescent="0.2">
      <c r="B25147"/>
      <c r="C25147"/>
      <c r="J25147"/>
      <c r="K25147"/>
      <c r="L25147"/>
    </row>
    <row r="25148" spans="2:12" x14ac:dyDescent="0.2">
      <c r="B25148"/>
      <c r="C25148"/>
      <c r="J25148"/>
      <c r="K25148"/>
      <c r="L25148"/>
    </row>
    <row r="25149" spans="2:12" x14ac:dyDescent="0.2">
      <c r="B25149"/>
      <c r="C25149"/>
      <c r="J25149"/>
      <c r="K25149"/>
      <c r="L25149"/>
    </row>
    <row r="25150" spans="2:12" x14ac:dyDescent="0.2">
      <c r="B25150"/>
      <c r="C25150"/>
      <c r="J25150"/>
      <c r="K25150"/>
      <c r="L25150"/>
    </row>
    <row r="25151" spans="2:12" x14ac:dyDescent="0.2">
      <c r="B25151"/>
      <c r="C25151"/>
      <c r="J25151"/>
      <c r="K25151"/>
      <c r="L25151"/>
    </row>
    <row r="25152" spans="2:12" x14ac:dyDescent="0.2">
      <c r="B25152"/>
      <c r="C25152"/>
      <c r="J25152"/>
      <c r="K25152"/>
      <c r="L25152"/>
    </row>
    <row r="25153" spans="2:12" x14ac:dyDescent="0.2">
      <c r="B25153"/>
      <c r="C25153"/>
      <c r="J25153"/>
      <c r="K25153"/>
      <c r="L25153"/>
    </row>
    <row r="25154" spans="2:12" x14ac:dyDescent="0.2">
      <c r="B25154"/>
      <c r="C25154"/>
      <c r="J25154"/>
      <c r="K25154"/>
      <c r="L25154"/>
    </row>
    <row r="25155" spans="2:12" x14ac:dyDescent="0.2">
      <c r="B25155"/>
      <c r="C25155"/>
      <c r="J25155"/>
      <c r="K25155"/>
      <c r="L25155"/>
    </row>
    <row r="25156" spans="2:12" x14ac:dyDescent="0.2">
      <c r="B25156"/>
      <c r="C25156"/>
      <c r="J25156"/>
      <c r="K25156"/>
      <c r="L25156"/>
    </row>
    <row r="25157" spans="2:12" x14ac:dyDescent="0.2">
      <c r="B25157"/>
      <c r="C25157"/>
      <c r="J25157"/>
      <c r="K25157"/>
      <c r="L25157"/>
    </row>
    <row r="25158" spans="2:12" x14ac:dyDescent="0.2">
      <c r="B25158"/>
      <c r="C25158"/>
      <c r="J25158"/>
      <c r="K25158"/>
      <c r="L25158"/>
    </row>
    <row r="25159" spans="2:12" x14ac:dyDescent="0.2">
      <c r="B25159"/>
      <c r="C25159"/>
      <c r="J25159"/>
      <c r="K25159"/>
      <c r="L25159"/>
    </row>
    <row r="25160" spans="2:12" x14ac:dyDescent="0.2">
      <c r="B25160"/>
      <c r="C25160"/>
      <c r="J25160"/>
      <c r="K25160"/>
      <c r="L25160"/>
    </row>
    <row r="25161" spans="2:12" x14ac:dyDescent="0.2">
      <c r="B25161"/>
      <c r="C25161"/>
      <c r="J25161"/>
      <c r="K25161"/>
      <c r="L25161"/>
    </row>
    <row r="25162" spans="2:12" x14ac:dyDescent="0.2">
      <c r="B25162"/>
      <c r="C25162"/>
      <c r="J25162"/>
      <c r="K25162"/>
      <c r="L25162"/>
    </row>
    <row r="25163" spans="2:12" x14ac:dyDescent="0.2">
      <c r="B25163"/>
      <c r="C25163"/>
      <c r="J25163"/>
      <c r="K25163"/>
      <c r="L25163"/>
    </row>
    <row r="25164" spans="2:12" x14ac:dyDescent="0.2">
      <c r="B25164"/>
      <c r="C25164"/>
      <c r="J25164"/>
      <c r="K25164"/>
      <c r="L25164"/>
    </row>
    <row r="25165" spans="2:12" x14ac:dyDescent="0.2">
      <c r="B25165"/>
      <c r="C25165"/>
      <c r="J25165"/>
      <c r="K25165"/>
      <c r="L25165"/>
    </row>
    <row r="25166" spans="2:12" x14ac:dyDescent="0.2">
      <c r="B25166"/>
      <c r="C25166"/>
      <c r="J25166"/>
      <c r="K25166"/>
      <c r="L25166"/>
    </row>
    <row r="25167" spans="2:12" x14ac:dyDescent="0.2">
      <c r="B25167"/>
      <c r="C25167"/>
      <c r="J25167"/>
      <c r="K25167"/>
      <c r="L25167"/>
    </row>
    <row r="25168" spans="2:12" x14ac:dyDescent="0.2">
      <c r="B25168"/>
      <c r="C25168"/>
      <c r="J25168"/>
      <c r="K25168"/>
      <c r="L25168"/>
    </row>
    <row r="25169" spans="2:12" x14ac:dyDescent="0.2">
      <c r="B25169"/>
      <c r="C25169"/>
      <c r="J25169"/>
      <c r="K25169"/>
      <c r="L25169"/>
    </row>
    <row r="25170" spans="2:12" x14ac:dyDescent="0.2">
      <c r="B25170"/>
      <c r="C25170"/>
      <c r="J25170"/>
      <c r="K25170"/>
      <c r="L25170"/>
    </row>
    <row r="25171" spans="2:12" x14ac:dyDescent="0.2">
      <c r="B25171"/>
      <c r="C25171"/>
      <c r="J25171"/>
      <c r="K25171"/>
      <c r="L25171"/>
    </row>
    <row r="25172" spans="2:12" x14ac:dyDescent="0.2">
      <c r="B25172"/>
      <c r="C25172"/>
      <c r="J25172"/>
      <c r="K25172"/>
      <c r="L25172"/>
    </row>
    <row r="25173" spans="2:12" x14ac:dyDescent="0.2">
      <c r="B25173"/>
      <c r="C25173"/>
      <c r="J25173"/>
      <c r="K25173"/>
      <c r="L25173"/>
    </row>
    <row r="25174" spans="2:12" x14ac:dyDescent="0.2">
      <c r="B25174"/>
      <c r="C25174"/>
      <c r="J25174"/>
      <c r="K25174"/>
      <c r="L25174"/>
    </row>
    <row r="25175" spans="2:12" x14ac:dyDescent="0.2">
      <c r="B25175"/>
      <c r="C25175"/>
      <c r="J25175"/>
      <c r="K25175"/>
      <c r="L25175"/>
    </row>
    <row r="25176" spans="2:12" x14ac:dyDescent="0.2">
      <c r="B25176"/>
      <c r="C25176"/>
      <c r="J25176"/>
      <c r="K25176"/>
      <c r="L25176"/>
    </row>
    <row r="25177" spans="2:12" x14ac:dyDescent="0.2">
      <c r="B25177"/>
      <c r="C25177"/>
      <c r="J25177"/>
      <c r="K25177"/>
      <c r="L25177"/>
    </row>
    <row r="25178" spans="2:12" x14ac:dyDescent="0.2">
      <c r="B25178"/>
      <c r="C25178"/>
      <c r="J25178"/>
      <c r="K25178"/>
      <c r="L25178"/>
    </row>
    <row r="25179" spans="2:12" x14ac:dyDescent="0.2">
      <c r="B25179"/>
      <c r="C25179"/>
      <c r="J25179"/>
      <c r="K25179"/>
      <c r="L25179"/>
    </row>
    <row r="25180" spans="2:12" x14ac:dyDescent="0.2">
      <c r="B25180"/>
      <c r="C25180"/>
      <c r="J25180"/>
      <c r="K25180"/>
      <c r="L25180"/>
    </row>
    <row r="25181" spans="2:12" x14ac:dyDescent="0.2">
      <c r="B25181"/>
      <c r="C25181"/>
      <c r="J25181"/>
      <c r="K25181"/>
      <c r="L25181"/>
    </row>
    <row r="25182" spans="2:12" x14ac:dyDescent="0.2">
      <c r="B25182"/>
      <c r="C25182"/>
      <c r="J25182"/>
      <c r="K25182"/>
      <c r="L25182"/>
    </row>
    <row r="25183" spans="2:12" x14ac:dyDescent="0.2">
      <c r="B25183"/>
      <c r="C25183"/>
      <c r="J25183"/>
      <c r="K25183"/>
      <c r="L25183"/>
    </row>
    <row r="25184" spans="2:12" x14ac:dyDescent="0.2">
      <c r="B25184"/>
      <c r="C25184"/>
      <c r="J25184"/>
      <c r="K25184"/>
      <c r="L25184"/>
    </row>
    <row r="25185" spans="2:12" x14ac:dyDescent="0.2">
      <c r="B25185"/>
      <c r="C25185"/>
      <c r="J25185"/>
      <c r="K25185"/>
      <c r="L25185"/>
    </row>
    <row r="25186" spans="2:12" x14ac:dyDescent="0.2">
      <c r="B25186"/>
      <c r="C25186"/>
      <c r="J25186"/>
      <c r="K25186"/>
      <c r="L25186"/>
    </row>
    <row r="25187" spans="2:12" x14ac:dyDescent="0.2">
      <c r="B25187"/>
      <c r="C25187"/>
      <c r="J25187"/>
      <c r="K25187"/>
      <c r="L25187"/>
    </row>
    <row r="25188" spans="2:12" x14ac:dyDescent="0.2">
      <c r="B25188"/>
      <c r="C25188"/>
      <c r="J25188"/>
      <c r="K25188"/>
      <c r="L25188"/>
    </row>
    <row r="25189" spans="2:12" x14ac:dyDescent="0.2">
      <c r="B25189"/>
      <c r="C25189"/>
      <c r="J25189"/>
      <c r="K25189"/>
      <c r="L25189"/>
    </row>
    <row r="25190" spans="2:12" x14ac:dyDescent="0.2">
      <c r="B25190"/>
      <c r="C25190"/>
      <c r="J25190"/>
      <c r="K25190"/>
      <c r="L25190"/>
    </row>
    <row r="25191" spans="2:12" x14ac:dyDescent="0.2">
      <c r="B25191"/>
      <c r="C25191"/>
      <c r="J25191"/>
      <c r="K25191"/>
      <c r="L25191"/>
    </row>
    <row r="25192" spans="2:12" x14ac:dyDescent="0.2">
      <c r="B25192"/>
      <c r="C25192"/>
      <c r="J25192"/>
      <c r="K25192"/>
      <c r="L25192"/>
    </row>
    <row r="25193" spans="2:12" x14ac:dyDescent="0.2">
      <c r="B25193"/>
      <c r="C25193"/>
      <c r="J25193"/>
      <c r="K25193"/>
      <c r="L25193"/>
    </row>
    <row r="25194" spans="2:12" x14ac:dyDescent="0.2">
      <c r="B25194"/>
      <c r="C25194"/>
      <c r="J25194"/>
      <c r="K25194"/>
      <c r="L25194"/>
    </row>
    <row r="25195" spans="2:12" x14ac:dyDescent="0.2">
      <c r="B25195"/>
      <c r="C25195"/>
      <c r="J25195"/>
      <c r="K25195"/>
      <c r="L25195"/>
    </row>
    <row r="25196" spans="2:12" x14ac:dyDescent="0.2">
      <c r="B25196"/>
      <c r="C25196"/>
      <c r="J25196"/>
      <c r="K25196"/>
      <c r="L25196"/>
    </row>
    <row r="25197" spans="2:12" x14ac:dyDescent="0.2">
      <c r="B25197"/>
      <c r="C25197"/>
      <c r="J25197"/>
      <c r="K25197"/>
      <c r="L25197"/>
    </row>
    <row r="25198" spans="2:12" x14ac:dyDescent="0.2">
      <c r="B25198"/>
      <c r="C25198"/>
      <c r="J25198"/>
      <c r="K25198"/>
      <c r="L25198"/>
    </row>
    <row r="25199" spans="2:12" x14ac:dyDescent="0.2">
      <c r="B25199"/>
      <c r="C25199"/>
      <c r="J25199"/>
      <c r="K25199"/>
      <c r="L25199"/>
    </row>
    <row r="25200" spans="2:12" x14ac:dyDescent="0.2">
      <c r="B25200"/>
      <c r="C25200"/>
      <c r="J25200"/>
      <c r="K25200"/>
      <c r="L25200"/>
    </row>
    <row r="25201" spans="2:12" x14ac:dyDescent="0.2">
      <c r="B25201"/>
      <c r="C25201"/>
      <c r="J25201"/>
      <c r="K25201"/>
      <c r="L25201"/>
    </row>
    <row r="25202" spans="2:12" x14ac:dyDescent="0.2">
      <c r="B25202"/>
      <c r="C25202"/>
      <c r="J25202"/>
      <c r="K25202"/>
      <c r="L25202"/>
    </row>
    <row r="25203" spans="2:12" x14ac:dyDescent="0.2">
      <c r="B25203"/>
      <c r="C25203"/>
      <c r="J25203"/>
      <c r="K25203"/>
      <c r="L25203"/>
    </row>
    <row r="25204" spans="2:12" x14ac:dyDescent="0.2">
      <c r="B25204"/>
      <c r="C25204"/>
      <c r="J25204"/>
      <c r="K25204"/>
      <c r="L25204"/>
    </row>
    <row r="25205" spans="2:12" x14ac:dyDescent="0.2">
      <c r="B25205"/>
      <c r="C25205"/>
      <c r="J25205"/>
      <c r="K25205"/>
      <c r="L25205"/>
    </row>
    <row r="25206" spans="2:12" x14ac:dyDescent="0.2">
      <c r="B25206"/>
      <c r="C25206"/>
      <c r="J25206"/>
      <c r="K25206"/>
      <c r="L25206"/>
    </row>
    <row r="25207" spans="2:12" x14ac:dyDescent="0.2">
      <c r="B25207"/>
      <c r="C25207"/>
      <c r="J25207"/>
      <c r="K25207"/>
      <c r="L25207"/>
    </row>
    <row r="25208" spans="2:12" x14ac:dyDescent="0.2">
      <c r="B25208"/>
      <c r="C25208"/>
      <c r="J25208"/>
      <c r="K25208"/>
      <c r="L25208"/>
    </row>
    <row r="25209" spans="2:12" x14ac:dyDescent="0.2">
      <c r="B25209"/>
      <c r="C25209"/>
      <c r="J25209"/>
      <c r="K25209"/>
      <c r="L25209"/>
    </row>
    <row r="25210" spans="2:12" x14ac:dyDescent="0.2">
      <c r="B25210"/>
      <c r="C25210"/>
      <c r="J25210"/>
      <c r="K25210"/>
      <c r="L25210"/>
    </row>
    <row r="25211" spans="2:12" x14ac:dyDescent="0.2">
      <c r="B25211"/>
      <c r="C25211"/>
      <c r="J25211"/>
      <c r="K25211"/>
      <c r="L25211"/>
    </row>
    <row r="25212" spans="2:12" x14ac:dyDescent="0.2">
      <c r="B25212"/>
      <c r="C25212"/>
      <c r="J25212"/>
      <c r="K25212"/>
      <c r="L25212"/>
    </row>
    <row r="25213" spans="2:12" x14ac:dyDescent="0.2">
      <c r="B25213"/>
      <c r="C25213"/>
      <c r="J25213"/>
      <c r="K25213"/>
      <c r="L25213"/>
    </row>
    <row r="25214" spans="2:12" x14ac:dyDescent="0.2">
      <c r="B25214"/>
      <c r="C25214"/>
      <c r="J25214"/>
      <c r="K25214"/>
      <c r="L25214"/>
    </row>
    <row r="25215" spans="2:12" x14ac:dyDescent="0.2">
      <c r="B25215"/>
      <c r="C25215"/>
      <c r="J25215"/>
      <c r="K25215"/>
      <c r="L25215"/>
    </row>
    <row r="25216" spans="2:12" x14ac:dyDescent="0.2">
      <c r="B25216"/>
      <c r="C25216"/>
      <c r="J25216"/>
      <c r="K25216"/>
      <c r="L25216"/>
    </row>
    <row r="25217" spans="2:12" x14ac:dyDescent="0.2">
      <c r="B25217"/>
      <c r="C25217"/>
      <c r="J25217"/>
      <c r="K25217"/>
      <c r="L25217"/>
    </row>
    <row r="25218" spans="2:12" x14ac:dyDescent="0.2">
      <c r="B25218"/>
      <c r="C25218"/>
      <c r="J25218"/>
      <c r="K25218"/>
      <c r="L25218"/>
    </row>
    <row r="25219" spans="2:12" x14ac:dyDescent="0.2">
      <c r="B25219"/>
      <c r="C25219"/>
      <c r="J25219"/>
      <c r="K25219"/>
      <c r="L25219"/>
    </row>
    <row r="25220" spans="2:12" x14ac:dyDescent="0.2">
      <c r="B25220"/>
      <c r="C25220"/>
      <c r="J25220"/>
      <c r="K25220"/>
      <c r="L25220"/>
    </row>
    <row r="25221" spans="2:12" x14ac:dyDescent="0.2">
      <c r="B25221"/>
      <c r="C25221"/>
      <c r="J25221"/>
      <c r="K25221"/>
      <c r="L25221"/>
    </row>
    <row r="25222" spans="2:12" x14ac:dyDescent="0.2">
      <c r="B25222"/>
      <c r="C25222"/>
      <c r="J25222"/>
      <c r="K25222"/>
      <c r="L25222"/>
    </row>
    <row r="25223" spans="2:12" x14ac:dyDescent="0.2">
      <c r="B25223"/>
      <c r="C25223"/>
      <c r="J25223"/>
      <c r="K25223"/>
      <c r="L25223"/>
    </row>
    <row r="25224" spans="2:12" x14ac:dyDescent="0.2">
      <c r="B25224"/>
      <c r="C25224"/>
      <c r="J25224"/>
      <c r="K25224"/>
      <c r="L25224"/>
    </row>
    <row r="25225" spans="2:12" x14ac:dyDescent="0.2">
      <c r="B25225"/>
      <c r="C25225"/>
      <c r="J25225"/>
      <c r="K25225"/>
      <c r="L25225"/>
    </row>
    <row r="25226" spans="2:12" x14ac:dyDescent="0.2">
      <c r="B25226"/>
      <c r="C25226"/>
      <c r="J25226"/>
      <c r="K25226"/>
      <c r="L25226"/>
    </row>
    <row r="25227" spans="2:12" x14ac:dyDescent="0.2">
      <c r="B25227"/>
      <c r="C25227"/>
      <c r="J25227"/>
      <c r="K25227"/>
      <c r="L25227"/>
    </row>
    <row r="25228" spans="2:12" x14ac:dyDescent="0.2">
      <c r="B25228"/>
      <c r="C25228"/>
      <c r="J25228"/>
      <c r="K25228"/>
      <c r="L25228"/>
    </row>
    <row r="25229" spans="2:12" x14ac:dyDescent="0.2">
      <c r="B25229"/>
      <c r="C25229"/>
      <c r="J25229"/>
      <c r="K25229"/>
      <c r="L25229"/>
    </row>
    <row r="25230" spans="2:12" x14ac:dyDescent="0.2">
      <c r="B25230"/>
      <c r="C25230"/>
      <c r="J25230"/>
      <c r="K25230"/>
      <c r="L25230"/>
    </row>
    <row r="25231" spans="2:12" x14ac:dyDescent="0.2">
      <c r="B25231"/>
      <c r="C25231"/>
      <c r="J25231"/>
      <c r="K25231"/>
      <c r="L25231"/>
    </row>
    <row r="25232" spans="2:12" x14ac:dyDescent="0.2">
      <c r="B25232"/>
      <c r="C25232"/>
      <c r="J25232"/>
      <c r="K25232"/>
      <c r="L25232"/>
    </row>
    <row r="25233" spans="2:12" x14ac:dyDescent="0.2">
      <c r="B25233"/>
      <c r="C25233"/>
      <c r="J25233"/>
      <c r="K25233"/>
      <c r="L25233"/>
    </row>
    <row r="25234" spans="2:12" x14ac:dyDescent="0.2">
      <c r="B25234"/>
      <c r="C25234"/>
      <c r="J25234"/>
      <c r="K25234"/>
      <c r="L25234"/>
    </row>
    <row r="25235" spans="2:12" x14ac:dyDescent="0.2">
      <c r="B25235"/>
      <c r="C25235"/>
      <c r="J25235"/>
      <c r="K25235"/>
      <c r="L25235"/>
    </row>
    <row r="25236" spans="2:12" x14ac:dyDescent="0.2">
      <c r="B25236"/>
      <c r="C25236"/>
      <c r="J25236"/>
      <c r="K25236"/>
      <c r="L25236"/>
    </row>
    <row r="25237" spans="2:12" x14ac:dyDescent="0.2">
      <c r="B25237"/>
      <c r="C25237"/>
      <c r="J25237"/>
      <c r="K25237"/>
      <c r="L25237"/>
    </row>
    <row r="25238" spans="2:12" x14ac:dyDescent="0.2">
      <c r="B25238"/>
      <c r="C25238"/>
      <c r="J25238"/>
      <c r="K25238"/>
      <c r="L25238"/>
    </row>
    <row r="25239" spans="2:12" x14ac:dyDescent="0.2">
      <c r="B25239"/>
      <c r="C25239"/>
      <c r="J25239"/>
      <c r="K25239"/>
      <c r="L25239"/>
    </row>
    <row r="25240" spans="2:12" x14ac:dyDescent="0.2">
      <c r="B25240"/>
      <c r="C25240"/>
      <c r="J25240"/>
      <c r="K25240"/>
      <c r="L25240"/>
    </row>
    <row r="25241" spans="2:12" x14ac:dyDescent="0.2">
      <c r="B25241"/>
      <c r="C25241"/>
      <c r="J25241"/>
      <c r="K25241"/>
      <c r="L25241"/>
    </row>
    <row r="25242" spans="2:12" x14ac:dyDescent="0.2">
      <c r="B25242"/>
      <c r="C25242"/>
      <c r="J25242"/>
      <c r="K25242"/>
      <c r="L25242"/>
    </row>
    <row r="25243" spans="2:12" x14ac:dyDescent="0.2">
      <c r="B25243"/>
      <c r="C25243"/>
      <c r="J25243"/>
      <c r="K25243"/>
      <c r="L25243"/>
    </row>
    <row r="25244" spans="2:12" x14ac:dyDescent="0.2">
      <c r="B25244"/>
      <c r="C25244"/>
      <c r="J25244"/>
      <c r="K25244"/>
      <c r="L25244"/>
    </row>
    <row r="25245" spans="2:12" x14ac:dyDescent="0.2">
      <c r="B25245"/>
      <c r="C25245"/>
      <c r="J25245"/>
      <c r="K25245"/>
      <c r="L25245"/>
    </row>
    <row r="25246" spans="2:12" x14ac:dyDescent="0.2">
      <c r="B25246"/>
      <c r="C25246"/>
      <c r="J25246"/>
      <c r="K25246"/>
      <c r="L25246"/>
    </row>
    <row r="25247" spans="2:12" x14ac:dyDescent="0.2">
      <c r="B25247"/>
      <c r="C25247"/>
      <c r="J25247"/>
      <c r="K25247"/>
      <c r="L25247"/>
    </row>
    <row r="25248" spans="2:12" x14ac:dyDescent="0.2">
      <c r="B25248"/>
      <c r="C25248"/>
      <c r="J25248"/>
      <c r="K25248"/>
      <c r="L25248"/>
    </row>
    <row r="25249" spans="2:12" x14ac:dyDescent="0.2">
      <c r="B25249"/>
      <c r="C25249"/>
      <c r="J25249"/>
      <c r="K25249"/>
      <c r="L25249"/>
    </row>
    <row r="25250" spans="2:12" x14ac:dyDescent="0.2">
      <c r="B25250"/>
      <c r="C25250"/>
      <c r="J25250"/>
      <c r="K25250"/>
      <c r="L25250"/>
    </row>
    <row r="25251" spans="2:12" x14ac:dyDescent="0.2">
      <c r="B25251"/>
      <c r="C25251"/>
      <c r="J25251"/>
      <c r="K25251"/>
      <c r="L25251"/>
    </row>
    <row r="25252" spans="2:12" x14ac:dyDescent="0.2">
      <c r="B25252"/>
      <c r="C25252"/>
      <c r="J25252"/>
      <c r="K25252"/>
      <c r="L25252"/>
    </row>
    <row r="25253" spans="2:12" x14ac:dyDescent="0.2">
      <c r="B25253"/>
      <c r="C25253"/>
      <c r="J25253"/>
      <c r="K25253"/>
      <c r="L25253"/>
    </row>
    <row r="25254" spans="2:12" x14ac:dyDescent="0.2">
      <c r="B25254"/>
      <c r="C25254"/>
      <c r="J25254"/>
      <c r="K25254"/>
      <c r="L25254"/>
    </row>
    <row r="25255" spans="2:12" x14ac:dyDescent="0.2">
      <c r="B25255"/>
      <c r="C25255"/>
      <c r="J25255"/>
      <c r="K25255"/>
      <c r="L25255"/>
    </row>
    <row r="25256" spans="2:12" x14ac:dyDescent="0.2">
      <c r="B25256"/>
      <c r="C25256"/>
      <c r="J25256"/>
      <c r="K25256"/>
      <c r="L25256"/>
    </row>
    <row r="25257" spans="2:12" x14ac:dyDescent="0.2">
      <c r="B25257"/>
      <c r="C25257"/>
      <c r="J25257"/>
      <c r="K25257"/>
      <c r="L25257"/>
    </row>
    <row r="25258" spans="2:12" x14ac:dyDescent="0.2">
      <c r="B25258"/>
      <c r="C25258"/>
      <c r="J25258"/>
      <c r="K25258"/>
      <c r="L25258"/>
    </row>
    <row r="25259" spans="2:12" x14ac:dyDescent="0.2">
      <c r="B25259"/>
      <c r="C25259"/>
      <c r="J25259"/>
      <c r="K25259"/>
      <c r="L25259"/>
    </row>
    <row r="25260" spans="2:12" x14ac:dyDescent="0.2">
      <c r="B25260"/>
      <c r="C25260"/>
      <c r="J25260"/>
      <c r="K25260"/>
      <c r="L25260"/>
    </row>
    <row r="25261" spans="2:12" x14ac:dyDescent="0.2">
      <c r="B25261"/>
      <c r="C25261"/>
      <c r="J25261"/>
      <c r="K25261"/>
      <c r="L25261"/>
    </row>
    <row r="25262" spans="2:12" x14ac:dyDescent="0.2">
      <c r="B25262"/>
      <c r="C25262"/>
      <c r="J25262"/>
      <c r="K25262"/>
      <c r="L25262"/>
    </row>
    <row r="25263" spans="2:12" x14ac:dyDescent="0.2">
      <c r="B25263"/>
      <c r="C25263"/>
      <c r="J25263"/>
      <c r="K25263"/>
      <c r="L25263"/>
    </row>
    <row r="25264" spans="2:12" x14ac:dyDescent="0.2">
      <c r="B25264"/>
      <c r="C25264"/>
      <c r="J25264"/>
      <c r="K25264"/>
      <c r="L25264"/>
    </row>
    <row r="25265" spans="2:12" x14ac:dyDescent="0.2">
      <c r="B25265"/>
      <c r="C25265"/>
      <c r="J25265"/>
      <c r="K25265"/>
      <c r="L25265"/>
    </row>
    <row r="25266" spans="2:12" x14ac:dyDescent="0.2">
      <c r="B25266"/>
      <c r="C25266"/>
      <c r="J25266"/>
      <c r="K25266"/>
      <c r="L25266"/>
    </row>
    <row r="25267" spans="2:12" x14ac:dyDescent="0.2">
      <c r="B25267"/>
      <c r="C25267"/>
      <c r="J25267"/>
      <c r="K25267"/>
      <c r="L25267"/>
    </row>
    <row r="25268" spans="2:12" x14ac:dyDescent="0.2">
      <c r="B25268"/>
      <c r="C25268"/>
      <c r="J25268"/>
      <c r="K25268"/>
      <c r="L25268"/>
    </row>
    <row r="25269" spans="2:12" x14ac:dyDescent="0.2">
      <c r="B25269"/>
      <c r="C25269"/>
      <c r="J25269"/>
      <c r="K25269"/>
      <c r="L25269"/>
    </row>
    <row r="25270" spans="2:12" x14ac:dyDescent="0.2">
      <c r="B25270"/>
      <c r="C25270"/>
      <c r="J25270"/>
      <c r="K25270"/>
      <c r="L25270"/>
    </row>
    <row r="25271" spans="2:12" x14ac:dyDescent="0.2">
      <c r="B25271"/>
      <c r="C25271"/>
      <c r="J25271"/>
      <c r="K25271"/>
      <c r="L25271"/>
    </row>
    <row r="25272" spans="2:12" x14ac:dyDescent="0.2">
      <c r="B25272"/>
      <c r="C25272"/>
      <c r="J25272"/>
      <c r="K25272"/>
      <c r="L25272"/>
    </row>
    <row r="25273" spans="2:12" x14ac:dyDescent="0.2">
      <c r="B25273"/>
      <c r="C25273"/>
      <c r="J25273"/>
      <c r="K25273"/>
      <c r="L25273"/>
    </row>
    <row r="25274" spans="2:12" x14ac:dyDescent="0.2">
      <c r="B25274"/>
      <c r="C25274"/>
      <c r="J25274"/>
      <c r="K25274"/>
      <c r="L25274"/>
    </row>
    <row r="25275" spans="2:12" x14ac:dyDescent="0.2">
      <c r="B25275"/>
      <c r="C25275"/>
      <c r="J25275"/>
      <c r="K25275"/>
      <c r="L25275"/>
    </row>
    <row r="25276" spans="2:12" x14ac:dyDescent="0.2">
      <c r="B25276"/>
      <c r="C25276"/>
      <c r="J25276"/>
      <c r="K25276"/>
      <c r="L25276"/>
    </row>
    <row r="25277" spans="2:12" x14ac:dyDescent="0.2">
      <c r="B25277"/>
      <c r="C25277"/>
      <c r="J25277"/>
      <c r="K25277"/>
      <c r="L25277"/>
    </row>
    <row r="25278" spans="2:12" x14ac:dyDescent="0.2">
      <c r="B25278"/>
      <c r="C25278"/>
      <c r="J25278"/>
      <c r="K25278"/>
      <c r="L25278"/>
    </row>
    <row r="25279" spans="2:12" x14ac:dyDescent="0.2">
      <c r="B25279"/>
      <c r="C25279"/>
      <c r="J25279"/>
      <c r="K25279"/>
      <c r="L25279"/>
    </row>
    <row r="25280" spans="2:12" x14ac:dyDescent="0.2">
      <c r="B25280"/>
      <c r="C25280"/>
      <c r="J25280"/>
      <c r="K25280"/>
      <c r="L25280"/>
    </row>
    <row r="25281" spans="2:12" x14ac:dyDescent="0.2">
      <c r="B25281"/>
      <c r="C25281"/>
      <c r="J25281"/>
      <c r="K25281"/>
      <c r="L25281"/>
    </row>
    <row r="25282" spans="2:12" x14ac:dyDescent="0.2">
      <c r="B25282"/>
      <c r="C25282"/>
      <c r="J25282"/>
      <c r="K25282"/>
      <c r="L25282"/>
    </row>
    <row r="25283" spans="2:12" x14ac:dyDescent="0.2">
      <c r="B25283"/>
      <c r="C25283"/>
      <c r="J25283"/>
      <c r="K25283"/>
      <c r="L25283"/>
    </row>
    <row r="25284" spans="2:12" x14ac:dyDescent="0.2">
      <c r="B25284"/>
      <c r="C25284"/>
      <c r="J25284"/>
      <c r="K25284"/>
      <c r="L25284"/>
    </row>
    <row r="25285" spans="2:12" x14ac:dyDescent="0.2">
      <c r="B25285"/>
      <c r="C25285"/>
      <c r="J25285"/>
      <c r="K25285"/>
      <c r="L25285"/>
    </row>
    <row r="25286" spans="2:12" x14ac:dyDescent="0.2">
      <c r="B25286"/>
      <c r="C25286"/>
      <c r="J25286"/>
      <c r="K25286"/>
      <c r="L25286"/>
    </row>
    <row r="25287" spans="2:12" x14ac:dyDescent="0.2">
      <c r="B25287"/>
      <c r="C25287"/>
      <c r="J25287"/>
      <c r="K25287"/>
      <c r="L25287"/>
    </row>
    <row r="25288" spans="2:12" x14ac:dyDescent="0.2">
      <c r="B25288"/>
      <c r="C25288"/>
      <c r="J25288"/>
      <c r="K25288"/>
      <c r="L25288"/>
    </row>
    <row r="25289" spans="2:12" x14ac:dyDescent="0.2">
      <c r="B25289"/>
      <c r="C25289"/>
      <c r="J25289"/>
      <c r="K25289"/>
      <c r="L25289"/>
    </row>
    <row r="25290" spans="2:12" x14ac:dyDescent="0.2">
      <c r="B25290"/>
      <c r="C25290"/>
      <c r="J25290"/>
      <c r="K25290"/>
      <c r="L25290"/>
    </row>
    <row r="25291" spans="2:12" x14ac:dyDescent="0.2">
      <c r="B25291"/>
      <c r="C25291"/>
      <c r="J25291"/>
      <c r="K25291"/>
      <c r="L25291"/>
    </row>
    <row r="25292" spans="2:12" x14ac:dyDescent="0.2">
      <c r="B25292"/>
      <c r="C25292"/>
      <c r="J25292"/>
      <c r="K25292"/>
      <c r="L25292"/>
    </row>
    <row r="25293" spans="2:12" x14ac:dyDescent="0.2">
      <c r="B25293"/>
      <c r="C25293"/>
      <c r="J25293"/>
      <c r="K25293"/>
      <c r="L25293"/>
    </row>
    <row r="25294" spans="2:12" x14ac:dyDescent="0.2">
      <c r="B25294"/>
      <c r="C25294"/>
      <c r="J25294"/>
      <c r="K25294"/>
      <c r="L25294"/>
    </row>
    <row r="25295" spans="2:12" x14ac:dyDescent="0.2">
      <c r="B25295"/>
      <c r="C25295"/>
      <c r="J25295"/>
      <c r="K25295"/>
      <c r="L25295"/>
    </row>
    <row r="25296" spans="2:12" x14ac:dyDescent="0.2">
      <c r="B25296"/>
      <c r="C25296"/>
      <c r="J25296"/>
      <c r="K25296"/>
      <c r="L25296"/>
    </row>
    <row r="25297" spans="2:12" x14ac:dyDescent="0.2">
      <c r="B25297"/>
      <c r="C25297"/>
      <c r="J25297"/>
      <c r="K25297"/>
      <c r="L25297"/>
    </row>
    <row r="25298" spans="2:12" x14ac:dyDescent="0.2">
      <c r="B25298"/>
      <c r="C25298"/>
      <c r="J25298"/>
      <c r="K25298"/>
      <c r="L25298"/>
    </row>
    <row r="25299" spans="2:12" x14ac:dyDescent="0.2">
      <c r="B25299"/>
      <c r="C25299"/>
      <c r="J25299"/>
      <c r="K25299"/>
      <c r="L25299"/>
    </row>
    <row r="25300" spans="2:12" x14ac:dyDescent="0.2">
      <c r="B25300"/>
      <c r="C25300"/>
      <c r="J25300"/>
      <c r="K25300"/>
      <c r="L25300"/>
    </row>
    <row r="25301" spans="2:12" x14ac:dyDescent="0.2">
      <c r="B25301"/>
      <c r="C25301"/>
      <c r="J25301"/>
      <c r="K25301"/>
      <c r="L25301"/>
    </row>
    <row r="25302" spans="2:12" x14ac:dyDescent="0.2">
      <c r="B25302"/>
      <c r="C25302"/>
      <c r="J25302"/>
      <c r="K25302"/>
      <c r="L25302"/>
    </row>
    <row r="25303" spans="2:12" x14ac:dyDescent="0.2">
      <c r="B25303"/>
      <c r="C25303"/>
      <c r="J25303"/>
      <c r="K25303"/>
      <c r="L25303"/>
    </row>
    <row r="25304" spans="2:12" x14ac:dyDescent="0.2">
      <c r="B25304"/>
      <c r="C25304"/>
      <c r="J25304"/>
      <c r="K25304"/>
      <c r="L25304"/>
    </row>
    <row r="25305" spans="2:12" x14ac:dyDescent="0.2">
      <c r="B25305"/>
      <c r="C25305"/>
      <c r="J25305"/>
      <c r="K25305"/>
      <c r="L25305"/>
    </row>
    <row r="25306" spans="2:12" x14ac:dyDescent="0.2">
      <c r="B25306"/>
      <c r="C25306"/>
      <c r="J25306"/>
      <c r="K25306"/>
      <c r="L25306"/>
    </row>
    <row r="25307" spans="2:12" x14ac:dyDescent="0.2">
      <c r="B25307"/>
      <c r="C25307"/>
      <c r="J25307"/>
      <c r="K25307"/>
      <c r="L25307"/>
    </row>
    <row r="25308" spans="2:12" x14ac:dyDescent="0.2">
      <c r="B25308"/>
      <c r="C25308"/>
      <c r="J25308"/>
      <c r="K25308"/>
      <c r="L25308"/>
    </row>
    <row r="25309" spans="2:12" x14ac:dyDescent="0.2">
      <c r="B25309"/>
      <c r="C25309"/>
      <c r="J25309"/>
      <c r="K25309"/>
      <c r="L25309"/>
    </row>
    <row r="25310" spans="2:12" x14ac:dyDescent="0.2">
      <c r="B25310"/>
      <c r="C25310"/>
      <c r="J25310"/>
      <c r="K25310"/>
      <c r="L25310"/>
    </row>
    <row r="25311" spans="2:12" x14ac:dyDescent="0.2">
      <c r="B25311"/>
      <c r="C25311"/>
      <c r="J25311"/>
      <c r="K25311"/>
      <c r="L25311"/>
    </row>
    <row r="25312" spans="2:12" x14ac:dyDescent="0.2">
      <c r="B25312"/>
      <c r="C25312"/>
      <c r="J25312"/>
      <c r="K25312"/>
      <c r="L25312"/>
    </row>
    <row r="25313" spans="2:12" x14ac:dyDescent="0.2">
      <c r="B25313"/>
      <c r="C25313"/>
      <c r="J25313"/>
      <c r="K25313"/>
      <c r="L25313"/>
    </row>
    <row r="25314" spans="2:12" x14ac:dyDescent="0.2">
      <c r="B25314"/>
      <c r="C25314"/>
      <c r="J25314"/>
      <c r="K25314"/>
      <c r="L25314"/>
    </row>
    <row r="25315" spans="2:12" x14ac:dyDescent="0.2">
      <c r="B25315"/>
      <c r="C25315"/>
      <c r="J25315"/>
      <c r="K25315"/>
      <c r="L25315"/>
    </row>
    <row r="25316" spans="2:12" x14ac:dyDescent="0.2">
      <c r="B25316"/>
      <c r="C25316"/>
      <c r="J25316"/>
      <c r="K25316"/>
      <c r="L25316"/>
    </row>
    <row r="25317" spans="2:12" x14ac:dyDescent="0.2">
      <c r="B25317"/>
      <c r="C25317"/>
      <c r="J25317"/>
      <c r="K25317"/>
      <c r="L25317"/>
    </row>
    <row r="25318" spans="2:12" x14ac:dyDescent="0.2">
      <c r="B25318"/>
      <c r="C25318"/>
      <c r="J25318"/>
      <c r="K25318"/>
      <c r="L25318"/>
    </row>
    <row r="25319" spans="2:12" x14ac:dyDescent="0.2">
      <c r="B25319"/>
      <c r="C25319"/>
      <c r="J25319"/>
      <c r="K25319"/>
      <c r="L25319"/>
    </row>
    <row r="25320" spans="2:12" x14ac:dyDescent="0.2">
      <c r="B25320"/>
      <c r="C25320"/>
      <c r="J25320"/>
      <c r="K25320"/>
      <c r="L25320"/>
    </row>
    <row r="25321" spans="2:12" x14ac:dyDescent="0.2">
      <c r="B25321"/>
      <c r="C25321"/>
      <c r="J25321"/>
      <c r="K25321"/>
      <c r="L25321"/>
    </row>
    <row r="25322" spans="2:12" x14ac:dyDescent="0.2">
      <c r="B25322"/>
      <c r="C25322"/>
      <c r="J25322"/>
      <c r="K25322"/>
      <c r="L25322"/>
    </row>
    <row r="25323" spans="2:12" x14ac:dyDescent="0.2">
      <c r="B25323"/>
      <c r="C25323"/>
      <c r="J25323"/>
      <c r="K25323"/>
      <c r="L25323"/>
    </row>
    <row r="25324" spans="2:12" x14ac:dyDescent="0.2">
      <c r="B25324"/>
      <c r="C25324"/>
      <c r="J25324"/>
      <c r="K25324"/>
      <c r="L25324"/>
    </row>
    <row r="25325" spans="2:12" x14ac:dyDescent="0.2">
      <c r="B25325"/>
      <c r="C25325"/>
      <c r="J25325"/>
      <c r="K25325"/>
      <c r="L25325"/>
    </row>
    <row r="25326" spans="2:12" x14ac:dyDescent="0.2">
      <c r="B25326"/>
      <c r="C25326"/>
      <c r="J25326"/>
      <c r="K25326"/>
      <c r="L25326"/>
    </row>
    <row r="25327" spans="2:12" x14ac:dyDescent="0.2">
      <c r="B25327"/>
      <c r="C25327"/>
      <c r="J25327"/>
      <c r="K25327"/>
      <c r="L25327"/>
    </row>
    <row r="25328" spans="2:12" x14ac:dyDescent="0.2">
      <c r="B25328"/>
      <c r="C25328"/>
      <c r="J25328"/>
      <c r="K25328"/>
      <c r="L25328"/>
    </row>
    <row r="25329" spans="2:12" x14ac:dyDescent="0.2">
      <c r="B25329"/>
      <c r="C25329"/>
      <c r="J25329"/>
      <c r="K25329"/>
      <c r="L25329"/>
    </row>
    <row r="25330" spans="2:12" x14ac:dyDescent="0.2">
      <c r="B25330"/>
      <c r="C25330"/>
      <c r="J25330"/>
      <c r="K25330"/>
      <c r="L25330"/>
    </row>
    <row r="25331" spans="2:12" x14ac:dyDescent="0.2">
      <c r="B25331"/>
      <c r="C25331"/>
      <c r="J25331"/>
      <c r="K25331"/>
      <c r="L25331"/>
    </row>
    <row r="25332" spans="2:12" x14ac:dyDescent="0.2">
      <c r="B25332"/>
      <c r="C25332"/>
      <c r="J25332"/>
      <c r="K25332"/>
      <c r="L25332"/>
    </row>
    <row r="25333" spans="2:12" x14ac:dyDescent="0.2">
      <c r="B25333"/>
      <c r="C25333"/>
      <c r="J25333"/>
      <c r="K25333"/>
      <c r="L25333"/>
    </row>
    <row r="25334" spans="2:12" x14ac:dyDescent="0.2">
      <c r="B25334"/>
      <c r="C25334"/>
      <c r="J25334"/>
      <c r="K25334"/>
      <c r="L25334"/>
    </row>
    <row r="25335" spans="2:12" x14ac:dyDescent="0.2">
      <c r="B25335"/>
      <c r="C25335"/>
      <c r="J25335"/>
      <c r="K25335"/>
      <c r="L25335"/>
    </row>
    <row r="25336" spans="2:12" x14ac:dyDescent="0.2">
      <c r="B25336"/>
      <c r="C25336"/>
      <c r="J25336"/>
      <c r="K25336"/>
      <c r="L25336"/>
    </row>
    <row r="25337" spans="2:12" x14ac:dyDescent="0.2">
      <c r="B25337"/>
      <c r="C25337"/>
      <c r="J25337"/>
      <c r="K25337"/>
      <c r="L25337"/>
    </row>
    <row r="25338" spans="2:12" x14ac:dyDescent="0.2">
      <c r="B25338"/>
      <c r="C25338"/>
      <c r="J25338"/>
      <c r="K25338"/>
      <c r="L25338"/>
    </row>
    <row r="25339" spans="2:12" x14ac:dyDescent="0.2">
      <c r="B25339"/>
      <c r="C25339"/>
      <c r="J25339"/>
      <c r="K25339"/>
      <c r="L25339"/>
    </row>
    <row r="25340" spans="2:12" x14ac:dyDescent="0.2">
      <c r="B25340"/>
      <c r="C25340"/>
      <c r="J25340"/>
      <c r="K25340"/>
      <c r="L25340"/>
    </row>
    <row r="25341" spans="2:12" x14ac:dyDescent="0.2">
      <c r="B25341"/>
      <c r="C25341"/>
      <c r="J25341"/>
      <c r="K25341"/>
      <c r="L25341"/>
    </row>
    <row r="25342" spans="2:12" x14ac:dyDescent="0.2">
      <c r="B25342"/>
      <c r="C25342"/>
      <c r="J25342"/>
      <c r="K25342"/>
      <c r="L25342"/>
    </row>
    <row r="25343" spans="2:12" x14ac:dyDescent="0.2">
      <c r="B25343"/>
      <c r="C25343"/>
      <c r="J25343"/>
      <c r="K25343"/>
      <c r="L25343"/>
    </row>
    <row r="25344" spans="2:12" x14ac:dyDescent="0.2">
      <c r="B25344"/>
      <c r="C25344"/>
      <c r="J25344"/>
      <c r="K25344"/>
      <c r="L25344"/>
    </row>
    <row r="25345" spans="2:12" x14ac:dyDescent="0.2">
      <c r="B25345"/>
      <c r="C25345"/>
      <c r="J25345"/>
      <c r="K25345"/>
      <c r="L25345"/>
    </row>
    <row r="25346" spans="2:12" x14ac:dyDescent="0.2">
      <c r="B25346"/>
      <c r="C25346"/>
      <c r="J25346"/>
      <c r="K25346"/>
      <c r="L25346"/>
    </row>
    <row r="25347" spans="2:12" x14ac:dyDescent="0.2">
      <c r="B25347"/>
      <c r="C25347"/>
      <c r="J25347"/>
      <c r="K25347"/>
      <c r="L25347"/>
    </row>
    <row r="25348" spans="2:12" x14ac:dyDescent="0.2">
      <c r="B25348"/>
      <c r="C25348"/>
      <c r="J25348"/>
      <c r="K25348"/>
      <c r="L25348"/>
    </row>
    <row r="25349" spans="2:12" x14ac:dyDescent="0.2">
      <c r="B25349"/>
      <c r="C25349"/>
      <c r="J25349"/>
      <c r="K25349"/>
      <c r="L25349"/>
    </row>
    <row r="25350" spans="2:12" x14ac:dyDescent="0.2">
      <c r="B25350"/>
      <c r="C25350"/>
      <c r="J25350"/>
      <c r="K25350"/>
      <c r="L25350"/>
    </row>
    <row r="25351" spans="2:12" x14ac:dyDescent="0.2">
      <c r="B25351"/>
      <c r="C25351"/>
      <c r="J25351"/>
      <c r="K25351"/>
      <c r="L25351"/>
    </row>
    <row r="25352" spans="2:12" x14ac:dyDescent="0.2">
      <c r="B25352"/>
      <c r="C25352"/>
      <c r="J25352"/>
      <c r="K25352"/>
      <c r="L25352"/>
    </row>
    <row r="25353" spans="2:12" x14ac:dyDescent="0.2">
      <c r="B25353"/>
      <c r="C25353"/>
      <c r="J25353"/>
      <c r="K25353"/>
      <c r="L25353"/>
    </row>
    <row r="25354" spans="2:12" x14ac:dyDescent="0.2">
      <c r="B25354"/>
      <c r="C25354"/>
      <c r="J25354"/>
      <c r="K25354"/>
      <c r="L25354"/>
    </row>
    <row r="25355" spans="2:12" x14ac:dyDescent="0.2">
      <c r="B25355"/>
      <c r="C25355"/>
      <c r="J25355"/>
      <c r="K25355"/>
      <c r="L25355"/>
    </row>
    <row r="25356" spans="2:12" x14ac:dyDescent="0.2">
      <c r="B25356"/>
      <c r="C25356"/>
      <c r="J25356"/>
      <c r="K25356"/>
      <c r="L25356"/>
    </row>
    <row r="25357" spans="2:12" x14ac:dyDescent="0.2">
      <c r="B25357"/>
      <c r="C25357"/>
      <c r="J25357"/>
      <c r="K25357"/>
      <c r="L25357"/>
    </row>
    <row r="25358" spans="2:12" x14ac:dyDescent="0.2">
      <c r="B25358"/>
      <c r="C25358"/>
      <c r="J25358"/>
      <c r="K25358"/>
      <c r="L25358"/>
    </row>
    <row r="25359" spans="2:12" x14ac:dyDescent="0.2">
      <c r="B25359"/>
      <c r="C25359"/>
      <c r="J25359"/>
      <c r="K25359"/>
      <c r="L25359"/>
    </row>
    <row r="25360" spans="2:12" x14ac:dyDescent="0.2">
      <c r="B25360"/>
      <c r="C25360"/>
      <c r="J25360"/>
      <c r="K25360"/>
      <c r="L25360"/>
    </row>
    <row r="25361" spans="2:12" x14ac:dyDescent="0.2">
      <c r="B25361"/>
      <c r="C25361"/>
      <c r="J25361"/>
      <c r="K25361"/>
      <c r="L25361"/>
    </row>
    <row r="25362" spans="2:12" x14ac:dyDescent="0.2">
      <c r="B25362"/>
      <c r="C25362"/>
      <c r="J25362"/>
      <c r="K25362"/>
      <c r="L25362"/>
    </row>
    <row r="25363" spans="2:12" x14ac:dyDescent="0.2">
      <c r="B25363"/>
      <c r="C25363"/>
      <c r="J25363"/>
      <c r="K25363"/>
      <c r="L25363"/>
    </row>
    <row r="25364" spans="2:12" x14ac:dyDescent="0.2">
      <c r="B25364"/>
      <c r="C25364"/>
      <c r="J25364"/>
      <c r="K25364"/>
      <c r="L25364"/>
    </row>
    <row r="25365" spans="2:12" x14ac:dyDescent="0.2">
      <c r="B25365"/>
      <c r="C25365"/>
      <c r="J25365"/>
      <c r="K25365"/>
      <c r="L25365"/>
    </row>
    <row r="25366" spans="2:12" x14ac:dyDescent="0.2">
      <c r="B25366"/>
      <c r="C25366"/>
      <c r="J25366"/>
      <c r="K25366"/>
      <c r="L25366"/>
    </row>
    <row r="25367" spans="2:12" x14ac:dyDescent="0.2">
      <c r="B25367"/>
      <c r="C25367"/>
      <c r="J25367"/>
      <c r="K25367"/>
      <c r="L25367"/>
    </row>
    <row r="25368" spans="2:12" x14ac:dyDescent="0.2">
      <c r="B25368"/>
      <c r="C25368"/>
      <c r="J25368"/>
      <c r="K25368"/>
      <c r="L25368"/>
    </row>
    <row r="25369" spans="2:12" x14ac:dyDescent="0.2">
      <c r="B25369"/>
      <c r="C25369"/>
      <c r="J25369"/>
      <c r="K25369"/>
      <c r="L25369"/>
    </row>
    <row r="25370" spans="2:12" x14ac:dyDescent="0.2">
      <c r="B25370"/>
      <c r="C25370"/>
      <c r="J25370"/>
      <c r="K25370"/>
      <c r="L25370"/>
    </row>
    <row r="25371" spans="2:12" x14ac:dyDescent="0.2">
      <c r="B25371"/>
      <c r="C25371"/>
      <c r="J25371"/>
      <c r="K25371"/>
      <c r="L25371"/>
    </row>
    <row r="25372" spans="2:12" x14ac:dyDescent="0.2">
      <c r="B25372"/>
      <c r="C25372"/>
      <c r="J25372"/>
      <c r="K25372"/>
      <c r="L25372"/>
    </row>
    <row r="25373" spans="2:12" x14ac:dyDescent="0.2">
      <c r="B25373"/>
      <c r="C25373"/>
      <c r="J25373"/>
      <c r="K25373"/>
      <c r="L25373"/>
    </row>
    <row r="25374" spans="2:12" x14ac:dyDescent="0.2">
      <c r="B25374"/>
      <c r="C25374"/>
      <c r="J25374"/>
      <c r="K25374"/>
      <c r="L25374"/>
    </row>
    <row r="25375" spans="2:12" x14ac:dyDescent="0.2">
      <c r="B25375"/>
      <c r="C25375"/>
      <c r="J25375"/>
      <c r="K25375"/>
      <c r="L25375"/>
    </row>
    <row r="25376" spans="2:12" x14ac:dyDescent="0.2">
      <c r="B25376"/>
      <c r="C25376"/>
      <c r="J25376"/>
      <c r="K25376"/>
      <c r="L25376"/>
    </row>
    <row r="25377" spans="2:12" x14ac:dyDescent="0.2">
      <c r="B25377"/>
      <c r="C25377"/>
      <c r="J25377"/>
      <c r="K25377"/>
      <c r="L25377"/>
    </row>
    <row r="25378" spans="2:12" x14ac:dyDescent="0.2">
      <c r="B25378"/>
      <c r="C25378"/>
      <c r="J25378"/>
      <c r="K25378"/>
      <c r="L25378"/>
    </row>
    <row r="25379" spans="2:12" x14ac:dyDescent="0.2">
      <c r="B25379"/>
      <c r="C25379"/>
      <c r="J25379"/>
      <c r="K25379"/>
      <c r="L25379"/>
    </row>
    <row r="25380" spans="2:12" x14ac:dyDescent="0.2">
      <c r="B25380"/>
      <c r="C25380"/>
      <c r="J25380"/>
      <c r="K25380"/>
      <c r="L25380"/>
    </row>
    <row r="25381" spans="2:12" x14ac:dyDescent="0.2">
      <c r="B25381"/>
      <c r="C25381"/>
      <c r="J25381"/>
      <c r="K25381"/>
      <c r="L25381"/>
    </row>
    <row r="25382" spans="2:12" x14ac:dyDescent="0.2">
      <c r="B25382"/>
      <c r="C25382"/>
      <c r="J25382"/>
      <c r="K25382"/>
      <c r="L25382"/>
    </row>
    <row r="25383" spans="2:12" x14ac:dyDescent="0.2">
      <c r="B25383"/>
      <c r="C25383"/>
      <c r="J25383"/>
      <c r="K25383"/>
      <c r="L25383"/>
    </row>
    <row r="25384" spans="2:12" x14ac:dyDescent="0.2">
      <c r="B25384"/>
      <c r="C25384"/>
      <c r="J25384"/>
      <c r="K25384"/>
      <c r="L25384"/>
    </row>
    <row r="25385" spans="2:12" x14ac:dyDescent="0.2">
      <c r="B25385"/>
      <c r="C25385"/>
      <c r="J25385"/>
      <c r="K25385"/>
      <c r="L25385"/>
    </row>
    <row r="25386" spans="2:12" x14ac:dyDescent="0.2">
      <c r="B25386"/>
      <c r="C25386"/>
      <c r="J25386"/>
      <c r="K25386"/>
      <c r="L25386"/>
    </row>
    <row r="25387" spans="2:12" x14ac:dyDescent="0.2">
      <c r="B25387"/>
      <c r="C25387"/>
      <c r="J25387"/>
      <c r="K25387"/>
      <c r="L25387"/>
    </row>
    <row r="25388" spans="2:12" x14ac:dyDescent="0.2">
      <c r="B25388"/>
      <c r="C25388"/>
      <c r="J25388"/>
      <c r="K25388"/>
      <c r="L25388"/>
    </row>
    <row r="25389" spans="2:12" x14ac:dyDescent="0.2">
      <c r="B25389"/>
      <c r="C25389"/>
      <c r="J25389"/>
      <c r="K25389"/>
      <c r="L25389"/>
    </row>
    <row r="25390" spans="2:12" x14ac:dyDescent="0.2">
      <c r="B25390"/>
      <c r="C25390"/>
      <c r="J25390"/>
      <c r="K25390"/>
      <c r="L25390"/>
    </row>
    <row r="25391" spans="2:12" x14ac:dyDescent="0.2">
      <c r="B25391"/>
      <c r="C25391"/>
      <c r="J25391"/>
      <c r="K25391"/>
      <c r="L25391"/>
    </row>
    <row r="25392" spans="2:12" x14ac:dyDescent="0.2">
      <c r="B25392"/>
      <c r="C25392"/>
      <c r="J25392"/>
      <c r="K25392"/>
      <c r="L25392"/>
    </row>
    <row r="25393" spans="2:12" x14ac:dyDescent="0.2">
      <c r="B25393"/>
      <c r="C25393"/>
      <c r="J25393"/>
      <c r="K25393"/>
      <c r="L25393"/>
    </row>
    <row r="25394" spans="2:12" x14ac:dyDescent="0.2">
      <c r="B25394"/>
      <c r="C25394"/>
      <c r="J25394"/>
      <c r="K25394"/>
      <c r="L25394"/>
    </row>
    <row r="25395" spans="2:12" x14ac:dyDescent="0.2">
      <c r="B25395"/>
      <c r="C25395"/>
      <c r="J25395"/>
      <c r="K25395"/>
      <c r="L25395"/>
    </row>
    <row r="25396" spans="2:12" x14ac:dyDescent="0.2">
      <c r="B25396"/>
      <c r="C25396"/>
      <c r="J25396"/>
      <c r="K25396"/>
      <c r="L25396"/>
    </row>
    <row r="25397" spans="2:12" x14ac:dyDescent="0.2">
      <c r="B25397"/>
      <c r="C25397"/>
      <c r="J25397"/>
      <c r="K25397"/>
      <c r="L25397"/>
    </row>
    <row r="25398" spans="2:12" x14ac:dyDescent="0.2">
      <c r="B25398"/>
      <c r="C25398"/>
      <c r="J25398"/>
      <c r="K25398"/>
      <c r="L25398"/>
    </row>
    <row r="25399" spans="2:12" x14ac:dyDescent="0.2">
      <c r="B25399"/>
      <c r="C25399"/>
      <c r="J25399"/>
      <c r="K25399"/>
      <c r="L25399"/>
    </row>
    <row r="25400" spans="2:12" x14ac:dyDescent="0.2">
      <c r="B25400"/>
      <c r="C25400"/>
      <c r="J25400"/>
      <c r="K25400"/>
      <c r="L25400"/>
    </row>
    <row r="25401" spans="2:12" x14ac:dyDescent="0.2">
      <c r="B25401"/>
      <c r="C25401"/>
      <c r="J25401"/>
      <c r="K25401"/>
      <c r="L25401"/>
    </row>
    <row r="25402" spans="2:12" x14ac:dyDescent="0.2">
      <c r="B25402"/>
      <c r="C25402"/>
      <c r="J25402"/>
      <c r="K25402"/>
      <c r="L25402"/>
    </row>
    <row r="25403" spans="2:12" x14ac:dyDescent="0.2">
      <c r="B25403"/>
      <c r="C25403"/>
      <c r="J25403"/>
      <c r="K25403"/>
      <c r="L25403"/>
    </row>
    <row r="25404" spans="2:12" x14ac:dyDescent="0.2">
      <c r="B25404"/>
      <c r="C25404"/>
      <c r="J25404"/>
      <c r="K25404"/>
      <c r="L25404"/>
    </row>
    <row r="25405" spans="2:12" x14ac:dyDescent="0.2">
      <c r="B25405"/>
      <c r="C25405"/>
      <c r="J25405"/>
      <c r="K25405"/>
      <c r="L25405"/>
    </row>
    <row r="25406" spans="2:12" x14ac:dyDescent="0.2">
      <c r="B25406"/>
      <c r="C25406"/>
      <c r="J25406"/>
      <c r="K25406"/>
      <c r="L25406"/>
    </row>
    <row r="25407" spans="2:12" x14ac:dyDescent="0.2">
      <c r="B25407"/>
      <c r="C25407"/>
      <c r="J25407"/>
      <c r="K25407"/>
      <c r="L25407"/>
    </row>
    <row r="25408" spans="2:12" x14ac:dyDescent="0.2">
      <c r="B25408"/>
      <c r="C25408"/>
      <c r="J25408"/>
      <c r="K25408"/>
      <c r="L25408"/>
    </row>
    <row r="25409" spans="2:12" x14ac:dyDescent="0.2">
      <c r="B25409"/>
      <c r="C25409"/>
      <c r="J25409"/>
      <c r="K25409"/>
      <c r="L25409"/>
    </row>
    <row r="25410" spans="2:12" x14ac:dyDescent="0.2">
      <c r="B25410"/>
      <c r="C25410"/>
      <c r="J25410"/>
      <c r="K25410"/>
      <c r="L25410"/>
    </row>
    <row r="25411" spans="2:12" x14ac:dyDescent="0.2">
      <c r="B25411"/>
      <c r="C25411"/>
      <c r="J25411"/>
      <c r="K25411"/>
      <c r="L25411"/>
    </row>
    <row r="25412" spans="2:12" x14ac:dyDescent="0.2">
      <c r="B25412"/>
      <c r="C25412"/>
      <c r="J25412"/>
      <c r="K25412"/>
      <c r="L25412"/>
    </row>
    <row r="25413" spans="2:12" x14ac:dyDescent="0.2">
      <c r="B25413"/>
      <c r="C25413"/>
      <c r="J25413"/>
      <c r="K25413"/>
      <c r="L25413"/>
    </row>
    <row r="25414" spans="2:12" x14ac:dyDescent="0.2">
      <c r="B25414"/>
      <c r="C25414"/>
      <c r="J25414"/>
      <c r="K25414"/>
      <c r="L25414"/>
    </row>
    <row r="25415" spans="2:12" x14ac:dyDescent="0.2">
      <c r="B25415"/>
      <c r="C25415"/>
      <c r="J25415"/>
      <c r="K25415"/>
      <c r="L25415"/>
    </row>
    <row r="25416" spans="2:12" x14ac:dyDescent="0.2">
      <c r="B25416"/>
      <c r="C25416"/>
      <c r="J25416"/>
      <c r="K25416"/>
      <c r="L25416"/>
    </row>
    <row r="25417" spans="2:12" x14ac:dyDescent="0.2">
      <c r="B25417"/>
      <c r="C25417"/>
      <c r="J25417"/>
      <c r="K25417"/>
      <c r="L25417"/>
    </row>
    <row r="25418" spans="2:12" x14ac:dyDescent="0.2">
      <c r="B25418"/>
      <c r="C25418"/>
      <c r="J25418"/>
      <c r="K25418"/>
      <c r="L25418"/>
    </row>
    <row r="25419" spans="2:12" x14ac:dyDescent="0.2">
      <c r="B25419"/>
      <c r="C25419"/>
      <c r="J25419"/>
      <c r="K25419"/>
      <c r="L25419"/>
    </row>
    <row r="25420" spans="2:12" x14ac:dyDescent="0.2">
      <c r="B25420"/>
      <c r="C25420"/>
      <c r="J25420"/>
      <c r="K25420"/>
      <c r="L25420"/>
    </row>
    <row r="25421" spans="2:12" x14ac:dyDescent="0.2">
      <c r="B25421"/>
      <c r="C25421"/>
      <c r="J25421"/>
      <c r="K25421"/>
      <c r="L25421"/>
    </row>
    <row r="25422" spans="2:12" x14ac:dyDescent="0.2">
      <c r="B25422"/>
      <c r="C25422"/>
      <c r="J25422"/>
      <c r="K25422"/>
      <c r="L25422"/>
    </row>
    <row r="25423" spans="2:12" x14ac:dyDescent="0.2">
      <c r="B25423"/>
      <c r="C25423"/>
      <c r="J25423"/>
      <c r="K25423"/>
      <c r="L25423"/>
    </row>
    <row r="25424" spans="2:12" x14ac:dyDescent="0.2">
      <c r="B25424"/>
      <c r="C25424"/>
      <c r="J25424"/>
      <c r="K25424"/>
      <c r="L25424"/>
    </row>
    <row r="25425" spans="2:12" x14ac:dyDescent="0.2">
      <c r="B25425"/>
      <c r="C25425"/>
      <c r="J25425"/>
      <c r="K25425"/>
      <c r="L25425"/>
    </row>
    <row r="25426" spans="2:12" x14ac:dyDescent="0.2">
      <c r="B25426"/>
      <c r="C25426"/>
      <c r="J25426"/>
      <c r="K25426"/>
      <c r="L25426"/>
    </row>
    <row r="25427" spans="2:12" x14ac:dyDescent="0.2">
      <c r="B25427"/>
      <c r="C25427"/>
      <c r="J25427"/>
      <c r="K25427"/>
      <c r="L25427"/>
    </row>
    <row r="25428" spans="2:12" x14ac:dyDescent="0.2">
      <c r="B25428"/>
      <c r="C25428"/>
      <c r="J25428"/>
      <c r="K25428"/>
      <c r="L25428"/>
    </row>
    <row r="25429" spans="2:12" x14ac:dyDescent="0.2">
      <c r="B25429"/>
      <c r="C25429"/>
      <c r="J25429"/>
      <c r="K25429"/>
      <c r="L25429"/>
    </row>
    <row r="25430" spans="2:12" x14ac:dyDescent="0.2">
      <c r="B25430"/>
      <c r="C25430"/>
      <c r="J25430"/>
      <c r="K25430"/>
      <c r="L25430"/>
    </row>
    <row r="25431" spans="2:12" x14ac:dyDescent="0.2">
      <c r="B25431"/>
      <c r="C25431"/>
      <c r="J25431"/>
      <c r="K25431"/>
      <c r="L25431"/>
    </row>
    <row r="25432" spans="2:12" x14ac:dyDescent="0.2">
      <c r="B25432"/>
      <c r="C25432"/>
      <c r="J25432"/>
      <c r="K25432"/>
      <c r="L25432"/>
    </row>
    <row r="25433" spans="2:12" x14ac:dyDescent="0.2">
      <c r="B25433"/>
      <c r="C25433"/>
      <c r="J25433"/>
      <c r="K25433"/>
      <c r="L25433"/>
    </row>
    <row r="25434" spans="2:12" x14ac:dyDescent="0.2">
      <c r="B25434"/>
      <c r="C25434"/>
      <c r="J25434"/>
      <c r="K25434"/>
      <c r="L25434"/>
    </row>
    <row r="25435" spans="2:12" x14ac:dyDescent="0.2">
      <c r="B25435"/>
      <c r="C25435"/>
      <c r="J25435"/>
      <c r="K25435"/>
      <c r="L25435"/>
    </row>
    <row r="25436" spans="2:12" x14ac:dyDescent="0.2">
      <c r="B25436"/>
      <c r="C25436"/>
      <c r="J25436"/>
      <c r="K25436"/>
      <c r="L25436"/>
    </row>
    <row r="25437" spans="2:12" x14ac:dyDescent="0.2">
      <c r="B25437"/>
      <c r="C25437"/>
      <c r="J25437"/>
      <c r="K25437"/>
      <c r="L25437"/>
    </row>
    <row r="25438" spans="2:12" x14ac:dyDescent="0.2">
      <c r="B25438"/>
      <c r="C25438"/>
      <c r="J25438"/>
      <c r="K25438"/>
      <c r="L25438"/>
    </row>
    <row r="25439" spans="2:12" x14ac:dyDescent="0.2">
      <c r="B25439"/>
      <c r="C25439"/>
      <c r="J25439"/>
      <c r="K25439"/>
      <c r="L25439"/>
    </row>
    <row r="25440" spans="2:12" x14ac:dyDescent="0.2">
      <c r="B25440"/>
      <c r="C25440"/>
      <c r="J25440"/>
      <c r="K25440"/>
      <c r="L25440"/>
    </row>
    <row r="25441" spans="2:12" x14ac:dyDescent="0.2">
      <c r="B25441"/>
      <c r="C25441"/>
      <c r="J25441"/>
      <c r="K25441"/>
      <c r="L25441"/>
    </row>
    <row r="25442" spans="2:12" x14ac:dyDescent="0.2">
      <c r="B25442"/>
      <c r="C25442"/>
      <c r="J25442"/>
      <c r="K25442"/>
      <c r="L25442"/>
    </row>
    <row r="25443" spans="2:12" x14ac:dyDescent="0.2">
      <c r="B25443"/>
      <c r="C25443"/>
      <c r="J25443"/>
      <c r="K25443"/>
      <c r="L25443"/>
    </row>
    <row r="25444" spans="2:12" x14ac:dyDescent="0.2">
      <c r="B25444"/>
      <c r="C25444"/>
      <c r="J25444"/>
      <c r="K25444"/>
      <c r="L25444"/>
    </row>
    <row r="25445" spans="2:12" x14ac:dyDescent="0.2">
      <c r="B25445"/>
      <c r="C25445"/>
      <c r="J25445"/>
      <c r="K25445"/>
      <c r="L25445"/>
    </row>
    <row r="25446" spans="2:12" x14ac:dyDescent="0.2">
      <c r="B25446"/>
      <c r="C25446"/>
      <c r="J25446"/>
      <c r="K25446"/>
      <c r="L25446"/>
    </row>
    <row r="25447" spans="2:12" x14ac:dyDescent="0.2">
      <c r="B25447"/>
      <c r="C25447"/>
      <c r="J25447"/>
      <c r="K25447"/>
      <c r="L25447"/>
    </row>
    <row r="25448" spans="2:12" x14ac:dyDescent="0.2">
      <c r="B25448"/>
      <c r="C25448"/>
      <c r="J25448"/>
      <c r="K25448"/>
      <c r="L25448"/>
    </row>
    <row r="25449" spans="2:12" x14ac:dyDescent="0.2">
      <c r="B25449"/>
      <c r="C25449"/>
      <c r="J25449"/>
      <c r="K25449"/>
      <c r="L25449"/>
    </row>
    <row r="25450" spans="2:12" x14ac:dyDescent="0.2">
      <c r="B25450"/>
      <c r="C25450"/>
      <c r="J25450"/>
      <c r="K25450"/>
      <c r="L25450"/>
    </row>
    <row r="25451" spans="2:12" x14ac:dyDescent="0.2">
      <c r="B25451"/>
      <c r="C25451"/>
      <c r="J25451"/>
      <c r="K25451"/>
      <c r="L25451"/>
    </row>
    <row r="25452" spans="2:12" x14ac:dyDescent="0.2">
      <c r="B25452"/>
      <c r="C25452"/>
      <c r="J25452"/>
      <c r="K25452"/>
      <c r="L25452"/>
    </row>
    <row r="25453" spans="2:12" x14ac:dyDescent="0.2">
      <c r="B25453"/>
      <c r="C25453"/>
      <c r="J25453"/>
      <c r="K25453"/>
      <c r="L25453"/>
    </row>
    <row r="25454" spans="2:12" x14ac:dyDescent="0.2">
      <c r="B25454"/>
      <c r="C25454"/>
      <c r="J25454"/>
      <c r="K25454"/>
      <c r="L25454"/>
    </row>
    <row r="25455" spans="2:12" x14ac:dyDescent="0.2">
      <c r="B25455"/>
      <c r="C25455"/>
      <c r="J25455"/>
      <c r="K25455"/>
      <c r="L25455"/>
    </row>
    <row r="25456" spans="2:12" x14ac:dyDescent="0.2">
      <c r="B25456"/>
      <c r="C25456"/>
      <c r="J25456"/>
      <c r="K25456"/>
      <c r="L25456"/>
    </row>
    <row r="25457" spans="2:12" x14ac:dyDescent="0.2">
      <c r="B25457"/>
      <c r="C25457"/>
      <c r="J25457"/>
      <c r="K25457"/>
      <c r="L25457"/>
    </row>
    <row r="25458" spans="2:12" x14ac:dyDescent="0.2">
      <c r="B25458"/>
      <c r="C25458"/>
      <c r="J25458"/>
      <c r="K25458"/>
      <c r="L25458"/>
    </row>
    <row r="25459" spans="2:12" x14ac:dyDescent="0.2">
      <c r="B25459"/>
      <c r="C25459"/>
      <c r="J25459"/>
      <c r="K25459"/>
      <c r="L25459"/>
    </row>
    <row r="25460" spans="2:12" x14ac:dyDescent="0.2">
      <c r="B25460"/>
      <c r="C25460"/>
      <c r="J25460"/>
      <c r="K25460"/>
      <c r="L25460"/>
    </row>
    <row r="25461" spans="2:12" x14ac:dyDescent="0.2">
      <c r="B25461"/>
      <c r="C25461"/>
      <c r="J25461"/>
      <c r="K25461"/>
      <c r="L25461"/>
    </row>
    <row r="25462" spans="2:12" x14ac:dyDescent="0.2">
      <c r="B25462"/>
      <c r="C25462"/>
      <c r="J25462"/>
      <c r="K25462"/>
      <c r="L25462"/>
    </row>
    <row r="25463" spans="2:12" x14ac:dyDescent="0.2">
      <c r="B25463"/>
      <c r="C25463"/>
      <c r="J25463"/>
      <c r="K25463"/>
      <c r="L25463"/>
    </row>
    <row r="25464" spans="2:12" x14ac:dyDescent="0.2">
      <c r="B25464"/>
      <c r="C25464"/>
      <c r="J25464"/>
      <c r="K25464"/>
      <c r="L25464"/>
    </row>
    <row r="25465" spans="2:12" x14ac:dyDescent="0.2">
      <c r="B25465"/>
      <c r="C25465"/>
      <c r="J25465"/>
      <c r="K25465"/>
      <c r="L25465"/>
    </row>
    <row r="25466" spans="2:12" x14ac:dyDescent="0.2">
      <c r="B25466"/>
      <c r="C25466"/>
      <c r="J25466"/>
      <c r="K25466"/>
      <c r="L25466"/>
    </row>
    <row r="25467" spans="2:12" x14ac:dyDescent="0.2">
      <c r="B25467"/>
      <c r="C25467"/>
      <c r="J25467"/>
      <c r="K25467"/>
      <c r="L25467"/>
    </row>
    <row r="25468" spans="2:12" x14ac:dyDescent="0.2">
      <c r="B25468"/>
      <c r="C25468"/>
      <c r="J25468"/>
      <c r="K25468"/>
      <c r="L25468"/>
    </row>
    <row r="25469" spans="2:12" x14ac:dyDescent="0.2">
      <c r="B25469"/>
      <c r="C25469"/>
      <c r="J25469"/>
      <c r="K25469"/>
      <c r="L25469"/>
    </row>
    <row r="25470" spans="2:12" x14ac:dyDescent="0.2">
      <c r="B25470"/>
      <c r="C25470"/>
      <c r="J25470"/>
      <c r="K25470"/>
      <c r="L25470"/>
    </row>
    <row r="25471" spans="2:12" x14ac:dyDescent="0.2">
      <c r="B25471"/>
      <c r="C25471"/>
      <c r="J25471"/>
      <c r="K25471"/>
      <c r="L25471"/>
    </row>
    <row r="25472" spans="2:12" x14ac:dyDescent="0.2">
      <c r="B25472"/>
      <c r="C25472"/>
      <c r="J25472"/>
      <c r="K25472"/>
      <c r="L25472"/>
    </row>
    <row r="25473" spans="2:12" x14ac:dyDescent="0.2">
      <c r="B25473"/>
      <c r="C25473"/>
      <c r="J25473"/>
      <c r="K25473"/>
      <c r="L25473"/>
    </row>
    <row r="25474" spans="2:12" x14ac:dyDescent="0.2">
      <c r="B25474"/>
      <c r="C25474"/>
      <c r="J25474"/>
      <c r="K25474"/>
      <c r="L25474"/>
    </row>
    <row r="25475" spans="2:12" x14ac:dyDescent="0.2">
      <c r="B25475"/>
      <c r="C25475"/>
      <c r="J25475"/>
      <c r="K25475"/>
      <c r="L25475"/>
    </row>
    <row r="25476" spans="2:12" x14ac:dyDescent="0.2">
      <c r="B25476"/>
      <c r="C25476"/>
      <c r="J25476"/>
      <c r="K25476"/>
      <c r="L25476"/>
    </row>
    <row r="25477" spans="2:12" x14ac:dyDescent="0.2">
      <c r="B25477"/>
      <c r="C25477"/>
      <c r="J25477"/>
      <c r="K25477"/>
      <c r="L25477"/>
    </row>
    <row r="25478" spans="2:12" x14ac:dyDescent="0.2">
      <c r="B25478"/>
      <c r="C25478"/>
      <c r="J25478"/>
      <c r="K25478"/>
      <c r="L25478"/>
    </row>
    <row r="25479" spans="2:12" x14ac:dyDescent="0.2">
      <c r="B25479"/>
      <c r="C25479"/>
      <c r="J25479"/>
      <c r="K25479"/>
      <c r="L25479"/>
    </row>
    <row r="25480" spans="2:12" x14ac:dyDescent="0.2">
      <c r="B25480"/>
      <c r="C25480"/>
      <c r="J25480"/>
      <c r="K25480"/>
      <c r="L25480"/>
    </row>
    <row r="25481" spans="2:12" x14ac:dyDescent="0.2">
      <c r="B25481"/>
      <c r="C25481"/>
      <c r="J25481"/>
      <c r="K25481"/>
      <c r="L25481"/>
    </row>
    <row r="25482" spans="2:12" x14ac:dyDescent="0.2">
      <c r="B25482"/>
      <c r="C25482"/>
      <c r="J25482"/>
      <c r="K25482"/>
      <c r="L25482"/>
    </row>
    <row r="25483" spans="2:12" x14ac:dyDescent="0.2">
      <c r="B25483"/>
      <c r="C25483"/>
      <c r="J25483"/>
      <c r="K25483"/>
      <c r="L25483"/>
    </row>
    <row r="25484" spans="2:12" x14ac:dyDescent="0.2">
      <c r="B25484"/>
      <c r="C25484"/>
      <c r="J25484"/>
      <c r="K25484"/>
      <c r="L25484"/>
    </row>
    <row r="25485" spans="2:12" x14ac:dyDescent="0.2">
      <c r="B25485"/>
      <c r="C25485"/>
      <c r="J25485"/>
      <c r="K25485"/>
      <c r="L25485"/>
    </row>
    <row r="25486" spans="2:12" x14ac:dyDescent="0.2">
      <c r="B25486"/>
      <c r="C25486"/>
      <c r="J25486"/>
      <c r="K25486"/>
      <c r="L25486"/>
    </row>
    <row r="25487" spans="2:12" x14ac:dyDescent="0.2">
      <c r="B25487"/>
      <c r="C25487"/>
      <c r="J25487"/>
      <c r="K25487"/>
      <c r="L25487"/>
    </row>
    <row r="25488" spans="2:12" x14ac:dyDescent="0.2">
      <c r="B25488"/>
      <c r="C25488"/>
      <c r="J25488"/>
      <c r="K25488"/>
      <c r="L25488"/>
    </row>
    <row r="25489" spans="2:12" x14ac:dyDescent="0.2">
      <c r="B25489"/>
      <c r="C25489"/>
      <c r="J25489"/>
      <c r="K25489"/>
      <c r="L25489"/>
    </row>
    <row r="25490" spans="2:12" x14ac:dyDescent="0.2">
      <c r="B25490"/>
      <c r="C25490"/>
      <c r="J25490"/>
      <c r="K25490"/>
      <c r="L25490"/>
    </row>
    <row r="25491" spans="2:12" x14ac:dyDescent="0.2">
      <c r="B25491"/>
      <c r="C25491"/>
      <c r="J25491"/>
      <c r="K25491"/>
      <c r="L25491"/>
    </row>
    <row r="25492" spans="2:12" x14ac:dyDescent="0.2">
      <c r="B25492"/>
      <c r="C25492"/>
      <c r="J25492"/>
      <c r="K25492"/>
      <c r="L25492"/>
    </row>
    <row r="25493" spans="2:12" x14ac:dyDescent="0.2">
      <c r="B25493"/>
      <c r="C25493"/>
      <c r="J25493"/>
      <c r="K25493"/>
      <c r="L25493"/>
    </row>
    <row r="25494" spans="2:12" x14ac:dyDescent="0.2">
      <c r="B25494"/>
      <c r="C25494"/>
      <c r="J25494"/>
      <c r="K25494"/>
      <c r="L25494"/>
    </row>
    <row r="25495" spans="2:12" x14ac:dyDescent="0.2">
      <c r="B25495"/>
      <c r="C25495"/>
      <c r="J25495"/>
      <c r="K25495"/>
      <c r="L25495"/>
    </row>
    <row r="25496" spans="2:12" x14ac:dyDescent="0.2">
      <c r="B25496"/>
      <c r="C25496"/>
      <c r="J25496"/>
      <c r="K25496"/>
      <c r="L25496"/>
    </row>
    <row r="25497" spans="2:12" x14ac:dyDescent="0.2">
      <c r="B25497"/>
      <c r="C25497"/>
      <c r="J25497"/>
      <c r="K25497"/>
      <c r="L25497"/>
    </row>
    <row r="25498" spans="2:12" x14ac:dyDescent="0.2">
      <c r="B25498"/>
      <c r="C25498"/>
      <c r="J25498"/>
      <c r="K25498"/>
      <c r="L25498"/>
    </row>
    <row r="25499" spans="2:12" x14ac:dyDescent="0.2">
      <c r="B25499"/>
      <c r="C25499"/>
      <c r="J25499"/>
      <c r="K25499"/>
      <c r="L25499"/>
    </row>
    <row r="25500" spans="2:12" x14ac:dyDescent="0.2">
      <c r="B25500"/>
      <c r="C25500"/>
      <c r="J25500"/>
      <c r="K25500"/>
      <c r="L25500"/>
    </row>
    <row r="25501" spans="2:12" x14ac:dyDescent="0.2">
      <c r="B25501"/>
      <c r="C25501"/>
      <c r="J25501"/>
      <c r="K25501"/>
      <c r="L25501"/>
    </row>
    <row r="25502" spans="2:12" x14ac:dyDescent="0.2">
      <c r="B25502"/>
      <c r="C25502"/>
      <c r="J25502"/>
      <c r="K25502"/>
      <c r="L25502"/>
    </row>
    <row r="25503" spans="2:12" x14ac:dyDescent="0.2">
      <c r="B25503"/>
      <c r="C25503"/>
      <c r="J25503"/>
      <c r="K25503"/>
      <c r="L25503"/>
    </row>
    <row r="25504" spans="2:12" x14ac:dyDescent="0.2">
      <c r="B25504"/>
      <c r="C25504"/>
      <c r="J25504"/>
      <c r="K25504"/>
      <c r="L25504"/>
    </row>
    <row r="25505" spans="2:12" x14ac:dyDescent="0.2">
      <c r="B25505"/>
      <c r="C25505"/>
      <c r="J25505"/>
      <c r="K25505"/>
      <c r="L25505"/>
    </row>
    <row r="25506" spans="2:12" x14ac:dyDescent="0.2">
      <c r="B25506"/>
      <c r="C25506"/>
      <c r="J25506"/>
      <c r="K25506"/>
      <c r="L25506"/>
    </row>
    <row r="25507" spans="2:12" x14ac:dyDescent="0.2">
      <c r="B25507"/>
      <c r="C25507"/>
      <c r="J25507"/>
      <c r="K25507"/>
      <c r="L25507"/>
    </row>
    <row r="25508" spans="2:12" x14ac:dyDescent="0.2">
      <c r="B25508"/>
      <c r="C25508"/>
      <c r="J25508"/>
      <c r="K25508"/>
      <c r="L25508"/>
    </row>
    <row r="25509" spans="2:12" x14ac:dyDescent="0.2">
      <c r="B25509"/>
      <c r="C25509"/>
      <c r="J25509"/>
      <c r="K25509"/>
      <c r="L25509"/>
    </row>
    <row r="25510" spans="2:12" x14ac:dyDescent="0.2">
      <c r="B25510"/>
      <c r="C25510"/>
      <c r="J25510"/>
      <c r="K25510"/>
      <c r="L25510"/>
    </row>
    <row r="25511" spans="2:12" x14ac:dyDescent="0.2">
      <c r="B25511"/>
      <c r="C25511"/>
      <c r="J25511"/>
      <c r="K25511"/>
      <c r="L25511"/>
    </row>
    <row r="25512" spans="2:12" x14ac:dyDescent="0.2">
      <c r="B25512"/>
      <c r="C25512"/>
      <c r="J25512"/>
      <c r="K25512"/>
      <c r="L25512"/>
    </row>
    <row r="25513" spans="2:12" x14ac:dyDescent="0.2">
      <c r="B25513"/>
      <c r="C25513"/>
      <c r="J25513"/>
      <c r="K25513"/>
      <c r="L25513"/>
    </row>
    <row r="25514" spans="2:12" x14ac:dyDescent="0.2">
      <c r="B25514"/>
      <c r="C25514"/>
      <c r="J25514"/>
      <c r="K25514"/>
      <c r="L25514"/>
    </row>
    <row r="25515" spans="2:12" x14ac:dyDescent="0.2">
      <c r="B25515"/>
      <c r="C25515"/>
      <c r="J25515"/>
      <c r="K25515"/>
      <c r="L25515"/>
    </row>
    <row r="25516" spans="2:12" x14ac:dyDescent="0.2">
      <c r="B25516"/>
      <c r="C25516"/>
      <c r="J25516"/>
      <c r="K25516"/>
      <c r="L25516"/>
    </row>
    <row r="25517" spans="2:12" x14ac:dyDescent="0.2">
      <c r="B25517"/>
      <c r="C25517"/>
      <c r="J25517"/>
      <c r="K25517"/>
      <c r="L25517"/>
    </row>
    <row r="25518" spans="2:12" x14ac:dyDescent="0.2">
      <c r="B25518"/>
      <c r="C25518"/>
      <c r="J25518"/>
      <c r="K25518"/>
      <c r="L25518"/>
    </row>
    <row r="25519" spans="2:12" x14ac:dyDescent="0.2">
      <c r="B25519"/>
      <c r="C25519"/>
      <c r="J25519"/>
      <c r="K25519"/>
      <c r="L25519"/>
    </row>
    <row r="25520" spans="2:12" x14ac:dyDescent="0.2">
      <c r="B25520"/>
      <c r="C25520"/>
      <c r="J25520"/>
      <c r="K25520"/>
      <c r="L25520"/>
    </row>
    <row r="25521" spans="2:12" x14ac:dyDescent="0.2">
      <c r="B25521"/>
      <c r="C25521"/>
      <c r="J25521"/>
      <c r="K25521"/>
      <c r="L25521"/>
    </row>
    <row r="25522" spans="2:12" x14ac:dyDescent="0.2">
      <c r="B25522"/>
      <c r="C25522"/>
      <c r="J25522"/>
      <c r="K25522"/>
      <c r="L25522"/>
    </row>
    <row r="25523" spans="2:12" x14ac:dyDescent="0.2">
      <c r="B25523"/>
      <c r="C25523"/>
      <c r="J25523"/>
      <c r="K25523"/>
      <c r="L25523"/>
    </row>
    <row r="25524" spans="2:12" x14ac:dyDescent="0.2">
      <c r="B25524"/>
      <c r="C25524"/>
      <c r="J25524"/>
      <c r="K25524"/>
      <c r="L25524"/>
    </row>
    <row r="25525" spans="2:12" x14ac:dyDescent="0.2">
      <c r="B25525"/>
      <c r="C25525"/>
      <c r="J25525"/>
      <c r="K25525"/>
      <c r="L25525"/>
    </row>
    <row r="25526" spans="2:12" x14ac:dyDescent="0.2">
      <c r="B25526"/>
      <c r="C25526"/>
      <c r="J25526"/>
      <c r="K25526"/>
      <c r="L25526"/>
    </row>
    <row r="25527" spans="2:12" x14ac:dyDescent="0.2">
      <c r="B25527"/>
      <c r="C25527"/>
      <c r="J25527"/>
      <c r="K25527"/>
      <c r="L25527"/>
    </row>
    <row r="25528" spans="2:12" x14ac:dyDescent="0.2">
      <c r="B25528"/>
      <c r="C25528"/>
      <c r="J25528"/>
      <c r="K25528"/>
      <c r="L25528"/>
    </row>
    <row r="25529" spans="2:12" x14ac:dyDescent="0.2">
      <c r="B25529"/>
      <c r="C25529"/>
      <c r="J25529"/>
      <c r="K25529"/>
      <c r="L25529"/>
    </row>
    <row r="25530" spans="2:12" x14ac:dyDescent="0.2">
      <c r="B25530"/>
      <c r="C25530"/>
      <c r="J25530"/>
      <c r="K25530"/>
      <c r="L25530"/>
    </row>
    <row r="25531" spans="2:12" x14ac:dyDescent="0.2">
      <c r="B25531"/>
      <c r="C25531"/>
      <c r="J25531"/>
      <c r="K25531"/>
      <c r="L25531"/>
    </row>
    <row r="25532" spans="2:12" x14ac:dyDescent="0.2">
      <c r="B25532"/>
      <c r="C25532"/>
      <c r="J25532"/>
      <c r="K25532"/>
      <c r="L25532"/>
    </row>
    <row r="25533" spans="2:12" x14ac:dyDescent="0.2">
      <c r="B25533"/>
      <c r="C25533"/>
      <c r="J25533"/>
      <c r="K25533"/>
      <c r="L25533"/>
    </row>
    <row r="25534" spans="2:12" x14ac:dyDescent="0.2">
      <c r="B25534"/>
      <c r="C25534"/>
      <c r="J25534"/>
      <c r="K25534"/>
      <c r="L25534"/>
    </row>
    <row r="25535" spans="2:12" x14ac:dyDescent="0.2">
      <c r="B25535"/>
      <c r="C25535"/>
      <c r="J25535"/>
      <c r="K25535"/>
      <c r="L25535"/>
    </row>
    <row r="25536" spans="2:12" x14ac:dyDescent="0.2">
      <c r="B25536"/>
      <c r="C25536"/>
      <c r="J25536"/>
      <c r="K25536"/>
      <c r="L25536"/>
    </row>
    <row r="25537" spans="2:12" x14ac:dyDescent="0.2">
      <c r="B25537"/>
      <c r="C25537"/>
      <c r="J25537"/>
      <c r="K25537"/>
      <c r="L25537"/>
    </row>
    <row r="25538" spans="2:12" x14ac:dyDescent="0.2">
      <c r="B25538"/>
      <c r="C25538"/>
      <c r="J25538"/>
      <c r="K25538"/>
      <c r="L25538"/>
    </row>
    <row r="25539" spans="2:12" x14ac:dyDescent="0.2">
      <c r="B25539"/>
      <c r="C25539"/>
      <c r="J25539"/>
      <c r="K25539"/>
      <c r="L25539"/>
    </row>
    <row r="25540" spans="2:12" x14ac:dyDescent="0.2">
      <c r="B25540"/>
      <c r="C25540"/>
      <c r="J25540"/>
      <c r="K25540"/>
      <c r="L25540"/>
    </row>
    <row r="25541" spans="2:12" x14ac:dyDescent="0.2">
      <c r="B25541"/>
      <c r="C25541"/>
      <c r="J25541"/>
      <c r="K25541"/>
      <c r="L25541"/>
    </row>
    <row r="25542" spans="2:12" x14ac:dyDescent="0.2">
      <c r="B25542"/>
      <c r="C25542"/>
      <c r="J25542"/>
      <c r="K25542"/>
      <c r="L25542"/>
    </row>
    <row r="25543" spans="2:12" x14ac:dyDescent="0.2">
      <c r="B25543"/>
      <c r="C25543"/>
      <c r="J25543"/>
      <c r="K25543"/>
      <c r="L25543"/>
    </row>
    <row r="25544" spans="2:12" x14ac:dyDescent="0.2">
      <c r="B25544"/>
      <c r="C25544"/>
      <c r="J25544"/>
      <c r="K25544"/>
      <c r="L25544"/>
    </row>
    <row r="25545" spans="2:12" x14ac:dyDescent="0.2">
      <c r="B25545"/>
      <c r="C25545"/>
      <c r="J25545"/>
      <c r="K25545"/>
      <c r="L25545"/>
    </row>
    <row r="25546" spans="2:12" x14ac:dyDescent="0.2">
      <c r="B25546"/>
      <c r="C25546"/>
      <c r="J25546"/>
      <c r="K25546"/>
      <c r="L25546"/>
    </row>
    <row r="25547" spans="2:12" x14ac:dyDescent="0.2">
      <c r="B25547"/>
      <c r="C25547"/>
      <c r="J25547"/>
      <c r="K25547"/>
      <c r="L25547"/>
    </row>
    <row r="25548" spans="2:12" x14ac:dyDescent="0.2">
      <c r="B25548"/>
      <c r="C25548"/>
      <c r="J25548"/>
      <c r="K25548"/>
      <c r="L25548"/>
    </row>
    <row r="25549" spans="2:12" x14ac:dyDescent="0.2">
      <c r="B25549"/>
      <c r="C25549"/>
      <c r="J25549"/>
      <c r="K25549"/>
      <c r="L25549"/>
    </row>
    <row r="25550" spans="2:12" x14ac:dyDescent="0.2">
      <c r="B25550"/>
      <c r="C25550"/>
      <c r="J25550"/>
      <c r="K25550"/>
      <c r="L25550"/>
    </row>
    <row r="25551" spans="2:12" x14ac:dyDescent="0.2">
      <c r="B25551"/>
      <c r="C25551"/>
      <c r="J25551"/>
      <c r="K25551"/>
      <c r="L25551"/>
    </row>
    <row r="25552" spans="2:12" x14ac:dyDescent="0.2">
      <c r="B25552"/>
      <c r="C25552"/>
      <c r="J25552"/>
      <c r="K25552"/>
      <c r="L25552"/>
    </row>
    <row r="25553" spans="2:12" x14ac:dyDescent="0.2">
      <c r="B25553"/>
      <c r="C25553"/>
      <c r="J25553"/>
      <c r="K25553"/>
      <c r="L25553"/>
    </row>
    <row r="25554" spans="2:12" x14ac:dyDescent="0.2">
      <c r="B25554"/>
      <c r="C25554"/>
      <c r="J25554"/>
      <c r="K25554"/>
      <c r="L25554"/>
    </row>
    <row r="25555" spans="2:12" x14ac:dyDescent="0.2">
      <c r="B25555"/>
      <c r="C25555"/>
      <c r="J25555"/>
      <c r="K25555"/>
      <c r="L25555"/>
    </row>
    <row r="25556" spans="2:12" x14ac:dyDescent="0.2">
      <c r="B25556"/>
      <c r="C25556"/>
      <c r="J25556"/>
      <c r="K25556"/>
      <c r="L25556"/>
    </row>
    <row r="25557" spans="2:12" x14ac:dyDescent="0.2">
      <c r="B25557"/>
      <c r="C25557"/>
      <c r="J25557"/>
      <c r="K25557"/>
      <c r="L25557"/>
    </row>
    <row r="25558" spans="2:12" x14ac:dyDescent="0.2">
      <c r="B25558"/>
      <c r="C25558"/>
      <c r="J25558"/>
      <c r="K25558"/>
      <c r="L25558"/>
    </row>
    <row r="25559" spans="2:12" x14ac:dyDescent="0.2">
      <c r="B25559"/>
      <c r="C25559"/>
      <c r="J25559"/>
      <c r="K25559"/>
      <c r="L25559"/>
    </row>
    <row r="25560" spans="2:12" x14ac:dyDescent="0.2">
      <c r="B25560"/>
      <c r="C25560"/>
      <c r="J25560"/>
      <c r="K25560"/>
      <c r="L25560"/>
    </row>
    <row r="25561" spans="2:12" x14ac:dyDescent="0.2">
      <c r="B25561"/>
      <c r="C25561"/>
      <c r="J25561"/>
      <c r="K25561"/>
      <c r="L25561"/>
    </row>
    <row r="25562" spans="2:12" x14ac:dyDescent="0.2">
      <c r="B25562"/>
      <c r="C25562"/>
      <c r="J25562"/>
      <c r="K25562"/>
      <c r="L25562"/>
    </row>
    <row r="25563" spans="2:12" x14ac:dyDescent="0.2">
      <c r="B25563"/>
      <c r="C25563"/>
      <c r="J25563"/>
      <c r="K25563"/>
      <c r="L25563"/>
    </row>
    <row r="25564" spans="2:12" x14ac:dyDescent="0.2">
      <c r="B25564"/>
      <c r="C25564"/>
      <c r="J25564"/>
      <c r="K25564"/>
      <c r="L25564"/>
    </row>
    <row r="25565" spans="2:12" x14ac:dyDescent="0.2">
      <c r="B25565"/>
      <c r="C25565"/>
      <c r="J25565"/>
      <c r="K25565"/>
      <c r="L25565"/>
    </row>
    <row r="25566" spans="2:12" x14ac:dyDescent="0.2">
      <c r="B25566"/>
      <c r="C25566"/>
      <c r="J25566"/>
      <c r="K25566"/>
      <c r="L25566"/>
    </row>
    <row r="25567" spans="2:12" x14ac:dyDescent="0.2">
      <c r="B25567"/>
      <c r="C25567"/>
      <c r="J25567"/>
      <c r="K25567"/>
      <c r="L25567"/>
    </row>
    <row r="25568" spans="2:12" x14ac:dyDescent="0.2">
      <c r="B25568"/>
      <c r="C25568"/>
      <c r="J25568"/>
      <c r="K25568"/>
      <c r="L25568"/>
    </row>
    <row r="25569" spans="2:12" x14ac:dyDescent="0.2">
      <c r="B25569"/>
      <c r="C25569"/>
      <c r="J25569"/>
      <c r="K25569"/>
      <c r="L25569"/>
    </row>
    <row r="25570" spans="2:12" x14ac:dyDescent="0.2">
      <c r="B25570"/>
      <c r="C25570"/>
      <c r="J25570"/>
      <c r="K25570"/>
      <c r="L25570"/>
    </row>
    <row r="25571" spans="2:12" x14ac:dyDescent="0.2">
      <c r="B25571"/>
      <c r="C25571"/>
      <c r="J25571"/>
      <c r="K25571"/>
      <c r="L25571"/>
    </row>
    <row r="25572" spans="2:12" x14ac:dyDescent="0.2">
      <c r="B25572"/>
      <c r="C25572"/>
      <c r="J25572"/>
      <c r="K25572"/>
      <c r="L25572"/>
    </row>
    <row r="25573" spans="2:12" x14ac:dyDescent="0.2">
      <c r="B25573"/>
      <c r="C25573"/>
      <c r="J25573"/>
      <c r="K25573"/>
      <c r="L25573"/>
    </row>
    <row r="25574" spans="2:12" x14ac:dyDescent="0.2">
      <c r="B25574"/>
      <c r="C25574"/>
      <c r="J25574"/>
      <c r="K25574"/>
      <c r="L25574"/>
    </row>
    <row r="25575" spans="2:12" x14ac:dyDescent="0.2">
      <c r="B25575"/>
      <c r="C25575"/>
      <c r="J25575"/>
      <c r="K25575"/>
      <c r="L25575"/>
    </row>
    <row r="25576" spans="2:12" x14ac:dyDescent="0.2">
      <c r="B25576"/>
      <c r="C25576"/>
      <c r="J25576"/>
      <c r="K25576"/>
      <c r="L25576"/>
    </row>
    <row r="25577" spans="2:12" x14ac:dyDescent="0.2">
      <c r="B25577"/>
      <c r="C25577"/>
      <c r="J25577"/>
      <c r="K25577"/>
      <c r="L25577"/>
    </row>
    <row r="25578" spans="2:12" x14ac:dyDescent="0.2">
      <c r="B25578"/>
      <c r="C25578"/>
      <c r="J25578"/>
      <c r="K25578"/>
      <c r="L25578"/>
    </row>
    <row r="25579" spans="2:12" x14ac:dyDescent="0.2">
      <c r="B25579"/>
      <c r="C25579"/>
      <c r="J25579"/>
      <c r="K25579"/>
      <c r="L25579"/>
    </row>
    <row r="25580" spans="2:12" x14ac:dyDescent="0.2">
      <c r="B25580"/>
      <c r="C25580"/>
      <c r="J25580"/>
      <c r="K25580"/>
      <c r="L25580"/>
    </row>
    <row r="25581" spans="2:12" x14ac:dyDescent="0.2">
      <c r="B25581"/>
      <c r="C25581"/>
      <c r="J25581"/>
      <c r="K25581"/>
      <c r="L25581"/>
    </row>
    <row r="25582" spans="2:12" x14ac:dyDescent="0.2">
      <c r="B25582"/>
      <c r="C25582"/>
      <c r="J25582"/>
      <c r="K25582"/>
      <c r="L25582"/>
    </row>
    <row r="25583" spans="2:12" x14ac:dyDescent="0.2">
      <c r="B25583"/>
      <c r="C25583"/>
      <c r="J25583"/>
      <c r="K25583"/>
      <c r="L25583"/>
    </row>
    <row r="25584" spans="2:12" x14ac:dyDescent="0.2">
      <c r="B25584"/>
      <c r="C25584"/>
      <c r="J25584"/>
      <c r="K25584"/>
      <c r="L25584"/>
    </row>
    <row r="25585" spans="2:12" x14ac:dyDescent="0.2">
      <c r="B25585"/>
      <c r="C25585"/>
      <c r="J25585"/>
      <c r="K25585"/>
      <c r="L25585"/>
    </row>
    <row r="25586" spans="2:12" x14ac:dyDescent="0.2">
      <c r="B25586"/>
      <c r="C25586"/>
      <c r="J25586"/>
      <c r="K25586"/>
      <c r="L25586"/>
    </row>
    <row r="25587" spans="2:12" x14ac:dyDescent="0.2">
      <c r="B25587"/>
      <c r="C25587"/>
      <c r="J25587"/>
      <c r="K25587"/>
      <c r="L25587"/>
    </row>
    <row r="25588" spans="2:12" x14ac:dyDescent="0.2">
      <c r="B25588"/>
      <c r="C25588"/>
      <c r="J25588"/>
      <c r="K25588"/>
      <c r="L25588"/>
    </row>
    <row r="25589" spans="2:12" x14ac:dyDescent="0.2">
      <c r="B25589"/>
      <c r="C25589"/>
      <c r="J25589"/>
      <c r="K25589"/>
      <c r="L25589"/>
    </row>
    <row r="25590" spans="2:12" x14ac:dyDescent="0.2">
      <c r="B25590"/>
      <c r="C25590"/>
      <c r="J25590"/>
      <c r="K25590"/>
      <c r="L25590"/>
    </row>
    <row r="25591" spans="2:12" x14ac:dyDescent="0.2">
      <c r="B25591"/>
      <c r="C25591"/>
      <c r="J25591"/>
      <c r="K25591"/>
      <c r="L25591"/>
    </row>
    <row r="25592" spans="2:12" x14ac:dyDescent="0.2">
      <c r="B25592"/>
      <c r="C25592"/>
      <c r="J25592"/>
      <c r="K25592"/>
      <c r="L25592"/>
    </row>
    <row r="25593" spans="2:12" x14ac:dyDescent="0.2">
      <c r="B25593"/>
      <c r="C25593"/>
      <c r="J25593"/>
      <c r="K25593"/>
      <c r="L25593"/>
    </row>
    <row r="25594" spans="2:12" x14ac:dyDescent="0.2">
      <c r="B25594"/>
      <c r="C25594"/>
      <c r="J25594"/>
      <c r="K25594"/>
      <c r="L25594"/>
    </row>
    <row r="25595" spans="2:12" x14ac:dyDescent="0.2">
      <c r="B25595"/>
      <c r="C25595"/>
      <c r="J25595"/>
      <c r="K25595"/>
      <c r="L25595"/>
    </row>
    <row r="25596" spans="2:12" x14ac:dyDescent="0.2">
      <c r="B25596"/>
      <c r="C25596"/>
      <c r="J25596"/>
      <c r="K25596"/>
      <c r="L25596"/>
    </row>
    <row r="25597" spans="2:12" x14ac:dyDescent="0.2">
      <c r="B25597"/>
      <c r="C25597"/>
      <c r="J25597"/>
      <c r="K25597"/>
      <c r="L25597"/>
    </row>
    <row r="25598" spans="2:12" x14ac:dyDescent="0.2">
      <c r="B25598"/>
      <c r="C25598"/>
      <c r="J25598"/>
      <c r="K25598"/>
      <c r="L25598"/>
    </row>
    <row r="25599" spans="2:12" x14ac:dyDescent="0.2">
      <c r="B25599"/>
      <c r="C25599"/>
      <c r="J25599"/>
      <c r="K25599"/>
      <c r="L25599"/>
    </row>
    <row r="25600" spans="2:12" x14ac:dyDescent="0.2">
      <c r="B25600"/>
      <c r="C25600"/>
      <c r="J25600"/>
      <c r="K25600"/>
      <c r="L25600"/>
    </row>
    <row r="25601" spans="2:12" x14ac:dyDescent="0.2">
      <c r="B25601"/>
      <c r="C25601"/>
      <c r="J25601"/>
      <c r="K25601"/>
      <c r="L25601"/>
    </row>
    <row r="25602" spans="2:12" x14ac:dyDescent="0.2">
      <c r="B25602"/>
      <c r="C25602"/>
      <c r="J25602"/>
      <c r="K25602"/>
      <c r="L25602"/>
    </row>
    <row r="25603" spans="2:12" x14ac:dyDescent="0.2">
      <c r="B25603"/>
      <c r="C25603"/>
      <c r="J25603"/>
      <c r="K25603"/>
      <c r="L25603"/>
    </row>
    <row r="25604" spans="2:12" x14ac:dyDescent="0.2">
      <c r="B25604"/>
      <c r="C25604"/>
      <c r="J25604"/>
      <c r="K25604"/>
      <c r="L25604"/>
    </row>
    <row r="25605" spans="2:12" x14ac:dyDescent="0.2">
      <c r="B25605"/>
      <c r="C25605"/>
      <c r="J25605"/>
      <c r="K25605"/>
      <c r="L25605"/>
    </row>
    <row r="25606" spans="2:12" x14ac:dyDescent="0.2">
      <c r="B25606"/>
      <c r="C25606"/>
      <c r="J25606"/>
      <c r="K25606"/>
      <c r="L25606"/>
    </row>
    <row r="25607" spans="2:12" x14ac:dyDescent="0.2">
      <c r="B25607"/>
      <c r="C25607"/>
      <c r="J25607"/>
      <c r="K25607"/>
      <c r="L25607"/>
    </row>
    <row r="25608" spans="2:12" x14ac:dyDescent="0.2">
      <c r="B25608"/>
      <c r="C25608"/>
      <c r="J25608"/>
      <c r="K25608"/>
      <c r="L25608"/>
    </row>
    <row r="25609" spans="2:12" x14ac:dyDescent="0.2">
      <c r="B25609"/>
      <c r="C25609"/>
      <c r="J25609"/>
      <c r="K25609"/>
      <c r="L25609"/>
    </row>
    <row r="25610" spans="2:12" x14ac:dyDescent="0.2">
      <c r="B25610"/>
      <c r="C25610"/>
      <c r="J25610"/>
      <c r="K25610"/>
      <c r="L25610"/>
    </row>
    <row r="25611" spans="2:12" x14ac:dyDescent="0.2">
      <c r="B25611"/>
      <c r="C25611"/>
      <c r="J25611"/>
      <c r="K25611"/>
      <c r="L25611"/>
    </row>
    <row r="25612" spans="2:12" x14ac:dyDescent="0.2">
      <c r="B25612"/>
      <c r="C25612"/>
      <c r="J25612"/>
      <c r="K25612"/>
      <c r="L25612"/>
    </row>
    <row r="25613" spans="2:12" x14ac:dyDescent="0.2">
      <c r="B25613"/>
      <c r="C25613"/>
      <c r="J25613"/>
      <c r="K25613"/>
      <c r="L25613"/>
    </row>
    <row r="25614" spans="2:12" x14ac:dyDescent="0.2">
      <c r="B25614"/>
      <c r="C25614"/>
      <c r="J25614"/>
      <c r="K25614"/>
      <c r="L25614"/>
    </row>
    <row r="25615" spans="2:12" x14ac:dyDescent="0.2">
      <c r="B25615"/>
      <c r="C25615"/>
      <c r="J25615"/>
      <c r="K25615"/>
      <c r="L25615"/>
    </row>
    <row r="25616" spans="2:12" x14ac:dyDescent="0.2">
      <c r="B25616"/>
      <c r="C25616"/>
      <c r="J25616"/>
      <c r="K25616"/>
      <c r="L25616"/>
    </row>
    <row r="25617" spans="2:12" x14ac:dyDescent="0.2">
      <c r="B25617"/>
      <c r="C25617"/>
      <c r="J25617"/>
      <c r="K25617"/>
      <c r="L25617"/>
    </row>
    <row r="25618" spans="2:12" x14ac:dyDescent="0.2">
      <c r="B25618"/>
      <c r="C25618"/>
      <c r="J25618"/>
      <c r="K25618"/>
      <c r="L25618"/>
    </row>
    <row r="25619" spans="2:12" x14ac:dyDescent="0.2">
      <c r="B25619"/>
      <c r="C25619"/>
      <c r="J25619"/>
      <c r="K25619"/>
      <c r="L25619"/>
    </row>
    <row r="25620" spans="2:12" x14ac:dyDescent="0.2">
      <c r="B25620"/>
      <c r="C25620"/>
      <c r="J25620"/>
      <c r="K25620"/>
      <c r="L25620"/>
    </row>
    <row r="25621" spans="2:12" x14ac:dyDescent="0.2">
      <c r="B25621"/>
      <c r="C25621"/>
      <c r="J25621"/>
      <c r="K25621"/>
      <c r="L25621"/>
    </row>
    <row r="25622" spans="2:12" x14ac:dyDescent="0.2">
      <c r="B25622"/>
      <c r="C25622"/>
      <c r="J25622"/>
      <c r="K25622"/>
      <c r="L25622"/>
    </row>
    <row r="25623" spans="2:12" x14ac:dyDescent="0.2">
      <c r="B25623"/>
      <c r="C25623"/>
      <c r="J25623"/>
      <c r="K25623"/>
      <c r="L25623"/>
    </row>
    <row r="25624" spans="2:12" x14ac:dyDescent="0.2">
      <c r="B25624"/>
      <c r="C25624"/>
      <c r="J25624"/>
      <c r="K25624"/>
      <c r="L25624"/>
    </row>
    <row r="25625" spans="2:12" x14ac:dyDescent="0.2">
      <c r="B25625"/>
      <c r="C25625"/>
      <c r="J25625"/>
      <c r="K25625"/>
      <c r="L25625"/>
    </row>
    <row r="25626" spans="2:12" x14ac:dyDescent="0.2">
      <c r="B25626"/>
      <c r="C25626"/>
      <c r="J25626"/>
      <c r="K25626"/>
      <c r="L25626"/>
    </row>
    <row r="25627" spans="2:12" x14ac:dyDescent="0.2">
      <c r="B25627"/>
      <c r="C25627"/>
      <c r="J25627"/>
      <c r="K25627"/>
      <c r="L25627"/>
    </row>
    <row r="25628" spans="2:12" x14ac:dyDescent="0.2">
      <c r="B25628"/>
      <c r="C25628"/>
      <c r="J25628"/>
      <c r="K25628"/>
      <c r="L25628"/>
    </row>
    <row r="25629" spans="2:12" x14ac:dyDescent="0.2">
      <c r="B25629"/>
      <c r="C25629"/>
      <c r="J25629"/>
      <c r="K25629"/>
      <c r="L25629"/>
    </row>
    <row r="25630" spans="2:12" x14ac:dyDescent="0.2">
      <c r="B25630"/>
      <c r="C25630"/>
      <c r="J25630"/>
      <c r="K25630"/>
      <c r="L25630"/>
    </row>
    <row r="25631" spans="2:12" x14ac:dyDescent="0.2">
      <c r="B25631"/>
      <c r="C25631"/>
      <c r="J25631"/>
      <c r="K25631"/>
      <c r="L25631"/>
    </row>
    <row r="25632" spans="2:12" x14ac:dyDescent="0.2">
      <c r="B25632"/>
      <c r="C25632"/>
      <c r="J25632"/>
      <c r="K25632"/>
      <c r="L25632"/>
    </row>
    <row r="25633" spans="2:12" x14ac:dyDescent="0.2">
      <c r="B25633"/>
      <c r="C25633"/>
      <c r="J25633"/>
      <c r="K25633"/>
      <c r="L25633"/>
    </row>
    <row r="25634" spans="2:12" x14ac:dyDescent="0.2">
      <c r="B25634"/>
      <c r="C25634"/>
      <c r="J25634"/>
      <c r="K25634"/>
      <c r="L25634"/>
    </row>
    <row r="25635" spans="2:12" x14ac:dyDescent="0.2">
      <c r="B25635"/>
      <c r="C25635"/>
      <c r="J25635"/>
      <c r="K25635"/>
      <c r="L25635"/>
    </row>
    <row r="25636" spans="2:12" x14ac:dyDescent="0.2">
      <c r="B25636"/>
      <c r="C25636"/>
      <c r="J25636"/>
      <c r="K25636"/>
      <c r="L25636"/>
    </row>
    <row r="25637" spans="2:12" x14ac:dyDescent="0.2">
      <c r="B25637"/>
      <c r="C25637"/>
      <c r="J25637"/>
      <c r="K25637"/>
      <c r="L25637"/>
    </row>
    <row r="25638" spans="2:12" x14ac:dyDescent="0.2">
      <c r="B25638"/>
      <c r="C25638"/>
      <c r="J25638"/>
      <c r="K25638"/>
      <c r="L25638"/>
    </row>
    <row r="25639" spans="2:12" x14ac:dyDescent="0.2">
      <c r="B25639"/>
      <c r="C25639"/>
      <c r="J25639"/>
      <c r="K25639"/>
      <c r="L25639"/>
    </row>
    <row r="25640" spans="2:12" x14ac:dyDescent="0.2">
      <c r="B25640"/>
      <c r="C25640"/>
      <c r="J25640"/>
      <c r="K25640"/>
      <c r="L25640"/>
    </row>
    <row r="25641" spans="2:12" x14ac:dyDescent="0.2">
      <c r="B25641"/>
      <c r="C25641"/>
      <c r="J25641"/>
      <c r="K25641"/>
      <c r="L25641"/>
    </row>
    <row r="25642" spans="2:12" x14ac:dyDescent="0.2">
      <c r="B25642"/>
      <c r="C25642"/>
      <c r="J25642"/>
      <c r="K25642"/>
      <c r="L25642"/>
    </row>
    <row r="25643" spans="2:12" x14ac:dyDescent="0.2">
      <c r="B25643"/>
      <c r="C25643"/>
      <c r="J25643"/>
      <c r="K25643"/>
      <c r="L25643"/>
    </row>
    <row r="25644" spans="2:12" x14ac:dyDescent="0.2">
      <c r="B25644"/>
      <c r="C25644"/>
      <c r="J25644"/>
      <c r="K25644"/>
      <c r="L25644"/>
    </row>
    <row r="25645" spans="2:12" x14ac:dyDescent="0.2">
      <c r="B25645"/>
      <c r="C25645"/>
      <c r="J25645"/>
      <c r="K25645"/>
      <c r="L25645"/>
    </row>
    <row r="25646" spans="2:12" x14ac:dyDescent="0.2">
      <c r="B25646"/>
      <c r="C25646"/>
      <c r="J25646"/>
      <c r="K25646"/>
      <c r="L25646"/>
    </row>
    <row r="25647" spans="2:12" x14ac:dyDescent="0.2">
      <c r="B25647"/>
      <c r="C25647"/>
      <c r="J25647"/>
      <c r="K25647"/>
      <c r="L25647"/>
    </row>
    <row r="25648" spans="2:12" x14ac:dyDescent="0.2">
      <c r="B25648"/>
      <c r="C25648"/>
      <c r="J25648"/>
      <c r="K25648"/>
      <c r="L25648"/>
    </row>
    <row r="25649" spans="2:12" x14ac:dyDescent="0.2">
      <c r="B25649"/>
      <c r="C25649"/>
      <c r="J25649"/>
      <c r="K25649"/>
      <c r="L25649"/>
    </row>
    <row r="25650" spans="2:12" x14ac:dyDescent="0.2">
      <c r="B25650"/>
      <c r="C25650"/>
      <c r="J25650"/>
      <c r="K25650"/>
      <c r="L25650"/>
    </row>
    <row r="25651" spans="2:12" x14ac:dyDescent="0.2">
      <c r="B25651"/>
      <c r="C25651"/>
      <c r="J25651"/>
      <c r="K25651"/>
      <c r="L25651"/>
    </row>
    <row r="25652" spans="2:12" x14ac:dyDescent="0.2">
      <c r="B25652"/>
      <c r="C25652"/>
      <c r="J25652"/>
      <c r="K25652"/>
      <c r="L25652"/>
    </row>
    <row r="25653" spans="2:12" x14ac:dyDescent="0.2">
      <c r="B25653"/>
      <c r="C25653"/>
      <c r="J25653"/>
      <c r="K25653"/>
      <c r="L25653"/>
    </row>
    <row r="25654" spans="2:12" x14ac:dyDescent="0.2">
      <c r="B25654"/>
      <c r="C25654"/>
      <c r="J25654"/>
      <c r="K25654"/>
      <c r="L25654"/>
    </row>
    <row r="25655" spans="2:12" x14ac:dyDescent="0.2">
      <c r="B25655"/>
      <c r="C25655"/>
      <c r="J25655"/>
      <c r="K25655"/>
      <c r="L25655"/>
    </row>
    <row r="25656" spans="2:12" x14ac:dyDescent="0.2">
      <c r="B25656"/>
      <c r="C25656"/>
      <c r="J25656"/>
      <c r="K25656"/>
      <c r="L25656"/>
    </row>
    <row r="25657" spans="2:12" x14ac:dyDescent="0.2">
      <c r="B25657"/>
      <c r="C25657"/>
      <c r="J25657"/>
      <c r="K25657"/>
      <c r="L25657"/>
    </row>
    <row r="25658" spans="2:12" x14ac:dyDescent="0.2">
      <c r="B25658"/>
      <c r="C25658"/>
      <c r="J25658"/>
      <c r="K25658"/>
      <c r="L25658"/>
    </row>
    <row r="25659" spans="2:12" x14ac:dyDescent="0.2">
      <c r="B25659"/>
      <c r="C25659"/>
      <c r="J25659"/>
      <c r="K25659"/>
      <c r="L25659"/>
    </row>
    <row r="25660" spans="2:12" x14ac:dyDescent="0.2">
      <c r="B25660"/>
      <c r="C25660"/>
      <c r="J25660"/>
      <c r="K25660"/>
      <c r="L25660"/>
    </row>
    <row r="25661" spans="2:12" x14ac:dyDescent="0.2">
      <c r="B25661"/>
      <c r="C25661"/>
      <c r="J25661"/>
      <c r="K25661"/>
      <c r="L25661"/>
    </row>
    <row r="25662" spans="2:12" x14ac:dyDescent="0.2">
      <c r="B25662"/>
      <c r="C25662"/>
      <c r="J25662"/>
      <c r="K25662"/>
      <c r="L25662"/>
    </row>
    <row r="25663" spans="2:12" x14ac:dyDescent="0.2">
      <c r="B25663"/>
      <c r="C25663"/>
      <c r="J25663"/>
      <c r="K25663"/>
      <c r="L25663"/>
    </row>
    <row r="25664" spans="2:12" x14ac:dyDescent="0.2">
      <c r="B25664"/>
      <c r="C25664"/>
      <c r="J25664"/>
      <c r="K25664"/>
      <c r="L25664"/>
    </row>
    <row r="25665" spans="2:12" x14ac:dyDescent="0.2">
      <c r="B25665"/>
      <c r="C25665"/>
      <c r="J25665"/>
      <c r="K25665"/>
      <c r="L25665"/>
    </row>
    <row r="25666" spans="2:12" x14ac:dyDescent="0.2">
      <c r="B25666"/>
      <c r="C25666"/>
      <c r="J25666"/>
      <c r="K25666"/>
      <c r="L25666"/>
    </row>
    <row r="25667" spans="2:12" x14ac:dyDescent="0.2">
      <c r="B25667"/>
      <c r="C25667"/>
      <c r="J25667"/>
      <c r="K25667"/>
      <c r="L25667"/>
    </row>
    <row r="25668" spans="2:12" x14ac:dyDescent="0.2">
      <c r="B25668"/>
      <c r="C25668"/>
      <c r="J25668"/>
      <c r="K25668"/>
      <c r="L25668"/>
    </row>
    <row r="25669" spans="2:12" x14ac:dyDescent="0.2">
      <c r="B25669"/>
      <c r="C25669"/>
      <c r="J25669"/>
      <c r="K25669"/>
      <c r="L25669"/>
    </row>
    <row r="25670" spans="2:12" x14ac:dyDescent="0.2">
      <c r="B25670"/>
      <c r="C25670"/>
      <c r="J25670"/>
      <c r="K25670"/>
      <c r="L25670"/>
    </row>
    <row r="25671" spans="2:12" x14ac:dyDescent="0.2">
      <c r="B25671"/>
      <c r="C25671"/>
      <c r="J25671"/>
      <c r="K25671"/>
      <c r="L25671"/>
    </row>
    <row r="25672" spans="2:12" x14ac:dyDescent="0.2">
      <c r="B25672"/>
      <c r="C25672"/>
      <c r="J25672"/>
      <c r="K25672"/>
      <c r="L25672"/>
    </row>
    <row r="25673" spans="2:12" x14ac:dyDescent="0.2">
      <c r="B25673"/>
      <c r="C25673"/>
      <c r="J25673"/>
      <c r="K25673"/>
      <c r="L25673"/>
    </row>
    <row r="25674" spans="2:12" x14ac:dyDescent="0.2">
      <c r="B25674"/>
      <c r="C25674"/>
      <c r="J25674"/>
      <c r="K25674"/>
      <c r="L25674"/>
    </row>
    <row r="25675" spans="2:12" x14ac:dyDescent="0.2">
      <c r="B25675"/>
      <c r="C25675"/>
      <c r="J25675"/>
      <c r="K25675"/>
      <c r="L25675"/>
    </row>
    <row r="25676" spans="2:12" x14ac:dyDescent="0.2">
      <c r="B25676"/>
      <c r="C25676"/>
      <c r="J25676"/>
      <c r="K25676"/>
      <c r="L25676"/>
    </row>
    <row r="25677" spans="2:12" x14ac:dyDescent="0.2">
      <c r="B25677"/>
      <c r="C25677"/>
      <c r="J25677"/>
      <c r="K25677"/>
      <c r="L25677"/>
    </row>
    <row r="25678" spans="2:12" x14ac:dyDescent="0.2">
      <c r="B25678"/>
      <c r="C25678"/>
      <c r="J25678"/>
      <c r="K25678"/>
      <c r="L25678"/>
    </row>
    <row r="25679" spans="2:12" x14ac:dyDescent="0.2">
      <c r="B25679"/>
      <c r="C25679"/>
      <c r="J25679"/>
      <c r="K25679"/>
      <c r="L25679"/>
    </row>
    <row r="25680" spans="2:12" x14ac:dyDescent="0.2">
      <c r="B25680"/>
      <c r="C25680"/>
      <c r="J25680"/>
      <c r="K25680"/>
      <c r="L25680"/>
    </row>
    <row r="25681" spans="2:12" x14ac:dyDescent="0.2">
      <c r="B25681"/>
      <c r="C25681"/>
      <c r="J25681"/>
      <c r="K25681"/>
      <c r="L25681"/>
    </row>
    <row r="25682" spans="2:12" x14ac:dyDescent="0.2">
      <c r="B25682"/>
      <c r="C25682"/>
      <c r="J25682"/>
      <c r="K25682"/>
      <c r="L25682"/>
    </row>
    <row r="25683" spans="2:12" x14ac:dyDescent="0.2">
      <c r="B25683"/>
      <c r="C25683"/>
      <c r="J25683"/>
      <c r="K25683"/>
      <c r="L25683"/>
    </row>
    <row r="25684" spans="2:12" x14ac:dyDescent="0.2">
      <c r="B25684"/>
      <c r="C25684"/>
      <c r="J25684"/>
      <c r="K25684"/>
      <c r="L25684"/>
    </row>
    <row r="25685" spans="2:12" x14ac:dyDescent="0.2">
      <c r="B25685"/>
      <c r="C25685"/>
      <c r="J25685"/>
      <c r="K25685"/>
      <c r="L25685"/>
    </row>
    <row r="25686" spans="2:12" x14ac:dyDescent="0.2">
      <c r="B25686"/>
      <c r="C25686"/>
      <c r="J25686"/>
      <c r="K25686"/>
      <c r="L25686"/>
    </row>
    <row r="25687" spans="2:12" x14ac:dyDescent="0.2">
      <c r="B25687"/>
      <c r="C25687"/>
      <c r="J25687"/>
      <c r="K25687"/>
      <c r="L25687"/>
    </row>
    <row r="25688" spans="2:12" x14ac:dyDescent="0.2">
      <c r="B25688"/>
      <c r="C25688"/>
      <c r="J25688"/>
      <c r="K25688"/>
      <c r="L25688"/>
    </row>
    <row r="25689" spans="2:12" x14ac:dyDescent="0.2">
      <c r="B25689"/>
      <c r="C25689"/>
      <c r="J25689"/>
      <c r="K25689"/>
      <c r="L25689"/>
    </row>
    <row r="25690" spans="2:12" x14ac:dyDescent="0.2">
      <c r="B25690"/>
      <c r="C25690"/>
      <c r="J25690"/>
      <c r="K25690"/>
      <c r="L25690"/>
    </row>
    <row r="25691" spans="2:12" x14ac:dyDescent="0.2">
      <c r="B25691"/>
      <c r="C25691"/>
      <c r="J25691"/>
      <c r="K25691"/>
      <c r="L25691"/>
    </row>
    <row r="25692" spans="2:12" x14ac:dyDescent="0.2">
      <c r="B25692"/>
      <c r="C25692"/>
      <c r="J25692"/>
      <c r="K25692"/>
      <c r="L25692"/>
    </row>
    <row r="25693" spans="2:12" x14ac:dyDescent="0.2">
      <c r="B25693"/>
      <c r="C25693"/>
      <c r="J25693"/>
      <c r="K25693"/>
      <c r="L25693"/>
    </row>
    <row r="25694" spans="2:12" x14ac:dyDescent="0.2">
      <c r="B25694"/>
      <c r="C25694"/>
      <c r="J25694"/>
      <c r="K25694"/>
      <c r="L25694"/>
    </row>
    <row r="25695" spans="2:12" x14ac:dyDescent="0.2">
      <c r="B25695"/>
      <c r="C25695"/>
      <c r="J25695"/>
      <c r="K25695"/>
      <c r="L25695"/>
    </row>
    <row r="25696" spans="2:12" x14ac:dyDescent="0.2">
      <c r="B25696"/>
      <c r="C25696"/>
      <c r="J25696"/>
      <c r="K25696"/>
      <c r="L25696"/>
    </row>
    <row r="25697" spans="2:12" x14ac:dyDescent="0.2">
      <c r="B25697"/>
      <c r="C25697"/>
      <c r="J25697"/>
      <c r="K25697"/>
      <c r="L25697"/>
    </row>
    <row r="25698" spans="2:12" x14ac:dyDescent="0.2">
      <c r="B25698"/>
      <c r="C25698"/>
      <c r="J25698"/>
      <c r="K25698"/>
      <c r="L25698"/>
    </row>
    <row r="25699" spans="2:12" x14ac:dyDescent="0.2">
      <c r="B25699"/>
      <c r="C25699"/>
      <c r="J25699"/>
      <c r="K25699"/>
      <c r="L25699"/>
    </row>
    <row r="25700" spans="2:12" x14ac:dyDescent="0.2">
      <c r="B25700"/>
      <c r="C25700"/>
      <c r="J25700"/>
      <c r="K25700"/>
      <c r="L25700"/>
    </row>
    <row r="25701" spans="2:12" x14ac:dyDescent="0.2">
      <c r="B25701"/>
      <c r="C25701"/>
      <c r="J25701"/>
      <c r="K25701"/>
      <c r="L25701"/>
    </row>
    <row r="25702" spans="2:12" x14ac:dyDescent="0.2">
      <c r="B25702"/>
      <c r="C25702"/>
      <c r="J25702"/>
      <c r="K25702"/>
      <c r="L25702"/>
    </row>
    <row r="25703" spans="2:12" x14ac:dyDescent="0.2">
      <c r="B25703"/>
      <c r="C25703"/>
      <c r="J25703"/>
      <c r="K25703"/>
      <c r="L25703"/>
    </row>
    <row r="25704" spans="2:12" x14ac:dyDescent="0.2">
      <c r="B25704"/>
      <c r="C25704"/>
      <c r="J25704"/>
      <c r="K25704"/>
      <c r="L25704"/>
    </row>
    <row r="25705" spans="2:12" x14ac:dyDescent="0.2">
      <c r="B25705"/>
      <c r="C25705"/>
      <c r="J25705"/>
      <c r="K25705"/>
      <c r="L25705"/>
    </row>
    <row r="25706" spans="2:12" x14ac:dyDescent="0.2">
      <c r="B25706"/>
      <c r="C25706"/>
      <c r="J25706"/>
      <c r="K25706"/>
      <c r="L25706"/>
    </row>
    <row r="25707" spans="2:12" x14ac:dyDescent="0.2">
      <c r="B25707"/>
      <c r="C25707"/>
      <c r="J25707"/>
      <c r="K25707"/>
      <c r="L25707"/>
    </row>
    <row r="25708" spans="2:12" x14ac:dyDescent="0.2">
      <c r="B25708"/>
      <c r="C25708"/>
      <c r="J25708"/>
      <c r="K25708"/>
      <c r="L25708"/>
    </row>
    <row r="25709" spans="2:12" x14ac:dyDescent="0.2">
      <c r="B25709"/>
      <c r="C25709"/>
      <c r="J25709"/>
      <c r="K25709"/>
      <c r="L25709"/>
    </row>
    <row r="25710" spans="2:12" x14ac:dyDescent="0.2">
      <c r="B25710"/>
      <c r="C25710"/>
      <c r="J25710"/>
      <c r="K25710"/>
      <c r="L25710"/>
    </row>
    <row r="25711" spans="2:12" x14ac:dyDescent="0.2">
      <c r="B25711"/>
      <c r="C25711"/>
      <c r="J25711"/>
      <c r="K25711"/>
      <c r="L25711"/>
    </row>
    <row r="25712" spans="2:12" x14ac:dyDescent="0.2">
      <c r="B25712"/>
      <c r="C25712"/>
      <c r="J25712"/>
      <c r="K25712"/>
      <c r="L25712"/>
    </row>
    <row r="25713" spans="2:12" x14ac:dyDescent="0.2">
      <c r="B25713"/>
      <c r="C25713"/>
      <c r="J25713"/>
      <c r="K25713"/>
      <c r="L25713"/>
    </row>
    <row r="25714" spans="2:12" x14ac:dyDescent="0.2">
      <c r="B25714"/>
      <c r="C25714"/>
      <c r="J25714"/>
      <c r="K25714"/>
      <c r="L25714"/>
    </row>
    <row r="25715" spans="2:12" x14ac:dyDescent="0.2">
      <c r="B25715"/>
      <c r="C25715"/>
      <c r="J25715"/>
      <c r="K25715"/>
      <c r="L25715"/>
    </row>
    <row r="25716" spans="2:12" x14ac:dyDescent="0.2">
      <c r="B25716"/>
      <c r="C25716"/>
      <c r="J25716"/>
      <c r="K25716"/>
      <c r="L25716"/>
    </row>
    <row r="25717" spans="2:12" x14ac:dyDescent="0.2">
      <c r="B25717"/>
      <c r="C25717"/>
      <c r="J25717"/>
      <c r="K25717"/>
      <c r="L25717"/>
    </row>
    <row r="25718" spans="2:12" x14ac:dyDescent="0.2">
      <c r="B25718"/>
      <c r="C25718"/>
      <c r="J25718"/>
      <c r="K25718"/>
      <c r="L25718"/>
    </row>
    <row r="25719" spans="2:12" x14ac:dyDescent="0.2">
      <c r="B25719"/>
      <c r="C25719"/>
      <c r="J25719"/>
      <c r="K25719"/>
      <c r="L25719"/>
    </row>
    <row r="25720" spans="2:12" x14ac:dyDescent="0.2">
      <c r="B25720"/>
      <c r="C25720"/>
      <c r="J25720"/>
      <c r="K25720"/>
      <c r="L25720"/>
    </row>
    <row r="25721" spans="2:12" x14ac:dyDescent="0.2">
      <c r="B25721"/>
      <c r="C25721"/>
      <c r="J25721"/>
      <c r="K25721"/>
      <c r="L25721"/>
    </row>
    <row r="25722" spans="2:12" x14ac:dyDescent="0.2">
      <c r="B25722"/>
      <c r="C25722"/>
      <c r="J25722"/>
      <c r="K25722"/>
      <c r="L25722"/>
    </row>
    <row r="25723" spans="2:12" x14ac:dyDescent="0.2">
      <c r="B25723"/>
      <c r="C25723"/>
      <c r="J25723"/>
      <c r="K25723"/>
      <c r="L25723"/>
    </row>
    <row r="25724" spans="2:12" x14ac:dyDescent="0.2">
      <c r="B25724"/>
      <c r="C25724"/>
      <c r="J25724"/>
      <c r="K25724"/>
      <c r="L25724"/>
    </row>
    <row r="25725" spans="2:12" x14ac:dyDescent="0.2">
      <c r="B25725"/>
      <c r="C25725"/>
      <c r="J25725"/>
      <c r="K25725"/>
      <c r="L25725"/>
    </row>
    <row r="25726" spans="2:12" x14ac:dyDescent="0.2">
      <c r="B25726"/>
      <c r="C25726"/>
      <c r="J25726"/>
      <c r="K25726"/>
      <c r="L25726"/>
    </row>
    <row r="25727" spans="2:12" x14ac:dyDescent="0.2">
      <c r="B25727"/>
      <c r="C25727"/>
      <c r="J25727"/>
      <c r="K25727"/>
      <c r="L25727"/>
    </row>
    <row r="25728" spans="2:12" x14ac:dyDescent="0.2">
      <c r="B25728"/>
      <c r="C25728"/>
      <c r="J25728"/>
      <c r="K25728"/>
      <c r="L25728"/>
    </row>
    <row r="25729" spans="2:12" x14ac:dyDescent="0.2">
      <c r="B25729"/>
      <c r="C25729"/>
      <c r="J25729"/>
      <c r="K25729"/>
      <c r="L25729"/>
    </row>
    <row r="25730" spans="2:12" x14ac:dyDescent="0.2">
      <c r="B25730"/>
      <c r="C25730"/>
      <c r="J25730"/>
      <c r="K25730"/>
      <c r="L25730"/>
    </row>
    <row r="25731" spans="2:12" x14ac:dyDescent="0.2">
      <c r="B25731"/>
      <c r="C25731"/>
      <c r="J25731"/>
      <c r="K25731"/>
      <c r="L25731"/>
    </row>
    <row r="25732" spans="2:12" x14ac:dyDescent="0.2">
      <c r="B25732"/>
      <c r="C25732"/>
      <c r="J25732"/>
      <c r="K25732"/>
      <c r="L25732"/>
    </row>
    <row r="25733" spans="2:12" x14ac:dyDescent="0.2">
      <c r="B25733"/>
      <c r="C25733"/>
      <c r="J25733"/>
      <c r="K25733"/>
      <c r="L25733"/>
    </row>
    <row r="25734" spans="2:12" x14ac:dyDescent="0.2">
      <c r="B25734"/>
      <c r="C25734"/>
      <c r="J25734"/>
      <c r="K25734"/>
      <c r="L25734"/>
    </row>
    <row r="25735" spans="2:12" x14ac:dyDescent="0.2">
      <c r="B25735"/>
      <c r="C25735"/>
      <c r="J25735"/>
      <c r="K25735"/>
      <c r="L25735"/>
    </row>
    <row r="25736" spans="2:12" x14ac:dyDescent="0.2">
      <c r="B25736"/>
      <c r="C25736"/>
      <c r="J25736"/>
      <c r="K25736"/>
      <c r="L25736"/>
    </row>
    <row r="25737" spans="2:12" x14ac:dyDescent="0.2">
      <c r="B25737"/>
      <c r="C25737"/>
      <c r="J25737"/>
      <c r="K25737"/>
      <c r="L25737"/>
    </row>
    <row r="25738" spans="2:12" x14ac:dyDescent="0.2">
      <c r="B25738"/>
      <c r="C25738"/>
      <c r="J25738"/>
      <c r="K25738"/>
      <c r="L25738"/>
    </row>
    <row r="25739" spans="2:12" x14ac:dyDescent="0.2">
      <c r="B25739"/>
      <c r="C25739"/>
      <c r="J25739"/>
      <c r="K25739"/>
      <c r="L25739"/>
    </row>
    <row r="25740" spans="2:12" x14ac:dyDescent="0.2">
      <c r="B25740"/>
      <c r="C25740"/>
      <c r="J25740"/>
      <c r="K25740"/>
      <c r="L25740"/>
    </row>
    <row r="25741" spans="2:12" x14ac:dyDescent="0.2">
      <c r="B25741"/>
      <c r="C25741"/>
      <c r="J25741"/>
      <c r="K25741"/>
      <c r="L25741"/>
    </row>
    <row r="25742" spans="2:12" x14ac:dyDescent="0.2">
      <c r="B25742"/>
      <c r="C25742"/>
      <c r="J25742"/>
      <c r="K25742"/>
      <c r="L25742"/>
    </row>
    <row r="25743" spans="2:12" x14ac:dyDescent="0.2">
      <c r="B25743"/>
      <c r="C25743"/>
      <c r="J25743"/>
      <c r="K25743"/>
      <c r="L25743"/>
    </row>
    <row r="25744" spans="2:12" x14ac:dyDescent="0.2">
      <c r="B25744"/>
      <c r="C25744"/>
      <c r="J25744"/>
      <c r="K25744"/>
      <c r="L25744"/>
    </row>
    <row r="25745" spans="2:12" x14ac:dyDescent="0.2">
      <c r="B25745"/>
      <c r="C25745"/>
      <c r="J25745"/>
      <c r="K25745"/>
      <c r="L25745"/>
    </row>
    <row r="25746" spans="2:12" x14ac:dyDescent="0.2">
      <c r="B25746"/>
      <c r="C25746"/>
      <c r="J25746"/>
      <c r="K25746"/>
      <c r="L25746"/>
    </row>
    <row r="25747" spans="2:12" x14ac:dyDescent="0.2">
      <c r="B25747"/>
      <c r="C25747"/>
      <c r="J25747"/>
      <c r="K25747"/>
      <c r="L25747"/>
    </row>
    <row r="25748" spans="2:12" x14ac:dyDescent="0.2">
      <c r="B25748"/>
      <c r="C25748"/>
      <c r="J25748"/>
      <c r="K25748"/>
      <c r="L25748"/>
    </row>
    <row r="25749" spans="2:12" x14ac:dyDescent="0.2">
      <c r="B25749"/>
      <c r="C25749"/>
      <c r="J25749"/>
      <c r="K25749"/>
      <c r="L25749"/>
    </row>
    <row r="25750" spans="2:12" x14ac:dyDescent="0.2">
      <c r="B25750"/>
      <c r="C25750"/>
      <c r="J25750"/>
      <c r="K25750"/>
      <c r="L25750"/>
    </row>
    <row r="25751" spans="2:12" x14ac:dyDescent="0.2">
      <c r="B25751"/>
      <c r="C25751"/>
      <c r="J25751"/>
      <c r="K25751"/>
      <c r="L25751"/>
    </row>
    <row r="25752" spans="2:12" x14ac:dyDescent="0.2">
      <c r="B25752"/>
      <c r="C25752"/>
      <c r="J25752"/>
      <c r="K25752"/>
      <c r="L25752"/>
    </row>
    <row r="25753" spans="2:12" x14ac:dyDescent="0.2">
      <c r="B25753"/>
      <c r="C25753"/>
      <c r="J25753"/>
      <c r="K25753"/>
      <c r="L25753"/>
    </row>
    <row r="25754" spans="2:12" x14ac:dyDescent="0.2">
      <c r="B25754"/>
      <c r="C25754"/>
      <c r="J25754"/>
      <c r="K25754"/>
      <c r="L25754"/>
    </row>
    <row r="25755" spans="2:12" x14ac:dyDescent="0.2">
      <c r="B25755"/>
      <c r="C25755"/>
      <c r="J25755"/>
      <c r="K25755"/>
      <c r="L25755"/>
    </row>
    <row r="25756" spans="2:12" x14ac:dyDescent="0.2">
      <c r="B25756"/>
      <c r="C25756"/>
      <c r="J25756"/>
      <c r="K25756"/>
      <c r="L25756"/>
    </row>
    <row r="25757" spans="2:12" x14ac:dyDescent="0.2">
      <c r="B25757"/>
      <c r="C25757"/>
      <c r="J25757"/>
      <c r="K25757"/>
      <c r="L25757"/>
    </row>
    <row r="25758" spans="2:12" x14ac:dyDescent="0.2">
      <c r="B25758"/>
      <c r="C25758"/>
      <c r="J25758"/>
      <c r="K25758"/>
      <c r="L25758"/>
    </row>
    <row r="25759" spans="2:12" x14ac:dyDescent="0.2">
      <c r="B25759"/>
      <c r="C25759"/>
      <c r="J25759"/>
      <c r="K25759"/>
      <c r="L25759"/>
    </row>
    <row r="25760" spans="2:12" x14ac:dyDescent="0.2">
      <c r="B25760"/>
      <c r="C25760"/>
      <c r="J25760"/>
      <c r="K25760"/>
      <c r="L25760"/>
    </row>
    <row r="25761" spans="2:12" x14ac:dyDescent="0.2">
      <c r="B25761"/>
      <c r="C25761"/>
      <c r="J25761"/>
      <c r="K25761"/>
      <c r="L25761"/>
    </row>
    <row r="25762" spans="2:12" x14ac:dyDescent="0.2">
      <c r="B25762"/>
      <c r="C25762"/>
      <c r="J25762"/>
      <c r="K25762"/>
      <c r="L25762"/>
    </row>
    <row r="25763" spans="2:12" x14ac:dyDescent="0.2">
      <c r="B25763"/>
      <c r="C25763"/>
      <c r="J25763"/>
      <c r="K25763"/>
      <c r="L25763"/>
    </row>
    <row r="25764" spans="2:12" x14ac:dyDescent="0.2">
      <c r="B25764"/>
      <c r="C25764"/>
      <c r="J25764"/>
      <c r="K25764"/>
      <c r="L25764"/>
    </row>
    <row r="25765" spans="2:12" x14ac:dyDescent="0.2">
      <c r="B25765"/>
      <c r="C25765"/>
      <c r="J25765"/>
      <c r="K25765"/>
      <c r="L25765"/>
    </row>
    <row r="25766" spans="2:12" x14ac:dyDescent="0.2">
      <c r="B25766"/>
      <c r="C25766"/>
      <c r="J25766"/>
      <c r="K25766"/>
      <c r="L25766"/>
    </row>
    <row r="25767" spans="2:12" x14ac:dyDescent="0.2">
      <c r="B25767"/>
      <c r="C25767"/>
      <c r="J25767"/>
      <c r="K25767"/>
      <c r="L25767"/>
    </row>
    <row r="25768" spans="2:12" x14ac:dyDescent="0.2">
      <c r="B25768"/>
      <c r="C25768"/>
      <c r="J25768"/>
      <c r="K25768"/>
      <c r="L25768"/>
    </row>
    <row r="25769" spans="2:12" x14ac:dyDescent="0.2">
      <c r="B25769"/>
      <c r="C25769"/>
      <c r="J25769"/>
      <c r="K25769"/>
      <c r="L25769"/>
    </row>
    <row r="25770" spans="2:12" x14ac:dyDescent="0.2">
      <c r="B25770"/>
      <c r="C25770"/>
      <c r="J25770"/>
      <c r="K25770"/>
      <c r="L25770"/>
    </row>
    <row r="25771" spans="2:12" x14ac:dyDescent="0.2">
      <c r="B25771"/>
      <c r="C25771"/>
      <c r="J25771"/>
      <c r="K25771"/>
      <c r="L25771"/>
    </row>
    <row r="25772" spans="2:12" x14ac:dyDescent="0.2">
      <c r="B25772"/>
      <c r="C25772"/>
      <c r="J25772"/>
      <c r="K25772"/>
      <c r="L25772"/>
    </row>
    <row r="25773" spans="2:12" x14ac:dyDescent="0.2">
      <c r="B25773"/>
      <c r="C25773"/>
      <c r="J25773"/>
      <c r="K25773"/>
      <c r="L25773"/>
    </row>
    <row r="25774" spans="2:12" x14ac:dyDescent="0.2">
      <c r="B25774"/>
      <c r="C25774"/>
      <c r="J25774"/>
      <c r="K25774"/>
      <c r="L25774"/>
    </row>
    <row r="25775" spans="2:12" x14ac:dyDescent="0.2">
      <c r="B25775"/>
      <c r="C25775"/>
      <c r="J25775"/>
      <c r="K25775"/>
      <c r="L25775"/>
    </row>
    <row r="25776" spans="2:12" x14ac:dyDescent="0.2">
      <c r="B25776"/>
      <c r="C25776"/>
      <c r="J25776"/>
      <c r="K25776"/>
      <c r="L25776"/>
    </row>
    <row r="25777" spans="2:12" x14ac:dyDescent="0.2">
      <c r="B25777"/>
      <c r="C25777"/>
      <c r="J25777"/>
      <c r="K25777"/>
      <c r="L25777"/>
    </row>
    <row r="25778" spans="2:12" x14ac:dyDescent="0.2">
      <c r="B25778"/>
      <c r="C25778"/>
      <c r="J25778"/>
      <c r="K25778"/>
      <c r="L25778"/>
    </row>
    <row r="25779" spans="2:12" x14ac:dyDescent="0.2">
      <c r="B25779"/>
      <c r="C25779"/>
      <c r="J25779"/>
      <c r="K25779"/>
      <c r="L25779"/>
    </row>
    <row r="25780" spans="2:12" x14ac:dyDescent="0.2">
      <c r="B25780"/>
      <c r="C25780"/>
      <c r="J25780"/>
      <c r="K25780"/>
      <c r="L25780"/>
    </row>
    <row r="25781" spans="2:12" x14ac:dyDescent="0.2">
      <c r="B25781"/>
      <c r="C25781"/>
      <c r="J25781"/>
      <c r="K25781"/>
      <c r="L25781"/>
    </row>
    <row r="25782" spans="2:12" x14ac:dyDescent="0.2">
      <c r="B25782"/>
      <c r="C25782"/>
      <c r="J25782"/>
      <c r="K25782"/>
      <c r="L25782"/>
    </row>
    <row r="25783" spans="2:12" x14ac:dyDescent="0.2">
      <c r="B25783"/>
      <c r="C25783"/>
      <c r="J25783"/>
      <c r="K25783"/>
      <c r="L25783"/>
    </row>
    <row r="25784" spans="2:12" x14ac:dyDescent="0.2">
      <c r="B25784"/>
      <c r="C25784"/>
      <c r="J25784"/>
      <c r="K25784"/>
      <c r="L25784"/>
    </row>
    <row r="25785" spans="2:12" x14ac:dyDescent="0.2">
      <c r="B25785"/>
      <c r="C25785"/>
      <c r="J25785"/>
      <c r="K25785"/>
      <c r="L25785"/>
    </row>
    <row r="25786" spans="2:12" x14ac:dyDescent="0.2">
      <c r="B25786"/>
      <c r="C25786"/>
      <c r="J25786"/>
      <c r="K25786"/>
      <c r="L25786"/>
    </row>
    <row r="25787" spans="2:12" x14ac:dyDescent="0.2">
      <c r="B25787"/>
      <c r="C25787"/>
      <c r="J25787"/>
      <c r="K25787"/>
      <c r="L25787"/>
    </row>
    <row r="25788" spans="2:12" x14ac:dyDescent="0.2">
      <c r="B25788"/>
      <c r="C25788"/>
      <c r="J25788"/>
      <c r="K25788"/>
      <c r="L25788"/>
    </row>
    <row r="25789" spans="2:12" x14ac:dyDescent="0.2">
      <c r="B25789"/>
      <c r="C25789"/>
      <c r="J25789"/>
      <c r="K25789"/>
      <c r="L25789"/>
    </row>
    <row r="25790" spans="2:12" x14ac:dyDescent="0.2">
      <c r="B25790"/>
      <c r="C25790"/>
      <c r="J25790"/>
      <c r="K25790"/>
      <c r="L25790"/>
    </row>
    <row r="25791" spans="2:12" x14ac:dyDescent="0.2">
      <c r="B25791"/>
      <c r="C25791"/>
      <c r="J25791"/>
      <c r="K25791"/>
      <c r="L25791"/>
    </row>
    <row r="25792" spans="2:12" x14ac:dyDescent="0.2">
      <c r="B25792"/>
      <c r="C25792"/>
      <c r="J25792"/>
      <c r="K25792"/>
      <c r="L25792"/>
    </row>
    <row r="25793" spans="2:12" x14ac:dyDescent="0.2">
      <c r="B25793"/>
      <c r="C25793"/>
      <c r="J25793"/>
      <c r="K25793"/>
      <c r="L25793"/>
    </row>
    <row r="25794" spans="2:12" x14ac:dyDescent="0.2">
      <c r="B25794"/>
      <c r="C25794"/>
      <c r="J25794"/>
      <c r="K25794"/>
      <c r="L25794"/>
    </row>
    <row r="25795" spans="2:12" x14ac:dyDescent="0.2">
      <c r="B25795"/>
      <c r="C25795"/>
      <c r="J25795"/>
      <c r="K25795"/>
      <c r="L25795"/>
    </row>
    <row r="25796" spans="2:12" x14ac:dyDescent="0.2">
      <c r="B25796"/>
      <c r="C25796"/>
      <c r="J25796"/>
      <c r="K25796"/>
      <c r="L25796"/>
    </row>
    <row r="25797" spans="2:12" x14ac:dyDescent="0.2">
      <c r="B25797"/>
      <c r="C25797"/>
      <c r="J25797"/>
      <c r="K25797"/>
      <c r="L25797"/>
    </row>
    <row r="25798" spans="2:12" x14ac:dyDescent="0.2">
      <c r="B25798"/>
      <c r="C25798"/>
      <c r="J25798"/>
      <c r="K25798"/>
      <c r="L25798"/>
    </row>
    <row r="25799" spans="2:12" x14ac:dyDescent="0.2">
      <c r="B25799"/>
      <c r="C25799"/>
      <c r="J25799"/>
      <c r="K25799"/>
      <c r="L25799"/>
    </row>
    <row r="25800" spans="2:12" x14ac:dyDescent="0.2">
      <c r="B25800"/>
      <c r="C25800"/>
      <c r="J25800"/>
      <c r="K25800"/>
      <c r="L25800"/>
    </row>
    <row r="25801" spans="2:12" x14ac:dyDescent="0.2">
      <c r="B25801"/>
      <c r="C25801"/>
      <c r="J25801"/>
      <c r="K25801"/>
      <c r="L25801"/>
    </row>
    <row r="25802" spans="2:12" x14ac:dyDescent="0.2">
      <c r="B25802"/>
      <c r="C25802"/>
      <c r="J25802"/>
      <c r="K25802"/>
      <c r="L25802"/>
    </row>
    <row r="25803" spans="2:12" x14ac:dyDescent="0.2">
      <c r="B25803"/>
      <c r="C25803"/>
      <c r="J25803"/>
      <c r="K25803"/>
      <c r="L25803"/>
    </row>
    <row r="25804" spans="2:12" x14ac:dyDescent="0.2">
      <c r="B25804"/>
      <c r="C25804"/>
      <c r="J25804"/>
      <c r="K25804"/>
      <c r="L25804"/>
    </row>
    <row r="25805" spans="2:12" x14ac:dyDescent="0.2">
      <c r="B25805"/>
      <c r="C25805"/>
      <c r="J25805"/>
      <c r="K25805"/>
      <c r="L25805"/>
    </row>
    <row r="25806" spans="2:12" x14ac:dyDescent="0.2">
      <c r="B25806"/>
      <c r="C25806"/>
      <c r="J25806"/>
      <c r="K25806"/>
      <c r="L25806"/>
    </row>
    <row r="25807" spans="2:12" x14ac:dyDescent="0.2">
      <c r="B25807"/>
      <c r="C25807"/>
      <c r="J25807"/>
      <c r="K25807"/>
      <c r="L25807"/>
    </row>
    <row r="25808" spans="2:12" x14ac:dyDescent="0.2">
      <c r="B25808"/>
      <c r="C25808"/>
      <c r="J25808"/>
      <c r="K25808"/>
      <c r="L25808"/>
    </row>
    <row r="25809" spans="2:12" x14ac:dyDescent="0.2">
      <c r="B25809"/>
      <c r="C25809"/>
      <c r="J25809"/>
      <c r="K25809"/>
      <c r="L25809"/>
    </row>
    <row r="25810" spans="2:12" x14ac:dyDescent="0.2">
      <c r="B25810"/>
      <c r="C25810"/>
      <c r="J25810"/>
      <c r="K25810"/>
      <c r="L25810"/>
    </row>
    <row r="25811" spans="2:12" x14ac:dyDescent="0.2">
      <c r="B25811"/>
      <c r="C25811"/>
      <c r="J25811"/>
      <c r="K25811"/>
      <c r="L25811"/>
    </row>
    <row r="25812" spans="2:12" x14ac:dyDescent="0.2">
      <c r="B25812"/>
      <c r="C25812"/>
      <c r="J25812"/>
      <c r="K25812"/>
      <c r="L25812"/>
    </row>
    <row r="25813" spans="2:12" x14ac:dyDescent="0.2">
      <c r="B25813"/>
      <c r="C25813"/>
      <c r="J25813"/>
      <c r="K25813"/>
      <c r="L25813"/>
    </row>
    <row r="25814" spans="2:12" x14ac:dyDescent="0.2">
      <c r="B25814"/>
      <c r="C25814"/>
      <c r="J25814"/>
      <c r="K25814"/>
      <c r="L25814"/>
    </row>
    <row r="25815" spans="2:12" x14ac:dyDescent="0.2">
      <c r="B25815"/>
      <c r="C25815"/>
      <c r="J25815"/>
      <c r="K25815"/>
      <c r="L25815"/>
    </row>
    <row r="25816" spans="2:12" x14ac:dyDescent="0.2">
      <c r="B25816"/>
      <c r="C25816"/>
      <c r="J25816"/>
      <c r="K25816"/>
      <c r="L25816"/>
    </row>
    <row r="25817" spans="2:12" x14ac:dyDescent="0.2">
      <c r="B25817"/>
      <c r="C25817"/>
      <c r="J25817"/>
      <c r="K25817"/>
      <c r="L25817"/>
    </row>
    <row r="25818" spans="2:12" x14ac:dyDescent="0.2">
      <c r="B25818"/>
      <c r="C25818"/>
      <c r="J25818"/>
      <c r="K25818"/>
      <c r="L25818"/>
    </row>
    <row r="25819" spans="2:12" x14ac:dyDescent="0.2">
      <c r="B25819"/>
      <c r="C25819"/>
      <c r="J25819"/>
      <c r="K25819"/>
      <c r="L25819"/>
    </row>
    <row r="25820" spans="2:12" x14ac:dyDescent="0.2">
      <c r="B25820"/>
      <c r="C25820"/>
      <c r="J25820"/>
      <c r="K25820"/>
      <c r="L25820"/>
    </row>
    <row r="25821" spans="2:12" x14ac:dyDescent="0.2">
      <c r="B25821"/>
      <c r="C25821"/>
      <c r="J25821"/>
      <c r="K25821"/>
      <c r="L25821"/>
    </row>
    <row r="25822" spans="2:12" x14ac:dyDescent="0.2">
      <c r="B25822"/>
      <c r="C25822"/>
      <c r="J25822"/>
      <c r="K25822"/>
      <c r="L25822"/>
    </row>
    <row r="25823" spans="2:12" x14ac:dyDescent="0.2">
      <c r="B25823"/>
      <c r="C25823"/>
      <c r="J25823"/>
      <c r="K25823"/>
      <c r="L25823"/>
    </row>
    <row r="25824" spans="2:12" x14ac:dyDescent="0.2">
      <c r="B25824"/>
      <c r="C25824"/>
      <c r="J25824"/>
      <c r="K25824"/>
      <c r="L25824"/>
    </row>
    <row r="25825" spans="2:12" x14ac:dyDescent="0.2">
      <c r="B25825"/>
      <c r="C25825"/>
      <c r="J25825"/>
      <c r="K25825"/>
      <c r="L25825"/>
    </row>
    <row r="25826" spans="2:12" x14ac:dyDescent="0.2">
      <c r="B25826"/>
      <c r="C25826"/>
      <c r="J25826"/>
      <c r="K25826"/>
      <c r="L25826"/>
    </row>
    <row r="25827" spans="2:12" x14ac:dyDescent="0.2">
      <c r="B25827"/>
      <c r="C25827"/>
      <c r="J25827"/>
      <c r="K25827"/>
      <c r="L25827"/>
    </row>
    <row r="25828" spans="2:12" x14ac:dyDescent="0.2">
      <c r="B25828"/>
      <c r="C25828"/>
      <c r="J25828"/>
      <c r="K25828"/>
      <c r="L25828"/>
    </row>
    <row r="25829" spans="2:12" x14ac:dyDescent="0.2">
      <c r="B25829"/>
      <c r="C25829"/>
      <c r="J25829"/>
      <c r="K25829"/>
      <c r="L25829"/>
    </row>
    <row r="25830" spans="2:12" x14ac:dyDescent="0.2">
      <c r="B25830"/>
      <c r="C25830"/>
      <c r="J25830"/>
      <c r="K25830"/>
      <c r="L25830"/>
    </row>
    <row r="25831" spans="2:12" x14ac:dyDescent="0.2">
      <c r="B25831"/>
      <c r="C25831"/>
      <c r="J25831"/>
      <c r="K25831"/>
      <c r="L25831"/>
    </row>
    <row r="25832" spans="2:12" x14ac:dyDescent="0.2">
      <c r="B25832"/>
      <c r="C25832"/>
      <c r="J25832"/>
      <c r="K25832"/>
      <c r="L25832"/>
    </row>
    <row r="25833" spans="2:12" x14ac:dyDescent="0.2">
      <c r="B25833"/>
      <c r="C25833"/>
      <c r="J25833"/>
      <c r="K25833"/>
      <c r="L25833"/>
    </row>
    <row r="25834" spans="2:12" x14ac:dyDescent="0.2">
      <c r="B25834"/>
      <c r="C25834"/>
      <c r="J25834"/>
      <c r="K25834"/>
      <c r="L25834"/>
    </row>
    <row r="25835" spans="2:12" x14ac:dyDescent="0.2">
      <c r="B25835"/>
      <c r="C25835"/>
      <c r="J25835"/>
      <c r="K25835"/>
      <c r="L25835"/>
    </row>
    <row r="25836" spans="2:12" x14ac:dyDescent="0.2">
      <c r="B25836"/>
      <c r="C25836"/>
      <c r="J25836"/>
      <c r="K25836"/>
      <c r="L25836"/>
    </row>
    <row r="25837" spans="2:12" x14ac:dyDescent="0.2">
      <c r="B25837"/>
      <c r="C25837"/>
      <c r="J25837"/>
      <c r="K25837"/>
      <c r="L25837"/>
    </row>
    <row r="25838" spans="2:12" x14ac:dyDescent="0.2">
      <c r="B25838"/>
      <c r="C25838"/>
      <c r="J25838"/>
      <c r="K25838"/>
      <c r="L25838"/>
    </row>
    <row r="25839" spans="2:12" x14ac:dyDescent="0.2">
      <c r="B25839"/>
      <c r="C25839"/>
      <c r="J25839"/>
      <c r="K25839"/>
      <c r="L25839"/>
    </row>
    <row r="25840" spans="2:12" x14ac:dyDescent="0.2">
      <c r="B25840"/>
      <c r="C25840"/>
      <c r="J25840"/>
      <c r="K25840"/>
      <c r="L25840"/>
    </row>
    <row r="25841" spans="2:12" x14ac:dyDescent="0.2">
      <c r="B25841"/>
      <c r="C25841"/>
      <c r="J25841"/>
      <c r="K25841"/>
      <c r="L25841"/>
    </row>
    <row r="25842" spans="2:12" x14ac:dyDescent="0.2">
      <c r="B25842"/>
      <c r="C25842"/>
      <c r="J25842"/>
      <c r="K25842"/>
      <c r="L25842"/>
    </row>
    <row r="25843" spans="2:12" x14ac:dyDescent="0.2">
      <c r="B25843"/>
      <c r="C25843"/>
      <c r="J25843"/>
      <c r="K25843"/>
      <c r="L25843"/>
    </row>
    <row r="25844" spans="2:12" x14ac:dyDescent="0.2">
      <c r="B25844"/>
      <c r="C25844"/>
      <c r="J25844"/>
      <c r="K25844"/>
      <c r="L25844"/>
    </row>
    <row r="25845" spans="2:12" x14ac:dyDescent="0.2">
      <c r="B25845"/>
      <c r="C25845"/>
      <c r="J25845"/>
      <c r="K25845"/>
      <c r="L25845"/>
    </row>
    <row r="25846" spans="2:12" x14ac:dyDescent="0.2">
      <c r="B25846"/>
      <c r="C25846"/>
      <c r="J25846"/>
      <c r="K25846"/>
      <c r="L25846"/>
    </row>
    <row r="25847" spans="2:12" x14ac:dyDescent="0.2">
      <c r="B25847"/>
      <c r="C25847"/>
      <c r="J25847"/>
      <c r="K25847"/>
      <c r="L25847"/>
    </row>
    <row r="25848" spans="2:12" x14ac:dyDescent="0.2">
      <c r="B25848"/>
      <c r="C25848"/>
      <c r="J25848"/>
      <c r="K25848"/>
      <c r="L25848"/>
    </row>
    <row r="25849" spans="2:12" x14ac:dyDescent="0.2">
      <c r="B25849"/>
      <c r="C25849"/>
      <c r="J25849"/>
      <c r="K25849"/>
      <c r="L25849"/>
    </row>
    <row r="25850" spans="2:12" x14ac:dyDescent="0.2">
      <c r="B25850"/>
      <c r="C25850"/>
      <c r="J25850"/>
      <c r="K25850"/>
      <c r="L25850"/>
    </row>
    <row r="25851" spans="2:12" x14ac:dyDescent="0.2">
      <c r="B25851"/>
      <c r="C25851"/>
      <c r="J25851"/>
      <c r="K25851"/>
      <c r="L25851"/>
    </row>
    <row r="25852" spans="2:12" x14ac:dyDescent="0.2">
      <c r="B25852"/>
      <c r="C25852"/>
      <c r="J25852"/>
      <c r="K25852"/>
      <c r="L25852"/>
    </row>
    <row r="25853" spans="2:12" x14ac:dyDescent="0.2">
      <c r="B25853"/>
      <c r="C25853"/>
      <c r="J25853"/>
      <c r="K25853"/>
      <c r="L25853"/>
    </row>
    <row r="25854" spans="2:12" x14ac:dyDescent="0.2">
      <c r="B25854"/>
      <c r="C25854"/>
      <c r="J25854"/>
      <c r="K25854"/>
      <c r="L25854"/>
    </row>
    <row r="25855" spans="2:12" x14ac:dyDescent="0.2">
      <c r="B25855"/>
      <c r="C25855"/>
      <c r="J25855"/>
      <c r="K25855"/>
      <c r="L25855"/>
    </row>
    <row r="25856" spans="2:12" x14ac:dyDescent="0.2">
      <c r="B25856"/>
      <c r="C25856"/>
      <c r="J25856"/>
      <c r="K25856"/>
      <c r="L25856"/>
    </row>
    <row r="25857" spans="2:12" x14ac:dyDescent="0.2">
      <c r="B25857"/>
      <c r="C25857"/>
      <c r="J25857"/>
      <c r="K25857"/>
      <c r="L25857"/>
    </row>
    <row r="25858" spans="2:12" x14ac:dyDescent="0.2">
      <c r="B25858"/>
      <c r="C25858"/>
      <c r="J25858"/>
      <c r="K25858"/>
      <c r="L25858"/>
    </row>
    <row r="25859" spans="2:12" x14ac:dyDescent="0.2">
      <c r="B25859"/>
      <c r="C25859"/>
      <c r="J25859"/>
      <c r="K25859"/>
      <c r="L25859"/>
    </row>
    <row r="25860" spans="2:12" x14ac:dyDescent="0.2">
      <c r="B25860"/>
      <c r="C25860"/>
      <c r="J25860"/>
      <c r="K25860"/>
      <c r="L25860"/>
    </row>
    <row r="25861" spans="2:12" x14ac:dyDescent="0.2">
      <c r="B25861"/>
      <c r="C25861"/>
      <c r="J25861"/>
      <c r="K25861"/>
      <c r="L25861"/>
    </row>
    <row r="25862" spans="2:12" x14ac:dyDescent="0.2">
      <c r="B25862"/>
      <c r="C25862"/>
      <c r="J25862"/>
      <c r="K25862"/>
      <c r="L25862"/>
    </row>
    <row r="25863" spans="2:12" x14ac:dyDescent="0.2">
      <c r="B25863"/>
      <c r="C25863"/>
      <c r="J25863"/>
      <c r="K25863"/>
      <c r="L25863"/>
    </row>
    <row r="25864" spans="2:12" x14ac:dyDescent="0.2">
      <c r="B25864"/>
      <c r="C25864"/>
      <c r="J25864"/>
      <c r="K25864"/>
      <c r="L25864"/>
    </row>
    <row r="25865" spans="2:12" x14ac:dyDescent="0.2">
      <c r="B25865"/>
      <c r="C25865"/>
      <c r="J25865"/>
      <c r="K25865"/>
      <c r="L25865"/>
    </row>
    <row r="25866" spans="2:12" x14ac:dyDescent="0.2">
      <c r="B25866"/>
      <c r="C25866"/>
      <c r="J25866"/>
      <c r="K25866"/>
      <c r="L25866"/>
    </row>
    <row r="25867" spans="2:12" x14ac:dyDescent="0.2">
      <c r="B25867"/>
      <c r="C25867"/>
      <c r="J25867"/>
      <c r="K25867"/>
      <c r="L25867"/>
    </row>
    <row r="25868" spans="2:12" x14ac:dyDescent="0.2">
      <c r="B25868"/>
      <c r="C25868"/>
      <c r="J25868"/>
      <c r="K25868"/>
      <c r="L25868"/>
    </row>
    <row r="25869" spans="2:12" x14ac:dyDescent="0.2">
      <c r="B25869"/>
      <c r="C25869"/>
      <c r="J25869"/>
      <c r="K25869"/>
      <c r="L25869"/>
    </row>
    <row r="25870" spans="2:12" x14ac:dyDescent="0.2">
      <c r="B25870"/>
      <c r="C25870"/>
      <c r="J25870"/>
      <c r="K25870"/>
      <c r="L25870"/>
    </row>
    <row r="25871" spans="2:12" x14ac:dyDescent="0.2">
      <c r="B25871"/>
      <c r="C25871"/>
      <c r="J25871"/>
      <c r="K25871"/>
      <c r="L25871"/>
    </row>
    <row r="25872" spans="2:12" x14ac:dyDescent="0.2">
      <c r="B25872"/>
      <c r="C25872"/>
      <c r="J25872"/>
      <c r="K25872"/>
      <c r="L25872"/>
    </row>
    <row r="25873" spans="2:12" x14ac:dyDescent="0.2">
      <c r="B25873"/>
      <c r="C25873"/>
      <c r="J25873"/>
      <c r="K25873"/>
      <c r="L25873"/>
    </row>
    <row r="25874" spans="2:12" x14ac:dyDescent="0.2">
      <c r="B25874"/>
      <c r="C25874"/>
      <c r="J25874"/>
      <c r="K25874"/>
      <c r="L25874"/>
    </row>
    <row r="25875" spans="2:12" x14ac:dyDescent="0.2">
      <c r="B25875"/>
      <c r="C25875"/>
      <c r="J25875"/>
      <c r="K25875"/>
      <c r="L25875"/>
    </row>
    <row r="25876" spans="2:12" x14ac:dyDescent="0.2">
      <c r="B25876"/>
      <c r="C25876"/>
      <c r="J25876"/>
      <c r="K25876"/>
      <c r="L25876"/>
    </row>
    <row r="25877" spans="2:12" x14ac:dyDescent="0.2">
      <c r="B25877"/>
      <c r="C25877"/>
      <c r="J25877"/>
      <c r="K25877"/>
      <c r="L25877"/>
    </row>
    <row r="25878" spans="2:12" x14ac:dyDescent="0.2">
      <c r="B25878"/>
      <c r="C25878"/>
      <c r="J25878"/>
      <c r="K25878"/>
      <c r="L25878"/>
    </row>
    <row r="25879" spans="2:12" x14ac:dyDescent="0.2">
      <c r="B25879"/>
      <c r="C25879"/>
      <c r="J25879"/>
      <c r="K25879"/>
      <c r="L25879"/>
    </row>
    <row r="25880" spans="2:12" x14ac:dyDescent="0.2">
      <c r="B25880"/>
      <c r="C25880"/>
      <c r="J25880"/>
      <c r="K25880"/>
      <c r="L25880"/>
    </row>
    <row r="25881" spans="2:12" x14ac:dyDescent="0.2">
      <c r="B25881"/>
      <c r="C25881"/>
      <c r="J25881"/>
      <c r="K25881"/>
      <c r="L25881"/>
    </row>
    <row r="25882" spans="2:12" x14ac:dyDescent="0.2">
      <c r="B25882"/>
      <c r="C25882"/>
      <c r="J25882"/>
      <c r="K25882"/>
      <c r="L25882"/>
    </row>
    <row r="25883" spans="2:12" x14ac:dyDescent="0.2">
      <c r="B25883"/>
      <c r="C25883"/>
      <c r="J25883"/>
      <c r="K25883"/>
      <c r="L25883"/>
    </row>
    <row r="25884" spans="2:12" x14ac:dyDescent="0.2">
      <c r="B25884"/>
      <c r="C25884"/>
      <c r="J25884"/>
      <c r="K25884"/>
      <c r="L25884"/>
    </row>
    <row r="25885" spans="2:12" x14ac:dyDescent="0.2">
      <c r="B25885"/>
      <c r="C25885"/>
      <c r="J25885"/>
      <c r="K25885"/>
      <c r="L25885"/>
    </row>
    <row r="25886" spans="2:12" x14ac:dyDescent="0.2">
      <c r="B25886"/>
      <c r="C25886"/>
      <c r="J25886"/>
      <c r="K25886"/>
      <c r="L25886"/>
    </row>
    <row r="25887" spans="2:12" x14ac:dyDescent="0.2">
      <c r="B25887"/>
      <c r="C25887"/>
      <c r="J25887"/>
      <c r="K25887"/>
      <c r="L25887"/>
    </row>
    <row r="25888" spans="2:12" x14ac:dyDescent="0.2">
      <c r="B25888"/>
      <c r="C25888"/>
      <c r="J25888"/>
      <c r="K25888"/>
      <c r="L25888"/>
    </row>
    <row r="25889" spans="2:12" x14ac:dyDescent="0.2">
      <c r="B25889"/>
      <c r="C25889"/>
      <c r="J25889"/>
      <c r="K25889"/>
      <c r="L25889"/>
    </row>
    <row r="25890" spans="2:12" x14ac:dyDescent="0.2">
      <c r="B25890"/>
      <c r="C25890"/>
      <c r="J25890"/>
      <c r="K25890"/>
      <c r="L25890"/>
    </row>
    <row r="25891" spans="2:12" x14ac:dyDescent="0.2">
      <c r="B25891"/>
      <c r="C25891"/>
      <c r="J25891"/>
      <c r="K25891"/>
      <c r="L25891"/>
    </row>
    <row r="25892" spans="2:12" x14ac:dyDescent="0.2">
      <c r="B25892"/>
      <c r="C25892"/>
      <c r="J25892"/>
      <c r="K25892"/>
      <c r="L25892"/>
    </row>
    <row r="25893" spans="2:12" x14ac:dyDescent="0.2">
      <c r="B25893"/>
      <c r="C25893"/>
      <c r="J25893"/>
      <c r="K25893"/>
      <c r="L25893"/>
    </row>
    <row r="25894" spans="2:12" x14ac:dyDescent="0.2">
      <c r="B25894"/>
      <c r="C25894"/>
      <c r="J25894"/>
      <c r="K25894"/>
      <c r="L25894"/>
    </row>
    <row r="25895" spans="2:12" x14ac:dyDescent="0.2">
      <c r="B25895"/>
      <c r="C25895"/>
      <c r="J25895"/>
      <c r="K25895"/>
      <c r="L25895"/>
    </row>
    <row r="25896" spans="2:12" x14ac:dyDescent="0.2">
      <c r="B25896"/>
      <c r="C25896"/>
      <c r="J25896"/>
      <c r="K25896"/>
      <c r="L25896"/>
    </row>
    <row r="25897" spans="2:12" x14ac:dyDescent="0.2">
      <c r="B25897"/>
      <c r="C25897"/>
      <c r="J25897"/>
      <c r="K25897"/>
      <c r="L25897"/>
    </row>
    <row r="25898" spans="2:12" x14ac:dyDescent="0.2">
      <c r="B25898"/>
      <c r="C25898"/>
      <c r="J25898"/>
      <c r="K25898"/>
      <c r="L25898"/>
    </row>
    <row r="25899" spans="2:12" x14ac:dyDescent="0.2">
      <c r="B25899"/>
      <c r="C25899"/>
      <c r="J25899"/>
      <c r="K25899"/>
      <c r="L25899"/>
    </row>
    <row r="25900" spans="2:12" x14ac:dyDescent="0.2">
      <c r="B25900"/>
      <c r="C25900"/>
      <c r="J25900"/>
      <c r="K25900"/>
      <c r="L25900"/>
    </row>
    <row r="25901" spans="2:12" x14ac:dyDescent="0.2">
      <c r="B25901"/>
      <c r="C25901"/>
      <c r="J25901"/>
      <c r="K25901"/>
      <c r="L25901"/>
    </row>
    <row r="25902" spans="2:12" x14ac:dyDescent="0.2">
      <c r="B25902"/>
      <c r="C25902"/>
      <c r="J25902"/>
      <c r="K25902"/>
      <c r="L25902"/>
    </row>
    <row r="25903" spans="2:12" x14ac:dyDescent="0.2">
      <c r="B25903"/>
      <c r="C25903"/>
      <c r="J25903"/>
      <c r="K25903"/>
      <c r="L25903"/>
    </row>
    <row r="25904" spans="2:12" x14ac:dyDescent="0.2">
      <c r="B25904"/>
      <c r="C25904"/>
      <c r="J25904"/>
      <c r="K25904"/>
      <c r="L25904"/>
    </row>
    <row r="25905" spans="2:12" x14ac:dyDescent="0.2">
      <c r="B25905"/>
      <c r="C25905"/>
      <c r="J25905"/>
      <c r="K25905"/>
      <c r="L25905"/>
    </row>
    <row r="25906" spans="2:12" x14ac:dyDescent="0.2">
      <c r="B25906"/>
      <c r="C25906"/>
      <c r="J25906"/>
      <c r="K25906"/>
      <c r="L25906"/>
    </row>
    <row r="25907" spans="2:12" x14ac:dyDescent="0.2">
      <c r="B25907"/>
      <c r="C25907"/>
      <c r="J25907"/>
      <c r="K25907"/>
      <c r="L25907"/>
    </row>
    <row r="25908" spans="2:12" x14ac:dyDescent="0.2">
      <c r="B25908"/>
      <c r="C25908"/>
      <c r="J25908"/>
      <c r="K25908"/>
      <c r="L25908"/>
    </row>
    <row r="25909" spans="2:12" x14ac:dyDescent="0.2">
      <c r="B25909"/>
      <c r="C25909"/>
      <c r="J25909"/>
      <c r="K25909"/>
      <c r="L25909"/>
    </row>
    <row r="25910" spans="2:12" x14ac:dyDescent="0.2">
      <c r="B25910"/>
      <c r="C25910"/>
      <c r="J25910"/>
      <c r="K25910"/>
      <c r="L25910"/>
    </row>
    <row r="25911" spans="2:12" x14ac:dyDescent="0.2">
      <c r="B25911"/>
      <c r="C25911"/>
      <c r="J25911"/>
      <c r="K25911"/>
      <c r="L25911"/>
    </row>
    <row r="25912" spans="2:12" x14ac:dyDescent="0.2">
      <c r="B25912"/>
      <c r="C25912"/>
      <c r="J25912"/>
      <c r="K25912"/>
      <c r="L25912"/>
    </row>
    <row r="25913" spans="2:12" x14ac:dyDescent="0.2">
      <c r="B25913"/>
      <c r="C25913"/>
      <c r="J25913"/>
      <c r="K25913"/>
      <c r="L25913"/>
    </row>
    <row r="25914" spans="2:12" x14ac:dyDescent="0.2">
      <c r="B25914"/>
      <c r="C25914"/>
      <c r="J25914"/>
      <c r="K25914"/>
      <c r="L25914"/>
    </row>
    <row r="25915" spans="2:12" x14ac:dyDescent="0.2">
      <c r="B25915"/>
      <c r="C25915"/>
      <c r="J25915"/>
      <c r="K25915"/>
      <c r="L25915"/>
    </row>
    <row r="25916" spans="2:12" x14ac:dyDescent="0.2">
      <c r="B25916"/>
      <c r="C25916"/>
      <c r="J25916"/>
      <c r="K25916"/>
      <c r="L25916"/>
    </row>
    <row r="25917" spans="2:12" x14ac:dyDescent="0.2">
      <c r="B25917"/>
      <c r="C25917"/>
      <c r="J25917"/>
      <c r="K25917"/>
      <c r="L25917"/>
    </row>
    <row r="25918" spans="2:12" x14ac:dyDescent="0.2">
      <c r="B25918"/>
      <c r="C25918"/>
      <c r="J25918"/>
      <c r="K25918"/>
      <c r="L25918"/>
    </row>
    <row r="25919" spans="2:12" x14ac:dyDescent="0.2">
      <c r="B25919"/>
      <c r="C25919"/>
      <c r="J25919"/>
      <c r="K25919"/>
      <c r="L25919"/>
    </row>
    <row r="25920" spans="2:12" x14ac:dyDescent="0.2">
      <c r="B25920"/>
      <c r="C25920"/>
      <c r="J25920"/>
      <c r="K25920"/>
      <c r="L25920"/>
    </row>
    <row r="25921" spans="2:12" x14ac:dyDescent="0.2">
      <c r="B25921"/>
      <c r="C25921"/>
      <c r="J25921"/>
      <c r="K25921"/>
      <c r="L25921"/>
    </row>
    <row r="25922" spans="2:12" x14ac:dyDescent="0.2">
      <c r="B25922"/>
      <c r="C25922"/>
      <c r="J25922"/>
      <c r="K25922"/>
      <c r="L25922"/>
    </row>
    <row r="25923" spans="2:12" x14ac:dyDescent="0.2">
      <c r="B25923"/>
      <c r="C25923"/>
      <c r="J25923"/>
      <c r="K25923"/>
      <c r="L25923"/>
    </row>
    <row r="25924" spans="2:12" x14ac:dyDescent="0.2">
      <c r="B25924"/>
      <c r="C25924"/>
      <c r="J25924"/>
      <c r="K25924"/>
      <c r="L25924"/>
    </row>
    <row r="25925" spans="2:12" x14ac:dyDescent="0.2">
      <c r="B25925"/>
      <c r="C25925"/>
      <c r="J25925"/>
      <c r="K25925"/>
      <c r="L25925"/>
    </row>
    <row r="25926" spans="2:12" x14ac:dyDescent="0.2">
      <c r="B25926"/>
      <c r="C25926"/>
      <c r="J25926"/>
      <c r="K25926"/>
      <c r="L25926"/>
    </row>
    <row r="25927" spans="2:12" x14ac:dyDescent="0.2">
      <c r="B25927"/>
      <c r="C25927"/>
      <c r="J25927"/>
      <c r="K25927"/>
      <c r="L25927"/>
    </row>
    <row r="25928" spans="2:12" x14ac:dyDescent="0.2">
      <c r="B25928"/>
      <c r="C25928"/>
      <c r="J25928"/>
      <c r="K25928"/>
      <c r="L25928"/>
    </row>
    <row r="25929" spans="2:12" x14ac:dyDescent="0.2">
      <c r="B25929"/>
      <c r="C25929"/>
      <c r="J25929"/>
      <c r="K25929"/>
      <c r="L25929"/>
    </row>
    <row r="25930" spans="2:12" x14ac:dyDescent="0.2">
      <c r="B25930"/>
      <c r="C25930"/>
      <c r="J25930"/>
      <c r="K25930"/>
      <c r="L25930"/>
    </row>
    <row r="25931" spans="2:12" x14ac:dyDescent="0.2">
      <c r="B25931"/>
      <c r="C25931"/>
      <c r="J25931"/>
      <c r="K25931"/>
      <c r="L25931"/>
    </row>
    <row r="25932" spans="2:12" x14ac:dyDescent="0.2">
      <c r="B25932"/>
      <c r="C25932"/>
      <c r="J25932"/>
      <c r="K25932"/>
      <c r="L25932"/>
    </row>
    <row r="25933" spans="2:12" x14ac:dyDescent="0.2">
      <c r="B25933"/>
      <c r="C25933"/>
      <c r="J25933"/>
      <c r="K25933"/>
      <c r="L25933"/>
    </row>
    <row r="25934" spans="2:12" x14ac:dyDescent="0.2">
      <c r="B25934"/>
      <c r="C25934"/>
      <c r="J25934"/>
      <c r="K25934"/>
      <c r="L25934"/>
    </row>
    <row r="25935" spans="2:12" x14ac:dyDescent="0.2">
      <c r="B25935"/>
      <c r="C25935"/>
      <c r="J25935"/>
      <c r="K25935"/>
      <c r="L25935"/>
    </row>
    <row r="25936" spans="2:12" x14ac:dyDescent="0.2">
      <c r="B25936"/>
      <c r="C25936"/>
      <c r="J25936"/>
      <c r="K25936"/>
      <c r="L25936"/>
    </row>
    <row r="25937" spans="2:12" x14ac:dyDescent="0.2">
      <c r="B25937"/>
      <c r="C25937"/>
      <c r="J25937"/>
      <c r="K25937"/>
      <c r="L25937"/>
    </row>
    <row r="25938" spans="2:12" x14ac:dyDescent="0.2">
      <c r="B25938"/>
      <c r="C25938"/>
      <c r="J25938"/>
      <c r="K25938"/>
      <c r="L25938"/>
    </row>
    <row r="25939" spans="2:12" x14ac:dyDescent="0.2">
      <c r="B25939"/>
      <c r="C25939"/>
      <c r="J25939"/>
      <c r="K25939"/>
      <c r="L25939"/>
    </row>
    <row r="25940" spans="2:12" x14ac:dyDescent="0.2">
      <c r="B25940"/>
      <c r="C25940"/>
      <c r="J25940"/>
      <c r="K25940"/>
      <c r="L25940"/>
    </row>
    <row r="25941" spans="2:12" x14ac:dyDescent="0.2">
      <c r="B25941"/>
      <c r="C25941"/>
      <c r="J25941"/>
      <c r="K25941"/>
      <c r="L25941"/>
    </row>
    <row r="25942" spans="2:12" x14ac:dyDescent="0.2">
      <c r="B25942"/>
      <c r="C25942"/>
      <c r="J25942"/>
      <c r="K25942"/>
      <c r="L25942"/>
    </row>
    <row r="25943" spans="2:12" x14ac:dyDescent="0.2">
      <c r="B25943"/>
      <c r="C25943"/>
      <c r="J25943"/>
      <c r="K25943"/>
      <c r="L25943"/>
    </row>
    <row r="25944" spans="2:12" x14ac:dyDescent="0.2">
      <c r="B25944"/>
      <c r="C25944"/>
      <c r="J25944"/>
      <c r="K25944"/>
      <c r="L25944"/>
    </row>
    <row r="25945" spans="2:12" x14ac:dyDescent="0.2">
      <c r="B25945"/>
      <c r="C25945"/>
      <c r="J25945"/>
      <c r="K25945"/>
      <c r="L25945"/>
    </row>
    <row r="25946" spans="2:12" x14ac:dyDescent="0.2">
      <c r="B25946"/>
      <c r="C25946"/>
      <c r="J25946"/>
      <c r="K25946"/>
      <c r="L25946"/>
    </row>
    <row r="25947" spans="2:12" x14ac:dyDescent="0.2">
      <c r="B25947"/>
      <c r="C25947"/>
      <c r="J25947"/>
      <c r="K25947"/>
      <c r="L25947"/>
    </row>
    <row r="25948" spans="2:12" x14ac:dyDescent="0.2">
      <c r="B25948"/>
      <c r="C25948"/>
      <c r="J25948"/>
      <c r="K25948"/>
      <c r="L25948"/>
    </row>
    <row r="25949" spans="2:12" x14ac:dyDescent="0.2">
      <c r="B25949"/>
      <c r="C25949"/>
      <c r="J25949"/>
      <c r="K25949"/>
      <c r="L25949"/>
    </row>
    <row r="25950" spans="2:12" x14ac:dyDescent="0.2">
      <c r="B25950"/>
      <c r="C25950"/>
      <c r="J25950"/>
      <c r="K25950"/>
      <c r="L25950"/>
    </row>
    <row r="25951" spans="2:12" x14ac:dyDescent="0.2">
      <c r="B25951"/>
      <c r="C25951"/>
      <c r="J25951"/>
      <c r="K25951"/>
      <c r="L25951"/>
    </row>
    <row r="25952" spans="2:12" x14ac:dyDescent="0.2">
      <c r="B25952"/>
      <c r="C25952"/>
      <c r="J25952"/>
      <c r="K25952"/>
      <c r="L25952"/>
    </row>
    <row r="25953" spans="2:12" x14ac:dyDescent="0.2">
      <c r="B25953"/>
      <c r="C25953"/>
      <c r="J25953"/>
      <c r="K25953"/>
      <c r="L25953"/>
    </row>
    <row r="25954" spans="2:12" x14ac:dyDescent="0.2">
      <c r="B25954"/>
      <c r="C25954"/>
      <c r="J25954"/>
      <c r="K25954"/>
      <c r="L25954"/>
    </row>
    <row r="25955" spans="2:12" x14ac:dyDescent="0.2">
      <c r="B25955"/>
      <c r="C25955"/>
      <c r="J25955"/>
      <c r="K25955"/>
      <c r="L25955"/>
    </row>
    <row r="25956" spans="2:12" x14ac:dyDescent="0.2">
      <c r="B25956"/>
      <c r="C25956"/>
      <c r="J25956"/>
      <c r="K25956"/>
      <c r="L25956"/>
    </row>
    <row r="25957" spans="2:12" x14ac:dyDescent="0.2">
      <c r="B25957"/>
      <c r="C25957"/>
      <c r="J25957"/>
      <c r="K25957"/>
      <c r="L25957"/>
    </row>
    <row r="25958" spans="2:12" x14ac:dyDescent="0.2">
      <c r="B25958"/>
      <c r="C25958"/>
      <c r="J25958"/>
      <c r="K25958"/>
      <c r="L25958"/>
    </row>
    <row r="25959" spans="2:12" x14ac:dyDescent="0.2">
      <c r="B25959"/>
      <c r="C25959"/>
      <c r="J25959"/>
      <c r="K25959"/>
      <c r="L25959"/>
    </row>
    <row r="25960" spans="2:12" x14ac:dyDescent="0.2">
      <c r="B25960"/>
      <c r="C25960"/>
      <c r="J25960"/>
      <c r="K25960"/>
      <c r="L25960"/>
    </row>
    <row r="25961" spans="2:12" x14ac:dyDescent="0.2">
      <c r="B25961"/>
      <c r="C25961"/>
      <c r="J25961"/>
      <c r="K25961"/>
      <c r="L25961"/>
    </row>
    <row r="25962" spans="2:12" x14ac:dyDescent="0.2">
      <c r="B25962"/>
      <c r="C25962"/>
      <c r="J25962"/>
      <c r="K25962"/>
      <c r="L25962"/>
    </row>
    <row r="25963" spans="2:12" x14ac:dyDescent="0.2">
      <c r="B25963"/>
      <c r="C25963"/>
      <c r="J25963"/>
      <c r="K25963"/>
      <c r="L25963"/>
    </row>
    <row r="25964" spans="2:12" x14ac:dyDescent="0.2">
      <c r="B25964"/>
      <c r="C25964"/>
      <c r="J25964"/>
      <c r="K25964"/>
      <c r="L25964"/>
    </row>
    <row r="25965" spans="2:12" x14ac:dyDescent="0.2">
      <c r="B25965"/>
      <c r="C25965"/>
      <c r="J25965"/>
      <c r="K25965"/>
      <c r="L25965"/>
    </row>
    <row r="25966" spans="2:12" x14ac:dyDescent="0.2">
      <c r="B25966"/>
      <c r="C25966"/>
      <c r="J25966"/>
      <c r="K25966"/>
      <c r="L25966"/>
    </row>
    <row r="25967" spans="2:12" x14ac:dyDescent="0.2">
      <c r="B25967"/>
      <c r="C25967"/>
      <c r="J25967"/>
      <c r="K25967"/>
      <c r="L25967"/>
    </row>
    <row r="25968" spans="2:12" x14ac:dyDescent="0.2">
      <c r="B25968"/>
      <c r="C25968"/>
      <c r="J25968"/>
      <c r="K25968"/>
      <c r="L25968"/>
    </row>
    <row r="25969" spans="2:12" x14ac:dyDescent="0.2">
      <c r="B25969"/>
      <c r="C25969"/>
      <c r="J25969"/>
      <c r="K25969"/>
      <c r="L25969"/>
    </row>
    <row r="25970" spans="2:12" x14ac:dyDescent="0.2">
      <c r="B25970"/>
      <c r="C25970"/>
      <c r="J25970"/>
      <c r="K25970"/>
      <c r="L25970"/>
    </row>
    <row r="25971" spans="2:12" x14ac:dyDescent="0.2">
      <c r="B25971"/>
      <c r="C25971"/>
      <c r="J25971"/>
      <c r="K25971"/>
      <c r="L25971"/>
    </row>
    <row r="25972" spans="2:12" x14ac:dyDescent="0.2">
      <c r="B25972"/>
      <c r="C25972"/>
      <c r="J25972"/>
      <c r="K25972"/>
      <c r="L25972"/>
    </row>
    <row r="25973" spans="2:12" x14ac:dyDescent="0.2">
      <c r="B25973"/>
      <c r="C25973"/>
      <c r="J25973"/>
      <c r="K25973"/>
      <c r="L25973"/>
    </row>
    <row r="25974" spans="2:12" x14ac:dyDescent="0.2">
      <c r="B25974"/>
      <c r="C25974"/>
      <c r="J25974"/>
      <c r="K25974"/>
      <c r="L25974"/>
    </row>
    <row r="25975" spans="2:12" x14ac:dyDescent="0.2">
      <c r="B25975"/>
      <c r="C25975"/>
      <c r="J25975"/>
      <c r="K25975"/>
      <c r="L25975"/>
    </row>
    <row r="25976" spans="2:12" x14ac:dyDescent="0.2">
      <c r="B25976"/>
      <c r="C25976"/>
      <c r="J25976"/>
      <c r="K25976"/>
      <c r="L25976"/>
    </row>
    <row r="25977" spans="2:12" x14ac:dyDescent="0.2">
      <c r="B25977"/>
      <c r="C25977"/>
      <c r="J25977"/>
      <c r="K25977"/>
      <c r="L25977"/>
    </row>
    <row r="25978" spans="2:12" x14ac:dyDescent="0.2">
      <c r="B25978"/>
      <c r="C25978"/>
      <c r="J25978"/>
      <c r="K25978"/>
      <c r="L25978"/>
    </row>
    <row r="25979" spans="2:12" x14ac:dyDescent="0.2">
      <c r="B25979"/>
      <c r="C25979"/>
      <c r="J25979"/>
      <c r="K25979"/>
      <c r="L25979"/>
    </row>
    <row r="25980" spans="2:12" x14ac:dyDescent="0.2">
      <c r="B25980"/>
      <c r="C25980"/>
      <c r="J25980"/>
      <c r="K25980"/>
      <c r="L25980"/>
    </row>
    <row r="25981" spans="2:12" x14ac:dyDescent="0.2">
      <c r="B25981"/>
      <c r="C25981"/>
      <c r="J25981"/>
      <c r="K25981"/>
      <c r="L25981"/>
    </row>
    <row r="25982" spans="2:12" x14ac:dyDescent="0.2">
      <c r="B25982"/>
      <c r="C25982"/>
      <c r="J25982"/>
      <c r="K25982"/>
      <c r="L25982"/>
    </row>
    <row r="25983" spans="2:12" x14ac:dyDescent="0.2">
      <c r="B25983"/>
      <c r="C25983"/>
      <c r="J25983"/>
      <c r="K25983"/>
      <c r="L25983"/>
    </row>
    <row r="25984" spans="2:12" x14ac:dyDescent="0.2">
      <c r="B25984"/>
      <c r="C25984"/>
      <c r="J25984"/>
      <c r="K25984"/>
      <c r="L25984"/>
    </row>
    <row r="25985" spans="2:12" x14ac:dyDescent="0.2">
      <c r="B25985"/>
      <c r="C25985"/>
      <c r="J25985"/>
      <c r="K25985"/>
      <c r="L25985"/>
    </row>
    <row r="25986" spans="2:12" x14ac:dyDescent="0.2">
      <c r="B25986"/>
      <c r="C25986"/>
      <c r="J25986"/>
      <c r="K25986"/>
      <c r="L25986"/>
    </row>
    <row r="25987" spans="2:12" x14ac:dyDescent="0.2">
      <c r="B25987"/>
      <c r="C25987"/>
      <c r="J25987"/>
      <c r="K25987"/>
      <c r="L25987"/>
    </row>
    <row r="25988" spans="2:12" x14ac:dyDescent="0.2">
      <c r="B25988"/>
      <c r="C25988"/>
      <c r="J25988"/>
      <c r="K25988"/>
      <c r="L25988"/>
    </row>
    <row r="25989" spans="2:12" x14ac:dyDescent="0.2">
      <c r="B25989"/>
      <c r="C25989"/>
      <c r="J25989"/>
      <c r="K25989"/>
      <c r="L25989"/>
    </row>
    <row r="25990" spans="2:12" x14ac:dyDescent="0.2">
      <c r="B25990"/>
      <c r="C25990"/>
      <c r="J25990"/>
      <c r="K25990"/>
      <c r="L25990"/>
    </row>
    <row r="25991" spans="2:12" x14ac:dyDescent="0.2">
      <c r="B25991"/>
      <c r="C25991"/>
      <c r="J25991"/>
      <c r="K25991"/>
      <c r="L25991"/>
    </row>
    <row r="25992" spans="2:12" x14ac:dyDescent="0.2">
      <c r="B25992"/>
      <c r="C25992"/>
      <c r="J25992"/>
      <c r="K25992"/>
      <c r="L25992"/>
    </row>
    <row r="25993" spans="2:12" x14ac:dyDescent="0.2">
      <c r="B25993"/>
      <c r="C25993"/>
      <c r="J25993"/>
      <c r="K25993"/>
      <c r="L25993"/>
    </row>
    <row r="25994" spans="2:12" x14ac:dyDescent="0.2">
      <c r="B25994"/>
      <c r="C25994"/>
      <c r="J25994"/>
      <c r="K25994"/>
      <c r="L25994"/>
    </row>
    <row r="25995" spans="2:12" x14ac:dyDescent="0.2">
      <c r="B25995"/>
      <c r="C25995"/>
      <c r="J25995"/>
      <c r="K25995"/>
      <c r="L25995"/>
    </row>
    <row r="25996" spans="2:12" x14ac:dyDescent="0.2">
      <c r="B25996"/>
      <c r="C25996"/>
      <c r="J25996"/>
      <c r="K25996"/>
      <c r="L25996"/>
    </row>
    <row r="25997" spans="2:12" x14ac:dyDescent="0.2">
      <c r="B25997"/>
      <c r="C25997"/>
      <c r="J25997"/>
      <c r="K25997"/>
      <c r="L25997"/>
    </row>
    <row r="25998" spans="2:12" x14ac:dyDescent="0.2">
      <c r="B25998"/>
      <c r="C25998"/>
      <c r="J25998"/>
      <c r="K25998"/>
      <c r="L25998"/>
    </row>
    <row r="25999" spans="2:12" x14ac:dyDescent="0.2">
      <c r="B25999"/>
      <c r="C25999"/>
      <c r="J25999"/>
      <c r="K25999"/>
      <c r="L25999"/>
    </row>
    <row r="26000" spans="2:12" x14ac:dyDescent="0.2">
      <c r="B26000"/>
      <c r="C26000"/>
      <c r="J26000"/>
      <c r="K26000"/>
      <c r="L26000"/>
    </row>
    <row r="26001" spans="2:12" x14ac:dyDescent="0.2">
      <c r="B26001"/>
      <c r="C26001"/>
      <c r="J26001"/>
      <c r="K26001"/>
      <c r="L26001"/>
    </row>
    <row r="26002" spans="2:12" x14ac:dyDescent="0.2">
      <c r="B26002"/>
      <c r="C26002"/>
      <c r="J26002"/>
      <c r="K26002"/>
      <c r="L26002"/>
    </row>
    <row r="26003" spans="2:12" x14ac:dyDescent="0.2">
      <c r="B26003"/>
      <c r="C26003"/>
      <c r="J26003"/>
      <c r="K26003"/>
      <c r="L26003"/>
    </row>
    <row r="26004" spans="2:12" x14ac:dyDescent="0.2">
      <c r="B26004"/>
      <c r="C26004"/>
      <c r="J26004"/>
      <c r="K26004"/>
      <c r="L26004"/>
    </row>
    <row r="26005" spans="2:12" x14ac:dyDescent="0.2">
      <c r="B26005"/>
      <c r="C26005"/>
      <c r="J26005"/>
      <c r="K26005"/>
      <c r="L26005"/>
    </row>
    <row r="26006" spans="2:12" x14ac:dyDescent="0.2">
      <c r="B26006"/>
      <c r="C26006"/>
      <c r="J26006"/>
      <c r="K26006"/>
      <c r="L26006"/>
    </row>
    <row r="26007" spans="2:12" x14ac:dyDescent="0.2">
      <c r="B26007"/>
      <c r="C26007"/>
      <c r="J26007"/>
      <c r="K26007"/>
      <c r="L26007"/>
    </row>
    <row r="26008" spans="2:12" x14ac:dyDescent="0.2">
      <c r="B26008"/>
      <c r="C26008"/>
      <c r="J26008"/>
      <c r="K26008"/>
      <c r="L26008"/>
    </row>
    <row r="26009" spans="2:12" x14ac:dyDescent="0.2">
      <c r="B26009"/>
      <c r="C26009"/>
      <c r="J26009"/>
      <c r="K26009"/>
      <c r="L26009"/>
    </row>
    <row r="26010" spans="2:12" x14ac:dyDescent="0.2">
      <c r="B26010"/>
      <c r="C26010"/>
      <c r="J26010"/>
      <c r="K26010"/>
      <c r="L26010"/>
    </row>
    <row r="26011" spans="2:12" x14ac:dyDescent="0.2">
      <c r="B26011"/>
      <c r="C26011"/>
      <c r="J26011"/>
      <c r="K26011"/>
      <c r="L26011"/>
    </row>
    <row r="26012" spans="2:12" x14ac:dyDescent="0.2">
      <c r="B26012"/>
      <c r="C26012"/>
      <c r="J26012"/>
      <c r="K26012"/>
      <c r="L26012"/>
    </row>
    <row r="26013" spans="2:12" x14ac:dyDescent="0.2">
      <c r="B26013"/>
      <c r="C26013"/>
      <c r="J26013"/>
      <c r="K26013"/>
      <c r="L26013"/>
    </row>
    <row r="26014" spans="2:12" x14ac:dyDescent="0.2">
      <c r="B26014"/>
      <c r="C26014"/>
      <c r="J26014"/>
      <c r="K26014"/>
      <c r="L26014"/>
    </row>
    <row r="26015" spans="2:12" x14ac:dyDescent="0.2">
      <c r="B26015"/>
      <c r="C26015"/>
      <c r="J26015"/>
      <c r="K26015"/>
      <c r="L26015"/>
    </row>
    <row r="26016" spans="2:12" x14ac:dyDescent="0.2">
      <c r="B26016"/>
      <c r="C26016"/>
      <c r="J26016"/>
      <c r="K26016"/>
      <c r="L26016"/>
    </row>
    <row r="26017" spans="2:12" x14ac:dyDescent="0.2">
      <c r="B26017"/>
      <c r="C26017"/>
      <c r="J26017"/>
      <c r="K26017"/>
      <c r="L26017"/>
    </row>
    <row r="26018" spans="2:12" x14ac:dyDescent="0.2">
      <c r="B26018"/>
      <c r="C26018"/>
      <c r="J26018"/>
      <c r="K26018"/>
      <c r="L26018"/>
    </row>
    <row r="26019" spans="2:12" x14ac:dyDescent="0.2">
      <c r="B26019"/>
      <c r="C26019"/>
      <c r="J26019"/>
      <c r="K26019"/>
      <c r="L26019"/>
    </row>
    <row r="26020" spans="2:12" x14ac:dyDescent="0.2">
      <c r="B26020"/>
      <c r="C26020"/>
      <c r="J26020"/>
      <c r="K26020"/>
      <c r="L26020"/>
    </row>
    <row r="26021" spans="2:12" x14ac:dyDescent="0.2">
      <c r="B26021"/>
      <c r="C26021"/>
      <c r="J26021"/>
      <c r="K26021"/>
      <c r="L26021"/>
    </row>
    <row r="26022" spans="2:12" x14ac:dyDescent="0.2">
      <c r="B26022"/>
      <c r="C26022"/>
      <c r="J26022"/>
      <c r="K26022"/>
      <c r="L26022"/>
    </row>
    <row r="26023" spans="2:12" x14ac:dyDescent="0.2">
      <c r="B26023"/>
      <c r="C26023"/>
      <c r="J26023"/>
      <c r="K26023"/>
      <c r="L26023"/>
    </row>
    <row r="26024" spans="2:12" x14ac:dyDescent="0.2">
      <c r="B26024"/>
      <c r="C26024"/>
      <c r="J26024"/>
      <c r="K26024"/>
      <c r="L26024"/>
    </row>
    <row r="26025" spans="2:12" x14ac:dyDescent="0.2">
      <c r="B26025"/>
      <c r="C26025"/>
      <c r="J26025"/>
      <c r="K26025"/>
      <c r="L26025"/>
    </row>
    <row r="26026" spans="2:12" x14ac:dyDescent="0.2">
      <c r="B26026"/>
      <c r="C26026"/>
      <c r="J26026"/>
      <c r="K26026"/>
      <c r="L26026"/>
    </row>
    <row r="26027" spans="2:12" x14ac:dyDescent="0.2">
      <c r="B26027"/>
      <c r="C26027"/>
      <c r="J26027"/>
      <c r="K26027"/>
      <c r="L26027"/>
    </row>
    <row r="26028" spans="2:12" x14ac:dyDescent="0.2">
      <c r="B26028"/>
      <c r="C26028"/>
      <c r="J26028"/>
      <c r="K26028"/>
      <c r="L26028"/>
    </row>
    <row r="26029" spans="2:12" x14ac:dyDescent="0.2">
      <c r="B26029"/>
      <c r="C26029"/>
      <c r="J26029"/>
      <c r="K26029"/>
      <c r="L26029"/>
    </row>
    <row r="26030" spans="2:12" x14ac:dyDescent="0.2">
      <c r="B26030"/>
      <c r="C26030"/>
      <c r="J26030"/>
      <c r="K26030"/>
      <c r="L26030"/>
    </row>
    <row r="26031" spans="2:12" x14ac:dyDescent="0.2">
      <c r="B26031"/>
      <c r="C26031"/>
      <c r="J26031"/>
      <c r="K26031"/>
      <c r="L26031"/>
    </row>
    <row r="26032" spans="2:12" x14ac:dyDescent="0.2">
      <c r="B26032"/>
      <c r="C26032"/>
      <c r="J26032"/>
      <c r="K26032"/>
      <c r="L26032"/>
    </row>
    <row r="26033" spans="2:12" x14ac:dyDescent="0.2">
      <c r="B26033"/>
      <c r="C26033"/>
      <c r="J26033"/>
      <c r="K26033"/>
      <c r="L26033"/>
    </row>
    <row r="26034" spans="2:12" x14ac:dyDescent="0.2">
      <c r="B26034"/>
      <c r="C26034"/>
      <c r="J26034"/>
      <c r="K26034"/>
      <c r="L26034"/>
    </row>
    <row r="26035" spans="2:12" x14ac:dyDescent="0.2">
      <c r="B26035"/>
      <c r="C26035"/>
      <c r="J26035"/>
      <c r="K26035"/>
      <c r="L26035"/>
    </row>
    <row r="26036" spans="2:12" x14ac:dyDescent="0.2">
      <c r="B26036"/>
      <c r="C26036"/>
      <c r="J26036"/>
      <c r="K26036"/>
      <c r="L26036"/>
    </row>
    <row r="26037" spans="2:12" x14ac:dyDescent="0.2">
      <c r="B26037"/>
      <c r="C26037"/>
      <c r="J26037"/>
      <c r="K26037"/>
      <c r="L26037"/>
    </row>
    <row r="26038" spans="2:12" x14ac:dyDescent="0.2">
      <c r="B26038"/>
      <c r="C26038"/>
      <c r="J26038"/>
      <c r="K26038"/>
      <c r="L26038"/>
    </row>
    <row r="26039" spans="2:12" x14ac:dyDescent="0.2">
      <c r="B26039"/>
      <c r="C26039"/>
      <c r="J26039"/>
      <c r="K26039"/>
      <c r="L26039"/>
    </row>
    <row r="26040" spans="2:12" x14ac:dyDescent="0.2">
      <c r="B26040"/>
      <c r="C26040"/>
      <c r="J26040"/>
      <c r="K26040"/>
      <c r="L26040"/>
    </row>
    <row r="26041" spans="2:12" x14ac:dyDescent="0.2">
      <c r="B26041"/>
      <c r="C26041"/>
      <c r="J26041"/>
      <c r="K26041"/>
      <c r="L26041"/>
    </row>
    <row r="26042" spans="2:12" x14ac:dyDescent="0.2">
      <c r="B26042"/>
      <c r="C26042"/>
      <c r="J26042"/>
      <c r="K26042"/>
      <c r="L26042"/>
    </row>
    <row r="26043" spans="2:12" x14ac:dyDescent="0.2">
      <c r="B26043"/>
      <c r="C26043"/>
      <c r="J26043"/>
      <c r="K26043"/>
      <c r="L26043"/>
    </row>
    <row r="26044" spans="2:12" x14ac:dyDescent="0.2">
      <c r="B26044"/>
      <c r="C26044"/>
      <c r="J26044"/>
      <c r="K26044"/>
      <c r="L26044"/>
    </row>
    <row r="26045" spans="2:12" x14ac:dyDescent="0.2">
      <c r="B26045"/>
      <c r="C26045"/>
      <c r="J26045"/>
      <c r="K26045"/>
      <c r="L26045"/>
    </row>
    <row r="26046" spans="2:12" x14ac:dyDescent="0.2">
      <c r="B26046"/>
      <c r="C26046"/>
      <c r="J26046"/>
      <c r="K26046"/>
      <c r="L26046"/>
    </row>
    <row r="26047" spans="2:12" x14ac:dyDescent="0.2">
      <c r="B26047"/>
      <c r="C26047"/>
      <c r="J26047"/>
      <c r="K26047"/>
      <c r="L26047"/>
    </row>
    <row r="26048" spans="2:12" x14ac:dyDescent="0.2">
      <c r="B26048"/>
      <c r="C26048"/>
      <c r="J26048"/>
      <c r="K26048"/>
      <c r="L26048"/>
    </row>
    <row r="26049" spans="2:12" x14ac:dyDescent="0.2">
      <c r="B26049"/>
      <c r="C26049"/>
      <c r="J26049"/>
      <c r="K26049"/>
      <c r="L26049"/>
    </row>
    <row r="26050" spans="2:12" x14ac:dyDescent="0.2">
      <c r="B26050"/>
      <c r="C26050"/>
      <c r="J26050"/>
      <c r="K26050"/>
      <c r="L26050"/>
    </row>
    <row r="26051" spans="2:12" x14ac:dyDescent="0.2">
      <c r="B26051"/>
      <c r="C26051"/>
      <c r="J26051"/>
      <c r="K26051"/>
      <c r="L26051"/>
    </row>
    <row r="26052" spans="2:12" x14ac:dyDescent="0.2">
      <c r="B26052"/>
      <c r="C26052"/>
      <c r="J26052"/>
      <c r="K26052"/>
      <c r="L26052"/>
    </row>
    <row r="26053" spans="2:12" x14ac:dyDescent="0.2">
      <c r="B26053"/>
      <c r="C26053"/>
      <c r="J26053"/>
      <c r="K26053"/>
      <c r="L26053"/>
    </row>
    <row r="26054" spans="2:12" x14ac:dyDescent="0.2">
      <c r="B26054"/>
      <c r="C26054"/>
      <c r="J26054"/>
      <c r="K26054"/>
      <c r="L26054"/>
    </row>
    <row r="26055" spans="2:12" x14ac:dyDescent="0.2">
      <c r="B26055"/>
      <c r="C26055"/>
      <c r="J26055"/>
      <c r="K26055"/>
      <c r="L26055"/>
    </row>
    <row r="26056" spans="2:12" x14ac:dyDescent="0.2">
      <c r="B26056"/>
      <c r="C26056"/>
      <c r="J26056"/>
      <c r="K26056"/>
      <c r="L26056"/>
    </row>
    <row r="26057" spans="2:12" x14ac:dyDescent="0.2">
      <c r="B26057"/>
      <c r="C26057"/>
      <c r="J26057"/>
      <c r="K26057"/>
      <c r="L26057"/>
    </row>
    <row r="26058" spans="2:12" x14ac:dyDescent="0.2">
      <c r="B26058"/>
      <c r="C26058"/>
      <c r="J26058"/>
      <c r="K26058"/>
      <c r="L26058"/>
    </row>
    <row r="26059" spans="2:12" x14ac:dyDescent="0.2">
      <c r="B26059"/>
      <c r="C26059"/>
      <c r="J26059"/>
      <c r="K26059"/>
      <c r="L26059"/>
    </row>
    <row r="26060" spans="2:12" x14ac:dyDescent="0.2">
      <c r="B26060"/>
      <c r="C26060"/>
      <c r="J26060"/>
      <c r="K26060"/>
      <c r="L26060"/>
    </row>
    <row r="26061" spans="2:12" x14ac:dyDescent="0.2">
      <c r="B26061"/>
      <c r="C26061"/>
      <c r="J26061"/>
      <c r="K26061"/>
      <c r="L26061"/>
    </row>
    <row r="26062" spans="2:12" x14ac:dyDescent="0.2">
      <c r="B26062"/>
      <c r="C26062"/>
      <c r="J26062"/>
      <c r="K26062"/>
      <c r="L26062"/>
    </row>
    <row r="26063" spans="2:12" x14ac:dyDescent="0.2">
      <c r="B26063"/>
      <c r="C26063"/>
      <c r="J26063"/>
      <c r="K26063"/>
      <c r="L26063"/>
    </row>
    <row r="26064" spans="2:12" x14ac:dyDescent="0.2">
      <c r="B26064"/>
      <c r="C26064"/>
      <c r="J26064"/>
      <c r="K26064"/>
      <c r="L26064"/>
    </row>
    <row r="26065" spans="2:12" x14ac:dyDescent="0.2">
      <c r="B26065"/>
      <c r="C26065"/>
      <c r="J26065"/>
      <c r="K26065"/>
      <c r="L26065"/>
    </row>
    <row r="26066" spans="2:12" x14ac:dyDescent="0.2">
      <c r="B26066"/>
      <c r="C26066"/>
      <c r="J26066"/>
      <c r="K26066"/>
      <c r="L26066"/>
    </row>
    <row r="26067" spans="2:12" x14ac:dyDescent="0.2">
      <c r="B26067"/>
      <c r="C26067"/>
      <c r="J26067"/>
      <c r="K26067"/>
      <c r="L26067"/>
    </row>
    <row r="26068" spans="2:12" x14ac:dyDescent="0.2">
      <c r="B26068"/>
      <c r="C26068"/>
      <c r="J26068"/>
      <c r="K26068"/>
      <c r="L26068"/>
    </row>
    <row r="26069" spans="2:12" x14ac:dyDescent="0.2">
      <c r="B26069"/>
      <c r="C26069"/>
      <c r="J26069"/>
      <c r="K26069"/>
      <c r="L26069"/>
    </row>
    <row r="26070" spans="2:12" x14ac:dyDescent="0.2">
      <c r="B26070"/>
      <c r="C26070"/>
      <c r="J26070"/>
      <c r="K26070"/>
      <c r="L26070"/>
    </row>
    <row r="26071" spans="2:12" x14ac:dyDescent="0.2">
      <c r="B26071"/>
      <c r="C26071"/>
      <c r="J26071"/>
      <c r="K26071"/>
      <c r="L26071"/>
    </row>
    <row r="26072" spans="2:12" x14ac:dyDescent="0.2">
      <c r="B26072"/>
      <c r="C26072"/>
      <c r="J26072"/>
      <c r="K26072"/>
      <c r="L26072"/>
    </row>
    <row r="26073" spans="2:12" x14ac:dyDescent="0.2">
      <c r="B26073"/>
      <c r="C26073"/>
      <c r="J26073"/>
      <c r="K26073"/>
      <c r="L26073"/>
    </row>
    <row r="26074" spans="2:12" x14ac:dyDescent="0.2">
      <c r="B26074"/>
      <c r="C26074"/>
      <c r="J26074"/>
      <c r="K26074"/>
      <c r="L26074"/>
    </row>
    <row r="26075" spans="2:12" x14ac:dyDescent="0.2">
      <c r="B26075"/>
      <c r="C26075"/>
      <c r="J26075"/>
      <c r="K26075"/>
      <c r="L26075"/>
    </row>
    <row r="26076" spans="2:12" x14ac:dyDescent="0.2">
      <c r="B26076"/>
      <c r="C26076"/>
      <c r="J26076"/>
      <c r="K26076"/>
      <c r="L26076"/>
    </row>
    <row r="26077" spans="2:12" x14ac:dyDescent="0.2">
      <c r="B26077"/>
      <c r="C26077"/>
      <c r="J26077"/>
      <c r="K26077"/>
      <c r="L26077"/>
    </row>
    <row r="26078" spans="2:12" x14ac:dyDescent="0.2">
      <c r="B26078"/>
      <c r="C26078"/>
      <c r="J26078"/>
      <c r="K26078"/>
      <c r="L26078"/>
    </row>
    <row r="26079" spans="2:12" x14ac:dyDescent="0.2">
      <c r="B26079"/>
      <c r="C26079"/>
      <c r="J26079"/>
      <c r="K26079"/>
      <c r="L26079"/>
    </row>
    <row r="26080" spans="2:12" x14ac:dyDescent="0.2">
      <c r="B26080"/>
      <c r="C26080"/>
      <c r="J26080"/>
      <c r="K26080"/>
      <c r="L26080"/>
    </row>
    <row r="26081" spans="2:12" x14ac:dyDescent="0.2">
      <c r="B26081"/>
      <c r="C26081"/>
      <c r="J26081"/>
      <c r="K26081"/>
      <c r="L26081"/>
    </row>
    <row r="26082" spans="2:12" x14ac:dyDescent="0.2">
      <c r="B26082"/>
      <c r="C26082"/>
      <c r="J26082"/>
      <c r="K26082"/>
      <c r="L26082"/>
    </row>
    <row r="26083" spans="2:12" x14ac:dyDescent="0.2">
      <c r="B26083"/>
      <c r="C26083"/>
      <c r="J26083"/>
      <c r="K26083"/>
      <c r="L26083"/>
    </row>
    <row r="26084" spans="2:12" x14ac:dyDescent="0.2">
      <c r="B26084"/>
      <c r="C26084"/>
      <c r="J26084"/>
      <c r="K26084"/>
      <c r="L26084"/>
    </row>
    <row r="26085" spans="2:12" x14ac:dyDescent="0.2">
      <c r="B26085"/>
      <c r="C26085"/>
      <c r="J26085"/>
      <c r="K26085"/>
      <c r="L26085"/>
    </row>
    <row r="26086" spans="2:12" x14ac:dyDescent="0.2">
      <c r="B26086"/>
      <c r="C26086"/>
      <c r="J26086"/>
      <c r="K26086"/>
      <c r="L26086"/>
    </row>
    <row r="26087" spans="2:12" x14ac:dyDescent="0.2">
      <c r="B26087"/>
      <c r="C26087"/>
      <c r="J26087"/>
      <c r="K26087"/>
      <c r="L26087"/>
    </row>
    <row r="26088" spans="2:12" x14ac:dyDescent="0.2">
      <c r="B26088"/>
      <c r="C26088"/>
      <c r="J26088"/>
      <c r="K26088"/>
      <c r="L26088"/>
    </row>
    <row r="26089" spans="2:12" x14ac:dyDescent="0.2">
      <c r="B26089"/>
      <c r="C26089"/>
      <c r="J26089"/>
      <c r="K26089"/>
      <c r="L26089"/>
    </row>
    <row r="26090" spans="2:12" x14ac:dyDescent="0.2">
      <c r="B26090"/>
      <c r="C26090"/>
      <c r="J26090"/>
      <c r="K26090"/>
      <c r="L26090"/>
    </row>
    <row r="26091" spans="2:12" x14ac:dyDescent="0.2">
      <c r="B26091"/>
      <c r="C26091"/>
      <c r="J26091"/>
      <c r="K26091"/>
      <c r="L26091"/>
    </row>
    <row r="26092" spans="2:12" x14ac:dyDescent="0.2">
      <c r="B26092"/>
      <c r="C26092"/>
      <c r="J26092"/>
      <c r="K26092"/>
      <c r="L26092"/>
    </row>
    <row r="26093" spans="2:12" x14ac:dyDescent="0.2">
      <c r="B26093"/>
      <c r="C26093"/>
      <c r="J26093"/>
      <c r="K26093"/>
      <c r="L26093"/>
    </row>
    <row r="26094" spans="2:12" x14ac:dyDescent="0.2">
      <c r="B26094"/>
      <c r="C26094"/>
      <c r="J26094"/>
      <c r="K26094"/>
      <c r="L26094"/>
    </row>
    <row r="26095" spans="2:12" x14ac:dyDescent="0.2">
      <c r="B26095"/>
      <c r="C26095"/>
      <c r="J26095"/>
      <c r="K26095"/>
      <c r="L26095"/>
    </row>
    <row r="26096" spans="2:12" x14ac:dyDescent="0.2">
      <c r="B26096"/>
      <c r="C26096"/>
      <c r="J26096"/>
      <c r="K26096"/>
      <c r="L26096"/>
    </row>
    <row r="26097" spans="2:12" x14ac:dyDescent="0.2">
      <c r="B26097"/>
      <c r="C26097"/>
      <c r="J26097"/>
      <c r="K26097"/>
      <c r="L26097"/>
    </row>
    <row r="26098" spans="2:12" x14ac:dyDescent="0.2">
      <c r="B26098"/>
      <c r="C26098"/>
      <c r="J26098"/>
      <c r="K26098"/>
      <c r="L26098"/>
    </row>
    <row r="26099" spans="2:12" x14ac:dyDescent="0.2">
      <c r="B26099"/>
      <c r="C26099"/>
      <c r="J26099"/>
      <c r="K26099"/>
      <c r="L26099"/>
    </row>
    <row r="26100" spans="2:12" x14ac:dyDescent="0.2">
      <c r="B26100"/>
      <c r="C26100"/>
      <c r="J26100"/>
      <c r="K26100"/>
      <c r="L26100"/>
    </row>
    <row r="26101" spans="2:12" x14ac:dyDescent="0.2">
      <c r="B26101"/>
      <c r="C26101"/>
      <c r="J26101"/>
      <c r="K26101"/>
      <c r="L26101"/>
    </row>
    <row r="26102" spans="2:12" x14ac:dyDescent="0.2">
      <c r="B26102"/>
      <c r="C26102"/>
      <c r="J26102"/>
      <c r="K26102"/>
      <c r="L26102"/>
    </row>
    <row r="26103" spans="2:12" x14ac:dyDescent="0.2">
      <c r="B26103"/>
      <c r="C26103"/>
      <c r="J26103"/>
      <c r="K26103"/>
      <c r="L26103"/>
    </row>
    <row r="26104" spans="2:12" x14ac:dyDescent="0.2">
      <c r="B26104"/>
      <c r="C26104"/>
      <c r="J26104"/>
      <c r="K26104"/>
      <c r="L26104"/>
    </row>
    <row r="26105" spans="2:12" x14ac:dyDescent="0.2">
      <c r="B26105"/>
      <c r="C26105"/>
      <c r="J26105"/>
      <c r="K26105"/>
      <c r="L26105"/>
    </row>
    <row r="26106" spans="2:12" x14ac:dyDescent="0.2">
      <c r="B26106"/>
      <c r="C26106"/>
      <c r="J26106"/>
      <c r="K26106"/>
      <c r="L26106"/>
    </row>
    <row r="26107" spans="2:12" x14ac:dyDescent="0.2">
      <c r="B26107"/>
      <c r="C26107"/>
      <c r="J26107"/>
      <c r="K26107"/>
      <c r="L26107"/>
    </row>
    <row r="26108" spans="2:12" x14ac:dyDescent="0.2">
      <c r="B26108"/>
      <c r="C26108"/>
      <c r="J26108"/>
      <c r="K26108"/>
      <c r="L26108"/>
    </row>
    <row r="26109" spans="2:12" x14ac:dyDescent="0.2">
      <c r="B26109"/>
      <c r="C26109"/>
      <c r="J26109"/>
      <c r="K26109"/>
      <c r="L26109"/>
    </row>
    <row r="26110" spans="2:12" x14ac:dyDescent="0.2">
      <c r="B26110"/>
      <c r="C26110"/>
      <c r="J26110"/>
      <c r="K26110"/>
      <c r="L26110"/>
    </row>
    <row r="26111" spans="2:12" x14ac:dyDescent="0.2">
      <c r="B26111"/>
      <c r="C26111"/>
      <c r="J26111"/>
      <c r="K26111"/>
      <c r="L26111"/>
    </row>
    <row r="26112" spans="2:12" x14ac:dyDescent="0.2">
      <c r="B26112"/>
      <c r="C26112"/>
      <c r="J26112"/>
      <c r="K26112"/>
      <c r="L26112"/>
    </row>
    <row r="26113" spans="2:12" x14ac:dyDescent="0.2">
      <c r="B26113"/>
      <c r="C26113"/>
      <c r="J26113"/>
      <c r="K26113"/>
      <c r="L26113"/>
    </row>
    <row r="26114" spans="2:12" x14ac:dyDescent="0.2">
      <c r="B26114"/>
      <c r="C26114"/>
      <c r="J26114"/>
      <c r="K26114"/>
      <c r="L26114"/>
    </row>
    <row r="26115" spans="2:12" x14ac:dyDescent="0.2">
      <c r="B26115"/>
      <c r="C26115"/>
      <c r="J26115"/>
      <c r="K26115"/>
      <c r="L26115"/>
    </row>
    <row r="26116" spans="2:12" x14ac:dyDescent="0.2">
      <c r="B26116"/>
      <c r="C26116"/>
      <c r="J26116"/>
      <c r="K26116"/>
      <c r="L26116"/>
    </row>
    <row r="26117" spans="2:12" x14ac:dyDescent="0.2">
      <c r="B26117"/>
      <c r="C26117"/>
      <c r="J26117"/>
      <c r="K26117"/>
      <c r="L26117"/>
    </row>
    <row r="26118" spans="2:12" x14ac:dyDescent="0.2">
      <c r="B26118"/>
      <c r="C26118"/>
      <c r="J26118"/>
      <c r="K26118"/>
      <c r="L26118"/>
    </row>
    <row r="26119" spans="2:12" x14ac:dyDescent="0.2">
      <c r="B26119"/>
      <c r="C26119"/>
      <c r="J26119"/>
      <c r="K26119"/>
      <c r="L26119"/>
    </row>
    <row r="26120" spans="2:12" x14ac:dyDescent="0.2">
      <c r="B26120"/>
      <c r="C26120"/>
      <c r="J26120"/>
      <c r="K26120"/>
      <c r="L26120"/>
    </row>
    <row r="26121" spans="2:12" x14ac:dyDescent="0.2">
      <c r="B26121"/>
      <c r="C26121"/>
      <c r="J26121"/>
      <c r="K26121"/>
      <c r="L26121"/>
    </row>
    <row r="26122" spans="2:12" x14ac:dyDescent="0.2">
      <c r="B26122"/>
      <c r="C26122"/>
      <c r="J26122"/>
      <c r="K26122"/>
      <c r="L26122"/>
    </row>
    <row r="26123" spans="2:12" x14ac:dyDescent="0.2">
      <c r="B26123"/>
      <c r="C26123"/>
      <c r="J26123"/>
      <c r="K26123"/>
      <c r="L26123"/>
    </row>
    <row r="26124" spans="2:12" x14ac:dyDescent="0.2">
      <c r="B26124"/>
      <c r="C26124"/>
      <c r="J26124"/>
      <c r="K26124"/>
      <c r="L26124"/>
    </row>
    <row r="26125" spans="2:12" x14ac:dyDescent="0.2">
      <c r="B26125"/>
      <c r="C26125"/>
      <c r="J26125"/>
      <c r="K26125"/>
      <c r="L26125"/>
    </row>
    <row r="26126" spans="2:12" x14ac:dyDescent="0.2">
      <c r="B26126"/>
      <c r="C26126"/>
      <c r="J26126"/>
      <c r="K26126"/>
      <c r="L26126"/>
    </row>
    <row r="26127" spans="2:12" x14ac:dyDescent="0.2">
      <c r="B26127"/>
      <c r="C26127"/>
      <c r="J26127"/>
      <c r="K26127"/>
      <c r="L26127"/>
    </row>
    <row r="26128" spans="2:12" x14ac:dyDescent="0.2">
      <c r="B26128"/>
      <c r="C26128"/>
      <c r="J26128"/>
      <c r="K26128"/>
      <c r="L26128"/>
    </row>
    <row r="26129" spans="2:12" x14ac:dyDescent="0.2">
      <c r="B26129"/>
      <c r="C26129"/>
      <c r="J26129"/>
      <c r="K26129"/>
      <c r="L26129"/>
    </row>
    <row r="26130" spans="2:12" x14ac:dyDescent="0.2">
      <c r="B26130"/>
      <c r="C26130"/>
      <c r="J26130"/>
      <c r="K26130"/>
      <c r="L26130"/>
    </row>
    <row r="26131" spans="2:12" x14ac:dyDescent="0.2">
      <c r="B26131"/>
      <c r="C26131"/>
      <c r="J26131"/>
      <c r="K26131"/>
      <c r="L26131"/>
    </row>
    <row r="26132" spans="2:12" x14ac:dyDescent="0.2">
      <c r="B26132"/>
      <c r="C26132"/>
      <c r="J26132"/>
      <c r="K26132"/>
      <c r="L26132"/>
    </row>
    <row r="26133" spans="2:12" x14ac:dyDescent="0.2">
      <c r="B26133"/>
      <c r="C26133"/>
      <c r="J26133"/>
      <c r="K26133"/>
      <c r="L26133"/>
    </row>
    <row r="26134" spans="2:12" x14ac:dyDescent="0.2">
      <c r="B26134"/>
      <c r="C26134"/>
      <c r="J26134"/>
      <c r="K26134"/>
      <c r="L26134"/>
    </row>
    <row r="26135" spans="2:12" x14ac:dyDescent="0.2">
      <c r="B26135"/>
      <c r="C26135"/>
      <c r="J26135"/>
      <c r="K26135"/>
      <c r="L26135"/>
    </row>
    <row r="26136" spans="2:12" x14ac:dyDescent="0.2">
      <c r="B26136"/>
      <c r="C26136"/>
      <c r="J26136"/>
      <c r="K26136"/>
      <c r="L26136"/>
    </row>
    <row r="26137" spans="2:12" x14ac:dyDescent="0.2">
      <c r="B26137"/>
      <c r="C26137"/>
      <c r="J26137"/>
      <c r="K26137"/>
      <c r="L26137"/>
    </row>
    <row r="26138" spans="2:12" x14ac:dyDescent="0.2">
      <c r="B26138"/>
      <c r="C26138"/>
      <c r="J26138"/>
      <c r="K26138"/>
      <c r="L26138"/>
    </row>
    <row r="26139" spans="2:12" x14ac:dyDescent="0.2">
      <c r="B26139"/>
      <c r="C26139"/>
      <c r="J26139"/>
      <c r="K26139"/>
      <c r="L26139"/>
    </row>
    <row r="26140" spans="2:12" x14ac:dyDescent="0.2">
      <c r="B26140"/>
      <c r="C26140"/>
      <c r="J26140"/>
      <c r="K26140"/>
      <c r="L26140"/>
    </row>
    <row r="26141" spans="2:12" x14ac:dyDescent="0.2">
      <c r="B26141"/>
      <c r="C26141"/>
      <c r="J26141"/>
      <c r="K26141"/>
      <c r="L26141"/>
    </row>
    <row r="26142" spans="2:12" x14ac:dyDescent="0.2">
      <c r="B26142"/>
      <c r="C26142"/>
      <c r="J26142"/>
      <c r="K26142"/>
      <c r="L26142"/>
    </row>
    <row r="26143" spans="2:12" x14ac:dyDescent="0.2">
      <c r="B26143"/>
      <c r="C26143"/>
      <c r="J26143"/>
      <c r="K26143"/>
      <c r="L26143"/>
    </row>
    <row r="26144" spans="2:12" x14ac:dyDescent="0.2">
      <c r="B26144"/>
      <c r="C26144"/>
      <c r="J26144"/>
      <c r="K26144"/>
      <c r="L26144"/>
    </row>
    <row r="26145" spans="2:12" x14ac:dyDescent="0.2">
      <c r="B26145"/>
      <c r="C26145"/>
      <c r="J26145"/>
      <c r="K26145"/>
      <c r="L26145"/>
    </row>
    <row r="26146" spans="2:12" x14ac:dyDescent="0.2">
      <c r="B26146"/>
      <c r="C26146"/>
      <c r="J26146"/>
      <c r="K26146"/>
      <c r="L26146"/>
    </row>
    <row r="26147" spans="2:12" x14ac:dyDescent="0.2">
      <c r="B26147"/>
      <c r="C26147"/>
      <c r="J26147"/>
      <c r="K26147"/>
      <c r="L26147"/>
    </row>
    <row r="26148" spans="2:12" x14ac:dyDescent="0.2">
      <c r="B26148"/>
      <c r="C26148"/>
      <c r="J26148"/>
      <c r="K26148"/>
      <c r="L26148"/>
    </row>
    <row r="26149" spans="2:12" x14ac:dyDescent="0.2">
      <c r="B26149"/>
      <c r="C26149"/>
      <c r="J26149"/>
      <c r="K26149"/>
      <c r="L26149"/>
    </row>
    <row r="26150" spans="2:12" x14ac:dyDescent="0.2">
      <c r="B26150"/>
      <c r="C26150"/>
      <c r="J26150"/>
      <c r="K26150"/>
      <c r="L26150"/>
    </row>
    <row r="26151" spans="2:12" x14ac:dyDescent="0.2">
      <c r="B26151"/>
      <c r="C26151"/>
      <c r="J26151"/>
      <c r="K26151"/>
      <c r="L26151"/>
    </row>
    <row r="26152" spans="2:12" x14ac:dyDescent="0.2">
      <c r="B26152"/>
      <c r="C26152"/>
      <c r="J26152"/>
      <c r="K26152"/>
      <c r="L26152"/>
    </row>
    <row r="26153" spans="2:12" x14ac:dyDescent="0.2">
      <c r="B26153"/>
      <c r="C26153"/>
      <c r="J26153"/>
      <c r="K26153"/>
      <c r="L26153"/>
    </row>
    <row r="26154" spans="2:12" x14ac:dyDescent="0.2">
      <c r="B26154"/>
      <c r="C26154"/>
      <c r="J26154"/>
      <c r="K26154"/>
      <c r="L26154"/>
    </row>
    <row r="26155" spans="2:12" x14ac:dyDescent="0.2">
      <c r="B26155"/>
      <c r="C26155"/>
      <c r="J26155"/>
      <c r="K26155"/>
      <c r="L26155"/>
    </row>
    <row r="26156" spans="2:12" x14ac:dyDescent="0.2">
      <c r="B26156"/>
      <c r="C26156"/>
      <c r="J26156"/>
      <c r="K26156"/>
      <c r="L26156"/>
    </row>
    <row r="26157" spans="2:12" x14ac:dyDescent="0.2">
      <c r="B26157"/>
      <c r="C26157"/>
      <c r="J26157"/>
      <c r="K26157"/>
      <c r="L26157"/>
    </row>
    <row r="26158" spans="2:12" x14ac:dyDescent="0.2">
      <c r="B26158"/>
      <c r="C26158"/>
      <c r="J26158"/>
      <c r="K26158"/>
      <c r="L26158"/>
    </row>
    <row r="26159" spans="2:12" x14ac:dyDescent="0.2">
      <c r="B26159"/>
      <c r="C26159"/>
      <c r="J26159"/>
      <c r="K26159"/>
      <c r="L26159"/>
    </row>
    <row r="26160" spans="2:12" x14ac:dyDescent="0.2">
      <c r="B26160"/>
      <c r="C26160"/>
      <c r="J26160"/>
      <c r="K26160"/>
      <c r="L26160"/>
    </row>
    <row r="26161" spans="2:12" x14ac:dyDescent="0.2">
      <c r="B26161"/>
      <c r="C26161"/>
      <c r="J26161"/>
      <c r="K26161"/>
      <c r="L26161"/>
    </row>
    <row r="26162" spans="2:12" x14ac:dyDescent="0.2">
      <c r="B26162"/>
      <c r="C26162"/>
      <c r="J26162"/>
      <c r="K26162"/>
      <c r="L26162"/>
    </row>
    <row r="26163" spans="2:12" x14ac:dyDescent="0.2">
      <c r="B26163"/>
      <c r="C26163"/>
      <c r="J26163"/>
      <c r="K26163"/>
      <c r="L26163"/>
    </row>
    <row r="26164" spans="2:12" x14ac:dyDescent="0.2">
      <c r="B26164"/>
      <c r="C26164"/>
      <c r="J26164"/>
      <c r="K26164"/>
      <c r="L26164"/>
    </row>
    <row r="26165" spans="2:12" x14ac:dyDescent="0.2">
      <c r="B26165"/>
      <c r="C26165"/>
      <c r="J26165"/>
      <c r="K26165"/>
      <c r="L26165"/>
    </row>
    <row r="26166" spans="2:12" x14ac:dyDescent="0.2">
      <c r="B26166"/>
      <c r="C26166"/>
      <c r="J26166"/>
      <c r="K26166"/>
      <c r="L26166"/>
    </row>
    <row r="26167" spans="2:12" x14ac:dyDescent="0.2">
      <c r="B26167"/>
      <c r="C26167"/>
      <c r="J26167"/>
      <c r="K26167"/>
      <c r="L26167"/>
    </row>
    <row r="26168" spans="2:12" x14ac:dyDescent="0.2">
      <c r="B26168"/>
      <c r="C26168"/>
      <c r="J26168"/>
      <c r="K26168"/>
      <c r="L26168"/>
    </row>
    <row r="26169" spans="2:12" x14ac:dyDescent="0.2">
      <c r="B26169"/>
      <c r="C26169"/>
      <c r="J26169"/>
      <c r="K26169"/>
      <c r="L26169"/>
    </row>
    <row r="26170" spans="2:12" x14ac:dyDescent="0.2">
      <c r="B26170"/>
      <c r="C26170"/>
      <c r="J26170"/>
      <c r="K26170"/>
      <c r="L26170"/>
    </row>
    <row r="26171" spans="2:12" x14ac:dyDescent="0.2">
      <c r="B26171"/>
      <c r="C26171"/>
      <c r="J26171"/>
      <c r="K26171"/>
      <c r="L26171"/>
    </row>
    <row r="26172" spans="2:12" x14ac:dyDescent="0.2">
      <c r="B26172"/>
      <c r="C26172"/>
      <c r="J26172"/>
      <c r="K26172"/>
      <c r="L26172"/>
    </row>
    <row r="26173" spans="2:12" x14ac:dyDescent="0.2">
      <c r="B26173"/>
      <c r="C26173"/>
      <c r="J26173"/>
      <c r="K26173"/>
      <c r="L26173"/>
    </row>
    <row r="26174" spans="2:12" x14ac:dyDescent="0.2">
      <c r="B26174"/>
      <c r="C26174"/>
      <c r="J26174"/>
      <c r="K26174"/>
      <c r="L26174"/>
    </row>
    <row r="26175" spans="2:12" x14ac:dyDescent="0.2">
      <c r="B26175"/>
      <c r="C26175"/>
      <c r="J26175"/>
      <c r="K26175"/>
      <c r="L26175"/>
    </row>
    <row r="26176" spans="2:12" x14ac:dyDescent="0.2">
      <c r="B26176"/>
      <c r="C26176"/>
      <c r="J26176"/>
      <c r="K26176"/>
      <c r="L26176"/>
    </row>
    <row r="26177" spans="2:12" x14ac:dyDescent="0.2">
      <c r="B26177"/>
      <c r="C26177"/>
      <c r="J26177"/>
      <c r="K26177"/>
      <c r="L26177"/>
    </row>
    <row r="26178" spans="2:12" x14ac:dyDescent="0.2">
      <c r="B26178"/>
      <c r="C26178"/>
      <c r="J26178"/>
      <c r="K26178"/>
      <c r="L26178"/>
    </row>
    <row r="26179" spans="2:12" x14ac:dyDescent="0.2">
      <c r="B26179"/>
      <c r="C26179"/>
      <c r="J26179"/>
      <c r="K26179"/>
      <c r="L26179"/>
    </row>
    <row r="26180" spans="2:12" x14ac:dyDescent="0.2">
      <c r="B26180"/>
      <c r="C26180"/>
      <c r="J26180"/>
      <c r="K26180"/>
      <c r="L26180"/>
    </row>
    <row r="26181" spans="2:12" x14ac:dyDescent="0.2">
      <c r="B26181"/>
      <c r="C26181"/>
      <c r="J26181"/>
      <c r="K26181"/>
      <c r="L26181"/>
    </row>
    <row r="26182" spans="2:12" x14ac:dyDescent="0.2">
      <c r="B26182"/>
      <c r="C26182"/>
      <c r="J26182"/>
      <c r="K26182"/>
      <c r="L26182"/>
    </row>
    <row r="26183" spans="2:12" x14ac:dyDescent="0.2">
      <c r="B26183"/>
      <c r="C26183"/>
      <c r="J26183"/>
      <c r="K26183"/>
      <c r="L26183"/>
    </row>
    <row r="26184" spans="2:12" x14ac:dyDescent="0.2">
      <c r="B26184"/>
      <c r="C26184"/>
      <c r="J26184"/>
      <c r="K26184"/>
      <c r="L26184"/>
    </row>
    <row r="26185" spans="2:12" x14ac:dyDescent="0.2">
      <c r="B26185"/>
      <c r="C26185"/>
      <c r="J26185"/>
      <c r="K26185"/>
      <c r="L26185"/>
    </row>
    <row r="26186" spans="2:12" x14ac:dyDescent="0.2">
      <c r="B26186"/>
      <c r="C26186"/>
      <c r="J26186"/>
      <c r="K26186"/>
      <c r="L26186"/>
    </row>
    <row r="26187" spans="2:12" x14ac:dyDescent="0.2">
      <c r="B26187"/>
      <c r="C26187"/>
      <c r="J26187"/>
      <c r="K26187"/>
      <c r="L26187"/>
    </row>
    <row r="26188" spans="2:12" x14ac:dyDescent="0.2">
      <c r="B26188"/>
      <c r="C26188"/>
      <c r="J26188"/>
      <c r="K26188"/>
      <c r="L26188"/>
    </row>
    <row r="26189" spans="2:12" x14ac:dyDescent="0.2">
      <c r="B26189"/>
      <c r="C26189"/>
      <c r="J26189"/>
      <c r="K26189"/>
      <c r="L26189"/>
    </row>
    <row r="26190" spans="2:12" x14ac:dyDescent="0.2">
      <c r="B26190"/>
      <c r="C26190"/>
      <c r="J26190"/>
      <c r="K26190"/>
      <c r="L26190"/>
    </row>
    <row r="26191" spans="2:12" x14ac:dyDescent="0.2">
      <c r="B26191"/>
      <c r="C26191"/>
      <c r="J26191"/>
      <c r="K26191"/>
      <c r="L26191"/>
    </row>
    <row r="26192" spans="2:12" x14ac:dyDescent="0.2">
      <c r="B26192"/>
      <c r="C26192"/>
      <c r="J26192"/>
      <c r="K26192"/>
      <c r="L26192"/>
    </row>
    <row r="26193" spans="2:12" x14ac:dyDescent="0.2">
      <c r="B26193"/>
      <c r="C26193"/>
      <c r="J26193"/>
      <c r="K26193"/>
      <c r="L26193"/>
    </row>
    <row r="26194" spans="2:12" x14ac:dyDescent="0.2">
      <c r="B26194"/>
      <c r="C26194"/>
      <c r="J26194"/>
      <c r="K26194"/>
      <c r="L26194"/>
    </row>
    <row r="26195" spans="2:12" x14ac:dyDescent="0.2">
      <c r="B26195"/>
      <c r="C26195"/>
      <c r="J26195"/>
      <c r="K26195"/>
      <c r="L26195"/>
    </row>
    <row r="26196" spans="2:12" x14ac:dyDescent="0.2">
      <c r="B26196"/>
      <c r="C26196"/>
      <c r="J26196"/>
      <c r="K26196"/>
      <c r="L26196"/>
    </row>
    <row r="26197" spans="2:12" x14ac:dyDescent="0.2">
      <c r="B26197"/>
      <c r="C26197"/>
      <c r="J26197"/>
      <c r="K26197"/>
      <c r="L26197"/>
    </row>
    <row r="26198" spans="2:12" x14ac:dyDescent="0.2">
      <c r="B26198"/>
      <c r="C26198"/>
      <c r="J26198"/>
      <c r="K26198"/>
      <c r="L26198"/>
    </row>
    <row r="26199" spans="2:12" x14ac:dyDescent="0.2">
      <c r="B26199"/>
      <c r="C26199"/>
      <c r="J26199"/>
      <c r="K26199"/>
      <c r="L26199"/>
    </row>
    <row r="26200" spans="2:12" x14ac:dyDescent="0.2">
      <c r="B26200"/>
      <c r="C26200"/>
      <c r="J26200"/>
      <c r="K26200"/>
      <c r="L26200"/>
    </row>
    <row r="26201" spans="2:12" x14ac:dyDescent="0.2">
      <c r="B26201"/>
      <c r="C26201"/>
      <c r="J26201"/>
      <c r="K26201"/>
      <c r="L26201"/>
    </row>
    <row r="26202" spans="2:12" x14ac:dyDescent="0.2">
      <c r="B26202"/>
      <c r="C26202"/>
      <c r="J26202"/>
      <c r="K26202"/>
      <c r="L26202"/>
    </row>
    <row r="26203" spans="2:12" x14ac:dyDescent="0.2">
      <c r="B26203"/>
      <c r="C26203"/>
      <c r="J26203"/>
      <c r="K26203"/>
      <c r="L26203"/>
    </row>
    <row r="26204" spans="2:12" x14ac:dyDescent="0.2">
      <c r="B26204"/>
      <c r="C26204"/>
      <c r="J26204"/>
      <c r="K26204"/>
      <c r="L26204"/>
    </row>
    <row r="26205" spans="2:12" x14ac:dyDescent="0.2">
      <c r="B26205"/>
      <c r="C26205"/>
      <c r="J26205"/>
      <c r="K26205"/>
      <c r="L26205"/>
    </row>
    <row r="26206" spans="2:12" x14ac:dyDescent="0.2">
      <c r="B26206"/>
      <c r="C26206"/>
      <c r="J26206"/>
      <c r="K26206"/>
      <c r="L26206"/>
    </row>
    <row r="26207" spans="2:12" x14ac:dyDescent="0.2">
      <c r="B26207"/>
      <c r="C26207"/>
      <c r="J26207"/>
      <c r="K26207"/>
      <c r="L26207"/>
    </row>
    <row r="26208" spans="2:12" x14ac:dyDescent="0.2">
      <c r="B26208"/>
      <c r="C26208"/>
      <c r="J26208"/>
      <c r="K26208"/>
      <c r="L26208"/>
    </row>
    <row r="26209" spans="2:12" x14ac:dyDescent="0.2">
      <c r="B26209"/>
      <c r="C26209"/>
      <c r="J26209"/>
      <c r="K26209"/>
      <c r="L26209"/>
    </row>
    <row r="26210" spans="2:12" x14ac:dyDescent="0.2">
      <c r="B26210"/>
      <c r="C26210"/>
      <c r="J26210"/>
      <c r="K26210"/>
      <c r="L26210"/>
    </row>
    <row r="26211" spans="2:12" x14ac:dyDescent="0.2">
      <c r="B26211"/>
      <c r="C26211"/>
      <c r="J26211"/>
      <c r="K26211"/>
      <c r="L26211"/>
    </row>
    <row r="26212" spans="2:12" x14ac:dyDescent="0.2">
      <c r="B26212"/>
      <c r="C26212"/>
      <c r="J26212"/>
      <c r="K26212"/>
      <c r="L26212"/>
    </row>
    <row r="26213" spans="2:12" x14ac:dyDescent="0.2">
      <c r="B26213"/>
      <c r="C26213"/>
      <c r="J26213"/>
      <c r="K26213"/>
      <c r="L26213"/>
    </row>
    <row r="26214" spans="2:12" x14ac:dyDescent="0.2">
      <c r="B26214"/>
      <c r="C26214"/>
      <c r="J26214"/>
      <c r="K26214"/>
      <c r="L26214"/>
    </row>
    <row r="26215" spans="2:12" x14ac:dyDescent="0.2">
      <c r="B26215"/>
      <c r="C26215"/>
      <c r="J26215"/>
      <c r="K26215"/>
      <c r="L26215"/>
    </row>
    <row r="26216" spans="2:12" x14ac:dyDescent="0.2">
      <c r="B26216"/>
      <c r="C26216"/>
      <c r="J26216"/>
      <c r="K26216"/>
      <c r="L26216"/>
    </row>
    <row r="26217" spans="2:12" x14ac:dyDescent="0.2">
      <c r="B26217"/>
      <c r="C26217"/>
      <c r="J26217"/>
      <c r="K26217"/>
      <c r="L26217"/>
    </row>
    <row r="26218" spans="2:12" x14ac:dyDescent="0.2">
      <c r="B26218"/>
      <c r="C26218"/>
      <c r="J26218"/>
      <c r="K26218"/>
      <c r="L26218"/>
    </row>
    <row r="26219" spans="2:12" x14ac:dyDescent="0.2">
      <c r="B26219"/>
      <c r="C26219"/>
      <c r="J26219"/>
      <c r="K26219"/>
      <c r="L26219"/>
    </row>
    <row r="26220" spans="2:12" x14ac:dyDescent="0.2">
      <c r="B26220"/>
      <c r="C26220"/>
      <c r="J26220"/>
      <c r="K26220"/>
      <c r="L26220"/>
    </row>
    <row r="26221" spans="2:12" x14ac:dyDescent="0.2">
      <c r="B26221"/>
      <c r="C26221"/>
      <c r="J26221"/>
      <c r="K26221"/>
      <c r="L26221"/>
    </row>
    <row r="26222" spans="2:12" x14ac:dyDescent="0.2">
      <c r="B26222"/>
      <c r="C26222"/>
      <c r="J26222"/>
      <c r="K26222"/>
      <c r="L26222"/>
    </row>
    <row r="26223" spans="2:12" x14ac:dyDescent="0.2">
      <c r="B26223"/>
      <c r="C26223"/>
      <c r="J26223"/>
      <c r="K26223"/>
      <c r="L26223"/>
    </row>
    <row r="26224" spans="2:12" x14ac:dyDescent="0.2">
      <c r="B26224"/>
      <c r="C26224"/>
      <c r="J26224"/>
      <c r="K26224"/>
      <c r="L26224"/>
    </row>
    <row r="26225" spans="2:12" x14ac:dyDescent="0.2">
      <c r="B26225"/>
      <c r="C26225"/>
      <c r="J26225"/>
      <c r="K26225"/>
      <c r="L26225"/>
    </row>
    <row r="26226" spans="2:12" x14ac:dyDescent="0.2">
      <c r="B26226"/>
      <c r="C26226"/>
      <c r="J26226"/>
      <c r="K26226"/>
      <c r="L26226"/>
    </row>
    <row r="26227" spans="2:12" x14ac:dyDescent="0.2">
      <c r="B26227"/>
      <c r="C26227"/>
      <c r="J26227"/>
      <c r="K26227"/>
      <c r="L26227"/>
    </row>
    <row r="26228" spans="2:12" x14ac:dyDescent="0.2">
      <c r="B26228"/>
      <c r="C26228"/>
      <c r="J26228"/>
      <c r="K26228"/>
      <c r="L26228"/>
    </row>
    <row r="26229" spans="2:12" x14ac:dyDescent="0.2">
      <c r="B26229"/>
      <c r="C26229"/>
      <c r="J26229"/>
      <c r="K26229"/>
      <c r="L26229"/>
    </row>
    <row r="26230" spans="2:12" x14ac:dyDescent="0.2">
      <c r="B26230"/>
      <c r="C26230"/>
      <c r="J26230"/>
      <c r="K26230"/>
      <c r="L26230"/>
    </row>
    <row r="26231" spans="2:12" x14ac:dyDescent="0.2">
      <c r="B26231"/>
      <c r="C26231"/>
      <c r="J26231"/>
      <c r="K26231"/>
      <c r="L26231"/>
    </row>
    <row r="26232" spans="2:12" x14ac:dyDescent="0.2">
      <c r="B26232"/>
      <c r="C26232"/>
      <c r="J26232"/>
      <c r="K26232"/>
      <c r="L26232"/>
    </row>
    <row r="26233" spans="2:12" x14ac:dyDescent="0.2">
      <c r="B26233"/>
      <c r="C26233"/>
      <c r="J26233"/>
      <c r="K26233"/>
      <c r="L26233"/>
    </row>
    <row r="26234" spans="2:12" x14ac:dyDescent="0.2">
      <c r="B26234"/>
      <c r="C26234"/>
      <c r="J26234"/>
      <c r="K26234"/>
      <c r="L26234"/>
    </row>
    <row r="26235" spans="2:12" x14ac:dyDescent="0.2">
      <c r="B26235"/>
      <c r="C26235"/>
      <c r="J26235"/>
      <c r="K26235"/>
      <c r="L26235"/>
    </row>
    <row r="26236" spans="2:12" x14ac:dyDescent="0.2">
      <c r="B26236"/>
      <c r="C26236"/>
      <c r="J26236"/>
      <c r="K26236"/>
      <c r="L26236"/>
    </row>
    <row r="26237" spans="2:12" x14ac:dyDescent="0.2">
      <c r="B26237"/>
      <c r="C26237"/>
      <c r="J26237"/>
      <c r="K26237"/>
      <c r="L26237"/>
    </row>
    <row r="26238" spans="2:12" x14ac:dyDescent="0.2">
      <c r="B26238"/>
      <c r="C26238"/>
      <c r="J26238"/>
      <c r="K26238"/>
      <c r="L26238"/>
    </row>
    <row r="26239" spans="2:12" x14ac:dyDescent="0.2">
      <c r="B26239"/>
      <c r="C26239"/>
      <c r="J26239"/>
      <c r="K26239"/>
      <c r="L26239"/>
    </row>
    <row r="26240" spans="2:12" x14ac:dyDescent="0.2">
      <c r="B26240"/>
      <c r="C26240"/>
      <c r="J26240"/>
      <c r="K26240"/>
      <c r="L26240"/>
    </row>
    <row r="26241" spans="2:12" x14ac:dyDescent="0.2">
      <c r="B26241"/>
      <c r="C26241"/>
      <c r="J26241"/>
      <c r="K26241"/>
      <c r="L26241"/>
    </row>
    <row r="26242" spans="2:12" x14ac:dyDescent="0.2">
      <c r="B26242"/>
      <c r="C26242"/>
      <c r="J26242"/>
      <c r="K26242"/>
      <c r="L26242"/>
    </row>
    <row r="26243" spans="2:12" x14ac:dyDescent="0.2">
      <c r="B26243"/>
      <c r="C26243"/>
      <c r="J26243"/>
      <c r="K26243"/>
      <c r="L26243"/>
    </row>
    <row r="26244" spans="2:12" x14ac:dyDescent="0.2">
      <c r="B26244"/>
      <c r="C26244"/>
      <c r="J26244"/>
      <c r="K26244"/>
      <c r="L26244"/>
    </row>
    <row r="26245" spans="2:12" x14ac:dyDescent="0.2">
      <c r="B26245"/>
      <c r="C26245"/>
      <c r="J26245"/>
      <c r="K26245"/>
      <c r="L26245"/>
    </row>
    <row r="26246" spans="2:12" x14ac:dyDescent="0.2">
      <c r="B26246"/>
      <c r="C26246"/>
      <c r="J26246"/>
      <c r="K26246"/>
      <c r="L26246"/>
    </row>
    <row r="26247" spans="2:12" x14ac:dyDescent="0.2">
      <c r="B26247"/>
      <c r="C26247"/>
      <c r="J26247"/>
      <c r="K26247"/>
      <c r="L26247"/>
    </row>
    <row r="26248" spans="2:12" x14ac:dyDescent="0.2">
      <c r="B26248"/>
      <c r="C26248"/>
      <c r="J26248"/>
      <c r="K26248"/>
      <c r="L26248"/>
    </row>
    <row r="26249" spans="2:12" x14ac:dyDescent="0.2">
      <c r="B26249"/>
      <c r="C26249"/>
      <c r="J26249"/>
      <c r="K26249"/>
      <c r="L26249"/>
    </row>
    <row r="26250" spans="2:12" x14ac:dyDescent="0.2">
      <c r="B26250"/>
      <c r="C26250"/>
      <c r="J26250"/>
      <c r="K26250"/>
      <c r="L26250"/>
    </row>
    <row r="26251" spans="2:12" x14ac:dyDescent="0.2">
      <c r="B26251"/>
      <c r="C26251"/>
      <c r="J26251"/>
      <c r="K26251"/>
      <c r="L26251"/>
    </row>
    <row r="26252" spans="2:12" x14ac:dyDescent="0.2">
      <c r="B26252"/>
      <c r="C26252"/>
      <c r="J26252"/>
      <c r="K26252"/>
      <c r="L26252"/>
    </row>
    <row r="26253" spans="2:12" x14ac:dyDescent="0.2">
      <c r="B26253"/>
      <c r="C26253"/>
      <c r="J26253"/>
      <c r="K26253"/>
      <c r="L26253"/>
    </row>
    <row r="26254" spans="2:12" x14ac:dyDescent="0.2">
      <c r="B26254"/>
      <c r="C26254"/>
      <c r="J26254"/>
      <c r="K26254"/>
      <c r="L26254"/>
    </row>
    <row r="26255" spans="2:12" x14ac:dyDescent="0.2">
      <c r="B26255"/>
      <c r="C26255"/>
      <c r="J26255"/>
      <c r="K26255"/>
      <c r="L26255"/>
    </row>
    <row r="26256" spans="2:12" x14ac:dyDescent="0.2">
      <c r="B26256"/>
      <c r="C26256"/>
      <c r="J26256"/>
      <c r="K26256"/>
      <c r="L26256"/>
    </row>
    <row r="26257" spans="2:12" x14ac:dyDescent="0.2">
      <c r="B26257"/>
      <c r="C26257"/>
      <c r="J26257"/>
      <c r="K26257"/>
      <c r="L26257"/>
    </row>
    <row r="26258" spans="2:12" x14ac:dyDescent="0.2">
      <c r="B26258"/>
      <c r="C26258"/>
      <c r="J26258"/>
      <c r="K26258"/>
      <c r="L26258"/>
    </row>
    <row r="26259" spans="2:12" x14ac:dyDescent="0.2">
      <c r="B26259"/>
      <c r="C26259"/>
      <c r="J26259"/>
      <c r="K26259"/>
      <c r="L26259"/>
    </row>
    <row r="26260" spans="2:12" x14ac:dyDescent="0.2">
      <c r="B26260"/>
      <c r="C26260"/>
      <c r="J26260"/>
      <c r="K26260"/>
      <c r="L26260"/>
    </row>
    <row r="26261" spans="2:12" x14ac:dyDescent="0.2">
      <c r="B26261"/>
      <c r="C26261"/>
      <c r="J26261"/>
      <c r="K26261"/>
      <c r="L26261"/>
    </row>
    <row r="26262" spans="2:12" x14ac:dyDescent="0.2">
      <c r="B26262"/>
      <c r="C26262"/>
      <c r="J26262"/>
      <c r="K26262"/>
      <c r="L26262"/>
    </row>
    <row r="26263" spans="2:12" x14ac:dyDescent="0.2">
      <c r="B26263"/>
      <c r="C26263"/>
      <c r="J26263"/>
      <c r="K26263"/>
      <c r="L26263"/>
    </row>
    <row r="26264" spans="2:12" x14ac:dyDescent="0.2">
      <c r="B26264"/>
      <c r="C26264"/>
      <c r="J26264"/>
      <c r="K26264"/>
      <c r="L26264"/>
    </row>
    <row r="26265" spans="2:12" x14ac:dyDescent="0.2">
      <c r="B26265"/>
      <c r="C26265"/>
      <c r="J26265"/>
      <c r="K26265"/>
      <c r="L26265"/>
    </row>
    <row r="26266" spans="2:12" x14ac:dyDescent="0.2">
      <c r="B26266"/>
      <c r="C26266"/>
      <c r="J26266"/>
      <c r="K26266"/>
      <c r="L26266"/>
    </row>
    <row r="26267" spans="2:12" x14ac:dyDescent="0.2">
      <c r="B26267"/>
      <c r="C26267"/>
      <c r="J26267"/>
      <c r="K26267"/>
      <c r="L26267"/>
    </row>
    <row r="26268" spans="2:12" x14ac:dyDescent="0.2">
      <c r="B26268"/>
      <c r="C26268"/>
      <c r="J26268"/>
      <c r="K26268"/>
      <c r="L26268"/>
    </row>
    <row r="26269" spans="2:12" x14ac:dyDescent="0.2">
      <c r="B26269"/>
      <c r="C26269"/>
      <c r="J26269"/>
      <c r="K26269"/>
      <c r="L26269"/>
    </row>
    <row r="26270" spans="2:12" x14ac:dyDescent="0.2">
      <c r="B26270"/>
      <c r="C26270"/>
      <c r="J26270"/>
      <c r="K26270"/>
      <c r="L26270"/>
    </row>
    <row r="26271" spans="2:12" x14ac:dyDescent="0.2">
      <c r="B26271"/>
      <c r="C26271"/>
      <c r="J26271"/>
      <c r="K26271"/>
      <c r="L26271"/>
    </row>
    <row r="26272" spans="2:12" x14ac:dyDescent="0.2">
      <c r="B26272"/>
      <c r="C26272"/>
      <c r="J26272"/>
      <c r="K26272"/>
      <c r="L26272"/>
    </row>
    <row r="26273" spans="2:12" x14ac:dyDescent="0.2">
      <c r="B26273"/>
      <c r="C26273"/>
      <c r="J26273"/>
      <c r="K26273"/>
      <c r="L26273"/>
    </row>
    <row r="26274" spans="2:12" x14ac:dyDescent="0.2">
      <c r="B26274"/>
      <c r="C26274"/>
      <c r="J26274"/>
      <c r="K26274"/>
      <c r="L26274"/>
    </row>
    <row r="26275" spans="2:12" x14ac:dyDescent="0.2">
      <c r="B26275"/>
      <c r="C26275"/>
      <c r="J26275"/>
      <c r="K26275"/>
      <c r="L26275"/>
    </row>
    <row r="26276" spans="2:12" x14ac:dyDescent="0.2">
      <c r="B26276"/>
      <c r="C26276"/>
      <c r="J26276"/>
      <c r="K26276"/>
      <c r="L26276"/>
    </row>
    <row r="26277" spans="2:12" x14ac:dyDescent="0.2">
      <c r="B26277"/>
      <c r="C26277"/>
      <c r="J26277"/>
      <c r="K26277"/>
      <c r="L26277"/>
    </row>
    <row r="26278" spans="2:12" x14ac:dyDescent="0.2">
      <c r="B26278"/>
      <c r="C26278"/>
      <c r="J26278"/>
      <c r="K26278"/>
      <c r="L26278"/>
    </row>
    <row r="26279" spans="2:12" x14ac:dyDescent="0.2">
      <c r="B26279"/>
      <c r="C26279"/>
      <c r="J26279"/>
      <c r="K26279"/>
      <c r="L26279"/>
    </row>
    <row r="26280" spans="2:12" x14ac:dyDescent="0.2">
      <c r="B26280"/>
      <c r="C26280"/>
      <c r="J26280"/>
      <c r="K26280"/>
      <c r="L26280"/>
    </row>
    <row r="26281" spans="2:12" x14ac:dyDescent="0.2">
      <c r="B26281"/>
      <c r="C26281"/>
      <c r="J26281"/>
      <c r="K26281"/>
      <c r="L26281"/>
    </row>
    <row r="26282" spans="2:12" x14ac:dyDescent="0.2">
      <c r="B26282"/>
      <c r="C26282"/>
      <c r="J26282"/>
      <c r="K26282"/>
      <c r="L26282"/>
    </row>
    <row r="26283" spans="2:12" x14ac:dyDescent="0.2">
      <c r="B26283"/>
      <c r="C26283"/>
      <c r="J26283"/>
      <c r="K26283"/>
      <c r="L26283"/>
    </row>
    <row r="26284" spans="2:12" x14ac:dyDescent="0.2">
      <c r="B26284"/>
      <c r="C26284"/>
      <c r="J26284"/>
      <c r="K26284"/>
      <c r="L26284"/>
    </row>
    <row r="26285" spans="2:12" x14ac:dyDescent="0.2">
      <c r="B26285"/>
      <c r="C26285"/>
      <c r="J26285"/>
      <c r="K26285"/>
      <c r="L26285"/>
    </row>
    <row r="26286" spans="2:12" x14ac:dyDescent="0.2">
      <c r="B26286"/>
      <c r="C26286"/>
      <c r="J26286"/>
      <c r="K26286"/>
      <c r="L26286"/>
    </row>
    <row r="26287" spans="2:12" x14ac:dyDescent="0.2">
      <c r="B26287"/>
      <c r="C26287"/>
      <c r="J26287"/>
      <c r="K26287"/>
      <c r="L26287"/>
    </row>
    <row r="26288" spans="2:12" x14ac:dyDescent="0.2">
      <c r="B26288"/>
      <c r="C26288"/>
      <c r="J26288"/>
      <c r="K26288"/>
      <c r="L26288"/>
    </row>
    <row r="26289" spans="2:12" x14ac:dyDescent="0.2">
      <c r="B26289"/>
      <c r="C26289"/>
      <c r="J26289"/>
      <c r="K26289"/>
      <c r="L26289"/>
    </row>
    <row r="26290" spans="2:12" x14ac:dyDescent="0.2">
      <c r="B26290"/>
      <c r="C26290"/>
      <c r="J26290"/>
      <c r="K26290"/>
      <c r="L26290"/>
    </row>
    <row r="26291" spans="2:12" x14ac:dyDescent="0.2">
      <c r="B26291"/>
      <c r="C26291"/>
      <c r="J26291"/>
      <c r="K26291"/>
      <c r="L26291"/>
    </row>
    <row r="26292" spans="2:12" x14ac:dyDescent="0.2">
      <c r="B26292"/>
      <c r="C26292"/>
      <c r="J26292"/>
      <c r="K26292"/>
      <c r="L26292"/>
    </row>
    <row r="26293" spans="2:12" x14ac:dyDescent="0.2">
      <c r="B26293"/>
      <c r="C26293"/>
      <c r="J26293"/>
      <c r="K26293"/>
      <c r="L26293"/>
    </row>
    <row r="26294" spans="2:12" x14ac:dyDescent="0.2">
      <c r="B26294"/>
      <c r="C26294"/>
      <c r="J26294"/>
      <c r="K26294"/>
      <c r="L26294"/>
    </row>
    <row r="26295" spans="2:12" x14ac:dyDescent="0.2">
      <c r="B26295"/>
      <c r="C26295"/>
      <c r="J26295"/>
      <c r="K26295"/>
      <c r="L26295"/>
    </row>
    <row r="26296" spans="2:12" x14ac:dyDescent="0.2">
      <c r="B26296"/>
      <c r="C26296"/>
      <c r="J26296"/>
      <c r="K26296"/>
      <c r="L26296"/>
    </row>
    <row r="26297" spans="2:12" x14ac:dyDescent="0.2">
      <c r="B26297"/>
      <c r="C26297"/>
      <c r="J26297"/>
      <c r="K26297"/>
      <c r="L26297"/>
    </row>
    <row r="26298" spans="2:12" x14ac:dyDescent="0.2">
      <c r="B26298"/>
      <c r="C26298"/>
      <c r="J26298"/>
      <c r="K26298"/>
      <c r="L26298"/>
    </row>
    <row r="26299" spans="2:12" x14ac:dyDescent="0.2">
      <c r="B26299"/>
      <c r="C26299"/>
      <c r="J26299"/>
      <c r="K26299"/>
      <c r="L26299"/>
    </row>
    <row r="26300" spans="2:12" x14ac:dyDescent="0.2">
      <c r="B26300"/>
      <c r="C26300"/>
      <c r="J26300"/>
      <c r="K26300"/>
      <c r="L26300"/>
    </row>
    <row r="26301" spans="2:12" x14ac:dyDescent="0.2">
      <c r="B26301"/>
      <c r="C26301"/>
      <c r="J26301"/>
      <c r="K26301"/>
      <c r="L26301"/>
    </row>
    <row r="26302" spans="2:12" x14ac:dyDescent="0.2">
      <c r="B26302"/>
      <c r="C26302"/>
      <c r="J26302"/>
      <c r="K26302"/>
      <c r="L26302"/>
    </row>
    <row r="26303" spans="2:12" x14ac:dyDescent="0.2">
      <c r="B26303"/>
      <c r="C26303"/>
      <c r="J26303"/>
      <c r="K26303"/>
      <c r="L26303"/>
    </row>
    <row r="26304" spans="2:12" x14ac:dyDescent="0.2">
      <c r="B26304"/>
      <c r="C26304"/>
      <c r="J26304"/>
      <c r="K26304"/>
      <c r="L26304"/>
    </row>
    <row r="26305" spans="2:12" x14ac:dyDescent="0.2">
      <c r="B26305"/>
      <c r="C26305"/>
      <c r="J26305"/>
      <c r="K26305"/>
      <c r="L26305"/>
    </row>
    <row r="26306" spans="2:12" x14ac:dyDescent="0.2">
      <c r="B26306"/>
      <c r="C26306"/>
      <c r="J26306"/>
      <c r="K26306"/>
      <c r="L26306"/>
    </row>
    <row r="26307" spans="2:12" x14ac:dyDescent="0.2">
      <c r="B26307"/>
      <c r="C26307"/>
      <c r="J26307"/>
      <c r="K26307"/>
      <c r="L26307"/>
    </row>
    <row r="26308" spans="2:12" x14ac:dyDescent="0.2">
      <c r="B26308"/>
      <c r="C26308"/>
      <c r="J26308"/>
      <c r="K26308"/>
      <c r="L26308"/>
    </row>
    <row r="26309" spans="2:12" x14ac:dyDescent="0.2">
      <c r="B26309"/>
      <c r="C26309"/>
      <c r="J26309"/>
      <c r="K26309"/>
      <c r="L26309"/>
    </row>
    <row r="26310" spans="2:12" x14ac:dyDescent="0.2">
      <c r="B26310"/>
      <c r="C26310"/>
      <c r="J26310"/>
      <c r="K26310"/>
      <c r="L26310"/>
    </row>
    <row r="26311" spans="2:12" x14ac:dyDescent="0.2">
      <c r="B26311"/>
      <c r="C26311"/>
      <c r="J26311"/>
      <c r="K26311"/>
      <c r="L26311"/>
    </row>
    <row r="26312" spans="2:12" x14ac:dyDescent="0.2">
      <c r="B26312"/>
      <c r="C26312"/>
      <c r="J26312"/>
      <c r="K26312"/>
      <c r="L26312"/>
    </row>
    <row r="26313" spans="2:12" x14ac:dyDescent="0.2">
      <c r="B26313"/>
      <c r="C26313"/>
      <c r="J26313"/>
      <c r="K26313"/>
      <c r="L26313"/>
    </row>
    <row r="26314" spans="2:12" x14ac:dyDescent="0.2">
      <c r="B26314"/>
      <c r="C26314"/>
      <c r="J26314"/>
      <c r="K26314"/>
      <c r="L26314"/>
    </row>
    <row r="26315" spans="2:12" x14ac:dyDescent="0.2">
      <c r="B26315"/>
      <c r="C26315"/>
      <c r="J26315"/>
      <c r="K26315"/>
      <c r="L26315"/>
    </row>
    <row r="26316" spans="2:12" x14ac:dyDescent="0.2">
      <c r="B26316"/>
      <c r="C26316"/>
      <c r="J26316"/>
      <c r="K26316"/>
      <c r="L26316"/>
    </row>
    <row r="26317" spans="2:12" x14ac:dyDescent="0.2">
      <c r="B26317"/>
      <c r="C26317"/>
      <c r="J26317"/>
      <c r="K26317"/>
      <c r="L26317"/>
    </row>
    <row r="26318" spans="2:12" x14ac:dyDescent="0.2">
      <c r="B26318"/>
      <c r="C26318"/>
      <c r="J26318"/>
      <c r="K26318"/>
      <c r="L26318"/>
    </row>
    <row r="26319" spans="2:12" x14ac:dyDescent="0.2">
      <c r="B26319"/>
      <c r="C26319"/>
      <c r="J26319"/>
      <c r="K26319"/>
      <c r="L26319"/>
    </row>
    <row r="26320" spans="2:12" x14ac:dyDescent="0.2">
      <c r="B26320"/>
      <c r="C26320"/>
      <c r="J26320"/>
      <c r="K26320"/>
      <c r="L26320"/>
    </row>
    <row r="26321" spans="2:12" x14ac:dyDescent="0.2">
      <c r="B26321"/>
      <c r="C26321"/>
      <c r="J26321"/>
      <c r="K26321"/>
      <c r="L26321"/>
    </row>
    <row r="26322" spans="2:12" x14ac:dyDescent="0.2">
      <c r="B26322"/>
      <c r="C26322"/>
      <c r="J26322"/>
      <c r="K26322"/>
      <c r="L26322"/>
    </row>
    <row r="26323" spans="2:12" x14ac:dyDescent="0.2">
      <c r="B26323"/>
      <c r="C26323"/>
      <c r="J26323"/>
      <c r="K26323"/>
      <c r="L26323"/>
    </row>
    <row r="26324" spans="2:12" x14ac:dyDescent="0.2">
      <c r="B26324"/>
      <c r="C26324"/>
      <c r="J26324"/>
      <c r="K26324"/>
      <c r="L26324"/>
    </row>
    <row r="26325" spans="2:12" x14ac:dyDescent="0.2">
      <c r="B26325"/>
      <c r="C26325"/>
      <c r="J26325"/>
      <c r="K26325"/>
      <c r="L26325"/>
    </row>
    <row r="26326" spans="2:12" x14ac:dyDescent="0.2">
      <c r="B26326"/>
      <c r="C26326"/>
      <c r="J26326"/>
      <c r="K26326"/>
      <c r="L26326"/>
    </row>
    <row r="26327" spans="2:12" x14ac:dyDescent="0.2">
      <c r="B26327"/>
      <c r="C26327"/>
      <c r="J26327"/>
      <c r="K26327"/>
      <c r="L26327"/>
    </row>
    <row r="26328" spans="2:12" x14ac:dyDescent="0.2">
      <c r="B26328"/>
      <c r="C26328"/>
      <c r="J26328"/>
      <c r="K26328"/>
      <c r="L26328"/>
    </row>
    <row r="26329" spans="2:12" x14ac:dyDescent="0.2">
      <c r="B26329"/>
      <c r="C26329"/>
      <c r="J26329"/>
      <c r="K26329"/>
      <c r="L26329"/>
    </row>
    <row r="26330" spans="2:12" x14ac:dyDescent="0.2">
      <c r="B26330"/>
      <c r="C26330"/>
      <c r="J26330"/>
      <c r="K26330"/>
      <c r="L26330"/>
    </row>
    <row r="26331" spans="2:12" x14ac:dyDescent="0.2">
      <c r="B26331"/>
      <c r="C26331"/>
      <c r="J26331"/>
      <c r="K26331"/>
      <c r="L26331"/>
    </row>
    <row r="26332" spans="2:12" x14ac:dyDescent="0.2">
      <c r="B26332"/>
      <c r="C26332"/>
      <c r="J26332"/>
      <c r="K26332"/>
      <c r="L26332"/>
    </row>
    <row r="26333" spans="2:12" x14ac:dyDescent="0.2">
      <c r="B26333"/>
      <c r="C26333"/>
      <c r="J26333"/>
      <c r="K26333"/>
      <c r="L26333"/>
    </row>
    <row r="26334" spans="2:12" x14ac:dyDescent="0.2">
      <c r="B26334"/>
      <c r="C26334"/>
      <c r="J26334"/>
      <c r="K26334"/>
      <c r="L26334"/>
    </row>
    <row r="26335" spans="2:12" x14ac:dyDescent="0.2">
      <c r="B26335"/>
      <c r="C26335"/>
      <c r="J26335"/>
      <c r="K26335"/>
      <c r="L26335"/>
    </row>
    <row r="26336" spans="2:12" x14ac:dyDescent="0.2">
      <c r="B26336"/>
      <c r="C26336"/>
      <c r="J26336"/>
      <c r="K26336"/>
      <c r="L26336"/>
    </row>
    <row r="26337" spans="2:12" x14ac:dyDescent="0.2">
      <c r="B26337"/>
      <c r="C26337"/>
      <c r="J26337"/>
      <c r="K26337"/>
      <c r="L26337"/>
    </row>
    <row r="26338" spans="2:12" x14ac:dyDescent="0.2">
      <c r="B26338"/>
      <c r="C26338"/>
      <c r="J26338"/>
      <c r="K26338"/>
      <c r="L26338"/>
    </row>
    <row r="26339" spans="2:12" x14ac:dyDescent="0.2">
      <c r="B26339"/>
      <c r="C26339"/>
      <c r="J26339"/>
      <c r="K26339"/>
      <c r="L26339"/>
    </row>
    <row r="26340" spans="2:12" x14ac:dyDescent="0.2">
      <c r="B26340"/>
      <c r="C26340"/>
      <c r="J26340"/>
      <c r="K26340"/>
      <c r="L26340"/>
    </row>
    <row r="26341" spans="2:12" x14ac:dyDescent="0.2">
      <c r="B26341"/>
      <c r="C26341"/>
      <c r="J26341"/>
      <c r="K26341"/>
      <c r="L26341"/>
    </row>
    <row r="26342" spans="2:12" x14ac:dyDescent="0.2">
      <c r="B26342"/>
      <c r="C26342"/>
      <c r="J26342"/>
      <c r="K26342"/>
      <c r="L26342"/>
    </row>
    <row r="26343" spans="2:12" x14ac:dyDescent="0.2">
      <c r="B26343"/>
      <c r="C26343"/>
      <c r="J26343"/>
      <c r="K26343"/>
      <c r="L26343"/>
    </row>
    <row r="26344" spans="2:12" x14ac:dyDescent="0.2">
      <c r="B26344"/>
      <c r="C26344"/>
      <c r="J26344"/>
      <c r="K26344"/>
      <c r="L26344"/>
    </row>
    <row r="26345" spans="2:12" x14ac:dyDescent="0.2">
      <c r="B26345"/>
      <c r="C26345"/>
      <c r="J26345"/>
      <c r="K26345"/>
      <c r="L26345"/>
    </row>
    <row r="26346" spans="2:12" x14ac:dyDescent="0.2">
      <c r="B26346"/>
      <c r="C26346"/>
      <c r="J26346"/>
      <c r="K26346"/>
      <c r="L26346"/>
    </row>
    <row r="26347" spans="2:12" x14ac:dyDescent="0.2">
      <c r="B26347"/>
      <c r="C26347"/>
      <c r="J26347"/>
      <c r="K26347"/>
      <c r="L26347"/>
    </row>
    <row r="26348" spans="2:12" x14ac:dyDescent="0.2">
      <c r="B26348"/>
      <c r="C26348"/>
      <c r="J26348"/>
      <c r="K26348"/>
      <c r="L26348"/>
    </row>
    <row r="26349" spans="2:12" x14ac:dyDescent="0.2">
      <c r="B26349"/>
      <c r="C26349"/>
      <c r="J26349"/>
      <c r="K26349"/>
      <c r="L26349"/>
    </row>
    <row r="26350" spans="2:12" x14ac:dyDescent="0.2">
      <c r="B26350"/>
      <c r="C26350"/>
      <c r="J26350"/>
      <c r="K26350"/>
      <c r="L26350"/>
    </row>
    <row r="26351" spans="2:12" x14ac:dyDescent="0.2">
      <c r="B26351"/>
      <c r="C26351"/>
      <c r="J26351"/>
      <c r="K26351"/>
      <c r="L26351"/>
    </row>
    <row r="26352" spans="2:12" x14ac:dyDescent="0.2">
      <c r="B26352"/>
      <c r="C26352"/>
      <c r="J26352"/>
      <c r="K26352"/>
      <c r="L26352"/>
    </row>
    <row r="26353" spans="2:12" x14ac:dyDescent="0.2">
      <c r="B26353"/>
      <c r="C26353"/>
      <c r="J26353"/>
      <c r="K26353"/>
      <c r="L26353"/>
    </row>
    <row r="26354" spans="2:12" x14ac:dyDescent="0.2">
      <c r="B26354"/>
      <c r="C26354"/>
      <c r="J26354"/>
      <c r="K26354"/>
      <c r="L26354"/>
    </row>
    <row r="26355" spans="2:12" x14ac:dyDescent="0.2">
      <c r="B26355"/>
      <c r="C26355"/>
      <c r="J26355"/>
      <c r="K26355"/>
      <c r="L26355"/>
    </row>
    <row r="26356" spans="2:12" x14ac:dyDescent="0.2">
      <c r="B26356"/>
      <c r="C26356"/>
      <c r="J26356"/>
      <c r="K26356"/>
      <c r="L26356"/>
    </row>
    <row r="26357" spans="2:12" x14ac:dyDescent="0.2">
      <c r="B26357"/>
      <c r="C26357"/>
      <c r="J26357"/>
      <c r="K26357"/>
      <c r="L26357"/>
    </row>
    <row r="26358" spans="2:12" x14ac:dyDescent="0.2">
      <c r="B26358"/>
      <c r="C26358"/>
      <c r="J26358"/>
      <c r="K26358"/>
      <c r="L26358"/>
    </row>
    <row r="26359" spans="2:12" x14ac:dyDescent="0.2">
      <c r="B26359"/>
      <c r="C26359"/>
      <c r="J26359"/>
      <c r="K26359"/>
      <c r="L26359"/>
    </row>
    <row r="26360" spans="2:12" x14ac:dyDescent="0.2">
      <c r="B26360"/>
      <c r="C26360"/>
      <c r="J26360"/>
      <c r="K26360"/>
      <c r="L26360"/>
    </row>
    <row r="26361" spans="2:12" x14ac:dyDescent="0.2">
      <c r="B26361"/>
      <c r="C26361"/>
      <c r="J26361"/>
      <c r="K26361"/>
      <c r="L26361"/>
    </row>
    <row r="26362" spans="2:12" x14ac:dyDescent="0.2">
      <c r="B26362"/>
      <c r="C26362"/>
      <c r="J26362"/>
      <c r="K26362"/>
      <c r="L26362"/>
    </row>
    <row r="26363" spans="2:12" x14ac:dyDescent="0.2">
      <c r="B26363"/>
      <c r="C26363"/>
      <c r="J26363"/>
      <c r="K26363"/>
      <c r="L26363"/>
    </row>
    <row r="26364" spans="2:12" x14ac:dyDescent="0.2">
      <c r="B26364"/>
      <c r="C26364"/>
      <c r="J26364"/>
      <c r="K26364"/>
      <c r="L26364"/>
    </row>
    <row r="26365" spans="2:12" x14ac:dyDescent="0.2">
      <c r="B26365"/>
      <c r="C26365"/>
      <c r="J26365"/>
      <c r="K26365"/>
      <c r="L26365"/>
    </row>
    <row r="26366" spans="2:12" x14ac:dyDescent="0.2">
      <c r="B26366"/>
      <c r="C26366"/>
      <c r="J26366"/>
      <c r="K26366"/>
      <c r="L26366"/>
    </row>
    <row r="26367" spans="2:12" x14ac:dyDescent="0.2">
      <c r="B26367"/>
      <c r="C26367"/>
      <c r="J26367"/>
      <c r="K26367"/>
      <c r="L26367"/>
    </row>
    <row r="26368" spans="2:12" x14ac:dyDescent="0.2">
      <c r="B26368"/>
      <c r="C26368"/>
      <c r="J26368"/>
      <c r="K26368"/>
      <c r="L26368"/>
    </row>
    <row r="26369" spans="2:12" x14ac:dyDescent="0.2">
      <c r="B26369"/>
      <c r="C26369"/>
      <c r="J26369"/>
      <c r="K26369"/>
      <c r="L26369"/>
    </row>
    <row r="26370" spans="2:12" x14ac:dyDescent="0.2">
      <c r="B26370"/>
      <c r="C26370"/>
      <c r="J26370"/>
      <c r="K26370"/>
      <c r="L26370"/>
    </row>
    <row r="26371" spans="2:12" x14ac:dyDescent="0.2">
      <c r="B26371"/>
      <c r="C26371"/>
      <c r="J26371"/>
      <c r="K26371"/>
      <c r="L26371"/>
    </row>
    <row r="26372" spans="2:12" x14ac:dyDescent="0.2">
      <c r="B26372"/>
      <c r="C26372"/>
      <c r="J26372"/>
      <c r="K26372"/>
      <c r="L26372"/>
    </row>
    <row r="26373" spans="2:12" x14ac:dyDescent="0.2">
      <c r="B26373"/>
      <c r="C26373"/>
      <c r="J26373"/>
      <c r="K26373"/>
      <c r="L26373"/>
    </row>
    <row r="26374" spans="2:12" x14ac:dyDescent="0.2">
      <c r="B26374"/>
      <c r="C26374"/>
      <c r="J26374"/>
      <c r="K26374"/>
      <c r="L26374"/>
    </row>
    <row r="26375" spans="2:12" x14ac:dyDescent="0.2">
      <c r="B26375"/>
      <c r="C26375"/>
      <c r="J26375"/>
      <c r="K26375"/>
      <c r="L26375"/>
    </row>
    <row r="26376" spans="2:12" x14ac:dyDescent="0.2">
      <c r="B26376"/>
      <c r="C26376"/>
      <c r="J26376"/>
      <c r="K26376"/>
      <c r="L26376"/>
    </row>
    <row r="26377" spans="2:12" x14ac:dyDescent="0.2">
      <c r="B26377"/>
      <c r="C26377"/>
      <c r="J26377"/>
      <c r="K26377"/>
      <c r="L26377"/>
    </row>
    <row r="26378" spans="2:12" x14ac:dyDescent="0.2">
      <c r="B26378"/>
      <c r="C26378"/>
      <c r="J26378"/>
      <c r="K26378"/>
      <c r="L26378"/>
    </row>
    <row r="26379" spans="2:12" x14ac:dyDescent="0.2">
      <c r="B26379"/>
      <c r="C26379"/>
      <c r="J26379"/>
      <c r="K26379"/>
      <c r="L26379"/>
    </row>
    <row r="26380" spans="2:12" x14ac:dyDescent="0.2">
      <c r="B26380"/>
      <c r="C26380"/>
      <c r="J26380"/>
      <c r="K26380"/>
      <c r="L26380"/>
    </row>
    <row r="26381" spans="2:12" x14ac:dyDescent="0.2">
      <c r="B26381"/>
      <c r="C26381"/>
      <c r="J26381"/>
      <c r="K26381"/>
      <c r="L26381"/>
    </row>
    <row r="26382" spans="2:12" x14ac:dyDescent="0.2">
      <c r="B26382"/>
      <c r="C26382"/>
      <c r="J26382"/>
      <c r="K26382"/>
      <c r="L26382"/>
    </row>
    <row r="26383" spans="2:12" x14ac:dyDescent="0.2">
      <c r="B26383"/>
      <c r="C26383"/>
      <c r="J26383"/>
      <c r="K26383"/>
      <c r="L26383"/>
    </row>
    <row r="26384" spans="2:12" x14ac:dyDescent="0.2">
      <c r="B26384"/>
      <c r="C26384"/>
      <c r="J26384"/>
      <c r="K26384"/>
      <c r="L26384"/>
    </row>
    <row r="26385" spans="2:12" x14ac:dyDescent="0.2">
      <c r="B26385"/>
      <c r="C26385"/>
      <c r="J26385"/>
      <c r="K26385"/>
      <c r="L26385"/>
    </row>
    <row r="26386" spans="2:12" x14ac:dyDescent="0.2">
      <c r="B26386"/>
      <c r="C26386"/>
      <c r="J26386"/>
      <c r="K26386"/>
      <c r="L26386"/>
    </row>
    <row r="26387" spans="2:12" x14ac:dyDescent="0.2">
      <c r="B26387"/>
      <c r="C26387"/>
      <c r="J26387"/>
      <c r="K26387"/>
      <c r="L26387"/>
    </row>
    <row r="26388" spans="2:12" x14ac:dyDescent="0.2">
      <c r="B26388"/>
      <c r="C26388"/>
      <c r="J26388"/>
      <c r="K26388"/>
      <c r="L26388"/>
    </row>
    <row r="26389" spans="2:12" x14ac:dyDescent="0.2">
      <c r="B26389"/>
      <c r="C26389"/>
      <c r="J26389"/>
      <c r="K26389"/>
      <c r="L26389"/>
    </row>
    <row r="26390" spans="2:12" x14ac:dyDescent="0.2">
      <c r="B26390"/>
      <c r="C26390"/>
      <c r="J26390"/>
      <c r="K26390"/>
      <c r="L26390"/>
    </row>
    <row r="26391" spans="2:12" x14ac:dyDescent="0.2">
      <c r="B26391"/>
      <c r="C26391"/>
      <c r="J26391"/>
      <c r="K26391"/>
      <c r="L26391"/>
    </row>
    <row r="26392" spans="2:12" x14ac:dyDescent="0.2">
      <c r="B26392"/>
      <c r="C26392"/>
      <c r="J26392"/>
      <c r="K26392"/>
      <c r="L26392"/>
    </row>
    <row r="26393" spans="2:12" x14ac:dyDescent="0.2">
      <c r="B26393"/>
      <c r="C26393"/>
      <c r="J26393"/>
      <c r="K26393"/>
      <c r="L26393"/>
    </row>
    <row r="26394" spans="2:12" x14ac:dyDescent="0.2">
      <c r="B26394"/>
      <c r="C26394"/>
      <c r="J26394"/>
      <c r="K26394"/>
      <c r="L26394"/>
    </row>
    <row r="26395" spans="2:12" x14ac:dyDescent="0.2">
      <c r="B26395"/>
      <c r="C26395"/>
      <c r="J26395"/>
      <c r="K26395"/>
      <c r="L26395"/>
    </row>
    <row r="26396" spans="2:12" x14ac:dyDescent="0.2">
      <c r="B26396"/>
      <c r="C26396"/>
      <c r="J26396"/>
      <c r="K26396"/>
      <c r="L26396"/>
    </row>
    <row r="26397" spans="2:12" x14ac:dyDescent="0.2">
      <c r="B26397"/>
      <c r="C26397"/>
      <c r="J26397"/>
      <c r="K26397"/>
      <c r="L26397"/>
    </row>
    <row r="26398" spans="2:12" x14ac:dyDescent="0.2">
      <c r="B26398"/>
      <c r="C26398"/>
      <c r="J26398"/>
      <c r="K26398"/>
      <c r="L26398"/>
    </row>
    <row r="26399" spans="2:12" x14ac:dyDescent="0.2">
      <c r="B26399"/>
      <c r="C26399"/>
      <c r="J26399"/>
      <c r="K26399"/>
      <c r="L26399"/>
    </row>
    <row r="26400" spans="2:12" x14ac:dyDescent="0.2">
      <c r="B26400"/>
      <c r="C26400"/>
      <c r="J26400"/>
      <c r="K26400"/>
      <c r="L26400"/>
    </row>
    <row r="26401" spans="2:12" x14ac:dyDescent="0.2">
      <c r="B26401"/>
      <c r="C26401"/>
      <c r="J26401"/>
      <c r="K26401"/>
      <c r="L26401"/>
    </row>
    <row r="26402" spans="2:12" x14ac:dyDescent="0.2">
      <c r="B26402"/>
      <c r="C26402"/>
      <c r="J26402"/>
      <c r="K26402"/>
      <c r="L26402"/>
    </row>
    <row r="26403" spans="2:12" x14ac:dyDescent="0.2">
      <c r="B26403"/>
      <c r="C26403"/>
      <c r="J26403"/>
      <c r="K26403"/>
      <c r="L26403"/>
    </row>
    <row r="26404" spans="2:12" x14ac:dyDescent="0.2">
      <c r="B26404"/>
      <c r="C26404"/>
      <c r="J26404"/>
      <c r="K26404"/>
      <c r="L26404"/>
    </row>
    <row r="26405" spans="2:12" x14ac:dyDescent="0.2">
      <c r="B26405"/>
      <c r="C26405"/>
      <c r="J26405"/>
      <c r="K26405"/>
      <c r="L26405"/>
    </row>
    <row r="26406" spans="2:12" x14ac:dyDescent="0.2">
      <c r="B26406"/>
      <c r="C26406"/>
      <c r="J26406"/>
      <c r="K26406"/>
      <c r="L26406"/>
    </row>
    <row r="26407" spans="2:12" x14ac:dyDescent="0.2">
      <c r="B26407"/>
      <c r="C26407"/>
      <c r="J26407"/>
      <c r="K26407"/>
      <c r="L26407"/>
    </row>
    <row r="26408" spans="2:12" x14ac:dyDescent="0.2">
      <c r="B26408"/>
      <c r="C26408"/>
      <c r="J26408"/>
      <c r="K26408"/>
      <c r="L26408"/>
    </row>
    <row r="26409" spans="2:12" x14ac:dyDescent="0.2">
      <c r="B26409"/>
      <c r="C26409"/>
      <c r="J26409"/>
      <c r="K26409"/>
      <c r="L26409"/>
    </row>
    <row r="26410" spans="2:12" x14ac:dyDescent="0.2">
      <c r="B26410"/>
      <c r="C26410"/>
      <c r="J26410"/>
      <c r="K26410"/>
      <c r="L26410"/>
    </row>
    <row r="26411" spans="2:12" x14ac:dyDescent="0.2">
      <c r="B26411"/>
      <c r="C26411"/>
      <c r="J26411"/>
      <c r="K26411"/>
      <c r="L26411"/>
    </row>
    <row r="26412" spans="2:12" x14ac:dyDescent="0.2">
      <c r="B26412"/>
      <c r="C26412"/>
      <c r="J26412"/>
      <c r="K26412"/>
      <c r="L26412"/>
    </row>
    <row r="26413" spans="2:12" x14ac:dyDescent="0.2">
      <c r="B26413"/>
      <c r="C26413"/>
      <c r="J26413"/>
      <c r="K26413"/>
      <c r="L26413"/>
    </row>
    <row r="26414" spans="2:12" x14ac:dyDescent="0.2">
      <c r="B26414"/>
      <c r="C26414"/>
      <c r="J26414"/>
      <c r="K26414"/>
      <c r="L26414"/>
    </row>
    <row r="26415" spans="2:12" x14ac:dyDescent="0.2">
      <c r="B26415"/>
      <c r="C26415"/>
      <c r="J26415"/>
      <c r="K26415"/>
      <c r="L26415"/>
    </row>
    <row r="26416" spans="2:12" x14ac:dyDescent="0.2">
      <c r="B26416"/>
      <c r="C26416"/>
      <c r="J26416"/>
      <c r="K26416"/>
      <c r="L26416"/>
    </row>
    <row r="26417" spans="2:12" x14ac:dyDescent="0.2">
      <c r="B26417"/>
      <c r="C26417"/>
      <c r="J26417"/>
      <c r="K26417"/>
      <c r="L26417"/>
    </row>
    <row r="26418" spans="2:12" x14ac:dyDescent="0.2">
      <c r="B26418"/>
      <c r="C26418"/>
      <c r="J26418"/>
      <c r="K26418"/>
      <c r="L26418"/>
    </row>
    <row r="26419" spans="2:12" x14ac:dyDescent="0.2">
      <c r="B26419"/>
      <c r="C26419"/>
      <c r="J26419"/>
      <c r="K26419"/>
      <c r="L26419"/>
    </row>
    <row r="26420" spans="2:12" x14ac:dyDescent="0.2">
      <c r="B26420"/>
      <c r="C26420"/>
      <c r="J26420"/>
      <c r="K26420"/>
      <c r="L26420"/>
    </row>
    <row r="26421" spans="2:12" x14ac:dyDescent="0.2">
      <c r="B26421"/>
      <c r="C26421"/>
      <c r="J26421"/>
      <c r="K26421"/>
      <c r="L26421"/>
    </row>
    <row r="26422" spans="2:12" x14ac:dyDescent="0.2">
      <c r="B26422"/>
      <c r="C26422"/>
      <c r="J26422"/>
      <c r="K26422"/>
      <c r="L26422"/>
    </row>
    <row r="26423" spans="2:12" x14ac:dyDescent="0.2">
      <c r="B26423"/>
      <c r="C26423"/>
      <c r="J26423"/>
      <c r="K26423"/>
      <c r="L26423"/>
    </row>
    <row r="26424" spans="2:12" x14ac:dyDescent="0.2">
      <c r="B26424"/>
      <c r="C26424"/>
      <c r="J26424"/>
      <c r="K26424"/>
      <c r="L26424"/>
    </row>
    <row r="26425" spans="2:12" x14ac:dyDescent="0.2">
      <c r="B26425"/>
      <c r="C26425"/>
      <c r="J26425"/>
      <c r="K26425"/>
      <c r="L26425"/>
    </row>
    <row r="26426" spans="2:12" x14ac:dyDescent="0.2">
      <c r="B26426"/>
      <c r="C26426"/>
      <c r="J26426"/>
      <c r="K26426"/>
      <c r="L26426"/>
    </row>
    <row r="26427" spans="2:12" x14ac:dyDescent="0.2">
      <c r="B26427"/>
      <c r="C26427"/>
      <c r="J26427"/>
      <c r="K26427"/>
      <c r="L26427"/>
    </row>
    <row r="26428" spans="2:12" x14ac:dyDescent="0.2">
      <c r="B26428"/>
      <c r="C26428"/>
      <c r="J26428"/>
      <c r="K26428"/>
      <c r="L26428"/>
    </row>
    <row r="26429" spans="2:12" x14ac:dyDescent="0.2">
      <c r="B26429"/>
      <c r="C26429"/>
      <c r="J26429"/>
      <c r="K26429"/>
      <c r="L26429"/>
    </row>
    <row r="26430" spans="2:12" x14ac:dyDescent="0.2">
      <c r="B26430"/>
      <c r="C26430"/>
      <c r="J26430"/>
      <c r="K26430"/>
      <c r="L26430"/>
    </row>
    <row r="26431" spans="2:12" x14ac:dyDescent="0.2">
      <c r="B26431"/>
      <c r="C26431"/>
      <c r="J26431"/>
      <c r="K26431"/>
      <c r="L26431"/>
    </row>
    <row r="26432" spans="2:12" x14ac:dyDescent="0.2">
      <c r="B26432"/>
      <c r="C26432"/>
      <c r="J26432"/>
      <c r="K26432"/>
      <c r="L26432"/>
    </row>
    <row r="26433" spans="2:12" x14ac:dyDescent="0.2">
      <c r="B26433"/>
      <c r="C26433"/>
      <c r="J26433"/>
      <c r="K26433"/>
      <c r="L26433"/>
    </row>
    <row r="26434" spans="2:12" x14ac:dyDescent="0.2">
      <c r="B26434"/>
      <c r="C26434"/>
      <c r="J26434"/>
      <c r="K26434"/>
      <c r="L26434"/>
    </row>
    <row r="26435" spans="2:12" x14ac:dyDescent="0.2">
      <c r="B26435"/>
      <c r="C26435"/>
      <c r="J26435"/>
      <c r="K26435"/>
      <c r="L26435"/>
    </row>
    <row r="26436" spans="2:12" x14ac:dyDescent="0.2">
      <c r="B26436"/>
      <c r="C26436"/>
      <c r="J26436"/>
      <c r="K26436"/>
      <c r="L26436"/>
    </row>
    <row r="26437" spans="2:12" x14ac:dyDescent="0.2">
      <c r="B26437"/>
      <c r="C26437"/>
      <c r="J26437"/>
      <c r="K26437"/>
      <c r="L26437"/>
    </row>
    <row r="26438" spans="2:12" x14ac:dyDescent="0.2">
      <c r="B26438"/>
      <c r="C26438"/>
      <c r="J26438"/>
      <c r="K26438"/>
      <c r="L26438"/>
    </row>
    <row r="26439" spans="2:12" x14ac:dyDescent="0.2">
      <c r="B26439"/>
      <c r="C26439"/>
      <c r="J26439"/>
      <c r="K26439"/>
      <c r="L26439"/>
    </row>
    <row r="26440" spans="2:12" x14ac:dyDescent="0.2">
      <c r="B26440"/>
      <c r="C26440"/>
      <c r="J26440"/>
      <c r="K26440"/>
      <c r="L26440"/>
    </row>
    <row r="26441" spans="2:12" x14ac:dyDescent="0.2">
      <c r="B26441"/>
      <c r="C26441"/>
      <c r="J26441"/>
      <c r="K26441"/>
      <c r="L26441"/>
    </row>
    <row r="26442" spans="2:12" x14ac:dyDescent="0.2">
      <c r="B26442"/>
      <c r="C26442"/>
      <c r="J26442"/>
      <c r="K26442"/>
      <c r="L26442"/>
    </row>
    <row r="26443" spans="2:12" x14ac:dyDescent="0.2">
      <c r="B26443"/>
      <c r="C26443"/>
      <c r="J26443"/>
      <c r="K26443"/>
      <c r="L26443"/>
    </row>
    <row r="26444" spans="2:12" x14ac:dyDescent="0.2">
      <c r="B26444"/>
      <c r="C26444"/>
      <c r="J26444"/>
      <c r="K26444"/>
      <c r="L26444"/>
    </row>
    <row r="26445" spans="2:12" x14ac:dyDescent="0.2">
      <c r="B26445"/>
      <c r="C26445"/>
      <c r="J26445"/>
      <c r="K26445"/>
      <c r="L26445"/>
    </row>
    <row r="26446" spans="2:12" x14ac:dyDescent="0.2">
      <c r="B26446"/>
      <c r="C26446"/>
      <c r="J26446"/>
      <c r="K26446"/>
      <c r="L26446"/>
    </row>
    <row r="26447" spans="2:12" x14ac:dyDescent="0.2">
      <c r="B26447"/>
      <c r="C26447"/>
      <c r="J26447"/>
      <c r="K26447"/>
      <c r="L26447"/>
    </row>
    <row r="26448" spans="2:12" x14ac:dyDescent="0.2">
      <c r="B26448"/>
      <c r="C26448"/>
      <c r="J26448"/>
      <c r="K26448"/>
      <c r="L26448"/>
    </row>
    <row r="26449" spans="2:12" x14ac:dyDescent="0.2">
      <c r="B26449"/>
      <c r="C26449"/>
      <c r="J26449"/>
      <c r="K26449"/>
      <c r="L26449"/>
    </row>
    <row r="26450" spans="2:12" x14ac:dyDescent="0.2">
      <c r="B26450"/>
      <c r="C26450"/>
      <c r="J26450"/>
      <c r="K26450"/>
      <c r="L26450"/>
    </row>
    <row r="26451" spans="2:12" x14ac:dyDescent="0.2">
      <c r="B26451"/>
      <c r="C26451"/>
      <c r="J26451"/>
      <c r="K26451"/>
      <c r="L26451"/>
    </row>
    <row r="26452" spans="2:12" x14ac:dyDescent="0.2">
      <c r="B26452"/>
      <c r="C26452"/>
      <c r="J26452"/>
      <c r="K26452"/>
      <c r="L26452"/>
    </row>
    <row r="26453" spans="2:12" x14ac:dyDescent="0.2">
      <c r="B26453"/>
      <c r="C26453"/>
      <c r="J26453"/>
      <c r="K26453"/>
      <c r="L26453"/>
    </row>
    <row r="26454" spans="2:12" x14ac:dyDescent="0.2">
      <c r="B26454"/>
      <c r="C26454"/>
      <c r="J26454"/>
      <c r="K26454"/>
      <c r="L26454"/>
    </row>
    <row r="26455" spans="2:12" x14ac:dyDescent="0.2">
      <c r="B26455"/>
      <c r="C26455"/>
      <c r="J26455"/>
      <c r="K26455"/>
      <c r="L26455"/>
    </row>
    <row r="26456" spans="2:12" x14ac:dyDescent="0.2">
      <c r="B26456"/>
      <c r="C26456"/>
      <c r="J26456"/>
      <c r="K26456"/>
      <c r="L26456"/>
    </row>
    <row r="26457" spans="2:12" x14ac:dyDescent="0.2">
      <c r="B26457"/>
      <c r="C26457"/>
      <c r="J26457"/>
      <c r="K26457"/>
      <c r="L26457"/>
    </row>
    <row r="26458" spans="2:12" x14ac:dyDescent="0.2">
      <c r="B26458"/>
      <c r="C26458"/>
      <c r="J26458"/>
      <c r="K26458"/>
      <c r="L26458"/>
    </row>
    <row r="26459" spans="2:12" x14ac:dyDescent="0.2">
      <c r="B26459"/>
      <c r="C26459"/>
      <c r="J26459"/>
      <c r="K26459"/>
      <c r="L26459"/>
    </row>
    <row r="26460" spans="2:12" x14ac:dyDescent="0.2">
      <c r="B26460"/>
      <c r="C26460"/>
      <c r="J26460"/>
      <c r="K26460"/>
      <c r="L26460"/>
    </row>
    <row r="26461" spans="2:12" x14ac:dyDescent="0.2">
      <c r="B26461"/>
      <c r="C26461"/>
      <c r="J26461"/>
      <c r="K26461"/>
      <c r="L26461"/>
    </row>
    <row r="26462" spans="2:12" x14ac:dyDescent="0.2">
      <c r="B26462"/>
      <c r="C26462"/>
      <c r="J26462"/>
      <c r="K26462"/>
      <c r="L26462"/>
    </row>
    <row r="26463" spans="2:12" x14ac:dyDescent="0.2">
      <c r="B26463"/>
      <c r="C26463"/>
      <c r="J26463"/>
      <c r="K26463"/>
      <c r="L26463"/>
    </row>
    <row r="26464" spans="2:12" x14ac:dyDescent="0.2">
      <c r="B26464"/>
      <c r="C26464"/>
      <c r="J26464"/>
      <c r="K26464"/>
      <c r="L26464"/>
    </row>
    <row r="26465" spans="2:12" x14ac:dyDescent="0.2">
      <c r="B26465"/>
      <c r="C26465"/>
      <c r="J26465"/>
      <c r="K26465"/>
      <c r="L26465"/>
    </row>
    <row r="26466" spans="2:12" x14ac:dyDescent="0.2">
      <c r="B26466"/>
      <c r="C26466"/>
      <c r="J26466"/>
      <c r="K26466"/>
      <c r="L26466"/>
    </row>
    <row r="26467" spans="2:12" x14ac:dyDescent="0.2">
      <c r="B26467"/>
      <c r="C26467"/>
      <c r="J26467"/>
      <c r="K26467"/>
      <c r="L26467"/>
    </row>
    <row r="26468" spans="2:12" x14ac:dyDescent="0.2">
      <c r="B26468"/>
      <c r="C26468"/>
      <c r="J26468"/>
      <c r="K26468"/>
      <c r="L26468"/>
    </row>
    <row r="26469" spans="2:12" x14ac:dyDescent="0.2">
      <c r="B26469"/>
      <c r="C26469"/>
      <c r="J26469"/>
      <c r="K26469"/>
      <c r="L26469"/>
    </row>
    <row r="26470" spans="2:12" x14ac:dyDescent="0.2">
      <c r="B26470"/>
      <c r="C26470"/>
      <c r="J26470"/>
      <c r="K26470"/>
      <c r="L26470"/>
    </row>
    <row r="26471" spans="2:12" x14ac:dyDescent="0.2">
      <c r="B26471"/>
      <c r="C26471"/>
      <c r="J26471"/>
      <c r="K26471"/>
      <c r="L26471"/>
    </row>
    <row r="26472" spans="2:12" x14ac:dyDescent="0.2">
      <c r="B26472"/>
      <c r="C26472"/>
      <c r="J26472"/>
      <c r="K26472"/>
      <c r="L26472"/>
    </row>
    <row r="26473" spans="2:12" x14ac:dyDescent="0.2">
      <c r="B26473"/>
      <c r="C26473"/>
      <c r="J26473"/>
      <c r="K26473"/>
      <c r="L26473"/>
    </row>
    <row r="26474" spans="2:12" x14ac:dyDescent="0.2">
      <c r="B26474"/>
      <c r="C26474"/>
      <c r="J26474"/>
      <c r="K26474"/>
      <c r="L26474"/>
    </row>
    <row r="26475" spans="2:12" x14ac:dyDescent="0.2">
      <c r="B26475"/>
      <c r="C26475"/>
      <c r="J26475"/>
      <c r="K26475"/>
      <c r="L26475"/>
    </row>
    <row r="26476" spans="2:12" x14ac:dyDescent="0.2">
      <c r="B26476"/>
      <c r="C26476"/>
      <c r="J26476"/>
      <c r="K26476"/>
      <c r="L26476"/>
    </row>
    <row r="26477" spans="2:12" x14ac:dyDescent="0.2">
      <c r="B26477"/>
      <c r="C26477"/>
      <c r="J26477"/>
      <c r="K26477"/>
      <c r="L26477"/>
    </row>
    <row r="26478" spans="2:12" x14ac:dyDescent="0.2">
      <c r="B26478"/>
      <c r="C26478"/>
      <c r="J26478"/>
      <c r="K26478"/>
      <c r="L26478"/>
    </row>
    <row r="26479" spans="2:12" x14ac:dyDescent="0.2">
      <c r="B26479"/>
      <c r="C26479"/>
      <c r="J26479"/>
      <c r="K26479"/>
      <c r="L26479"/>
    </row>
    <row r="26480" spans="2:12" x14ac:dyDescent="0.2">
      <c r="B26480"/>
      <c r="C26480"/>
      <c r="J26480"/>
      <c r="K26480"/>
      <c r="L26480"/>
    </row>
    <row r="26481" spans="2:12" x14ac:dyDescent="0.2">
      <c r="B26481"/>
      <c r="C26481"/>
      <c r="J26481"/>
      <c r="K26481"/>
      <c r="L26481"/>
    </row>
    <row r="26482" spans="2:12" x14ac:dyDescent="0.2">
      <c r="B26482"/>
      <c r="C26482"/>
      <c r="J26482"/>
      <c r="K26482"/>
      <c r="L26482"/>
    </row>
    <row r="26483" spans="2:12" x14ac:dyDescent="0.2">
      <c r="B26483"/>
      <c r="C26483"/>
      <c r="J26483"/>
      <c r="K26483"/>
      <c r="L26483"/>
    </row>
    <row r="26484" spans="2:12" x14ac:dyDescent="0.2">
      <c r="B26484"/>
      <c r="C26484"/>
      <c r="J26484"/>
      <c r="K26484"/>
      <c r="L26484"/>
    </row>
    <row r="26485" spans="2:12" x14ac:dyDescent="0.2">
      <c r="B26485"/>
      <c r="C26485"/>
      <c r="J26485"/>
      <c r="K26485"/>
      <c r="L26485"/>
    </row>
    <row r="26486" spans="2:12" x14ac:dyDescent="0.2">
      <c r="B26486"/>
      <c r="C26486"/>
      <c r="J26486"/>
      <c r="K26486"/>
      <c r="L26486"/>
    </row>
    <row r="26487" spans="2:12" x14ac:dyDescent="0.2">
      <c r="B26487"/>
      <c r="C26487"/>
      <c r="J26487"/>
      <c r="K26487"/>
      <c r="L26487"/>
    </row>
    <row r="26488" spans="2:12" x14ac:dyDescent="0.2">
      <c r="B26488"/>
      <c r="C26488"/>
      <c r="J26488"/>
      <c r="K26488"/>
      <c r="L26488"/>
    </row>
    <row r="26489" spans="2:12" x14ac:dyDescent="0.2">
      <c r="B26489"/>
      <c r="C26489"/>
      <c r="J26489"/>
      <c r="K26489"/>
      <c r="L26489"/>
    </row>
    <row r="26490" spans="2:12" x14ac:dyDescent="0.2">
      <c r="B26490"/>
      <c r="C26490"/>
      <c r="J26490"/>
      <c r="K26490"/>
      <c r="L26490"/>
    </row>
    <row r="26491" spans="2:12" x14ac:dyDescent="0.2">
      <c r="B26491"/>
      <c r="C26491"/>
      <c r="J26491"/>
      <c r="K26491"/>
      <c r="L26491"/>
    </row>
    <row r="26492" spans="2:12" x14ac:dyDescent="0.2">
      <c r="B26492"/>
      <c r="C26492"/>
      <c r="J26492"/>
      <c r="K26492"/>
      <c r="L26492"/>
    </row>
    <row r="26493" spans="2:12" x14ac:dyDescent="0.2">
      <c r="B26493"/>
      <c r="C26493"/>
      <c r="J26493"/>
      <c r="K26493"/>
      <c r="L26493"/>
    </row>
    <row r="26494" spans="2:12" x14ac:dyDescent="0.2">
      <c r="B26494"/>
      <c r="C26494"/>
      <c r="J26494"/>
      <c r="K26494"/>
      <c r="L26494"/>
    </row>
    <row r="26495" spans="2:12" x14ac:dyDescent="0.2">
      <c r="B26495"/>
      <c r="C26495"/>
      <c r="J26495"/>
      <c r="K26495"/>
      <c r="L26495"/>
    </row>
    <row r="26496" spans="2:12" x14ac:dyDescent="0.2">
      <c r="B26496"/>
      <c r="C26496"/>
      <c r="J26496"/>
      <c r="K26496"/>
      <c r="L26496"/>
    </row>
    <row r="26497" spans="2:12" x14ac:dyDescent="0.2">
      <c r="B26497"/>
      <c r="C26497"/>
      <c r="J26497"/>
      <c r="K26497"/>
      <c r="L26497"/>
    </row>
    <row r="26498" spans="2:12" x14ac:dyDescent="0.2">
      <c r="B26498"/>
      <c r="C26498"/>
      <c r="J26498"/>
      <c r="K26498"/>
      <c r="L26498"/>
    </row>
    <row r="26499" spans="2:12" x14ac:dyDescent="0.2">
      <c r="B26499"/>
      <c r="C26499"/>
      <c r="J26499"/>
      <c r="K26499"/>
      <c r="L26499"/>
    </row>
    <row r="26500" spans="2:12" x14ac:dyDescent="0.2">
      <c r="B26500"/>
      <c r="C26500"/>
      <c r="J26500"/>
      <c r="K26500"/>
      <c r="L26500"/>
    </row>
    <row r="26501" spans="2:12" x14ac:dyDescent="0.2">
      <c r="B26501"/>
      <c r="C26501"/>
      <c r="J26501"/>
      <c r="K26501"/>
      <c r="L26501"/>
    </row>
    <row r="26502" spans="2:12" x14ac:dyDescent="0.2">
      <c r="B26502"/>
      <c r="C26502"/>
      <c r="J26502"/>
      <c r="K26502"/>
      <c r="L26502"/>
    </row>
    <row r="26503" spans="2:12" x14ac:dyDescent="0.2">
      <c r="B26503"/>
      <c r="C26503"/>
      <c r="J26503"/>
      <c r="K26503"/>
      <c r="L26503"/>
    </row>
    <row r="26504" spans="2:12" x14ac:dyDescent="0.2">
      <c r="B26504"/>
      <c r="C26504"/>
      <c r="J26504"/>
      <c r="K26504"/>
      <c r="L26504"/>
    </row>
    <row r="26505" spans="2:12" x14ac:dyDescent="0.2">
      <c r="B26505"/>
      <c r="C26505"/>
      <c r="J26505"/>
      <c r="K26505"/>
      <c r="L26505"/>
    </row>
    <row r="26506" spans="2:12" x14ac:dyDescent="0.2">
      <c r="B26506"/>
      <c r="C26506"/>
      <c r="J26506"/>
      <c r="K26506"/>
      <c r="L26506"/>
    </row>
    <row r="26507" spans="2:12" x14ac:dyDescent="0.2">
      <c r="B26507"/>
      <c r="C26507"/>
      <c r="J26507"/>
      <c r="K26507"/>
      <c r="L26507"/>
    </row>
    <row r="26508" spans="2:12" x14ac:dyDescent="0.2">
      <c r="B26508"/>
      <c r="C26508"/>
      <c r="J26508"/>
      <c r="K26508"/>
      <c r="L26508"/>
    </row>
    <row r="26509" spans="2:12" x14ac:dyDescent="0.2">
      <c r="B26509"/>
      <c r="C26509"/>
      <c r="J26509"/>
      <c r="K26509"/>
      <c r="L26509"/>
    </row>
    <row r="26510" spans="2:12" x14ac:dyDescent="0.2">
      <c r="B26510"/>
      <c r="C26510"/>
      <c r="J26510"/>
      <c r="K26510"/>
      <c r="L26510"/>
    </row>
    <row r="26511" spans="2:12" x14ac:dyDescent="0.2">
      <c r="B26511"/>
      <c r="C26511"/>
      <c r="J26511"/>
      <c r="K26511"/>
      <c r="L26511"/>
    </row>
    <row r="26512" spans="2:12" x14ac:dyDescent="0.2">
      <c r="B26512"/>
      <c r="C26512"/>
      <c r="J26512"/>
      <c r="K26512"/>
      <c r="L26512"/>
    </row>
    <row r="26513" spans="2:12" x14ac:dyDescent="0.2">
      <c r="B26513"/>
      <c r="C26513"/>
      <c r="J26513"/>
      <c r="K26513"/>
      <c r="L26513"/>
    </row>
    <row r="26514" spans="2:12" x14ac:dyDescent="0.2">
      <c r="B26514"/>
      <c r="C26514"/>
      <c r="J26514"/>
      <c r="K26514"/>
      <c r="L26514"/>
    </row>
    <row r="26515" spans="2:12" x14ac:dyDescent="0.2">
      <c r="B26515"/>
      <c r="C26515"/>
      <c r="J26515"/>
      <c r="K26515"/>
      <c r="L26515"/>
    </row>
    <row r="26516" spans="2:12" x14ac:dyDescent="0.2">
      <c r="B26516"/>
      <c r="C26516"/>
      <c r="J26516"/>
      <c r="K26516"/>
      <c r="L26516"/>
    </row>
    <row r="26517" spans="2:12" x14ac:dyDescent="0.2">
      <c r="B26517"/>
      <c r="C26517"/>
      <c r="J26517"/>
      <c r="K26517"/>
      <c r="L26517"/>
    </row>
    <row r="26518" spans="2:12" x14ac:dyDescent="0.2">
      <c r="B26518"/>
      <c r="C26518"/>
      <c r="J26518"/>
      <c r="K26518"/>
      <c r="L26518"/>
    </row>
    <row r="26519" spans="2:12" x14ac:dyDescent="0.2">
      <c r="B26519"/>
      <c r="C26519"/>
      <c r="J26519"/>
      <c r="K26519"/>
      <c r="L26519"/>
    </row>
    <row r="26520" spans="2:12" x14ac:dyDescent="0.2">
      <c r="B26520"/>
      <c r="C26520"/>
      <c r="J26520"/>
      <c r="K26520"/>
      <c r="L26520"/>
    </row>
    <row r="26521" spans="2:12" x14ac:dyDescent="0.2">
      <c r="B26521"/>
      <c r="C26521"/>
      <c r="J26521"/>
      <c r="K26521"/>
      <c r="L26521"/>
    </row>
    <row r="26522" spans="2:12" x14ac:dyDescent="0.2">
      <c r="B26522"/>
      <c r="C26522"/>
      <c r="J26522"/>
      <c r="K26522"/>
      <c r="L26522"/>
    </row>
    <row r="26523" spans="2:12" x14ac:dyDescent="0.2">
      <c r="B26523"/>
      <c r="C26523"/>
      <c r="J26523"/>
      <c r="K26523"/>
      <c r="L26523"/>
    </row>
    <row r="26524" spans="2:12" x14ac:dyDescent="0.2">
      <c r="B26524"/>
      <c r="C26524"/>
      <c r="J26524"/>
      <c r="K26524"/>
      <c r="L26524"/>
    </row>
    <row r="26525" spans="2:12" x14ac:dyDescent="0.2">
      <c r="B26525"/>
      <c r="C26525"/>
      <c r="J26525"/>
      <c r="K26525"/>
      <c r="L26525"/>
    </row>
    <row r="26526" spans="2:12" x14ac:dyDescent="0.2">
      <c r="B26526"/>
      <c r="C26526"/>
      <c r="J26526"/>
      <c r="K26526"/>
      <c r="L26526"/>
    </row>
    <row r="26527" spans="2:12" x14ac:dyDescent="0.2">
      <c r="B26527"/>
      <c r="C26527"/>
      <c r="J26527"/>
      <c r="K26527"/>
      <c r="L26527"/>
    </row>
    <row r="26528" spans="2:12" x14ac:dyDescent="0.2">
      <c r="B26528"/>
      <c r="C26528"/>
      <c r="J26528"/>
      <c r="K26528"/>
      <c r="L26528"/>
    </row>
    <row r="26529" spans="2:12" x14ac:dyDescent="0.2">
      <c r="B26529"/>
      <c r="C26529"/>
      <c r="J26529"/>
      <c r="K26529"/>
      <c r="L26529"/>
    </row>
    <row r="26530" spans="2:12" x14ac:dyDescent="0.2">
      <c r="B26530"/>
      <c r="C26530"/>
      <c r="J26530"/>
      <c r="K26530"/>
      <c r="L26530"/>
    </row>
    <row r="26531" spans="2:12" x14ac:dyDescent="0.2">
      <c r="B26531"/>
      <c r="C26531"/>
      <c r="J26531"/>
      <c r="K26531"/>
      <c r="L26531"/>
    </row>
    <row r="26532" spans="2:12" x14ac:dyDescent="0.2">
      <c r="B26532"/>
      <c r="C26532"/>
      <c r="J26532"/>
      <c r="K26532"/>
      <c r="L26532"/>
    </row>
    <row r="26533" spans="2:12" x14ac:dyDescent="0.2">
      <c r="B26533"/>
      <c r="C26533"/>
      <c r="J26533"/>
      <c r="K26533"/>
      <c r="L26533"/>
    </row>
    <row r="26534" spans="2:12" x14ac:dyDescent="0.2">
      <c r="B26534"/>
      <c r="C26534"/>
      <c r="J26534"/>
      <c r="K26534"/>
      <c r="L26534"/>
    </row>
    <row r="26535" spans="2:12" x14ac:dyDescent="0.2">
      <c r="B26535"/>
      <c r="C26535"/>
      <c r="J26535"/>
      <c r="K26535"/>
      <c r="L26535"/>
    </row>
    <row r="26536" spans="2:12" x14ac:dyDescent="0.2">
      <c r="B26536"/>
      <c r="C26536"/>
      <c r="J26536"/>
      <c r="K26536"/>
      <c r="L26536"/>
    </row>
    <row r="26537" spans="2:12" x14ac:dyDescent="0.2">
      <c r="B26537"/>
      <c r="C26537"/>
      <c r="J26537"/>
      <c r="K26537"/>
      <c r="L26537"/>
    </row>
    <row r="26538" spans="2:12" x14ac:dyDescent="0.2">
      <c r="B26538"/>
      <c r="C26538"/>
      <c r="J26538"/>
      <c r="K26538"/>
      <c r="L26538"/>
    </row>
    <row r="26539" spans="2:12" x14ac:dyDescent="0.2">
      <c r="B26539"/>
      <c r="C26539"/>
      <c r="J26539"/>
      <c r="K26539"/>
      <c r="L26539"/>
    </row>
    <row r="26540" spans="2:12" x14ac:dyDescent="0.2">
      <c r="B26540"/>
      <c r="C26540"/>
      <c r="J26540"/>
      <c r="K26540"/>
      <c r="L26540"/>
    </row>
    <row r="26541" spans="2:12" x14ac:dyDescent="0.2">
      <c r="B26541"/>
      <c r="C26541"/>
      <c r="J26541"/>
      <c r="K26541"/>
      <c r="L26541"/>
    </row>
    <row r="26542" spans="2:12" x14ac:dyDescent="0.2">
      <c r="B26542"/>
      <c r="C26542"/>
      <c r="J26542"/>
      <c r="K26542"/>
      <c r="L26542"/>
    </row>
    <row r="26543" spans="2:12" x14ac:dyDescent="0.2">
      <c r="B26543"/>
      <c r="C26543"/>
      <c r="J26543"/>
      <c r="K26543"/>
      <c r="L26543"/>
    </row>
    <row r="26544" spans="2:12" x14ac:dyDescent="0.2">
      <c r="B26544"/>
      <c r="C26544"/>
      <c r="J26544"/>
      <c r="K26544"/>
      <c r="L26544"/>
    </row>
    <row r="26545" spans="2:12" x14ac:dyDescent="0.2">
      <c r="B26545"/>
      <c r="C26545"/>
      <c r="J26545"/>
      <c r="K26545"/>
      <c r="L26545"/>
    </row>
    <row r="26546" spans="2:12" x14ac:dyDescent="0.2">
      <c r="B26546"/>
      <c r="C26546"/>
      <c r="J26546"/>
      <c r="K26546"/>
      <c r="L26546"/>
    </row>
    <row r="26547" spans="2:12" x14ac:dyDescent="0.2">
      <c r="B26547"/>
      <c r="C26547"/>
      <c r="J26547"/>
      <c r="K26547"/>
      <c r="L26547"/>
    </row>
    <row r="26548" spans="2:12" x14ac:dyDescent="0.2">
      <c r="B26548"/>
      <c r="C26548"/>
      <c r="J26548"/>
      <c r="K26548"/>
      <c r="L26548"/>
    </row>
    <row r="26549" spans="2:12" x14ac:dyDescent="0.2">
      <c r="B26549"/>
      <c r="C26549"/>
      <c r="J26549"/>
      <c r="K26549"/>
      <c r="L26549"/>
    </row>
    <row r="26550" spans="2:12" x14ac:dyDescent="0.2">
      <c r="B26550"/>
      <c r="C26550"/>
      <c r="J26550"/>
      <c r="K26550"/>
      <c r="L26550"/>
    </row>
    <row r="26551" spans="2:12" x14ac:dyDescent="0.2">
      <c r="B26551"/>
      <c r="C26551"/>
      <c r="J26551"/>
      <c r="K26551"/>
      <c r="L26551"/>
    </row>
    <row r="26552" spans="2:12" x14ac:dyDescent="0.2">
      <c r="B26552"/>
      <c r="C26552"/>
      <c r="J26552"/>
      <c r="K26552"/>
      <c r="L26552"/>
    </row>
    <row r="26553" spans="2:12" x14ac:dyDescent="0.2">
      <c r="B26553"/>
      <c r="C26553"/>
      <c r="J26553"/>
      <c r="K26553"/>
      <c r="L26553"/>
    </row>
    <row r="26554" spans="2:12" x14ac:dyDescent="0.2">
      <c r="B26554"/>
      <c r="C26554"/>
      <c r="J26554"/>
      <c r="K26554"/>
      <c r="L26554"/>
    </row>
    <row r="26555" spans="2:12" x14ac:dyDescent="0.2">
      <c r="B26555"/>
      <c r="C26555"/>
      <c r="J26555"/>
      <c r="K26555"/>
      <c r="L26555"/>
    </row>
    <row r="26556" spans="2:12" x14ac:dyDescent="0.2">
      <c r="B26556"/>
      <c r="C26556"/>
      <c r="J26556"/>
      <c r="K26556"/>
      <c r="L26556"/>
    </row>
    <row r="26557" spans="2:12" x14ac:dyDescent="0.2">
      <c r="B26557"/>
      <c r="C26557"/>
      <c r="J26557"/>
      <c r="K26557"/>
      <c r="L26557"/>
    </row>
    <row r="26558" spans="2:12" x14ac:dyDescent="0.2">
      <c r="B26558"/>
      <c r="C26558"/>
      <c r="J26558"/>
      <c r="K26558"/>
      <c r="L26558"/>
    </row>
    <row r="26559" spans="2:12" x14ac:dyDescent="0.2">
      <c r="B26559"/>
      <c r="C26559"/>
      <c r="J26559"/>
      <c r="K26559"/>
      <c r="L26559"/>
    </row>
    <row r="26560" spans="2:12" x14ac:dyDescent="0.2">
      <c r="B26560"/>
      <c r="C26560"/>
      <c r="J26560"/>
      <c r="K26560"/>
      <c r="L26560"/>
    </row>
    <row r="26561" spans="2:12" x14ac:dyDescent="0.2">
      <c r="B26561"/>
      <c r="C26561"/>
      <c r="J26561"/>
      <c r="K26561"/>
      <c r="L26561"/>
    </row>
    <row r="26562" spans="2:12" x14ac:dyDescent="0.2">
      <c r="B26562"/>
      <c r="C26562"/>
      <c r="J26562"/>
      <c r="K26562"/>
      <c r="L26562"/>
    </row>
    <row r="26563" spans="2:12" x14ac:dyDescent="0.2">
      <c r="B26563"/>
      <c r="C26563"/>
      <c r="J26563"/>
      <c r="K26563"/>
      <c r="L26563"/>
    </row>
    <row r="26564" spans="2:12" x14ac:dyDescent="0.2">
      <c r="B26564"/>
      <c r="C26564"/>
      <c r="J26564"/>
      <c r="K26564"/>
      <c r="L26564"/>
    </row>
    <row r="26565" spans="2:12" x14ac:dyDescent="0.2">
      <c r="B26565"/>
      <c r="C26565"/>
      <c r="J26565"/>
      <c r="K26565"/>
      <c r="L26565"/>
    </row>
    <row r="26566" spans="2:12" x14ac:dyDescent="0.2">
      <c r="B26566"/>
      <c r="C26566"/>
      <c r="J26566"/>
      <c r="K26566"/>
      <c r="L26566"/>
    </row>
    <row r="26567" spans="2:12" x14ac:dyDescent="0.2">
      <c r="B26567"/>
      <c r="C26567"/>
      <c r="J26567"/>
      <c r="K26567"/>
      <c r="L26567"/>
    </row>
    <row r="26568" spans="2:12" x14ac:dyDescent="0.2">
      <c r="B26568"/>
      <c r="C26568"/>
      <c r="J26568"/>
      <c r="K26568"/>
      <c r="L26568"/>
    </row>
    <row r="26569" spans="2:12" x14ac:dyDescent="0.2">
      <c r="B26569"/>
      <c r="C26569"/>
      <c r="J26569"/>
      <c r="K26569"/>
      <c r="L26569"/>
    </row>
    <row r="26570" spans="2:12" x14ac:dyDescent="0.2">
      <c r="B26570"/>
      <c r="C26570"/>
      <c r="J26570"/>
      <c r="K26570"/>
      <c r="L26570"/>
    </row>
    <row r="26571" spans="2:12" x14ac:dyDescent="0.2">
      <c r="B26571"/>
      <c r="C26571"/>
      <c r="J26571"/>
      <c r="K26571"/>
      <c r="L26571"/>
    </row>
    <row r="26572" spans="2:12" x14ac:dyDescent="0.2">
      <c r="B26572"/>
      <c r="C26572"/>
      <c r="J26572"/>
      <c r="K26572"/>
      <c r="L26572"/>
    </row>
    <row r="26573" spans="2:12" x14ac:dyDescent="0.2">
      <c r="B26573"/>
      <c r="C26573"/>
      <c r="J26573"/>
      <c r="K26573"/>
      <c r="L26573"/>
    </row>
    <row r="26574" spans="2:12" x14ac:dyDescent="0.2">
      <c r="B26574"/>
      <c r="C26574"/>
      <c r="J26574"/>
      <c r="K26574"/>
      <c r="L26574"/>
    </row>
    <row r="26575" spans="2:12" x14ac:dyDescent="0.2">
      <c r="B26575"/>
      <c r="C26575"/>
      <c r="J26575"/>
      <c r="K26575"/>
      <c r="L26575"/>
    </row>
    <row r="26576" spans="2:12" x14ac:dyDescent="0.2">
      <c r="B26576"/>
      <c r="C26576"/>
      <c r="J26576"/>
      <c r="K26576"/>
      <c r="L26576"/>
    </row>
    <row r="26577" spans="2:12" x14ac:dyDescent="0.2">
      <c r="B26577"/>
      <c r="C26577"/>
      <c r="J26577"/>
      <c r="K26577"/>
      <c r="L26577"/>
    </row>
    <row r="26578" spans="2:12" x14ac:dyDescent="0.2">
      <c r="B26578"/>
      <c r="C26578"/>
      <c r="J26578"/>
      <c r="K26578"/>
      <c r="L26578"/>
    </row>
    <row r="26579" spans="2:12" x14ac:dyDescent="0.2">
      <c r="B26579"/>
      <c r="C26579"/>
      <c r="J26579"/>
      <c r="K26579"/>
      <c r="L26579"/>
    </row>
    <row r="26580" spans="2:12" x14ac:dyDescent="0.2">
      <c r="B26580"/>
      <c r="C26580"/>
      <c r="J26580"/>
      <c r="K26580"/>
      <c r="L26580"/>
    </row>
    <row r="26581" spans="2:12" x14ac:dyDescent="0.2">
      <c r="B26581"/>
      <c r="C26581"/>
      <c r="J26581"/>
      <c r="K26581"/>
      <c r="L26581"/>
    </row>
    <row r="26582" spans="2:12" x14ac:dyDescent="0.2">
      <c r="B26582"/>
      <c r="C26582"/>
      <c r="J26582"/>
      <c r="K26582"/>
      <c r="L26582"/>
    </row>
    <row r="26583" spans="2:12" x14ac:dyDescent="0.2">
      <c r="B26583"/>
      <c r="C26583"/>
      <c r="J26583"/>
      <c r="K26583"/>
      <c r="L26583"/>
    </row>
    <row r="26584" spans="2:12" x14ac:dyDescent="0.2">
      <c r="B26584"/>
      <c r="C26584"/>
      <c r="J26584"/>
      <c r="K26584"/>
      <c r="L26584"/>
    </row>
    <row r="26585" spans="2:12" x14ac:dyDescent="0.2">
      <c r="B26585"/>
      <c r="C26585"/>
      <c r="J26585"/>
      <c r="K26585"/>
      <c r="L26585"/>
    </row>
    <row r="26586" spans="2:12" x14ac:dyDescent="0.2">
      <c r="B26586"/>
      <c r="C26586"/>
      <c r="J26586"/>
      <c r="K26586"/>
      <c r="L26586"/>
    </row>
    <row r="26587" spans="2:12" x14ac:dyDescent="0.2">
      <c r="B26587"/>
      <c r="C26587"/>
      <c r="J26587"/>
      <c r="K26587"/>
      <c r="L26587"/>
    </row>
    <row r="26588" spans="2:12" x14ac:dyDescent="0.2">
      <c r="B26588"/>
      <c r="C26588"/>
      <c r="J26588"/>
      <c r="K26588"/>
      <c r="L26588"/>
    </row>
    <row r="26589" spans="2:12" x14ac:dyDescent="0.2">
      <c r="B26589"/>
      <c r="C26589"/>
      <c r="J26589"/>
      <c r="K26589"/>
      <c r="L26589"/>
    </row>
    <row r="26590" spans="2:12" x14ac:dyDescent="0.2">
      <c r="B26590"/>
      <c r="C26590"/>
      <c r="J26590"/>
      <c r="K26590"/>
      <c r="L26590"/>
    </row>
    <row r="26591" spans="2:12" x14ac:dyDescent="0.2">
      <c r="B26591"/>
      <c r="C26591"/>
      <c r="J26591"/>
      <c r="K26591"/>
      <c r="L26591"/>
    </row>
    <row r="26592" spans="2:12" x14ac:dyDescent="0.2">
      <c r="B26592"/>
      <c r="C26592"/>
      <c r="J26592"/>
      <c r="K26592"/>
      <c r="L26592"/>
    </row>
    <row r="26593" spans="2:12" x14ac:dyDescent="0.2">
      <c r="B26593"/>
      <c r="C26593"/>
      <c r="J26593"/>
      <c r="K26593"/>
      <c r="L26593"/>
    </row>
    <row r="26594" spans="2:12" x14ac:dyDescent="0.2">
      <c r="B26594"/>
      <c r="C26594"/>
      <c r="J26594"/>
      <c r="K26594"/>
      <c r="L26594"/>
    </row>
    <row r="26595" spans="2:12" x14ac:dyDescent="0.2">
      <c r="B26595"/>
      <c r="C26595"/>
      <c r="J26595"/>
      <c r="K26595"/>
      <c r="L26595"/>
    </row>
    <row r="26596" spans="2:12" x14ac:dyDescent="0.2">
      <c r="B26596"/>
      <c r="C26596"/>
      <c r="J26596"/>
      <c r="K26596"/>
      <c r="L26596"/>
    </row>
    <row r="26597" spans="2:12" x14ac:dyDescent="0.2">
      <c r="B26597"/>
      <c r="C26597"/>
      <c r="J26597"/>
      <c r="K26597"/>
      <c r="L26597"/>
    </row>
    <row r="26598" spans="2:12" x14ac:dyDescent="0.2">
      <c r="B26598"/>
      <c r="C26598"/>
      <c r="J26598"/>
      <c r="K26598"/>
      <c r="L26598"/>
    </row>
    <row r="26599" spans="2:12" x14ac:dyDescent="0.2">
      <c r="B26599"/>
      <c r="C26599"/>
      <c r="J26599"/>
      <c r="K26599"/>
      <c r="L26599"/>
    </row>
    <row r="26600" spans="2:12" x14ac:dyDescent="0.2">
      <c r="B26600"/>
      <c r="C26600"/>
      <c r="J26600"/>
      <c r="K26600"/>
      <c r="L26600"/>
    </row>
    <row r="26601" spans="2:12" x14ac:dyDescent="0.2">
      <c r="B26601"/>
      <c r="C26601"/>
      <c r="J26601"/>
      <c r="K26601"/>
      <c r="L26601"/>
    </row>
    <row r="26602" spans="2:12" x14ac:dyDescent="0.2">
      <c r="B26602"/>
      <c r="C26602"/>
      <c r="J26602"/>
      <c r="K26602"/>
      <c r="L26602"/>
    </row>
    <row r="26603" spans="2:12" x14ac:dyDescent="0.2">
      <c r="B26603"/>
      <c r="C26603"/>
      <c r="J26603"/>
      <c r="K26603"/>
      <c r="L26603"/>
    </row>
    <row r="26604" spans="2:12" x14ac:dyDescent="0.2">
      <c r="B26604"/>
      <c r="C26604"/>
      <c r="J26604"/>
      <c r="K26604"/>
      <c r="L26604"/>
    </row>
    <row r="26605" spans="2:12" x14ac:dyDescent="0.2">
      <c r="B26605"/>
      <c r="C26605"/>
      <c r="J26605"/>
      <c r="K26605"/>
      <c r="L26605"/>
    </row>
    <row r="26606" spans="2:12" x14ac:dyDescent="0.2">
      <c r="B26606"/>
      <c r="C26606"/>
      <c r="J26606"/>
      <c r="K26606"/>
      <c r="L26606"/>
    </row>
    <row r="26607" spans="2:12" x14ac:dyDescent="0.2">
      <c r="B26607"/>
      <c r="C26607"/>
      <c r="J26607"/>
      <c r="K26607"/>
      <c r="L26607"/>
    </row>
    <row r="26608" spans="2:12" x14ac:dyDescent="0.2">
      <c r="B26608"/>
      <c r="C26608"/>
      <c r="J26608"/>
      <c r="K26608"/>
      <c r="L26608"/>
    </row>
    <row r="26609" spans="2:12" x14ac:dyDescent="0.2">
      <c r="B26609"/>
      <c r="C26609"/>
      <c r="J26609"/>
      <c r="K26609"/>
      <c r="L26609"/>
    </row>
    <row r="26610" spans="2:12" x14ac:dyDescent="0.2">
      <c r="B26610"/>
      <c r="C26610"/>
      <c r="J26610"/>
      <c r="K26610"/>
      <c r="L26610"/>
    </row>
    <row r="26611" spans="2:12" x14ac:dyDescent="0.2">
      <c r="B26611"/>
      <c r="C26611"/>
      <c r="J26611"/>
      <c r="K26611"/>
      <c r="L26611"/>
    </row>
    <row r="26612" spans="2:12" x14ac:dyDescent="0.2">
      <c r="B26612"/>
      <c r="C26612"/>
      <c r="J26612"/>
      <c r="K26612"/>
      <c r="L26612"/>
    </row>
    <row r="26613" spans="2:12" x14ac:dyDescent="0.2">
      <c r="B26613"/>
      <c r="C26613"/>
      <c r="J26613"/>
      <c r="K26613"/>
      <c r="L26613"/>
    </row>
    <row r="26614" spans="2:12" x14ac:dyDescent="0.2">
      <c r="B26614"/>
      <c r="C26614"/>
      <c r="J26614"/>
      <c r="K26614"/>
      <c r="L26614"/>
    </row>
    <row r="26615" spans="2:12" x14ac:dyDescent="0.2">
      <c r="B26615"/>
      <c r="C26615"/>
      <c r="J26615"/>
      <c r="K26615"/>
      <c r="L26615"/>
    </row>
    <row r="26616" spans="2:12" x14ac:dyDescent="0.2">
      <c r="B26616"/>
      <c r="C26616"/>
      <c r="J26616"/>
      <c r="K26616"/>
      <c r="L26616"/>
    </row>
    <row r="26617" spans="2:12" x14ac:dyDescent="0.2">
      <c r="B26617"/>
      <c r="C26617"/>
      <c r="J26617"/>
      <c r="K26617"/>
      <c r="L26617"/>
    </row>
    <row r="26618" spans="2:12" x14ac:dyDescent="0.2">
      <c r="B26618"/>
      <c r="C26618"/>
      <c r="J26618"/>
      <c r="K26618"/>
      <c r="L26618"/>
    </row>
    <row r="26619" spans="2:12" x14ac:dyDescent="0.2">
      <c r="B26619"/>
      <c r="C26619"/>
      <c r="J26619"/>
      <c r="K26619"/>
      <c r="L26619"/>
    </row>
    <row r="26620" spans="2:12" x14ac:dyDescent="0.2">
      <c r="B26620"/>
      <c r="C26620"/>
      <c r="J26620"/>
      <c r="K26620"/>
      <c r="L26620"/>
    </row>
    <row r="26621" spans="2:12" x14ac:dyDescent="0.2">
      <c r="B26621"/>
      <c r="C26621"/>
      <c r="J26621"/>
      <c r="K26621"/>
      <c r="L26621"/>
    </row>
    <row r="26622" spans="2:12" x14ac:dyDescent="0.2">
      <c r="B26622"/>
      <c r="C26622"/>
      <c r="J26622"/>
      <c r="K26622"/>
      <c r="L26622"/>
    </row>
    <row r="26623" spans="2:12" x14ac:dyDescent="0.2">
      <c r="B26623"/>
      <c r="C26623"/>
      <c r="J26623"/>
      <c r="K26623"/>
      <c r="L26623"/>
    </row>
    <row r="26624" spans="2:12" x14ac:dyDescent="0.2">
      <c r="B26624"/>
      <c r="C26624"/>
      <c r="J26624"/>
      <c r="K26624"/>
      <c r="L26624"/>
    </row>
    <row r="26625" spans="2:12" x14ac:dyDescent="0.2">
      <c r="B26625"/>
      <c r="C26625"/>
      <c r="J26625"/>
      <c r="K26625"/>
      <c r="L26625"/>
    </row>
    <row r="26626" spans="2:12" x14ac:dyDescent="0.2">
      <c r="B26626"/>
      <c r="C26626"/>
      <c r="J26626"/>
      <c r="K26626"/>
      <c r="L26626"/>
    </row>
    <row r="26627" spans="2:12" x14ac:dyDescent="0.2">
      <c r="B26627"/>
      <c r="C26627"/>
      <c r="J26627"/>
      <c r="K26627"/>
      <c r="L26627"/>
    </row>
    <row r="26628" spans="2:12" x14ac:dyDescent="0.2">
      <c r="B26628"/>
      <c r="C26628"/>
      <c r="J26628"/>
      <c r="K26628"/>
      <c r="L26628"/>
    </row>
    <row r="26629" spans="2:12" x14ac:dyDescent="0.2">
      <c r="B26629"/>
      <c r="C26629"/>
      <c r="J26629"/>
      <c r="K26629"/>
      <c r="L26629"/>
    </row>
    <row r="26630" spans="2:12" x14ac:dyDescent="0.2">
      <c r="B26630"/>
      <c r="C26630"/>
      <c r="J26630"/>
      <c r="K26630"/>
      <c r="L26630"/>
    </row>
    <row r="26631" spans="2:12" x14ac:dyDescent="0.2">
      <c r="B26631"/>
      <c r="C26631"/>
      <c r="J26631"/>
      <c r="K26631"/>
      <c r="L26631"/>
    </row>
    <row r="26632" spans="2:12" x14ac:dyDescent="0.2">
      <c r="B26632"/>
      <c r="C26632"/>
      <c r="J26632"/>
      <c r="K26632"/>
      <c r="L26632"/>
    </row>
    <row r="26633" spans="2:12" x14ac:dyDescent="0.2">
      <c r="B26633"/>
      <c r="C26633"/>
      <c r="J26633"/>
      <c r="K26633"/>
      <c r="L26633"/>
    </row>
    <row r="26634" spans="2:12" x14ac:dyDescent="0.2">
      <c r="B26634"/>
      <c r="C26634"/>
      <c r="J26634"/>
      <c r="K26634"/>
      <c r="L26634"/>
    </row>
    <row r="26635" spans="2:12" x14ac:dyDescent="0.2">
      <c r="B26635"/>
      <c r="C26635"/>
      <c r="J26635"/>
      <c r="K26635"/>
      <c r="L26635"/>
    </row>
    <row r="26636" spans="2:12" x14ac:dyDescent="0.2">
      <c r="B26636"/>
      <c r="C26636"/>
      <c r="J26636"/>
      <c r="K26636"/>
      <c r="L26636"/>
    </row>
    <row r="26637" spans="2:12" x14ac:dyDescent="0.2">
      <c r="B26637"/>
      <c r="C26637"/>
      <c r="J26637"/>
      <c r="K26637"/>
      <c r="L26637"/>
    </row>
    <row r="26638" spans="2:12" x14ac:dyDescent="0.2">
      <c r="B26638"/>
      <c r="C26638"/>
      <c r="J26638"/>
      <c r="K26638"/>
      <c r="L26638"/>
    </row>
    <row r="26639" spans="2:12" x14ac:dyDescent="0.2">
      <c r="B26639"/>
      <c r="C26639"/>
      <c r="J26639"/>
      <c r="K26639"/>
      <c r="L26639"/>
    </row>
    <row r="26640" spans="2:12" x14ac:dyDescent="0.2">
      <c r="B26640"/>
      <c r="C26640"/>
      <c r="J26640"/>
      <c r="K26640"/>
      <c r="L26640"/>
    </row>
    <row r="26641" spans="2:12" x14ac:dyDescent="0.2">
      <c r="B26641"/>
      <c r="C26641"/>
      <c r="J26641"/>
      <c r="K26641"/>
      <c r="L26641"/>
    </row>
    <row r="26642" spans="2:12" x14ac:dyDescent="0.2">
      <c r="B26642"/>
      <c r="C26642"/>
      <c r="J26642"/>
      <c r="K26642"/>
      <c r="L26642"/>
    </row>
    <row r="26643" spans="2:12" x14ac:dyDescent="0.2">
      <c r="B26643"/>
      <c r="C26643"/>
      <c r="J26643"/>
      <c r="K26643"/>
      <c r="L26643"/>
    </row>
    <row r="26644" spans="2:12" x14ac:dyDescent="0.2">
      <c r="B26644"/>
      <c r="C26644"/>
      <c r="J26644"/>
      <c r="K26644"/>
      <c r="L26644"/>
    </row>
    <row r="26645" spans="2:12" x14ac:dyDescent="0.2">
      <c r="B26645"/>
      <c r="C26645"/>
      <c r="J26645"/>
      <c r="K26645"/>
      <c r="L26645"/>
    </row>
    <row r="26646" spans="2:12" x14ac:dyDescent="0.2">
      <c r="B26646"/>
      <c r="C26646"/>
      <c r="J26646"/>
      <c r="K26646"/>
      <c r="L26646"/>
    </row>
    <row r="26647" spans="2:12" x14ac:dyDescent="0.2">
      <c r="B26647"/>
      <c r="C26647"/>
      <c r="J26647"/>
      <c r="K26647"/>
      <c r="L26647"/>
    </row>
    <row r="26648" spans="2:12" x14ac:dyDescent="0.2">
      <c r="B26648"/>
      <c r="C26648"/>
      <c r="J26648"/>
      <c r="K26648"/>
      <c r="L26648"/>
    </row>
    <row r="26649" spans="2:12" x14ac:dyDescent="0.2">
      <c r="B26649"/>
      <c r="C26649"/>
      <c r="J26649"/>
      <c r="K26649"/>
      <c r="L26649"/>
    </row>
    <row r="26650" spans="2:12" x14ac:dyDescent="0.2">
      <c r="B26650"/>
      <c r="C26650"/>
      <c r="J26650"/>
      <c r="K26650"/>
      <c r="L26650"/>
    </row>
    <row r="26651" spans="2:12" x14ac:dyDescent="0.2">
      <c r="B26651"/>
      <c r="C26651"/>
      <c r="J26651"/>
      <c r="K26651"/>
      <c r="L26651"/>
    </row>
    <row r="26652" spans="2:12" x14ac:dyDescent="0.2">
      <c r="B26652"/>
      <c r="C26652"/>
      <c r="J26652"/>
      <c r="K26652"/>
      <c r="L26652"/>
    </row>
    <row r="26653" spans="2:12" x14ac:dyDescent="0.2">
      <c r="B26653"/>
      <c r="C26653"/>
      <c r="J26653"/>
      <c r="K26653"/>
      <c r="L26653"/>
    </row>
    <row r="26654" spans="2:12" x14ac:dyDescent="0.2">
      <c r="B26654"/>
      <c r="C26654"/>
      <c r="J26654"/>
      <c r="K26654"/>
      <c r="L26654"/>
    </row>
    <row r="26655" spans="2:12" x14ac:dyDescent="0.2">
      <c r="B26655"/>
      <c r="C26655"/>
      <c r="J26655"/>
      <c r="K26655"/>
      <c r="L26655"/>
    </row>
    <row r="26656" spans="2:12" x14ac:dyDescent="0.2">
      <c r="B26656"/>
      <c r="C26656"/>
      <c r="J26656"/>
      <c r="K26656"/>
      <c r="L26656"/>
    </row>
    <row r="26657" spans="2:12" x14ac:dyDescent="0.2">
      <c r="B26657"/>
      <c r="C26657"/>
      <c r="J26657"/>
      <c r="K26657"/>
      <c r="L26657"/>
    </row>
    <row r="26658" spans="2:12" x14ac:dyDescent="0.2">
      <c r="B26658"/>
      <c r="C26658"/>
      <c r="J26658"/>
      <c r="K26658"/>
      <c r="L26658"/>
    </row>
    <row r="26659" spans="2:12" x14ac:dyDescent="0.2">
      <c r="B26659"/>
      <c r="C26659"/>
      <c r="J26659"/>
      <c r="K26659"/>
      <c r="L26659"/>
    </row>
    <row r="26660" spans="2:12" x14ac:dyDescent="0.2">
      <c r="B26660"/>
      <c r="C26660"/>
      <c r="J26660"/>
      <c r="K26660"/>
      <c r="L26660"/>
    </row>
    <row r="26661" spans="2:12" x14ac:dyDescent="0.2">
      <c r="B26661"/>
      <c r="C26661"/>
      <c r="J26661"/>
      <c r="K26661"/>
      <c r="L26661"/>
    </row>
    <row r="26662" spans="2:12" x14ac:dyDescent="0.2">
      <c r="B26662"/>
      <c r="C26662"/>
      <c r="J26662"/>
      <c r="K26662"/>
      <c r="L26662"/>
    </row>
    <row r="26663" spans="2:12" x14ac:dyDescent="0.2">
      <c r="B26663"/>
      <c r="C26663"/>
      <c r="J26663"/>
      <c r="K26663"/>
      <c r="L26663"/>
    </row>
    <row r="26664" spans="2:12" x14ac:dyDescent="0.2">
      <c r="B26664"/>
      <c r="C26664"/>
      <c r="J26664"/>
      <c r="K26664"/>
      <c r="L26664"/>
    </row>
    <row r="26665" spans="2:12" x14ac:dyDescent="0.2">
      <c r="B26665"/>
      <c r="C26665"/>
      <c r="J26665"/>
      <c r="K26665"/>
      <c r="L26665"/>
    </row>
    <row r="26666" spans="2:12" x14ac:dyDescent="0.2">
      <c r="B26666"/>
      <c r="C26666"/>
      <c r="J26666"/>
      <c r="K26666"/>
      <c r="L26666"/>
    </row>
    <row r="26667" spans="2:12" x14ac:dyDescent="0.2">
      <c r="B26667"/>
      <c r="C26667"/>
      <c r="J26667"/>
      <c r="K26667"/>
      <c r="L26667"/>
    </row>
    <row r="26668" spans="2:12" x14ac:dyDescent="0.2">
      <c r="B26668"/>
      <c r="C26668"/>
      <c r="J26668"/>
      <c r="K26668"/>
      <c r="L26668"/>
    </row>
    <row r="26669" spans="2:12" x14ac:dyDescent="0.2">
      <c r="B26669"/>
      <c r="C26669"/>
      <c r="J26669"/>
      <c r="K26669"/>
      <c r="L26669"/>
    </row>
    <row r="26670" spans="2:12" x14ac:dyDescent="0.2">
      <c r="B26670"/>
      <c r="C26670"/>
      <c r="J26670"/>
      <c r="K26670"/>
      <c r="L26670"/>
    </row>
    <row r="26671" spans="2:12" x14ac:dyDescent="0.2">
      <c r="B26671"/>
      <c r="C26671"/>
      <c r="J26671"/>
      <c r="K26671"/>
      <c r="L26671"/>
    </row>
    <row r="26672" spans="2:12" x14ac:dyDescent="0.2">
      <c r="B26672"/>
      <c r="C26672"/>
      <c r="J26672"/>
      <c r="K26672"/>
      <c r="L26672"/>
    </row>
    <row r="26673" spans="2:12" x14ac:dyDescent="0.2">
      <c r="B26673"/>
      <c r="C26673"/>
      <c r="J26673"/>
      <c r="K26673"/>
      <c r="L26673"/>
    </row>
    <row r="26674" spans="2:12" x14ac:dyDescent="0.2">
      <c r="B26674"/>
      <c r="C26674"/>
      <c r="J26674"/>
      <c r="K26674"/>
      <c r="L26674"/>
    </row>
    <row r="26675" spans="2:12" x14ac:dyDescent="0.2">
      <c r="B26675"/>
      <c r="C26675"/>
      <c r="J26675"/>
      <c r="K26675"/>
      <c r="L26675"/>
    </row>
    <row r="26676" spans="2:12" x14ac:dyDescent="0.2">
      <c r="B26676"/>
      <c r="C26676"/>
      <c r="J26676"/>
      <c r="K26676"/>
      <c r="L26676"/>
    </row>
    <row r="26677" spans="2:12" x14ac:dyDescent="0.2">
      <c r="B26677"/>
      <c r="C26677"/>
      <c r="J26677"/>
      <c r="K26677"/>
      <c r="L26677"/>
    </row>
    <row r="26678" spans="2:12" x14ac:dyDescent="0.2">
      <c r="B26678"/>
      <c r="C26678"/>
      <c r="J26678"/>
      <c r="K26678"/>
      <c r="L26678"/>
    </row>
    <row r="26679" spans="2:12" x14ac:dyDescent="0.2">
      <c r="B26679"/>
      <c r="C26679"/>
      <c r="J26679"/>
      <c r="K26679"/>
      <c r="L26679"/>
    </row>
    <row r="26680" spans="2:12" x14ac:dyDescent="0.2">
      <c r="B26680"/>
      <c r="C26680"/>
      <c r="J26680"/>
      <c r="K26680"/>
      <c r="L26680"/>
    </row>
    <row r="26681" spans="2:12" x14ac:dyDescent="0.2">
      <c r="B26681"/>
      <c r="C26681"/>
      <c r="J26681"/>
      <c r="K26681"/>
      <c r="L26681"/>
    </row>
    <row r="26682" spans="2:12" x14ac:dyDescent="0.2">
      <c r="B26682"/>
      <c r="C26682"/>
      <c r="J26682"/>
      <c r="K26682"/>
      <c r="L26682"/>
    </row>
    <row r="26683" spans="2:12" x14ac:dyDescent="0.2">
      <c r="B26683"/>
      <c r="C26683"/>
      <c r="J26683"/>
      <c r="K26683"/>
      <c r="L26683"/>
    </row>
    <row r="26684" spans="2:12" x14ac:dyDescent="0.2">
      <c r="B26684"/>
      <c r="C26684"/>
      <c r="J26684"/>
      <c r="K26684"/>
      <c r="L26684"/>
    </row>
    <row r="26685" spans="2:12" x14ac:dyDescent="0.2">
      <c r="B26685"/>
      <c r="C26685"/>
      <c r="J26685"/>
      <c r="K26685"/>
      <c r="L26685"/>
    </row>
    <row r="26686" spans="2:12" x14ac:dyDescent="0.2">
      <c r="B26686"/>
      <c r="C26686"/>
      <c r="J26686"/>
      <c r="K26686"/>
      <c r="L26686"/>
    </row>
    <row r="26687" spans="2:12" x14ac:dyDescent="0.2">
      <c r="B26687"/>
      <c r="C26687"/>
      <c r="J26687"/>
      <c r="K26687"/>
      <c r="L26687"/>
    </row>
    <row r="26688" spans="2:12" x14ac:dyDescent="0.2">
      <c r="B26688"/>
      <c r="C26688"/>
      <c r="J26688"/>
      <c r="K26688"/>
      <c r="L26688"/>
    </row>
    <row r="26689" spans="2:12" x14ac:dyDescent="0.2">
      <c r="B26689"/>
      <c r="C26689"/>
      <c r="J26689"/>
      <c r="K26689"/>
      <c r="L26689"/>
    </row>
    <row r="26690" spans="2:12" x14ac:dyDescent="0.2">
      <c r="B26690"/>
      <c r="C26690"/>
      <c r="J26690"/>
      <c r="K26690"/>
      <c r="L26690"/>
    </row>
    <row r="26691" spans="2:12" x14ac:dyDescent="0.2">
      <c r="B26691"/>
      <c r="C26691"/>
      <c r="J26691"/>
      <c r="K26691"/>
      <c r="L26691"/>
    </row>
    <row r="26692" spans="2:12" x14ac:dyDescent="0.2">
      <c r="B26692"/>
      <c r="C26692"/>
      <c r="J26692"/>
      <c r="K26692"/>
      <c r="L26692"/>
    </row>
    <row r="26693" spans="2:12" x14ac:dyDescent="0.2">
      <c r="B26693"/>
      <c r="C26693"/>
      <c r="J26693"/>
      <c r="K26693"/>
      <c r="L26693"/>
    </row>
    <row r="26694" spans="2:12" x14ac:dyDescent="0.2">
      <c r="B26694"/>
      <c r="C26694"/>
      <c r="J26694"/>
      <c r="K26694"/>
      <c r="L26694"/>
    </row>
    <row r="26695" spans="2:12" x14ac:dyDescent="0.2">
      <c r="B26695"/>
      <c r="C26695"/>
      <c r="J26695"/>
      <c r="K26695"/>
      <c r="L26695"/>
    </row>
    <row r="26696" spans="2:12" x14ac:dyDescent="0.2">
      <c r="B26696"/>
      <c r="C26696"/>
      <c r="J26696"/>
      <c r="K26696"/>
      <c r="L26696"/>
    </row>
    <row r="26697" spans="2:12" x14ac:dyDescent="0.2">
      <c r="B26697"/>
      <c r="C26697"/>
      <c r="J26697"/>
      <c r="K26697"/>
      <c r="L26697"/>
    </row>
    <row r="26698" spans="2:12" x14ac:dyDescent="0.2">
      <c r="B26698"/>
      <c r="C26698"/>
      <c r="J26698"/>
      <c r="K26698"/>
      <c r="L26698"/>
    </row>
    <row r="26699" spans="2:12" x14ac:dyDescent="0.2">
      <c r="B26699"/>
      <c r="C26699"/>
      <c r="J26699"/>
      <c r="K26699"/>
      <c r="L26699"/>
    </row>
    <row r="26700" spans="2:12" x14ac:dyDescent="0.2">
      <c r="B26700"/>
      <c r="C26700"/>
      <c r="J26700"/>
      <c r="K26700"/>
      <c r="L26700"/>
    </row>
    <row r="26701" spans="2:12" x14ac:dyDescent="0.2">
      <c r="B26701"/>
      <c r="C26701"/>
      <c r="J26701"/>
      <c r="K26701"/>
      <c r="L26701"/>
    </row>
    <row r="26702" spans="2:12" x14ac:dyDescent="0.2">
      <c r="B26702"/>
      <c r="C26702"/>
      <c r="J26702"/>
      <c r="K26702"/>
      <c r="L26702"/>
    </row>
    <row r="26703" spans="2:12" x14ac:dyDescent="0.2">
      <c r="B26703"/>
      <c r="C26703"/>
      <c r="J26703"/>
      <c r="K26703"/>
      <c r="L26703"/>
    </row>
    <row r="26704" spans="2:12" x14ac:dyDescent="0.2">
      <c r="B26704"/>
      <c r="C26704"/>
      <c r="J26704"/>
      <c r="K26704"/>
      <c r="L26704"/>
    </row>
    <row r="26705" spans="2:12" x14ac:dyDescent="0.2">
      <c r="B26705"/>
      <c r="C26705"/>
      <c r="J26705"/>
      <c r="K26705"/>
      <c r="L26705"/>
    </row>
    <row r="26706" spans="2:12" x14ac:dyDescent="0.2">
      <c r="B26706"/>
      <c r="C26706"/>
      <c r="J26706"/>
      <c r="K26706"/>
      <c r="L26706"/>
    </row>
    <row r="26707" spans="2:12" x14ac:dyDescent="0.2">
      <c r="B26707"/>
      <c r="C26707"/>
      <c r="J26707"/>
      <c r="K26707"/>
      <c r="L26707"/>
    </row>
    <row r="26708" spans="2:12" x14ac:dyDescent="0.2">
      <c r="B26708"/>
      <c r="C26708"/>
      <c r="J26708"/>
      <c r="K26708"/>
      <c r="L26708"/>
    </row>
    <row r="26709" spans="2:12" x14ac:dyDescent="0.2">
      <c r="B26709"/>
      <c r="C26709"/>
      <c r="J26709"/>
      <c r="K26709"/>
      <c r="L26709"/>
    </row>
    <row r="26710" spans="2:12" x14ac:dyDescent="0.2">
      <c r="B26710"/>
      <c r="C26710"/>
      <c r="J26710"/>
      <c r="K26710"/>
      <c r="L26710"/>
    </row>
    <row r="26711" spans="2:12" x14ac:dyDescent="0.2">
      <c r="B26711"/>
      <c r="C26711"/>
      <c r="J26711"/>
      <c r="K26711"/>
      <c r="L26711"/>
    </row>
    <row r="26712" spans="2:12" x14ac:dyDescent="0.2">
      <c r="B26712"/>
      <c r="C26712"/>
      <c r="J26712"/>
      <c r="K26712"/>
      <c r="L26712"/>
    </row>
    <row r="26713" spans="2:12" x14ac:dyDescent="0.2">
      <c r="B26713"/>
      <c r="C26713"/>
      <c r="J26713"/>
      <c r="K26713"/>
      <c r="L26713"/>
    </row>
    <row r="26714" spans="2:12" x14ac:dyDescent="0.2">
      <c r="B26714"/>
      <c r="C26714"/>
      <c r="J26714"/>
      <c r="K26714"/>
      <c r="L26714"/>
    </row>
    <row r="26715" spans="2:12" x14ac:dyDescent="0.2">
      <c r="B26715"/>
      <c r="C26715"/>
      <c r="J26715"/>
      <c r="K26715"/>
      <c r="L26715"/>
    </row>
    <row r="26716" spans="2:12" x14ac:dyDescent="0.2">
      <c r="B26716"/>
      <c r="C26716"/>
      <c r="J26716"/>
      <c r="K26716"/>
      <c r="L26716"/>
    </row>
    <row r="26717" spans="2:12" x14ac:dyDescent="0.2">
      <c r="B26717"/>
      <c r="C26717"/>
      <c r="J26717"/>
      <c r="K26717"/>
      <c r="L26717"/>
    </row>
    <row r="26718" spans="2:12" x14ac:dyDescent="0.2">
      <c r="B26718"/>
      <c r="C26718"/>
      <c r="J26718"/>
      <c r="K26718"/>
      <c r="L26718"/>
    </row>
    <row r="26719" spans="2:12" x14ac:dyDescent="0.2">
      <c r="B26719"/>
      <c r="C26719"/>
      <c r="J26719"/>
      <c r="K26719"/>
      <c r="L26719"/>
    </row>
    <row r="26720" spans="2:12" x14ac:dyDescent="0.2">
      <c r="B26720"/>
      <c r="C26720"/>
      <c r="J26720"/>
      <c r="K26720"/>
      <c r="L26720"/>
    </row>
    <row r="26721" spans="2:12" x14ac:dyDescent="0.2">
      <c r="B26721"/>
      <c r="C26721"/>
      <c r="J26721"/>
      <c r="K26721"/>
      <c r="L26721"/>
    </row>
    <row r="26722" spans="2:12" x14ac:dyDescent="0.2">
      <c r="B26722"/>
      <c r="C26722"/>
      <c r="J26722"/>
      <c r="K26722"/>
      <c r="L26722"/>
    </row>
    <row r="26723" spans="2:12" x14ac:dyDescent="0.2">
      <c r="B26723"/>
      <c r="C26723"/>
      <c r="J26723"/>
      <c r="K26723"/>
      <c r="L26723"/>
    </row>
    <row r="26724" spans="2:12" x14ac:dyDescent="0.2">
      <c r="B26724"/>
      <c r="C26724"/>
      <c r="J26724"/>
      <c r="K26724"/>
      <c r="L26724"/>
    </row>
    <row r="26725" spans="2:12" x14ac:dyDescent="0.2">
      <c r="B26725"/>
      <c r="C26725"/>
      <c r="J26725"/>
      <c r="K26725"/>
      <c r="L26725"/>
    </row>
    <row r="26726" spans="2:12" x14ac:dyDescent="0.2">
      <c r="B26726"/>
      <c r="C26726"/>
      <c r="J26726"/>
      <c r="K26726"/>
      <c r="L26726"/>
    </row>
    <row r="26727" spans="2:12" x14ac:dyDescent="0.2">
      <c r="B26727"/>
      <c r="C26727"/>
      <c r="J26727"/>
      <c r="K26727"/>
      <c r="L26727"/>
    </row>
    <row r="26728" spans="2:12" x14ac:dyDescent="0.2">
      <c r="B26728"/>
      <c r="C26728"/>
      <c r="J26728"/>
      <c r="K26728"/>
      <c r="L26728"/>
    </row>
    <row r="26729" spans="2:12" x14ac:dyDescent="0.2">
      <c r="B26729"/>
      <c r="C26729"/>
      <c r="J26729"/>
      <c r="K26729"/>
      <c r="L26729"/>
    </row>
    <row r="26730" spans="2:12" x14ac:dyDescent="0.2">
      <c r="B26730"/>
      <c r="C26730"/>
      <c r="J26730"/>
      <c r="K26730"/>
      <c r="L26730"/>
    </row>
    <row r="26731" spans="2:12" x14ac:dyDescent="0.2">
      <c r="B26731"/>
      <c r="C26731"/>
      <c r="J26731"/>
      <c r="K26731"/>
      <c r="L26731"/>
    </row>
    <row r="26732" spans="2:12" x14ac:dyDescent="0.2">
      <c r="B26732"/>
      <c r="C26732"/>
      <c r="J26732"/>
      <c r="K26732"/>
      <c r="L26732"/>
    </row>
    <row r="26733" spans="2:12" x14ac:dyDescent="0.2">
      <c r="B26733"/>
      <c r="C26733"/>
      <c r="J26733"/>
      <c r="K26733"/>
      <c r="L26733"/>
    </row>
    <row r="26734" spans="2:12" x14ac:dyDescent="0.2">
      <c r="B26734"/>
      <c r="C26734"/>
      <c r="J26734"/>
      <c r="K26734"/>
      <c r="L26734"/>
    </row>
    <row r="26735" spans="2:12" x14ac:dyDescent="0.2">
      <c r="B26735"/>
      <c r="C26735"/>
      <c r="J26735"/>
      <c r="K26735"/>
      <c r="L26735"/>
    </row>
    <row r="26736" spans="2:12" x14ac:dyDescent="0.2">
      <c r="B26736"/>
      <c r="C26736"/>
      <c r="J26736"/>
      <c r="K26736"/>
      <c r="L26736"/>
    </row>
    <row r="26737" spans="2:12" x14ac:dyDescent="0.2">
      <c r="B26737"/>
      <c r="C26737"/>
      <c r="J26737"/>
      <c r="K26737"/>
      <c r="L26737"/>
    </row>
    <row r="26738" spans="2:12" x14ac:dyDescent="0.2">
      <c r="B26738"/>
      <c r="C26738"/>
      <c r="J26738"/>
      <c r="K26738"/>
      <c r="L26738"/>
    </row>
    <row r="26739" spans="2:12" x14ac:dyDescent="0.2">
      <c r="B26739"/>
      <c r="C26739"/>
      <c r="J26739"/>
      <c r="K26739"/>
      <c r="L26739"/>
    </row>
    <row r="26740" spans="2:12" x14ac:dyDescent="0.2">
      <c r="B26740"/>
      <c r="C26740"/>
      <c r="J26740"/>
      <c r="K26740"/>
      <c r="L26740"/>
    </row>
    <row r="26741" spans="2:12" x14ac:dyDescent="0.2">
      <c r="B26741"/>
      <c r="C26741"/>
      <c r="J26741"/>
      <c r="K26741"/>
      <c r="L26741"/>
    </row>
    <row r="26742" spans="2:12" x14ac:dyDescent="0.2">
      <c r="B26742"/>
      <c r="C26742"/>
      <c r="J26742"/>
      <c r="K26742"/>
      <c r="L26742"/>
    </row>
    <row r="26743" spans="2:12" x14ac:dyDescent="0.2">
      <c r="B26743"/>
      <c r="C26743"/>
      <c r="J26743"/>
      <c r="K26743"/>
      <c r="L26743"/>
    </row>
    <row r="26744" spans="2:12" x14ac:dyDescent="0.2">
      <c r="B26744"/>
      <c r="C26744"/>
      <c r="J26744"/>
      <c r="K26744"/>
      <c r="L26744"/>
    </row>
    <row r="26745" spans="2:12" x14ac:dyDescent="0.2">
      <c r="B26745"/>
      <c r="C26745"/>
      <c r="J26745"/>
      <c r="K26745"/>
      <c r="L26745"/>
    </row>
    <row r="26746" spans="2:12" x14ac:dyDescent="0.2">
      <c r="B26746"/>
      <c r="C26746"/>
      <c r="J26746"/>
      <c r="K26746"/>
      <c r="L26746"/>
    </row>
    <row r="26747" spans="2:12" x14ac:dyDescent="0.2">
      <c r="B26747"/>
      <c r="C26747"/>
      <c r="J26747"/>
      <c r="K26747"/>
      <c r="L26747"/>
    </row>
    <row r="26748" spans="2:12" x14ac:dyDescent="0.2">
      <c r="B26748"/>
      <c r="C26748"/>
      <c r="J26748"/>
      <c r="K26748"/>
      <c r="L26748"/>
    </row>
    <row r="26749" spans="2:12" x14ac:dyDescent="0.2">
      <c r="B26749"/>
      <c r="C26749"/>
      <c r="J26749"/>
      <c r="K26749"/>
      <c r="L26749"/>
    </row>
    <row r="26750" spans="2:12" x14ac:dyDescent="0.2">
      <c r="B26750"/>
      <c r="C26750"/>
      <c r="J26750"/>
      <c r="K26750"/>
      <c r="L26750"/>
    </row>
    <row r="26751" spans="2:12" x14ac:dyDescent="0.2">
      <c r="B26751"/>
      <c r="C26751"/>
      <c r="J26751"/>
      <c r="K26751"/>
      <c r="L26751"/>
    </row>
    <row r="26752" spans="2:12" x14ac:dyDescent="0.2">
      <c r="B26752"/>
      <c r="C26752"/>
      <c r="J26752"/>
      <c r="K26752"/>
      <c r="L26752"/>
    </row>
    <row r="26753" spans="2:12" x14ac:dyDescent="0.2">
      <c r="B26753"/>
      <c r="C26753"/>
      <c r="J26753"/>
      <c r="K26753"/>
      <c r="L26753"/>
    </row>
    <row r="26754" spans="2:12" x14ac:dyDescent="0.2">
      <c r="B26754"/>
      <c r="C26754"/>
      <c r="J26754"/>
      <c r="K26754"/>
      <c r="L26754"/>
    </row>
    <row r="26755" spans="2:12" x14ac:dyDescent="0.2">
      <c r="B26755"/>
      <c r="C26755"/>
      <c r="J26755"/>
      <c r="K26755"/>
      <c r="L26755"/>
    </row>
    <row r="26756" spans="2:12" x14ac:dyDescent="0.2">
      <c r="B26756"/>
      <c r="C26756"/>
      <c r="J26756"/>
      <c r="K26756"/>
      <c r="L26756"/>
    </row>
    <row r="26757" spans="2:12" x14ac:dyDescent="0.2">
      <c r="B26757"/>
      <c r="C26757"/>
      <c r="J26757"/>
      <c r="K26757"/>
      <c r="L26757"/>
    </row>
    <row r="26758" spans="2:12" x14ac:dyDescent="0.2">
      <c r="B26758"/>
      <c r="C26758"/>
      <c r="J26758"/>
      <c r="K26758"/>
      <c r="L26758"/>
    </row>
    <row r="26759" spans="2:12" x14ac:dyDescent="0.2">
      <c r="B26759"/>
      <c r="C26759"/>
      <c r="J26759"/>
      <c r="K26759"/>
      <c r="L26759"/>
    </row>
    <row r="26760" spans="2:12" x14ac:dyDescent="0.2">
      <c r="B26760"/>
      <c r="C26760"/>
      <c r="J26760"/>
      <c r="K26760"/>
      <c r="L26760"/>
    </row>
    <row r="26761" spans="2:12" x14ac:dyDescent="0.2">
      <c r="B26761"/>
      <c r="C26761"/>
      <c r="J26761"/>
      <c r="K26761"/>
      <c r="L26761"/>
    </row>
    <row r="26762" spans="2:12" x14ac:dyDescent="0.2">
      <c r="B26762"/>
      <c r="C26762"/>
      <c r="J26762"/>
      <c r="K26762"/>
      <c r="L26762"/>
    </row>
    <row r="26763" spans="2:12" x14ac:dyDescent="0.2">
      <c r="B26763"/>
      <c r="C26763"/>
      <c r="J26763"/>
      <c r="K26763"/>
      <c r="L26763"/>
    </row>
    <row r="26764" spans="2:12" x14ac:dyDescent="0.2">
      <c r="B26764"/>
      <c r="C26764"/>
      <c r="J26764"/>
      <c r="K26764"/>
      <c r="L26764"/>
    </row>
    <row r="26765" spans="2:12" x14ac:dyDescent="0.2">
      <c r="B26765"/>
      <c r="C26765"/>
      <c r="J26765"/>
      <c r="K26765"/>
      <c r="L26765"/>
    </row>
    <row r="26766" spans="2:12" x14ac:dyDescent="0.2">
      <c r="B26766"/>
      <c r="C26766"/>
      <c r="J26766"/>
      <c r="K26766"/>
      <c r="L26766"/>
    </row>
    <row r="26767" spans="2:12" x14ac:dyDescent="0.2">
      <c r="B26767"/>
      <c r="C26767"/>
      <c r="J26767"/>
      <c r="K26767"/>
      <c r="L26767"/>
    </row>
    <row r="26768" spans="2:12" x14ac:dyDescent="0.2">
      <c r="B26768"/>
      <c r="C26768"/>
      <c r="J26768"/>
      <c r="K26768"/>
      <c r="L26768"/>
    </row>
    <row r="26769" spans="2:12" x14ac:dyDescent="0.2">
      <c r="B26769"/>
      <c r="C26769"/>
      <c r="J26769"/>
      <c r="K26769"/>
      <c r="L26769"/>
    </row>
    <row r="26770" spans="2:12" x14ac:dyDescent="0.2">
      <c r="B26770"/>
      <c r="C26770"/>
      <c r="J26770"/>
      <c r="K26770"/>
      <c r="L26770"/>
    </row>
    <row r="26771" spans="2:12" x14ac:dyDescent="0.2">
      <c r="B26771"/>
      <c r="C26771"/>
      <c r="J26771"/>
      <c r="K26771"/>
      <c r="L26771"/>
    </row>
    <row r="26772" spans="2:12" x14ac:dyDescent="0.2">
      <c r="B26772"/>
      <c r="C26772"/>
      <c r="J26772"/>
      <c r="K26772"/>
      <c r="L26772"/>
    </row>
    <row r="26773" spans="2:12" x14ac:dyDescent="0.2">
      <c r="B26773"/>
      <c r="C26773"/>
      <c r="J26773"/>
      <c r="K26773"/>
      <c r="L26773"/>
    </row>
    <row r="26774" spans="2:12" x14ac:dyDescent="0.2">
      <c r="B26774"/>
      <c r="C26774"/>
      <c r="J26774"/>
      <c r="K26774"/>
      <c r="L26774"/>
    </row>
    <row r="26775" spans="2:12" x14ac:dyDescent="0.2">
      <c r="B26775"/>
      <c r="C26775"/>
      <c r="J26775"/>
      <c r="K26775"/>
      <c r="L26775"/>
    </row>
    <row r="26776" spans="2:12" x14ac:dyDescent="0.2">
      <c r="B26776"/>
      <c r="C26776"/>
      <c r="J26776"/>
      <c r="K26776"/>
      <c r="L26776"/>
    </row>
    <row r="26777" spans="2:12" x14ac:dyDescent="0.2">
      <c r="B26777"/>
      <c r="C26777"/>
      <c r="J26777"/>
      <c r="K26777"/>
      <c r="L26777"/>
    </row>
    <row r="26778" spans="2:12" x14ac:dyDescent="0.2">
      <c r="B26778"/>
      <c r="C26778"/>
      <c r="J26778"/>
      <c r="K26778"/>
      <c r="L26778"/>
    </row>
    <row r="26779" spans="2:12" x14ac:dyDescent="0.2">
      <c r="B26779"/>
      <c r="C26779"/>
      <c r="J26779"/>
      <c r="K26779"/>
      <c r="L26779"/>
    </row>
    <row r="26780" spans="2:12" x14ac:dyDescent="0.2">
      <c r="B26780"/>
      <c r="C26780"/>
      <c r="J26780"/>
      <c r="K26780"/>
      <c r="L26780"/>
    </row>
    <row r="26781" spans="2:12" x14ac:dyDescent="0.2">
      <c r="B26781"/>
      <c r="C26781"/>
      <c r="J26781"/>
      <c r="K26781"/>
      <c r="L26781"/>
    </row>
    <row r="26782" spans="2:12" x14ac:dyDescent="0.2">
      <c r="B26782"/>
      <c r="C26782"/>
      <c r="J26782"/>
      <c r="K26782"/>
      <c r="L26782"/>
    </row>
    <row r="26783" spans="2:12" x14ac:dyDescent="0.2">
      <c r="B26783"/>
      <c r="C26783"/>
      <c r="J26783"/>
      <c r="K26783"/>
      <c r="L26783"/>
    </row>
    <row r="26784" spans="2:12" x14ac:dyDescent="0.2">
      <c r="B26784"/>
      <c r="C26784"/>
      <c r="J26784"/>
      <c r="K26784"/>
      <c r="L26784"/>
    </row>
    <row r="26785" spans="2:12" x14ac:dyDescent="0.2">
      <c r="B26785"/>
      <c r="C26785"/>
      <c r="J26785"/>
      <c r="K26785"/>
      <c r="L26785"/>
    </row>
    <row r="26786" spans="2:12" x14ac:dyDescent="0.2">
      <c r="B26786"/>
      <c r="C26786"/>
      <c r="J26786"/>
      <c r="K26786"/>
      <c r="L26786"/>
    </row>
    <row r="26787" spans="2:12" x14ac:dyDescent="0.2">
      <c r="B26787"/>
      <c r="C26787"/>
      <c r="J26787"/>
      <c r="K26787"/>
      <c r="L26787"/>
    </row>
    <row r="26788" spans="2:12" x14ac:dyDescent="0.2">
      <c r="B26788"/>
      <c r="C26788"/>
      <c r="J26788"/>
      <c r="K26788"/>
      <c r="L26788"/>
    </row>
    <row r="26789" spans="2:12" x14ac:dyDescent="0.2">
      <c r="B26789"/>
      <c r="C26789"/>
      <c r="J26789"/>
      <c r="K26789"/>
      <c r="L26789"/>
    </row>
    <row r="26790" spans="2:12" x14ac:dyDescent="0.2">
      <c r="B26790"/>
      <c r="C26790"/>
      <c r="J26790"/>
      <c r="K26790"/>
      <c r="L26790"/>
    </row>
    <row r="26791" spans="2:12" x14ac:dyDescent="0.2">
      <c r="B26791"/>
      <c r="C26791"/>
      <c r="J26791"/>
      <c r="K26791"/>
      <c r="L26791"/>
    </row>
    <row r="26792" spans="2:12" x14ac:dyDescent="0.2">
      <c r="B26792"/>
      <c r="C26792"/>
      <c r="J26792"/>
      <c r="K26792"/>
      <c r="L26792"/>
    </row>
    <row r="26793" spans="2:12" x14ac:dyDescent="0.2">
      <c r="B26793"/>
      <c r="C26793"/>
      <c r="J26793"/>
      <c r="K26793"/>
      <c r="L26793"/>
    </row>
    <row r="26794" spans="2:12" x14ac:dyDescent="0.2">
      <c r="B26794"/>
      <c r="C26794"/>
      <c r="J26794"/>
      <c r="K26794"/>
      <c r="L26794"/>
    </row>
    <row r="26795" spans="2:12" x14ac:dyDescent="0.2">
      <c r="B26795"/>
      <c r="C26795"/>
      <c r="J26795"/>
      <c r="K26795"/>
      <c r="L26795"/>
    </row>
    <row r="26796" spans="2:12" x14ac:dyDescent="0.2">
      <c r="B26796"/>
      <c r="C26796"/>
      <c r="J26796"/>
      <c r="K26796"/>
      <c r="L26796"/>
    </row>
    <row r="26797" spans="2:12" x14ac:dyDescent="0.2">
      <c r="B26797"/>
      <c r="C26797"/>
      <c r="J26797"/>
      <c r="K26797"/>
      <c r="L26797"/>
    </row>
    <row r="26798" spans="2:12" x14ac:dyDescent="0.2">
      <c r="B26798"/>
      <c r="C26798"/>
      <c r="J26798"/>
      <c r="K26798"/>
      <c r="L26798"/>
    </row>
    <row r="26799" spans="2:12" x14ac:dyDescent="0.2">
      <c r="B26799"/>
      <c r="C26799"/>
      <c r="J26799"/>
      <c r="K26799"/>
      <c r="L26799"/>
    </row>
    <row r="26800" spans="2:12" x14ac:dyDescent="0.2">
      <c r="B26800"/>
      <c r="C26800"/>
      <c r="J26800"/>
      <c r="K26800"/>
      <c r="L26800"/>
    </row>
    <row r="26801" spans="2:12" x14ac:dyDescent="0.2">
      <c r="B26801"/>
      <c r="C26801"/>
      <c r="J26801"/>
      <c r="K26801"/>
      <c r="L26801"/>
    </row>
    <row r="26802" spans="2:12" x14ac:dyDescent="0.2">
      <c r="B26802"/>
      <c r="C26802"/>
      <c r="J26802"/>
      <c r="K26802"/>
      <c r="L26802"/>
    </row>
    <row r="26803" spans="2:12" x14ac:dyDescent="0.2">
      <c r="B26803"/>
      <c r="C26803"/>
      <c r="J26803"/>
      <c r="K26803"/>
      <c r="L26803"/>
    </row>
    <row r="26804" spans="2:12" x14ac:dyDescent="0.2">
      <c r="B26804"/>
      <c r="C26804"/>
      <c r="J26804"/>
      <c r="K26804"/>
      <c r="L26804"/>
    </row>
    <row r="26805" spans="2:12" x14ac:dyDescent="0.2">
      <c r="B26805"/>
      <c r="C26805"/>
      <c r="J26805"/>
      <c r="K26805"/>
      <c r="L26805"/>
    </row>
    <row r="26806" spans="2:12" x14ac:dyDescent="0.2">
      <c r="B26806"/>
      <c r="C26806"/>
      <c r="J26806"/>
      <c r="K26806"/>
      <c r="L26806"/>
    </row>
    <row r="26807" spans="2:12" x14ac:dyDescent="0.2">
      <c r="B26807"/>
      <c r="C26807"/>
      <c r="J26807"/>
      <c r="K26807"/>
      <c r="L26807"/>
    </row>
    <row r="26808" spans="2:12" x14ac:dyDescent="0.2">
      <c r="B26808"/>
      <c r="C26808"/>
      <c r="J26808"/>
      <c r="K26808"/>
      <c r="L26808"/>
    </row>
    <row r="26809" spans="2:12" x14ac:dyDescent="0.2">
      <c r="B26809"/>
      <c r="C26809"/>
      <c r="J26809"/>
      <c r="K26809"/>
      <c r="L26809"/>
    </row>
    <row r="26810" spans="2:12" x14ac:dyDescent="0.2">
      <c r="B26810"/>
      <c r="C26810"/>
      <c r="J26810"/>
      <c r="K26810"/>
      <c r="L26810"/>
    </row>
    <row r="26811" spans="2:12" x14ac:dyDescent="0.2">
      <c r="B26811"/>
      <c r="C26811"/>
      <c r="J26811"/>
      <c r="K26811"/>
      <c r="L26811"/>
    </row>
    <row r="26812" spans="2:12" x14ac:dyDescent="0.2">
      <c r="B26812"/>
      <c r="C26812"/>
      <c r="J26812"/>
      <c r="K26812"/>
      <c r="L26812"/>
    </row>
    <row r="26813" spans="2:12" x14ac:dyDescent="0.2">
      <c r="B26813"/>
      <c r="C26813"/>
      <c r="J26813"/>
      <c r="K26813"/>
      <c r="L26813"/>
    </row>
    <row r="26814" spans="2:12" x14ac:dyDescent="0.2">
      <c r="B26814"/>
      <c r="C26814"/>
      <c r="J26814"/>
      <c r="K26814"/>
      <c r="L26814"/>
    </row>
    <row r="26815" spans="2:12" x14ac:dyDescent="0.2">
      <c r="B26815"/>
      <c r="C26815"/>
      <c r="J26815"/>
      <c r="K26815"/>
      <c r="L26815"/>
    </row>
    <row r="26816" spans="2:12" x14ac:dyDescent="0.2">
      <c r="B26816"/>
      <c r="C26816"/>
      <c r="J26816"/>
      <c r="K26816"/>
      <c r="L26816"/>
    </row>
    <row r="26817" spans="2:12" x14ac:dyDescent="0.2">
      <c r="B26817"/>
      <c r="C26817"/>
      <c r="J26817"/>
      <c r="K26817"/>
      <c r="L26817"/>
    </row>
    <row r="26818" spans="2:12" x14ac:dyDescent="0.2">
      <c r="B26818"/>
      <c r="C26818"/>
      <c r="J26818"/>
      <c r="K26818"/>
      <c r="L26818"/>
    </row>
    <row r="26819" spans="2:12" x14ac:dyDescent="0.2">
      <c r="B26819"/>
      <c r="C26819"/>
      <c r="J26819"/>
      <c r="K26819"/>
      <c r="L26819"/>
    </row>
    <row r="26820" spans="2:12" x14ac:dyDescent="0.2">
      <c r="B26820"/>
      <c r="C26820"/>
      <c r="J26820"/>
      <c r="K26820"/>
      <c r="L26820"/>
    </row>
    <row r="26821" spans="2:12" x14ac:dyDescent="0.2">
      <c r="B26821"/>
      <c r="C26821"/>
      <c r="J26821"/>
      <c r="K26821"/>
      <c r="L26821"/>
    </row>
    <row r="26822" spans="2:12" x14ac:dyDescent="0.2">
      <c r="B26822"/>
      <c r="C26822"/>
      <c r="J26822"/>
      <c r="K26822"/>
      <c r="L26822"/>
    </row>
    <row r="26823" spans="2:12" x14ac:dyDescent="0.2">
      <c r="B26823"/>
      <c r="C26823"/>
      <c r="J26823"/>
      <c r="K26823"/>
      <c r="L26823"/>
    </row>
    <row r="26824" spans="2:12" x14ac:dyDescent="0.2">
      <c r="B26824"/>
      <c r="C26824"/>
      <c r="J26824"/>
      <c r="K26824"/>
      <c r="L26824"/>
    </row>
    <row r="26825" spans="2:12" x14ac:dyDescent="0.2">
      <c r="B26825"/>
      <c r="C26825"/>
      <c r="J26825"/>
      <c r="K26825"/>
      <c r="L26825"/>
    </row>
    <row r="26826" spans="2:12" x14ac:dyDescent="0.2">
      <c r="B26826"/>
      <c r="C26826"/>
      <c r="J26826"/>
      <c r="K26826"/>
      <c r="L26826"/>
    </row>
    <row r="26827" spans="2:12" x14ac:dyDescent="0.2">
      <c r="B26827"/>
      <c r="C26827"/>
      <c r="J26827"/>
      <c r="K26827"/>
      <c r="L26827"/>
    </row>
    <row r="26828" spans="2:12" x14ac:dyDescent="0.2">
      <c r="B26828"/>
      <c r="C26828"/>
      <c r="J26828"/>
      <c r="K26828"/>
      <c r="L26828"/>
    </row>
    <row r="26829" spans="2:12" x14ac:dyDescent="0.2">
      <c r="B26829"/>
      <c r="C26829"/>
      <c r="J26829"/>
      <c r="K26829"/>
      <c r="L26829"/>
    </row>
    <row r="26830" spans="2:12" x14ac:dyDescent="0.2">
      <c r="B26830"/>
      <c r="C26830"/>
      <c r="J26830"/>
      <c r="K26830"/>
      <c r="L26830"/>
    </row>
    <row r="26831" spans="2:12" x14ac:dyDescent="0.2">
      <c r="B26831"/>
      <c r="C26831"/>
      <c r="J26831"/>
      <c r="K26831"/>
      <c r="L26831"/>
    </row>
    <row r="26832" spans="2:12" x14ac:dyDescent="0.2">
      <c r="B26832"/>
      <c r="C26832"/>
      <c r="J26832"/>
      <c r="K26832"/>
      <c r="L26832"/>
    </row>
    <row r="26833" spans="2:12" x14ac:dyDescent="0.2">
      <c r="B26833"/>
      <c r="C26833"/>
      <c r="J26833"/>
      <c r="K26833"/>
      <c r="L26833"/>
    </row>
    <row r="26834" spans="2:12" x14ac:dyDescent="0.2">
      <c r="B26834"/>
      <c r="C26834"/>
      <c r="J26834"/>
      <c r="K26834"/>
      <c r="L26834"/>
    </row>
    <row r="26835" spans="2:12" x14ac:dyDescent="0.2">
      <c r="B26835"/>
      <c r="C26835"/>
      <c r="J26835"/>
      <c r="K26835"/>
      <c r="L26835"/>
    </row>
    <row r="26836" spans="2:12" x14ac:dyDescent="0.2">
      <c r="B26836"/>
      <c r="C26836"/>
      <c r="J26836"/>
      <c r="K26836"/>
      <c r="L26836"/>
    </row>
    <row r="26837" spans="2:12" x14ac:dyDescent="0.2">
      <c r="B26837"/>
      <c r="C26837"/>
      <c r="J26837"/>
      <c r="K26837"/>
      <c r="L26837"/>
    </row>
    <row r="26838" spans="2:12" x14ac:dyDescent="0.2">
      <c r="B26838"/>
      <c r="C26838"/>
      <c r="J26838"/>
      <c r="K26838"/>
      <c r="L26838"/>
    </row>
    <row r="26839" spans="2:12" x14ac:dyDescent="0.2">
      <c r="B26839"/>
      <c r="C26839"/>
      <c r="J26839"/>
      <c r="K26839"/>
      <c r="L26839"/>
    </row>
    <row r="26840" spans="2:12" x14ac:dyDescent="0.2">
      <c r="B26840"/>
      <c r="C26840"/>
      <c r="J26840"/>
      <c r="K26840"/>
      <c r="L26840"/>
    </row>
    <row r="26841" spans="2:12" x14ac:dyDescent="0.2">
      <c r="B26841"/>
      <c r="C26841"/>
      <c r="J26841"/>
      <c r="K26841"/>
      <c r="L26841"/>
    </row>
    <row r="26842" spans="2:12" x14ac:dyDescent="0.2">
      <c r="B26842"/>
      <c r="C26842"/>
      <c r="J26842"/>
      <c r="K26842"/>
      <c r="L26842"/>
    </row>
    <row r="26843" spans="2:12" x14ac:dyDescent="0.2">
      <c r="B26843"/>
      <c r="C26843"/>
      <c r="J26843"/>
      <c r="K26843"/>
      <c r="L26843"/>
    </row>
    <row r="26844" spans="2:12" x14ac:dyDescent="0.2">
      <c r="B26844"/>
      <c r="C26844"/>
      <c r="J26844"/>
      <c r="K26844"/>
      <c r="L26844"/>
    </row>
    <row r="26845" spans="2:12" x14ac:dyDescent="0.2">
      <c r="B26845"/>
      <c r="C26845"/>
      <c r="J26845"/>
      <c r="K26845"/>
      <c r="L26845"/>
    </row>
    <row r="26846" spans="2:12" x14ac:dyDescent="0.2">
      <c r="B26846"/>
      <c r="C26846"/>
      <c r="J26846"/>
      <c r="K26846"/>
      <c r="L26846"/>
    </row>
    <row r="26847" spans="2:12" x14ac:dyDescent="0.2">
      <c r="B26847"/>
      <c r="C26847"/>
      <c r="J26847"/>
      <c r="K26847"/>
      <c r="L26847"/>
    </row>
    <row r="26848" spans="2:12" x14ac:dyDescent="0.2">
      <c r="B26848"/>
      <c r="C26848"/>
      <c r="J26848"/>
      <c r="K26848"/>
      <c r="L26848"/>
    </row>
    <row r="26849" spans="2:12" x14ac:dyDescent="0.2">
      <c r="B26849"/>
      <c r="C26849"/>
      <c r="J26849"/>
      <c r="K26849"/>
      <c r="L26849"/>
    </row>
    <row r="26850" spans="2:12" x14ac:dyDescent="0.2">
      <c r="B26850"/>
      <c r="C26850"/>
      <c r="J26850"/>
      <c r="K26850"/>
      <c r="L26850"/>
    </row>
    <row r="26851" spans="2:12" x14ac:dyDescent="0.2">
      <c r="B26851"/>
      <c r="C26851"/>
      <c r="J26851"/>
      <c r="K26851"/>
      <c r="L26851"/>
    </row>
    <row r="26852" spans="2:12" x14ac:dyDescent="0.2">
      <c r="B26852"/>
      <c r="C26852"/>
      <c r="J26852"/>
      <c r="K26852"/>
      <c r="L26852"/>
    </row>
    <row r="26853" spans="2:12" x14ac:dyDescent="0.2">
      <c r="B26853"/>
      <c r="C26853"/>
      <c r="J26853"/>
      <c r="K26853"/>
      <c r="L26853"/>
    </row>
    <row r="26854" spans="2:12" x14ac:dyDescent="0.2">
      <c r="B26854"/>
      <c r="C26854"/>
      <c r="J26854"/>
      <c r="K26854"/>
      <c r="L26854"/>
    </row>
    <row r="26855" spans="2:12" x14ac:dyDescent="0.2">
      <c r="B26855"/>
      <c r="C26855"/>
      <c r="J26855"/>
      <c r="K26855"/>
      <c r="L26855"/>
    </row>
    <row r="26856" spans="2:12" x14ac:dyDescent="0.2">
      <c r="B26856"/>
      <c r="C26856"/>
      <c r="J26856"/>
      <c r="K26856"/>
      <c r="L26856"/>
    </row>
    <row r="26857" spans="2:12" x14ac:dyDescent="0.2">
      <c r="B26857"/>
      <c r="C26857"/>
      <c r="J26857"/>
      <c r="K26857"/>
      <c r="L26857"/>
    </row>
    <row r="26858" spans="2:12" x14ac:dyDescent="0.2">
      <c r="B26858"/>
      <c r="C26858"/>
      <c r="J26858"/>
      <c r="K26858"/>
      <c r="L26858"/>
    </row>
    <row r="26859" spans="2:12" x14ac:dyDescent="0.2">
      <c r="B26859"/>
      <c r="C26859"/>
      <c r="J26859"/>
      <c r="K26859"/>
      <c r="L26859"/>
    </row>
    <row r="26860" spans="2:12" x14ac:dyDescent="0.2">
      <c r="B26860"/>
      <c r="C26860"/>
      <c r="J26860"/>
      <c r="K26860"/>
      <c r="L26860"/>
    </row>
    <row r="26861" spans="2:12" x14ac:dyDescent="0.2">
      <c r="B26861"/>
      <c r="C26861"/>
      <c r="J26861"/>
      <c r="K26861"/>
      <c r="L26861"/>
    </row>
    <row r="26862" spans="2:12" x14ac:dyDescent="0.2">
      <c r="B26862"/>
      <c r="C26862"/>
      <c r="J26862"/>
      <c r="K26862"/>
      <c r="L26862"/>
    </row>
    <row r="26863" spans="2:12" x14ac:dyDescent="0.2">
      <c r="B26863"/>
      <c r="C26863"/>
      <c r="J26863"/>
      <c r="K26863"/>
      <c r="L26863"/>
    </row>
    <row r="26864" spans="2:12" x14ac:dyDescent="0.2">
      <c r="B26864"/>
      <c r="C26864"/>
      <c r="J26864"/>
      <c r="K26864"/>
      <c r="L26864"/>
    </row>
    <row r="26865" spans="2:12" x14ac:dyDescent="0.2">
      <c r="B26865"/>
      <c r="C26865"/>
      <c r="J26865"/>
      <c r="K26865"/>
      <c r="L26865"/>
    </row>
    <row r="26866" spans="2:12" x14ac:dyDescent="0.2">
      <c r="B26866"/>
      <c r="C26866"/>
      <c r="J26866"/>
      <c r="K26866"/>
      <c r="L26866"/>
    </row>
    <row r="26867" spans="2:12" x14ac:dyDescent="0.2">
      <c r="B26867"/>
      <c r="C26867"/>
      <c r="J26867"/>
      <c r="K26867"/>
      <c r="L26867"/>
    </row>
    <row r="26868" spans="2:12" x14ac:dyDescent="0.2">
      <c r="B26868"/>
      <c r="C26868"/>
      <c r="J26868"/>
      <c r="K26868"/>
      <c r="L26868"/>
    </row>
    <row r="26869" spans="2:12" x14ac:dyDescent="0.2">
      <c r="B26869"/>
      <c r="C26869"/>
      <c r="J26869"/>
      <c r="K26869"/>
      <c r="L26869"/>
    </row>
    <row r="26870" spans="2:12" x14ac:dyDescent="0.2">
      <c r="B26870"/>
      <c r="C26870"/>
      <c r="J26870"/>
      <c r="K26870"/>
      <c r="L26870"/>
    </row>
    <row r="26871" spans="2:12" x14ac:dyDescent="0.2">
      <c r="B26871"/>
      <c r="C26871"/>
      <c r="J26871"/>
      <c r="K26871"/>
      <c r="L26871"/>
    </row>
    <row r="26872" spans="2:12" x14ac:dyDescent="0.2">
      <c r="B26872"/>
      <c r="C26872"/>
      <c r="J26872"/>
      <c r="K26872"/>
      <c r="L26872"/>
    </row>
    <row r="26873" spans="2:12" x14ac:dyDescent="0.2">
      <c r="B26873"/>
      <c r="C26873"/>
      <c r="J26873"/>
      <c r="K26873"/>
      <c r="L26873"/>
    </row>
    <row r="26874" spans="2:12" x14ac:dyDescent="0.2">
      <c r="B26874"/>
      <c r="C26874"/>
      <c r="J26874"/>
      <c r="K26874"/>
      <c r="L26874"/>
    </row>
    <row r="26875" spans="2:12" x14ac:dyDescent="0.2">
      <c r="B26875"/>
      <c r="C26875"/>
      <c r="J26875"/>
      <c r="K26875"/>
      <c r="L26875"/>
    </row>
    <row r="26876" spans="2:12" x14ac:dyDescent="0.2">
      <c r="B26876"/>
      <c r="C26876"/>
      <c r="J26876"/>
      <c r="K26876"/>
      <c r="L26876"/>
    </row>
    <row r="26877" spans="2:12" x14ac:dyDescent="0.2">
      <c r="B26877"/>
      <c r="C26877"/>
      <c r="J26877"/>
      <c r="K26877"/>
      <c r="L26877"/>
    </row>
    <row r="26878" spans="2:12" x14ac:dyDescent="0.2">
      <c r="B26878"/>
      <c r="C26878"/>
      <c r="J26878"/>
      <c r="K26878"/>
      <c r="L26878"/>
    </row>
    <row r="26879" spans="2:12" x14ac:dyDescent="0.2">
      <c r="B26879"/>
      <c r="C26879"/>
      <c r="J26879"/>
      <c r="K26879"/>
      <c r="L26879"/>
    </row>
    <row r="26880" spans="2:12" x14ac:dyDescent="0.2">
      <c r="B26880"/>
      <c r="C26880"/>
      <c r="J26880"/>
      <c r="K26880"/>
      <c r="L26880"/>
    </row>
    <row r="26881" spans="2:12" x14ac:dyDescent="0.2">
      <c r="B26881"/>
      <c r="C26881"/>
      <c r="J26881"/>
      <c r="K26881"/>
      <c r="L26881"/>
    </row>
    <row r="26882" spans="2:12" x14ac:dyDescent="0.2">
      <c r="B26882"/>
      <c r="C26882"/>
      <c r="J26882"/>
      <c r="K26882"/>
      <c r="L26882"/>
    </row>
    <row r="26883" spans="2:12" x14ac:dyDescent="0.2">
      <c r="B26883"/>
      <c r="C26883"/>
      <c r="J26883"/>
      <c r="K26883"/>
      <c r="L26883"/>
    </row>
    <row r="26884" spans="2:12" x14ac:dyDescent="0.2">
      <c r="B26884"/>
      <c r="C26884"/>
      <c r="J26884"/>
      <c r="K26884"/>
      <c r="L26884"/>
    </row>
    <row r="26885" spans="2:12" x14ac:dyDescent="0.2">
      <c r="B26885"/>
      <c r="C26885"/>
      <c r="J26885"/>
      <c r="K26885"/>
      <c r="L26885"/>
    </row>
    <row r="26886" spans="2:12" x14ac:dyDescent="0.2">
      <c r="B26886"/>
      <c r="C26886"/>
      <c r="J26886"/>
      <c r="K26886"/>
      <c r="L26886"/>
    </row>
    <row r="26887" spans="2:12" x14ac:dyDescent="0.2">
      <c r="B26887"/>
      <c r="C26887"/>
      <c r="J26887"/>
      <c r="K26887"/>
      <c r="L26887"/>
    </row>
    <row r="26888" spans="2:12" x14ac:dyDescent="0.2">
      <c r="B26888"/>
      <c r="C26888"/>
      <c r="J26888"/>
      <c r="K26888"/>
      <c r="L26888"/>
    </row>
    <row r="26889" spans="2:12" x14ac:dyDescent="0.2">
      <c r="B26889"/>
      <c r="C26889"/>
      <c r="J26889"/>
      <c r="K26889"/>
      <c r="L26889"/>
    </row>
    <row r="26890" spans="2:12" x14ac:dyDescent="0.2">
      <c r="B26890"/>
      <c r="C26890"/>
      <c r="J26890"/>
      <c r="K26890"/>
      <c r="L26890"/>
    </row>
    <row r="26891" spans="2:12" x14ac:dyDescent="0.2">
      <c r="B26891"/>
      <c r="C26891"/>
      <c r="J26891"/>
      <c r="K26891"/>
      <c r="L26891"/>
    </row>
    <row r="26892" spans="2:12" x14ac:dyDescent="0.2">
      <c r="B26892"/>
      <c r="C26892"/>
      <c r="J26892"/>
      <c r="K26892"/>
      <c r="L26892"/>
    </row>
    <row r="26893" spans="2:12" x14ac:dyDescent="0.2">
      <c r="B26893"/>
      <c r="C26893"/>
      <c r="J26893"/>
      <c r="K26893"/>
      <c r="L26893"/>
    </row>
    <row r="26894" spans="2:12" x14ac:dyDescent="0.2">
      <c r="B26894"/>
      <c r="C26894"/>
      <c r="J26894"/>
      <c r="K26894"/>
      <c r="L26894"/>
    </row>
    <row r="26895" spans="2:12" x14ac:dyDescent="0.2">
      <c r="B26895"/>
      <c r="C26895"/>
      <c r="J26895"/>
      <c r="K26895"/>
      <c r="L26895"/>
    </row>
    <row r="26896" spans="2:12" x14ac:dyDescent="0.2">
      <c r="B26896"/>
      <c r="C26896"/>
      <c r="J26896"/>
      <c r="K26896"/>
      <c r="L26896"/>
    </row>
    <row r="26897" spans="2:12" x14ac:dyDescent="0.2">
      <c r="B26897"/>
      <c r="C26897"/>
      <c r="J26897"/>
      <c r="K26897"/>
      <c r="L26897"/>
    </row>
    <row r="26898" spans="2:12" x14ac:dyDescent="0.2">
      <c r="B26898"/>
      <c r="C26898"/>
      <c r="J26898"/>
      <c r="K26898"/>
      <c r="L26898"/>
    </row>
    <row r="26899" spans="2:12" x14ac:dyDescent="0.2">
      <c r="B26899"/>
      <c r="C26899"/>
      <c r="J26899"/>
      <c r="K26899"/>
      <c r="L26899"/>
    </row>
    <row r="26900" spans="2:12" x14ac:dyDescent="0.2">
      <c r="B26900"/>
      <c r="C26900"/>
      <c r="J26900"/>
      <c r="K26900"/>
      <c r="L26900"/>
    </row>
    <row r="26901" spans="2:12" x14ac:dyDescent="0.2">
      <c r="B26901"/>
      <c r="C26901"/>
      <c r="J26901"/>
      <c r="K26901"/>
      <c r="L26901"/>
    </row>
    <row r="26902" spans="2:12" x14ac:dyDescent="0.2">
      <c r="B26902"/>
      <c r="C26902"/>
      <c r="J26902"/>
      <c r="K26902"/>
      <c r="L26902"/>
    </row>
    <row r="26903" spans="2:12" x14ac:dyDescent="0.2">
      <c r="B26903"/>
      <c r="C26903"/>
      <c r="J26903"/>
      <c r="K26903"/>
      <c r="L26903"/>
    </row>
    <row r="26904" spans="2:12" x14ac:dyDescent="0.2">
      <c r="B26904"/>
      <c r="C26904"/>
      <c r="J26904"/>
      <c r="K26904"/>
      <c r="L26904"/>
    </row>
    <row r="26905" spans="2:12" x14ac:dyDescent="0.2">
      <c r="B26905"/>
      <c r="C26905"/>
      <c r="J26905"/>
      <c r="K26905"/>
      <c r="L26905"/>
    </row>
    <row r="26906" spans="2:12" x14ac:dyDescent="0.2">
      <c r="B26906"/>
      <c r="C26906"/>
      <c r="J26906"/>
      <c r="K26906"/>
      <c r="L26906"/>
    </row>
    <row r="26907" spans="2:12" x14ac:dyDescent="0.2">
      <c r="B26907"/>
      <c r="C26907"/>
      <c r="J26907"/>
      <c r="K26907"/>
      <c r="L26907"/>
    </row>
    <row r="26908" spans="2:12" x14ac:dyDescent="0.2">
      <c r="B26908"/>
      <c r="C26908"/>
      <c r="J26908"/>
      <c r="K26908"/>
      <c r="L26908"/>
    </row>
    <row r="26909" spans="2:12" x14ac:dyDescent="0.2">
      <c r="B26909"/>
      <c r="C26909"/>
      <c r="J26909"/>
      <c r="K26909"/>
      <c r="L26909"/>
    </row>
    <row r="26910" spans="2:12" x14ac:dyDescent="0.2">
      <c r="B26910"/>
      <c r="C26910"/>
      <c r="J26910"/>
      <c r="K26910"/>
      <c r="L26910"/>
    </row>
    <row r="26911" spans="2:12" x14ac:dyDescent="0.2">
      <c r="B26911"/>
      <c r="C26911"/>
      <c r="J26911"/>
      <c r="K26911"/>
      <c r="L26911"/>
    </row>
    <row r="26912" spans="2:12" x14ac:dyDescent="0.2">
      <c r="B26912"/>
      <c r="C26912"/>
      <c r="J26912"/>
      <c r="K26912"/>
      <c r="L26912"/>
    </row>
    <row r="26913" spans="2:12" x14ac:dyDescent="0.2">
      <c r="B26913"/>
      <c r="C26913"/>
      <c r="J26913"/>
      <c r="K26913"/>
      <c r="L26913"/>
    </row>
    <row r="26914" spans="2:12" x14ac:dyDescent="0.2">
      <c r="B26914"/>
      <c r="C26914"/>
      <c r="J26914"/>
      <c r="K26914"/>
      <c r="L26914"/>
    </row>
    <row r="26915" spans="2:12" x14ac:dyDescent="0.2">
      <c r="B26915"/>
      <c r="C26915"/>
      <c r="J26915"/>
      <c r="K26915"/>
      <c r="L26915"/>
    </row>
    <row r="26916" spans="2:12" x14ac:dyDescent="0.2">
      <c r="B26916"/>
      <c r="C26916"/>
      <c r="J26916"/>
      <c r="K26916"/>
      <c r="L26916"/>
    </row>
    <row r="26917" spans="2:12" x14ac:dyDescent="0.2">
      <c r="B26917"/>
      <c r="C26917"/>
      <c r="J26917"/>
      <c r="K26917"/>
      <c r="L26917"/>
    </row>
    <row r="26918" spans="2:12" x14ac:dyDescent="0.2">
      <c r="B26918"/>
      <c r="C26918"/>
      <c r="J26918"/>
      <c r="K26918"/>
      <c r="L26918"/>
    </row>
    <row r="26919" spans="2:12" x14ac:dyDescent="0.2">
      <c r="B26919"/>
      <c r="C26919"/>
      <c r="J26919"/>
      <c r="K26919"/>
      <c r="L26919"/>
    </row>
    <row r="26920" spans="2:12" x14ac:dyDescent="0.2">
      <c r="B26920"/>
      <c r="C26920"/>
      <c r="J26920"/>
      <c r="K26920"/>
      <c r="L26920"/>
    </row>
    <row r="26921" spans="2:12" x14ac:dyDescent="0.2">
      <c r="B26921"/>
      <c r="C26921"/>
      <c r="J26921"/>
      <c r="K26921"/>
      <c r="L26921"/>
    </row>
    <row r="26922" spans="2:12" x14ac:dyDescent="0.2">
      <c r="B26922"/>
      <c r="C26922"/>
      <c r="J26922"/>
      <c r="K26922"/>
      <c r="L26922"/>
    </row>
    <row r="26923" spans="2:12" x14ac:dyDescent="0.2">
      <c r="B26923"/>
      <c r="C26923"/>
      <c r="J26923"/>
      <c r="K26923"/>
      <c r="L26923"/>
    </row>
    <row r="26924" spans="2:12" x14ac:dyDescent="0.2">
      <c r="B26924"/>
      <c r="C26924"/>
      <c r="J26924"/>
      <c r="K26924"/>
      <c r="L26924"/>
    </row>
    <row r="26925" spans="2:12" x14ac:dyDescent="0.2">
      <c r="B26925"/>
      <c r="C26925"/>
      <c r="J26925"/>
      <c r="K26925"/>
      <c r="L26925"/>
    </row>
    <row r="26926" spans="2:12" x14ac:dyDescent="0.2">
      <c r="B26926"/>
      <c r="C26926"/>
      <c r="J26926"/>
      <c r="K26926"/>
      <c r="L26926"/>
    </row>
    <row r="26927" spans="2:12" x14ac:dyDescent="0.2">
      <c r="B26927"/>
      <c r="C26927"/>
      <c r="J26927"/>
      <c r="K26927"/>
      <c r="L26927"/>
    </row>
    <row r="26928" spans="2:12" x14ac:dyDescent="0.2">
      <c r="B26928"/>
      <c r="C26928"/>
      <c r="J26928"/>
      <c r="K26928"/>
      <c r="L26928"/>
    </row>
    <row r="26929" spans="2:12" x14ac:dyDescent="0.2">
      <c r="B26929"/>
      <c r="C26929"/>
      <c r="J26929"/>
      <c r="K26929"/>
      <c r="L26929"/>
    </row>
    <row r="26930" spans="2:12" x14ac:dyDescent="0.2">
      <c r="B26930"/>
      <c r="C26930"/>
      <c r="J26930"/>
      <c r="K26930"/>
      <c r="L26930"/>
    </row>
    <row r="26931" spans="2:12" x14ac:dyDescent="0.2">
      <c r="B26931"/>
      <c r="C26931"/>
      <c r="J26931"/>
      <c r="K26931"/>
      <c r="L26931"/>
    </row>
    <row r="26932" spans="2:12" x14ac:dyDescent="0.2">
      <c r="B26932"/>
      <c r="C26932"/>
      <c r="J26932"/>
      <c r="K26932"/>
      <c r="L26932"/>
    </row>
    <row r="26933" spans="2:12" x14ac:dyDescent="0.2">
      <c r="B26933"/>
      <c r="C26933"/>
      <c r="J26933"/>
      <c r="K26933"/>
      <c r="L26933"/>
    </row>
    <row r="26934" spans="2:12" x14ac:dyDescent="0.2">
      <c r="B26934"/>
      <c r="C26934"/>
      <c r="J26934"/>
      <c r="K26934"/>
      <c r="L26934"/>
    </row>
    <row r="26935" spans="2:12" x14ac:dyDescent="0.2">
      <c r="B26935"/>
      <c r="C26935"/>
      <c r="J26935"/>
      <c r="K26935"/>
      <c r="L26935"/>
    </row>
    <row r="26936" spans="2:12" x14ac:dyDescent="0.2">
      <c r="B26936"/>
      <c r="C26936"/>
      <c r="J26936"/>
      <c r="K26936"/>
      <c r="L26936"/>
    </row>
    <row r="26937" spans="2:12" x14ac:dyDescent="0.2">
      <c r="B26937"/>
      <c r="C26937"/>
      <c r="J26937"/>
      <c r="K26937"/>
      <c r="L26937"/>
    </row>
    <row r="26938" spans="2:12" x14ac:dyDescent="0.2">
      <c r="B26938"/>
      <c r="C26938"/>
      <c r="J26938"/>
      <c r="K26938"/>
      <c r="L26938"/>
    </row>
    <row r="26939" spans="2:12" x14ac:dyDescent="0.2">
      <c r="B26939"/>
      <c r="C26939"/>
      <c r="J26939"/>
      <c r="K26939"/>
      <c r="L26939"/>
    </row>
    <row r="26940" spans="2:12" x14ac:dyDescent="0.2">
      <c r="B26940"/>
      <c r="C26940"/>
      <c r="J26940"/>
      <c r="K26940"/>
      <c r="L26940"/>
    </row>
    <row r="26941" spans="2:12" x14ac:dyDescent="0.2">
      <c r="B26941"/>
      <c r="C26941"/>
      <c r="J26941"/>
      <c r="K26941"/>
      <c r="L26941"/>
    </row>
    <row r="26942" spans="2:12" x14ac:dyDescent="0.2">
      <c r="B26942"/>
      <c r="C26942"/>
      <c r="J26942"/>
      <c r="K26942"/>
      <c r="L26942"/>
    </row>
    <row r="26943" spans="2:12" x14ac:dyDescent="0.2">
      <c r="B26943"/>
      <c r="C26943"/>
      <c r="J26943"/>
      <c r="K26943"/>
      <c r="L26943"/>
    </row>
    <row r="26944" spans="2:12" x14ac:dyDescent="0.2">
      <c r="B26944"/>
      <c r="C26944"/>
      <c r="J26944"/>
      <c r="K26944"/>
      <c r="L26944"/>
    </row>
    <row r="26945" spans="2:12" x14ac:dyDescent="0.2">
      <c r="B26945"/>
      <c r="C26945"/>
      <c r="J26945"/>
      <c r="K26945"/>
      <c r="L26945"/>
    </row>
    <row r="26946" spans="2:12" x14ac:dyDescent="0.2">
      <c r="B26946"/>
      <c r="C26946"/>
      <c r="J26946"/>
      <c r="K26946"/>
      <c r="L26946"/>
    </row>
    <row r="26947" spans="2:12" x14ac:dyDescent="0.2">
      <c r="B26947"/>
      <c r="C26947"/>
      <c r="J26947"/>
      <c r="K26947"/>
      <c r="L26947"/>
    </row>
    <row r="26948" spans="2:12" x14ac:dyDescent="0.2">
      <c r="B26948"/>
      <c r="C26948"/>
      <c r="J26948"/>
      <c r="K26948"/>
      <c r="L26948"/>
    </row>
    <row r="26949" spans="2:12" x14ac:dyDescent="0.2">
      <c r="B26949"/>
      <c r="C26949"/>
      <c r="J26949"/>
      <c r="K26949"/>
      <c r="L26949"/>
    </row>
    <row r="26950" spans="2:12" x14ac:dyDescent="0.2">
      <c r="B26950"/>
      <c r="C26950"/>
      <c r="J26950"/>
      <c r="K26950"/>
      <c r="L26950"/>
    </row>
    <row r="26951" spans="2:12" x14ac:dyDescent="0.2">
      <c r="B26951"/>
      <c r="C26951"/>
      <c r="J26951"/>
      <c r="K26951"/>
      <c r="L26951"/>
    </row>
    <row r="26952" spans="2:12" x14ac:dyDescent="0.2">
      <c r="B26952"/>
      <c r="C26952"/>
      <c r="J26952"/>
      <c r="K26952"/>
      <c r="L26952"/>
    </row>
    <row r="26953" spans="2:12" x14ac:dyDescent="0.2">
      <c r="B26953"/>
      <c r="C26953"/>
      <c r="J26953"/>
      <c r="K26953"/>
      <c r="L26953"/>
    </row>
    <row r="26954" spans="2:12" x14ac:dyDescent="0.2">
      <c r="B26954"/>
      <c r="C26954"/>
      <c r="J26954"/>
      <c r="K26954"/>
      <c r="L26954"/>
    </row>
    <row r="26955" spans="2:12" x14ac:dyDescent="0.2">
      <c r="B26955"/>
      <c r="C26955"/>
      <c r="J26955"/>
      <c r="K26955"/>
      <c r="L26955"/>
    </row>
    <row r="26956" spans="2:12" x14ac:dyDescent="0.2">
      <c r="B26956"/>
      <c r="C26956"/>
      <c r="J26956"/>
      <c r="K26956"/>
      <c r="L26956"/>
    </row>
    <row r="26957" spans="2:12" x14ac:dyDescent="0.2">
      <c r="B26957"/>
      <c r="C26957"/>
      <c r="J26957"/>
      <c r="K26957"/>
      <c r="L26957"/>
    </row>
    <row r="26958" spans="2:12" x14ac:dyDescent="0.2">
      <c r="B26958"/>
      <c r="C26958"/>
      <c r="J26958"/>
      <c r="K26958"/>
      <c r="L26958"/>
    </row>
    <row r="26959" spans="2:12" x14ac:dyDescent="0.2">
      <c r="B26959"/>
      <c r="C26959"/>
      <c r="J26959"/>
      <c r="K26959"/>
      <c r="L26959"/>
    </row>
    <row r="26960" spans="2:12" x14ac:dyDescent="0.2">
      <c r="B26960"/>
      <c r="C26960"/>
      <c r="J26960"/>
      <c r="K26960"/>
      <c r="L26960"/>
    </row>
    <row r="26961" spans="2:12" x14ac:dyDescent="0.2">
      <c r="B26961"/>
      <c r="C26961"/>
      <c r="J26961"/>
      <c r="K26961"/>
      <c r="L26961"/>
    </row>
    <row r="26962" spans="2:12" x14ac:dyDescent="0.2">
      <c r="B26962"/>
      <c r="C26962"/>
      <c r="J26962"/>
      <c r="K26962"/>
      <c r="L26962"/>
    </row>
    <row r="26963" spans="2:12" x14ac:dyDescent="0.2">
      <c r="B26963"/>
      <c r="C26963"/>
      <c r="J26963"/>
      <c r="K26963"/>
      <c r="L26963"/>
    </row>
    <row r="26964" spans="2:12" x14ac:dyDescent="0.2">
      <c r="B26964"/>
      <c r="C26964"/>
      <c r="J26964"/>
      <c r="K26964"/>
      <c r="L26964"/>
    </row>
    <row r="26965" spans="2:12" x14ac:dyDescent="0.2">
      <c r="B26965"/>
      <c r="C26965"/>
      <c r="J26965"/>
      <c r="K26965"/>
      <c r="L26965"/>
    </row>
    <row r="26966" spans="2:12" x14ac:dyDescent="0.2">
      <c r="B26966"/>
      <c r="C26966"/>
      <c r="J26966"/>
      <c r="K26966"/>
      <c r="L26966"/>
    </row>
    <row r="26967" spans="2:12" x14ac:dyDescent="0.2">
      <c r="B26967"/>
      <c r="C26967"/>
      <c r="J26967"/>
      <c r="K26967"/>
      <c r="L26967"/>
    </row>
    <row r="26968" spans="2:12" x14ac:dyDescent="0.2">
      <c r="B26968"/>
      <c r="C26968"/>
      <c r="J26968"/>
      <c r="K26968"/>
      <c r="L26968"/>
    </row>
    <row r="26969" spans="2:12" x14ac:dyDescent="0.2">
      <c r="B26969"/>
      <c r="C26969"/>
      <c r="J26969"/>
      <c r="K26969"/>
      <c r="L26969"/>
    </row>
    <row r="26970" spans="2:12" x14ac:dyDescent="0.2">
      <c r="B26970"/>
      <c r="C26970"/>
      <c r="J26970"/>
      <c r="K26970"/>
      <c r="L26970"/>
    </row>
    <row r="26971" spans="2:12" x14ac:dyDescent="0.2">
      <c r="B26971"/>
      <c r="C26971"/>
      <c r="J26971"/>
      <c r="K26971"/>
      <c r="L26971"/>
    </row>
    <row r="26972" spans="2:12" x14ac:dyDescent="0.2">
      <c r="B26972"/>
      <c r="C26972"/>
      <c r="J26972"/>
      <c r="K26972"/>
      <c r="L26972"/>
    </row>
    <row r="26973" spans="2:12" x14ac:dyDescent="0.2">
      <c r="B26973"/>
      <c r="C26973"/>
      <c r="J26973"/>
      <c r="K26973"/>
      <c r="L26973"/>
    </row>
    <row r="26974" spans="2:12" x14ac:dyDescent="0.2">
      <c r="B26974"/>
      <c r="C26974"/>
      <c r="J26974"/>
      <c r="K26974"/>
      <c r="L26974"/>
    </row>
    <row r="26975" spans="2:12" x14ac:dyDescent="0.2">
      <c r="B26975"/>
      <c r="C26975"/>
      <c r="J26975"/>
      <c r="K26975"/>
      <c r="L26975"/>
    </row>
    <row r="26976" spans="2:12" x14ac:dyDescent="0.2">
      <c r="B26976"/>
      <c r="C26976"/>
      <c r="J26976"/>
      <c r="K26976"/>
      <c r="L26976"/>
    </row>
    <row r="26977" spans="2:12" x14ac:dyDescent="0.2">
      <c r="B26977"/>
      <c r="C26977"/>
      <c r="J26977"/>
      <c r="K26977"/>
      <c r="L26977"/>
    </row>
    <row r="26978" spans="2:12" x14ac:dyDescent="0.2">
      <c r="B26978"/>
      <c r="C26978"/>
      <c r="J26978"/>
      <c r="K26978"/>
      <c r="L26978"/>
    </row>
    <row r="26979" spans="2:12" x14ac:dyDescent="0.2">
      <c r="B26979"/>
      <c r="C26979"/>
      <c r="J26979"/>
      <c r="K26979"/>
      <c r="L26979"/>
    </row>
    <row r="26980" spans="2:12" x14ac:dyDescent="0.2">
      <c r="B26980"/>
      <c r="C26980"/>
      <c r="J26980"/>
      <c r="K26980"/>
      <c r="L26980"/>
    </row>
    <row r="26981" spans="2:12" x14ac:dyDescent="0.2">
      <c r="B26981"/>
      <c r="C26981"/>
      <c r="J26981"/>
      <c r="K26981"/>
      <c r="L26981"/>
    </row>
    <row r="26982" spans="2:12" x14ac:dyDescent="0.2">
      <c r="B26982"/>
      <c r="C26982"/>
      <c r="J26982"/>
      <c r="K26982"/>
      <c r="L26982"/>
    </row>
    <row r="26983" spans="2:12" x14ac:dyDescent="0.2">
      <c r="B26983"/>
      <c r="C26983"/>
      <c r="J26983"/>
      <c r="K26983"/>
      <c r="L26983"/>
    </row>
    <row r="26984" spans="2:12" x14ac:dyDescent="0.2">
      <c r="B26984"/>
      <c r="C26984"/>
      <c r="J26984"/>
      <c r="K26984"/>
      <c r="L26984"/>
    </row>
    <row r="26985" spans="2:12" x14ac:dyDescent="0.2">
      <c r="B26985"/>
      <c r="C26985"/>
      <c r="J26985"/>
      <c r="K26985"/>
      <c r="L26985"/>
    </row>
    <row r="26986" spans="2:12" x14ac:dyDescent="0.2">
      <c r="B26986"/>
      <c r="C26986"/>
      <c r="J26986"/>
      <c r="K26986"/>
      <c r="L26986"/>
    </row>
    <row r="26987" spans="2:12" x14ac:dyDescent="0.2">
      <c r="B26987"/>
      <c r="C26987"/>
      <c r="J26987"/>
      <c r="K26987"/>
      <c r="L26987"/>
    </row>
    <row r="26988" spans="2:12" x14ac:dyDescent="0.2">
      <c r="B26988"/>
      <c r="C26988"/>
      <c r="J26988"/>
      <c r="K26988"/>
      <c r="L26988"/>
    </row>
    <row r="26989" spans="2:12" x14ac:dyDescent="0.2">
      <c r="B26989"/>
      <c r="C26989"/>
      <c r="J26989"/>
      <c r="K26989"/>
      <c r="L26989"/>
    </row>
    <row r="26990" spans="2:12" x14ac:dyDescent="0.2">
      <c r="B26990"/>
      <c r="C26990"/>
      <c r="J26990"/>
      <c r="K26990"/>
      <c r="L26990"/>
    </row>
    <row r="26991" spans="2:12" x14ac:dyDescent="0.2">
      <c r="B26991"/>
      <c r="C26991"/>
      <c r="J26991"/>
      <c r="K26991"/>
      <c r="L26991"/>
    </row>
    <row r="26992" spans="2:12" x14ac:dyDescent="0.2">
      <c r="B26992"/>
      <c r="C26992"/>
      <c r="J26992"/>
      <c r="K26992"/>
      <c r="L26992"/>
    </row>
    <row r="26993" spans="2:12" x14ac:dyDescent="0.2">
      <c r="B26993"/>
      <c r="C26993"/>
      <c r="J26993"/>
      <c r="K26993"/>
      <c r="L26993"/>
    </row>
    <row r="26994" spans="2:12" x14ac:dyDescent="0.2">
      <c r="B26994"/>
      <c r="C26994"/>
      <c r="J26994"/>
      <c r="K26994"/>
      <c r="L26994"/>
    </row>
    <row r="26995" spans="2:12" x14ac:dyDescent="0.2">
      <c r="B26995"/>
      <c r="C26995"/>
      <c r="J26995"/>
      <c r="K26995"/>
      <c r="L26995"/>
    </row>
    <row r="26996" spans="2:12" x14ac:dyDescent="0.2">
      <c r="B26996"/>
      <c r="C26996"/>
      <c r="J26996"/>
      <c r="K26996"/>
      <c r="L26996"/>
    </row>
    <row r="26997" spans="2:12" x14ac:dyDescent="0.2">
      <c r="B26997"/>
      <c r="C26997"/>
      <c r="J26997"/>
      <c r="K26997"/>
      <c r="L26997"/>
    </row>
    <row r="26998" spans="2:12" x14ac:dyDescent="0.2">
      <c r="B26998"/>
      <c r="C26998"/>
      <c r="J26998"/>
      <c r="K26998"/>
      <c r="L26998"/>
    </row>
    <row r="26999" spans="2:12" x14ac:dyDescent="0.2">
      <c r="B26999"/>
      <c r="C26999"/>
      <c r="J26999"/>
      <c r="K26999"/>
      <c r="L26999"/>
    </row>
    <row r="27000" spans="2:12" x14ac:dyDescent="0.2">
      <c r="B27000"/>
      <c r="C27000"/>
      <c r="J27000"/>
      <c r="K27000"/>
      <c r="L27000"/>
    </row>
    <row r="27001" spans="2:12" x14ac:dyDescent="0.2">
      <c r="B27001"/>
      <c r="C27001"/>
      <c r="J27001"/>
      <c r="K27001"/>
      <c r="L27001"/>
    </row>
    <row r="27002" spans="2:12" x14ac:dyDescent="0.2">
      <c r="B27002"/>
      <c r="C27002"/>
      <c r="J27002"/>
      <c r="K27002"/>
      <c r="L27002"/>
    </row>
    <row r="27003" spans="2:12" x14ac:dyDescent="0.2">
      <c r="B27003"/>
      <c r="C27003"/>
      <c r="J27003"/>
      <c r="K27003"/>
      <c r="L27003"/>
    </row>
    <row r="27004" spans="2:12" x14ac:dyDescent="0.2">
      <c r="B27004"/>
      <c r="C27004"/>
      <c r="J27004"/>
      <c r="K27004"/>
      <c r="L27004"/>
    </row>
    <row r="27005" spans="2:12" x14ac:dyDescent="0.2">
      <c r="B27005"/>
      <c r="C27005"/>
      <c r="J27005"/>
      <c r="K27005"/>
      <c r="L27005"/>
    </row>
    <row r="27006" spans="2:12" x14ac:dyDescent="0.2">
      <c r="B27006"/>
      <c r="C27006"/>
      <c r="J27006"/>
      <c r="K27006"/>
      <c r="L27006"/>
    </row>
    <row r="27007" spans="2:12" x14ac:dyDescent="0.2">
      <c r="B27007"/>
      <c r="C27007"/>
      <c r="J27007"/>
      <c r="K27007"/>
      <c r="L27007"/>
    </row>
    <row r="27008" spans="2:12" x14ac:dyDescent="0.2">
      <c r="B27008"/>
      <c r="C27008"/>
      <c r="J27008"/>
      <c r="K27008"/>
      <c r="L27008"/>
    </row>
    <row r="27009" spans="2:12" x14ac:dyDescent="0.2">
      <c r="B27009"/>
      <c r="C27009"/>
      <c r="J27009"/>
      <c r="K27009"/>
      <c r="L27009"/>
    </row>
    <row r="27010" spans="2:12" x14ac:dyDescent="0.2">
      <c r="B27010"/>
      <c r="C27010"/>
      <c r="J27010"/>
      <c r="K27010"/>
      <c r="L27010"/>
    </row>
    <row r="27011" spans="2:12" x14ac:dyDescent="0.2">
      <c r="B27011"/>
      <c r="C27011"/>
      <c r="J27011"/>
      <c r="K27011"/>
      <c r="L27011"/>
    </row>
    <row r="27012" spans="2:12" x14ac:dyDescent="0.2">
      <c r="B27012"/>
      <c r="C27012"/>
      <c r="J27012"/>
      <c r="K27012"/>
      <c r="L27012"/>
    </row>
    <row r="27013" spans="2:12" x14ac:dyDescent="0.2">
      <c r="B27013"/>
      <c r="C27013"/>
      <c r="J27013"/>
      <c r="K27013"/>
      <c r="L27013"/>
    </row>
    <row r="27014" spans="2:12" x14ac:dyDescent="0.2">
      <c r="B27014"/>
      <c r="C27014"/>
      <c r="J27014"/>
      <c r="K27014"/>
      <c r="L27014"/>
    </row>
    <row r="27015" spans="2:12" x14ac:dyDescent="0.2">
      <c r="B27015"/>
      <c r="C27015"/>
      <c r="J27015"/>
      <c r="K27015"/>
      <c r="L27015"/>
    </row>
    <row r="27016" spans="2:12" x14ac:dyDescent="0.2">
      <c r="B27016"/>
      <c r="C27016"/>
      <c r="J27016"/>
      <c r="K27016"/>
      <c r="L27016"/>
    </row>
    <row r="27017" spans="2:12" x14ac:dyDescent="0.2">
      <c r="B27017"/>
      <c r="C27017"/>
      <c r="J27017"/>
      <c r="K27017"/>
      <c r="L27017"/>
    </row>
    <row r="27018" spans="2:12" x14ac:dyDescent="0.2">
      <c r="B27018"/>
      <c r="C27018"/>
      <c r="J27018"/>
      <c r="K27018"/>
      <c r="L27018"/>
    </row>
    <row r="27019" spans="2:12" x14ac:dyDescent="0.2">
      <c r="B27019"/>
      <c r="C27019"/>
      <c r="J27019"/>
      <c r="K27019"/>
      <c r="L27019"/>
    </row>
    <row r="27020" spans="2:12" x14ac:dyDescent="0.2">
      <c r="B27020"/>
      <c r="C27020"/>
      <c r="J27020"/>
      <c r="K27020"/>
      <c r="L27020"/>
    </row>
    <row r="27021" spans="2:12" x14ac:dyDescent="0.2">
      <c r="B27021"/>
      <c r="C27021"/>
      <c r="J27021"/>
      <c r="K27021"/>
      <c r="L27021"/>
    </row>
    <row r="27022" spans="2:12" x14ac:dyDescent="0.2">
      <c r="B27022"/>
      <c r="C27022"/>
      <c r="J27022"/>
      <c r="K27022"/>
      <c r="L27022"/>
    </row>
    <row r="27023" spans="2:12" x14ac:dyDescent="0.2">
      <c r="B27023"/>
      <c r="C27023"/>
      <c r="J27023"/>
      <c r="K27023"/>
      <c r="L27023"/>
    </row>
    <row r="27024" spans="2:12" x14ac:dyDescent="0.2">
      <c r="B27024"/>
      <c r="C27024"/>
      <c r="J27024"/>
      <c r="K27024"/>
      <c r="L27024"/>
    </row>
    <row r="27025" spans="2:12" x14ac:dyDescent="0.2">
      <c r="B27025"/>
      <c r="C27025"/>
      <c r="J27025"/>
      <c r="K27025"/>
      <c r="L27025"/>
    </row>
    <row r="27026" spans="2:12" x14ac:dyDescent="0.2">
      <c r="B27026"/>
      <c r="C27026"/>
      <c r="J27026"/>
      <c r="K27026"/>
      <c r="L27026"/>
    </row>
    <row r="27027" spans="2:12" x14ac:dyDescent="0.2">
      <c r="B27027"/>
      <c r="C27027"/>
      <c r="J27027"/>
      <c r="K27027"/>
      <c r="L27027"/>
    </row>
    <row r="27028" spans="2:12" x14ac:dyDescent="0.2">
      <c r="B27028"/>
      <c r="C27028"/>
      <c r="J27028"/>
      <c r="K27028"/>
      <c r="L27028"/>
    </row>
    <row r="27029" spans="2:12" x14ac:dyDescent="0.2">
      <c r="B27029"/>
      <c r="C27029"/>
      <c r="J27029"/>
      <c r="K27029"/>
      <c r="L27029"/>
    </row>
    <row r="27030" spans="2:12" x14ac:dyDescent="0.2">
      <c r="B27030"/>
      <c r="C27030"/>
      <c r="J27030"/>
      <c r="K27030"/>
      <c r="L27030"/>
    </row>
    <row r="27031" spans="2:12" x14ac:dyDescent="0.2">
      <c r="B27031"/>
      <c r="C27031"/>
      <c r="J27031"/>
      <c r="K27031"/>
      <c r="L27031"/>
    </row>
    <row r="27032" spans="2:12" x14ac:dyDescent="0.2">
      <c r="B27032"/>
      <c r="C27032"/>
      <c r="J27032"/>
      <c r="K27032"/>
      <c r="L27032"/>
    </row>
    <row r="27033" spans="2:12" x14ac:dyDescent="0.2">
      <c r="B27033"/>
      <c r="C27033"/>
      <c r="J27033"/>
      <c r="K27033"/>
      <c r="L27033"/>
    </row>
    <row r="27034" spans="2:12" x14ac:dyDescent="0.2">
      <c r="B27034"/>
      <c r="C27034"/>
      <c r="J27034"/>
      <c r="K27034"/>
      <c r="L27034"/>
    </row>
    <row r="27035" spans="2:12" x14ac:dyDescent="0.2">
      <c r="B27035"/>
      <c r="C27035"/>
      <c r="J27035"/>
      <c r="K27035"/>
      <c r="L27035"/>
    </row>
    <row r="27036" spans="2:12" x14ac:dyDescent="0.2">
      <c r="B27036"/>
      <c r="C27036"/>
      <c r="J27036"/>
      <c r="K27036"/>
      <c r="L27036"/>
    </row>
    <row r="27037" spans="2:12" x14ac:dyDescent="0.2">
      <c r="B27037"/>
      <c r="C27037"/>
      <c r="J27037"/>
      <c r="K27037"/>
      <c r="L27037"/>
    </row>
    <row r="27038" spans="2:12" x14ac:dyDescent="0.2">
      <c r="B27038"/>
      <c r="C27038"/>
      <c r="J27038"/>
      <c r="K27038"/>
      <c r="L27038"/>
    </row>
    <row r="27039" spans="2:12" x14ac:dyDescent="0.2">
      <c r="B27039"/>
      <c r="C27039"/>
      <c r="J27039"/>
      <c r="K27039"/>
      <c r="L27039"/>
    </row>
    <row r="27040" spans="2:12" x14ac:dyDescent="0.2">
      <c r="B27040"/>
      <c r="C27040"/>
      <c r="J27040"/>
      <c r="K27040"/>
      <c r="L27040"/>
    </row>
    <row r="27041" spans="2:12" x14ac:dyDescent="0.2">
      <c r="B27041"/>
      <c r="C27041"/>
      <c r="J27041"/>
      <c r="K27041"/>
      <c r="L27041"/>
    </row>
    <row r="27042" spans="2:12" x14ac:dyDescent="0.2">
      <c r="B27042"/>
      <c r="C27042"/>
      <c r="J27042"/>
      <c r="K27042"/>
      <c r="L27042"/>
    </row>
    <row r="27043" spans="2:12" x14ac:dyDescent="0.2">
      <c r="B27043"/>
      <c r="C27043"/>
      <c r="J27043"/>
      <c r="K27043"/>
      <c r="L27043"/>
    </row>
    <row r="27044" spans="2:12" x14ac:dyDescent="0.2">
      <c r="B27044"/>
      <c r="C27044"/>
      <c r="J27044"/>
      <c r="K27044"/>
      <c r="L27044"/>
    </row>
    <row r="27045" spans="2:12" x14ac:dyDescent="0.2">
      <c r="B27045"/>
      <c r="C27045"/>
      <c r="J27045"/>
      <c r="K27045"/>
      <c r="L27045"/>
    </row>
    <row r="27046" spans="2:12" x14ac:dyDescent="0.2">
      <c r="B27046"/>
      <c r="C27046"/>
      <c r="J27046"/>
      <c r="K27046"/>
      <c r="L27046"/>
    </row>
    <row r="27047" spans="2:12" x14ac:dyDescent="0.2">
      <c r="B27047"/>
      <c r="C27047"/>
      <c r="J27047"/>
      <c r="K27047"/>
      <c r="L27047"/>
    </row>
    <row r="27048" spans="2:12" x14ac:dyDescent="0.2">
      <c r="B27048"/>
      <c r="C27048"/>
      <c r="J27048"/>
      <c r="K27048"/>
      <c r="L27048"/>
    </row>
    <row r="27049" spans="2:12" x14ac:dyDescent="0.2">
      <c r="B27049"/>
      <c r="C27049"/>
      <c r="J27049"/>
      <c r="K27049"/>
      <c r="L27049"/>
    </row>
    <row r="27050" spans="2:12" x14ac:dyDescent="0.2">
      <c r="B27050"/>
      <c r="C27050"/>
      <c r="J27050"/>
      <c r="K27050"/>
      <c r="L27050"/>
    </row>
    <row r="27051" spans="2:12" x14ac:dyDescent="0.2">
      <c r="B27051"/>
      <c r="C27051"/>
      <c r="J27051"/>
      <c r="K27051"/>
      <c r="L27051"/>
    </row>
    <row r="27052" spans="2:12" x14ac:dyDescent="0.2">
      <c r="B27052"/>
      <c r="C27052"/>
      <c r="J27052"/>
      <c r="K27052"/>
      <c r="L27052"/>
    </row>
    <row r="27053" spans="2:12" x14ac:dyDescent="0.2">
      <c r="B27053"/>
      <c r="C27053"/>
      <c r="J27053"/>
      <c r="K27053"/>
      <c r="L27053"/>
    </row>
    <row r="27054" spans="2:12" x14ac:dyDescent="0.2">
      <c r="B27054"/>
      <c r="C27054"/>
      <c r="J27054"/>
      <c r="K27054"/>
      <c r="L27054"/>
    </row>
    <row r="27055" spans="2:12" x14ac:dyDescent="0.2">
      <c r="B27055"/>
      <c r="C27055"/>
      <c r="J27055"/>
      <c r="K27055"/>
      <c r="L27055"/>
    </row>
    <row r="27056" spans="2:12" x14ac:dyDescent="0.2">
      <c r="B27056"/>
      <c r="C27056"/>
      <c r="J27056"/>
      <c r="K27056"/>
      <c r="L27056"/>
    </row>
    <row r="27057" spans="2:12" x14ac:dyDescent="0.2">
      <c r="B27057"/>
      <c r="C27057"/>
      <c r="J27057"/>
      <c r="K27057"/>
      <c r="L27057"/>
    </row>
    <row r="27058" spans="2:12" x14ac:dyDescent="0.2">
      <c r="B27058"/>
      <c r="C27058"/>
      <c r="J27058"/>
      <c r="K27058"/>
      <c r="L27058"/>
    </row>
    <row r="27059" spans="2:12" x14ac:dyDescent="0.2">
      <c r="B27059"/>
      <c r="C27059"/>
      <c r="J27059"/>
      <c r="K27059"/>
      <c r="L27059"/>
    </row>
    <row r="27060" spans="2:12" x14ac:dyDescent="0.2">
      <c r="B27060"/>
      <c r="C27060"/>
      <c r="J27060"/>
      <c r="K27060"/>
      <c r="L27060"/>
    </row>
    <row r="27061" spans="2:12" x14ac:dyDescent="0.2">
      <c r="B27061"/>
      <c r="C27061"/>
      <c r="J27061"/>
      <c r="K27061"/>
      <c r="L27061"/>
    </row>
    <row r="27062" spans="2:12" x14ac:dyDescent="0.2">
      <c r="B27062"/>
      <c r="C27062"/>
      <c r="J27062"/>
      <c r="K27062"/>
      <c r="L27062"/>
    </row>
    <row r="27063" spans="2:12" x14ac:dyDescent="0.2">
      <c r="B27063"/>
      <c r="C27063"/>
      <c r="J27063"/>
      <c r="K27063"/>
      <c r="L27063"/>
    </row>
    <row r="27064" spans="2:12" x14ac:dyDescent="0.2">
      <c r="B27064"/>
      <c r="C27064"/>
      <c r="J27064"/>
      <c r="K27064"/>
      <c r="L27064"/>
    </row>
    <row r="27065" spans="2:12" x14ac:dyDescent="0.2">
      <c r="B27065"/>
      <c r="C27065"/>
      <c r="J27065"/>
      <c r="K27065"/>
      <c r="L27065"/>
    </row>
    <row r="27066" spans="2:12" x14ac:dyDescent="0.2">
      <c r="B27066"/>
      <c r="C27066"/>
      <c r="J27066"/>
      <c r="K27066"/>
      <c r="L27066"/>
    </row>
    <row r="27067" spans="2:12" x14ac:dyDescent="0.2">
      <c r="B27067"/>
      <c r="C27067"/>
      <c r="J27067"/>
      <c r="K27067"/>
      <c r="L27067"/>
    </row>
    <row r="27068" spans="2:12" x14ac:dyDescent="0.2">
      <c r="B27068"/>
      <c r="C27068"/>
      <c r="J27068"/>
      <c r="K27068"/>
      <c r="L27068"/>
    </row>
    <row r="27069" spans="2:12" x14ac:dyDescent="0.2">
      <c r="B27069"/>
      <c r="C27069"/>
      <c r="J27069"/>
      <c r="K27069"/>
      <c r="L27069"/>
    </row>
    <row r="27070" spans="2:12" x14ac:dyDescent="0.2">
      <c r="B27070"/>
      <c r="C27070"/>
      <c r="J27070"/>
      <c r="K27070"/>
      <c r="L27070"/>
    </row>
    <row r="27071" spans="2:12" x14ac:dyDescent="0.2">
      <c r="B27071"/>
      <c r="C27071"/>
      <c r="J27071"/>
      <c r="K27071"/>
      <c r="L27071"/>
    </row>
    <row r="27072" spans="2:12" x14ac:dyDescent="0.2">
      <c r="B27072"/>
      <c r="C27072"/>
      <c r="J27072"/>
      <c r="K27072"/>
      <c r="L27072"/>
    </row>
    <row r="27073" spans="2:12" x14ac:dyDescent="0.2">
      <c r="B27073"/>
      <c r="C27073"/>
      <c r="J27073"/>
      <c r="K27073"/>
      <c r="L27073"/>
    </row>
    <row r="27074" spans="2:12" x14ac:dyDescent="0.2">
      <c r="B27074"/>
      <c r="C27074"/>
      <c r="J27074"/>
      <c r="K27074"/>
      <c r="L27074"/>
    </row>
    <row r="27075" spans="2:12" x14ac:dyDescent="0.2">
      <c r="B27075"/>
      <c r="C27075"/>
      <c r="J27075"/>
      <c r="K27075"/>
      <c r="L27075"/>
    </row>
    <row r="27076" spans="2:12" x14ac:dyDescent="0.2">
      <c r="B27076"/>
      <c r="C27076"/>
      <c r="J27076"/>
      <c r="K27076"/>
      <c r="L27076"/>
    </row>
    <row r="27077" spans="2:12" x14ac:dyDescent="0.2">
      <c r="B27077"/>
      <c r="C27077"/>
      <c r="J27077"/>
      <c r="K27077"/>
      <c r="L27077"/>
    </row>
    <row r="27078" spans="2:12" x14ac:dyDescent="0.2">
      <c r="B27078"/>
      <c r="C27078"/>
      <c r="J27078"/>
      <c r="K27078"/>
      <c r="L27078"/>
    </row>
    <row r="27079" spans="2:12" x14ac:dyDescent="0.2">
      <c r="B27079"/>
      <c r="C27079"/>
      <c r="J27079"/>
      <c r="K27079"/>
      <c r="L27079"/>
    </row>
    <row r="27080" spans="2:12" x14ac:dyDescent="0.2">
      <c r="B27080"/>
      <c r="C27080"/>
      <c r="J27080"/>
      <c r="K27080"/>
      <c r="L27080"/>
    </row>
    <row r="27081" spans="2:12" x14ac:dyDescent="0.2">
      <c r="B27081"/>
      <c r="C27081"/>
      <c r="J27081"/>
      <c r="K27081"/>
      <c r="L27081"/>
    </row>
    <row r="27082" spans="2:12" x14ac:dyDescent="0.2">
      <c r="B27082"/>
      <c r="C27082"/>
      <c r="J27082"/>
      <c r="K27082"/>
      <c r="L27082"/>
    </row>
    <row r="27083" spans="2:12" x14ac:dyDescent="0.2">
      <c r="B27083"/>
      <c r="C27083"/>
      <c r="J27083"/>
      <c r="K27083"/>
      <c r="L27083"/>
    </row>
    <row r="27084" spans="2:12" x14ac:dyDescent="0.2">
      <c r="B27084"/>
      <c r="C27084"/>
      <c r="J27084"/>
      <c r="K27084"/>
      <c r="L27084"/>
    </row>
    <row r="27085" spans="2:12" x14ac:dyDescent="0.2">
      <c r="B27085"/>
      <c r="C27085"/>
      <c r="J27085"/>
      <c r="K27085"/>
      <c r="L27085"/>
    </row>
    <row r="27086" spans="2:12" x14ac:dyDescent="0.2">
      <c r="B27086"/>
      <c r="C27086"/>
      <c r="J27086"/>
      <c r="K27086"/>
      <c r="L27086"/>
    </row>
    <row r="27087" spans="2:12" x14ac:dyDescent="0.2">
      <c r="B27087"/>
      <c r="C27087"/>
      <c r="J27087"/>
      <c r="K27087"/>
      <c r="L27087"/>
    </row>
    <row r="27088" spans="2:12" x14ac:dyDescent="0.2">
      <c r="B27088"/>
      <c r="C27088"/>
      <c r="J27088"/>
      <c r="K27088"/>
      <c r="L27088"/>
    </row>
    <row r="27089" spans="2:12" x14ac:dyDescent="0.2">
      <c r="B27089"/>
      <c r="C27089"/>
      <c r="J27089"/>
      <c r="K27089"/>
      <c r="L27089"/>
    </row>
    <row r="27090" spans="2:12" x14ac:dyDescent="0.2">
      <c r="B27090"/>
      <c r="C27090"/>
      <c r="J27090"/>
      <c r="K27090"/>
      <c r="L27090"/>
    </row>
    <row r="27091" spans="2:12" x14ac:dyDescent="0.2">
      <c r="B27091"/>
      <c r="C27091"/>
      <c r="J27091"/>
      <c r="K27091"/>
      <c r="L27091"/>
    </row>
    <row r="27092" spans="2:12" x14ac:dyDescent="0.2">
      <c r="B27092"/>
      <c r="C27092"/>
      <c r="J27092"/>
      <c r="K27092"/>
      <c r="L27092"/>
    </row>
    <row r="27093" spans="2:12" x14ac:dyDescent="0.2">
      <c r="B27093"/>
      <c r="C27093"/>
      <c r="J27093"/>
      <c r="K27093"/>
      <c r="L27093"/>
    </row>
    <row r="27094" spans="2:12" x14ac:dyDescent="0.2">
      <c r="B27094"/>
      <c r="C27094"/>
      <c r="J27094"/>
      <c r="K27094"/>
      <c r="L27094"/>
    </row>
    <row r="27095" spans="2:12" x14ac:dyDescent="0.2">
      <c r="B27095"/>
      <c r="C27095"/>
      <c r="J27095"/>
      <c r="K27095"/>
      <c r="L27095"/>
    </row>
    <row r="27096" spans="2:12" x14ac:dyDescent="0.2">
      <c r="B27096"/>
      <c r="C27096"/>
      <c r="J27096"/>
      <c r="K27096"/>
      <c r="L27096"/>
    </row>
    <row r="27097" spans="2:12" x14ac:dyDescent="0.2">
      <c r="B27097"/>
      <c r="C27097"/>
      <c r="J27097"/>
      <c r="K27097"/>
      <c r="L27097"/>
    </row>
    <row r="27098" spans="2:12" x14ac:dyDescent="0.2">
      <c r="B27098"/>
      <c r="C27098"/>
      <c r="J27098"/>
      <c r="K27098"/>
      <c r="L27098"/>
    </row>
    <row r="27099" spans="2:12" x14ac:dyDescent="0.2">
      <c r="B27099"/>
      <c r="C27099"/>
      <c r="J27099"/>
      <c r="K27099"/>
      <c r="L27099"/>
    </row>
    <row r="27100" spans="2:12" x14ac:dyDescent="0.2">
      <c r="B27100"/>
      <c r="C27100"/>
      <c r="J27100"/>
      <c r="K27100"/>
      <c r="L27100"/>
    </row>
    <row r="27101" spans="2:12" x14ac:dyDescent="0.2">
      <c r="B27101"/>
      <c r="C27101"/>
      <c r="J27101"/>
      <c r="K27101"/>
      <c r="L27101"/>
    </row>
    <row r="27102" spans="2:12" x14ac:dyDescent="0.2">
      <c r="B27102"/>
      <c r="C27102"/>
      <c r="J27102"/>
      <c r="K27102"/>
      <c r="L27102"/>
    </row>
    <row r="27103" spans="2:12" x14ac:dyDescent="0.2">
      <c r="B27103"/>
      <c r="C27103"/>
      <c r="J27103"/>
      <c r="K27103"/>
      <c r="L27103"/>
    </row>
    <row r="27104" spans="2:12" x14ac:dyDescent="0.2">
      <c r="B27104"/>
      <c r="C27104"/>
      <c r="J27104"/>
      <c r="K27104"/>
      <c r="L27104"/>
    </row>
    <row r="27105" spans="2:12" x14ac:dyDescent="0.2">
      <c r="B27105"/>
      <c r="C27105"/>
      <c r="J27105"/>
      <c r="K27105"/>
      <c r="L27105"/>
    </row>
    <row r="27106" spans="2:12" x14ac:dyDescent="0.2">
      <c r="B27106"/>
      <c r="C27106"/>
      <c r="J27106"/>
      <c r="K27106"/>
      <c r="L27106"/>
    </row>
    <row r="27107" spans="2:12" x14ac:dyDescent="0.2">
      <c r="B27107"/>
      <c r="C27107"/>
      <c r="J27107"/>
      <c r="K27107"/>
      <c r="L27107"/>
    </row>
    <row r="27108" spans="2:12" x14ac:dyDescent="0.2">
      <c r="B27108"/>
      <c r="C27108"/>
      <c r="J27108"/>
      <c r="K27108"/>
      <c r="L27108"/>
    </row>
    <row r="27109" spans="2:12" x14ac:dyDescent="0.2">
      <c r="B27109"/>
      <c r="C27109"/>
      <c r="J27109"/>
      <c r="K27109"/>
      <c r="L27109"/>
    </row>
    <row r="27110" spans="2:12" x14ac:dyDescent="0.2">
      <c r="B27110"/>
      <c r="C27110"/>
      <c r="J27110"/>
      <c r="K27110"/>
      <c r="L27110"/>
    </row>
    <row r="27111" spans="2:12" x14ac:dyDescent="0.2">
      <c r="B27111"/>
      <c r="C27111"/>
      <c r="J27111"/>
      <c r="K27111"/>
      <c r="L27111"/>
    </row>
    <row r="27112" spans="2:12" x14ac:dyDescent="0.2">
      <c r="B27112"/>
      <c r="C27112"/>
      <c r="J27112"/>
      <c r="K27112"/>
      <c r="L27112"/>
    </row>
    <row r="27113" spans="2:12" x14ac:dyDescent="0.2">
      <c r="B27113"/>
      <c r="C27113"/>
      <c r="J27113"/>
      <c r="K27113"/>
      <c r="L27113"/>
    </row>
    <row r="27114" spans="2:12" x14ac:dyDescent="0.2">
      <c r="B27114"/>
      <c r="C27114"/>
      <c r="J27114"/>
      <c r="K27114"/>
      <c r="L27114"/>
    </row>
    <row r="27115" spans="2:12" x14ac:dyDescent="0.2">
      <c r="B27115"/>
      <c r="C27115"/>
      <c r="J27115"/>
      <c r="K27115"/>
      <c r="L27115"/>
    </row>
    <row r="27116" spans="2:12" x14ac:dyDescent="0.2">
      <c r="B27116"/>
      <c r="C27116"/>
      <c r="J27116"/>
      <c r="K27116"/>
      <c r="L27116"/>
    </row>
    <row r="27117" spans="2:12" x14ac:dyDescent="0.2">
      <c r="B27117"/>
      <c r="C27117"/>
      <c r="J27117"/>
      <c r="K27117"/>
      <c r="L27117"/>
    </row>
    <row r="27118" spans="2:12" x14ac:dyDescent="0.2">
      <c r="B27118"/>
      <c r="C27118"/>
      <c r="J27118"/>
      <c r="K27118"/>
      <c r="L27118"/>
    </row>
    <row r="27119" spans="2:12" x14ac:dyDescent="0.2">
      <c r="B27119"/>
      <c r="C27119"/>
      <c r="J27119"/>
      <c r="K27119"/>
      <c r="L27119"/>
    </row>
    <row r="27120" spans="2:12" x14ac:dyDescent="0.2">
      <c r="B27120"/>
      <c r="C27120"/>
      <c r="J27120"/>
      <c r="K27120"/>
      <c r="L27120"/>
    </row>
    <row r="27121" spans="2:12" x14ac:dyDescent="0.2">
      <c r="B27121"/>
      <c r="C27121"/>
      <c r="J27121"/>
      <c r="K27121"/>
      <c r="L27121"/>
    </row>
    <row r="27122" spans="2:12" x14ac:dyDescent="0.2">
      <c r="B27122"/>
      <c r="C27122"/>
      <c r="J27122"/>
      <c r="K27122"/>
      <c r="L27122"/>
    </row>
    <row r="27123" spans="2:12" x14ac:dyDescent="0.2">
      <c r="B27123"/>
      <c r="C27123"/>
      <c r="J27123"/>
      <c r="K27123"/>
      <c r="L27123"/>
    </row>
    <row r="27124" spans="2:12" x14ac:dyDescent="0.2">
      <c r="B27124"/>
      <c r="C27124"/>
      <c r="J27124"/>
      <c r="K27124"/>
      <c r="L27124"/>
    </row>
    <row r="27125" spans="2:12" x14ac:dyDescent="0.2">
      <c r="B27125"/>
      <c r="C27125"/>
      <c r="J27125"/>
      <c r="K27125"/>
      <c r="L27125"/>
    </row>
    <row r="27126" spans="2:12" x14ac:dyDescent="0.2">
      <c r="B27126"/>
      <c r="C27126"/>
      <c r="J27126"/>
      <c r="K27126"/>
      <c r="L27126"/>
    </row>
    <row r="27127" spans="2:12" x14ac:dyDescent="0.2">
      <c r="B27127"/>
      <c r="C27127"/>
      <c r="J27127"/>
      <c r="K27127"/>
      <c r="L27127"/>
    </row>
    <row r="27128" spans="2:12" x14ac:dyDescent="0.2">
      <c r="B27128"/>
      <c r="C27128"/>
      <c r="J27128"/>
      <c r="K27128"/>
      <c r="L27128"/>
    </row>
    <row r="27129" spans="2:12" x14ac:dyDescent="0.2">
      <c r="B27129"/>
      <c r="C27129"/>
      <c r="J27129"/>
      <c r="K27129"/>
      <c r="L27129"/>
    </row>
    <row r="27130" spans="2:12" x14ac:dyDescent="0.2">
      <c r="B27130"/>
      <c r="C27130"/>
      <c r="J27130"/>
      <c r="K27130"/>
      <c r="L27130"/>
    </row>
    <row r="27131" spans="2:12" x14ac:dyDescent="0.2">
      <c r="B27131"/>
      <c r="C27131"/>
      <c r="J27131"/>
      <c r="K27131"/>
      <c r="L27131"/>
    </row>
    <row r="27132" spans="2:12" x14ac:dyDescent="0.2">
      <c r="B27132"/>
      <c r="C27132"/>
      <c r="J27132"/>
      <c r="K27132"/>
      <c r="L27132"/>
    </row>
    <row r="27133" spans="2:12" x14ac:dyDescent="0.2">
      <c r="B27133"/>
      <c r="C27133"/>
      <c r="J27133"/>
      <c r="K27133"/>
      <c r="L27133"/>
    </row>
    <row r="27134" spans="2:12" x14ac:dyDescent="0.2">
      <c r="B27134"/>
      <c r="C27134"/>
      <c r="J27134"/>
      <c r="K27134"/>
      <c r="L27134"/>
    </row>
    <row r="27135" spans="2:12" x14ac:dyDescent="0.2">
      <c r="B27135"/>
      <c r="C27135"/>
      <c r="J27135"/>
      <c r="K27135"/>
      <c r="L27135"/>
    </row>
    <row r="27136" spans="2:12" x14ac:dyDescent="0.2">
      <c r="B27136"/>
      <c r="C27136"/>
      <c r="J27136"/>
      <c r="K27136"/>
      <c r="L27136"/>
    </row>
    <row r="27137" spans="2:12" x14ac:dyDescent="0.2">
      <c r="B27137"/>
      <c r="C27137"/>
      <c r="J27137"/>
      <c r="K27137"/>
      <c r="L27137"/>
    </row>
    <row r="27138" spans="2:12" x14ac:dyDescent="0.2">
      <c r="B27138"/>
      <c r="C27138"/>
      <c r="J27138"/>
      <c r="K27138"/>
      <c r="L27138"/>
    </row>
    <row r="27139" spans="2:12" x14ac:dyDescent="0.2">
      <c r="B27139"/>
      <c r="C27139"/>
      <c r="J27139"/>
      <c r="K27139"/>
      <c r="L27139"/>
    </row>
    <row r="27140" spans="2:12" x14ac:dyDescent="0.2">
      <c r="B27140"/>
      <c r="C27140"/>
      <c r="J27140"/>
      <c r="K27140"/>
      <c r="L27140"/>
    </row>
    <row r="27141" spans="2:12" x14ac:dyDescent="0.2">
      <c r="B27141"/>
      <c r="C27141"/>
      <c r="J27141"/>
      <c r="K27141"/>
      <c r="L27141"/>
    </row>
    <row r="27142" spans="2:12" x14ac:dyDescent="0.2">
      <c r="B27142"/>
      <c r="C27142"/>
      <c r="J27142"/>
      <c r="K27142"/>
      <c r="L27142"/>
    </row>
    <row r="27143" spans="2:12" x14ac:dyDescent="0.2">
      <c r="B27143"/>
      <c r="C27143"/>
      <c r="J27143"/>
      <c r="K27143"/>
      <c r="L27143"/>
    </row>
    <row r="27144" spans="2:12" x14ac:dyDescent="0.2">
      <c r="B27144"/>
      <c r="C27144"/>
      <c r="J27144"/>
      <c r="K27144"/>
      <c r="L27144"/>
    </row>
    <row r="27145" spans="2:12" x14ac:dyDescent="0.2">
      <c r="B27145"/>
      <c r="C27145"/>
      <c r="J27145"/>
      <c r="K27145"/>
      <c r="L27145"/>
    </row>
    <row r="27146" spans="2:12" x14ac:dyDescent="0.2">
      <c r="B27146"/>
      <c r="C27146"/>
      <c r="J27146"/>
      <c r="K27146"/>
      <c r="L27146"/>
    </row>
    <row r="27147" spans="2:12" x14ac:dyDescent="0.2">
      <c r="B27147"/>
      <c r="C27147"/>
      <c r="J27147"/>
      <c r="K27147"/>
      <c r="L27147"/>
    </row>
    <row r="27148" spans="2:12" x14ac:dyDescent="0.2">
      <c r="B27148"/>
      <c r="C27148"/>
      <c r="J27148"/>
      <c r="K27148"/>
      <c r="L27148"/>
    </row>
    <row r="27149" spans="2:12" x14ac:dyDescent="0.2">
      <c r="B27149"/>
      <c r="C27149"/>
      <c r="J27149"/>
      <c r="K27149"/>
      <c r="L27149"/>
    </row>
    <row r="27150" spans="2:12" x14ac:dyDescent="0.2">
      <c r="B27150"/>
      <c r="C27150"/>
      <c r="J27150"/>
      <c r="K27150"/>
      <c r="L27150"/>
    </row>
    <row r="27151" spans="2:12" x14ac:dyDescent="0.2">
      <c r="B27151"/>
      <c r="C27151"/>
      <c r="J27151"/>
      <c r="K27151"/>
      <c r="L27151"/>
    </row>
    <row r="27152" spans="2:12" x14ac:dyDescent="0.2">
      <c r="B27152"/>
      <c r="C27152"/>
      <c r="J27152"/>
      <c r="K27152"/>
      <c r="L27152"/>
    </row>
    <row r="27153" spans="2:12" x14ac:dyDescent="0.2">
      <c r="B27153"/>
      <c r="C27153"/>
      <c r="J27153"/>
      <c r="K27153"/>
      <c r="L27153"/>
    </row>
    <row r="27154" spans="2:12" x14ac:dyDescent="0.2">
      <c r="B27154"/>
      <c r="C27154"/>
      <c r="J27154"/>
      <c r="K27154"/>
      <c r="L27154"/>
    </row>
    <row r="27155" spans="2:12" x14ac:dyDescent="0.2">
      <c r="B27155"/>
      <c r="C27155"/>
      <c r="J27155"/>
      <c r="K27155"/>
      <c r="L27155"/>
    </row>
    <row r="27156" spans="2:12" x14ac:dyDescent="0.2">
      <c r="B27156"/>
      <c r="C27156"/>
      <c r="J27156"/>
      <c r="K27156"/>
      <c r="L27156"/>
    </row>
    <row r="27157" spans="2:12" x14ac:dyDescent="0.2">
      <c r="B27157"/>
      <c r="C27157"/>
      <c r="J27157"/>
      <c r="K27157"/>
      <c r="L27157"/>
    </row>
    <row r="27158" spans="2:12" x14ac:dyDescent="0.2">
      <c r="B27158"/>
      <c r="C27158"/>
      <c r="J27158"/>
      <c r="K27158"/>
      <c r="L27158"/>
    </row>
    <row r="27159" spans="2:12" x14ac:dyDescent="0.2">
      <c r="B27159"/>
      <c r="C27159"/>
      <c r="J27159"/>
      <c r="K27159"/>
      <c r="L27159"/>
    </row>
    <row r="27160" spans="2:12" x14ac:dyDescent="0.2">
      <c r="B27160"/>
      <c r="C27160"/>
      <c r="J27160"/>
      <c r="K27160"/>
      <c r="L27160"/>
    </row>
    <row r="27161" spans="2:12" x14ac:dyDescent="0.2">
      <c r="B27161"/>
      <c r="C27161"/>
      <c r="J27161"/>
      <c r="K27161"/>
      <c r="L27161"/>
    </row>
    <row r="27162" spans="2:12" x14ac:dyDescent="0.2">
      <c r="B27162"/>
      <c r="C27162"/>
      <c r="J27162"/>
      <c r="K27162"/>
      <c r="L27162"/>
    </row>
    <row r="27163" spans="2:12" x14ac:dyDescent="0.2">
      <c r="B27163"/>
      <c r="C27163"/>
      <c r="J27163"/>
      <c r="K27163"/>
      <c r="L27163"/>
    </row>
    <row r="27164" spans="2:12" x14ac:dyDescent="0.2">
      <c r="B27164"/>
      <c r="C27164"/>
      <c r="J27164"/>
      <c r="K27164"/>
      <c r="L27164"/>
    </row>
    <row r="27165" spans="2:12" x14ac:dyDescent="0.2">
      <c r="B27165"/>
      <c r="C27165"/>
      <c r="J27165"/>
      <c r="K27165"/>
      <c r="L27165"/>
    </row>
    <row r="27166" spans="2:12" x14ac:dyDescent="0.2">
      <c r="B27166"/>
      <c r="C27166"/>
      <c r="J27166"/>
      <c r="K27166"/>
      <c r="L27166"/>
    </row>
    <row r="27167" spans="2:12" x14ac:dyDescent="0.2">
      <c r="B27167"/>
      <c r="C27167"/>
      <c r="J27167"/>
      <c r="K27167"/>
      <c r="L27167"/>
    </row>
    <row r="27168" spans="2:12" x14ac:dyDescent="0.2">
      <c r="B27168"/>
      <c r="C27168"/>
      <c r="J27168"/>
      <c r="K27168"/>
      <c r="L27168"/>
    </row>
    <row r="27169" spans="2:12" x14ac:dyDescent="0.2">
      <c r="B27169"/>
      <c r="C27169"/>
      <c r="J27169"/>
      <c r="K27169"/>
      <c r="L27169"/>
    </row>
    <row r="27170" spans="2:12" x14ac:dyDescent="0.2">
      <c r="B27170"/>
      <c r="C27170"/>
      <c r="J27170"/>
      <c r="K27170"/>
      <c r="L27170"/>
    </row>
    <row r="27171" spans="2:12" x14ac:dyDescent="0.2">
      <c r="B27171"/>
      <c r="C27171"/>
      <c r="J27171"/>
      <c r="K27171"/>
      <c r="L27171"/>
    </row>
    <row r="27172" spans="2:12" x14ac:dyDescent="0.2">
      <c r="B27172"/>
      <c r="C27172"/>
      <c r="J27172"/>
      <c r="K27172"/>
      <c r="L27172"/>
    </row>
    <row r="27173" spans="2:12" x14ac:dyDescent="0.2">
      <c r="B27173"/>
      <c r="C27173"/>
      <c r="J27173"/>
      <c r="K27173"/>
      <c r="L27173"/>
    </row>
    <row r="27174" spans="2:12" x14ac:dyDescent="0.2">
      <c r="B27174"/>
      <c r="C27174"/>
      <c r="J27174"/>
      <c r="K27174"/>
      <c r="L27174"/>
    </row>
    <row r="27175" spans="2:12" x14ac:dyDescent="0.2">
      <c r="B27175"/>
      <c r="C27175"/>
      <c r="J27175"/>
      <c r="K27175"/>
      <c r="L27175"/>
    </row>
    <row r="27176" spans="2:12" x14ac:dyDescent="0.2">
      <c r="B27176"/>
      <c r="C27176"/>
      <c r="J27176"/>
      <c r="K27176"/>
      <c r="L27176"/>
    </row>
    <row r="27177" spans="2:12" x14ac:dyDescent="0.2">
      <c r="B27177"/>
      <c r="C27177"/>
      <c r="J27177"/>
      <c r="K27177"/>
      <c r="L27177"/>
    </row>
    <row r="27178" spans="2:12" x14ac:dyDescent="0.2">
      <c r="B27178"/>
      <c r="C27178"/>
      <c r="J27178"/>
      <c r="K27178"/>
      <c r="L27178"/>
    </row>
    <row r="27179" spans="2:12" x14ac:dyDescent="0.2">
      <c r="B27179"/>
      <c r="C27179"/>
      <c r="J27179"/>
      <c r="K27179"/>
      <c r="L27179"/>
    </row>
    <row r="27180" spans="2:12" x14ac:dyDescent="0.2">
      <c r="B27180"/>
      <c r="C27180"/>
      <c r="J27180"/>
      <c r="K27180"/>
      <c r="L27180"/>
    </row>
    <row r="27181" spans="2:12" x14ac:dyDescent="0.2">
      <c r="B27181"/>
      <c r="C27181"/>
      <c r="J27181"/>
      <c r="K27181"/>
      <c r="L27181"/>
    </row>
    <row r="27182" spans="2:12" x14ac:dyDescent="0.2">
      <c r="B27182"/>
      <c r="C27182"/>
      <c r="J27182"/>
      <c r="K27182"/>
      <c r="L27182"/>
    </row>
    <row r="27183" spans="2:12" x14ac:dyDescent="0.2">
      <c r="B27183"/>
      <c r="C27183"/>
      <c r="J27183"/>
      <c r="K27183"/>
      <c r="L27183"/>
    </row>
    <row r="27184" spans="2:12" x14ac:dyDescent="0.2">
      <c r="B27184"/>
      <c r="C27184"/>
      <c r="J27184"/>
      <c r="K27184"/>
      <c r="L27184"/>
    </row>
    <row r="27185" spans="2:12" x14ac:dyDescent="0.2">
      <c r="B27185"/>
      <c r="C27185"/>
      <c r="J27185"/>
      <c r="K27185"/>
      <c r="L27185"/>
    </row>
    <row r="27186" spans="2:12" x14ac:dyDescent="0.2">
      <c r="B27186"/>
      <c r="C27186"/>
      <c r="J27186"/>
      <c r="K27186"/>
      <c r="L27186"/>
    </row>
    <row r="27187" spans="2:12" x14ac:dyDescent="0.2">
      <c r="B27187"/>
      <c r="C27187"/>
      <c r="J27187"/>
      <c r="K27187"/>
      <c r="L27187"/>
    </row>
    <row r="27188" spans="2:12" x14ac:dyDescent="0.2">
      <c r="B27188"/>
      <c r="C27188"/>
      <c r="J27188"/>
      <c r="K27188"/>
      <c r="L27188"/>
    </row>
    <row r="27189" spans="2:12" x14ac:dyDescent="0.2">
      <c r="B27189"/>
      <c r="C27189"/>
      <c r="J27189"/>
      <c r="K27189"/>
      <c r="L27189"/>
    </row>
    <row r="27190" spans="2:12" x14ac:dyDescent="0.2">
      <c r="B27190"/>
      <c r="C27190"/>
      <c r="J27190"/>
      <c r="K27190"/>
      <c r="L27190"/>
    </row>
    <row r="27191" spans="2:12" x14ac:dyDescent="0.2">
      <c r="B27191"/>
      <c r="C27191"/>
      <c r="J27191"/>
      <c r="K27191"/>
      <c r="L27191"/>
    </row>
    <row r="27192" spans="2:12" x14ac:dyDescent="0.2">
      <c r="B27192"/>
      <c r="C27192"/>
      <c r="J27192"/>
      <c r="K27192"/>
      <c r="L27192"/>
    </row>
    <row r="27193" spans="2:12" x14ac:dyDescent="0.2">
      <c r="B27193"/>
      <c r="C27193"/>
      <c r="J27193"/>
      <c r="K27193"/>
      <c r="L27193"/>
    </row>
    <row r="27194" spans="2:12" x14ac:dyDescent="0.2">
      <c r="B27194"/>
      <c r="C27194"/>
      <c r="J27194"/>
      <c r="K27194"/>
      <c r="L27194"/>
    </row>
    <row r="27195" spans="2:12" x14ac:dyDescent="0.2">
      <c r="B27195"/>
      <c r="C27195"/>
      <c r="J27195"/>
      <c r="K27195"/>
      <c r="L27195"/>
    </row>
    <row r="27196" spans="2:12" x14ac:dyDescent="0.2">
      <c r="B27196"/>
      <c r="C27196"/>
      <c r="J27196"/>
      <c r="K27196"/>
      <c r="L27196"/>
    </row>
    <row r="27197" spans="2:12" x14ac:dyDescent="0.2">
      <c r="B27197"/>
      <c r="C27197"/>
      <c r="J27197"/>
      <c r="K27197"/>
      <c r="L27197"/>
    </row>
    <row r="27198" spans="2:12" x14ac:dyDescent="0.2">
      <c r="B27198"/>
      <c r="C27198"/>
      <c r="J27198"/>
      <c r="K27198"/>
      <c r="L27198"/>
    </row>
    <row r="27199" spans="2:12" x14ac:dyDescent="0.2">
      <c r="B27199"/>
      <c r="C27199"/>
      <c r="J27199"/>
      <c r="K27199"/>
      <c r="L27199"/>
    </row>
    <row r="27200" spans="2:12" x14ac:dyDescent="0.2">
      <c r="B27200"/>
      <c r="C27200"/>
      <c r="J27200"/>
      <c r="K27200"/>
      <c r="L27200"/>
    </row>
    <row r="27201" spans="2:12" x14ac:dyDescent="0.2">
      <c r="B27201"/>
      <c r="C27201"/>
      <c r="J27201"/>
      <c r="K27201"/>
      <c r="L27201"/>
    </row>
    <row r="27202" spans="2:12" x14ac:dyDescent="0.2">
      <c r="B27202"/>
      <c r="C27202"/>
      <c r="J27202"/>
      <c r="K27202"/>
      <c r="L27202"/>
    </row>
    <row r="27203" spans="2:12" x14ac:dyDescent="0.2">
      <c r="B27203"/>
      <c r="C27203"/>
      <c r="J27203"/>
      <c r="K27203"/>
      <c r="L27203"/>
    </row>
    <row r="27204" spans="2:12" x14ac:dyDescent="0.2">
      <c r="B27204"/>
      <c r="C27204"/>
      <c r="J27204"/>
      <c r="K27204"/>
      <c r="L27204"/>
    </row>
    <row r="27205" spans="2:12" x14ac:dyDescent="0.2">
      <c r="B27205"/>
      <c r="C27205"/>
      <c r="J27205"/>
      <c r="K27205"/>
      <c r="L27205"/>
    </row>
    <row r="27206" spans="2:12" x14ac:dyDescent="0.2">
      <c r="B27206"/>
      <c r="C27206"/>
      <c r="J27206"/>
      <c r="K27206"/>
      <c r="L27206"/>
    </row>
    <row r="27207" spans="2:12" x14ac:dyDescent="0.2">
      <c r="B27207"/>
      <c r="C27207"/>
      <c r="J27207"/>
      <c r="K27207"/>
      <c r="L27207"/>
    </row>
    <row r="27208" spans="2:12" x14ac:dyDescent="0.2">
      <c r="B27208"/>
      <c r="C27208"/>
      <c r="J27208"/>
      <c r="K27208"/>
      <c r="L27208"/>
    </row>
    <row r="27209" spans="2:12" x14ac:dyDescent="0.2">
      <c r="B27209"/>
      <c r="C27209"/>
      <c r="J27209"/>
      <c r="K27209"/>
      <c r="L27209"/>
    </row>
    <row r="27210" spans="2:12" x14ac:dyDescent="0.2">
      <c r="B27210"/>
      <c r="C27210"/>
      <c r="J27210"/>
      <c r="K27210"/>
      <c r="L27210"/>
    </row>
    <row r="27211" spans="2:12" x14ac:dyDescent="0.2">
      <c r="B27211"/>
      <c r="C27211"/>
      <c r="J27211"/>
      <c r="K27211"/>
      <c r="L27211"/>
    </row>
    <row r="27212" spans="2:12" x14ac:dyDescent="0.2">
      <c r="B27212"/>
      <c r="C27212"/>
      <c r="J27212"/>
      <c r="K27212"/>
      <c r="L27212"/>
    </row>
    <row r="27213" spans="2:12" x14ac:dyDescent="0.2">
      <c r="B27213"/>
      <c r="C27213"/>
      <c r="J27213"/>
      <c r="K27213"/>
      <c r="L27213"/>
    </row>
    <row r="27214" spans="2:12" x14ac:dyDescent="0.2">
      <c r="B27214"/>
      <c r="C27214"/>
      <c r="J27214"/>
      <c r="K27214"/>
      <c r="L27214"/>
    </row>
    <row r="27215" spans="2:12" x14ac:dyDescent="0.2">
      <c r="B27215"/>
      <c r="C27215"/>
      <c r="J27215"/>
      <c r="K27215"/>
      <c r="L27215"/>
    </row>
    <row r="27216" spans="2:12" x14ac:dyDescent="0.2">
      <c r="B27216"/>
      <c r="C27216"/>
      <c r="J27216"/>
      <c r="K27216"/>
      <c r="L27216"/>
    </row>
    <row r="27217" spans="2:12" x14ac:dyDescent="0.2">
      <c r="B27217"/>
      <c r="C27217"/>
      <c r="J27217"/>
      <c r="K27217"/>
      <c r="L27217"/>
    </row>
    <row r="27218" spans="2:12" x14ac:dyDescent="0.2">
      <c r="B27218"/>
      <c r="C27218"/>
      <c r="J27218"/>
      <c r="K27218"/>
      <c r="L27218"/>
    </row>
    <row r="27219" spans="2:12" x14ac:dyDescent="0.2">
      <c r="B27219"/>
      <c r="C27219"/>
      <c r="J27219"/>
      <c r="K27219"/>
      <c r="L27219"/>
    </row>
    <row r="27220" spans="2:12" x14ac:dyDescent="0.2">
      <c r="B27220"/>
      <c r="C27220"/>
      <c r="J27220"/>
      <c r="K27220"/>
      <c r="L27220"/>
    </row>
    <row r="27221" spans="2:12" x14ac:dyDescent="0.2">
      <c r="B27221"/>
      <c r="C27221"/>
      <c r="J27221"/>
      <c r="K27221"/>
      <c r="L27221"/>
    </row>
    <row r="27222" spans="2:12" x14ac:dyDescent="0.2">
      <c r="B27222"/>
      <c r="C27222"/>
      <c r="J27222"/>
      <c r="K27222"/>
      <c r="L27222"/>
    </row>
    <row r="27223" spans="2:12" x14ac:dyDescent="0.2">
      <c r="B27223"/>
      <c r="C27223"/>
      <c r="J27223"/>
      <c r="K27223"/>
      <c r="L27223"/>
    </row>
    <row r="27224" spans="2:12" x14ac:dyDescent="0.2">
      <c r="B27224"/>
      <c r="C27224"/>
      <c r="J27224"/>
      <c r="K27224"/>
      <c r="L27224"/>
    </row>
    <row r="27225" spans="2:12" x14ac:dyDescent="0.2">
      <c r="B27225"/>
      <c r="C27225"/>
      <c r="J27225"/>
      <c r="K27225"/>
      <c r="L27225"/>
    </row>
    <row r="27226" spans="2:12" x14ac:dyDescent="0.2">
      <c r="B27226"/>
      <c r="C27226"/>
      <c r="J27226"/>
      <c r="K27226"/>
      <c r="L27226"/>
    </row>
    <row r="27227" spans="2:12" x14ac:dyDescent="0.2">
      <c r="B27227"/>
      <c r="C27227"/>
      <c r="J27227"/>
      <c r="K27227"/>
      <c r="L27227"/>
    </row>
    <row r="27228" spans="2:12" x14ac:dyDescent="0.2">
      <c r="B27228"/>
      <c r="C27228"/>
      <c r="J27228"/>
      <c r="K27228"/>
      <c r="L27228"/>
    </row>
    <row r="27229" spans="2:12" x14ac:dyDescent="0.2">
      <c r="B27229"/>
      <c r="C27229"/>
      <c r="J27229"/>
      <c r="K27229"/>
      <c r="L27229"/>
    </row>
    <row r="27230" spans="2:12" x14ac:dyDescent="0.2">
      <c r="B27230"/>
      <c r="C27230"/>
      <c r="J27230"/>
      <c r="K27230"/>
      <c r="L27230"/>
    </row>
    <row r="27231" spans="2:12" x14ac:dyDescent="0.2">
      <c r="B27231"/>
      <c r="C27231"/>
      <c r="J27231"/>
      <c r="K27231"/>
      <c r="L27231"/>
    </row>
    <row r="27232" spans="2:12" x14ac:dyDescent="0.2">
      <c r="B27232"/>
      <c r="C27232"/>
      <c r="J27232"/>
      <c r="K27232"/>
      <c r="L27232"/>
    </row>
    <row r="27233" spans="2:12" x14ac:dyDescent="0.2">
      <c r="B27233"/>
      <c r="C27233"/>
      <c r="J27233"/>
      <c r="K27233"/>
      <c r="L27233"/>
    </row>
    <row r="27234" spans="2:12" x14ac:dyDescent="0.2">
      <c r="B27234"/>
      <c r="C27234"/>
      <c r="J27234"/>
      <c r="K27234"/>
      <c r="L27234"/>
    </row>
    <row r="27235" spans="2:12" x14ac:dyDescent="0.2">
      <c r="B27235"/>
      <c r="C27235"/>
      <c r="J27235"/>
      <c r="K27235"/>
      <c r="L27235"/>
    </row>
    <row r="27236" spans="2:12" x14ac:dyDescent="0.2">
      <c r="B27236"/>
      <c r="C27236"/>
      <c r="J27236"/>
      <c r="K27236"/>
      <c r="L27236"/>
    </row>
    <row r="27237" spans="2:12" x14ac:dyDescent="0.2">
      <c r="B27237"/>
      <c r="C27237"/>
      <c r="J27237"/>
      <c r="K27237"/>
      <c r="L27237"/>
    </row>
    <row r="27238" spans="2:12" x14ac:dyDescent="0.2">
      <c r="B27238"/>
      <c r="C27238"/>
      <c r="J27238"/>
      <c r="K27238"/>
      <c r="L27238"/>
    </row>
    <row r="27239" spans="2:12" x14ac:dyDescent="0.2">
      <c r="B27239"/>
      <c r="C27239"/>
      <c r="J27239"/>
      <c r="K27239"/>
      <c r="L27239"/>
    </row>
    <row r="27240" spans="2:12" x14ac:dyDescent="0.2">
      <c r="B27240"/>
      <c r="C27240"/>
      <c r="J27240"/>
      <c r="K27240"/>
      <c r="L27240"/>
    </row>
    <row r="27241" spans="2:12" x14ac:dyDescent="0.2">
      <c r="B27241"/>
      <c r="C27241"/>
      <c r="J27241"/>
      <c r="K27241"/>
      <c r="L27241"/>
    </row>
    <row r="27242" spans="2:12" x14ac:dyDescent="0.2">
      <c r="B27242"/>
      <c r="C27242"/>
      <c r="J27242"/>
      <c r="K27242"/>
      <c r="L27242"/>
    </row>
    <row r="27243" spans="2:12" x14ac:dyDescent="0.2">
      <c r="B27243"/>
      <c r="C27243"/>
      <c r="J27243"/>
      <c r="K27243"/>
      <c r="L27243"/>
    </row>
    <row r="27244" spans="2:12" x14ac:dyDescent="0.2">
      <c r="B27244"/>
      <c r="C27244"/>
      <c r="J27244"/>
      <c r="K27244"/>
      <c r="L27244"/>
    </row>
    <row r="27245" spans="2:12" x14ac:dyDescent="0.2">
      <c r="B27245"/>
      <c r="C27245"/>
      <c r="J27245"/>
      <c r="K27245"/>
      <c r="L27245"/>
    </row>
    <row r="27246" spans="2:12" x14ac:dyDescent="0.2">
      <c r="B27246"/>
      <c r="C27246"/>
      <c r="J27246"/>
      <c r="K27246"/>
      <c r="L27246"/>
    </row>
    <row r="27247" spans="2:12" x14ac:dyDescent="0.2">
      <c r="B27247"/>
      <c r="C27247"/>
      <c r="J27247"/>
      <c r="K27247"/>
      <c r="L27247"/>
    </row>
    <row r="27248" spans="2:12" x14ac:dyDescent="0.2">
      <c r="B27248"/>
      <c r="C27248"/>
      <c r="J27248"/>
      <c r="K27248"/>
      <c r="L27248"/>
    </row>
    <row r="27249" spans="2:12" x14ac:dyDescent="0.2">
      <c r="B27249"/>
      <c r="C27249"/>
      <c r="J27249"/>
      <c r="K27249"/>
      <c r="L27249"/>
    </row>
    <row r="27250" spans="2:12" x14ac:dyDescent="0.2">
      <c r="B27250"/>
      <c r="C27250"/>
      <c r="J27250"/>
      <c r="K27250"/>
      <c r="L27250"/>
    </row>
    <row r="27251" spans="2:12" x14ac:dyDescent="0.2">
      <c r="B27251"/>
      <c r="C27251"/>
      <c r="J27251"/>
      <c r="K27251"/>
      <c r="L27251"/>
    </row>
    <row r="27252" spans="2:12" x14ac:dyDescent="0.2">
      <c r="B27252"/>
      <c r="C27252"/>
      <c r="J27252"/>
      <c r="K27252"/>
      <c r="L27252"/>
    </row>
    <row r="27253" spans="2:12" x14ac:dyDescent="0.2">
      <c r="B27253"/>
      <c r="C27253"/>
      <c r="J27253"/>
      <c r="K27253"/>
      <c r="L27253"/>
    </row>
    <row r="27254" spans="2:12" x14ac:dyDescent="0.2">
      <c r="B27254"/>
      <c r="C27254"/>
      <c r="J27254"/>
      <c r="K27254"/>
      <c r="L27254"/>
    </row>
    <row r="27255" spans="2:12" x14ac:dyDescent="0.2">
      <c r="B27255"/>
      <c r="C27255"/>
      <c r="J27255"/>
      <c r="K27255"/>
      <c r="L27255"/>
    </row>
    <row r="27256" spans="2:12" x14ac:dyDescent="0.2">
      <c r="B27256"/>
      <c r="C27256"/>
      <c r="J27256"/>
      <c r="K27256"/>
      <c r="L27256"/>
    </row>
    <row r="27257" spans="2:12" x14ac:dyDescent="0.2">
      <c r="B27257"/>
      <c r="C27257"/>
      <c r="J27257"/>
      <c r="K27257"/>
      <c r="L27257"/>
    </row>
    <row r="27258" spans="2:12" x14ac:dyDescent="0.2">
      <c r="B27258"/>
      <c r="C27258"/>
      <c r="J27258"/>
      <c r="K27258"/>
      <c r="L27258"/>
    </row>
    <row r="27259" spans="2:12" x14ac:dyDescent="0.2">
      <c r="B27259"/>
      <c r="C27259"/>
      <c r="J27259"/>
      <c r="K27259"/>
      <c r="L27259"/>
    </row>
    <row r="27260" spans="2:12" x14ac:dyDescent="0.2">
      <c r="B27260"/>
      <c r="C27260"/>
      <c r="J27260"/>
      <c r="K27260"/>
      <c r="L27260"/>
    </row>
    <row r="27261" spans="2:12" x14ac:dyDescent="0.2">
      <c r="B27261"/>
      <c r="C27261"/>
      <c r="J27261"/>
      <c r="K27261"/>
      <c r="L27261"/>
    </row>
    <row r="27262" spans="2:12" x14ac:dyDescent="0.2">
      <c r="B27262"/>
      <c r="C27262"/>
      <c r="J27262"/>
      <c r="K27262"/>
      <c r="L27262"/>
    </row>
    <row r="27263" spans="2:12" x14ac:dyDescent="0.2">
      <c r="B27263"/>
      <c r="C27263"/>
      <c r="J27263"/>
      <c r="K27263"/>
      <c r="L27263"/>
    </row>
    <row r="27264" spans="2:12" x14ac:dyDescent="0.2">
      <c r="B27264"/>
      <c r="C27264"/>
      <c r="J27264"/>
      <c r="K27264"/>
      <c r="L27264"/>
    </row>
    <row r="27265" spans="2:12" x14ac:dyDescent="0.2">
      <c r="B27265"/>
      <c r="C27265"/>
      <c r="J27265"/>
      <c r="K27265"/>
      <c r="L27265"/>
    </row>
    <row r="27266" spans="2:12" x14ac:dyDescent="0.2">
      <c r="B27266"/>
      <c r="C27266"/>
      <c r="J27266"/>
      <c r="K27266"/>
      <c r="L27266"/>
    </row>
    <row r="27267" spans="2:12" x14ac:dyDescent="0.2">
      <c r="B27267"/>
      <c r="C27267"/>
      <c r="J27267"/>
      <c r="K27267"/>
      <c r="L27267"/>
    </row>
    <row r="27268" spans="2:12" x14ac:dyDescent="0.2">
      <c r="B27268"/>
      <c r="C27268"/>
      <c r="J27268"/>
      <c r="K27268"/>
      <c r="L27268"/>
    </row>
    <row r="27269" spans="2:12" x14ac:dyDescent="0.2">
      <c r="B27269"/>
      <c r="C27269"/>
      <c r="J27269"/>
      <c r="K27269"/>
      <c r="L27269"/>
    </row>
    <row r="27270" spans="2:12" x14ac:dyDescent="0.2">
      <c r="B27270"/>
      <c r="C27270"/>
      <c r="J27270"/>
      <c r="K27270"/>
      <c r="L27270"/>
    </row>
    <row r="27271" spans="2:12" x14ac:dyDescent="0.2">
      <c r="B27271"/>
      <c r="C27271"/>
      <c r="J27271"/>
      <c r="K27271"/>
      <c r="L27271"/>
    </row>
    <row r="27272" spans="2:12" x14ac:dyDescent="0.2">
      <c r="B27272"/>
      <c r="C27272"/>
      <c r="J27272"/>
      <c r="K27272"/>
      <c r="L27272"/>
    </row>
    <row r="27273" spans="2:12" x14ac:dyDescent="0.2">
      <c r="B27273"/>
      <c r="C27273"/>
      <c r="J27273"/>
      <c r="K27273"/>
      <c r="L27273"/>
    </row>
    <row r="27274" spans="2:12" x14ac:dyDescent="0.2">
      <c r="B27274"/>
      <c r="C27274"/>
      <c r="J27274"/>
      <c r="K27274"/>
      <c r="L27274"/>
    </row>
    <row r="27275" spans="2:12" x14ac:dyDescent="0.2">
      <c r="B27275"/>
      <c r="C27275"/>
      <c r="J27275"/>
      <c r="K27275"/>
      <c r="L27275"/>
    </row>
    <row r="27276" spans="2:12" x14ac:dyDescent="0.2">
      <c r="B27276"/>
      <c r="C27276"/>
      <c r="J27276"/>
      <c r="K27276"/>
      <c r="L27276"/>
    </row>
    <row r="27277" spans="2:12" x14ac:dyDescent="0.2">
      <c r="B27277"/>
      <c r="C27277"/>
      <c r="J27277"/>
      <c r="K27277"/>
      <c r="L27277"/>
    </row>
    <row r="27278" spans="2:12" x14ac:dyDescent="0.2">
      <c r="B27278"/>
      <c r="C27278"/>
      <c r="J27278"/>
      <c r="K27278"/>
      <c r="L27278"/>
    </row>
    <row r="27279" spans="2:12" x14ac:dyDescent="0.2">
      <c r="B27279"/>
      <c r="C27279"/>
      <c r="J27279"/>
      <c r="K27279"/>
      <c r="L27279"/>
    </row>
    <row r="27280" spans="2:12" x14ac:dyDescent="0.2">
      <c r="B27280"/>
      <c r="C27280"/>
      <c r="J27280"/>
      <c r="K27280"/>
      <c r="L27280"/>
    </row>
    <row r="27281" spans="2:12" x14ac:dyDescent="0.2">
      <c r="B27281"/>
      <c r="C27281"/>
      <c r="J27281"/>
      <c r="K27281"/>
      <c r="L27281"/>
    </row>
    <row r="27282" spans="2:12" x14ac:dyDescent="0.2">
      <c r="B27282"/>
      <c r="C27282"/>
      <c r="J27282"/>
      <c r="K27282"/>
      <c r="L27282"/>
    </row>
    <row r="27283" spans="2:12" x14ac:dyDescent="0.2">
      <c r="B27283"/>
      <c r="C27283"/>
      <c r="J27283"/>
      <c r="K27283"/>
      <c r="L27283"/>
    </row>
    <row r="27284" spans="2:12" x14ac:dyDescent="0.2">
      <c r="B27284"/>
      <c r="C27284"/>
      <c r="J27284"/>
      <c r="K27284"/>
      <c r="L27284"/>
    </row>
    <row r="27285" spans="2:12" x14ac:dyDescent="0.2">
      <c r="B27285"/>
      <c r="C27285"/>
      <c r="J27285"/>
      <c r="K27285"/>
      <c r="L27285"/>
    </row>
    <row r="27286" spans="2:12" x14ac:dyDescent="0.2">
      <c r="B27286"/>
      <c r="C27286"/>
      <c r="J27286"/>
      <c r="K27286"/>
      <c r="L27286"/>
    </row>
    <row r="27287" spans="2:12" x14ac:dyDescent="0.2">
      <c r="B27287"/>
      <c r="C27287"/>
      <c r="J27287"/>
      <c r="K27287"/>
      <c r="L27287"/>
    </row>
    <row r="27288" spans="2:12" x14ac:dyDescent="0.2">
      <c r="B27288"/>
      <c r="C27288"/>
      <c r="J27288"/>
      <c r="K27288"/>
      <c r="L27288"/>
    </row>
    <row r="27289" spans="2:12" x14ac:dyDescent="0.2">
      <c r="B27289"/>
      <c r="C27289"/>
      <c r="J27289"/>
      <c r="K27289"/>
      <c r="L27289"/>
    </row>
    <row r="27290" spans="2:12" x14ac:dyDescent="0.2">
      <c r="B27290"/>
      <c r="C27290"/>
      <c r="J27290"/>
      <c r="K27290"/>
      <c r="L27290"/>
    </row>
    <row r="27291" spans="2:12" x14ac:dyDescent="0.2">
      <c r="B27291"/>
      <c r="C27291"/>
      <c r="J27291"/>
      <c r="K27291"/>
      <c r="L27291"/>
    </row>
    <row r="27292" spans="2:12" x14ac:dyDescent="0.2">
      <c r="B27292"/>
      <c r="C27292"/>
      <c r="J27292"/>
      <c r="K27292"/>
      <c r="L27292"/>
    </row>
    <row r="27293" spans="2:12" x14ac:dyDescent="0.2">
      <c r="B27293"/>
      <c r="C27293"/>
      <c r="J27293"/>
      <c r="K27293"/>
      <c r="L27293"/>
    </row>
    <row r="27294" spans="2:12" x14ac:dyDescent="0.2">
      <c r="B27294"/>
      <c r="C27294"/>
      <c r="J27294"/>
      <c r="K27294"/>
      <c r="L27294"/>
    </row>
    <row r="27295" spans="2:12" x14ac:dyDescent="0.2">
      <c r="B27295"/>
      <c r="C27295"/>
      <c r="J27295"/>
      <c r="K27295"/>
      <c r="L27295"/>
    </row>
    <row r="27296" spans="2:12" x14ac:dyDescent="0.2">
      <c r="B27296"/>
      <c r="C27296"/>
      <c r="J27296"/>
      <c r="K27296"/>
      <c r="L27296"/>
    </row>
    <row r="27297" spans="2:12" x14ac:dyDescent="0.2">
      <c r="B27297"/>
      <c r="C27297"/>
      <c r="J27297"/>
      <c r="K27297"/>
      <c r="L27297"/>
    </row>
    <row r="27298" spans="2:12" x14ac:dyDescent="0.2">
      <c r="B27298"/>
      <c r="C27298"/>
      <c r="J27298"/>
      <c r="K27298"/>
      <c r="L27298"/>
    </row>
    <row r="27299" spans="2:12" x14ac:dyDescent="0.2">
      <c r="B27299"/>
      <c r="C27299"/>
      <c r="J27299"/>
      <c r="K27299"/>
      <c r="L27299"/>
    </row>
    <row r="27300" spans="2:12" x14ac:dyDescent="0.2">
      <c r="B27300"/>
      <c r="C27300"/>
      <c r="J27300"/>
      <c r="K27300"/>
      <c r="L27300"/>
    </row>
    <row r="27301" spans="2:12" x14ac:dyDescent="0.2">
      <c r="B27301"/>
      <c r="C27301"/>
      <c r="J27301"/>
      <c r="K27301"/>
      <c r="L27301"/>
    </row>
    <row r="27302" spans="2:12" x14ac:dyDescent="0.2">
      <c r="B27302"/>
      <c r="C27302"/>
      <c r="J27302"/>
      <c r="K27302"/>
      <c r="L27302"/>
    </row>
    <row r="27303" spans="2:12" x14ac:dyDescent="0.2">
      <c r="B27303"/>
      <c r="C27303"/>
      <c r="J27303"/>
      <c r="K27303"/>
      <c r="L27303"/>
    </row>
    <row r="27304" spans="2:12" x14ac:dyDescent="0.2">
      <c r="B27304"/>
      <c r="C27304"/>
      <c r="J27304"/>
      <c r="K27304"/>
      <c r="L27304"/>
    </row>
    <row r="27305" spans="2:12" x14ac:dyDescent="0.2">
      <c r="B27305"/>
      <c r="C27305"/>
      <c r="J27305"/>
      <c r="K27305"/>
      <c r="L27305"/>
    </row>
    <row r="27306" spans="2:12" x14ac:dyDescent="0.2">
      <c r="B27306"/>
      <c r="C27306"/>
      <c r="J27306"/>
      <c r="K27306"/>
      <c r="L27306"/>
    </row>
    <row r="27307" spans="2:12" x14ac:dyDescent="0.2">
      <c r="B27307"/>
      <c r="C27307"/>
      <c r="J27307"/>
      <c r="K27307"/>
      <c r="L27307"/>
    </row>
    <row r="27308" spans="2:12" x14ac:dyDescent="0.2">
      <c r="B27308"/>
      <c r="C27308"/>
      <c r="J27308"/>
      <c r="K27308"/>
      <c r="L27308"/>
    </row>
    <row r="27309" spans="2:12" x14ac:dyDescent="0.2">
      <c r="B27309"/>
      <c r="C27309"/>
      <c r="J27309"/>
      <c r="K27309"/>
      <c r="L27309"/>
    </row>
    <row r="27310" spans="2:12" x14ac:dyDescent="0.2">
      <c r="B27310"/>
      <c r="C27310"/>
      <c r="J27310"/>
      <c r="K27310"/>
      <c r="L27310"/>
    </row>
    <row r="27311" spans="2:12" x14ac:dyDescent="0.2">
      <c r="B27311"/>
      <c r="C27311"/>
      <c r="J27311"/>
      <c r="K27311"/>
      <c r="L27311"/>
    </row>
    <row r="27312" spans="2:12" x14ac:dyDescent="0.2">
      <c r="B27312"/>
      <c r="C27312"/>
      <c r="J27312"/>
      <c r="K27312"/>
      <c r="L27312"/>
    </row>
    <row r="27313" spans="2:12" x14ac:dyDescent="0.2">
      <c r="B27313"/>
      <c r="C27313"/>
      <c r="J27313"/>
      <c r="K27313"/>
      <c r="L27313"/>
    </row>
    <row r="27314" spans="2:12" x14ac:dyDescent="0.2">
      <c r="B27314"/>
      <c r="C27314"/>
      <c r="J27314"/>
      <c r="K27314"/>
      <c r="L27314"/>
    </row>
    <row r="27315" spans="2:12" x14ac:dyDescent="0.2">
      <c r="B27315"/>
      <c r="C27315"/>
      <c r="J27315"/>
      <c r="K27315"/>
      <c r="L27315"/>
    </row>
    <row r="27316" spans="2:12" x14ac:dyDescent="0.2">
      <c r="B27316"/>
      <c r="C27316"/>
      <c r="J27316"/>
      <c r="K27316"/>
      <c r="L27316"/>
    </row>
    <row r="27317" spans="2:12" x14ac:dyDescent="0.2">
      <c r="B27317"/>
      <c r="C27317"/>
      <c r="J27317"/>
      <c r="K27317"/>
      <c r="L27317"/>
    </row>
    <row r="27318" spans="2:12" x14ac:dyDescent="0.2">
      <c r="B27318"/>
      <c r="C27318"/>
      <c r="J27318"/>
      <c r="K27318"/>
      <c r="L27318"/>
    </row>
    <row r="27319" spans="2:12" x14ac:dyDescent="0.2">
      <c r="B27319"/>
      <c r="C27319"/>
      <c r="J27319"/>
      <c r="K27319"/>
      <c r="L27319"/>
    </row>
    <row r="27320" spans="2:12" x14ac:dyDescent="0.2">
      <c r="B27320"/>
      <c r="C27320"/>
      <c r="J27320"/>
      <c r="K27320"/>
      <c r="L27320"/>
    </row>
    <row r="27321" spans="2:12" x14ac:dyDescent="0.2">
      <c r="B27321"/>
      <c r="C27321"/>
      <c r="J27321"/>
      <c r="K27321"/>
      <c r="L27321"/>
    </row>
    <row r="27322" spans="2:12" x14ac:dyDescent="0.2">
      <c r="B27322"/>
      <c r="C27322"/>
      <c r="J27322"/>
      <c r="K27322"/>
      <c r="L27322"/>
    </row>
    <row r="27323" spans="2:12" x14ac:dyDescent="0.2">
      <c r="B27323"/>
      <c r="C27323"/>
      <c r="J27323"/>
      <c r="K27323"/>
      <c r="L27323"/>
    </row>
    <row r="27324" spans="2:12" x14ac:dyDescent="0.2">
      <c r="B27324"/>
      <c r="C27324"/>
      <c r="J27324"/>
      <c r="K27324"/>
      <c r="L27324"/>
    </row>
    <row r="27325" spans="2:12" x14ac:dyDescent="0.2">
      <c r="B27325"/>
      <c r="C27325"/>
      <c r="J27325"/>
      <c r="K27325"/>
      <c r="L27325"/>
    </row>
    <row r="27326" spans="2:12" x14ac:dyDescent="0.2">
      <c r="B27326"/>
      <c r="C27326"/>
      <c r="J27326"/>
      <c r="K27326"/>
      <c r="L27326"/>
    </row>
    <row r="27327" spans="2:12" x14ac:dyDescent="0.2">
      <c r="B27327"/>
      <c r="C27327"/>
      <c r="J27327"/>
      <c r="K27327"/>
      <c r="L27327"/>
    </row>
    <row r="27328" spans="2:12" x14ac:dyDescent="0.2">
      <c r="B27328"/>
      <c r="C27328"/>
      <c r="J27328"/>
      <c r="K27328"/>
      <c r="L27328"/>
    </row>
    <row r="27329" spans="2:12" x14ac:dyDescent="0.2">
      <c r="B27329"/>
      <c r="C27329"/>
      <c r="J27329"/>
      <c r="K27329"/>
      <c r="L27329"/>
    </row>
    <row r="27330" spans="2:12" x14ac:dyDescent="0.2">
      <c r="B27330"/>
      <c r="C27330"/>
      <c r="J27330"/>
      <c r="K27330"/>
      <c r="L27330"/>
    </row>
    <row r="27331" spans="2:12" x14ac:dyDescent="0.2">
      <c r="B27331"/>
      <c r="C27331"/>
      <c r="J27331"/>
      <c r="K27331"/>
      <c r="L27331"/>
    </row>
    <row r="27332" spans="2:12" x14ac:dyDescent="0.2">
      <c r="B27332"/>
      <c r="C27332"/>
      <c r="J27332"/>
      <c r="K27332"/>
      <c r="L27332"/>
    </row>
    <row r="27333" spans="2:12" x14ac:dyDescent="0.2">
      <c r="B27333"/>
      <c r="C27333"/>
      <c r="J27333"/>
      <c r="K27333"/>
      <c r="L27333"/>
    </row>
    <row r="27334" spans="2:12" x14ac:dyDescent="0.2">
      <c r="B27334"/>
      <c r="C27334"/>
      <c r="J27334"/>
      <c r="K27334"/>
      <c r="L27334"/>
    </row>
    <row r="27335" spans="2:12" x14ac:dyDescent="0.2">
      <c r="B27335"/>
      <c r="C27335"/>
      <c r="J27335"/>
      <c r="K27335"/>
      <c r="L27335"/>
    </row>
    <row r="27336" spans="2:12" x14ac:dyDescent="0.2">
      <c r="B27336"/>
      <c r="C27336"/>
      <c r="J27336"/>
      <c r="K27336"/>
      <c r="L27336"/>
    </row>
    <row r="27337" spans="2:12" x14ac:dyDescent="0.2">
      <c r="B27337"/>
      <c r="C27337"/>
      <c r="J27337"/>
      <c r="K27337"/>
      <c r="L27337"/>
    </row>
    <row r="27338" spans="2:12" x14ac:dyDescent="0.2">
      <c r="B27338"/>
      <c r="C27338"/>
      <c r="J27338"/>
      <c r="K27338"/>
      <c r="L27338"/>
    </row>
    <row r="27339" spans="2:12" x14ac:dyDescent="0.2">
      <c r="B27339"/>
      <c r="C27339"/>
      <c r="J27339"/>
      <c r="K27339"/>
      <c r="L27339"/>
    </row>
    <row r="27340" spans="2:12" x14ac:dyDescent="0.2">
      <c r="B27340"/>
      <c r="C27340"/>
      <c r="J27340"/>
      <c r="K27340"/>
      <c r="L27340"/>
    </row>
    <row r="27341" spans="2:12" x14ac:dyDescent="0.2">
      <c r="B27341"/>
      <c r="C27341"/>
      <c r="J27341"/>
      <c r="K27341"/>
      <c r="L27341"/>
    </row>
    <row r="27342" spans="2:12" x14ac:dyDescent="0.2">
      <c r="B27342"/>
      <c r="C27342"/>
      <c r="J27342"/>
      <c r="K27342"/>
      <c r="L27342"/>
    </row>
    <row r="27343" spans="2:12" x14ac:dyDescent="0.2">
      <c r="B27343"/>
      <c r="C27343"/>
      <c r="J27343"/>
      <c r="K27343"/>
      <c r="L27343"/>
    </row>
    <row r="27344" spans="2:12" x14ac:dyDescent="0.2">
      <c r="B27344"/>
      <c r="C27344"/>
      <c r="J27344"/>
      <c r="K27344"/>
      <c r="L27344"/>
    </row>
    <row r="27345" spans="2:12" x14ac:dyDescent="0.2">
      <c r="B27345"/>
      <c r="C27345"/>
      <c r="J27345"/>
      <c r="K27345"/>
      <c r="L27345"/>
    </row>
    <row r="27346" spans="2:12" x14ac:dyDescent="0.2">
      <c r="B27346"/>
      <c r="C27346"/>
      <c r="J27346"/>
      <c r="K27346"/>
      <c r="L27346"/>
    </row>
    <row r="27347" spans="2:12" x14ac:dyDescent="0.2">
      <c r="B27347"/>
      <c r="C27347"/>
      <c r="J27347"/>
      <c r="K27347"/>
      <c r="L27347"/>
    </row>
    <row r="27348" spans="2:12" x14ac:dyDescent="0.2">
      <c r="B27348"/>
      <c r="C27348"/>
      <c r="J27348"/>
      <c r="K27348"/>
      <c r="L27348"/>
    </row>
    <row r="27349" spans="2:12" x14ac:dyDescent="0.2">
      <c r="B27349"/>
      <c r="C27349"/>
      <c r="J27349"/>
      <c r="K27349"/>
      <c r="L27349"/>
    </row>
    <row r="27350" spans="2:12" x14ac:dyDescent="0.2">
      <c r="B27350"/>
      <c r="C27350"/>
      <c r="J27350"/>
      <c r="K27350"/>
      <c r="L27350"/>
    </row>
    <row r="27351" spans="2:12" x14ac:dyDescent="0.2">
      <c r="B27351"/>
      <c r="C27351"/>
      <c r="J27351"/>
      <c r="K27351"/>
      <c r="L27351"/>
    </row>
    <row r="27352" spans="2:12" x14ac:dyDescent="0.2">
      <c r="B27352"/>
      <c r="C27352"/>
      <c r="J27352"/>
      <c r="K27352"/>
      <c r="L27352"/>
    </row>
    <row r="27353" spans="2:12" x14ac:dyDescent="0.2">
      <c r="B27353"/>
      <c r="C27353"/>
      <c r="J27353"/>
      <c r="K27353"/>
      <c r="L27353"/>
    </row>
    <row r="27354" spans="2:12" x14ac:dyDescent="0.2">
      <c r="B27354"/>
      <c r="C27354"/>
      <c r="J27354"/>
      <c r="K27354"/>
      <c r="L27354"/>
    </row>
    <row r="27355" spans="2:12" x14ac:dyDescent="0.2">
      <c r="B27355"/>
      <c r="C27355"/>
      <c r="J27355"/>
      <c r="K27355"/>
      <c r="L27355"/>
    </row>
    <row r="27356" spans="2:12" x14ac:dyDescent="0.2">
      <c r="B27356"/>
      <c r="C27356"/>
      <c r="J27356"/>
      <c r="K27356"/>
      <c r="L27356"/>
    </row>
    <row r="27357" spans="2:12" x14ac:dyDescent="0.2">
      <c r="B27357"/>
      <c r="C27357"/>
      <c r="J27357"/>
      <c r="K27357"/>
      <c r="L27357"/>
    </row>
    <row r="27358" spans="2:12" x14ac:dyDescent="0.2">
      <c r="B27358"/>
      <c r="C27358"/>
      <c r="J27358"/>
      <c r="K27358"/>
      <c r="L27358"/>
    </row>
    <row r="27359" spans="2:12" x14ac:dyDescent="0.2">
      <c r="B27359"/>
      <c r="C27359"/>
      <c r="J27359"/>
      <c r="K27359"/>
      <c r="L27359"/>
    </row>
    <row r="27360" spans="2:12" x14ac:dyDescent="0.2">
      <c r="B27360"/>
      <c r="C27360"/>
      <c r="J27360"/>
      <c r="K27360"/>
      <c r="L27360"/>
    </row>
    <row r="27361" spans="2:12" x14ac:dyDescent="0.2">
      <c r="B27361"/>
      <c r="C27361"/>
      <c r="J27361"/>
      <c r="K27361"/>
      <c r="L27361"/>
    </row>
    <row r="27362" spans="2:12" x14ac:dyDescent="0.2">
      <c r="B27362"/>
      <c r="C27362"/>
      <c r="J27362"/>
      <c r="K27362"/>
      <c r="L27362"/>
    </row>
    <row r="27363" spans="2:12" x14ac:dyDescent="0.2">
      <c r="B27363"/>
      <c r="C27363"/>
      <c r="J27363"/>
      <c r="K27363"/>
      <c r="L27363"/>
    </row>
    <row r="27364" spans="2:12" x14ac:dyDescent="0.2">
      <c r="B27364"/>
      <c r="C27364"/>
      <c r="J27364"/>
      <c r="K27364"/>
      <c r="L27364"/>
    </row>
    <row r="27365" spans="2:12" x14ac:dyDescent="0.2">
      <c r="B27365"/>
      <c r="C27365"/>
      <c r="J27365"/>
      <c r="K27365"/>
      <c r="L27365"/>
    </row>
    <row r="27366" spans="2:12" x14ac:dyDescent="0.2">
      <c r="B27366"/>
      <c r="C27366"/>
      <c r="J27366"/>
      <c r="K27366"/>
      <c r="L27366"/>
    </row>
    <row r="27367" spans="2:12" x14ac:dyDescent="0.2">
      <c r="B27367"/>
      <c r="C27367"/>
      <c r="J27367"/>
      <c r="K27367"/>
      <c r="L27367"/>
    </row>
    <row r="27368" spans="2:12" x14ac:dyDescent="0.2">
      <c r="B27368"/>
      <c r="C27368"/>
      <c r="J27368"/>
      <c r="K27368"/>
      <c r="L27368"/>
    </row>
    <row r="27369" spans="2:12" x14ac:dyDescent="0.2">
      <c r="B27369"/>
      <c r="C27369"/>
      <c r="J27369"/>
      <c r="K27369"/>
      <c r="L27369"/>
    </row>
    <row r="27370" spans="2:12" x14ac:dyDescent="0.2">
      <c r="B27370"/>
      <c r="C27370"/>
      <c r="J27370"/>
      <c r="K27370"/>
      <c r="L27370"/>
    </row>
    <row r="27371" spans="2:12" x14ac:dyDescent="0.2">
      <c r="B27371"/>
      <c r="C27371"/>
      <c r="J27371"/>
      <c r="K27371"/>
      <c r="L27371"/>
    </row>
    <row r="27372" spans="2:12" x14ac:dyDescent="0.2">
      <c r="B27372"/>
      <c r="C27372"/>
      <c r="J27372"/>
      <c r="K27372"/>
      <c r="L27372"/>
    </row>
    <row r="27373" spans="2:12" x14ac:dyDescent="0.2">
      <c r="B27373"/>
      <c r="C27373"/>
      <c r="J27373"/>
      <c r="K27373"/>
      <c r="L27373"/>
    </row>
    <row r="27374" spans="2:12" x14ac:dyDescent="0.2">
      <c r="B27374"/>
      <c r="C27374"/>
      <c r="J27374"/>
      <c r="K27374"/>
      <c r="L27374"/>
    </row>
    <row r="27375" spans="2:12" x14ac:dyDescent="0.2">
      <c r="B27375"/>
      <c r="C27375"/>
      <c r="J27375"/>
      <c r="K27375"/>
      <c r="L27375"/>
    </row>
    <row r="27376" spans="2:12" x14ac:dyDescent="0.2">
      <c r="B27376"/>
      <c r="C27376"/>
      <c r="J27376"/>
      <c r="K27376"/>
      <c r="L27376"/>
    </row>
    <row r="27377" spans="2:12" x14ac:dyDescent="0.2">
      <c r="B27377"/>
      <c r="C27377"/>
      <c r="J27377"/>
      <c r="K27377"/>
      <c r="L27377"/>
    </row>
    <row r="27378" spans="2:12" x14ac:dyDescent="0.2">
      <c r="B27378"/>
      <c r="C27378"/>
      <c r="J27378"/>
      <c r="K27378"/>
      <c r="L27378"/>
    </row>
    <row r="27379" spans="2:12" x14ac:dyDescent="0.2">
      <c r="B27379"/>
      <c r="C27379"/>
      <c r="J27379"/>
      <c r="K27379"/>
      <c r="L27379"/>
    </row>
    <row r="27380" spans="2:12" x14ac:dyDescent="0.2">
      <c r="B27380"/>
      <c r="C27380"/>
      <c r="J27380"/>
      <c r="K27380"/>
      <c r="L27380"/>
    </row>
    <row r="27381" spans="2:12" x14ac:dyDescent="0.2">
      <c r="B27381"/>
      <c r="C27381"/>
      <c r="J27381"/>
      <c r="K27381"/>
      <c r="L27381"/>
    </row>
    <row r="27382" spans="2:12" x14ac:dyDescent="0.2">
      <c r="B27382"/>
      <c r="C27382"/>
      <c r="J27382"/>
      <c r="K27382"/>
      <c r="L27382"/>
    </row>
    <row r="27383" spans="2:12" x14ac:dyDescent="0.2">
      <c r="B27383"/>
      <c r="C27383"/>
      <c r="J27383"/>
      <c r="K27383"/>
      <c r="L27383"/>
    </row>
    <row r="27384" spans="2:12" x14ac:dyDescent="0.2">
      <c r="B27384"/>
      <c r="C27384"/>
      <c r="J27384"/>
      <c r="K27384"/>
      <c r="L27384"/>
    </row>
    <row r="27385" spans="2:12" x14ac:dyDescent="0.2">
      <c r="B27385"/>
      <c r="C27385"/>
      <c r="J27385"/>
      <c r="K27385"/>
      <c r="L27385"/>
    </row>
    <row r="27386" spans="2:12" x14ac:dyDescent="0.2">
      <c r="B27386"/>
      <c r="C27386"/>
      <c r="J27386"/>
      <c r="K27386"/>
      <c r="L27386"/>
    </row>
    <row r="27387" spans="2:12" x14ac:dyDescent="0.2">
      <c r="B27387"/>
      <c r="C27387"/>
      <c r="J27387"/>
      <c r="K27387"/>
      <c r="L27387"/>
    </row>
    <row r="27388" spans="2:12" x14ac:dyDescent="0.2">
      <c r="B27388"/>
      <c r="C27388"/>
      <c r="J27388"/>
      <c r="K27388"/>
      <c r="L27388"/>
    </row>
    <row r="27389" spans="2:12" x14ac:dyDescent="0.2">
      <c r="B27389"/>
      <c r="C27389"/>
      <c r="J27389"/>
      <c r="K27389"/>
      <c r="L27389"/>
    </row>
    <row r="27390" spans="2:12" x14ac:dyDescent="0.2">
      <c r="B27390"/>
      <c r="C27390"/>
      <c r="J27390"/>
      <c r="K27390"/>
      <c r="L27390"/>
    </row>
    <row r="27391" spans="2:12" x14ac:dyDescent="0.2">
      <c r="B27391"/>
      <c r="C27391"/>
      <c r="J27391"/>
      <c r="K27391"/>
      <c r="L27391"/>
    </row>
    <row r="27392" spans="2:12" x14ac:dyDescent="0.2">
      <c r="B27392"/>
      <c r="C27392"/>
      <c r="J27392"/>
      <c r="K27392"/>
      <c r="L27392"/>
    </row>
    <row r="27393" spans="2:12" x14ac:dyDescent="0.2">
      <c r="B27393"/>
      <c r="C27393"/>
      <c r="J27393"/>
      <c r="K27393"/>
      <c r="L27393"/>
    </row>
    <row r="27394" spans="2:12" x14ac:dyDescent="0.2">
      <c r="B27394"/>
      <c r="C27394"/>
      <c r="J27394"/>
      <c r="K27394"/>
      <c r="L27394"/>
    </row>
    <row r="27395" spans="2:12" x14ac:dyDescent="0.2">
      <c r="B27395"/>
      <c r="C27395"/>
      <c r="J27395"/>
      <c r="K27395"/>
      <c r="L27395"/>
    </row>
    <row r="27396" spans="2:12" x14ac:dyDescent="0.2">
      <c r="B27396"/>
      <c r="C27396"/>
      <c r="J27396"/>
      <c r="K27396"/>
      <c r="L27396"/>
    </row>
    <row r="27397" spans="2:12" x14ac:dyDescent="0.2">
      <c r="B27397"/>
      <c r="C27397"/>
      <c r="J27397"/>
      <c r="K27397"/>
      <c r="L27397"/>
    </row>
    <row r="27398" spans="2:12" x14ac:dyDescent="0.2">
      <c r="B27398"/>
      <c r="C27398"/>
      <c r="J27398"/>
      <c r="K27398"/>
      <c r="L27398"/>
    </row>
    <row r="27399" spans="2:12" x14ac:dyDescent="0.2">
      <c r="B27399"/>
      <c r="C27399"/>
      <c r="J27399"/>
      <c r="K27399"/>
      <c r="L27399"/>
    </row>
    <row r="27400" spans="2:12" x14ac:dyDescent="0.2">
      <c r="B27400"/>
      <c r="C27400"/>
      <c r="J27400"/>
      <c r="K27400"/>
      <c r="L27400"/>
    </row>
    <row r="27401" spans="2:12" x14ac:dyDescent="0.2">
      <c r="B27401"/>
      <c r="C27401"/>
      <c r="J27401"/>
      <c r="K27401"/>
      <c r="L27401"/>
    </row>
    <row r="27402" spans="2:12" x14ac:dyDescent="0.2">
      <c r="B27402"/>
      <c r="C27402"/>
      <c r="J27402"/>
      <c r="K27402"/>
      <c r="L27402"/>
    </row>
    <row r="27403" spans="2:12" x14ac:dyDescent="0.2">
      <c r="B27403"/>
      <c r="C27403"/>
      <c r="J27403"/>
      <c r="K27403"/>
      <c r="L27403"/>
    </row>
    <row r="27404" spans="2:12" x14ac:dyDescent="0.2">
      <c r="B27404"/>
      <c r="C27404"/>
      <c r="J27404"/>
      <c r="K27404"/>
      <c r="L27404"/>
    </row>
    <row r="27405" spans="2:12" x14ac:dyDescent="0.2">
      <c r="B27405"/>
      <c r="C27405"/>
      <c r="J27405"/>
      <c r="K27405"/>
      <c r="L27405"/>
    </row>
    <row r="27406" spans="2:12" x14ac:dyDescent="0.2">
      <c r="B27406"/>
      <c r="C27406"/>
      <c r="J27406"/>
      <c r="K27406"/>
      <c r="L27406"/>
    </row>
    <row r="27407" spans="2:12" x14ac:dyDescent="0.2">
      <c r="B27407"/>
      <c r="C27407"/>
      <c r="J27407"/>
      <c r="K27407"/>
      <c r="L27407"/>
    </row>
    <row r="27408" spans="2:12" x14ac:dyDescent="0.2">
      <c r="B27408"/>
      <c r="C27408"/>
      <c r="J27408"/>
      <c r="K27408"/>
      <c r="L27408"/>
    </row>
    <row r="27409" spans="2:12" x14ac:dyDescent="0.2">
      <c r="B27409"/>
      <c r="C27409"/>
      <c r="J27409"/>
      <c r="K27409"/>
      <c r="L27409"/>
    </row>
    <row r="27410" spans="2:12" x14ac:dyDescent="0.2">
      <c r="B27410"/>
      <c r="C27410"/>
      <c r="J27410"/>
      <c r="K27410"/>
      <c r="L27410"/>
    </row>
    <row r="27411" spans="2:12" x14ac:dyDescent="0.2">
      <c r="B27411"/>
      <c r="C27411"/>
      <c r="J27411"/>
      <c r="K27411"/>
      <c r="L27411"/>
    </row>
    <row r="27412" spans="2:12" x14ac:dyDescent="0.2">
      <c r="B27412"/>
      <c r="C27412"/>
      <c r="J27412"/>
      <c r="K27412"/>
      <c r="L27412"/>
    </row>
    <row r="27413" spans="2:12" x14ac:dyDescent="0.2">
      <c r="B27413"/>
      <c r="C27413"/>
      <c r="J27413"/>
      <c r="K27413"/>
      <c r="L27413"/>
    </row>
    <row r="27414" spans="2:12" x14ac:dyDescent="0.2">
      <c r="B27414"/>
      <c r="C27414"/>
      <c r="J27414"/>
      <c r="K27414"/>
      <c r="L27414"/>
    </row>
    <row r="27415" spans="2:12" x14ac:dyDescent="0.2">
      <c r="B27415"/>
      <c r="C27415"/>
      <c r="J27415"/>
      <c r="K27415"/>
      <c r="L27415"/>
    </row>
    <row r="27416" spans="2:12" x14ac:dyDescent="0.2">
      <c r="B27416"/>
      <c r="C27416"/>
      <c r="J27416"/>
      <c r="K27416"/>
      <c r="L27416"/>
    </row>
    <row r="27417" spans="2:12" x14ac:dyDescent="0.2">
      <c r="B27417"/>
      <c r="C27417"/>
      <c r="J27417"/>
      <c r="K27417"/>
      <c r="L27417"/>
    </row>
    <row r="27418" spans="2:12" x14ac:dyDescent="0.2">
      <c r="B27418"/>
      <c r="C27418"/>
      <c r="J27418"/>
      <c r="K27418"/>
      <c r="L27418"/>
    </row>
    <row r="27419" spans="2:12" x14ac:dyDescent="0.2">
      <c r="B27419"/>
      <c r="C27419"/>
      <c r="J27419"/>
      <c r="K27419"/>
      <c r="L27419"/>
    </row>
    <row r="27420" spans="2:12" x14ac:dyDescent="0.2">
      <c r="B27420"/>
      <c r="C27420"/>
      <c r="J27420"/>
      <c r="K27420"/>
      <c r="L27420"/>
    </row>
    <row r="27421" spans="2:12" x14ac:dyDescent="0.2">
      <c r="B27421"/>
      <c r="C27421"/>
      <c r="J27421"/>
      <c r="K27421"/>
      <c r="L27421"/>
    </row>
    <row r="27422" spans="2:12" x14ac:dyDescent="0.2">
      <c r="B27422"/>
      <c r="C27422"/>
      <c r="J27422"/>
      <c r="K27422"/>
      <c r="L27422"/>
    </row>
    <row r="27423" spans="2:12" x14ac:dyDescent="0.2">
      <c r="B27423"/>
      <c r="C27423"/>
      <c r="J27423"/>
      <c r="K27423"/>
      <c r="L27423"/>
    </row>
    <row r="27424" spans="2:12" x14ac:dyDescent="0.2">
      <c r="B27424"/>
      <c r="C27424"/>
      <c r="J27424"/>
      <c r="K27424"/>
      <c r="L27424"/>
    </row>
    <row r="27425" spans="2:12" x14ac:dyDescent="0.2">
      <c r="B27425"/>
      <c r="C27425"/>
      <c r="J27425"/>
      <c r="K27425"/>
      <c r="L27425"/>
    </row>
    <row r="27426" spans="2:12" x14ac:dyDescent="0.2">
      <c r="B27426"/>
      <c r="C27426"/>
      <c r="J27426"/>
      <c r="K27426"/>
      <c r="L27426"/>
    </row>
    <row r="27427" spans="2:12" x14ac:dyDescent="0.2">
      <c r="B27427"/>
      <c r="C27427"/>
      <c r="J27427"/>
      <c r="K27427"/>
      <c r="L27427"/>
    </row>
    <row r="27428" spans="2:12" x14ac:dyDescent="0.2">
      <c r="B27428"/>
      <c r="C27428"/>
      <c r="J27428"/>
      <c r="K27428"/>
      <c r="L27428"/>
    </row>
    <row r="27429" spans="2:12" x14ac:dyDescent="0.2">
      <c r="B27429"/>
      <c r="C27429"/>
      <c r="J27429"/>
      <c r="K27429"/>
      <c r="L27429"/>
    </row>
    <row r="27430" spans="2:12" x14ac:dyDescent="0.2">
      <c r="B27430"/>
      <c r="C27430"/>
      <c r="J27430"/>
      <c r="K27430"/>
      <c r="L27430"/>
    </row>
    <row r="27431" spans="2:12" x14ac:dyDescent="0.2">
      <c r="B27431"/>
      <c r="C27431"/>
      <c r="J27431"/>
      <c r="K27431"/>
      <c r="L27431"/>
    </row>
    <row r="27432" spans="2:12" x14ac:dyDescent="0.2">
      <c r="B27432"/>
      <c r="C27432"/>
      <c r="J27432"/>
      <c r="K27432"/>
      <c r="L27432"/>
    </row>
    <row r="27433" spans="2:12" x14ac:dyDescent="0.2">
      <c r="B27433"/>
      <c r="C27433"/>
      <c r="J27433"/>
      <c r="K27433"/>
      <c r="L27433"/>
    </row>
    <row r="27434" spans="2:12" x14ac:dyDescent="0.2">
      <c r="B27434"/>
      <c r="C27434"/>
      <c r="J27434"/>
      <c r="K27434"/>
      <c r="L27434"/>
    </row>
    <row r="27435" spans="2:12" x14ac:dyDescent="0.2">
      <c r="B27435"/>
      <c r="C27435"/>
      <c r="J27435"/>
      <c r="K27435"/>
      <c r="L27435"/>
    </row>
    <row r="27436" spans="2:12" x14ac:dyDescent="0.2">
      <c r="B27436"/>
      <c r="C27436"/>
      <c r="J27436"/>
      <c r="K27436"/>
      <c r="L27436"/>
    </row>
    <row r="27437" spans="2:12" x14ac:dyDescent="0.2">
      <c r="B27437"/>
      <c r="C27437"/>
      <c r="J27437"/>
      <c r="K27437"/>
      <c r="L27437"/>
    </row>
    <row r="27438" spans="2:12" x14ac:dyDescent="0.2">
      <c r="B27438"/>
      <c r="C27438"/>
      <c r="J27438"/>
      <c r="K27438"/>
      <c r="L27438"/>
    </row>
    <row r="27439" spans="2:12" x14ac:dyDescent="0.2">
      <c r="B27439"/>
      <c r="C27439"/>
      <c r="J27439"/>
      <c r="K27439"/>
      <c r="L27439"/>
    </row>
    <row r="27440" spans="2:12" x14ac:dyDescent="0.2">
      <c r="B27440"/>
      <c r="C27440"/>
      <c r="J27440"/>
      <c r="K27440"/>
      <c r="L27440"/>
    </row>
    <row r="27441" spans="2:12" x14ac:dyDescent="0.2">
      <c r="B27441"/>
      <c r="C27441"/>
      <c r="J27441"/>
      <c r="K27441"/>
      <c r="L27441"/>
    </row>
    <row r="27442" spans="2:12" x14ac:dyDescent="0.2">
      <c r="B27442"/>
      <c r="C27442"/>
      <c r="J27442"/>
      <c r="K27442"/>
      <c r="L27442"/>
    </row>
    <row r="27443" spans="2:12" x14ac:dyDescent="0.2">
      <c r="B27443"/>
      <c r="C27443"/>
      <c r="J27443"/>
      <c r="K27443"/>
      <c r="L27443"/>
    </row>
    <row r="27444" spans="2:12" x14ac:dyDescent="0.2">
      <c r="B27444"/>
      <c r="C27444"/>
      <c r="J27444"/>
      <c r="K27444"/>
      <c r="L27444"/>
    </row>
    <row r="27445" spans="2:12" x14ac:dyDescent="0.2">
      <c r="B27445"/>
      <c r="C27445"/>
      <c r="J27445"/>
      <c r="K27445"/>
      <c r="L27445"/>
    </row>
    <row r="27446" spans="2:12" x14ac:dyDescent="0.2">
      <c r="B27446"/>
      <c r="C27446"/>
      <c r="J27446"/>
      <c r="K27446"/>
      <c r="L27446"/>
    </row>
    <row r="27447" spans="2:12" x14ac:dyDescent="0.2">
      <c r="B27447"/>
      <c r="C27447"/>
      <c r="J27447"/>
      <c r="K27447"/>
      <c r="L27447"/>
    </row>
    <row r="27448" spans="2:12" x14ac:dyDescent="0.2">
      <c r="B27448"/>
      <c r="C27448"/>
      <c r="J27448"/>
      <c r="K27448"/>
      <c r="L27448"/>
    </row>
    <row r="27449" spans="2:12" x14ac:dyDescent="0.2">
      <c r="B27449"/>
      <c r="C27449"/>
      <c r="J27449"/>
      <c r="K27449"/>
      <c r="L27449"/>
    </row>
    <row r="27450" spans="2:12" x14ac:dyDescent="0.2">
      <c r="B27450"/>
      <c r="C27450"/>
      <c r="J27450"/>
      <c r="K27450"/>
      <c r="L27450"/>
    </row>
    <row r="27451" spans="2:12" x14ac:dyDescent="0.2">
      <c r="B27451"/>
      <c r="C27451"/>
      <c r="J27451"/>
      <c r="K27451"/>
      <c r="L27451"/>
    </row>
    <row r="27452" spans="2:12" x14ac:dyDescent="0.2">
      <c r="B27452"/>
      <c r="C27452"/>
      <c r="J27452"/>
      <c r="K27452"/>
      <c r="L27452"/>
    </row>
    <row r="27453" spans="2:12" x14ac:dyDescent="0.2">
      <c r="B27453"/>
      <c r="C27453"/>
      <c r="J27453"/>
      <c r="K27453"/>
      <c r="L27453"/>
    </row>
    <row r="27454" spans="2:12" x14ac:dyDescent="0.2">
      <c r="B27454"/>
      <c r="C27454"/>
      <c r="J27454"/>
      <c r="K27454"/>
      <c r="L27454"/>
    </row>
    <row r="27455" spans="2:12" x14ac:dyDescent="0.2">
      <c r="B27455"/>
      <c r="C27455"/>
      <c r="J27455"/>
      <c r="K27455"/>
      <c r="L27455"/>
    </row>
    <row r="27456" spans="2:12" x14ac:dyDescent="0.2">
      <c r="B27456"/>
      <c r="C27456"/>
      <c r="J27456"/>
      <c r="K27456"/>
      <c r="L27456"/>
    </row>
    <row r="27457" spans="2:12" x14ac:dyDescent="0.2">
      <c r="B27457"/>
      <c r="C27457"/>
      <c r="J27457"/>
      <c r="K27457"/>
      <c r="L27457"/>
    </row>
    <row r="27458" spans="2:12" x14ac:dyDescent="0.2">
      <c r="B27458"/>
      <c r="C27458"/>
      <c r="J27458"/>
      <c r="K27458"/>
      <c r="L27458"/>
    </row>
    <row r="27459" spans="2:12" x14ac:dyDescent="0.2">
      <c r="B27459"/>
      <c r="C27459"/>
      <c r="J27459"/>
      <c r="K27459"/>
      <c r="L27459"/>
    </row>
    <row r="27460" spans="2:12" x14ac:dyDescent="0.2">
      <c r="B27460"/>
      <c r="C27460"/>
      <c r="J27460"/>
      <c r="K27460"/>
      <c r="L27460"/>
    </row>
    <row r="27461" spans="2:12" x14ac:dyDescent="0.2">
      <c r="B27461"/>
      <c r="C27461"/>
      <c r="J27461"/>
      <c r="K27461"/>
      <c r="L27461"/>
    </row>
    <row r="27462" spans="2:12" x14ac:dyDescent="0.2">
      <c r="B27462"/>
      <c r="C27462"/>
      <c r="J27462"/>
      <c r="K27462"/>
      <c r="L27462"/>
    </row>
    <row r="27463" spans="2:12" x14ac:dyDescent="0.2">
      <c r="B27463"/>
      <c r="C27463"/>
      <c r="J27463"/>
      <c r="K27463"/>
      <c r="L27463"/>
    </row>
    <row r="27464" spans="2:12" x14ac:dyDescent="0.2">
      <c r="B27464"/>
      <c r="C27464"/>
      <c r="J27464"/>
      <c r="K27464"/>
      <c r="L27464"/>
    </row>
    <row r="27465" spans="2:12" x14ac:dyDescent="0.2">
      <c r="B27465"/>
      <c r="C27465"/>
      <c r="J27465"/>
      <c r="K27465"/>
      <c r="L27465"/>
    </row>
    <row r="27466" spans="2:12" x14ac:dyDescent="0.2">
      <c r="B27466"/>
      <c r="C27466"/>
      <c r="J27466"/>
      <c r="K27466"/>
      <c r="L27466"/>
    </row>
    <row r="27467" spans="2:12" x14ac:dyDescent="0.2">
      <c r="B27467"/>
      <c r="C27467"/>
      <c r="J27467"/>
      <c r="K27467"/>
      <c r="L27467"/>
    </row>
    <row r="27468" spans="2:12" x14ac:dyDescent="0.2">
      <c r="B27468"/>
      <c r="C27468"/>
      <c r="J27468"/>
      <c r="K27468"/>
      <c r="L27468"/>
    </row>
    <row r="27469" spans="2:12" x14ac:dyDescent="0.2">
      <c r="B27469"/>
      <c r="C27469"/>
      <c r="J27469"/>
      <c r="K27469"/>
      <c r="L27469"/>
    </row>
    <row r="27470" spans="2:12" x14ac:dyDescent="0.2">
      <c r="B27470"/>
      <c r="C27470"/>
      <c r="J27470"/>
      <c r="K27470"/>
      <c r="L27470"/>
    </row>
    <row r="27471" spans="2:12" x14ac:dyDescent="0.2">
      <c r="B27471"/>
      <c r="C27471"/>
      <c r="J27471"/>
      <c r="K27471"/>
      <c r="L27471"/>
    </row>
    <row r="27472" spans="2:12" x14ac:dyDescent="0.2">
      <c r="B27472"/>
      <c r="C27472"/>
      <c r="J27472"/>
      <c r="K27472"/>
      <c r="L27472"/>
    </row>
    <row r="27473" spans="2:12" x14ac:dyDescent="0.2">
      <c r="B27473"/>
      <c r="C27473"/>
      <c r="J27473"/>
      <c r="K27473"/>
      <c r="L27473"/>
    </row>
    <row r="27474" spans="2:12" x14ac:dyDescent="0.2">
      <c r="B27474"/>
      <c r="C27474"/>
      <c r="J27474"/>
      <c r="K27474"/>
      <c r="L27474"/>
    </row>
    <row r="27475" spans="2:12" x14ac:dyDescent="0.2">
      <c r="B27475"/>
      <c r="C27475"/>
      <c r="J27475"/>
      <c r="K27475"/>
      <c r="L27475"/>
    </row>
    <row r="27476" spans="2:12" x14ac:dyDescent="0.2">
      <c r="B27476"/>
      <c r="C27476"/>
      <c r="J27476"/>
      <c r="K27476"/>
      <c r="L27476"/>
    </row>
    <row r="27477" spans="2:12" x14ac:dyDescent="0.2">
      <c r="B27477"/>
      <c r="C27477"/>
      <c r="J27477"/>
      <c r="K27477"/>
      <c r="L27477"/>
    </row>
    <row r="27478" spans="2:12" x14ac:dyDescent="0.2">
      <c r="B27478"/>
      <c r="C27478"/>
      <c r="J27478"/>
      <c r="K27478"/>
      <c r="L27478"/>
    </row>
    <row r="27479" spans="2:12" x14ac:dyDescent="0.2">
      <c r="B27479"/>
      <c r="C27479"/>
      <c r="J27479"/>
      <c r="K27479"/>
      <c r="L27479"/>
    </row>
    <row r="27480" spans="2:12" x14ac:dyDescent="0.2">
      <c r="B27480"/>
      <c r="C27480"/>
      <c r="J27480"/>
      <c r="K27480"/>
      <c r="L27480"/>
    </row>
    <row r="27481" spans="2:12" x14ac:dyDescent="0.2">
      <c r="B27481"/>
      <c r="C27481"/>
      <c r="J27481"/>
      <c r="K27481"/>
      <c r="L27481"/>
    </row>
    <row r="27482" spans="2:12" x14ac:dyDescent="0.2">
      <c r="B27482"/>
      <c r="C27482"/>
      <c r="J27482"/>
      <c r="K27482"/>
      <c r="L27482"/>
    </row>
    <row r="27483" spans="2:12" x14ac:dyDescent="0.2">
      <c r="B27483"/>
      <c r="C27483"/>
      <c r="J27483"/>
      <c r="K27483"/>
      <c r="L27483"/>
    </row>
    <row r="27484" spans="2:12" x14ac:dyDescent="0.2">
      <c r="B27484"/>
      <c r="C27484"/>
      <c r="J27484"/>
      <c r="K27484"/>
      <c r="L27484"/>
    </row>
    <row r="27485" spans="2:12" x14ac:dyDescent="0.2">
      <c r="B27485"/>
      <c r="C27485"/>
      <c r="J27485"/>
      <c r="K27485"/>
      <c r="L27485"/>
    </row>
    <row r="27486" spans="2:12" x14ac:dyDescent="0.2">
      <c r="B27486"/>
      <c r="C27486"/>
      <c r="J27486"/>
      <c r="K27486"/>
      <c r="L27486"/>
    </row>
    <row r="27487" spans="2:12" x14ac:dyDescent="0.2">
      <c r="B27487"/>
      <c r="C27487"/>
      <c r="J27487"/>
      <c r="K27487"/>
      <c r="L27487"/>
    </row>
    <row r="27488" spans="2:12" x14ac:dyDescent="0.2">
      <c r="B27488"/>
      <c r="C27488"/>
      <c r="J27488"/>
      <c r="K27488"/>
      <c r="L27488"/>
    </row>
    <row r="27489" spans="2:12" x14ac:dyDescent="0.2">
      <c r="B27489"/>
      <c r="C27489"/>
      <c r="J27489"/>
      <c r="K27489"/>
      <c r="L27489"/>
    </row>
    <row r="27490" spans="2:12" x14ac:dyDescent="0.2">
      <c r="B27490"/>
      <c r="C27490"/>
      <c r="J27490"/>
      <c r="K27490"/>
      <c r="L27490"/>
    </row>
    <row r="27491" spans="2:12" x14ac:dyDescent="0.2">
      <c r="B27491"/>
      <c r="C27491"/>
      <c r="J27491"/>
      <c r="K27491"/>
      <c r="L27491"/>
    </row>
    <row r="27492" spans="2:12" x14ac:dyDescent="0.2">
      <c r="B27492"/>
      <c r="C27492"/>
      <c r="J27492"/>
      <c r="K27492"/>
      <c r="L27492"/>
    </row>
    <row r="27493" spans="2:12" x14ac:dyDescent="0.2">
      <c r="B27493"/>
      <c r="C27493"/>
      <c r="J27493"/>
      <c r="K27493"/>
      <c r="L27493"/>
    </row>
    <row r="27494" spans="2:12" x14ac:dyDescent="0.2">
      <c r="B27494"/>
      <c r="C27494"/>
      <c r="J27494"/>
      <c r="K27494"/>
      <c r="L27494"/>
    </row>
    <row r="27495" spans="2:12" x14ac:dyDescent="0.2">
      <c r="B27495"/>
      <c r="C27495"/>
      <c r="J27495"/>
      <c r="K27495"/>
      <c r="L27495"/>
    </row>
    <row r="27496" spans="2:12" x14ac:dyDescent="0.2">
      <c r="B27496"/>
      <c r="C27496"/>
      <c r="J27496"/>
      <c r="K27496"/>
      <c r="L27496"/>
    </row>
    <row r="27497" spans="2:12" x14ac:dyDescent="0.2">
      <c r="B27497"/>
      <c r="C27497"/>
      <c r="J27497"/>
      <c r="K27497"/>
      <c r="L27497"/>
    </row>
    <row r="27498" spans="2:12" x14ac:dyDescent="0.2">
      <c r="B27498"/>
      <c r="C27498"/>
      <c r="J27498"/>
      <c r="K27498"/>
      <c r="L27498"/>
    </row>
    <row r="27499" spans="2:12" x14ac:dyDescent="0.2">
      <c r="B27499"/>
      <c r="C27499"/>
      <c r="J27499"/>
      <c r="K27499"/>
      <c r="L27499"/>
    </row>
    <row r="27500" spans="2:12" x14ac:dyDescent="0.2">
      <c r="B27500"/>
      <c r="C27500"/>
      <c r="J27500"/>
      <c r="K27500"/>
      <c r="L27500"/>
    </row>
    <row r="27501" spans="2:12" x14ac:dyDescent="0.2">
      <c r="B27501"/>
      <c r="C27501"/>
      <c r="J27501"/>
      <c r="K27501"/>
      <c r="L27501"/>
    </row>
    <row r="27502" spans="2:12" x14ac:dyDescent="0.2">
      <c r="B27502"/>
      <c r="C27502"/>
      <c r="J27502"/>
      <c r="K27502"/>
      <c r="L27502"/>
    </row>
    <row r="27503" spans="2:12" x14ac:dyDescent="0.2">
      <c r="B27503"/>
      <c r="C27503"/>
      <c r="J27503"/>
      <c r="K27503"/>
      <c r="L27503"/>
    </row>
    <row r="27504" spans="2:12" x14ac:dyDescent="0.2">
      <c r="B27504"/>
      <c r="C27504"/>
      <c r="J27504"/>
      <c r="K27504"/>
      <c r="L27504"/>
    </row>
    <row r="27505" spans="2:12" x14ac:dyDescent="0.2">
      <c r="B27505"/>
      <c r="C27505"/>
      <c r="J27505"/>
      <c r="K27505"/>
      <c r="L27505"/>
    </row>
    <row r="27506" spans="2:12" x14ac:dyDescent="0.2">
      <c r="B27506"/>
      <c r="C27506"/>
      <c r="J27506"/>
      <c r="K27506"/>
      <c r="L27506"/>
    </row>
    <row r="27507" spans="2:12" x14ac:dyDescent="0.2">
      <c r="B27507"/>
      <c r="C27507"/>
      <c r="J27507"/>
      <c r="K27507"/>
      <c r="L27507"/>
    </row>
    <row r="27508" spans="2:12" x14ac:dyDescent="0.2">
      <c r="B27508"/>
      <c r="C27508"/>
      <c r="J27508"/>
      <c r="K27508"/>
      <c r="L27508"/>
    </row>
    <row r="27509" spans="2:12" x14ac:dyDescent="0.2">
      <c r="B27509"/>
      <c r="C27509"/>
      <c r="J27509"/>
      <c r="K27509"/>
      <c r="L27509"/>
    </row>
    <row r="27510" spans="2:12" x14ac:dyDescent="0.2">
      <c r="B27510"/>
      <c r="C27510"/>
      <c r="J27510"/>
      <c r="K27510"/>
      <c r="L27510"/>
    </row>
    <row r="27511" spans="2:12" x14ac:dyDescent="0.2">
      <c r="B27511"/>
      <c r="C27511"/>
      <c r="J27511"/>
      <c r="K27511"/>
      <c r="L27511"/>
    </row>
    <row r="27512" spans="2:12" x14ac:dyDescent="0.2">
      <c r="B27512"/>
      <c r="C27512"/>
      <c r="J27512"/>
      <c r="K27512"/>
      <c r="L27512"/>
    </row>
    <row r="27513" spans="2:12" x14ac:dyDescent="0.2">
      <c r="B27513"/>
      <c r="C27513"/>
      <c r="J27513"/>
      <c r="K27513"/>
      <c r="L27513"/>
    </row>
    <row r="27514" spans="2:12" x14ac:dyDescent="0.2">
      <c r="B27514"/>
      <c r="C27514"/>
      <c r="J27514"/>
      <c r="K27514"/>
      <c r="L27514"/>
    </row>
    <row r="27515" spans="2:12" x14ac:dyDescent="0.2">
      <c r="B27515"/>
      <c r="C27515"/>
      <c r="J27515"/>
      <c r="K27515"/>
      <c r="L27515"/>
    </row>
    <row r="27516" spans="2:12" x14ac:dyDescent="0.2">
      <c r="B27516"/>
      <c r="C27516"/>
      <c r="J27516"/>
      <c r="K27516"/>
      <c r="L27516"/>
    </row>
    <row r="27517" spans="2:12" x14ac:dyDescent="0.2">
      <c r="B27517"/>
      <c r="C27517"/>
      <c r="J27517"/>
      <c r="K27517"/>
      <c r="L27517"/>
    </row>
    <row r="27518" spans="2:12" x14ac:dyDescent="0.2">
      <c r="B27518"/>
      <c r="C27518"/>
      <c r="J27518"/>
      <c r="K27518"/>
      <c r="L27518"/>
    </row>
    <row r="27519" spans="2:12" x14ac:dyDescent="0.2">
      <c r="B27519"/>
      <c r="C27519"/>
      <c r="J27519"/>
      <c r="K27519"/>
      <c r="L27519"/>
    </row>
    <row r="27520" spans="2:12" x14ac:dyDescent="0.2">
      <c r="B27520"/>
      <c r="C27520"/>
      <c r="J27520"/>
      <c r="K27520"/>
      <c r="L27520"/>
    </row>
    <row r="27521" spans="2:12" x14ac:dyDescent="0.2">
      <c r="B27521"/>
      <c r="C27521"/>
      <c r="J27521"/>
      <c r="K27521"/>
      <c r="L27521"/>
    </row>
    <row r="27522" spans="2:12" x14ac:dyDescent="0.2">
      <c r="B27522"/>
      <c r="C27522"/>
      <c r="J27522"/>
      <c r="K27522"/>
      <c r="L27522"/>
    </row>
    <row r="27523" spans="2:12" x14ac:dyDescent="0.2">
      <c r="B27523"/>
      <c r="C27523"/>
      <c r="J27523"/>
      <c r="K27523"/>
      <c r="L27523"/>
    </row>
    <row r="27524" spans="2:12" x14ac:dyDescent="0.2">
      <c r="B27524"/>
      <c r="C27524"/>
      <c r="J27524"/>
      <c r="K27524"/>
      <c r="L27524"/>
    </row>
    <row r="27525" spans="2:12" x14ac:dyDescent="0.2">
      <c r="B27525"/>
      <c r="C27525"/>
      <c r="J27525"/>
      <c r="K27525"/>
      <c r="L27525"/>
    </row>
    <row r="27526" spans="2:12" x14ac:dyDescent="0.2">
      <c r="B27526"/>
      <c r="C27526"/>
      <c r="J27526"/>
      <c r="K27526"/>
      <c r="L27526"/>
    </row>
    <row r="27527" spans="2:12" x14ac:dyDescent="0.2">
      <c r="B27527"/>
      <c r="C27527"/>
      <c r="J27527"/>
      <c r="K27527"/>
      <c r="L27527"/>
    </row>
    <row r="27528" spans="2:12" x14ac:dyDescent="0.2">
      <c r="B27528"/>
      <c r="C27528"/>
      <c r="J27528"/>
      <c r="K27528"/>
      <c r="L27528"/>
    </row>
    <row r="27529" spans="2:12" x14ac:dyDescent="0.2">
      <c r="B27529"/>
      <c r="C27529"/>
      <c r="J27529"/>
      <c r="K27529"/>
      <c r="L27529"/>
    </row>
    <row r="27530" spans="2:12" x14ac:dyDescent="0.2">
      <c r="B27530"/>
      <c r="C27530"/>
      <c r="J27530"/>
      <c r="K27530"/>
      <c r="L27530"/>
    </row>
    <row r="27531" spans="2:12" x14ac:dyDescent="0.2">
      <c r="B27531"/>
      <c r="C27531"/>
      <c r="J27531"/>
      <c r="K27531"/>
      <c r="L27531"/>
    </row>
    <row r="27532" spans="2:12" x14ac:dyDescent="0.2">
      <c r="B27532"/>
      <c r="C27532"/>
      <c r="J27532"/>
      <c r="K27532"/>
      <c r="L27532"/>
    </row>
    <row r="27533" spans="2:12" x14ac:dyDescent="0.2">
      <c r="B27533"/>
      <c r="C27533"/>
      <c r="J27533"/>
      <c r="K27533"/>
      <c r="L27533"/>
    </row>
    <row r="27534" spans="2:12" x14ac:dyDescent="0.2">
      <c r="B27534"/>
      <c r="C27534"/>
      <c r="J27534"/>
      <c r="K27534"/>
      <c r="L27534"/>
    </row>
    <row r="27535" spans="2:12" x14ac:dyDescent="0.2">
      <c r="B27535"/>
      <c r="C27535"/>
      <c r="J27535"/>
      <c r="K27535"/>
      <c r="L27535"/>
    </row>
    <row r="27536" spans="2:12" x14ac:dyDescent="0.2">
      <c r="B27536"/>
      <c r="C27536"/>
      <c r="J27536"/>
      <c r="K27536"/>
      <c r="L27536"/>
    </row>
    <row r="27537" spans="2:12" x14ac:dyDescent="0.2">
      <c r="B27537"/>
      <c r="C27537"/>
      <c r="J27537"/>
      <c r="K27537"/>
      <c r="L27537"/>
    </row>
    <row r="27538" spans="2:12" x14ac:dyDescent="0.2">
      <c r="B27538"/>
      <c r="C27538"/>
      <c r="J27538"/>
      <c r="K27538"/>
      <c r="L27538"/>
    </row>
    <row r="27539" spans="2:12" x14ac:dyDescent="0.2">
      <c r="B27539"/>
      <c r="C27539"/>
      <c r="J27539"/>
      <c r="K27539"/>
      <c r="L27539"/>
    </row>
    <row r="27540" spans="2:12" x14ac:dyDescent="0.2">
      <c r="B27540"/>
      <c r="C27540"/>
      <c r="J27540"/>
      <c r="K27540"/>
      <c r="L27540"/>
    </row>
    <row r="27541" spans="2:12" x14ac:dyDescent="0.2">
      <c r="B27541"/>
      <c r="C27541"/>
      <c r="J27541"/>
      <c r="K27541"/>
      <c r="L27541"/>
    </row>
    <row r="27542" spans="2:12" x14ac:dyDescent="0.2">
      <c r="B27542"/>
      <c r="C27542"/>
      <c r="J27542"/>
      <c r="K27542"/>
      <c r="L27542"/>
    </row>
    <row r="27543" spans="2:12" x14ac:dyDescent="0.2">
      <c r="B27543"/>
      <c r="C27543"/>
      <c r="J27543"/>
      <c r="K27543"/>
      <c r="L27543"/>
    </row>
    <row r="27544" spans="2:12" x14ac:dyDescent="0.2">
      <c r="B27544"/>
      <c r="C27544"/>
      <c r="J27544"/>
      <c r="K27544"/>
      <c r="L27544"/>
    </row>
    <row r="27545" spans="2:12" x14ac:dyDescent="0.2">
      <c r="B27545"/>
      <c r="C27545"/>
      <c r="J27545"/>
      <c r="K27545"/>
      <c r="L27545"/>
    </row>
    <row r="27546" spans="2:12" x14ac:dyDescent="0.2">
      <c r="B27546"/>
      <c r="C27546"/>
      <c r="J27546"/>
      <c r="K27546"/>
      <c r="L27546"/>
    </row>
    <row r="27547" spans="2:12" x14ac:dyDescent="0.2">
      <c r="B27547"/>
      <c r="C27547"/>
      <c r="J27547"/>
      <c r="K27547"/>
      <c r="L27547"/>
    </row>
    <row r="27548" spans="2:12" x14ac:dyDescent="0.2">
      <c r="B27548"/>
      <c r="C27548"/>
      <c r="J27548"/>
      <c r="K27548"/>
      <c r="L27548"/>
    </row>
    <row r="27549" spans="2:12" x14ac:dyDescent="0.2">
      <c r="B27549"/>
      <c r="C27549"/>
      <c r="J27549"/>
      <c r="K27549"/>
      <c r="L27549"/>
    </row>
    <row r="27550" spans="2:12" x14ac:dyDescent="0.2">
      <c r="B27550"/>
      <c r="C27550"/>
      <c r="J27550"/>
      <c r="K27550"/>
      <c r="L27550"/>
    </row>
    <row r="27551" spans="2:12" x14ac:dyDescent="0.2">
      <c r="B27551"/>
      <c r="C27551"/>
      <c r="J27551"/>
      <c r="K27551"/>
      <c r="L27551"/>
    </row>
    <row r="27552" spans="2:12" x14ac:dyDescent="0.2">
      <c r="B27552"/>
      <c r="C27552"/>
      <c r="J27552"/>
      <c r="K27552"/>
      <c r="L27552"/>
    </row>
    <row r="27553" spans="2:12" x14ac:dyDescent="0.2">
      <c r="B27553"/>
      <c r="C27553"/>
      <c r="J27553"/>
      <c r="K27553"/>
      <c r="L27553"/>
    </row>
    <row r="27554" spans="2:12" x14ac:dyDescent="0.2">
      <c r="B27554"/>
      <c r="C27554"/>
      <c r="J27554"/>
      <c r="K27554"/>
      <c r="L27554"/>
    </row>
    <row r="27555" spans="2:12" x14ac:dyDescent="0.2">
      <c r="B27555"/>
      <c r="C27555"/>
      <c r="J27555"/>
      <c r="K27555"/>
      <c r="L27555"/>
    </row>
    <row r="27556" spans="2:12" x14ac:dyDescent="0.2">
      <c r="B27556"/>
      <c r="C27556"/>
      <c r="J27556"/>
      <c r="K27556"/>
      <c r="L27556"/>
    </row>
    <row r="27557" spans="2:12" x14ac:dyDescent="0.2">
      <c r="B27557"/>
      <c r="C27557"/>
      <c r="J27557"/>
      <c r="K27557"/>
      <c r="L27557"/>
    </row>
    <row r="27558" spans="2:12" x14ac:dyDescent="0.2">
      <c r="B27558"/>
      <c r="C27558"/>
      <c r="J27558"/>
      <c r="K27558"/>
      <c r="L27558"/>
    </row>
    <row r="27559" spans="2:12" x14ac:dyDescent="0.2">
      <c r="B27559"/>
      <c r="C27559"/>
      <c r="J27559"/>
      <c r="K27559"/>
      <c r="L27559"/>
    </row>
    <row r="27560" spans="2:12" x14ac:dyDescent="0.2">
      <c r="B27560"/>
      <c r="C27560"/>
      <c r="J27560"/>
      <c r="K27560"/>
      <c r="L27560"/>
    </row>
    <row r="27561" spans="2:12" x14ac:dyDescent="0.2">
      <c r="B27561"/>
      <c r="C27561"/>
      <c r="J27561"/>
      <c r="K27561"/>
      <c r="L27561"/>
    </row>
    <row r="27562" spans="2:12" x14ac:dyDescent="0.2">
      <c r="B27562"/>
      <c r="C27562"/>
      <c r="J27562"/>
      <c r="K27562"/>
      <c r="L27562"/>
    </row>
    <row r="27563" spans="2:12" x14ac:dyDescent="0.2">
      <c r="B27563"/>
      <c r="C27563"/>
      <c r="J27563"/>
      <c r="K27563"/>
      <c r="L27563"/>
    </row>
    <row r="27564" spans="2:12" x14ac:dyDescent="0.2">
      <c r="B27564"/>
      <c r="C27564"/>
      <c r="J27564"/>
      <c r="K27564"/>
      <c r="L27564"/>
    </row>
    <row r="27565" spans="2:12" x14ac:dyDescent="0.2">
      <c r="B27565"/>
      <c r="C27565"/>
      <c r="J27565"/>
      <c r="K27565"/>
      <c r="L27565"/>
    </row>
    <row r="27566" spans="2:12" x14ac:dyDescent="0.2">
      <c r="B27566"/>
      <c r="C27566"/>
      <c r="J27566"/>
      <c r="K27566"/>
      <c r="L27566"/>
    </row>
    <row r="27567" spans="2:12" x14ac:dyDescent="0.2">
      <c r="B27567"/>
      <c r="C27567"/>
      <c r="J27567"/>
      <c r="K27567"/>
      <c r="L27567"/>
    </row>
    <row r="27568" spans="2:12" x14ac:dyDescent="0.2">
      <c r="B27568"/>
      <c r="C27568"/>
      <c r="J27568"/>
      <c r="K27568"/>
      <c r="L27568"/>
    </row>
    <row r="27569" spans="2:12" x14ac:dyDescent="0.2">
      <c r="B27569"/>
      <c r="C27569"/>
      <c r="J27569"/>
      <c r="K27569"/>
      <c r="L27569"/>
    </row>
    <row r="27570" spans="2:12" x14ac:dyDescent="0.2">
      <c r="B27570"/>
      <c r="C27570"/>
      <c r="J27570"/>
      <c r="K27570"/>
      <c r="L27570"/>
    </row>
    <row r="27571" spans="2:12" x14ac:dyDescent="0.2">
      <c r="B27571"/>
      <c r="C27571"/>
      <c r="J27571"/>
      <c r="K27571"/>
      <c r="L27571"/>
    </row>
    <row r="27572" spans="2:12" x14ac:dyDescent="0.2">
      <c r="B27572"/>
      <c r="C27572"/>
      <c r="J27572"/>
      <c r="K27572"/>
      <c r="L27572"/>
    </row>
    <row r="27573" spans="2:12" x14ac:dyDescent="0.2">
      <c r="B27573"/>
      <c r="C27573"/>
      <c r="J27573"/>
      <c r="K27573"/>
      <c r="L27573"/>
    </row>
    <row r="27574" spans="2:12" x14ac:dyDescent="0.2">
      <c r="B27574"/>
      <c r="C27574"/>
      <c r="J27574"/>
      <c r="K27574"/>
      <c r="L27574"/>
    </row>
    <row r="27575" spans="2:12" x14ac:dyDescent="0.2">
      <c r="B27575"/>
      <c r="C27575"/>
      <c r="J27575"/>
      <c r="K27575"/>
      <c r="L27575"/>
    </row>
    <row r="27576" spans="2:12" x14ac:dyDescent="0.2">
      <c r="B27576"/>
      <c r="C27576"/>
      <c r="J27576"/>
      <c r="K27576"/>
      <c r="L27576"/>
    </row>
    <row r="27577" spans="2:12" x14ac:dyDescent="0.2">
      <c r="B27577"/>
      <c r="C27577"/>
      <c r="J27577"/>
      <c r="K27577"/>
      <c r="L27577"/>
    </row>
    <row r="27578" spans="2:12" x14ac:dyDescent="0.2">
      <c r="B27578"/>
      <c r="C27578"/>
      <c r="J27578"/>
      <c r="K27578"/>
      <c r="L27578"/>
    </row>
    <row r="27579" spans="2:12" x14ac:dyDescent="0.2">
      <c r="B27579"/>
      <c r="C27579"/>
      <c r="J27579"/>
      <c r="K27579"/>
      <c r="L27579"/>
    </row>
    <row r="27580" spans="2:12" x14ac:dyDescent="0.2">
      <c r="B27580"/>
      <c r="C27580"/>
      <c r="J27580"/>
      <c r="K27580"/>
      <c r="L27580"/>
    </row>
    <row r="27581" spans="2:12" x14ac:dyDescent="0.2">
      <c r="B27581"/>
      <c r="C27581"/>
      <c r="J27581"/>
      <c r="K27581"/>
      <c r="L27581"/>
    </row>
    <row r="27582" spans="2:12" x14ac:dyDescent="0.2">
      <c r="B27582"/>
      <c r="C27582"/>
      <c r="J27582"/>
      <c r="K27582"/>
      <c r="L27582"/>
    </row>
    <row r="27583" spans="2:12" x14ac:dyDescent="0.2">
      <c r="B27583"/>
      <c r="C27583"/>
      <c r="J27583"/>
      <c r="K27583"/>
      <c r="L27583"/>
    </row>
    <row r="27584" spans="2:12" x14ac:dyDescent="0.2">
      <c r="B27584"/>
      <c r="C27584"/>
      <c r="J27584"/>
      <c r="K27584"/>
      <c r="L27584"/>
    </row>
    <row r="27585" spans="2:12" x14ac:dyDescent="0.2">
      <c r="B27585"/>
      <c r="C27585"/>
      <c r="J27585"/>
      <c r="K27585"/>
      <c r="L27585"/>
    </row>
    <row r="27586" spans="2:12" x14ac:dyDescent="0.2">
      <c r="B27586"/>
      <c r="C27586"/>
      <c r="J27586"/>
      <c r="K27586"/>
      <c r="L27586"/>
    </row>
    <row r="27587" spans="2:12" x14ac:dyDescent="0.2">
      <c r="B27587"/>
      <c r="C27587"/>
      <c r="J27587"/>
      <c r="K27587"/>
      <c r="L27587"/>
    </row>
    <row r="27588" spans="2:12" x14ac:dyDescent="0.2">
      <c r="B27588"/>
      <c r="C27588"/>
      <c r="J27588"/>
      <c r="K27588"/>
      <c r="L27588"/>
    </row>
    <row r="27589" spans="2:12" x14ac:dyDescent="0.2">
      <c r="B27589"/>
      <c r="C27589"/>
      <c r="J27589"/>
      <c r="K27589"/>
      <c r="L27589"/>
    </row>
    <row r="27590" spans="2:12" x14ac:dyDescent="0.2">
      <c r="B27590"/>
      <c r="C27590"/>
      <c r="J27590"/>
      <c r="K27590"/>
      <c r="L27590"/>
    </row>
    <row r="27591" spans="2:12" x14ac:dyDescent="0.2">
      <c r="B27591"/>
      <c r="C27591"/>
      <c r="J27591"/>
      <c r="K27591"/>
      <c r="L27591"/>
    </row>
    <row r="27592" spans="2:12" x14ac:dyDescent="0.2">
      <c r="B27592"/>
      <c r="C27592"/>
      <c r="J27592"/>
      <c r="K27592"/>
      <c r="L27592"/>
    </row>
    <row r="27593" spans="2:12" x14ac:dyDescent="0.2">
      <c r="B27593"/>
      <c r="C27593"/>
      <c r="J27593"/>
      <c r="K27593"/>
      <c r="L27593"/>
    </row>
    <row r="27594" spans="2:12" x14ac:dyDescent="0.2">
      <c r="B27594"/>
      <c r="C27594"/>
      <c r="J27594"/>
      <c r="K27594"/>
      <c r="L27594"/>
    </row>
    <row r="27595" spans="2:12" x14ac:dyDescent="0.2">
      <c r="B27595"/>
      <c r="C27595"/>
      <c r="J27595"/>
      <c r="K27595"/>
      <c r="L27595"/>
    </row>
    <row r="27596" spans="2:12" x14ac:dyDescent="0.2">
      <c r="B27596"/>
      <c r="C27596"/>
      <c r="J27596"/>
      <c r="K27596"/>
      <c r="L27596"/>
    </row>
    <row r="27597" spans="2:12" x14ac:dyDescent="0.2">
      <c r="B27597"/>
      <c r="C27597"/>
      <c r="J27597"/>
      <c r="K27597"/>
      <c r="L27597"/>
    </row>
    <row r="27598" spans="2:12" x14ac:dyDescent="0.2">
      <c r="B27598"/>
      <c r="C27598"/>
      <c r="J27598"/>
      <c r="K27598"/>
      <c r="L27598"/>
    </row>
    <row r="27599" spans="2:12" x14ac:dyDescent="0.2">
      <c r="B27599"/>
      <c r="C27599"/>
      <c r="J27599"/>
      <c r="K27599"/>
      <c r="L27599"/>
    </row>
    <row r="27600" spans="2:12" x14ac:dyDescent="0.2">
      <c r="B27600"/>
      <c r="C27600"/>
      <c r="J27600"/>
      <c r="K27600"/>
      <c r="L27600"/>
    </row>
    <row r="27601" spans="2:12" x14ac:dyDescent="0.2">
      <c r="B27601"/>
      <c r="C27601"/>
      <c r="J27601"/>
      <c r="K27601"/>
      <c r="L27601"/>
    </row>
    <row r="27602" spans="2:12" x14ac:dyDescent="0.2">
      <c r="B27602"/>
      <c r="C27602"/>
      <c r="J27602"/>
      <c r="K27602"/>
      <c r="L27602"/>
    </row>
    <row r="27603" spans="2:12" x14ac:dyDescent="0.2">
      <c r="B27603"/>
      <c r="C27603"/>
      <c r="J27603"/>
      <c r="K27603"/>
      <c r="L27603"/>
    </row>
    <row r="27604" spans="2:12" x14ac:dyDescent="0.2">
      <c r="B27604"/>
      <c r="C27604"/>
      <c r="J27604"/>
      <c r="K27604"/>
      <c r="L27604"/>
    </row>
    <row r="27605" spans="2:12" x14ac:dyDescent="0.2">
      <c r="B27605"/>
      <c r="C27605"/>
      <c r="J27605"/>
      <c r="K27605"/>
      <c r="L27605"/>
    </row>
    <row r="27606" spans="2:12" x14ac:dyDescent="0.2">
      <c r="B27606"/>
      <c r="C27606"/>
      <c r="J27606"/>
      <c r="K27606"/>
      <c r="L27606"/>
    </row>
    <row r="27607" spans="2:12" x14ac:dyDescent="0.2">
      <c r="B27607"/>
      <c r="C27607"/>
      <c r="J27607"/>
      <c r="K27607"/>
      <c r="L27607"/>
    </row>
    <row r="27608" spans="2:12" x14ac:dyDescent="0.2">
      <c r="B27608"/>
      <c r="C27608"/>
      <c r="J27608"/>
      <c r="K27608"/>
      <c r="L27608"/>
    </row>
    <row r="27609" spans="2:12" x14ac:dyDescent="0.2">
      <c r="B27609"/>
      <c r="C27609"/>
      <c r="J27609"/>
      <c r="K27609"/>
      <c r="L27609"/>
    </row>
    <row r="27610" spans="2:12" x14ac:dyDescent="0.2">
      <c r="B27610"/>
      <c r="C27610"/>
      <c r="J27610"/>
      <c r="K27610"/>
      <c r="L27610"/>
    </row>
    <row r="27611" spans="2:12" x14ac:dyDescent="0.2">
      <c r="B27611"/>
      <c r="C27611"/>
      <c r="J27611"/>
      <c r="K27611"/>
      <c r="L27611"/>
    </row>
    <row r="27612" spans="2:12" x14ac:dyDescent="0.2">
      <c r="B27612"/>
      <c r="C27612"/>
      <c r="J27612"/>
      <c r="K27612"/>
      <c r="L27612"/>
    </row>
    <row r="27613" spans="2:12" x14ac:dyDescent="0.2">
      <c r="B27613"/>
      <c r="C27613"/>
      <c r="J27613"/>
      <c r="K27613"/>
      <c r="L27613"/>
    </row>
    <row r="27614" spans="2:12" x14ac:dyDescent="0.2">
      <c r="B27614"/>
      <c r="C27614"/>
      <c r="J27614"/>
      <c r="K27614"/>
      <c r="L27614"/>
    </row>
    <row r="27615" spans="2:12" x14ac:dyDescent="0.2">
      <c r="B27615"/>
      <c r="C27615"/>
      <c r="J27615"/>
      <c r="K27615"/>
      <c r="L27615"/>
    </row>
    <row r="27616" spans="2:12" x14ac:dyDescent="0.2">
      <c r="B27616"/>
      <c r="C27616"/>
      <c r="J27616"/>
      <c r="K27616"/>
      <c r="L27616"/>
    </row>
    <row r="27617" spans="2:12" x14ac:dyDescent="0.2">
      <c r="B27617"/>
      <c r="C27617"/>
      <c r="J27617"/>
      <c r="K27617"/>
      <c r="L27617"/>
    </row>
    <row r="27618" spans="2:12" x14ac:dyDescent="0.2">
      <c r="B27618"/>
      <c r="C27618"/>
      <c r="J27618"/>
      <c r="K27618"/>
      <c r="L27618"/>
    </row>
    <row r="27619" spans="2:12" x14ac:dyDescent="0.2">
      <c r="B27619"/>
      <c r="C27619"/>
      <c r="J27619"/>
      <c r="K27619"/>
      <c r="L27619"/>
    </row>
    <row r="27620" spans="2:12" x14ac:dyDescent="0.2">
      <c r="B27620"/>
      <c r="C27620"/>
      <c r="J27620"/>
      <c r="K27620"/>
      <c r="L27620"/>
    </row>
    <row r="27621" spans="2:12" x14ac:dyDescent="0.2">
      <c r="B27621"/>
      <c r="C27621"/>
      <c r="J27621"/>
      <c r="K27621"/>
      <c r="L27621"/>
    </row>
    <row r="27622" spans="2:12" x14ac:dyDescent="0.2">
      <c r="B27622"/>
      <c r="C27622"/>
      <c r="J27622"/>
      <c r="K27622"/>
      <c r="L27622"/>
    </row>
    <row r="27623" spans="2:12" x14ac:dyDescent="0.2">
      <c r="B27623"/>
      <c r="C27623"/>
      <c r="J27623"/>
      <c r="K27623"/>
      <c r="L27623"/>
    </row>
    <row r="27624" spans="2:12" x14ac:dyDescent="0.2">
      <c r="B27624"/>
      <c r="C27624"/>
      <c r="J27624"/>
      <c r="K27624"/>
      <c r="L27624"/>
    </row>
    <row r="27625" spans="2:12" x14ac:dyDescent="0.2">
      <c r="B27625"/>
      <c r="C27625"/>
      <c r="J27625"/>
      <c r="K27625"/>
      <c r="L27625"/>
    </row>
    <row r="27626" spans="2:12" x14ac:dyDescent="0.2">
      <c r="B27626"/>
      <c r="C27626"/>
      <c r="J27626"/>
      <c r="K27626"/>
      <c r="L27626"/>
    </row>
    <row r="27627" spans="2:12" x14ac:dyDescent="0.2">
      <c r="B27627"/>
      <c r="C27627"/>
      <c r="J27627"/>
      <c r="K27627"/>
      <c r="L27627"/>
    </row>
    <row r="27628" spans="2:12" x14ac:dyDescent="0.2">
      <c r="B27628"/>
      <c r="C27628"/>
      <c r="J27628"/>
      <c r="K27628"/>
      <c r="L27628"/>
    </row>
    <row r="27629" spans="2:12" x14ac:dyDescent="0.2">
      <c r="B27629"/>
      <c r="C27629"/>
      <c r="J27629"/>
      <c r="K27629"/>
      <c r="L27629"/>
    </row>
    <row r="27630" spans="2:12" x14ac:dyDescent="0.2">
      <c r="B27630"/>
      <c r="C27630"/>
      <c r="J27630"/>
      <c r="K27630"/>
      <c r="L27630"/>
    </row>
    <row r="27631" spans="2:12" x14ac:dyDescent="0.2">
      <c r="B27631"/>
      <c r="C27631"/>
      <c r="J27631"/>
      <c r="K27631"/>
      <c r="L27631"/>
    </row>
    <row r="27632" spans="2:12" x14ac:dyDescent="0.2">
      <c r="B27632"/>
      <c r="C27632"/>
      <c r="J27632"/>
      <c r="K27632"/>
      <c r="L27632"/>
    </row>
    <row r="27633" spans="2:12" x14ac:dyDescent="0.2">
      <c r="B27633"/>
      <c r="C27633"/>
      <c r="J27633"/>
      <c r="K27633"/>
      <c r="L27633"/>
    </row>
    <row r="27634" spans="2:12" x14ac:dyDescent="0.2">
      <c r="B27634"/>
      <c r="C27634"/>
      <c r="J27634"/>
      <c r="K27634"/>
      <c r="L27634"/>
    </row>
    <row r="27635" spans="2:12" x14ac:dyDescent="0.2">
      <c r="B27635"/>
      <c r="C27635"/>
      <c r="J27635"/>
      <c r="K27635"/>
      <c r="L27635"/>
    </row>
    <row r="27636" spans="2:12" x14ac:dyDescent="0.2">
      <c r="B27636"/>
      <c r="C27636"/>
      <c r="J27636"/>
      <c r="K27636"/>
      <c r="L27636"/>
    </row>
    <row r="27637" spans="2:12" x14ac:dyDescent="0.2">
      <c r="B27637"/>
      <c r="C27637"/>
      <c r="J27637"/>
      <c r="K27637"/>
      <c r="L27637"/>
    </row>
    <row r="27638" spans="2:12" x14ac:dyDescent="0.2">
      <c r="B27638"/>
      <c r="C27638"/>
      <c r="J27638"/>
      <c r="K27638"/>
      <c r="L27638"/>
    </row>
    <row r="27639" spans="2:12" x14ac:dyDescent="0.2">
      <c r="B27639"/>
      <c r="C27639"/>
      <c r="J27639"/>
      <c r="K27639"/>
      <c r="L27639"/>
    </row>
    <row r="27640" spans="2:12" x14ac:dyDescent="0.2">
      <c r="B27640"/>
      <c r="C27640"/>
      <c r="J27640"/>
      <c r="K27640"/>
      <c r="L27640"/>
    </row>
    <row r="27641" spans="2:12" x14ac:dyDescent="0.2">
      <c r="B27641"/>
      <c r="C27641"/>
      <c r="J27641"/>
      <c r="K27641"/>
      <c r="L27641"/>
    </row>
    <row r="27642" spans="2:12" x14ac:dyDescent="0.2">
      <c r="B27642"/>
      <c r="C27642"/>
      <c r="J27642"/>
      <c r="K27642"/>
      <c r="L27642"/>
    </row>
    <row r="27643" spans="2:12" x14ac:dyDescent="0.2">
      <c r="B27643"/>
      <c r="C27643"/>
      <c r="J27643"/>
      <c r="K27643"/>
      <c r="L27643"/>
    </row>
    <row r="27644" spans="2:12" x14ac:dyDescent="0.2">
      <c r="B27644"/>
      <c r="C27644"/>
      <c r="J27644"/>
      <c r="K27644"/>
      <c r="L27644"/>
    </row>
    <row r="27645" spans="2:12" x14ac:dyDescent="0.2">
      <c r="B27645"/>
      <c r="C27645"/>
      <c r="J27645"/>
      <c r="K27645"/>
      <c r="L27645"/>
    </row>
    <row r="27646" spans="2:12" x14ac:dyDescent="0.2">
      <c r="B27646"/>
      <c r="C27646"/>
      <c r="J27646"/>
      <c r="K27646"/>
      <c r="L27646"/>
    </row>
    <row r="27647" spans="2:12" x14ac:dyDescent="0.2">
      <c r="B27647"/>
      <c r="C27647"/>
      <c r="J27647"/>
      <c r="K27647"/>
      <c r="L27647"/>
    </row>
    <row r="27648" spans="2:12" x14ac:dyDescent="0.2">
      <c r="B27648"/>
      <c r="C27648"/>
      <c r="J27648"/>
      <c r="K27648"/>
      <c r="L27648"/>
    </row>
    <row r="27649" spans="2:12" x14ac:dyDescent="0.2">
      <c r="B27649"/>
      <c r="C27649"/>
      <c r="J27649"/>
      <c r="K27649"/>
      <c r="L27649"/>
    </row>
    <row r="27650" spans="2:12" x14ac:dyDescent="0.2">
      <c r="B27650"/>
      <c r="C27650"/>
      <c r="J27650"/>
      <c r="K27650"/>
      <c r="L27650"/>
    </row>
    <row r="27651" spans="2:12" x14ac:dyDescent="0.2">
      <c r="B27651"/>
      <c r="C27651"/>
      <c r="J27651"/>
      <c r="K27651"/>
      <c r="L27651"/>
    </row>
    <row r="27652" spans="2:12" x14ac:dyDescent="0.2">
      <c r="B27652"/>
      <c r="C27652"/>
      <c r="J27652"/>
      <c r="K27652"/>
      <c r="L27652"/>
    </row>
    <row r="27653" spans="2:12" x14ac:dyDescent="0.2">
      <c r="B27653"/>
      <c r="C27653"/>
      <c r="J27653"/>
      <c r="K27653"/>
      <c r="L27653"/>
    </row>
    <row r="27654" spans="2:12" x14ac:dyDescent="0.2">
      <c r="B27654"/>
      <c r="C27654"/>
      <c r="J27654"/>
      <c r="K27654"/>
      <c r="L27654"/>
    </row>
    <row r="27655" spans="2:12" x14ac:dyDescent="0.2">
      <c r="B27655"/>
      <c r="C27655"/>
      <c r="J27655"/>
      <c r="K27655"/>
      <c r="L27655"/>
    </row>
    <row r="27656" spans="2:12" x14ac:dyDescent="0.2">
      <c r="B27656"/>
      <c r="C27656"/>
      <c r="J27656"/>
      <c r="K27656"/>
      <c r="L27656"/>
    </row>
    <row r="27657" spans="2:12" x14ac:dyDescent="0.2">
      <c r="B27657"/>
      <c r="C27657"/>
      <c r="J27657"/>
      <c r="K27657"/>
      <c r="L27657"/>
    </row>
    <row r="27658" spans="2:12" x14ac:dyDescent="0.2">
      <c r="B27658"/>
      <c r="C27658"/>
      <c r="J27658"/>
      <c r="K27658"/>
      <c r="L27658"/>
    </row>
    <row r="27659" spans="2:12" x14ac:dyDescent="0.2">
      <c r="B27659"/>
      <c r="C27659"/>
      <c r="J27659"/>
      <c r="K27659"/>
      <c r="L27659"/>
    </row>
    <row r="27660" spans="2:12" x14ac:dyDescent="0.2">
      <c r="B27660"/>
      <c r="C27660"/>
      <c r="J27660"/>
      <c r="K27660"/>
      <c r="L27660"/>
    </row>
    <row r="27661" spans="2:12" x14ac:dyDescent="0.2">
      <c r="B27661"/>
      <c r="C27661"/>
      <c r="J27661"/>
      <c r="K27661"/>
      <c r="L27661"/>
    </row>
    <row r="27662" spans="2:12" x14ac:dyDescent="0.2">
      <c r="B27662"/>
      <c r="C27662"/>
      <c r="J27662"/>
      <c r="K27662"/>
      <c r="L27662"/>
    </row>
    <row r="27663" spans="2:12" x14ac:dyDescent="0.2">
      <c r="B27663"/>
      <c r="C27663"/>
      <c r="J27663"/>
      <c r="K27663"/>
      <c r="L27663"/>
    </row>
    <row r="27664" spans="2:12" x14ac:dyDescent="0.2">
      <c r="B27664"/>
      <c r="C27664"/>
      <c r="J27664"/>
      <c r="K27664"/>
      <c r="L27664"/>
    </row>
    <row r="27665" spans="2:12" x14ac:dyDescent="0.2">
      <c r="B27665"/>
      <c r="C27665"/>
      <c r="J27665"/>
      <c r="K27665"/>
      <c r="L27665"/>
    </row>
    <row r="27666" spans="2:12" x14ac:dyDescent="0.2">
      <c r="B27666"/>
      <c r="C27666"/>
      <c r="J27666"/>
      <c r="K27666"/>
      <c r="L27666"/>
    </row>
    <row r="27667" spans="2:12" x14ac:dyDescent="0.2">
      <c r="B27667"/>
      <c r="C27667"/>
      <c r="J27667"/>
      <c r="K27667"/>
      <c r="L27667"/>
    </row>
    <row r="27668" spans="2:12" x14ac:dyDescent="0.2">
      <c r="B27668"/>
      <c r="C27668"/>
      <c r="J27668"/>
      <c r="K27668"/>
      <c r="L27668"/>
    </row>
    <row r="27669" spans="2:12" x14ac:dyDescent="0.2">
      <c r="B27669"/>
      <c r="C27669"/>
      <c r="J27669"/>
      <c r="K27669"/>
      <c r="L27669"/>
    </row>
    <row r="27670" spans="2:12" x14ac:dyDescent="0.2">
      <c r="B27670"/>
      <c r="C27670"/>
      <c r="J27670"/>
      <c r="K27670"/>
      <c r="L27670"/>
    </row>
    <row r="27671" spans="2:12" x14ac:dyDescent="0.2">
      <c r="B27671"/>
      <c r="C27671"/>
      <c r="J27671"/>
      <c r="K27671"/>
      <c r="L27671"/>
    </row>
    <row r="27672" spans="2:12" x14ac:dyDescent="0.2">
      <c r="B27672"/>
      <c r="C27672"/>
      <c r="J27672"/>
      <c r="K27672"/>
      <c r="L27672"/>
    </row>
    <row r="27673" spans="2:12" x14ac:dyDescent="0.2">
      <c r="B27673"/>
      <c r="C27673"/>
      <c r="J27673"/>
      <c r="K27673"/>
      <c r="L27673"/>
    </row>
    <row r="27674" spans="2:12" x14ac:dyDescent="0.2">
      <c r="B27674"/>
      <c r="C27674"/>
      <c r="J27674"/>
      <c r="K27674"/>
      <c r="L27674"/>
    </row>
    <row r="27675" spans="2:12" x14ac:dyDescent="0.2">
      <c r="B27675"/>
      <c r="C27675"/>
      <c r="J27675"/>
      <c r="K27675"/>
      <c r="L27675"/>
    </row>
    <row r="27676" spans="2:12" x14ac:dyDescent="0.2">
      <c r="B27676"/>
      <c r="C27676"/>
      <c r="J27676"/>
      <c r="K27676"/>
      <c r="L27676"/>
    </row>
    <row r="27677" spans="2:12" x14ac:dyDescent="0.2">
      <c r="B27677"/>
      <c r="C27677"/>
      <c r="J27677"/>
      <c r="K27677"/>
      <c r="L27677"/>
    </row>
    <row r="27678" spans="2:12" x14ac:dyDescent="0.2">
      <c r="B27678"/>
      <c r="C27678"/>
      <c r="J27678"/>
      <c r="K27678"/>
      <c r="L27678"/>
    </row>
    <row r="27679" spans="2:12" x14ac:dyDescent="0.2">
      <c r="B27679"/>
      <c r="C27679"/>
      <c r="J27679"/>
      <c r="K27679"/>
      <c r="L27679"/>
    </row>
    <row r="27680" spans="2:12" x14ac:dyDescent="0.2">
      <c r="B27680"/>
      <c r="C27680"/>
      <c r="J27680"/>
      <c r="K27680"/>
      <c r="L27680"/>
    </row>
    <row r="27681" spans="2:12" x14ac:dyDescent="0.2">
      <c r="B27681"/>
      <c r="C27681"/>
      <c r="J27681"/>
      <c r="K27681"/>
      <c r="L27681"/>
    </row>
    <row r="27682" spans="2:12" x14ac:dyDescent="0.2">
      <c r="B27682"/>
      <c r="C27682"/>
      <c r="J27682"/>
      <c r="K27682"/>
      <c r="L27682"/>
    </row>
    <row r="27683" spans="2:12" x14ac:dyDescent="0.2">
      <c r="B27683"/>
      <c r="C27683"/>
      <c r="J27683"/>
      <c r="K27683"/>
      <c r="L27683"/>
    </row>
    <row r="27684" spans="2:12" x14ac:dyDescent="0.2">
      <c r="B27684"/>
      <c r="C27684"/>
      <c r="J27684"/>
      <c r="K27684"/>
      <c r="L27684"/>
    </row>
    <row r="27685" spans="2:12" x14ac:dyDescent="0.2">
      <c r="B27685"/>
      <c r="C27685"/>
      <c r="J27685"/>
      <c r="K27685"/>
      <c r="L27685"/>
    </row>
    <row r="27686" spans="2:12" x14ac:dyDescent="0.2">
      <c r="B27686"/>
      <c r="C27686"/>
      <c r="J27686"/>
      <c r="K27686"/>
      <c r="L27686"/>
    </row>
    <row r="27687" spans="2:12" x14ac:dyDescent="0.2">
      <c r="B27687"/>
      <c r="C27687"/>
      <c r="J27687"/>
      <c r="K27687"/>
      <c r="L27687"/>
    </row>
    <row r="27688" spans="2:12" x14ac:dyDescent="0.2">
      <c r="B27688"/>
      <c r="C27688"/>
      <c r="J27688"/>
      <c r="K27688"/>
      <c r="L27688"/>
    </row>
    <row r="27689" spans="2:12" x14ac:dyDescent="0.2">
      <c r="B27689"/>
      <c r="C27689"/>
      <c r="J27689"/>
      <c r="K27689"/>
      <c r="L27689"/>
    </row>
    <row r="27690" spans="2:12" x14ac:dyDescent="0.2">
      <c r="B27690"/>
      <c r="C27690"/>
      <c r="J27690"/>
      <c r="K27690"/>
      <c r="L27690"/>
    </row>
    <row r="27691" spans="2:12" x14ac:dyDescent="0.2">
      <c r="B27691"/>
      <c r="C27691"/>
      <c r="J27691"/>
      <c r="K27691"/>
      <c r="L27691"/>
    </row>
    <row r="27692" spans="2:12" x14ac:dyDescent="0.2">
      <c r="B27692"/>
      <c r="C27692"/>
      <c r="J27692"/>
      <c r="K27692"/>
      <c r="L27692"/>
    </row>
    <row r="27693" spans="2:12" x14ac:dyDescent="0.2">
      <c r="B27693"/>
      <c r="C27693"/>
      <c r="J27693"/>
      <c r="K27693"/>
      <c r="L27693"/>
    </row>
    <row r="27694" spans="2:12" x14ac:dyDescent="0.2">
      <c r="B27694"/>
      <c r="C27694"/>
      <c r="J27694"/>
      <c r="K27694"/>
      <c r="L27694"/>
    </row>
    <row r="27695" spans="2:12" x14ac:dyDescent="0.2">
      <c r="B27695"/>
      <c r="C27695"/>
      <c r="J27695"/>
      <c r="K27695"/>
      <c r="L27695"/>
    </row>
    <row r="27696" spans="2:12" x14ac:dyDescent="0.2">
      <c r="B27696"/>
      <c r="C27696"/>
      <c r="J27696"/>
      <c r="K27696"/>
      <c r="L27696"/>
    </row>
    <row r="27697" spans="2:12" x14ac:dyDescent="0.2">
      <c r="B27697"/>
      <c r="C27697"/>
      <c r="J27697"/>
      <c r="K27697"/>
      <c r="L27697"/>
    </row>
    <row r="27698" spans="2:12" x14ac:dyDescent="0.2">
      <c r="B27698"/>
      <c r="C27698"/>
      <c r="J27698"/>
      <c r="K27698"/>
      <c r="L27698"/>
    </row>
    <row r="27699" spans="2:12" x14ac:dyDescent="0.2">
      <c r="B27699"/>
      <c r="C27699"/>
      <c r="J27699"/>
      <c r="K27699"/>
      <c r="L27699"/>
    </row>
    <row r="27700" spans="2:12" x14ac:dyDescent="0.2">
      <c r="B27700"/>
      <c r="C27700"/>
      <c r="J27700"/>
      <c r="K27700"/>
      <c r="L27700"/>
    </row>
    <row r="27701" spans="2:12" x14ac:dyDescent="0.2">
      <c r="B27701"/>
      <c r="C27701"/>
      <c r="J27701"/>
      <c r="K27701"/>
      <c r="L27701"/>
    </row>
    <row r="27702" spans="2:12" x14ac:dyDescent="0.2">
      <c r="B27702"/>
      <c r="C27702"/>
      <c r="J27702"/>
      <c r="K27702"/>
      <c r="L27702"/>
    </row>
    <row r="27703" spans="2:12" x14ac:dyDescent="0.2">
      <c r="B27703"/>
      <c r="C27703"/>
      <c r="J27703"/>
      <c r="K27703"/>
      <c r="L27703"/>
    </row>
    <row r="27704" spans="2:12" x14ac:dyDescent="0.2">
      <c r="B27704"/>
      <c r="C27704"/>
      <c r="J27704"/>
      <c r="K27704"/>
      <c r="L27704"/>
    </row>
    <row r="27705" spans="2:12" x14ac:dyDescent="0.2">
      <c r="B27705"/>
      <c r="C27705"/>
      <c r="J27705"/>
      <c r="K27705"/>
      <c r="L27705"/>
    </row>
    <row r="27706" spans="2:12" x14ac:dyDescent="0.2">
      <c r="B27706"/>
      <c r="C27706"/>
      <c r="J27706"/>
      <c r="K27706"/>
      <c r="L27706"/>
    </row>
    <row r="27707" spans="2:12" x14ac:dyDescent="0.2">
      <c r="B27707"/>
      <c r="C27707"/>
      <c r="J27707"/>
      <c r="K27707"/>
      <c r="L27707"/>
    </row>
    <row r="27708" spans="2:12" x14ac:dyDescent="0.2">
      <c r="B27708"/>
      <c r="C27708"/>
      <c r="J27708"/>
      <c r="K27708"/>
      <c r="L27708"/>
    </row>
    <row r="27709" spans="2:12" x14ac:dyDescent="0.2">
      <c r="B27709"/>
      <c r="C27709"/>
      <c r="J27709"/>
      <c r="K27709"/>
      <c r="L27709"/>
    </row>
    <row r="27710" spans="2:12" x14ac:dyDescent="0.2">
      <c r="B27710"/>
      <c r="C27710"/>
      <c r="J27710"/>
      <c r="K27710"/>
      <c r="L27710"/>
    </row>
    <row r="27711" spans="2:12" x14ac:dyDescent="0.2">
      <c r="B27711"/>
      <c r="C27711"/>
      <c r="J27711"/>
      <c r="K27711"/>
      <c r="L27711"/>
    </row>
    <row r="27712" spans="2:12" x14ac:dyDescent="0.2">
      <c r="B27712"/>
      <c r="C27712"/>
      <c r="J27712"/>
      <c r="K27712"/>
      <c r="L27712"/>
    </row>
    <row r="27713" spans="2:12" x14ac:dyDescent="0.2">
      <c r="B27713"/>
      <c r="C27713"/>
      <c r="J27713"/>
      <c r="K27713"/>
      <c r="L27713"/>
    </row>
    <row r="27714" spans="2:12" x14ac:dyDescent="0.2">
      <c r="B27714"/>
      <c r="C27714"/>
      <c r="J27714"/>
      <c r="K27714"/>
      <c r="L27714"/>
    </row>
    <row r="27715" spans="2:12" x14ac:dyDescent="0.2">
      <c r="B27715"/>
      <c r="C27715"/>
      <c r="J27715"/>
      <c r="K27715"/>
      <c r="L27715"/>
    </row>
    <row r="27716" spans="2:12" x14ac:dyDescent="0.2">
      <c r="B27716"/>
      <c r="C27716"/>
      <c r="J27716"/>
      <c r="K27716"/>
      <c r="L27716"/>
    </row>
    <row r="27717" spans="2:12" x14ac:dyDescent="0.2">
      <c r="B27717"/>
      <c r="C27717"/>
      <c r="J27717"/>
      <c r="K27717"/>
      <c r="L27717"/>
    </row>
    <row r="27718" spans="2:12" x14ac:dyDescent="0.2">
      <c r="B27718"/>
      <c r="C27718"/>
      <c r="J27718"/>
      <c r="K27718"/>
      <c r="L27718"/>
    </row>
    <row r="27719" spans="2:12" x14ac:dyDescent="0.2">
      <c r="B27719"/>
      <c r="C27719"/>
      <c r="J27719"/>
      <c r="K27719"/>
      <c r="L27719"/>
    </row>
    <row r="27720" spans="2:12" x14ac:dyDescent="0.2">
      <c r="B27720"/>
      <c r="C27720"/>
      <c r="J27720"/>
      <c r="K27720"/>
      <c r="L27720"/>
    </row>
    <row r="27721" spans="2:12" x14ac:dyDescent="0.2">
      <c r="B27721"/>
      <c r="C27721"/>
      <c r="J27721"/>
      <c r="K27721"/>
      <c r="L27721"/>
    </row>
    <row r="27722" spans="2:12" x14ac:dyDescent="0.2">
      <c r="B27722"/>
      <c r="C27722"/>
      <c r="J27722"/>
      <c r="K27722"/>
      <c r="L27722"/>
    </row>
    <row r="27723" spans="2:12" x14ac:dyDescent="0.2">
      <c r="B27723"/>
      <c r="C27723"/>
      <c r="J27723"/>
      <c r="K27723"/>
      <c r="L27723"/>
    </row>
    <row r="27724" spans="2:12" x14ac:dyDescent="0.2">
      <c r="B27724"/>
      <c r="C27724"/>
      <c r="J27724"/>
      <c r="K27724"/>
      <c r="L27724"/>
    </row>
    <row r="27725" spans="2:12" x14ac:dyDescent="0.2">
      <c r="B27725"/>
      <c r="C27725"/>
      <c r="J27725"/>
      <c r="K27725"/>
      <c r="L27725"/>
    </row>
    <row r="27726" spans="2:12" x14ac:dyDescent="0.2">
      <c r="B27726"/>
      <c r="C27726"/>
      <c r="J27726"/>
      <c r="K27726"/>
      <c r="L27726"/>
    </row>
    <row r="27727" spans="2:12" x14ac:dyDescent="0.2">
      <c r="B27727"/>
      <c r="C27727"/>
      <c r="J27727"/>
      <c r="K27727"/>
      <c r="L27727"/>
    </row>
    <row r="27728" spans="2:12" x14ac:dyDescent="0.2">
      <c r="B27728"/>
      <c r="C27728"/>
      <c r="J27728"/>
      <c r="K27728"/>
      <c r="L27728"/>
    </row>
    <row r="27729" spans="2:12" x14ac:dyDescent="0.2">
      <c r="B27729"/>
      <c r="C27729"/>
      <c r="J27729"/>
      <c r="K27729"/>
      <c r="L27729"/>
    </row>
    <row r="27730" spans="2:12" x14ac:dyDescent="0.2">
      <c r="B27730"/>
      <c r="C27730"/>
      <c r="J27730"/>
      <c r="K27730"/>
      <c r="L27730"/>
    </row>
    <row r="27731" spans="2:12" x14ac:dyDescent="0.2">
      <c r="B27731"/>
      <c r="C27731"/>
      <c r="J27731"/>
      <c r="K27731"/>
      <c r="L27731"/>
    </row>
    <row r="27732" spans="2:12" x14ac:dyDescent="0.2">
      <c r="B27732"/>
      <c r="C27732"/>
      <c r="J27732"/>
      <c r="K27732"/>
      <c r="L27732"/>
    </row>
    <row r="27733" spans="2:12" x14ac:dyDescent="0.2">
      <c r="B27733"/>
      <c r="C27733"/>
      <c r="J27733"/>
      <c r="K27733"/>
      <c r="L27733"/>
    </row>
    <row r="27734" spans="2:12" x14ac:dyDescent="0.2">
      <c r="B27734"/>
      <c r="C27734"/>
      <c r="J27734"/>
      <c r="K27734"/>
      <c r="L27734"/>
    </row>
    <row r="27735" spans="2:12" x14ac:dyDescent="0.2">
      <c r="B27735"/>
      <c r="C27735"/>
      <c r="J27735"/>
      <c r="K27735"/>
      <c r="L27735"/>
    </row>
    <row r="27736" spans="2:12" x14ac:dyDescent="0.2">
      <c r="B27736"/>
      <c r="C27736"/>
      <c r="J27736"/>
      <c r="K27736"/>
      <c r="L27736"/>
    </row>
    <row r="27737" spans="2:12" x14ac:dyDescent="0.2">
      <c r="B27737"/>
      <c r="C27737"/>
      <c r="J27737"/>
      <c r="K27737"/>
      <c r="L27737"/>
    </row>
    <row r="27738" spans="2:12" x14ac:dyDescent="0.2">
      <c r="B27738"/>
      <c r="C27738"/>
      <c r="J27738"/>
      <c r="K27738"/>
      <c r="L27738"/>
    </row>
    <row r="27739" spans="2:12" x14ac:dyDescent="0.2">
      <c r="B27739"/>
      <c r="C27739"/>
      <c r="J27739"/>
      <c r="K27739"/>
      <c r="L27739"/>
    </row>
    <row r="27740" spans="2:12" x14ac:dyDescent="0.2">
      <c r="B27740"/>
      <c r="C27740"/>
      <c r="J27740"/>
      <c r="K27740"/>
      <c r="L27740"/>
    </row>
    <row r="27741" spans="2:12" x14ac:dyDescent="0.2">
      <c r="B27741"/>
      <c r="C27741"/>
      <c r="J27741"/>
      <c r="K27741"/>
      <c r="L27741"/>
    </row>
    <row r="27742" spans="2:12" x14ac:dyDescent="0.2">
      <c r="B27742"/>
      <c r="C27742"/>
      <c r="J27742"/>
      <c r="K27742"/>
      <c r="L27742"/>
    </row>
    <row r="27743" spans="2:12" x14ac:dyDescent="0.2">
      <c r="B27743"/>
      <c r="C27743"/>
      <c r="J27743"/>
      <c r="K27743"/>
      <c r="L27743"/>
    </row>
    <row r="27744" spans="2:12" x14ac:dyDescent="0.2">
      <c r="B27744"/>
      <c r="C27744"/>
      <c r="J27744"/>
      <c r="K27744"/>
      <c r="L27744"/>
    </row>
    <row r="27745" spans="2:12" x14ac:dyDescent="0.2">
      <c r="B27745"/>
      <c r="C27745"/>
      <c r="J27745"/>
      <c r="K27745"/>
      <c r="L27745"/>
    </row>
    <row r="27746" spans="2:12" x14ac:dyDescent="0.2">
      <c r="B27746"/>
      <c r="C27746"/>
      <c r="J27746"/>
      <c r="K27746"/>
      <c r="L27746"/>
    </row>
    <row r="27747" spans="2:12" x14ac:dyDescent="0.2">
      <c r="B27747"/>
      <c r="C27747"/>
      <c r="J27747"/>
      <c r="K27747"/>
      <c r="L27747"/>
    </row>
    <row r="27748" spans="2:12" x14ac:dyDescent="0.2">
      <c r="B27748"/>
      <c r="C27748"/>
      <c r="J27748"/>
      <c r="K27748"/>
      <c r="L27748"/>
    </row>
    <row r="27749" spans="2:12" x14ac:dyDescent="0.2">
      <c r="B27749"/>
      <c r="C27749"/>
      <c r="J27749"/>
      <c r="K27749"/>
      <c r="L27749"/>
    </row>
    <row r="27750" spans="2:12" x14ac:dyDescent="0.2">
      <c r="B27750"/>
      <c r="C27750"/>
      <c r="J27750"/>
      <c r="K27750"/>
      <c r="L27750"/>
    </row>
    <row r="27751" spans="2:12" x14ac:dyDescent="0.2">
      <c r="B27751"/>
      <c r="C27751"/>
      <c r="J27751"/>
      <c r="K27751"/>
      <c r="L27751"/>
    </row>
    <row r="27752" spans="2:12" x14ac:dyDescent="0.2">
      <c r="B27752"/>
      <c r="C27752"/>
      <c r="J27752"/>
      <c r="K27752"/>
      <c r="L27752"/>
    </row>
    <row r="27753" spans="2:12" x14ac:dyDescent="0.2">
      <c r="B27753"/>
      <c r="C27753"/>
      <c r="J27753"/>
      <c r="K27753"/>
      <c r="L27753"/>
    </row>
    <row r="27754" spans="2:12" x14ac:dyDescent="0.2">
      <c r="B27754"/>
      <c r="C27754"/>
      <c r="J27754"/>
      <c r="K27754"/>
      <c r="L27754"/>
    </row>
    <row r="27755" spans="2:12" x14ac:dyDescent="0.2">
      <c r="B27755"/>
      <c r="C27755"/>
      <c r="J27755"/>
      <c r="K27755"/>
      <c r="L27755"/>
    </row>
    <row r="27756" spans="2:12" x14ac:dyDescent="0.2">
      <c r="B27756"/>
      <c r="C27756"/>
      <c r="J27756"/>
      <c r="K27756"/>
      <c r="L27756"/>
    </row>
    <row r="27757" spans="2:12" x14ac:dyDescent="0.2">
      <c r="B27757"/>
      <c r="C27757"/>
      <c r="J27757"/>
      <c r="K27757"/>
      <c r="L27757"/>
    </row>
    <row r="27758" spans="2:12" x14ac:dyDescent="0.2">
      <c r="B27758"/>
      <c r="C27758"/>
      <c r="J27758"/>
      <c r="K27758"/>
      <c r="L27758"/>
    </row>
    <row r="27759" spans="2:12" x14ac:dyDescent="0.2">
      <c r="B27759"/>
      <c r="C27759"/>
      <c r="J27759"/>
      <c r="K27759"/>
      <c r="L27759"/>
    </row>
    <row r="27760" spans="2:12" x14ac:dyDescent="0.2">
      <c r="B27760"/>
      <c r="C27760"/>
      <c r="J27760"/>
      <c r="K27760"/>
      <c r="L27760"/>
    </row>
    <row r="27761" spans="2:12" x14ac:dyDescent="0.2">
      <c r="B27761"/>
      <c r="C27761"/>
      <c r="J27761"/>
      <c r="K27761"/>
      <c r="L27761"/>
    </row>
    <row r="27762" spans="2:12" x14ac:dyDescent="0.2">
      <c r="B27762"/>
      <c r="C27762"/>
      <c r="J27762"/>
      <c r="K27762"/>
      <c r="L27762"/>
    </row>
    <row r="27763" spans="2:12" x14ac:dyDescent="0.2">
      <c r="B27763"/>
      <c r="C27763"/>
      <c r="J27763"/>
      <c r="K27763"/>
      <c r="L27763"/>
    </row>
    <row r="27764" spans="2:12" x14ac:dyDescent="0.2">
      <c r="B27764"/>
      <c r="C27764"/>
      <c r="J27764"/>
      <c r="K27764"/>
      <c r="L27764"/>
    </row>
    <row r="27765" spans="2:12" x14ac:dyDescent="0.2">
      <c r="B27765"/>
      <c r="C27765"/>
      <c r="J27765"/>
      <c r="K27765"/>
      <c r="L27765"/>
    </row>
    <row r="27766" spans="2:12" x14ac:dyDescent="0.2">
      <c r="B27766"/>
      <c r="C27766"/>
      <c r="J27766"/>
      <c r="K27766"/>
      <c r="L27766"/>
    </row>
    <row r="27767" spans="2:12" x14ac:dyDescent="0.2">
      <c r="B27767"/>
      <c r="C27767"/>
      <c r="J27767"/>
      <c r="K27767"/>
      <c r="L27767"/>
    </row>
    <row r="27768" spans="2:12" x14ac:dyDescent="0.2">
      <c r="B27768"/>
      <c r="C27768"/>
      <c r="J27768"/>
      <c r="K27768"/>
      <c r="L27768"/>
    </row>
    <row r="27769" spans="2:12" x14ac:dyDescent="0.2">
      <c r="B27769"/>
      <c r="C27769"/>
      <c r="J27769"/>
      <c r="K27769"/>
      <c r="L27769"/>
    </row>
    <row r="27770" spans="2:12" x14ac:dyDescent="0.2">
      <c r="B27770"/>
      <c r="C27770"/>
      <c r="J27770"/>
      <c r="K27770"/>
      <c r="L27770"/>
    </row>
    <row r="27771" spans="2:12" x14ac:dyDescent="0.2">
      <c r="B27771"/>
      <c r="C27771"/>
      <c r="J27771"/>
      <c r="K27771"/>
      <c r="L27771"/>
    </row>
    <row r="27772" spans="2:12" x14ac:dyDescent="0.2">
      <c r="B27772"/>
      <c r="C27772"/>
      <c r="J27772"/>
      <c r="K27772"/>
      <c r="L27772"/>
    </row>
    <row r="27773" spans="2:12" x14ac:dyDescent="0.2">
      <c r="B27773"/>
      <c r="C27773"/>
      <c r="J27773"/>
      <c r="K27773"/>
      <c r="L27773"/>
    </row>
    <row r="27774" spans="2:12" x14ac:dyDescent="0.2">
      <c r="B27774"/>
      <c r="C27774"/>
      <c r="J27774"/>
      <c r="K27774"/>
      <c r="L27774"/>
    </row>
    <row r="27775" spans="2:12" x14ac:dyDescent="0.2">
      <c r="B27775"/>
      <c r="C27775"/>
      <c r="J27775"/>
      <c r="K27775"/>
      <c r="L27775"/>
    </row>
    <row r="27776" spans="2:12" x14ac:dyDescent="0.2">
      <c r="B27776"/>
      <c r="C27776"/>
      <c r="J27776"/>
      <c r="K27776"/>
      <c r="L27776"/>
    </row>
    <row r="27777" spans="2:12" x14ac:dyDescent="0.2">
      <c r="B27777"/>
      <c r="C27777"/>
      <c r="J27777"/>
      <c r="K27777"/>
      <c r="L27777"/>
    </row>
    <row r="27778" spans="2:12" x14ac:dyDescent="0.2">
      <c r="B27778"/>
      <c r="C27778"/>
      <c r="J27778"/>
      <c r="K27778"/>
      <c r="L27778"/>
    </row>
    <row r="27779" spans="2:12" x14ac:dyDescent="0.2">
      <c r="B27779"/>
      <c r="C27779"/>
      <c r="J27779"/>
      <c r="K27779"/>
      <c r="L27779"/>
    </row>
    <row r="27780" spans="2:12" x14ac:dyDescent="0.2">
      <c r="B27780"/>
      <c r="C27780"/>
      <c r="J27780"/>
      <c r="K27780"/>
      <c r="L27780"/>
    </row>
    <row r="27781" spans="2:12" x14ac:dyDescent="0.2">
      <c r="B27781"/>
      <c r="C27781"/>
      <c r="J27781"/>
      <c r="K27781"/>
      <c r="L27781"/>
    </row>
    <row r="27782" spans="2:12" x14ac:dyDescent="0.2">
      <c r="B27782"/>
      <c r="C27782"/>
      <c r="J27782"/>
      <c r="K27782"/>
      <c r="L27782"/>
    </row>
    <row r="27783" spans="2:12" x14ac:dyDescent="0.2">
      <c r="B27783"/>
      <c r="C27783"/>
      <c r="J27783"/>
      <c r="K27783"/>
      <c r="L27783"/>
    </row>
    <row r="27784" spans="2:12" x14ac:dyDescent="0.2">
      <c r="B27784"/>
      <c r="C27784"/>
      <c r="J27784"/>
      <c r="K27784"/>
      <c r="L27784"/>
    </row>
    <row r="27785" spans="2:12" x14ac:dyDescent="0.2">
      <c r="B27785"/>
      <c r="C27785"/>
      <c r="J27785"/>
      <c r="K27785"/>
      <c r="L27785"/>
    </row>
    <row r="27786" spans="2:12" x14ac:dyDescent="0.2">
      <c r="B27786"/>
      <c r="C27786"/>
      <c r="J27786"/>
      <c r="K27786"/>
      <c r="L27786"/>
    </row>
    <row r="27787" spans="2:12" x14ac:dyDescent="0.2">
      <c r="B27787"/>
      <c r="C27787"/>
      <c r="J27787"/>
      <c r="K27787"/>
      <c r="L27787"/>
    </row>
    <row r="27788" spans="2:12" x14ac:dyDescent="0.2">
      <c r="B27788"/>
      <c r="C27788"/>
      <c r="J27788"/>
      <c r="K27788"/>
      <c r="L27788"/>
    </row>
    <row r="27789" spans="2:12" x14ac:dyDescent="0.2">
      <c r="B27789"/>
      <c r="C27789"/>
      <c r="J27789"/>
      <c r="K27789"/>
      <c r="L27789"/>
    </row>
    <row r="27790" spans="2:12" x14ac:dyDescent="0.2">
      <c r="B27790"/>
      <c r="C27790"/>
      <c r="J27790"/>
      <c r="K27790"/>
      <c r="L27790"/>
    </row>
    <row r="27791" spans="2:12" x14ac:dyDescent="0.2">
      <c r="B27791"/>
      <c r="C27791"/>
      <c r="J27791"/>
      <c r="K27791"/>
      <c r="L27791"/>
    </row>
    <row r="27792" spans="2:12" x14ac:dyDescent="0.2">
      <c r="B27792"/>
      <c r="C27792"/>
      <c r="J27792"/>
      <c r="K27792"/>
      <c r="L27792"/>
    </row>
    <row r="27793" spans="2:12" x14ac:dyDescent="0.2">
      <c r="B27793"/>
      <c r="C27793"/>
      <c r="J27793"/>
      <c r="K27793"/>
      <c r="L27793"/>
    </row>
    <row r="27794" spans="2:12" x14ac:dyDescent="0.2">
      <c r="B27794"/>
      <c r="C27794"/>
      <c r="J27794"/>
      <c r="K27794"/>
      <c r="L27794"/>
    </row>
    <row r="27795" spans="2:12" x14ac:dyDescent="0.2">
      <c r="B27795"/>
      <c r="C27795"/>
      <c r="J27795"/>
      <c r="K27795"/>
      <c r="L27795"/>
    </row>
    <row r="27796" spans="2:12" x14ac:dyDescent="0.2">
      <c r="B27796"/>
      <c r="C27796"/>
      <c r="J27796"/>
      <c r="K27796"/>
      <c r="L27796"/>
    </row>
    <row r="27797" spans="2:12" x14ac:dyDescent="0.2">
      <c r="B27797"/>
      <c r="C27797"/>
      <c r="J27797"/>
      <c r="K27797"/>
      <c r="L27797"/>
    </row>
    <row r="27798" spans="2:12" x14ac:dyDescent="0.2">
      <c r="B27798"/>
      <c r="C27798"/>
      <c r="J27798"/>
      <c r="K27798"/>
      <c r="L27798"/>
    </row>
    <row r="27799" spans="2:12" x14ac:dyDescent="0.2">
      <c r="B27799"/>
      <c r="C27799"/>
      <c r="J27799"/>
      <c r="K27799"/>
      <c r="L27799"/>
    </row>
    <row r="27800" spans="2:12" x14ac:dyDescent="0.2">
      <c r="B27800"/>
      <c r="C27800"/>
      <c r="J27800"/>
      <c r="K27800"/>
      <c r="L27800"/>
    </row>
    <row r="27801" spans="2:12" x14ac:dyDescent="0.2">
      <c r="B27801"/>
      <c r="C27801"/>
      <c r="J27801"/>
      <c r="K27801"/>
      <c r="L27801"/>
    </row>
    <row r="27802" spans="2:12" x14ac:dyDescent="0.2">
      <c r="B27802"/>
      <c r="C27802"/>
      <c r="J27802"/>
      <c r="K27802"/>
      <c r="L27802"/>
    </row>
    <row r="27803" spans="2:12" x14ac:dyDescent="0.2">
      <c r="B27803"/>
      <c r="C27803"/>
      <c r="J27803"/>
      <c r="K27803"/>
      <c r="L27803"/>
    </row>
    <row r="27804" spans="2:12" x14ac:dyDescent="0.2">
      <c r="B27804"/>
      <c r="C27804"/>
      <c r="J27804"/>
      <c r="K27804"/>
      <c r="L27804"/>
    </row>
    <row r="27805" spans="2:12" x14ac:dyDescent="0.2">
      <c r="B27805"/>
      <c r="C27805"/>
      <c r="J27805"/>
      <c r="K27805"/>
      <c r="L27805"/>
    </row>
    <row r="27806" spans="2:12" x14ac:dyDescent="0.2">
      <c r="B27806"/>
      <c r="C27806"/>
      <c r="J27806"/>
      <c r="K27806"/>
      <c r="L27806"/>
    </row>
    <row r="27807" spans="2:12" x14ac:dyDescent="0.2">
      <c r="B27807"/>
      <c r="C27807"/>
      <c r="J27807"/>
      <c r="K27807"/>
      <c r="L27807"/>
    </row>
    <row r="27808" spans="2:12" x14ac:dyDescent="0.2">
      <c r="B27808"/>
      <c r="C27808"/>
      <c r="J27808"/>
      <c r="K27808"/>
      <c r="L27808"/>
    </row>
    <row r="27809" spans="2:12" x14ac:dyDescent="0.2">
      <c r="B27809"/>
      <c r="C27809"/>
      <c r="J27809"/>
      <c r="K27809"/>
      <c r="L27809"/>
    </row>
    <row r="27810" spans="2:12" x14ac:dyDescent="0.2">
      <c r="B27810"/>
      <c r="C27810"/>
      <c r="J27810"/>
      <c r="K27810"/>
      <c r="L27810"/>
    </row>
    <row r="27811" spans="2:12" x14ac:dyDescent="0.2">
      <c r="B27811"/>
      <c r="C27811"/>
      <c r="J27811"/>
      <c r="K27811"/>
      <c r="L27811"/>
    </row>
    <row r="27812" spans="2:12" x14ac:dyDescent="0.2">
      <c r="B27812"/>
      <c r="C27812"/>
      <c r="J27812"/>
      <c r="K27812"/>
      <c r="L27812"/>
    </row>
    <row r="27813" spans="2:12" x14ac:dyDescent="0.2">
      <c r="B27813"/>
      <c r="C27813"/>
      <c r="J27813"/>
      <c r="K27813"/>
      <c r="L27813"/>
    </row>
    <row r="27814" spans="2:12" x14ac:dyDescent="0.2">
      <c r="B27814"/>
      <c r="C27814"/>
      <c r="J27814"/>
      <c r="K27814"/>
      <c r="L27814"/>
    </row>
    <row r="27815" spans="2:12" x14ac:dyDescent="0.2">
      <c r="B27815"/>
      <c r="C27815"/>
      <c r="J27815"/>
      <c r="K27815"/>
      <c r="L27815"/>
    </row>
    <row r="27816" spans="2:12" x14ac:dyDescent="0.2">
      <c r="B27816"/>
      <c r="C27816"/>
      <c r="J27816"/>
      <c r="K27816"/>
      <c r="L27816"/>
    </row>
    <row r="27817" spans="2:12" x14ac:dyDescent="0.2">
      <c r="B27817"/>
      <c r="C27817"/>
      <c r="J27817"/>
      <c r="K27817"/>
      <c r="L27817"/>
    </row>
    <row r="27818" spans="2:12" x14ac:dyDescent="0.2">
      <c r="B27818"/>
      <c r="C27818"/>
      <c r="J27818"/>
      <c r="K27818"/>
      <c r="L27818"/>
    </row>
    <row r="27819" spans="2:12" x14ac:dyDescent="0.2">
      <c r="B27819"/>
      <c r="C27819"/>
      <c r="J27819"/>
      <c r="K27819"/>
      <c r="L27819"/>
    </row>
    <row r="27820" spans="2:12" x14ac:dyDescent="0.2">
      <c r="B27820"/>
      <c r="C27820"/>
      <c r="J27820"/>
      <c r="K27820"/>
      <c r="L27820"/>
    </row>
    <row r="27821" spans="2:12" x14ac:dyDescent="0.2">
      <c r="B27821"/>
      <c r="C27821"/>
      <c r="J27821"/>
      <c r="K27821"/>
      <c r="L27821"/>
    </row>
    <row r="27822" spans="2:12" x14ac:dyDescent="0.2">
      <c r="B27822"/>
      <c r="C27822"/>
      <c r="J27822"/>
      <c r="K27822"/>
      <c r="L27822"/>
    </row>
    <row r="27823" spans="2:12" x14ac:dyDescent="0.2">
      <c r="B27823"/>
      <c r="C27823"/>
      <c r="J27823"/>
      <c r="K27823"/>
      <c r="L27823"/>
    </row>
    <row r="27824" spans="2:12" x14ac:dyDescent="0.2">
      <c r="B27824"/>
      <c r="C27824"/>
      <c r="J27824"/>
      <c r="K27824"/>
      <c r="L27824"/>
    </row>
    <row r="27825" spans="2:12" x14ac:dyDescent="0.2">
      <c r="B27825"/>
      <c r="C27825"/>
      <c r="J27825"/>
      <c r="K27825"/>
      <c r="L27825"/>
    </row>
    <row r="27826" spans="2:12" x14ac:dyDescent="0.2">
      <c r="B27826"/>
      <c r="C27826"/>
      <c r="J27826"/>
      <c r="K27826"/>
      <c r="L27826"/>
    </row>
    <row r="27827" spans="2:12" x14ac:dyDescent="0.2">
      <c r="B27827"/>
      <c r="C27827"/>
      <c r="J27827"/>
      <c r="K27827"/>
      <c r="L27827"/>
    </row>
    <row r="27828" spans="2:12" x14ac:dyDescent="0.2">
      <c r="B27828"/>
      <c r="C27828"/>
      <c r="J27828"/>
      <c r="K27828"/>
      <c r="L27828"/>
    </row>
    <row r="27829" spans="2:12" x14ac:dyDescent="0.2">
      <c r="B27829"/>
      <c r="C27829"/>
      <c r="J27829"/>
      <c r="K27829"/>
      <c r="L27829"/>
    </row>
    <row r="27830" spans="2:12" x14ac:dyDescent="0.2">
      <c r="B27830"/>
      <c r="C27830"/>
      <c r="J27830"/>
      <c r="K27830"/>
      <c r="L27830"/>
    </row>
    <row r="27831" spans="2:12" x14ac:dyDescent="0.2">
      <c r="B27831"/>
      <c r="C27831"/>
      <c r="J27831"/>
      <c r="K27831"/>
      <c r="L27831"/>
    </row>
    <row r="27832" spans="2:12" x14ac:dyDescent="0.2">
      <c r="B27832"/>
      <c r="C27832"/>
      <c r="J27832"/>
      <c r="K27832"/>
      <c r="L27832"/>
    </row>
    <row r="27833" spans="2:12" x14ac:dyDescent="0.2">
      <c r="B27833"/>
      <c r="C27833"/>
      <c r="J27833"/>
      <c r="K27833"/>
      <c r="L27833"/>
    </row>
    <row r="27834" spans="2:12" x14ac:dyDescent="0.2">
      <c r="B27834"/>
      <c r="C27834"/>
      <c r="J27834"/>
      <c r="K27834"/>
      <c r="L27834"/>
    </row>
    <row r="27835" spans="2:12" x14ac:dyDescent="0.2">
      <c r="B27835"/>
      <c r="C27835"/>
      <c r="J27835"/>
      <c r="K27835"/>
      <c r="L27835"/>
    </row>
    <row r="27836" spans="2:12" x14ac:dyDescent="0.2">
      <c r="B27836"/>
      <c r="C27836"/>
      <c r="J27836"/>
      <c r="K27836"/>
      <c r="L27836"/>
    </row>
    <row r="27837" spans="2:12" x14ac:dyDescent="0.2">
      <c r="B27837"/>
      <c r="C27837"/>
      <c r="J27837"/>
      <c r="K27837"/>
      <c r="L27837"/>
    </row>
    <row r="27838" spans="2:12" x14ac:dyDescent="0.2">
      <c r="B27838"/>
      <c r="C27838"/>
      <c r="J27838"/>
      <c r="K27838"/>
      <c r="L27838"/>
    </row>
    <row r="27839" spans="2:12" x14ac:dyDescent="0.2">
      <c r="B27839"/>
      <c r="C27839"/>
      <c r="J27839"/>
      <c r="K27839"/>
      <c r="L27839"/>
    </row>
    <row r="27840" spans="2:12" x14ac:dyDescent="0.2">
      <c r="B27840"/>
      <c r="C27840"/>
      <c r="J27840"/>
      <c r="K27840"/>
      <c r="L27840"/>
    </row>
    <row r="27841" spans="2:12" x14ac:dyDescent="0.2">
      <c r="B27841"/>
      <c r="C27841"/>
      <c r="J27841"/>
      <c r="K27841"/>
      <c r="L27841"/>
    </row>
    <row r="27842" spans="2:12" x14ac:dyDescent="0.2">
      <c r="B27842"/>
      <c r="C27842"/>
      <c r="J27842"/>
      <c r="K27842"/>
      <c r="L27842"/>
    </row>
    <row r="27843" spans="2:12" x14ac:dyDescent="0.2">
      <c r="B27843"/>
      <c r="C27843"/>
      <c r="J27843"/>
      <c r="K27843"/>
      <c r="L27843"/>
    </row>
    <row r="27844" spans="2:12" x14ac:dyDescent="0.2">
      <c r="B27844"/>
      <c r="C27844"/>
      <c r="J27844"/>
      <c r="K27844"/>
      <c r="L27844"/>
    </row>
    <row r="27845" spans="2:12" x14ac:dyDescent="0.2">
      <c r="B27845"/>
      <c r="C27845"/>
      <c r="J27845"/>
      <c r="K27845"/>
      <c r="L27845"/>
    </row>
    <row r="27846" spans="2:12" x14ac:dyDescent="0.2">
      <c r="B27846"/>
      <c r="C27846"/>
      <c r="J27846"/>
      <c r="K27846"/>
      <c r="L27846"/>
    </row>
    <row r="27847" spans="2:12" x14ac:dyDescent="0.2">
      <c r="B27847"/>
      <c r="C27847"/>
      <c r="J27847"/>
      <c r="K27847"/>
      <c r="L27847"/>
    </row>
    <row r="27848" spans="2:12" x14ac:dyDescent="0.2">
      <c r="B27848"/>
      <c r="C27848"/>
      <c r="J27848"/>
      <c r="K27848"/>
      <c r="L27848"/>
    </row>
    <row r="27849" spans="2:12" x14ac:dyDescent="0.2">
      <c r="B27849"/>
      <c r="C27849"/>
      <c r="J27849"/>
      <c r="K27849"/>
      <c r="L27849"/>
    </row>
    <row r="27850" spans="2:12" x14ac:dyDescent="0.2">
      <c r="B27850"/>
      <c r="C27850"/>
      <c r="J27850"/>
      <c r="K27850"/>
      <c r="L27850"/>
    </row>
    <row r="27851" spans="2:12" x14ac:dyDescent="0.2">
      <c r="B27851"/>
      <c r="C27851"/>
      <c r="J27851"/>
      <c r="K27851"/>
      <c r="L27851"/>
    </row>
    <row r="27852" spans="2:12" x14ac:dyDescent="0.2">
      <c r="B27852"/>
      <c r="C27852"/>
      <c r="J27852"/>
      <c r="K27852"/>
      <c r="L27852"/>
    </row>
    <row r="27853" spans="2:12" x14ac:dyDescent="0.2">
      <c r="B27853"/>
      <c r="C27853"/>
      <c r="J27853"/>
      <c r="K27853"/>
      <c r="L27853"/>
    </row>
    <row r="27854" spans="2:12" x14ac:dyDescent="0.2">
      <c r="B27854"/>
      <c r="C27854"/>
      <c r="J27854"/>
      <c r="K27854"/>
      <c r="L27854"/>
    </row>
    <row r="27855" spans="2:12" x14ac:dyDescent="0.2">
      <c r="B27855"/>
      <c r="C27855"/>
      <c r="J27855"/>
      <c r="K27855"/>
      <c r="L27855"/>
    </row>
    <row r="27856" spans="2:12" x14ac:dyDescent="0.2">
      <c r="B27856"/>
      <c r="C27856"/>
      <c r="J27856"/>
      <c r="K27856"/>
      <c r="L27856"/>
    </row>
    <row r="27857" spans="2:12" x14ac:dyDescent="0.2">
      <c r="B27857"/>
      <c r="C27857"/>
      <c r="J27857"/>
      <c r="K27857"/>
      <c r="L27857"/>
    </row>
    <row r="27858" spans="2:12" x14ac:dyDescent="0.2">
      <c r="B27858"/>
      <c r="C27858"/>
      <c r="J27858"/>
      <c r="K27858"/>
      <c r="L27858"/>
    </row>
    <row r="27859" spans="2:12" x14ac:dyDescent="0.2">
      <c r="B27859"/>
      <c r="C27859"/>
      <c r="J27859"/>
      <c r="K27859"/>
      <c r="L27859"/>
    </row>
    <row r="27860" spans="2:12" x14ac:dyDescent="0.2">
      <c r="B27860"/>
      <c r="C27860"/>
      <c r="J27860"/>
      <c r="K27860"/>
      <c r="L27860"/>
    </row>
    <row r="27861" spans="2:12" x14ac:dyDescent="0.2">
      <c r="B27861"/>
      <c r="C27861"/>
      <c r="J27861"/>
      <c r="K27861"/>
      <c r="L27861"/>
    </row>
    <row r="27862" spans="2:12" x14ac:dyDescent="0.2">
      <c r="B27862"/>
      <c r="C27862"/>
      <c r="J27862"/>
      <c r="K27862"/>
      <c r="L27862"/>
    </row>
    <row r="27863" spans="2:12" x14ac:dyDescent="0.2">
      <c r="B27863"/>
      <c r="C27863"/>
      <c r="J27863"/>
      <c r="K27863"/>
      <c r="L27863"/>
    </row>
    <row r="27864" spans="2:12" x14ac:dyDescent="0.2">
      <c r="B27864"/>
      <c r="C27864"/>
      <c r="J27864"/>
      <c r="K27864"/>
      <c r="L27864"/>
    </row>
    <row r="27865" spans="2:12" x14ac:dyDescent="0.2">
      <c r="B27865"/>
      <c r="C27865"/>
      <c r="J27865"/>
      <c r="K27865"/>
      <c r="L27865"/>
    </row>
    <row r="27866" spans="2:12" x14ac:dyDescent="0.2">
      <c r="B27866"/>
      <c r="C27866"/>
      <c r="J27866"/>
      <c r="K27866"/>
      <c r="L27866"/>
    </row>
    <row r="27867" spans="2:12" x14ac:dyDescent="0.2">
      <c r="B27867"/>
      <c r="C27867"/>
      <c r="J27867"/>
      <c r="K27867"/>
      <c r="L27867"/>
    </row>
    <row r="27868" spans="2:12" x14ac:dyDescent="0.2">
      <c r="B27868"/>
      <c r="C27868"/>
      <c r="J27868"/>
      <c r="K27868"/>
      <c r="L27868"/>
    </row>
    <row r="27869" spans="2:12" x14ac:dyDescent="0.2">
      <c r="B27869"/>
      <c r="C27869"/>
      <c r="J27869"/>
      <c r="K27869"/>
      <c r="L27869"/>
    </row>
    <row r="27870" spans="2:12" x14ac:dyDescent="0.2">
      <c r="B27870"/>
      <c r="C27870"/>
      <c r="J27870"/>
      <c r="K27870"/>
      <c r="L27870"/>
    </row>
    <row r="27871" spans="2:12" x14ac:dyDescent="0.2">
      <c r="B27871"/>
      <c r="C27871"/>
      <c r="J27871"/>
      <c r="K27871"/>
      <c r="L27871"/>
    </row>
    <row r="27872" spans="2:12" x14ac:dyDescent="0.2">
      <c r="B27872"/>
      <c r="C27872"/>
      <c r="J27872"/>
      <c r="K27872"/>
      <c r="L27872"/>
    </row>
    <row r="27873" spans="2:12" x14ac:dyDescent="0.2">
      <c r="B27873"/>
      <c r="C27873"/>
      <c r="J27873"/>
      <c r="K27873"/>
      <c r="L27873"/>
    </row>
    <row r="27874" spans="2:12" x14ac:dyDescent="0.2">
      <c r="B27874"/>
      <c r="C27874"/>
      <c r="J27874"/>
      <c r="K27874"/>
      <c r="L27874"/>
    </row>
    <row r="27875" spans="2:12" x14ac:dyDescent="0.2">
      <c r="B27875"/>
      <c r="C27875"/>
      <c r="J27875"/>
      <c r="K27875"/>
      <c r="L27875"/>
    </row>
    <row r="27876" spans="2:12" x14ac:dyDescent="0.2">
      <c r="B27876"/>
      <c r="C27876"/>
      <c r="J27876"/>
      <c r="K27876"/>
      <c r="L27876"/>
    </row>
    <row r="27877" spans="2:12" x14ac:dyDescent="0.2">
      <c r="B27877"/>
      <c r="C27877"/>
      <c r="J27877"/>
      <c r="K27877"/>
      <c r="L27877"/>
    </row>
    <row r="27878" spans="2:12" x14ac:dyDescent="0.2">
      <c r="B27878"/>
      <c r="C27878"/>
      <c r="J27878"/>
      <c r="K27878"/>
      <c r="L27878"/>
    </row>
    <row r="27879" spans="2:12" x14ac:dyDescent="0.2">
      <c r="B27879"/>
      <c r="C27879"/>
      <c r="J27879"/>
      <c r="K27879"/>
      <c r="L27879"/>
    </row>
    <row r="27880" spans="2:12" x14ac:dyDescent="0.2">
      <c r="B27880"/>
      <c r="C27880"/>
      <c r="J27880"/>
      <c r="K27880"/>
      <c r="L27880"/>
    </row>
    <row r="27881" spans="2:12" x14ac:dyDescent="0.2">
      <c r="B27881"/>
      <c r="C27881"/>
      <c r="J27881"/>
      <c r="K27881"/>
      <c r="L27881"/>
    </row>
    <row r="27882" spans="2:12" x14ac:dyDescent="0.2">
      <c r="B27882"/>
      <c r="C27882"/>
      <c r="J27882"/>
      <c r="K27882"/>
      <c r="L27882"/>
    </row>
    <row r="27883" spans="2:12" x14ac:dyDescent="0.2">
      <c r="B27883"/>
      <c r="C27883"/>
      <c r="J27883"/>
      <c r="K27883"/>
      <c r="L27883"/>
    </row>
    <row r="27884" spans="2:12" x14ac:dyDescent="0.2">
      <c r="B27884"/>
      <c r="C27884"/>
      <c r="J27884"/>
      <c r="K27884"/>
      <c r="L27884"/>
    </row>
    <row r="27885" spans="2:12" x14ac:dyDescent="0.2">
      <c r="B27885"/>
      <c r="C27885"/>
      <c r="J27885"/>
      <c r="K27885"/>
      <c r="L27885"/>
    </row>
    <row r="27886" spans="2:12" x14ac:dyDescent="0.2">
      <c r="B27886"/>
      <c r="C27886"/>
      <c r="J27886"/>
      <c r="K27886"/>
      <c r="L27886"/>
    </row>
    <row r="27887" spans="2:12" x14ac:dyDescent="0.2">
      <c r="B27887"/>
      <c r="C27887"/>
      <c r="J27887"/>
      <c r="K27887"/>
      <c r="L27887"/>
    </row>
    <row r="27888" spans="2:12" x14ac:dyDescent="0.2">
      <c r="B27888"/>
      <c r="C27888"/>
      <c r="J27888"/>
      <c r="K27888"/>
      <c r="L27888"/>
    </row>
    <row r="27889" spans="2:12" x14ac:dyDescent="0.2">
      <c r="B27889"/>
      <c r="C27889"/>
      <c r="J27889"/>
      <c r="K27889"/>
      <c r="L27889"/>
    </row>
    <row r="27890" spans="2:12" x14ac:dyDescent="0.2">
      <c r="B27890"/>
      <c r="C27890"/>
      <c r="J27890"/>
      <c r="K27890"/>
      <c r="L27890"/>
    </row>
    <row r="27891" spans="2:12" x14ac:dyDescent="0.2">
      <c r="B27891"/>
      <c r="C27891"/>
      <c r="J27891"/>
      <c r="K27891"/>
      <c r="L27891"/>
    </row>
    <row r="27892" spans="2:12" x14ac:dyDescent="0.2">
      <c r="B27892"/>
      <c r="C27892"/>
      <c r="J27892"/>
      <c r="K27892"/>
      <c r="L27892"/>
    </row>
    <row r="27893" spans="2:12" x14ac:dyDescent="0.2">
      <c r="B27893"/>
      <c r="C27893"/>
      <c r="J27893"/>
      <c r="K27893"/>
      <c r="L27893"/>
    </row>
    <row r="27894" spans="2:12" x14ac:dyDescent="0.2">
      <c r="B27894"/>
      <c r="C27894"/>
      <c r="J27894"/>
      <c r="K27894"/>
      <c r="L27894"/>
    </row>
    <row r="27895" spans="2:12" x14ac:dyDescent="0.2">
      <c r="B27895"/>
      <c r="C27895"/>
      <c r="J27895"/>
      <c r="K27895"/>
      <c r="L27895"/>
    </row>
    <row r="27896" spans="2:12" x14ac:dyDescent="0.2">
      <c r="B27896"/>
      <c r="C27896"/>
      <c r="J27896"/>
      <c r="K27896"/>
      <c r="L27896"/>
    </row>
    <row r="27897" spans="2:12" x14ac:dyDescent="0.2">
      <c r="B27897"/>
      <c r="C27897"/>
      <c r="J27897"/>
      <c r="K27897"/>
      <c r="L27897"/>
    </row>
    <row r="27898" spans="2:12" x14ac:dyDescent="0.2">
      <c r="B27898"/>
      <c r="C27898"/>
      <c r="J27898"/>
      <c r="K27898"/>
      <c r="L27898"/>
    </row>
    <row r="27899" spans="2:12" x14ac:dyDescent="0.2">
      <c r="B27899"/>
      <c r="C27899"/>
      <c r="J27899"/>
      <c r="K27899"/>
      <c r="L27899"/>
    </row>
    <row r="27900" spans="2:12" x14ac:dyDescent="0.2">
      <c r="B27900"/>
      <c r="C27900"/>
      <c r="J27900"/>
      <c r="K27900"/>
      <c r="L27900"/>
    </row>
    <row r="27901" spans="2:12" x14ac:dyDescent="0.2">
      <c r="B27901"/>
      <c r="C27901"/>
      <c r="J27901"/>
      <c r="K27901"/>
      <c r="L27901"/>
    </row>
    <row r="27902" spans="2:12" x14ac:dyDescent="0.2">
      <c r="B27902"/>
      <c r="C27902"/>
      <c r="J27902"/>
      <c r="K27902"/>
      <c r="L27902"/>
    </row>
    <row r="27903" spans="2:12" x14ac:dyDescent="0.2">
      <c r="B27903"/>
      <c r="C27903"/>
      <c r="J27903"/>
      <c r="K27903"/>
      <c r="L27903"/>
    </row>
    <row r="27904" spans="2:12" x14ac:dyDescent="0.2">
      <c r="B27904"/>
      <c r="C27904"/>
      <c r="J27904"/>
      <c r="K27904"/>
      <c r="L27904"/>
    </row>
    <row r="27905" spans="2:12" x14ac:dyDescent="0.2">
      <c r="B27905"/>
      <c r="C27905"/>
      <c r="J27905"/>
      <c r="K27905"/>
      <c r="L27905"/>
    </row>
    <row r="27906" spans="2:12" x14ac:dyDescent="0.2">
      <c r="B27906"/>
      <c r="C27906"/>
      <c r="J27906"/>
      <c r="K27906"/>
      <c r="L27906"/>
    </row>
    <row r="27907" spans="2:12" x14ac:dyDescent="0.2">
      <c r="B27907"/>
      <c r="C27907"/>
      <c r="J27907"/>
      <c r="K27907"/>
      <c r="L27907"/>
    </row>
    <row r="27908" spans="2:12" x14ac:dyDescent="0.2">
      <c r="B27908"/>
      <c r="C27908"/>
      <c r="J27908"/>
      <c r="K27908"/>
      <c r="L27908"/>
    </row>
    <row r="27909" spans="2:12" x14ac:dyDescent="0.2">
      <c r="B27909"/>
      <c r="C27909"/>
      <c r="J27909"/>
      <c r="K27909"/>
      <c r="L27909"/>
    </row>
    <row r="27910" spans="2:12" x14ac:dyDescent="0.2">
      <c r="B27910"/>
      <c r="C27910"/>
      <c r="J27910"/>
      <c r="K27910"/>
      <c r="L27910"/>
    </row>
    <row r="27911" spans="2:12" x14ac:dyDescent="0.2">
      <c r="B27911"/>
      <c r="C27911"/>
      <c r="J27911"/>
      <c r="K27911"/>
      <c r="L27911"/>
    </row>
    <row r="27912" spans="2:12" x14ac:dyDescent="0.2">
      <c r="B27912"/>
      <c r="C27912"/>
      <c r="J27912"/>
      <c r="K27912"/>
      <c r="L27912"/>
    </row>
    <row r="27913" spans="2:12" x14ac:dyDescent="0.2">
      <c r="B27913"/>
      <c r="C27913"/>
      <c r="J27913"/>
      <c r="K27913"/>
      <c r="L27913"/>
    </row>
    <row r="27914" spans="2:12" x14ac:dyDescent="0.2">
      <c r="B27914"/>
      <c r="C27914"/>
      <c r="J27914"/>
      <c r="K27914"/>
      <c r="L27914"/>
    </row>
    <row r="27915" spans="2:12" x14ac:dyDescent="0.2">
      <c r="B27915"/>
      <c r="C27915"/>
      <c r="J27915"/>
      <c r="K27915"/>
      <c r="L27915"/>
    </row>
    <row r="27916" spans="2:12" x14ac:dyDescent="0.2">
      <c r="B27916"/>
      <c r="C27916"/>
      <c r="J27916"/>
      <c r="K27916"/>
      <c r="L27916"/>
    </row>
    <row r="27917" spans="2:12" x14ac:dyDescent="0.2">
      <c r="B27917"/>
      <c r="C27917"/>
      <c r="J27917"/>
      <c r="K27917"/>
      <c r="L27917"/>
    </row>
    <row r="27918" spans="2:12" x14ac:dyDescent="0.2">
      <c r="B27918"/>
      <c r="C27918"/>
      <c r="J27918"/>
      <c r="K27918"/>
      <c r="L27918"/>
    </row>
    <row r="27919" spans="2:12" x14ac:dyDescent="0.2">
      <c r="B27919"/>
      <c r="C27919"/>
      <c r="J27919"/>
      <c r="K27919"/>
      <c r="L27919"/>
    </row>
    <row r="27920" spans="2:12" x14ac:dyDescent="0.2">
      <c r="B27920"/>
      <c r="C27920"/>
      <c r="J27920"/>
      <c r="K27920"/>
      <c r="L27920"/>
    </row>
    <row r="27921" spans="2:12" x14ac:dyDescent="0.2">
      <c r="B27921"/>
      <c r="C27921"/>
      <c r="J27921"/>
      <c r="K27921"/>
      <c r="L27921"/>
    </row>
    <row r="27922" spans="2:12" x14ac:dyDescent="0.2">
      <c r="B27922"/>
      <c r="C27922"/>
      <c r="J27922"/>
      <c r="K27922"/>
      <c r="L27922"/>
    </row>
    <row r="27923" spans="2:12" x14ac:dyDescent="0.2">
      <c r="B27923"/>
      <c r="C27923"/>
      <c r="J27923"/>
      <c r="K27923"/>
      <c r="L27923"/>
    </row>
    <row r="27924" spans="2:12" x14ac:dyDescent="0.2">
      <c r="B27924"/>
      <c r="C27924"/>
      <c r="J27924"/>
      <c r="K27924"/>
      <c r="L27924"/>
    </row>
    <row r="27925" spans="2:12" x14ac:dyDescent="0.2">
      <c r="B27925"/>
      <c r="C27925"/>
      <c r="J27925"/>
      <c r="K27925"/>
      <c r="L27925"/>
    </row>
    <row r="27926" spans="2:12" x14ac:dyDescent="0.2">
      <c r="B27926"/>
      <c r="C27926"/>
      <c r="J27926"/>
      <c r="K27926"/>
      <c r="L27926"/>
    </row>
    <row r="27927" spans="2:12" x14ac:dyDescent="0.2">
      <c r="B27927"/>
      <c r="C27927"/>
      <c r="J27927"/>
      <c r="K27927"/>
      <c r="L27927"/>
    </row>
    <row r="27928" spans="2:12" x14ac:dyDescent="0.2">
      <c r="B27928"/>
      <c r="C27928"/>
      <c r="J27928"/>
      <c r="K27928"/>
      <c r="L27928"/>
    </row>
    <row r="27929" spans="2:12" x14ac:dyDescent="0.2">
      <c r="B27929"/>
      <c r="C27929"/>
      <c r="J27929"/>
      <c r="K27929"/>
      <c r="L27929"/>
    </row>
    <row r="27930" spans="2:12" x14ac:dyDescent="0.2">
      <c r="B27930"/>
      <c r="C27930"/>
      <c r="J27930"/>
      <c r="K27930"/>
      <c r="L27930"/>
    </row>
    <row r="27931" spans="2:12" x14ac:dyDescent="0.2">
      <c r="B27931"/>
      <c r="C27931"/>
      <c r="J27931"/>
      <c r="K27931"/>
      <c r="L27931"/>
    </row>
    <row r="27932" spans="2:12" x14ac:dyDescent="0.2">
      <c r="B27932"/>
      <c r="C27932"/>
      <c r="J27932"/>
      <c r="K27932"/>
      <c r="L27932"/>
    </row>
    <row r="27933" spans="2:12" x14ac:dyDescent="0.2">
      <c r="B27933"/>
      <c r="C27933"/>
      <c r="J27933"/>
      <c r="K27933"/>
      <c r="L27933"/>
    </row>
    <row r="27934" spans="2:12" x14ac:dyDescent="0.2">
      <c r="B27934"/>
      <c r="C27934"/>
      <c r="J27934"/>
      <c r="K27934"/>
      <c r="L27934"/>
    </row>
    <row r="27935" spans="2:12" x14ac:dyDescent="0.2">
      <c r="B27935"/>
      <c r="C27935"/>
      <c r="J27935"/>
      <c r="K27935"/>
      <c r="L27935"/>
    </row>
    <row r="27936" spans="2:12" x14ac:dyDescent="0.2">
      <c r="B27936"/>
      <c r="C27936"/>
      <c r="J27936"/>
      <c r="K27936"/>
      <c r="L27936"/>
    </row>
    <row r="27937" spans="2:12" x14ac:dyDescent="0.2">
      <c r="B27937"/>
      <c r="C27937"/>
      <c r="J27937"/>
      <c r="K27937"/>
      <c r="L27937"/>
    </row>
    <row r="27938" spans="2:12" x14ac:dyDescent="0.2">
      <c r="B27938"/>
      <c r="C27938"/>
      <c r="J27938"/>
      <c r="K27938"/>
      <c r="L27938"/>
    </row>
    <row r="27939" spans="2:12" x14ac:dyDescent="0.2">
      <c r="B27939"/>
      <c r="C27939"/>
      <c r="J27939"/>
      <c r="K27939"/>
      <c r="L27939"/>
    </row>
    <row r="27940" spans="2:12" x14ac:dyDescent="0.2">
      <c r="B27940"/>
      <c r="C27940"/>
      <c r="J27940"/>
      <c r="K27940"/>
      <c r="L27940"/>
    </row>
    <row r="27941" spans="2:12" x14ac:dyDescent="0.2">
      <c r="B27941"/>
      <c r="C27941"/>
      <c r="J27941"/>
      <c r="K27941"/>
      <c r="L27941"/>
    </row>
    <row r="27942" spans="2:12" x14ac:dyDescent="0.2">
      <c r="B27942"/>
      <c r="C27942"/>
      <c r="J27942"/>
      <c r="K27942"/>
      <c r="L27942"/>
    </row>
    <row r="27943" spans="2:12" x14ac:dyDescent="0.2">
      <c r="B27943"/>
      <c r="C27943"/>
      <c r="J27943"/>
      <c r="K27943"/>
      <c r="L27943"/>
    </row>
    <row r="27944" spans="2:12" x14ac:dyDescent="0.2">
      <c r="B27944"/>
      <c r="C27944"/>
      <c r="J27944"/>
      <c r="K27944"/>
      <c r="L27944"/>
    </row>
    <row r="27945" spans="2:12" x14ac:dyDescent="0.2">
      <c r="B27945"/>
      <c r="C27945"/>
      <c r="J27945"/>
      <c r="K27945"/>
      <c r="L27945"/>
    </row>
    <row r="27946" spans="2:12" x14ac:dyDescent="0.2">
      <c r="B27946"/>
      <c r="C27946"/>
      <c r="J27946"/>
      <c r="K27946"/>
      <c r="L27946"/>
    </row>
    <row r="27947" spans="2:12" x14ac:dyDescent="0.2">
      <c r="B27947"/>
      <c r="C27947"/>
      <c r="J27947"/>
      <c r="K27947"/>
      <c r="L27947"/>
    </row>
    <row r="27948" spans="2:12" x14ac:dyDescent="0.2">
      <c r="B27948"/>
      <c r="C27948"/>
      <c r="J27948"/>
      <c r="K27948"/>
      <c r="L27948"/>
    </row>
    <row r="27949" spans="2:12" x14ac:dyDescent="0.2">
      <c r="B27949"/>
      <c r="C27949"/>
      <c r="J27949"/>
      <c r="K27949"/>
      <c r="L27949"/>
    </row>
    <row r="27950" spans="2:12" x14ac:dyDescent="0.2">
      <c r="B27950"/>
      <c r="C27950"/>
      <c r="J27950"/>
      <c r="K27950"/>
      <c r="L27950"/>
    </row>
    <row r="27951" spans="2:12" x14ac:dyDescent="0.2">
      <c r="B27951"/>
      <c r="C27951"/>
      <c r="J27951"/>
      <c r="K27951"/>
      <c r="L27951"/>
    </row>
    <row r="27952" spans="2:12" x14ac:dyDescent="0.2">
      <c r="B27952"/>
      <c r="C27952"/>
      <c r="J27952"/>
      <c r="K27952"/>
      <c r="L27952"/>
    </row>
    <row r="27953" spans="2:12" x14ac:dyDescent="0.2">
      <c r="B27953"/>
      <c r="C27953"/>
      <c r="J27953"/>
      <c r="K27953"/>
      <c r="L27953"/>
    </row>
    <row r="27954" spans="2:12" x14ac:dyDescent="0.2">
      <c r="B27954"/>
      <c r="C27954"/>
      <c r="J27954"/>
      <c r="K27954"/>
      <c r="L27954"/>
    </row>
    <row r="27955" spans="2:12" x14ac:dyDescent="0.2">
      <c r="B27955"/>
      <c r="C27955"/>
      <c r="J27955"/>
      <c r="K27955"/>
      <c r="L27955"/>
    </row>
    <row r="27956" spans="2:12" x14ac:dyDescent="0.2">
      <c r="B27956"/>
      <c r="C27956"/>
      <c r="J27956"/>
      <c r="K27956"/>
      <c r="L27956"/>
    </row>
    <row r="27957" spans="2:12" x14ac:dyDescent="0.2">
      <c r="B27957"/>
      <c r="C27957"/>
      <c r="J27957"/>
      <c r="K27957"/>
      <c r="L27957"/>
    </row>
    <row r="27958" spans="2:12" x14ac:dyDescent="0.2">
      <c r="B27958"/>
      <c r="C27958"/>
      <c r="J27958"/>
      <c r="K27958"/>
      <c r="L27958"/>
    </row>
    <row r="27959" spans="2:12" x14ac:dyDescent="0.2">
      <c r="B27959"/>
      <c r="C27959"/>
      <c r="J27959"/>
      <c r="K27959"/>
      <c r="L27959"/>
    </row>
    <row r="27960" spans="2:12" x14ac:dyDescent="0.2">
      <c r="B27960"/>
      <c r="C27960"/>
      <c r="J27960"/>
      <c r="K27960"/>
      <c r="L27960"/>
    </row>
    <row r="27961" spans="2:12" x14ac:dyDescent="0.2">
      <c r="B27961"/>
      <c r="C27961"/>
      <c r="J27961"/>
      <c r="K27961"/>
      <c r="L27961"/>
    </row>
    <row r="27962" spans="2:12" x14ac:dyDescent="0.2">
      <c r="B27962"/>
      <c r="C27962"/>
      <c r="J27962"/>
      <c r="K27962"/>
      <c r="L27962"/>
    </row>
    <row r="27963" spans="2:12" x14ac:dyDescent="0.2">
      <c r="B27963"/>
      <c r="C27963"/>
      <c r="J27963"/>
      <c r="K27963"/>
      <c r="L27963"/>
    </row>
    <row r="27964" spans="2:12" x14ac:dyDescent="0.2">
      <c r="B27964"/>
      <c r="C27964"/>
      <c r="J27964"/>
      <c r="K27964"/>
      <c r="L27964"/>
    </row>
    <row r="27965" spans="2:12" x14ac:dyDescent="0.2">
      <c r="B27965"/>
      <c r="C27965"/>
      <c r="J27965"/>
      <c r="K27965"/>
      <c r="L27965"/>
    </row>
    <row r="27966" spans="2:12" x14ac:dyDescent="0.2">
      <c r="B27966"/>
      <c r="C27966"/>
      <c r="J27966"/>
      <c r="K27966"/>
      <c r="L27966"/>
    </row>
    <row r="27967" spans="2:12" x14ac:dyDescent="0.2">
      <c r="B27967"/>
      <c r="C27967"/>
      <c r="J27967"/>
      <c r="K27967"/>
      <c r="L27967"/>
    </row>
    <row r="27968" spans="2:12" x14ac:dyDescent="0.2">
      <c r="B27968"/>
      <c r="C27968"/>
      <c r="J27968"/>
      <c r="K27968"/>
      <c r="L27968"/>
    </row>
    <row r="27969" spans="2:12" x14ac:dyDescent="0.2">
      <c r="B27969"/>
      <c r="C27969"/>
      <c r="J27969"/>
      <c r="K27969"/>
      <c r="L27969"/>
    </row>
    <row r="27970" spans="2:12" x14ac:dyDescent="0.2">
      <c r="B27970"/>
      <c r="C27970"/>
      <c r="J27970"/>
      <c r="K27970"/>
      <c r="L27970"/>
    </row>
    <row r="27971" spans="2:12" x14ac:dyDescent="0.2">
      <c r="B27971"/>
      <c r="C27971"/>
      <c r="J27971"/>
      <c r="K27971"/>
      <c r="L27971"/>
    </row>
    <row r="27972" spans="2:12" x14ac:dyDescent="0.2">
      <c r="B27972"/>
      <c r="C27972"/>
      <c r="J27972"/>
      <c r="K27972"/>
      <c r="L27972"/>
    </row>
    <row r="27973" spans="2:12" x14ac:dyDescent="0.2">
      <c r="B27973"/>
      <c r="C27973"/>
      <c r="J27973"/>
      <c r="K27973"/>
      <c r="L27973"/>
    </row>
    <row r="27974" spans="2:12" x14ac:dyDescent="0.2">
      <c r="B27974"/>
      <c r="C27974"/>
      <c r="J27974"/>
      <c r="K27974"/>
      <c r="L27974"/>
    </row>
    <row r="27975" spans="2:12" x14ac:dyDescent="0.2">
      <c r="B27975"/>
      <c r="C27975"/>
      <c r="J27975"/>
      <c r="K27975"/>
      <c r="L27975"/>
    </row>
    <row r="27976" spans="2:12" x14ac:dyDescent="0.2">
      <c r="B27976"/>
      <c r="C27976"/>
      <c r="J27976"/>
      <c r="K27976"/>
      <c r="L27976"/>
    </row>
    <row r="27977" spans="2:12" x14ac:dyDescent="0.2">
      <c r="B27977"/>
      <c r="C27977"/>
      <c r="J27977"/>
      <c r="K27977"/>
      <c r="L27977"/>
    </row>
    <row r="27978" spans="2:12" x14ac:dyDescent="0.2">
      <c r="B27978"/>
      <c r="C27978"/>
      <c r="J27978"/>
      <c r="K27978"/>
      <c r="L27978"/>
    </row>
    <row r="27979" spans="2:12" x14ac:dyDescent="0.2">
      <c r="B27979"/>
      <c r="C27979"/>
      <c r="J27979"/>
      <c r="K27979"/>
      <c r="L27979"/>
    </row>
    <row r="27980" spans="2:12" x14ac:dyDescent="0.2">
      <c r="B27980"/>
      <c r="C27980"/>
      <c r="J27980"/>
      <c r="K27980"/>
      <c r="L27980"/>
    </row>
    <row r="27981" spans="2:12" x14ac:dyDescent="0.2">
      <c r="B27981"/>
      <c r="C27981"/>
      <c r="J27981"/>
      <c r="K27981"/>
      <c r="L27981"/>
    </row>
    <row r="27982" spans="2:12" x14ac:dyDescent="0.2">
      <c r="B27982"/>
      <c r="C27982"/>
      <c r="J27982"/>
      <c r="K27982"/>
      <c r="L27982"/>
    </row>
    <row r="27983" spans="2:12" x14ac:dyDescent="0.2">
      <c r="B27983"/>
      <c r="C27983"/>
      <c r="J27983"/>
      <c r="K27983"/>
      <c r="L27983"/>
    </row>
    <row r="27984" spans="2:12" x14ac:dyDescent="0.2">
      <c r="B27984"/>
      <c r="C27984"/>
      <c r="J27984"/>
      <c r="K27984"/>
      <c r="L27984"/>
    </row>
    <row r="27985" spans="2:12" x14ac:dyDescent="0.2">
      <c r="B27985"/>
      <c r="C27985"/>
      <c r="J27985"/>
      <c r="K27985"/>
      <c r="L27985"/>
    </row>
    <row r="27986" spans="2:12" x14ac:dyDescent="0.2">
      <c r="B27986"/>
      <c r="C27986"/>
      <c r="J27986"/>
      <c r="K27986"/>
      <c r="L27986"/>
    </row>
    <row r="27987" spans="2:12" x14ac:dyDescent="0.2">
      <c r="B27987"/>
      <c r="C27987"/>
      <c r="J27987"/>
      <c r="K27987"/>
      <c r="L27987"/>
    </row>
    <row r="27988" spans="2:12" x14ac:dyDescent="0.2">
      <c r="B27988"/>
      <c r="C27988"/>
      <c r="J27988"/>
      <c r="K27988"/>
      <c r="L27988"/>
    </row>
    <row r="27989" spans="2:12" x14ac:dyDescent="0.2">
      <c r="B27989"/>
      <c r="C27989"/>
      <c r="J27989"/>
      <c r="K27989"/>
      <c r="L27989"/>
    </row>
    <row r="27990" spans="2:12" x14ac:dyDescent="0.2">
      <c r="B27990"/>
      <c r="C27990"/>
      <c r="J27990"/>
      <c r="K27990"/>
      <c r="L27990"/>
    </row>
    <row r="27991" spans="2:12" x14ac:dyDescent="0.2">
      <c r="B27991"/>
      <c r="C27991"/>
      <c r="J27991"/>
      <c r="K27991"/>
      <c r="L27991"/>
    </row>
    <row r="27992" spans="2:12" x14ac:dyDescent="0.2">
      <c r="B27992"/>
      <c r="C27992"/>
      <c r="J27992"/>
      <c r="K27992"/>
      <c r="L27992"/>
    </row>
    <row r="27993" spans="2:12" x14ac:dyDescent="0.2">
      <c r="B27993"/>
      <c r="C27993"/>
      <c r="J27993"/>
      <c r="K27993"/>
      <c r="L27993"/>
    </row>
    <row r="27994" spans="2:12" x14ac:dyDescent="0.2">
      <c r="B27994"/>
      <c r="C27994"/>
      <c r="J27994"/>
      <c r="K27994"/>
      <c r="L27994"/>
    </row>
    <row r="27995" spans="2:12" x14ac:dyDescent="0.2">
      <c r="B27995"/>
      <c r="C27995"/>
      <c r="J27995"/>
      <c r="K27995"/>
      <c r="L27995"/>
    </row>
    <row r="27996" spans="2:12" x14ac:dyDescent="0.2">
      <c r="B27996"/>
      <c r="C27996"/>
      <c r="J27996"/>
      <c r="K27996"/>
      <c r="L27996"/>
    </row>
    <row r="27997" spans="2:12" x14ac:dyDescent="0.2">
      <c r="B27997"/>
      <c r="C27997"/>
      <c r="J27997"/>
      <c r="K27997"/>
      <c r="L27997"/>
    </row>
    <row r="27998" spans="2:12" x14ac:dyDescent="0.2">
      <c r="B27998"/>
      <c r="C27998"/>
      <c r="J27998"/>
      <c r="K27998"/>
      <c r="L27998"/>
    </row>
    <row r="27999" spans="2:12" x14ac:dyDescent="0.2">
      <c r="B27999"/>
      <c r="C27999"/>
      <c r="J27999"/>
      <c r="K27999"/>
      <c r="L27999"/>
    </row>
    <row r="28000" spans="2:12" x14ac:dyDescent="0.2">
      <c r="B28000"/>
      <c r="C28000"/>
      <c r="J28000"/>
      <c r="K28000"/>
      <c r="L28000"/>
    </row>
    <row r="28001" spans="2:12" x14ac:dyDescent="0.2">
      <c r="B28001"/>
      <c r="C28001"/>
      <c r="J28001"/>
      <c r="K28001"/>
      <c r="L28001"/>
    </row>
    <row r="28002" spans="2:12" x14ac:dyDescent="0.2">
      <c r="B28002"/>
      <c r="C28002"/>
      <c r="J28002"/>
      <c r="K28002"/>
      <c r="L28002"/>
    </row>
    <row r="28003" spans="2:12" x14ac:dyDescent="0.2">
      <c r="B28003"/>
      <c r="C28003"/>
      <c r="J28003"/>
      <c r="K28003"/>
      <c r="L28003"/>
    </row>
    <row r="28004" spans="2:12" x14ac:dyDescent="0.2">
      <c r="B28004"/>
      <c r="C28004"/>
      <c r="J28004"/>
      <c r="K28004"/>
      <c r="L28004"/>
    </row>
    <row r="28005" spans="2:12" x14ac:dyDescent="0.2">
      <c r="B28005"/>
      <c r="C28005"/>
      <c r="J28005"/>
      <c r="K28005"/>
      <c r="L28005"/>
    </row>
    <row r="28006" spans="2:12" x14ac:dyDescent="0.2">
      <c r="B28006"/>
      <c r="C28006"/>
      <c r="J28006"/>
      <c r="K28006"/>
      <c r="L28006"/>
    </row>
    <row r="28007" spans="2:12" x14ac:dyDescent="0.2">
      <c r="B28007"/>
      <c r="C28007"/>
      <c r="J28007"/>
      <c r="K28007"/>
      <c r="L28007"/>
    </row>
    <row r="28008" spans="2:12" x14ac:dyDescent="0.2">
      <c r="B28008"/>
      <c r="C28008"/>
      <c r="J28008"/>
      <c r="K28008"/>
      <c r="L28008"/>
    </row>
    <row r="28009" spans="2:12" x14ac:dyDescent="0.2">
      <c r="B28009"/>
      <c r="C28009"/>
      <c r="J28009"/>
      <c r="K28009"/>
      <c r="L28009"/>
    </row>
    <row r="28010" spans="2:12" x14ac:dyDescent="0.2">
      <c r="B28010"/>
      <c r="C28010"/>
      <c r="J28010"/>
      <c r="K28010"/>
      <c r="L28010"/>
    </row>
    <row r="28011" spans="2:12" x14ac:dyDescent="0.2">
      <c r="B28011"/>
      <c r="C28011"/>
      <c r="J28011"/>
      <c r="K28011"/>
      <c r="L28011"/>
    </row>
    <row r="28012" spans="2:12" x14ac:dyDescent="0.2">
      <c r="B28012"/>
      <c r="C28012"/>
      <c r="J28012"/>
      <c r="K28012"/>
      <c r="L28012"/>
    </row>
    <row r="28013" spans="2:12" x14ac:dyDescent="0.2">
      <c r="B28013"/>
      <c r="C28013"/>
      <c r="J28013"/>
      <c r="K28013"/>
      <c r="L28013"/>
    </row>
    <row r="28014" spans="2:12" x14ac:dyDescent="0.2">
      <c r="B28014"/>
      <c r="C28014"/>
      <c r="J28014"/>
      <c r="K28014"/>
      <c r="L28014"/>
    </row>
    <row r="28015" spans="2:12" x14ac:dyDescent="0.2">
      <c r="B28015"/>
      <c r="C28015"/>
      <c r="J28015"/>
      <c r="K28015"/>
      <c r="L28015"/>
    </row>
    <row r="28016" spans="2:12" x14ac:dyDescent="0.2">
      <c r="B28016"/>
      <c r="C28016"/>
      <c r="J28016"/>
      <c r="K28016"/>
      <c r="L28016"/>
    </row>
    <row r="28017" spans="2:12" x14ac:dyDescent="0.2">
      <c r="B28017"/>
      <c r="C28017"/>
      <c r="J28017"/>
      <c r="K28017"/>
      <c r="L28017"/>
    </row>
    <row r="28018" spans="2:12" x14ac:dyDescent="0.2">
      <c r="B28018"/>
      <c r="C28018"/>
      <c r="J28018"/>
      <c r="K28018"/>
      <c r="L28018"/>
    </row>
    <row r="28019" spans="2:12" x14ac:dyDescent="0.2">
      <c r="B28019"/>
      <c r="C28019"/>
      <c r="J28019"/>
      <c r="K28019"/>
      <c r="L28019"/>
    </row>
    <row r="28020" spans="2:12" x14ac:dyDescent="0.2">
      <c r="B28020"/>
      <c r="C28020"/>
      <c r="J28020"/>
      <c r="K28020"/>
      <c r="L28020"/>
    </row>
    <row r="28021" spans="2:12" x14ac:dyDescent="0.2">
      <c r="B28021"/>
      <c r="C28021"/>
      <c r="J28021"/>
      <c r="K28021"/>
      <c r="L28021"/>
    </row>
    <row r="28022" spans="2:12" x14ac:dyDescent="0.2">
      <c r="B28022"/>
      <c r="C28022"/>
      <c r="J28022"/>
      <c r="K28022"/>
      <c r="L28022"/>
    </row>
    <row r="28023" spans="2:12" x14ac:dyDescent="0.2">
      <c r="B28023"/>
      <c r="C28023"/>
      <c r="J28023"/>
      <c r="K28023"/>
      <c r="L28023"/>
    </row>
    <row r="28024" spans="2:12" x14ac:dyDescent="0.2">
      <c r="B28024"/>
      <c r="C28024"/>
      <c r="J28024"/>
      <c r="K28024"/>
      <c r="L28024"/>
    </row>
    <row r="28025" spans="2:12" x14ac:dyDescent="0.2">
      <c r="B28025"/>
      <c r="C28025"/>
      <c r="J28025"/>
      <c r="K28025"/>
      <c r="L28025"/>
    </row>
    <row r="28026" spans="2:12" x14ac:dyDescent="0.2">
      <c r="B28026"/>
      <c r="C28026"/>
      <c r="J28026"/>
      <c r="K28026"/>
      <c r="L28026"/>
    </row>
    <row r="28027" spans="2:12" x14ac:dyDescent="0.2">
      <c r="B28027"/>
      <c r="C28027"/>
      <c r="J28027"/>
      <c r="K28027"/>
      <c r="L28027"/>
    </row>
    <row r="28028" spans="2:12" x14ac:dyDescent="0.2">
      <c r="B28028"/>
      <c r="C28028"/>
      <c r="J28028"/>
      <c r="K28028"/>
      <c r="L28028"/>
    </row>
    <row r="28029" spans="2:12" x14ac:dyDescent="0.2">
      <c r="B28029"/>
      <c r="C28029"/>
      <c r="J28029"/>
      <c r="K28029"/>
      <c r="L28029"/>
    </row>
    <row r="28030" spans="2:12" x14ac:dyDescent="0.2">
      <c r="B28030"/>
      <c r="C28030"/>
      <c r="J28030"/>
      <c r="K28030"/>
      <c r="L28030"/>
    </row>
    <row r="28031" spans="2:12" x14ac:dyDescent="0.2">
      <c r="B28031"/>
      <c r="C28031"/>
      <c r="J28031"/>
      <c r="K28031"/>
      <c r="L28031"/>
    </row>
    <row r="28032" spans="2:12" x14ac:dyDescent="0.2">
      <c r="B28032"/>
      <c r="C28032"/>
      <c r="J28032"/>
      <c r="K28032"/>
      <c r="L28032"/>
    </row>
    <row r="28033" spans="2:12" x14ac:dyDescent="0.2">
      <c r="B28033"/>
      <c r="C28033"/>
      <c r="J28033"/>
      <c r="K28033"/>
      <c r="L28033"/>
    </row>
    <row r="28034" spans="2:12" x14ac:dyDescent="0.2">
      <c r="B28034"/>
      <c r="C28034"/>
      <c r="J28034"/>
      <c r="K28034"/>
      <c r="L28034"/>
    </row>
    <row r="28035" spans="2:12" x14ac:dyDescent="0.2">
      <c r="B28035"/>
      <c r="C28035"/>
      <c r="J28035"/>
      <c r="K28035"/>
      <c r="L28035"/>
    </row>
    <row r="28036" spans="2:12" x14ac:dyDescent="0.2">
      <c r="B28036"/>
      <c r="C28036"/>
      <c r="J28036"/>
      <c r="K28036"/>
      <c r="L28036"/>
    </row>
    <row r="28037" spans="2:12" x14ac:dyDescent="0.2">
      <c r="B28037"/>
      <c r="C28037"/>
      <c r="J28037"/>
      <c r="K28037"/>
      <c r="L28037"/>
    </row>
    <row r="28038" spans="2:12" x14ac:dyDescent="0.2">
      <c r="B28038"/>
      <c r="C28038"/>
      <c r="J28038"/>
      <c r="K28038"/>
      <c r="L28038"/>
    </row>
    <row r="28039" spans="2:12" x14ac:dyDescent="0.2">
      <c r="B28039"/>
      <c r="C28039"/>
      <c r="J28039"/>
      <c r="K28039"/>
      <c r="L28039"/>
    </row>
    <row r="28040" spans="2:12" x14ac:dyDescent="0.2">
      <c r="B28040"/>
      <c r="C28040"/>
      <c r="J28040"/>
      <c r="K28040"/>
      <c r="L28040"/>
    </row>
    <row r="28041" spans="2:12" x14ac:dyDescent="0.2">
      <c r="B28041"/>
      <c r="C28041"/>
      <c r="J28041"/>
      <c r="K28041"/>
      <c r="L28041"/>
    </row>
    <row r="28042" spans="2:12" x14ac:dyDescent="0.2">
      <c r="B28042"/>
      <c r="C28042"/>
      <c r="J28042"/>
      <c r="K28042"/>
      <c r="L28042"/>
    </row>
    <row r="28043" spans="2:12" x14ac:dyDescent="0.2">
      <c r="B28043"/>
      <c r="C28043"/>
      <c r="J28043"/>
      <c r="K28043"/>
      <c r="L28043"/>
    </row>
    <row r="28044" spans="2:12" x14ac:dyDescent="0.2">
      <c r="B28044"/>
      <c r="C28044"/>
      <c r="J28044"/>
      <c r="K28044"/>
      <c r="L28044"/>
    </row>
    <row r="28045" spans="2:12" x14ac:dyDescent="0.2">
      <c r="B28045"/>
      <c r="C28045"/>
      <c r="J28045"/>
      <c r="K28045"/>
      <c r="L28045"/>
    </row>
    <row r="28046" spans="2:12" x14ac:dyDescent="0.2">
      <c r="B28046"/>
      <c r="C28046"/>
      <c r="J28046"/>
      <c r="K28046"/>
      <c r="L28046"/>
    </row>
    <row r="28047" spans="2:12" x14ac:dyDescent="0.2">
      <c r="B28047"/>
      <c r="C28047"/>
      <c r="J28047"/>
      <c r="K28047"/>
      <c r="L28047"/>
    </row>
    <row r="28048" spans="2:12" x14ac:dyDescent="0.2">
      <c r="B28048"/>
      <c r="C28048"/>
      <c r="J28048"/>
      <c r="K28048"/>
      <c r="L28048"/>
    </row>
    <row r="28049" spans="2:12" x14ac:dyDescent="0.2">
      <c r="B28049"/>
      <c r="C28049"/>
      <c r="J28049"/>
      <c r="K28049"/>
      <c r="L28049"/>
    </row>
    <row r="28050" spans="2:12" x14ac:dyDescent="0.2">
      <c r="B28050"/>
      <c r="C28050"/>
      <c r="J28050"/>
      <c r="K28050"/>
      <c r="L28050"/>
    </row>
    <row r="28051" spans="2:12" x14ac:dyDescent="0.2">
      <c r="B28051"/>
      <c r="C28051"/>
      <c r="J28051"/>
      <c r="K28051"/>
      <c r="L28051"/>
    </row>
    <row r="28052" spans="2:12" x14ac:dyDescent="0.2">
      <c r="B28052"/>
      <c r="C28052"/>
      <c r="J28052"/>
      <c r="K28052"/>
      <c r="L28052"/>
    </row>
    <row r="28053" spans="2:12" x14ac:dyDescent="0.2">
      <c r="B28053"/>
      <c r="C28053"/>
      <c r="J28053"/>
      <c r="K28053"/>
      <c r="L28053"/>
    </row>
    <row r="28054" spans="2:12" x14ac:dyDescent="0.2">
      <c r="B28054"/>
      <c r="C28054"/>
      <c r="J28054"/>
      <c r="K28054"/>
      <c r="L28054"/>
    </row>
    <row r="28055" spans="2:12" x14ac:dyDescent="0.2">
      <c r="B28055"/>
      <c r="C28055"/>
      <c r="J28055"/>
      <c r="K28055"/>
      <c r="L28055"/>
    </row>
    <row r="28056" spans="2:12" x14ac:dyDescent="0.2">
      <c r="B28056"/>
      <c r="C28056"/>
      <c r="J28056"/>
      <c r="K28056"/>
      <c r="L28056"/>
    </row>
    <row r="28057" spans="2:12" x14ac:dyDescent="0.2">
      <c r="B28057"/>
      <c r="C28057"/>
      <c r="J28057"/>
      <c r="K28057"/>
      <c r="L28057"/>
    </row>
    <row r="28058" spans="2:12" x14ac:dyDescent="0.2">
      <c r="B28058"/>
      <c r="C28058"/>
      <c r="J28058"/>
      <c r="K28058"/>
      <c r="L28058"/>
    </row>
    <row r="28059" spans="2:12" x14ac:dyDescent="0.2">
      <c r="B28059"/>
      <c r="C28059"/>
      <c r="J28059"/>
      <c r="K28059"/>
      <c r="L28059"/>
    </row>
    <row r="28060" spans="2:12" x14ac:dyDescent="0.2">
      <c r="B28060"/>
      <c r="C28060"/>
      <c r="J28060"/>
      <c r="K28060"/>
      <c r="L28060"/>
    </row>
    <row r="28061" spans="2:12" x14ac:dyDescent="0.2">
      <c r="B28061"/>
      <c r="C28061"/>
      <c r="J28061"/>
      <c r="K28061"/>
      <c r="L28061"/>
    </row>
    <row r="28062" spans="2:12" x14ac:dyDescent="0.2">
      <c r="B28062"/>
      <c r="C28062"/>
      <c r="J28062"/>
      <c r="K28062"/>
      <c r="L28062"/>
    </row>
    <row r="28063" spans="2:12" x14ac:dyDescent="0.2">
      <c r="B28063"/>
      <c r="C28063"/>
      <c r="J28063"/>
      <c r="K28063"/>
      <c r="L28063"/>
    </row>
    <row r="28064" spans="2:12" x14ac:dyDescent="0.2">
      <c r="B28064"/>
      <c r="C28064"/>
      <c r="J28064"/>
      <c r="K28064"/>
      <c r="L28064"/>
    </row>
    <row r="28065" spans="2:12" x14ac:dyDescent="0.2">
      <c r="B28065"/>
      <c r="C28065"/>
      <c r="J28065"/>
      <c r="K28065"/>
      <c r="L28065"/>
    </row>
    <row r="28066" spans="2:12" x14ac:dyDescent="0.2">
      <c r="B28066"/>
      <c r="C28066"/>
      <c r="J28066"/>
      <c r="K28066"/>
      <c r="L28066"/>
    </row>
    <row r="28067" spans="2:12" x14ac:dyDescent="0.2">
      <c r="B28067"/>
      <c r="C28067"/>
      <c r="J28067"/>
      <c r="K28067"/>
      <c r="L28067"/>
    </row>
    <row r="28068" spans="2:12" x14ac:dyDescent="0.2">
      <c r="B28068"/>
      <c r="C28068"/>
      <c r="J28068"/>
      <c r="K28068"/>
      <c r="L28068"/>
    </row>
    <row r="28069" spans="2:12" x14ac:dyDescent="0.2">
      <c r="B28069"/>
      <c r="C28069"/>
      <c r="J28069"/>
      <c r="K28069"/>
      <c r="L28069"/>
    </row>
    <row r="28070" spans="2:12" x14ac:dyDescent="0.2">
      <c r="B28070"/>
      <c r="C28070"/>
      <c r="J28070"/>
      <c r="K28070"/>
      <c r="L28070"/>
    </row>
    <row r="28071" spans="2:12" x14ac:dyDescent="0.2">
      <c r="B28071"/>
      <c r="C28071"/>
      <c r="J28071"/>
      <c r="K28071"/>
      <c r="L28071"/>
    </row>
    <row r="28072" spans="2:12" x14ac:dyDescent="0.2">
      <c r="B28072"/>
      <c r="C28072"/>
      <c r="J28072"/>
      <c r="K28072"/>
      <c r="L28072"/>
    </row>
    <row r="28073" spans="2:12" x14ac:dyDescent="0.2">
      <c r="B28073"/>
      <c r="C28073"/>
      <c r="J28073"/>
      <c r="K28073"/>
      <c r="L28073"/>
    </row>
    <row r="28074" spans="2:12" x14ac:dyDescent="0.2">
      <c r="B28074"/>
      <c r="C28074"/>
      <c r="J28074"/>
      <c r="K28074"/>
      <c r="L28074"/>
    </row>
    <row r="28075" spans="2:12" x14ac:dyDescent="0.2">
      <c r="B28075"/>
      <c r="C28075"/>
      <c r="J28075"/>
      <c r="K28075"/>
      <c r="L28075"/>
    </row>
    <row r="28076" spans="2:12" x14ac:dyDescent="0.2">
      <c r="B28076"/>
      <c r="C28076"/>
      <c r="J28076"/>
      <c r="K28076"/>
      <c r="L28076"/>
    </row>
    <row r="28077" spans="2:12" x14ac:dyDescent="0.2">
      <c r="B28077"/>
      <c r="C28077"/>
      <c r="J28077"/>
      <c r="K28077"/>
      <c r="L28077"/>
    </row>
    <row r="28078" spans="2:12" x14ac:dyDescent="0.2">
      <c r="B28078"/>
      <c r="C28078"/>
      <c r="J28078"/>
      <c r="K28078"/>
      <c r="L28078"/>
    </row>
    <row r="28079" spans="2:12" x14ac:dyDescent="0.2">
      <c r="B28079"/>
      <c r="C28079"/>
      <c r="J28079"/>
      <c r="K28079"/>
      <c r="L28079"/>
    </row>
    <row r="28080" spans="2:12" x14ac:dyDescent="0.2">
      <c r="B28080"/>
      <c r="C28080"/>
      <c r="J28080"/>
      <c r="K28080"/>
      <c r="L28080"/>
    </row>
    <row r="28081" spans="2:12" x14ac:dyDescent="0.2">
      <c r="B28081"/>
      <c r="C28081"/>
      <c r="J28081"/>
      <c r="K28081"/>
      <c r="L28081"/>
    </row>
    <row r="28082" spans="2:12" x14ac:dyDescent="0.2">
      <c r="B28082"/>
      <c r="C28082"/>
      <c r="J28082"/>
      <c r="K28082"/>
      <c r="L28082"/>
    </row>
    <row r="28083" spans="2:12" x14ac:dyDescent="0.2">
      <c r="B28083"/>
      <c r="C28083"/>
      <c r="J28083"/>
      <c r="K28083"/>
      <c r="L28083"/>
    </row>
    <row r="28084" spans="2:12" x14ac:dyDescent="0.2">
      <c r="B28084"/>
      <c r="C28084"/>
      <c r="J28084"/>
      <c r="K28084"/>
      <c r="L28084"/>
    </row>
    <row r="28085" spans="2:12" x14ac:dyDescent="0.2">
      <c r="B28085"/>
      <c r="C28085"/>
      <c r="J28085"/>
      <c r="K28085"/>
      <c r="L28085"/>
    </row>
    <row r="28086" spans="2:12" x14ac:dyDescent="0.2">
      <c r="B28086"/>
      <c r="C28086"/>
      <c r="J28086"/>
      <c r="K28086"/>
      <c r="L28086"/>
    </row>
    <row r="28087" spans="2:12" x14ac:dyDescent="0.2">
      <c r="B28087"/>
      <c r="C28087"/>
      <c r="J28087"/>
      <c r="K28087"/>
      <c r="L28087"/>
    </row>
    <row r="28088" spans="2:12" x14ac:dyDescent="0.2">
      <c r="B28088"/>
      <c r="C28088"/>
      <c r="J28088"/>
      <c r="K28088"/>
      <c r="L28088"/>
    </row>
    <row r="28089" spans="2:12" x14ac:dyDescent="0.2">
      <c r="B28089"/>
      <c r="C28089"/>
      <c r="J28089"/>
      <c r="K28089"/>
      <c r="L28089"/>
    </row>
    <row r="28090" spans="2:12" x14ac:dyDescent="0.2">
      <c r="B28090"/>
      <c r="C28090"/>
      <c r="J28090"/>
      <c r="K28090"/>
      <c r="L28090"/>
    </row>
    <row r="28091" spans="2:12" x14ac:dyDescent="0.2">
      <c r="B28091"/>
      <c r="C28091"/>
      <c r="J28091"/>
      <c r="K28091"/>
      <c r="L28091"/>
    </row>
    <row r="28092" spans="2:12" x14ac:dyDescent="0.2">
      <c r="B28092"/>
      <c r="C28092"/>
      <c r="J28092"/>
      <c r="K28092"/>
      <c r="L28092"/>
    </row>
    <row r="28093" spans="2:12" x14ac:dyDescent="0.2">
      <c r="B28093"/>
      <c r="C28093"/>
      <c r="J28093"/>
      <c r="K28093"/>
      <c r="L28093"/>
    </row>
    <row r="28094" spans="2:12" x14ac:dyDescent="0.2">
      <c r="B28094"/>
      <c r="C28094"/>
      <c r="J28094"/>
      <c r="K28094"/>
      <c r="L28094"/>
    </row>
    <row r="28095" spans="2:12" x14ac:dyDescent="0.2">
      <c r="B28095"/>
      <c r="C28095"/>
      <c r="J28095"/>
      <c r="K28095"/>
      <c r="L28095"/>
    </row>
    <row r="28096" spans="2:12" x14ac:dyDescent="0.2">
      <c r="B28096"/>
      <c r="C28096"/>
      <c r="J28096"/>
      <c r="K28096"/>
      <c r="L28096"/>
    </row>
    <row r="28097" spans="2:12" x14ac:dyDescent="0.2">
      <c r="B28097"/>
      <c r="C28097"/>
      <c r="J28097"/>
      <c r="K28097"/>
      <c r="L28097"/>
    </row>
    <row r="28098" spans="2:12" x14ac:dyDescent="0.2">
      <c r="B28098"/>
      <c r="C28098"/>
      <c r="J28098"/>
      <c r="K28098"/>
      <c r="L28098"/>
    </row>
    <row r="28099" spans="2:12" x14ac:dyDescent="0.2">
      <c r="B28099"/>
      <c r="C28099"/>
      <c r="J28099"/>
      <c r="K28099"/>
      <c r="L28099"/>
    </row>
    <row r="28100" spans="2:12" x14ac:dyDescent="0.2">
      <c r="B28100"/>
      <c r="C28100"/>
      <c r="J28100"/>
      <c r="K28100"/>
      <c r="L28100"/>
    </row>
    <row r="28101" spans="2:12" x14ac:dyDescent="0.2">
      <c r="B28101"/>
      <c r="C28101"/>
      <c r="J28101"/>
      <c r="K28101"/>
      <c r="L28101"/>
    </row>
    <row r="28102" spans="2:12" x14ac:dyDescent="0.2">
      <c r="B28102"/>
      <c r="C28102"/>
      <c r="J28102"/>
      <c r="K28102"/>
      <c r="L28102"/>
    </row>
    <row r="28103" spans="2:12" x14ac:dyDescent="0.2">
      <c r="B28103"/>
      <c r="C28103"/>
      <c r="J28103"/>
      <c r="K28103"/>
      <c r="L28103"/>
    </row>
    <row r="28104" spans="2:12" x14ac:dyDescent="0.2">
      <c r="B28104"/>
      <c r="C28104"/>
      <c r="J28104"/>
      <c r="K28104"/>
      <c r="L28104"/>
    </row>
    <row r="28105" spans="2:12" x14ac:dyDescent="0.2">
      <c r="B28105"/>
      <c r="C28105"/>
      <c r="J28105"/>
      <c r="K28105"/>
      <c r="L28105"/>
    </row>
    <row r="28106" spans="2:12" x14ac:dyDescent="0.2">
      <c r="B28106"/>
      <c r="C28106"/>
      <c r="J28106"/>
      <c r="K28106"/>
      <c r="L28106"/>
    </row>
    <row r="28107" spans="2:12" x14ac:dyDescent="0.2">
      <c r="B28107"/>
      <c r="C28107"/>
      <c r="J28107"/>
      <c r="K28107"/>
      <c r="L28107"/>
    </row>
    <row r="28108" spans="2:12" x14ac:dyDescent="0.2">
      <c r="B28108"/>
      <c r="C28108"/>
      <c r="J28108"/>
      <c r="K28108"/>
      <c r="L28108"/>
    </row>
    <row r="28109" spans="2:12" x14ac:dyDescent="0.2">
      <c r="B28109"/>
      <c r="C28109"/>
      <c r="J28109"/>
      <c r="K28109"/>
      <c r="L28109"/>
    </row>
    <row r="28110" spans="2:12" x14ac:dyDescent="0.2">
      <c r="B28110"/>
      <c r="C28110"/>
      <c r="J28110"/>
      <c r="K28110"/>
      <c r="L28110"/>
    </row>
    <row r="28111" spans="2:12" x14ac:dyDescent="0.2">
      <c r="B28111"/>
      <c r="C28111"/>
      <c r="J28111"/>
      <c r="K28111"/>
      <c r="L28111"/>
    </row>
    <row r="28112" spans="2:12" x14ac:dyDescent="0.2">
      <c r="B28112"/>
      <c r="C28112"/>
      <c r="J28112"/>
      <c r="K28112"/>
      <c r="L28112"/>
    </row>
    <row r="28113" spans="2:12" x14ac:dyDescent="0.2">
      <c r="B28113"/>
      <c r="C28113"/>
      <c r="J28113"/>
      <c r="K28113"/>
      <c r="L28113"/>
    </row>
    <row r="28114" spans="2:12" x14ac:dyDescent="0.2">
      <c r="B28114"/>
      <c r="C28114"/>
      <c r="J28114"/>
      <c r="K28114"/>
      <c r="L28114"/>
    </row>
    <row r="28115" spans="2:12" x14ac:dyDescent="0.2">
      <c r="B28115"/>
      <c r="C28115"/>
      <c r="J28115"/>
      <c r="K28115"/>
      <c r="L28115"/>
    </row>
    <row r="28116" spans="2:12" x14ac:dyDescent="0.2">
      <c r="B28116"/>
      <c r="C28116"/>
      <c r="J28116"/>
      <c r="K28116"/>
      <c r="L28116"/>
    </row>
    <row r="28117" spans="2:12" x14ac:dyDescent="0.2">
      <c r="B28117"/>
      <c r="C28117"/>
      <c r="J28117"/>
      <c r="K28117"/>
      <c r="L28117"/>
    </row>
    <row r="28118" spans="2:12" x14ac:dyDescent="0.2">
      <c r="B28118"/>
      <c r="C28118"/>
      <c r="J28118"/>
      <c r="K28118"/>
      <c r="L28118"/>
    </row>
    <row r="28119" spans="2:12" x14ac:dyDescent="0.2">
      <c r="B28119"/>
      <c r="C28119"/>
      <c r="J28119"/>
      <c r="K28119"/>
      <c r="L28119"/>
    </row>
    <row r="28120" spans="2:12" x14ac:dyDescent="0.2">
      <c r="B28120"/>
      <c r="C28120"/>
      <c r="J28120"/>
      <c r="K28120"/>
      <c r="L28120"/>
    </row>
    <row r="28121" spans="2:12" x14ac:dyDescent="0.2">
      <c r="B28121"/>
      <c r="C28121"/>
      <c r="J28121"/>
      <c r="K28121"/>
      <c r="L28121"/>
    </row>
    <row r="28122" spans="2:12" x14ac:dyDescent="0.2">
      <c r="B28122"/>
      <c r="C28122"/>
      <c r="J28122"/>
      <c r="K28122"/>
      <c r="L28122"/>
    </row>
    <row r="28123" spans="2:12" x14ac:dyDescent="0.2">
      <c r="B28123"/>
      <c r="C28123"/>
      <c r="J28123"/>
      <c r="K28123"/>
      <c r="L28123"/>
    </row>
    <row r="28124" spans="2:12" x14ac:dyDescent="0.2">
      <c r="B28124"/>
      <c r="C28124"/>
      <c r="J28124"/>
      <c r="K28124"/>
      <c r="L28124"/>
    </row>
    <row r="28125" spans="2:12" x14ac:dyDescent="0.2">
      <c r="B28125"/>
      <c r="C28125"/>
      <c r="J28125"/>
      <c r="K28125"/>
      <c r="L28125"/>
    </row>
    <row r="28126" spans="2:12" x14ac:dyDescent="0.2">
      <c r="B28126"/>
      <c r="C28126"/>
      <c r="J28126"/>
      <c r="K28126"/>
      <c r="L28126"/>
    </row>
    <row r="28127" spans="2:12" x14ac:dyDescent="0.2">
      <c r="B28127"/>
      <c r="C28127"/>
      <c r="J28127"/>
      <c r="K28127"/>
      <c r="L28127"/>
    </row>
    <row r="28128" spans="2:12" x14ac:dyDescent="0.2">
      <c r="B28128"/>
      <c r="C28128"/>
      <c r="J28128"/>
      <c r="K28128"/>
      <c r="L28128"/>
    </row>
    <row r="28129" spans="2:12" x14ac:dyDescent="0.2">
      <c r="B28129"/>
      <c r="C28129"/>
      <c r="J28129"/>
      <c r="K28129"/>
      <c r="L28129"/>
    </row>
    <row r="28130" spans="2:12" x14ac:dyDescent="0.2">
      <c r="B28130"/>
      <c r="C28130"/>
      <c r="J28130"/>
      <c r="K28130"/>
      <c r="L28130"/>
    </row>
    <row r="28131" spans="2:12" x14ac:dyDescent="0.2">
      <c r="B28131"/>
      <c r="C28131"/>
      <c r="J28131"/>
      <c r="K28131"/>
      <c r="L28131"/>
    </row>
    <row r="28132" spans="2:12" x14ac:dyDescent="0.2">
      <c r="B28132"/>
      <c r="C28132"/>
      <c r="J28132"/>
      <c r="K28132"/>
      <c r="L28132"/>
    </row>
    <row r="28133" spans="2:12" x14ac:dyDescent="0.2">
      <c r="B28133"/>
      <c r="C28133"/>
      <c r="J28133"/>
      <c r="K28133"/>
      <c r="L28133"/>
    </row>
    <row r="28134" spans="2:12" x14ac:dyDescent="0.2">
      <c r="B28134"/>
      <c r="C28134"/>
      <c r="J28134"/>
      <c r="K28134"/>
      <c r="L28134"/>
    </row>
    <row r="28135" spans="2:12" x14ac:dyDescent="0.2">
      <c r="B28135"/>
      <c r="C28135"/>
      <c r="J28135"/>
      <c r="K28135"/>
      <c r="L28135"/>
    </row>
    <row r="28136" spans="2:12" x14ac:dyDescent="0.2">
      <c r="B28136"/>
      <c r="C28136"/>
      <c r="J28136"/>
      <c r="K28136"/>
      <c r="L28136"/>
    </row>
    <row r="28137" spans="2:12" x14ac:dyDescent="0.2">
      <c r="B28137"/>
      <c r="C28137"/>
      <c r="J28137"/>
      <c r="K28137"/>
      <c r="L28137"/>
    </row>
    <row r="28138" spans="2:12" x14ac:dyDescent="0.2">
      <c r="B28138"/>
      <c r="C28138"/>
      <c r="J28138"/>
      <c r="K28138"/>
      <c r="L28138"/>
    </row>
    <row r="28139" spans="2:12" x14ac:dyDescent="0.2">
      <c r="B28139"/>
      <c r="C28139"/>
      <c r="J28139"/>
      <c r="K28139"/>
      <c r="L28139"/>
    </row>
    <row r="28140" spans="2:12" x14ac:dyDescent="0.2">
      <c r="B28140"/>
      <c r="C28140"/>
      <c r="J28140"/>
      <c r="K28140"/>
      <c r="L28140"/>
    </row>
    <row r="28141" spans="2:12" x14ac:dyDescent="0.2">
      <c r="B28141"/>
      <c r="C28141"/>
      <c r="J28141"/>
      <c r="K28141"/>
      <c r="L28141"/>
    </row>
    <row r="28142" spans="2:12" x14ac:dyDescent="0.2">
      <c r="B28142"/>
      <c r="C28142"/>
      <c r="J28142"/>
      <c r="K28142"/>
      <c r="L28142"/>
    </row>
    <row r="28143" spans="2:12" x14ac:dyDescent="0.2">
      <c r="B28143"/>
      <c r="C28143"/>
      <c r="J28143"/>
      <c r="K28143"/>
      <c r="L28143"/>
    </row>
    <row r="28144" spans="2:12" x14ac:dyDescent="0.2">
      <c r="B28144"/>
      <c r="C28144"/>
      <c r="J28144"/>
      <c r="K28144"/>
      <c r="L28144"/>
    </row>
    <row r="28145" spans="2:12" x14ac:dyDescent="0.2">
      <c r="B28145"/>
      <c r="C28145"/>
      <c r="J28145"/>
      <c r="K28145"/>
      <c r="L28145"/>
    </row>
    <row r="28146" spans="2:12" x14ac:dyDescent="0.2">
      <c r="B28146"/>
      <c r="C28146"/>
      <c r="J28146"/>
      <c r="K28146"/>
      <c r="L28146"/>
    </row>
    <row r="28147" spans="2:12" x14ac:dyDescent="0.2">
      <c r="B28147"/>
      <c r="C28147"/>
      <c r="J28147"/>
      <c r="K28147"/>
      <c r="L28147"/>
    </row>
    <row r="28148" spans="2:12" x14ac:dyDescent="0.2">
      <c r="B28148"/>
      <c r="C28148"/>
      <c r="J28148"/>
      <c r="K28148"/>
      <c r="L28148"/>
    </row>
    <row r="28149" spans="2:12" x14ac:dyDescent="0.2">
      <c r="B28149"/>
      <c r="C28149"/>
      <c r="J28149"/>
      <c r="K28149"/>
      <c r="L28149"/>
    </row>
    <row r="28150" spans="2:12" x14ac:dyDescent="0.2">
      <c r="B28150"/>
      <c r="C28150"/>
      <c r="J28150"/>
      <c r="K28150"/>
      <c r="L28150"/>
    </row>
    <row r="28151" spans="2:12" x14ac:dyDescent="0.2">
      <c r="B28151"/>
      <c r="C28151"/>
      <c r="J28151"/>
      <c r="K28151"/>
      <c r="L28151"/>
    </row>
    <row r="28152" spans="2:12" x14ac:dyDescent="0.2">
      <c r="B28152"/>
      <c r="C28152"/>
      <c r="J28152"/>
      <c r="K28152"/>
      <c r="L28152"/>
    </row>
    <row r="28153" spans="2:12" x14ac:dyDescent="0.2">
      <c r="B28153"/>
      <c r="C28153"/>
      <c r="J28153"/>
      <c r="K28153"/>
      <c r="L28153"/>
    </row>
    <row r="28154" spans="2:12" x14ac:dyDescent="0.2">
      <c r="B28154"/>
      <c r="C28154"/>
      <c r="J28154"/>
      <c r="K28154"/>
      <c r="L28154"/>
    </row>
    <row r="28155" spans="2:12" x14ac:dyDescent="0.2">
      <c r="B28155"/>
      <c r="C28155"/>
      <c r="J28155"/>
      <c r="K28155"/>
      <c r="L28155"/>
    </row>
    <row r="28156" spans="2:12" x14ac:dyDescent="0.2">
      <c r="B28156"/>
      <c r="C28156"/>
      <c r="J28156"/>
      <c r="K28156"/>
      <c r="L28156"/>
    </row>
    <row r="28157" spans="2:12" x14ac:dyDescent="0.2">
      <c r="B28157"/>
      <c r="C28157"/>
      <c r="J28157"/>
      <c r="K28157"/>
      <c r="L28157"/>
    </row>
    <row r="28158" spans="2:12" x14ac:dyDescent="0.2">
      <c r="B28158"/>
      <c r="C28158"/>
      <c r="J28158"/>
      <c r="K28158"/>
      <c r="L28158"/>
    </row>
    <row r="28159" spans="2:12" x14ac:dyDescent="0.2">
      <c r="B28159"/>
      <c r="C28159"/>
      <c r="J28159"/>
      <c r="K28159"/>
      <c r="L28159"/>
    </row>
    <row r="28160" spans="2:12" x14ac:dyDescent="0.2">
      <c r="B28160"/>
      <c r="C28160"/>
      <c r="J28160"/>
      <c r="K28160"/>
      <c r="L28160"/>
    </row>
    <row r="28161" spans="2:12" x14ac:dyDescent="0.2">
      <c r="B28161"/>
      <c r="C28161"/>
      <c r="J28161"/>
      <c r="K28161"/>
      <c r="L28161"/>
    </row>
    <row r="28162" spans="2:12" x14ac:dyDescent="0.2">
      <c r="B28162"/>
      <c r="C28162"/>
      <c r="J28162"/>
      <c r="K28162"/>
      <c r="L28162"/>
    </row>
    <row r="28163" spans="2:12" x14ac:dyDescent="0.2">
      <c r="B28163"/>
      <c r="C28163"/>
      <c r="J28163"/>
      <c r="K28163"/>
      <c r="L28163"/>
    </row>
    <row r="28164" spans="2:12" x14ac:dyDescent="0.2">
      <c r="B28164"/>
      <c r="C28164"/>
      <c r="J28164"/>
      <c r="K28164"/>
      <c r="L28164"/>
    </row>
    <row r="28165" spans="2:12" x14ac:dyDescent="0.2">
      <c r="B28165"/>
      <c r="C28165"/>
      <c r="J28165"/>
      <c r="K28165"/>
      <c r="L28165"/>
    </row>
    <row r="28166" spans="2:12" x14ac:dyDescent="0.2">
      <c r="B28166"/>
      <c r="C28166"/>
      <c r="J28166"/>
      <c r="K28166"/>
      <c r="L28166"/>
    </row>
    <row r="28167" spans="2:12" x14ac:dyDescent="0.2">
      <c r="B28167"/>
      <c r="C28167"/>
      <c r="J28167"/>
      <c r="K28167"/>
      <c r="L28167"/>
    </row>
    <row r="28168" spans="2:12" x14ac:dyDescent="0.2">
      <c r="B28168"/>
      <c r="C28168"/>
      <c r="J28168"/>
      <c r="K28168"/>
      <c r="L28168"/>
    </row>
    <row r="28169" spans="2:12" x14ac:dyDescent="0.2">
      <c r="B28169"/>
      <c r="C28169"/>
      <c r="J28169"/>
      <c r="K28169"/>
      <c r="L28169"/>
    </row>
    <row r="28170" spans="2:12" x14ac:dyDescent="0.2">
      <c r="B28170"/>
      <c r="C28170"/>
      <c r="J28170"/>
      <c r="K28170"/>
      <c r="L28170"/>
    </row>
    <row r="28171" spans="2:12" x14ac:dyDescent="0.2">
      <c r="B28171"/>
      <c r="C28171"/>
      <c r="J28171"/>
      <c r="K28171"/>
      <c r="L28171"/>
    </row>
    <row r="28172" spans="2:12" x14ac:dyDescent="0.2">
      <c r="B28172"/>
      <c r="C28172"/>
      <c r="J28172"/>
      <c r="K28172"/>
      <c r="L28172"/>
    </row>
    <row r="28173" spans="2:12" x14ac:dyDescent="0.2">
      <c r="B28173"/>
      <c r="C28173"/>
      <c r="J28173"/>
      <c r="K28173"/>
      <c r="L28173"/>
    </row>
    <row r="28174" spans="2:12" x14ac:dyDescent="0.2">
      <c r="B28174"/>
      <c r="C28174"/>
      <c r="J28174"/>
      <c r="K28174"/>
      <c r="L28174"/>
    </row>
    <row r="28175" spans="2:12" x14ac:dyDescent="0.2">
      <c r="B28175"/>
      <c r="C28175"/>
      <c r="J28175"/>
      <c r="K28175"/>
      <c r="L28175"/>
    </row>
    <row r="28176" spans="2:12" x14ac:dyDescent="0.2">
      <c r="B28176"/>
      <c r="C28176"/>
      <c r="J28176"/>
      <c r="K28176"/>
      <c r="L28176"/>
    </row>
    <row r="28177" spans="2:12" x14ac:dyDescent="0.2">
      <c r="B28177"/>
      <c r="C28177"/>
      <c r="J28177"/>
      <c r="K28177"/>
      <c r="L28177"/>
    </row>
    <row r="28178" spans="2:12" x14ac:dyDescent="0.2">
      <c r="B28178"/>
      <c r="C28178"/>
      <c r="J28178"/>
      <c r="K28178"/>
      <c r="L28178"/>
    </row>
    <row r="28179" spans="2:12" x14ac:dyDescent="0.2">
      <c r="B28179"/>
      <c r="C28179"/>
      <c r="J28179"/>
      <c r="K28179"/>
      <c r="L28179"/>
    </row>
    <row r="28180" spans="2:12" x14ac:dyDescent="0.2">
      <c r="B28180"/>
      <c r="C28180"/>
      <c r="J28180"/>
      <c r="K28180"/>
      <c r="L28180"/>
    </row>
    <row r="28181" spans="2:12" x14ac:dyDescent="0.2">
      <c r="B28181"/>
      <c r="C28181"/>
      <c r="J28181"/>
      <c r="K28181"/>
      <c r="L28181"/>
    </row>
    <row r="28182" spans="2:12" x14ac:dyDescent="0.2">
      <c r="B28182"/>
      <c r="C28182"/>
      <c r="J28182"/>
      <c r="K28182"/>
      <c r="L28182"/>
    </row>
    <row r="28183" spans="2:12" x14ac:dyDescent="0.2">
      <c r="B28183"/>
      <c r="C28183"/>
      <c r="J28183"/>
      <c r="K28183"/>
      <c r="L28183"/>
    </row>
    <row r="28184" spans="2:12" x14ac:dyDescent="0.2">
      <c r="B28184"/>
      <c r="C28184"/>
      <c r="J28184"/>
      <c r="K28184"/>
      <c r="L28184"/>
    </row>
    <row r="28185" spans="2:12" x14ac:dyDescent="0.2">
      <c r="B28185"/>
      <c r="C28185"/>
      <c r="J28185"/>
      <c r="K28185"/>
      <c r="L28185"/>
    </row>
    <row r="28186" spans="2:12" x14ac:dyDescent="0.2">
      <c r="B28186"/>
      <c r="C28186"/>
      <c r="J28186"/>
      <c r="K28186"/>
      <c r="L28186"/>
    </row>
    <row r="28187" spans="2:12" x14ac:dyDescent="0.2">
      <c r="B28187"/>
      <c r="C28187"/>
      <c r="J28187"/>
      <c r="K28187"/>
      <c r="L28187"/>
    </row>
    <row r="28188" spans="2:12" x14ac:dyDescent="0.2">
      <c r="B28188"/>
      <c r="C28188"/>
      <c r="J28188"/>
      <c r="K28188"/>
      <c r="L28188"/>
    </row>
    <row r="28189" spans="2:12" x14ac:dyDescent="0.2">
      <c r="B28189"/>
      <c r="C28189"/>
      <c r="J28189"/>
      <c r="K28189"/>
      <c r="L28189"/>
    </row>
    <row r="28190" spans="2:12" x14ac:dyDescent="0.2">
      <c r="B28190"/>
      <c r="C28190"/>
      <c r="J28190"/>
      <c r="K28190"/>
      <c r="L28190"/>
    </row>
    <row r="28191" spans="2:12" x14ac:dyDescent="0.2">
      <c r="B28191"/>
      <c r="C28191"/>
      <c r="J28191"/>
      <c r="K28191"/>
      <c r="L28191"/>
    </row>
    <row r="28192" spans="2:12" x14ac:dyDescent="0.2">
      <c r="B28192"/>
      <c r="C28192"/>
      <c r="J28192"/>
      <c r="K28192"/>
      <c r="L28192"/>
    </row>
    <row r="28193" spans="2:12" x14ac:dyDescent="0.2">
      <c r="B28193"/>
      <c r="C28193"/>
      <c r="J28193"/>
      <c r="K28193"/>
      <c r="L28193"/>
    </row>
    <row r="28194" spans="2:12" x14ac:dyDescent="0.2">
      <c r="B28194"/>
      <c r="C28194"/>
      <c r="J28194"/>
      <c r="K28194"/>
      <c r="L28194"/>
    </row>
    <row r="28195" spans="2:12" x14ac:dyDescent="0.2">
      <c r="B28195"/>
      <c r="C28195"/>
      <c r="J28195"/>
      <c r="K28195"/>
      <c r="L28195"/>
    </row>
    <row r="28196" spans="2:12" x14ac:dyDescent="0.2">
      <c r="B28196"/>
      <c r="C28196"/>
      <c r="J28196"/>
      <c r="K28196"/>
      <c r="L28196"/>
    </row>
    <row r="28197" spans="2:12" x14ac:dyDescent="0.2">
      <c r="B28197"/>
      <c r="C28197"/>
      <c r="J28197"/>
      <c r="K28197"/>
      <c r="L28197"/>
    </row>
    <row r="28198" spans="2:12" x14ac:dyDescent="0.2">
      <c r="B28198"/>
      <c r="C28198"/>
      <c r="J28198"/>
      <c r="K28198"/>
      <c r="L28198"/>
    </row>
    <row r="28199" spans="2:12" x14ac:dyDescent="0.2">
      <c r="B28199"/>
      <c r="C28199"/>
      <c r="J28199"/>
      <c r="K28199"/>
      <c r="L28199"/>
    </row>
    <row r="28200" spans="2:12" x14ac:dyDescent="0.2">
      <c r="B28200"/>
      <c r="C28200"/>
      <c r="J28200"/>
      <c r="K28200"/>
      <c r="L28200"/>
    </row>
    <row r="28201" spans="2:12" x14ac:dyDescent="0.2">
      <c r="B28201"/>
      <c r="C28201"/>
      <c r="J28201"/>
      <c r="K28201"/>
      <c r="L28201"/>
    </row>
    <row r="28202" spans="2:12" x14ac:dyDescent="0.2">
      <c r="B28202"/>
      <c r="C28202"/>
      <c r="J28202"/>
      <c r="K28202"/>
      <c r="L28202"/>
    </row>
    <row r="28203" spans="2:12" x14ac:dyDescent="0.2">
      <c r="B28203"/>
      <c r="C28203"/>
      <c r="J28203"/>
      <c r="K28203"/>
      <c r="L28203"/>
    </row>
    <row r="28204" spans="2:12" x14ac:dyDescent="0.2">
      <c r="B28204"/>
      <c r="C28204"/>
      <c r="J28204"/>
      <c r="K28204"/>
      <c r="L28204"/>
    </row>
    <row r="28205" spans="2:12" x14ac:dyDescent="0.2">
      <c r="B28205"/>
      <c r="C28205"/>
      <c r="J28205"/>
      <c r="K28205"/>
      <c r="L28205"/>
    </row>
    <row r="28206" spans="2:12" x14ac:dyDescent="0.2">
      <c r="B28206"/>
      <c r="C28206"/>
      <c r="J28206"/>
      <c r="K28206"/>
      <c r="L28206"/>
    </row>
    <row r="28207" spans="2:12" x14ac:dyDescent="0.2">
      <c r="B28207"/>
      <c r="C28207"/>
      <c r="J28207"/>
      <c r="K28207"/>
      <c r="L28207"/>
    </row>
    <row r="28208" spans="2:12" x14ac:dyDescent="0.2">
      <c r="B28208"/>
      <c r="C28208"/>
      <c r="J28208"/>
      <c r="K28208"/>
      <c r="L28208"/>
    </row>
    <row r="28209" spans="2:12" x14ac:dyDescent="0.2">
      <c r="B28209"/>
      <c r="C28209"/>
      <c r="J28209"/>
      <c r="K28209"/>
      <c r="L28209"/>
    </row>
    <row r="28210" spans="2:12" x14ac:dyDescent="0.2">
      <c r="B28210"/>
      <c r="C28210"/>
      <c r="J28210"/>
      <c r="K28210"/>
      <c r="L28210"/>
    </row>
    <row r="28211" spans="2:12" x14ac:dyDescent="0.2">
      <c r="B28211"/>
      <c r="C28211"/>
      <c r="J28211"/>
      <c r="K28211"/>
      <c r="L28211"/>
    </row>
    <row r="28212" spans="2:12" x14ac:dyDescent="0.2">
      <c r="B28212"/>
      <c r="C28212"/>
      <c r="J28212"/>
      <c r="K28212"/>
      <c r="L28212"/>
    </row>
    <row r="28213" spans="2:12" x14ac:dyDescent="0.2">
      <c r="B28213"/>
      <c r="C28213"/>
      <c r="J28213"/>
      <c r="K28213"/>
      <c r="L28213"/>
    </row>
    <row r="28214" spans="2:12" x14ac:dyDescent="0.2">
      <c r="B28214"/>
      <c r="C28214"/>
      <c r="J28214"/>
      <c r="K28214"/>
      <c r="L28214"/>
    </row>
    <row r="28215" spans="2:12" x14ac:dyDescent="0.2">
      <c r="B28215"/>
      <c r="C28215"/>
      <c r="J28215"/>
      <c r="K28215"/>
      <c r="L28215"/>
    </row>
    <row r="28216" spans="2:12" x14ac:dyDescent="0.2">
      <c r="B28216"/>
      <c r="C28216"/>
      <c r="J28216"/>
      <c r="K28216"/>
      <c r="L28216"/>
    </row>
    <row r="28217" spans="2:12" x14ac:dyDescent="0.2">
      <c r="B28217"/>
      <c r="C28217"/>
      <c r="J28217"/>
      <c r="K28217"/>
      <c r="L28217"/>
    </row>
    <row r="28218" spans="2:12" x14ac:dyDescent="0.2">
      <c r="B28218"/>
      <c r="C28218"/>
      <c r="J28218"/>
      <c r="K28218"/>
      <c r="L28218"/>
    </row>
    <row r="28219" spans="2:12" x14ac:dyDescent="0.2">
      <c r="B28219"/>
      <c r="C28219"/>
      <c r="J28219"/>
      <c r="K28219"/>
      <c r="L28219"/>
    </row>
    <row r="28220" spans="2:12" x14ac:dyDescent="0.2">
      <c r="B28220"/>
      <c r="C28220"/>
      <c r="J28220"/>
      <c r="K28220"/>
      <c r="L28220"/>
    </row>
    <row r="28221" spans="2:12" x14ac:dyDescent="0.2">
      <c r="B28221"/>
      <c r="C28221"/>
      <c r="J28221"/>
      <c r="K28221"/>
      <c r="L28221"/>
    </row>
    <row r="28222" spans="2:12" x14ac:dyDescent="0.2">
      <c r="B28222"/>
      <c r="C28222"/>
      <c r="J28222"/>
      <c r="K28222"/>
      <c r="L28222"/>
    </row>
    <row r="28223" spans="2:12" x14ac:dyDescent="0.2">
      <c r="B28223"/>
      <c r="C28223"/>
      <c r="J28223"/>
      <c r="K28223"/>
      <c r="L28223"/>
    </row>
    <row r="28224" spans="2:12" x14ac:dyDescent="0.2">
      <c r="B28224"/>
      <c r="C28224"/>
      <c r="J28224"/>
      <c r="K28224"/>
      <c r="L28224"/>
    </row>
    <row r="28225" spans="2:12" x14ac:dyDescent="0.2">
      <c r="B28225"/>
      <c r="C28225"/>
      <c r="J28225"/>
      <c r="K28225"/>
      <c r="L28225"/>
    </row>
    <row r="28226" spans="2:12" x14ac:dyDescent="0.2">
      <c r="B28226"/>
      <c r="C28226"/>
      <c r="J28226"/>
      <c r="K28226"/>
      <c r="L28226"/>
    </row>
    <row r="28227" spans="2:12" x14ac:dyDescent="0.2">
      <c r="B28227"/>
      <c r="C28227"/>
      <c r="J28227"/>
      <c r="K28227"/>
      <c r="L28227"/>
    </row>
    <row r="28228" spans="2:12" x14ac:dyDescent="0.2">
      <c r="B28228"/>
      <c r="C28228"/>
      <c r="J28228"/>
      <c r="K28228"/>
      <c r="L28228"/>
    </row>
    <row r="28229" spans="2:12" x14ac:dyDescent="0.2">
      <c r="B28229"/>
      <c r="C28229"/>
      <c r="J28229"/>
      <c r="K28229"/>
      <c r="L28229"/>
    </row>
    <row r="28230" spans="2:12" x14ac:dyDescent="0.2">
      <c r="B28230"/>
      <c r="C28230"/>
      <c r="J28230"/>
      <c r="K28230"/>
      <c r="L28230"/>
    </row>
    <row r="28231" spans="2:12" x14ac:dyDescent="0.2">
      <c r="B28231"/>
      <c r="C28231"/>
      <c r="J28231"/>
      <c r="K28231"/>
      <c r="L28231"/>
    </row>
    <row r="28232" spans="2:12" x14ac:dyDescent="0.2">
      <c r="B28232"/>
      <c r="C28232"/>
      <c r="J28232"/>
      <c r="K28232"/>
      <c r="L28232"/>
    </row>
    <row r="28233" spans="2:12" x14ac:dyDescent="0.2">
      <c r="B28233"/>
      <c r="C28233"/>
      <c r="J28233"/>
      <c r="K28233"/>
      <c r="L28233"/>
    </row>
    <row r="28234" spans="2:12" x14ac:dyDescent="0.2">
      <c r="B28234"/>
      <c r="C28234"/>
      <c r="J28234"/>
      <c r="K28234"/>
      <c r="L28234"/>
    </row>
    <row r="28235" spans="2:12" x14ac:dyDescent="0.2">
      <c r="B28235"/>
      <c r="C28235"/>
      <c r="J28235"/>
      <c r="K28235"/>
      <c r="L28235"/>
    </row>
    <row r="28236" spans="2:12" x14ac:dyDescent="0.2">
      <c r="B28236"/>
      <c r="C28236"/>
      <c r="J28236"/>
      <c r="K28236"/>
      <c r="L28236"/>
    </row>
    <row r="28237" spans="2:12" x14ac:dyDescent="0.2">
      <c r="B28237"/>
      <c r="C28237"/>
      <c r="J28237"/>
      <c r="K28237"/>
      <c r="L28237"/>
    </row>
    <row r="28238" spans="2:12" x14ac:dyDescent="0.2">
      <c r="B28238"/>
      <c r="C28238"/>
      <c r="J28238"/>
      <c r="K28238"/>
      <c r="L28238"/>
    </row>
    <row r="28239" spans="2:12" x14ac:dyDescent="0.2">
      <c r="B28239"/>
      <c r="C28239"/>
      <c r="J28239"/>
      <c r="K28239"/>
      <c r="L28239"/>
    </row>
    <row r="28240" spans="2:12" x14ac:dyDescent="0.2">
      <c r="B28240"/>
      <c r="C28240"/>
      <c r="J28240"/>
      <c r="K28240"/>
      <c r="L28240"/>
    </row>
    <row r="28241" spans="2:12" x14ac:dyDescent="0.2">
      <c r="B28241"/>
      <c r="C28241"/>
      <c r="J28241"/>
      <c r="K28241"/>
      <c r="L28241"/>
    </row>
    <row r="28242" spans="2:12" x14ac:dyDescent="0.2">
      <c r="B28242"/>
      <c r="C28242"/>
      <c r="J28242"/>
      <c r="K28242"/>
      <c r="L28242"/>
    </row>
    <row r="28243" spans="2:12" x14ac:dyDescent="0.2">
      <c r="B28243"/>
      <c r="C28243"/>
      <c r="J28243"/>
      <c r="K28243"/>
      <c r="L28243"/>
    </row>
    <row r="28244" spans="2:12" x14ac:dyDescent="0.2">
      <c r="B28244"/>
      <c r="C28244"/>
      <c r="J28244"/>
      <c r="K28244"/>
      <c r="L28244"/>
    </row>
    <row r="28245" spans="2:12" x14ac:dyDescent="0.2">
      <c r="B28245"/>
      <c r="C28245"/>
      <c r="J28245"/>
      <c r="K28245"/>
      <c r="L28245"/>
    </row>
    <row r="28246" spans="2:12" x14ac:dyDescent="0.2">
      <c r="B28246"/>
      <c r="C28246"/>
      <c r="J28246"/>
      <c r="K28246"/>
      <c r="L28246"/>
    </row>
    <row r="28247" spans="2:12" x14ac:dyDescent="0.2">
      <c r="B28247"/>
      <c r="C28247"/>
      <c r="J28247"/>
      <c r="K28247"/>
      <c r="L28247"/>
    </row>
    <row r="28248" spans="2:12" x14ac:dyDescent="0.2">
      <c r="B28248"/>
      <c r="C28248"/>
      <c r="J28248"/>
      <c r="K28248"/>
      <c r="L28248"/>
    </row>
    <row r="28249" spans="2:12" x14ac:dyDescent="0.2">
      <c r="B28249"/>
      <c r="C28249"/>
      <c r="J28249"/>
      <c r="K28249"/>
      <c r="L28249"/>
    </row>
    <row r="28250" spans="2:12" x14ac:dyDescent="0.2">
      <c r="B28250"/>
      <c r="C28250"/>
      <c r="J28250"/>
      <c r="K28250"/>
      <c r="L28250"/>
    </row>
    <row r="28251" spans="2:12" x14ac:dyDescent="0.2">
      <c r="B28251"/>
      <c r="C28251"/>
      <c r="J28251"/>
      <c r="K28251"/>
      <c r="L28251"/>
    </row>
    <row r="28252" spans="2:12" x14ac:dyDescent="0.2">
      <c r="B28252"/>
      <c r="C28252"/>
      <c r="J28252"/>
      <c r="K28252"/>
      <c r="L28252"/>
    </row>
    <row r="28253" spans="2:12" x14ac:dyDescent="0.2">
      <c r="B28253"/>
      <c r="C28253"/>
      <c r="J28253"/>
      <c r="K28253"/>
      <c r="L28253"/>
    </row>
    <row r="28254" spans="2:12" x14ac:dyDescent="0.2">
      <c r="B28254"/>
      <c r="C28254"/>
      <c r="J28254"/>
      <c r="K28254"/>
      <c r="L28254"/>
    </row>
    <row r="28255" spans="2:12" x14ac:dyDescent="0.2">
      <c r="B28255"/>
      <c r="C28255"/>
      <c r="J28255"/>
      <c r="K28255"/>
      <c r="L28255"/>
    </row>
    <row r="28256" spans="2:12" x14ac:dyDescent="0.2">
      <c r="B28256"/>
      <c r="C28256"/>
      <c r="J28256"/>
      <c r="K28256"/>
      <c r="L28256"/>
    </row>
    <row r="28257" spans="2:12" x14ac:dyDescent="0.2">
      <c r="B28257"/>
      <c r="C28257"/>
      <c r="J28257"/>
      <c r="K28257"/>
      <c r="L28257"/>
    </row>
    <row r="28258" spans="2:12" x14ac:dyDescent="0.2">
      <c r="B28258"/>
      <c r="C28258"/>
      <c r="J28258"/>
      <c r="K28258"/>
      <c r="L28258"/>
    </row>
    <row r="28259" spans="2:12" x14ac:dyDescent="0.2">
      <c r="B28259"/>
      <c r="C28259"/>
      <c r="J28259"/>
      <c r="K28259"/>
      <c r="L28259"/>
    </row>
    <row r="28260" spans="2:12" x14ac:dyDescent="0.2">
      <c r="B28260"/>
      <c r="C28260"/>
      <c r="J28260"/>
      <c r="K28260"/>
      <c r="L28260"/>
    </row>
    <row r="28261" spans="2:12" x14ac:dyDescent="0.2">
      <c r="B28261"/>
      <c r="C28261"/>
      <c r="J28261"/>
      <c r="K28261"/>
      <c r="L28261"/>
    </row>
    <row r="28262" spans="2:12" x14ac:dyDescent="0.2">
      <c r="B28262"/>
      <c r="C28262"/>
      <c r="J28262"/>
      <c r="K28262"/>
      <c r="L28262"/>
    </row>
    <row r="28263" spans="2:12" x14ac:dyDescent="0.2">
      <c r="B28263"/>
      <c r="C28263"/>
      <c r="J28263"/>
      <c r="K28263"/>
      <c r="L28263"/>
    </row>
    <row r="28264" spans="2:12" x14ac:dyDescent="0.2">
      <c r="B28264"/>
      <c r="C28264"/>
      <c r="J28264"/>
      <c r="K28264"/>
      <c r="L28264"/>
    </row>
    <row r="28265" spans="2:12" x14ac:dyDescent="0.2">
      <c r="B28265"/>
      <c r="C28265"/>
      <c r="J28265"/>
      <c r="K28265"/>
      <c r="L28265"/>
    </row>
    <row r="28266" spans="2:12" x14ac:dyDescent="0.2">
      <c r="B28266"/>
      <c r="C28266"/>
      <c r="J28266"/>
      <c r="K28266"/>
      <c r="L28266"/>
    </row>
    <row r="28267" spans="2:12" x14ac:dyDescent="0.2">
      <c r="B28267"/>
      <c r="C28267"/>
      <c r="J28267"/>
      <c r="K28267"/>
      <c r="L28267"/>
    </row>
    <row r="28268" spans="2:12" x14ac:dyDescent="0.2">
      <c r="B28268"/>
      <c r="C28268"/>
      <c r="J28268"/>
      <c r="K28268"/>
      <c r="L28268"/>
    </row>
    <row r="28269" spans="2:12" x14ac:dyDescent="0.2">
      <c r="B28269"/>
      <c r="C28269"/>
      <c r="J28269"/>
      <c r="K28269"/>
      <c r="L28269"/>
    </row>
    <row r="28270" spans="2:12" x14ac:dyDescent="0.2">
      <c r="B28270"/>
      <c r="C28270"/>
      <c r="J28270"/>
      <c r="K28270"/>
      <c r="L28270"/>
    </row>
    <row r="28271" spans="2:12" x14ac:dyDescent="0.2">
      <c r="B28271"/>
      <c r="C28271"/>
      <c r="J28271"/>
      <c r="K28271"/>
      <c r="L28271"/>
    </row>
    <row r="28272" spans="2:12" x14ac:dyDescent="0.2">
      <c r="B28272"/>
      <c r="C28272"/>
      <c r="J28272"/>
      <c r="K28272"/>
      <c r="L28272"/>
    </row>
    <row r="28273" spans="2:12" x14ac:dyDescent="0.2">
      <c r="B28273"/>
      <c r="C28273"/>
      <c r="J28273"/>
      <c r="K28273"/>
      <c r="L28273"/>
    </row>
    <row r="28274" spans="2:12" x14ac:dyDescent="0.2">
      <c r="B28274"/>
      <c r="C28274"/>
      <c r="J28274"/>
      <c r="K28274"/>
      <c r="L28274"/>
    </row>
    <row r="28275" spans="2:12" x14ac:dyDescent="0.2">
      <c r="B28275"/>
      <c r="C28275"/>
      <c r="J28275"/>
      <c r="K28275"/>
      <c r="L28275"/>
    </row>
    <row r="28276" spans="2:12" x14ac:dyDescent="0.2">
      <c r="B28276"/>
      <c r="C28276"/>
      <c r="J28276"/>
      <c r="K28276"/>
      <c r="L28276"/>
    </row>
    <row r="28277" spans="2:12" x14ac:dyDescent="0.2">
      <c r="B28277"/>
      <c r="C28277"/>
      <c r="J28277"/>
      <c r="K28277"/>
      <c r="L28277"/>
    </row>
    <row r="28278" spans="2:12" x14ac:dyDescent="0.2">
      <c r="B28278"/>
      <c r="C28278"/>
      <c r="J28278"/>
      <c r="K28278"/>
      <c r="L28278"/>
    </row>
    <row r="28279" spans="2:12" x14ac:dyDescent="0.2">
      <c r="B28279"/>
      <c r="C28279"/>
      <c r="J28279"/>
      <c r="K28279"/>
      <c r="L28279"/>
    </row>
    <row r="28280" spans="2:12" x14ac:dyDescent="0.2">
      <c r="B28280"/>
      <c r="C28280"/>
      <c r="J28280"/>
      <c r="K28280"/>
      <c r="L28280"/>
    </row>
    <row r="28281" spans="2:12" x14ac:dyDescent="0.2">
      <c r="B28281"/>
      <c r="C28281"/>
      <c r="J28281"/>
      <c r="K28281"/>
      <c r="L28281"/>
    </row>
    <row r="28282" spans="2:12" x14ac:dyDescent="0.2">
      <c r="B28282"/>
      <c r="C28282"/>
      <c r="J28282"/>
      <c r="K28282"/>
      <c r="L28282"/>
    </row>
    <row r="28283" spans="2:12" x14ac:dyDescent="0.2">
      <c r="B28283"/>
      <c r="C28283"/>
      <c r="J28283"/>
      <c r="K28283"/>
      <c r="L28283"/>
    </row>
    <row r="28284" spans="2:12" x14ac:dyDescent="0.2">
      <c r="B28284"/>
      <c r="C28284"/>
      <c r="J28284"/>
      <c r="K28284"/>
      <c r="L28284"/>
    </row>
    <row r="28285" spans="2:12" x14ac:dyDescent="0.2">
      <c r="B28285"/>
      <c r="C28285"/>
      <c r="J28285"/>
      <c r="K28285"/>
      <c r="L28285"/>
    </row>
    <row r="28286" spans="2:12" x14ac:dyDescent="0.2">
      <c r="B28286"/>
      <c r="C28286"/>
      <c r="J28286"/>
      <c r="K28286"/>
      <c r="L28286"/>
    </row>
    <row r="28287" spans="2:12" x14ac:dyDescent="0.2">
      <c r="B28287"/>
      <c r="C28287"/>
      <c r="J28287"/>
      <c r="K28287"/>
      <c r="L28287"/>
    </row>
    <row r="28288" spans="2:12" x14ac:dyDescent="0.2">
      <c r="B28288"/>
      <c r="C28288"/>
      <c r="J28288"/>
      <c r="K28288"/>
      <c r="L28288"/>
    </row>
    <row r="28289" spans="2:12" x14ac:dyDescent="0.2">
      <c r="B28289"/>
      <c r="C28289"/>
      <c r="J28289"/>
      <c r="K28289"/>
      <c r="L28289"/>
    </row>
    <row r="28290" spans="2:12" x14ac:dyDescent="0.2">
      <c r="B28290"/>
      <c r="C28290"/>
      <c r="J28290"/>
      <c r="K28290"/>
      <c r="L28290"/>
    </row>
    <row r="28291" spans="2:12" x14ac:dyDescent="0.2">
      <c r="B28291"/>
      <c r="C28291"/>
      <c r="J28291"/>
      <c r="K28291"/>
      <c r="L28291"/>
    </row>
    <row r="28292" spans="2:12" x14ac:dyDescent="0.2">
      <c r="B28292"/>
      <c r="C28292"/>
      <c r="J28292"/>
      <c r="K28292"/>
      <c r="L28292"/>
    </row>
    <row r="28293" spans="2:12" x14ac:dyDescent="0.2">
      <c r="B28293"/>
      <c r="C28293"/>
      <c r="J28293"/>
      <c r="K28293"/>
      <c r="L28293"/>
    </row>
    <row r="28294" spans="2:12" x14ac:dyDescent="0.2">
      <c r="B28294"/>
      <c r="C28294"/>
      <c r="J28294"/>
      <c r="K28294"/>
      <c r="L28294"/>
    </row>
    <row r="28295" spans="2:12" x14ac:dyDescent="0.2">
      <c r="B28295"/>
      <c r="C28295"/>
      <c r="J28295"/>
      <c r="K28295"/>
      <c r="L28295"/>
    </row>
    <row r="28296" spans="2:12" x14ac:dyDescent="0.2">
      <c r="B28296"/>
      <c r="C28296"/>
      <c r="J28296"/>
      <c r="K28296"/>
      <c r="L28296"/>
    </row>
    <row r="28297" spans="2:12" x14ac:dyDescent="0.2">
      <c r="B28297"/>
      <c r="C28297"/>
      <c r="J28297"/>
      <c r="K28297"/>
      <c r="L28297"/>
    </row>
    <row r="28298" spans="2:12" x14ac:dyDescent="0.2">
      <c r="B28298"/>
      <c r="C28298"/>
      <c r="J28298"/>
      <c r="K28298"/>
      <c r="L28298"/>
    </row>
    <row r="28299" spans="2:12" x14ac:dyDescent="0.2">
      <c r="B28299"/>
      <c r="C28299"/>
      <c r="J28299"/>
      <c r="K28299"/>
      <c r="L28299"/>
    </row>
    <row r="28300" spans="2:12" x14ac:dyDescent="0.2">
      <c r="B28300"/>
      <c r="C28300"/>
      <c r="J28300"/>
      <c r="K28300"/>
      <c r="L28300"/>
    </row>
    <row r="28301" spans="2:12" x14ac:dyDescent="0.2">
      <c r="B28301"/>
      <c r="C28301"/>
      <c r="J28301"/>
      <c r="K28301"/>
      <c r="L28301"/>
    </row>
    <row r="28302" spans="2:12" x14ac:dyDescent="0.2">
      <c r="B28302"/>
      <c r="C28302"/>
      <c r="J28302"/>
      <c r="K28302"/>
      <c r="L28302"/>
    </row>
    <row r="28303" spans="2:12" x14ac:dyDescent="0.2">
      <c r="B28303"/>
      <c r="C28303"/>
      <c r="J28303"/>
      <c r="K28303"/>
      <c r="L28303"/>
    </row>
    <row r="28304" spans="2:12" x14ac:dyDescent="0.2">
      <c r="B28304"/>
      <c r="C28304"/>
      <c r="J28304"/>
      <c r="K28304"/>
      <c r="L28304"/>
    </row>
    <row r="28305" spans="2:12" x14ac:dyDescent="0.2">
      <c r="B28305"/>
      <c r="C28305"/>
      <c r="J28305"/>
      <c r="K28305"/>
      <c r="L28305"/>
    </row>
    <row r="28306" spans="2:12" x14ac:dyDescent="0.2">
      <c r="B28306"/>
      <c r="C28306"/>
      <c r="J28306"/>
      <c r="K28306"/>
      <c r="L28306"/>
    </row>
    <row r="28307" spans="2:12" x14ac:dyDescent="0.2">
      <c r="B28307"/>
      <c r="C28307"/>
      <c r="J28307"/>
      <c r="K28307"/>
      <c r="L28307"/>
    </row>
    <row r="28308" spans="2:12" x14ac:dyDescent="0.2">
      <c r="B28308"/>
      <c r="C28308"/>
      <c r="J28308"/>
      <c r="K28308"/>
      <c r="L28308"/>
    </row>
    <row r="28309" spans="2:12" x14ac:dyDescent="0.2">
      <c r="B28309"/>
      <c r="C28309"/>
      <c r="J28309"/>
      <c r="K28309"/>
      <c r="L28309"/>
    </row>
    <row r="28310" spans="2:12" x14ac:dyDescent="0.2">
      <c r="B28310"/>
      <c r="C28310"/>
      <c r="J28310"/>
      <c r="K28310"/>
      <c r="L28310"/>
    </row>
    <row r="28311" spans="2:12" x14ac:dyDescent="0.2">
      <c r="B28311"/>
      <c r="C28311"/>
      <c r="J28311"/>
      <c r="K28311"/>
      <c r="L28311"/>
    </row>
    <row r="28312" spans="2:12" x14ac:dyDescent="0.2">
      <c r="B28312"/>
      <c r="C28312"/>
      <c r="J28312"/>
      <c r="K28312"/>
      <c r="L28312"/>
    </row>
    <row r="28313" spans="2:12" x14ac:dyDescent="0.2">
      <c r="B28313"/>
      <c r="C28313"/>
      <c r="J28313"/>
      <c r="K28313"/>
      <c r="L28313"/>
    </row>
    <row r="28314" spans="2:12" x14ac:dyDescent="0.2">
      <c r="B28314"/>
      <c r="C28314"/>
      <c r="J28314"/>
      <c r="K28314"/>
      <c r="L28314"/>
    </row>
    <row r="28315" spans="2:12" x14ac:dyDescent="0.2">
      <c r="B28315"/>
      <c r="C28315"/>
      <c r="J28315"/>
      <c r="K28315"/>
      <c r="L28315"/>
    </row>
    <row r="28316" spans="2:12" x14ac:dyDescent="0.2">
      <c r="B28316"/>
      <c r="C28316"/>
      <c r="J28316"/>
      <c r="K28316"/>
      <c r="L28316"/>
    </row>
    <row r="28317" spans="2:12" x14ac:dyDescent="0.2">
      <c r="B28317"/>
      <c r="C28317"/>
      <c r="J28317"/>
      <c r="K28317"/>
      <c r="L28317"/>
    </row>
    <row r="28318" spans="2:12" x14ac:dyDescent="0.2">
      <c r="B28318"/>
      <c r="C28318"/>
      <c r="J28318"/>
      <c r="K28318"/>
      <c r="L28318"/>
    </row>
    <row r="28319" spans="2:12" x14ac:dyDescent="0.2">
      <c r="B28319"/>
      <c r="C28319"/>
      <c r="J28319"/>
      <c r="K28319"/>
      <c r="L28319"/>
    </row>
    <row r="28320" spans="2:12" x14ac:dyDescent="0.2">
      <c r="B28320"/>
      <c r="C28320"/>
      <c r="J28320"/>
      <c r="K28320"/>
      <c r="L28320"/>
    </row>
    <row r="28321" spans="2:12" x14ac:dyDescent="0.2">
      <c r="B28321"/>
      <c r="C28321"/>
      <c r="J28321"/>
      <c r="K28321"/>
      <c r="L28321"/>
    </row>
    <row r="28322" spans="2:12" x14ac:dyDescent="0.2">
      <c r="B28322"/>
      <c r="C28322"/>
      <c r="J28322"/>
      <c r="K28322"/>
      <c r="L28322"/>
    </row>
    <row r="28323" spans="2:12" x14ac:dyDescent="0.2">
      <c r="B28323"/>
      <c r="C28323"/>
      <c r="J28323"/>
      <c r="K28323"/>
      <c r="L28323"/>
    </row>
    <row r="28324" spans="2:12" x14ac:dyDescent="0.2">
      <c r="B28324"/>
      <c r="C28324"/>
      <c r="J28324"/>
      <c r="K28324"/>
      <c r="L28324"/>
    </row>
    <row r="28325" spans="2:12" x14ac:dyDescent="0.2">
      <c r="B28325"/>
      <c r="C28325"/>
      <c r="J28325"/>
      <c r="K28325"/>
      <c r="L28325"/>
    </row>
    <row r="28326" spans="2:12" x14ac:dyDescent="0.2">
      <c r="B28326"/>
      <c r="C28326"/>
      <c r="J28326"/>
      <c r="K28326"/>
      <c r="L28326"/>
    </row>
    <row r="28327" spans="2:12" x14ac:dyDescent="0.2">
      <c r="B28327"/>
      <c r="C28327"/>
      <c r="J28327"/>
      <c r="K28327"/>
      <c r="L28327"/>
    </row>
    <row r="28328" spans="2:12" x14ac:dyDescent="0.2">
      <c r="B28328"/>
      <c r="C28328"/>
      <c r="J28328"/>
      <c r="K28328"/>
      <c r="L28328"/>
    </row>
    <row r="28329" spans="2:12" x14ac:dyDescent="0.2">
      <c r="B28329"/>
      <c r="C28329"/>
      <c r="J28329"/>
      <c r="K28329"/>
      <c r="L28329"/>
    </row>
    <row r="28330" spans="2:12" x14ac:dyDescent="0.2">
      <c r="B28330"/>
      <c r="C28330"/>
      <c r="J28330"/>
      <c r="K28330"/>
      <c r="L28330"/>
    </row>
    <row r="28331" spans="2:12" x14ac:dyDescent="0.2">
      <c r="B28331"/>
      <c r="C28331"/>
      <c r="J28331"/>
      <c r="K28331"/>
      <c r="L28331"/>
    </row>
    <row r="28332" spans="2:12" x14ac:dyDescent="0.2">
      <c r="B28332"/>
      <c r="C28332"/>
      <c r="J28332"/>
      <c r="K28332"/>
      <c r="L28332"/>
    </row>
    <row r="28333" spans="2:12" x14ac:dyDescent="0.2">
      <c r="B28333"/>
      <c r="C28333"/>
      <c r="J28333"/>
      <c r="K28333"/>
      <c r="L28333"/>
    </row>
    <row r="28334" spans="2:12" x14ac:dyDescent="0.2">
      <c r="B28334"/>
      <c r="C28334"/>
      <c r="J28334"/>
      <c r="K28334"/>
      <c r="L28334"/>
    </row>
    <row r="28335" spans="2:12" x14ac:dyDescent="0.2">
      <c r="B28335"/>
      <c r="C28335"/>
      <c r="J28335"/>
      <c r="K28335"/>
      <c r="L28335"/>
    </row>
    <row r="28336" spans="2:12" x14ac:dyDescent="0.2">
      <c r="B28336"/>
      <c r="C28336"/>
      <c r="J28336"/>
      <c r="K28336"/>
      <c r="L28336"/>
    </row>
    <row r="28337" spans="2:12" x14ac:dyDescent="0.2">
      <c r="B28337"/>
      <c r="C28337"/>
      <c r="J28337"/>
      <c r="K28337"/>
      <c r="L28337"/>
    </row>
    <row r="28338" spans="2:12" x14ac:dyDescent="0.2">
      <c r="B28338"/>
      <c r="C28338"/>
      <c r="J28338"/>
      <c r="K28338"/>
      <c r="L28338"/>
    </row>
    <row r="28339" spans="2:12" x14ac:dyDescent="0.2">
      <c r="B28339"/>
      <c r="C28339"/>
      <c r="J28339"/>
      <c r="K28339"/>
      <c r="L28339"/>
    </row>
    <row r="28340" spans="2:12" x14ac:dyDescent="0.2">
      <c r="B28340"/>
      <c r="C28340"/>
      <c r="J28340"/>
      <c r="K28340"/>
      <c r="L28340"/>
    </row>
    <row r="28341" spans="2:12" x14ac:dyDescent="0.2">
      <c r="B28341"/>
      <c r="C28341"/>
      <c r="J28341"/>
      <c r="K28341"/>
      <c r="L28341"/>
    </row>
    <row r="28342" spans="2:12" x14ac:dyDescent="0.2">
      <c r="B28342"/>
      <c r="C28342"/>
      <c r="J28342"/>
      <c r="K28342"/>
      <c r="L28342"/>
    </row>
    <row r="28343" spans="2:12" x14ac:dyDescent="0.2">
      <c r="B28343"/>
      <c r="C28343"/>
      <c r="J28343"/>
      <c r="K28343"/>
      <c r="L28343"/>
    </row>
    <row r="28344" spans="2:12" x14ac:dyDescent="0.2">
      <c r="B28344"/>
      <c r="C28344"/>
      <c r="J28344"/>
      <c r="K28344"/>
      <c r="L28344"/>
    </row>
    <row r="28345" spans="2:12" x14ac:dyDescent="0.2">
      <c r="B28345"/>
      <c r="C28345"/>
      <c r="J28345"/>
      <c r="K28345"/>
      <c r="L28345"/>
    </row>
    <row r="28346" spans="2:12" x14ac:dyDescent="0.2">
      <c r="B28346"/>
      <c r="C28346"/>
      <c r="J28346"/>
      <c r="K28346"/>
      <c r="L28346"/>
    </row>
    <row r="28347" spans="2:12" x14ac:dyDescent="0.2">
      <c r="B28347"/>
      <c r="C28347"/>
      <c r="J28347"/>
      <c r="K28347"/>
      <c r="L28347"/>
    </row>
    <row r="28348" spans="2:12" x14ac:dyDescent="0.2">
      <c r="B28348"/>
      <c r="C28348"/>
      <c r="J28348"/>
      <c r="K28348"/>
      <c r="L28348"/>
    </row>
    <row r="28349" spans="2:12" x14ac:dyDescent="0.2">
      <c r="B28349"/>
      <c r="C28349"/>
      <c r="J28349"/>
      <c r="K28349"/>
      <c r="L28349"/>
    </row>
    <row r="28350" spans="2:12" x14ac:dyDescent="0.2">
      <c r="B28350"/>
      <c r="C28350"/>
      <c r="J28350"/>
      <c r="K28350"/>
      <c r="L28350"/>
    </row>
    <row r="28351" spans="2:12" x14ac:dyDescent="0.2">
      <c r="B28351"/>
      <c r="C28351"/>
      <c r="J28351"/>
      <c r="K28351"/>
      <c r="L28351"/>
    </row>
    <row r="28352" spans="2:12" x14ac:dyDescent="0.2">
      <c r="B28352"/>
      <c r="C28352"/>
      <c r="J28352"/>
      <c r="K28352"/>
      <c r="L28352"/>
    </row>
    <row r="28353" spans="2:12" x14ac:dyDescent="0.2">
      <c r="B28353"/>
      <c r="C28353"/>
      <c r="J28353"/>
      <c r="K28353"/>
      <c r="L28353"/>
    </row>
    <row r="28354" spans="2:12" x14ac:dyDescent="0.2">
      <c r="B28354"/>
      <c r="C28354"/>
      <c r="J28354"/>
      <c r="K28354"/>
      <c r="L28354"/>
    </row>
    <row r="28355" spans="2:12" x14ac:dyDescent="0.2">
      <c r="B28355"/>
      <c r="C28355"/>
      <c r="J28355"/>
      <c r="K28355"/>
      <c r="L28355"/>
    </row>
    <row r="28356" spans="2:12" x14ac:dyDescent="0.2">
      <c r="B28356"/>
      <c r="C28356"/>
      <c r="J28356"/>
      <c r="K28356"/>
      <c r="L28356"/>
    </row>
    <row r="28357" spans="2:12" x14ac:dyDescent="0.2">
      <c r="B28357"/>
      <c r="C28357"/>
      <c r="J28357"/>
      <c r="K28357"/>
      <c r="L28357"/>
    </row>
    <row r="28358" spans="2:12" x14ac:dyDescent="0.2">
      <c r="B28358"/>
      <c r="C28358"/>
      <c r="J28358"/>
      <c r="K28358"/>
      <c r="L28358"/>
    </row>
    <row r="28359" spans="2:12" x14ac:dyDescent="0.2">
      <c r="B28359"/>
      <c r="C28359"/>
      <c r="J28359"/>
      <c r="K28359"/>
      <c r="L28359"/>
    </row>
    <row r="28360" spans="2:12" x14ac:dyDescent="0.2">
      <c r="B28360"/>
      <c r="C28360"/>
      <c r="J28360"/>
      <c r="K28360"/>
      <c r="L28360"/>
    </row>
    <row r="28361" spans="2:12" x14ac:dyDescent="0.2">
      <c r="B28361"/>
      <c r="C28361"/>
      <c r="J28361"/>
      <c r="K28361"/>
      <c r="L28361"/>
    </row>
    <row r="28362" spans="2:12" x14ac:dyDescent="0.2">
      <c r="B28362"/>
      <c r="C28362"/>
      <c r="J28362"/>
      <c r="K28362"/>
      <c r="L28362"/>
    </row>
    <row r="28363" spans="2:12" x14ac:dyDescent="0.2">
      <c r="B28363"/>
      <c r="C28363"/>
      <c r="J28363"/>
      <c r="K28363"/>
      <c r="L28363"/>
    </row>
    <row r="28364" spans="2:12" x14ac:dyDescent="0.2">
      <c r="B28364"/>
      <c r="C28364"/>
      <c r="J28364"/>
      <c r="K28364"/>
      <c r="L28364"/>
    </row>
    <row r="28365" spans="2:12" x14ac:dyDescent="0.2">
      <c r="B28365"/>
      <c r="C28365"/>
      <c r="J28365"/>
      <c r="K28365"/>
      <c r="L28365"/>
    </row>
    <row r="28366" spans="2:12" x14ac:dyDescent="0.2">
      <c r="B28366"/>
      <c r="C28366"/>
      <c r="J28366"/>
      <c r="K28366"/>
      <c r="L28366"/>
    </row>
    <row r="28367" spans="2:12" x14ac:dyDescent="0.2">
      <c r="B28367"/>
      <c r="C28367"/>
      <c r="J28367"/>
      <c r="K28367"/>
      <c r="L28367"/>
    </row>
    <row r="28368" spans="2:12" x14ac:dyDescent="0.2">
      <c r="B28368"/>
      <c r="C28368"/>
      <c r="J28368"/>
      <c r="K28368"/>
      <c r="L28368"/>
    </row>
    <row r="28369" spans="2:12" x14ac:dyDescent="0.2">
      <c r="B28369"/>
      <c r="C28369"/>
      <c r="J28369"/>
      <c r="K28369"/>
      <c r="L28369"/>
    </row>
    <row r="28370" spans="2:12" x14ac:dyDescent="0.2">
      <c r="B28370"/>
      <c r="C28370"/>
      <c r="J28370"/>
      <c r="K28370"/>
      <c r="L28370"/>
    </row>
    <row r="28371" spans="2:12" x14ac:dyDescent="0.2">
      <c r="B28371"/>
      <c r="C28371"/>
      <c r="J28371"/>
      <c r="K28371"/>
      <c r="L28371"/>
    </row>
    <row r="28372" spans="2:12" x14ac:dyDescent="0.2">
      <c r="B28372"/>
      <c r="C28372"/>
      <c r="J28372"/>
      <c r="K28372"/>
      <c r="L28372"/>
    </row>
    <row r="28373" spans="2:12" x14ac:dyDescent="0.2">
      <c r="B28373"/>
      <c r="C28373"/>
      <c r="J28373"/>
      <c r="K28373"/>
      <c r="L28373"/>
    </row>
    <row r="28374" spans="2:12" x14ac:dyDescent="0.2">
      <c r="B28374"/>
      <c r="C28374"/>
      <c r="J28374"/>
      <c r="K28374"/>
      <c r="L28374"/>
    </row>
    <row r="28375" spans="2:12" x14ac:dyDescent="0.2">
      <c r="B28375"/>
      <c r="C28375"/>
      <c r="J28375"/>
      <c r="K28375"/>
      <c r="L28375"/>
    </row>
    <row r="28376" spans="2:12" x14ac:dyDescent="0.2">
      <c r="B28376"/>
      <c r="C28376"/>
      <c r="J28376"/>
      <c r="K28376"/>
      <c r="L28376"/>
    </row>
    <row r="28377" spans="2:12" x14ac:dyDescent="0.2">
      <c r="B28377"/>
      <c r="C28377"/>
      <c r="J28377"/>
      <c r="K28377"/>
      <c r="L28377"/>
    </row>
    <row r="28378" spans="2:12" x14ac:dyDescent="0.2">
      <c r="B28378"/>
      <c r="C28378"/>
      <c r="J28378"/>
      <c r="K28378"/>
      <c r="L28378"/>
    </row>
    <row r="28379" spans="2:12" x14ac:dyDescent="0.2">
      <c r="B28379"/>
      <c r="C28379"/>
      <c r="J28379"/>
      <c r="K28379"/>
      <c r="L28379"/>
    </row>
    <row r="28380" spans="2:12" x14ac:dyDescent="0.2">
      <c r="B28380"/>
      <c r="C28380"/>
      <c r="J28380"/>
      <c r="K28380"/>
      <c r="L28380"/>
    </row>
    <row r="28381" spans="2:12" x14ac:dyDescent="0.2">
      <c r="B28381"/>
      <c r="C28381"/>
      <c r="J28381"/>
      <c r="K28381"/>
      <c r="L28381"/>
    </row>
    <row r="28382" spans="2:12" x14ac:dyDescent="0.2">
      <c r="B28382"/>
      <c r="C28382"/>
      <c r="J28382"/>
      <c r="K28382"/>
      <c r="L28382"/>
    </row>
    <row r="28383" spans="2:12" x14ac:dyDescent="0.2">
      <c r="B28383"/>
      <c r="C28383"/>
      <c r="J28383"/>
      <c r="K28383"/>
      <c r="L28383"/>
    </row>
    <row r="28384" spans="2:12" x14ac:dyDescent="0.2">
      <c r="B28384"/>
      <c r="C28384"/>
      <c r="J28384"/>
      <c r="K28384"/>
      <c r="L28384"/>
    </row>
    <row r="28385" spans="2:12" x14ac:dyDescent="0.2">
      <c r="B28385"/>
      <c r="C28385"/>
      <c r="J28385"/>
      <c r="K28385"/>
      <c r="L28385"/>
    </row>
    <row r="28386" spans="2:12" x14ac:dyDescent="0.2">
      <c r="B28386"/>
      <c r="C28386"/>
      <c r="J28386"/>
      <c r="K28386"/>
      <c r="L28386"/>
    </row>
    <row r="28387" spans="2:12" x14ac:dyDescent="0.2">
      <c r="B28387"/>
      <c r="C28387"/>
      <c r="J28387"/>
      <c r="K28387"/>
      <c r="L28387"/>
    </row>
    <row r="28388" spans="2:12" x14ac:dyDescent="0.2">
      <c r="B28388"/>
      <c r="C28388"/>
      <c r="J28388"/>
      <c r="K28388"/>
      <c r="L28388"/>
    </row>
    <row r="28389" spans="2:12" x14ac:dyDescent="0.2">
      <c r="B28389"/>
      <c r="C28389"/>
      <c r="J28389"/>
      <c r="K28389"/>
      <c r="L28389"/>
    </row>
    <row r="28390" spans="2:12" x14ac:dyDescent="0.2">
      <c r="B28390"/>
      <c r="C28390"/>
      <c r="J28390"/>
      <c r="K28390"/>
      <c r="L28390"/>
    </row>
    <row r="28391" spans="2:12" x14ac:dyDescent="0.2">
      <c r="B28391"/>
      <c r="C28391"/>
      <c r="J28391"/>
      <c r="K28391"/>
      <c r="L28391"/>
    </row>
    <row r="28392" spans="2:12" x14ac:dyDescent="0.2">
      <c r="B28392"/>
      <c r="C28392"/>
      <c r="J28392"/>
      <c r="K28392"/>
      <c r="L28392"/>
    </row>
    <row r="28393" spans="2:12" x14ac:dyDescent="0.2">
      <c r="B28393"/>
      <c r="C28393"/>
      <c r="J28393"/>
      <c r="K28393"/>
      <c r="L28393"/>
    </row>
    <row r="28394" spans="2:12" x14ac:dyDescent="0.2">
      <c r="B28394"/>
      <c r="C28394"/>
      <c r="J28394"/>
      <c r="K28394"/>
      <c r="L28394"/>
    </row>
    <row r="28395" spans="2:12" x14ac:dyDescent="0.2">
      <c r="B28395"/>
      <c r="C28395"/>
      <c r="J28395"/>
      <c r="K28395"/>
      <c r="L28395"/>
    </row>
    <row r="28396" spans="2:12" x14ac:dyDescent="0.2">
      <c r="B28396"/>
      <c r="C28396"/>
      <c r="J28396"/>
      <c r="K28396"/>
      <c r="L28396"/>
    </row>
    <row r="28397" spans="2:12" x14ac:dyDescent="0.2">
      <c r="B28397"/>
      <c r="C28397"/>
      <c r="J28397"/>
      <c r="K28397"/>
      <c r="L28397"/>
    </row>
    <row r="28398" spans="2:12" x14ac:dyDescent="0.2">
      <c r="B28398"/>
      <c r="C28398"/>
      <c r="J28398"/>
      <c r="K28398"/>
      <c r="L28398"/>
    </row>
    <row r="28399" spans="2:12" x14ac:dyDescent="0.2">
      <c r="B28399"/>
      <c r="C28399"/>
      <c r="J28399"/>
      <c r="K28399"/>
      <c r="L28399"/>
    </row>
    <row r="28400" spans="2:12" x14ac:dyDescent="0.2">
      <c r="B28400"/>
      <c r="C28400"/>
      <c r="J28400"/>
      <c r="K28400"/>
      <c r="L28400"/>
    </row>
    <row r="28401" spans="2:12" x14ac:dyDescent="0.2">
      <c r="B28401"/>
      <c r="C28401"/>
      <c r="J28401"/>
      <c r="K28401"/>
      <c r="L28401"/>
    </row>
    <row r="28402" spans="2:12" x14ac:dyDescent="0.2">
      <c r="B28402"/>
      <c r="C28402"/>
      <c r="J28402"/>
      <c r="K28402"/>
      <c r="L28402"/>
    </row>
    <row r="28403" spans="2:12" x14ac:dyDescent="0.2">
      <c r="B28403"/>
      <c r="C28403"/>
      <c r="J28403"/>
      <c r="K28403"/>
      <c r="L28403"/>
    </row>
    <row r="28404" spans="2:12" x14ac:dyDescent="0.2">
      <c r="B28404"/>
      <c r="C28404"/>
      <c r="J28404"/>
      <c r="K28404"/>
      <c r="L28404"/>
    </row>
    <row r="28405" spans="2:12" x14ac:dyDescent="0.2">
      <c r="B28405"/>
      <c r="C28405"/>
      <c r="J28405"/>
      <c r="K28405"/>
      <c r="L28405"/>
    </row>
    <row r="28406" spans="2:12" x14ac:dyDescent="0.2">
      <c r="B28406"/>
      <c r="C28406"/>
      <c r="J28406"/>
      <c r="K28406"/>
      <c r="L28406"/>
    </row>
    <row r="28407" spans="2:12" x14ac:dyDescent="0.2">
      <c r="B28407"/>
      <c r="C28407"/>
      <c r="J28407"/>
      <c r="K28407"/>
      <c r="L28407"/>
    </row>
    <row r="28408" spans="2:12" x14ac:dyDescent="0.2">
      <c r="B28408"/>
      <c r="C28408"/>
      <c r="J28408"/>
      <c r="K28408"/>
      <c r="L28408"/>
    </row>
    <row r="28409" spans="2:12" x14ac:dyDescent="0.2">
      <c r="B28409"/>
      <c r="C28409"/>
      <c r="J28409"/>
      <c r="K28409"/>
      <c r="L28409"/>
    </row>
    <row r="28410" spans="2:12" x14ac:dyDescent="0.2">
      <c r="B28410"/>
      <c r="C28410"/>
      <c r="J28410"/>
      <c r="K28410"/>
      <c r="L28410"/>
    </row>
    <row r="28411" spans="2:12" x14ac:dyDescent="0.2">
      <c r="B28411"/>
      <c r="C28411"/>
      <c r="J28411"/>
      <c r="K28411"/>
      <c r="L28411"/>
    </row>
    <row r="28412" spans="2:12" x14ac:dyDescent="0.2">
      <c r="B28412"/>
      <c r="C28412"/>
      <c r="J28412"/>
      <c r="K28412"/>
      <c r="L28412"/>
    </row>
    <row r="28413" spans="2:12" x14ac:dyDescent="0.2">
      <c r="B28413"/>
      <c r="C28413"/>
      <c r="J28413"/>
      <c r="K28413"/>
      <c r="L28413"/>
    </row>
    <row r="28414" spans="2:12" x14ac:dyDescent="0.2">
      <c r="B28414"/>
      <c r="C28414"/>
      <c r="J28414"/>
      <c r="K28414"/>
      <c r="L28414"/>
    </row>
    <row r="28415" spans="2:12" x14ac:dyDescent="0.2">
      <c r="B28415"/>
      <c r="C28415"/>
      <c r="J28415"/>
      <c r="K28415"/>
      <c r="L28415"/>
    </row>
    <row r="28416" spans="2:12" x14ac:dyDescent="0.2">
      <c r="B28416"/>
      <c r="C28416"/>
      <c r="J28416"/>
      <c r="K28416"/>
      <c r="L28416"/>
    </row>
    <row r="28417" spans="2:12" x14ac:dyDescent="0.2">
      <c r="B28417"/>
      <c r="C28417"/>
      <c r="J28417"/>
      <c r="K28417"/>
      <c r="L28417"/>
    </row>
    <row r="28418" spans="2:12" x14ac:dyDescent="0.2">
      <c r="B28418"/>
      <c r="C28418"/>
      <c r="J28418"/>
      <c r="K28418"/>
      <c r="L28418"/>
    </row>
    <row r="28419" spans="2:12" x14ac:dyDescent="0.2">
      <c r="B28419"/>
      <c r="C28419"/>
      <c r="J28419"/>
      <c r="K28419"/>
      <c r="L28419"/>
    </row>
    <row r="28420" spans="2:12" x14ac:dyDescent="0.2">
      <c r="B28420"/>
      <c r="C28420"/>
      <c r="J28420"/>
      <c r="K28420"/>
      <c r="L28420"/>
    </row>
    <row r="28421" spans="2:12" x14ac:dyDescent="0.2">
      <c r="B28421"/>
      <c r="C28421"/>
      <c r="J28421"/>
      <c r="K28421"/>
      <c r="L28421"/>
    </row>
    <row r="28422" spans="2:12" x14ac:dyDescent="0.2">
      <c r="B28422"/>
      <c r="C28422"/>
      <c r="J28422"/>
      <c r="K28422"/>
      <c r="L28422"/>
    </row>
    <row r="28423" spans="2:12" x14ac:dyDescent="0.2">
      <c r="B28423"/>
      <c r="C28423"/>
      <c r="J28423"/>
      <c r="K28423"/>
      <c r="L28423"/>
    </row>
    <row r="28424" spans="2:12" x14ac:dyDescent="0.2">
      <c r="B28424"/>
      <c r="C28424"/>
      <c r="J28424"/>
      <c r="K28424"/>
      <c r="L28424"/>
    </row>
    <row r="28425" spans="2:12" x14ac:dyDescent="0.2">
      <c r="B28425"/>
      <c r="C28425"/>
      <c r="J28425"/>
      <c r="K28425"/>
      <c r="L28425"/>
    </row>
    <row r="28426" spans="2:12" x14ac:dyDescent="0.2">
      <c r="B28426"/>
      <c r="C28426"/>
      <c r="J28426"/>
      <c r="K28426"/>
      <c r="L28426"/>
    </row>
    <row r="28427" spans="2:12" x14ac:dyDescent="0.2">
      <c r="B28427"/>
      <c r="C28427"/>
      <c r="J28427"/>
      <c r="K28427"/>
      <c r="L28427"/>
    </row>
    <row r="28428" spans="2:12" x14ac:dyDescent="0.2">
      <c r="B28428"/>
      <c r="C28428"/>
      <c r="J28428"/>
      <c r="K28428"/>
      <c r="L28428"/>
    </row>
    <row r="28429" spans="2:12" x14ac:dyDescent="0.2">
      <c r="B28429"/>
      <c r="C28429"/>
      <c r="J28429"/>
      <c r="K28429"/>
      <c r="L28429"/>
    </row>
    <row r="28430" spans="2:12" x14ac:dyDescent="0.2">
      <c r="B28430"/>
      <c r="C28430"/>
      <c r="J28430"/>
      <c r="K28430"/>
      <c r="L28430"/>
    </row>
    <row r="28431" spans="2:12" x14ac:dyDescent="0.2">
      <c r="B28431"/>
      <c r="C28431"/>
      <c r="J28431"/>
      <c r="K28431"/>
      <c r="L28431"/>
    </row>
    <row r="28432" spans="2:12" x14ac:dyDescent="0.2">
      <c r="B28432"/>
      <c r="C28432"/>
      <c r="J28432"/>
      <c r="K28432"/>
      <c r="L28432"/>
    </row>
    <row r="28433" spans="2:12" x14ac:dyDescent="0.2">
      <c r="B28433"/>
      <c r="C28433"/>
      <c r="J28433"/>
      <c r="K28433"/>
      <c r="L28433"/>
    </row>
    <row r="28434" spans="2:12" x14ac:dyDescent="0.2">
      <c r="B28434"/>
      <c r="C28434"/>
      <c r="J28434"/>
      <c r="K28434"/>
      <c r="L28434"/>
    </row>
    <row r="28435" spans="2:12" x14ac:dyDescent="0.2">
      <c r="B28435"/>
      <c r="C28435"/>
      <c r="J28435"/>
      <c r="K28435"/>
      <c r="L28435"/>
    </row>
    <row r="28436" spans="2:12" x14ac:dyDescent="0.2">
      <c r="B28436"/>
      <c r="C28436"/>
      <c r="J28436"/>
      <c r="K28436"/>
      <c r="L28436"/>
    </row>
    <row r="28437" spans="2:12" x14ac:dyDescent="0.2">
      <c r="B28437"/>
      <c r="C28437"/>
      <c r="J28437"/>
      <c r="K28437"/>
      <c r="L28437"/>
    </row>
    <row r="28438" spans="2:12" x14ac:dyDescent="0.2">
      <c r="B28438"/>
      <c r="C28438"/>
      <c r="J28438"/>
      <c r="K28438"/>
      <c r="L28438"/>
    </row>
    <row r="28439" spans="2:12" x14ac:dyDescent="0.2">
      <c r="B28439"/>
      <c r="C28439"/>
      <c r="J28439"/>
      <c r="K28439"/>
      <c r="L28439"/>
    </row>
    <row r="28440" spans="2:12" x14ac:dyDescent="0.2">
      <c r="B28440"/>
      <c r="C28440"/>
      <c r="J28440"/>
      <c r="K28440"/>
      <c r="L28440"/>
    </row>
    <row r="28441" spans="2:12" x14ac:dyDescent="0.2">
      <c r="B28441"/>
      <c r="C28441"/>
      <c r="J28441"/>
      <c r="K28441"/>
      <c r="L28441"/>
    </row>
    <row r="28442" spans="2:12" x14ac:dyDescent="0.2">
      <c r="B28442"/>
      <c r="C28442"/>
      <c r="J28442"/>
      <c r="K28442"/>
      <c r="L28442"/>
    </row>
    <row r="28443" spans="2:12" x14ac:dyDescent="0.2">
      <c r="B28443"/>
      <c r="C28443"/>
      <c r="J28443"/>
      <c r="K28443"/>
      <c r="L28443"/>
    </row>
    <row r="28444" spans="2:12" x14ac:dyDescent="0.2">
      <c r="B28444"/>
      <c r="C28444"/>
      <c r="J28444"/>
      <c r="K28444"/>
      <c r="L28444"/>
    </row>
    <row r="28445" spans="2:12" x14ac:dyDescent="0.2">
      <c r="B28445"/>
      <c r="C28445"/>
      <c r="J28445"/>
      <c r="K28445"/>
      <c r="L28445"/>
    </row>
    <row r="28446" spans="2:12" x14ac:dyDescent="0.2">
      <c r="B28446"/>
      <c r="C28446"/>
      <c r="J28446"/>
      <c r="K28446"/>
      <c r="L28446"/>
    </row>
    <row r="28447" spans="2:12" x14ac:dyDescent="0.2">
      <c r="B28447"/>
      <c r="C28447"/>
      <c r="J28447"/>
      <c r="K28447"/>
      <c r="L28447"/>
    </row>
    <row r="28448" spans="2:12" x14ac:dyDescent="0.2">
      <c r="B28448"/>
      <c r="C28448"/>
      <c r="J28448"/>
      <c r="K28448"/>
      <c r="L28448"/>
    </row>
    <row r="28449" spans="2:12" x14ac:dyDescent="0.2">
      <c r="B28449"/>
      <c r="C28449"/>
      <c r="J28449"/>
      <c r="K28449"/>
      <c r="L28449"/>
    </row>
    <row r="28450" spans="2:12" x14ac:dyDescent="0.2">
      <c r="B28450"/>
      <c r="C28450"/>
      <c r="J28450"/>
      <c r="K28450"/>
      <c r="L28450"/>
    </row>
    <row r="28451" spans="2:12" x14ac:dyDescent="0.2">
      <c r="B28451"/>
      <c r="C28451"/>
      <c r="J28451"/>
      <c r="K28451"/>
      <c r="L28451"/>
    </row>
    <row r="28452" spans="2:12" x14ac:dyDescent="0.2">
      <c r="B28452"/>
      <c r="C28452"/>
      <c r="J28452"/>
      <c r="K28452"/>
      <c r="L28452"/>
    </row>
    <row r="28453" spans="2:12" x14ac:dyDescent="0.2">
      <c r="B28453"/>
      <c r="C28453"/>
      <c r="J28453"/>
      <c r="K28453"/>
      <c r="L28453"/>
    </row>
    <row r="28454" spans="2:12" x14ac:dyDescent="0.2">
      <c r="B28454"/>
      <c r="C28454"/>
      <c r="J28454"/>
      <c r="K28454"/>
      <c r="L28454"/>
    </row>
    <row r="28455" spans="2:12" x14ac:dyDescent="0.2">
      <c r="B28455"/>
      <c r="C28455"/>
      <c r="J28455"/>
      <c r="K28455"/>
      <c r="L28455"/>
    </row>
    <row r="28456" spans="2:12" x14ac:dyDescent="0.2">
      <c r="B28456"/>
      <c r="C28456"/>
      <c r="J28456"/>
      <c r="K28456"/>
      <c r="L28456"/>
    </row>
    <row r="28457" spans="2:12" x14ac:dyDescent="0.2">
      <c r="B28457"/>
      <c r="C28457"/>
      <c r="J28457"/>
      <c r="K28457"/>
      <c r="L28457"/>
    </row>
    <row r="28458" spans="2:12" x14ac:dyDescent="0.2">
      <c r="B28458"/>
      <c r="C28458"/>
      <c r="J28458"/>
      <c r="K28458"/>
      <c r="L28458"/>
    </row>
    <row r="28459" spans="2:12" x14ac:dyDescent="0.2">
      <c r="B28459"/>
      <c r="C28459"/>
      <c r="J28459"/>
      <c r="K28459"/>
      <c r="L28459"/>
    </row>
    <row r="28460" spans="2:12" x14ac:dyDescent="0.2">
      <c r="B28460"/>
      <c r="C28460"/>
      <c r="J28460"/>
      <c r="K28460"/>
      <c r="L28460"/>
    </row>
    <row r="28461" spans="2:12" x14ac:dyDescent="0.2">
      <c r="B28461"/>
      <c r="C28461"/>
      <c r="J28461"/>
      <c r="K28461"/>
      <c r="L28461"/>
    </row>
    <row r="28462" spans="2:12" x14ac:dyDescent="0.2">
      <c r="B28462"/>
      <c r="C28462"/>
      <c r="J28462"/>
      <c r="K28462"/>
      <c r="L28462"/>
    </row>
    <row r="28463" spans="2:12" x14ac:dyDescent="0.2">
      <c r="B28463"/>
      <c r="C28463"/>
      <c r="J28463"/>
      <c r="K28463"/>
      <c r="L28463"/>
    </row>
    <row r="28464" spans="2:12" x14ac:dyDescent="0.2">
      <c r="B28464"/>
      <c r="C28464"/>
      <c r="J28464"/>
      <c r="K28464"/>
      <c r="L28464"/>
    </row>
    <row r="28465" spans="2:12" x14ac:dyDescent="0.2">
      <c r="B28465"/>
      <c r="C28465"/>
      <c r="J28465"/>
      <c r="K28465"/>
      <c r="L28465"/>
    </row>
    <row r="28466" spans="2:12" x14ac:dyDescent="0.2">
      <c r="B28466"/>
      <c r="C28466"/>
      <c r="J28466"/>
      <c r="K28466"/>
      <c r="L28466"/>
    </row>
    <row r="28467" spans="2:12" x14ac:dyDescent="0.2">
      <c r="B28467"/>
      <c r="C28467"/>
      <c r="J28467"/>
      <c r="K28467"/>
      <c r="L28467"/>
    </row>
    <row r="28468" spans="2:12" x14ac:dyDescent="0.2">
      <c r="B28468"/>
      <c r="C28468"/>
      <c r="J28468"/>
      <c r="K28468"/>
      <c r="L28468"/>
    </row>
    <row r="28469" spans="2:12" x14ac:dyDescent="0.2">
      <c r="B28469"/>
      <c r="C28469"/>
      <c r="J28469"/>
      <c r="K28469"/>
      <c r="L28469"/>
    </row>
    <row r="28470" spans="2:12" x14ac:dyDescent="0.2">
      <c r="B28470"/>
      <c r="C28470"/>
      <c r="J28470"/>
      <c r="K28470"/>
      <c r="L28470"/>
    </row>
    <row r="28471" spans="2:12" x14ac:dyDescent="0.2">
      <c r="B28471"/>
      <c r="C28471"/>
      <c r="J28471"/>
      <c r="K28471"/>
      <c r="L28471"/>
    </row>
    <row r="28472" spans="2:12" x14ac:dyDescent="0.2">
      <c r="B28472"/>
      <c r="C28472"/>
      <c r="J28472"/>
      <c r="K28472"/>
      <c r="L28472"/>
    </row>
    <row r="28473" spans="2:12" x14ac:dyDescent="0.2">
      <c r="B28473"/>
      <c r="C28473"/>
      <c r="J28473"/>
      <c r="K28473"/>
      <c r="L28473"/>
    </row>
    <row r="28474" spans="2:12" x14ac:dyDescent="0.2">
      <c r="B28474"/>
      <c r="C28474"/>
      <c r="J28474"/>
      <c r="K28474"/>
      <c r="L28474"/>
    </row>
    <row r="28475" spans="2:12" x14ac:dyDescent="0.2">
      <c r="B28475"/>
      <c r="C28475"/>
      <c r="J28475"/>
      <c r="K28475"/>
      <c r="L28475"/>
    </row>
    <row r="28476" spans="2:12" x14ac:dyDescent="0.2">
      <c r="B28476"/>
      <c r="C28476"/>
      <c r="J28476"/>
      <c r="K28476"/>
      <c r="L28476"/>
    </row>
    <row r="28477" spans="2:12" x14ac:dyDescent="0.2">
      <c r="B28477"/>
      <c r="C28477"/>
      <c r="J28477"/>
      <c r="K28477"/>
      <c r="L28477"/>
    </row>
    <row r="28478" spans="2:12" x14ac:dyDescent="0.2">
      <c r="B28478"/>
      <c r="C28478"/>
      <c r="J28478"/>
      <c r="K28478"/>
      <c r="L28478"/>
    </row>
    <row r="28479" spans="2:12" x14ac:dyDescent="0.2">
      <c r="B28479"/>
      <c r="C28479"/>
      <c r="J28479"/>
      <c r="K28479"/>
      <c r="L28479"/>
    </row>
    <row r="28480" spans="2:12" x14ac:dyDescent="0.2">
      <c r="B28480"/>
      <c r="C28480"/>
      <c r="J28480"/>
      <c r="K28480"/>
      <c r="L28480"/>
    </row>
    <row r="28481" spans="2:12" x14ac:dyDescent="0.2">
      <c r="B28481"/>
      <c r="C28481"/>
      <c r="J28481"/>
      <c r="K28481"/>
      <c r="L28481"/>
    </row>
    <row r="28482" spans="2:12" x14ac:dyDescent="0.2">
      <c r="B28482"/>
      <c r="C28482"/>
      <c r="J28482"/>
      <c r="K28482"/>
      <c r="L28482"/>
    </row>
    <row r="28483" spans="2:12" x14ac:dyDescent="0.2">
      <c r="B28483"/>
      <c r="C28483"/>
      <c r="J28483"/>
      <c r="K28483"/>
      <c r="L28483"/>
    </row>
    <row r="28484" spans="2:12" x14ac:dyDescent="0.2">
      <c r="B28484"/>
      <c r="C28484"/>
      <c r="J28484"/>
      <c r="K28484"/>
      <c r="L28484"/>
    </row>
    <row r="28485" spans="2:12" x14ac:dyDescent="0.2">
      <c r="B28485"/>
      <c r="C28485"/>
      <c r="J28485"/>
      <c r="K28485"/>
      <c r="L28485"/>
    </row>
    <row r="28486" spans="2:12" x14ac:dyDescent="0.2">
      <c r="B28486"/>
      <c r="C28486"/>
      <c r="J28486"/>
      <c r="K28486"/>
      <c r="L28486"/>
    </row>
    <row r="28487" spans="2:12" x14ac:dyDescent="0.2">
      <c r="B28487"/>
      <c r="C28487"/>
      <c r="J28487"/>
      <c r="K28487"/>
      <c r="L28487"/>
    </row>
    <row r="28488" spans="2:12" x14ac:dyDescent="0.2">
      <c r="B28488"/>
      <c r="C28488"/>
      <c r="J28488"/>
      <c r="K28488"/>
      <c r="L28488"/>
    </row>
    <row r="28489" spans="2:12" x14ac:dyDescent="0.2">
      <c r="B28489"/>
      <c r="C28489"/>
      <c r="J28489"/>
      <c r="K28489"/>
      <c r="L28489"/>
    </row>
    <row r="28490" spans="2:12" x14ac:dyDescent="0.2">
      <c r="B28490"/>
      <c r="C28490"/>
      <c r="J28490"/>
      <c r="K28490"/>
      <c r="L28490"/>
    </row>
    <row r="28491" spans="2:12" x14ac:dyDescent="0.2">
      <c r="B28491"/>
      <c r="C28491"/>
      <c r="J28491"/>
      <c r="K28491"/>
      <c r="L28491"/>
    </row>
    <row r="28492" spans="2:12" x14ac:dyDescent="0.2">
      <c r="B28492"/>
      <c r="C28492"/>
      <c r="J28492"/>
      <c r="K28492"/>
      <c r="L28492"/>
    </row>
    <row r="28493" spans="2:12" x14ac:dyDescent="0.2">
      <c r="B28493"/>
      <c r="C28493"/>
      <c r="J28493"/>
      <c r="K28493"/>
      <c r="L28493"/>
    </row>
    <row r="28494" spans="2:12" x14ac:dyDescent="0.2">
      <c r="B28494"/>
      <c r="C28494"/>
      <c r="J28494"/>
      <c r="K28494"/>
      <c r="L28494"/>
    </row>
    <row r="28495" spans="2:12" x14ac:dyDescent="0.2">
      <c r="B28495"/>
      <c r="C28495"/>
      <c r="J28495"/>
      <c r="K28495"/>
      <c r="L28495"/>
    </row>
    <row r="28496" spans="2:12" x14ac:dyDescent="0.2">
      <c r="B28496"/>
      <c r="C28496"/>
      <c r="J28496"/>
      <c r="K28496"/>
      <c r="L28496"/>
    </row>
    <row r="28497" spans="2:12" x14ac:dyDescent="0.2">
      <c r="B28497"/>
      <c r="C28497"/>
      <c r="J28497"/>
      <c r="K28497"/>
      <c r="L28497"/>
    </row>
    <row r="28498" spans="2:12" x14ac:dyDescent="0.2">
      <c r="B28498"/>
      <c r="C28498"/>
      <c r="J28498"/>
      <c r="K28498"/>
      <c r="L28498"/>
    </row>
    <row r="28499" spans="2:12" x14ac:dyDescent="0.2">
      <c r="B28499"/>
      <c r="C28499"/>
      <c r="J28499"/>
      <c r="K28499"/>
      <c r="L28499"/>
    </row>
    <row r="28500" spans="2:12" x14ac:dyDescent="0.2">
      <c r="B28500"/>
      <c r="C28500"/>
      <c r="J28500"/>
      <c r="K28500"/>
      <c r="L28500"/>
    </row>
    <row r="28501" spans="2:12" x14ac:dyDescent="0.2">
      <c r="B28501"/>
      <c r="C28501"/>
      <c r="J28501"/>
      <c r="K28501"/>
      <c r="L28501"/>
    </row>
    <row r="28502" spans="2:12" x14ac:dyDescent="0.2">
      <c r="B28502"/>
      <c r="C28502"/>
      <c r="J28502"/>
      <c r="K28502"/>
      <c r="L28502"/>
    </row>
    <row r="28503" spans="2:12" x14ac:dyDescent="0.2">
      <c r="B28503"/>
      <c r="C28503"/>
      <c r="J28503"/>
      <c r="K28503"/>
      <c r="L28503"/>
    </row>
    <row r="28504" spans="2:12" x14ac:dyDescent="0.2">
      <c r="B28504"/>
      <c r="C28504"/>
      <c r="J28504"/>
      <c r="K28504"/>
      <c r="L28504"/>
    </row>
    <row r="28505" spans="2:12" x14ac:dyDescent="0.2">
      <c r="B28505"/>
      <c r="C28505"/>
      <c r="J28505"/>
      <c r="K28505"/>
      <c r="L28505"/>
    </row>
    <row r="28506" spans="2:12" x14ac:dyDescent="0.2">
      <c r="B28506"/>
      <c r="C28506"/>
      <c r="J28506"/>
      <c r="K28506"/>
      <c r="L28506"/>
    </row>
    <row r="28507" spans="2:12" x14ac:dyDescent="0.2">
      <c r="B28507"/>
      <c r="C28507"/>
      <c r="J28507"/>
      <c r="K28507"/>
      <c r="L28507"/>
    </row>
    <row r="28508" spans="2:12" x14ac:dyDescent="0.2">
      <c r="B28508"/>
      <c r="C28508"/>
      <c r="J28508"/>
      <c r="K28508"/>
      <c r="L28508"/>
    </row>
    <row r="28509" spans="2:12" x14ac:dyDescent="0.2">
      <c r="B28509"/>
      <c r="C28509"/>
      <c r="J28509"/>
      <c r="K28509"/>
      <c r="L28509"/>
    </row>
    <row r="28510" spans="2:12" x14ac:dyDescent="0.2">
      <c r="B28510"/>
      <c r="C28510"/>
      <c r="J28510"/>
      <c r="K28510"/>
      <c r="L28510"/>
    </row>
    <row r="28511" spans="2:12" x14ac:dyDescent="0.2">
      <c r="B28511"/>
      <c r="C28511"/>
      <c r="J28511"/>
      <c r="K28511"/>
      <c r="L28511"/>
    </row>
    <row r="28512" spans="2:12" x14ac:dyDescent="0.2">
      <c r="B28512"/>
      <c r="C28512"/>
      <c r="J28512"/>
      <c r="K28512"/>
      <c r="L28512"/>
    </row>
    <row r="28513" spans="2:12" x14ac:dyDescent="0.2">
      <c r="B28513"/>
      <c r="C28513"/>
      <c r="J28513"/>
      <c r="K28513"/>
      <c r="L28513"/>
    </row>
    <row r="28514" spans="2:12" x14ac:dyDescent="0.2">
      <c r="B28514"/>
      <c r="C28514"/>
      <c r="J28514"/>
      <c r="K28514"/>
      <c r="L28514"/>
    </row>
    <row r="28515" spans="2:12" x14ac:dyDescent="0.2">
      <c r="B28515"/>
      <c r="C28515"/>
      <c r="J28515"/>
      <c r="K28515"/>
      <c r="L28515"/>
    </row>
    <row r="28516" spans="2:12" x14ac:dyDescent="0.2">
      <c r="B28516"/>
      <c r="C28516"/>
      <c r="J28516"/>
      <c r="K28516"/>
      <c r="L28516"/>
    </row>
    <row r="28517" spans="2:12" x14ac:dyDescent="0.2">
      <c r="B28517"/>
      <c r="C28517"/>
      <c r="J28517"/>
      <c r="K28517"/>
      <c r="L28517"/>
    </row>
    <row r="28518" spans="2:12" x14ac:dyDescent="0.2">
      <c r="B28518"/>
      <c r="C28518"/>
      <c r="J28518"/>
      <c r="K28518"/>
      <c r="L28518"/>
    </row>
    <row r="28519" spans="2:12" x14ac:dyDescent="0.2">
      <c r="B28519"/>
      <c r="C28519"/>
      <c r="J28519"/>
      <c r="K28519"/>
      <c r="L28519"/>
    </row>
    <row r="28520" spans="2:12" x14ac:dyDescent="0.2">
      <c r="B28520"/>
      <c r="C28520"/>
      <c r="J28520"/>
      <c r="K28520"/>
      <c r="L28520"/>
    </row>
    <row r="28521" spans="2:12" x14ac:dyDescent="0.2">
      <c r="B28521"/>
      <c r="C28521"/>
      <c r="J28521"/>
      <c r="K28521"/>
      <c r="L28521"/>
    </row>
    <row r="28522" spans="2:12" x14ac:dyDescent="0.2">
      <c r="B28522"/>
      <c r="C28522"/>
      <c r="J28522"/>
      <c r="K28522"/>
      <c r="L28522"/>
    </row>
    <row r="28523" spans="2:12" x14ac:dyDescent="0.2">
      <c r="B28523"/>
      <c r="C28523"/>
      <c r="J28523"/>
      <c r="K28523"/>
      <c r="L28523"/>
    </row>
    <row r="28524" spans="2:12" x14ac:dyDescent="0.2">
      <c r="B28524"/>
      <c r="C28524"/>
      <c r="J28524"/>
      <c r="K28524"/>
      <c r="L28524"/>
    </row>
    <row r="28525" spans="2:12" x14ac:dyDescent="0.2">
      <c r="B28525"/>
      <c r="C28525"/>
      <c r="J28525"/>
      <c r="K28525"/>
      <c r="L28525"/>
    </row>
    <row r="28526" spans="2:12" x14ac:dyDescent="0.2">
      <c r="B28526"/>
      <c r="C28526"/>
      <c r="J28526"/>
      <c r="K28526"/>
      <c r="L28526"/>
    </row>
    <row r="28527" spans="2:12" x14ac:dyDescent="0.2">
      <c r="B28527"/>
      <c r="C28527"/>
      <c r="J28527"/>
      <c r="K28527"/>
      <c r="L28527"/>
    </row>
    <row r="28528" spans="2:12" x14ac:dyDescent="0.2">
      <c r="B28528"/>
      <c r="C28528"/>
      <c r="J28528"/>
      <c r="K28528"/>
      <c r="L28528"/>
    </row>
    <row r="28529" spans="2:12" x14ac:dyDescent="0.2">
      <c r="B28529"/>
      <c r="C28529"/>
      <c r="J28529"/>
      <c r="K28529"/>
      <c r="L28529"/>
    </row>
    <row r="28530" spans="2:12" x14ac:dyDescent="0.2">
      <c r="B28530"/>
      <c r="C28530"/>
      <c r="J28530"/>
      <c r="K28530"/>
      <c r="L28530"/>
    </row>
    <row r="28531" spans="2:12" x14ac:dyDescent="0.2">
      <c r="B28531"/>
      <c r="C28531"/>
      <c r="J28531"/>
      <c r="K28531"/>
      <c r="L28531"/>
    </row>
    <row r="28532" spans="2:12" x14ac:dyDescent="0.2">
      <c r="B28532"/>
      <c r="C28532"/>
      <c r="J28532"/>
      <c r="K28532"/>
      <c r="L28532"/>
    </row>
    <row r="28533" spans="2:12" x14ac:dyDescent="0.2">
      <c r="B28533"/>
      <c r="C28533"/>
      <c r="J28533"/>
      <c r="K28533"/>
      <c r="L28533"/>
    </row>
    <row r="28534" spans="2:12" x14ac:dyDescent="0.2">
      <c r="B28534"/>
      <c r="C28534"/>
      <c r="J28534"/>
      <c r="K28534"/>
      <c r="L28534"/>
    </row>
    <row r="28535" spans="2:12" x14ac:dyDescent="0.2">
      <c r="B28535"/>
      <c r="C28535"/>
      <c r="J28535"/>
      <c r="K28535"/>
      <c r="L28535"/>
    </row>
    <row r="28536" spans="2:12" x14ac:dyDescent="0.2">
      <c r="B28536"/>
      <c r="C28536"/>
      <c r="J28536"/>
      <c r="K28536"/>
      <c r="L28536"/>
    </row>
    <row r="28537" spans="2:12" x14ac:dyDescent="0.2">
      <c r="B28537"/>
      <c r="C28537"/>
      <c r="J28537"/>
      <c r="K28537"/>
      <c r="L28537"/>
    </row>
    <row r="28538" spans="2:12" x14ac:dyDescent="0.2">
      <c r="B28538"/>
      <c r="C28538"/>
      <c r="J28538"/>
      <c r="K28538"/>
      <c r="L28538"/>
    </row>
    <row r="28539" spans="2:12" x14ac:dyDescent="0.2">
      <c r="B28539"/>
      <c r="C28539"/>
      <c r="J28539"/>
      <c r="K28539"/>
      <c r="L28539"/>
    </row>
    <row r="28540" spans="2:12" x14ac:dyDescent="0.2">
      <c r="B28540"/>
      <c r="C28540"/>
      <c r="J28540"/>
      <c r="K28540"/>
      <c r="L28540"/>
    </row>
    <row r="28541" spans="2:12" x14ac:dyDescent="0.2">
      <c r="B28541"/>
      <c r="C28541"/>
      <c r="J28541"/>
      <c r="K28541"/>
      <c r="L28541"/>
    </row>
    <row r="28542" spans="2:12" x14ac:dyDescent="0.2">
      <c r="B28542"/>
      <c r="C28542"/>
      <c r="J28542"/>
      <c r="K28542"/>
      <c r="L28542"/>
    </row>
    <row r="28543" spans="2:12" x14ac:dyDescent="0.2">
      <c r="B28543"/>
      <c r="C28543"/>
      <c r="J28543"/>
      <c r="K28543"/>
      <c r="L28543"/>
    </row>
    <row r="28544" spans="2:12" x14ac:dyDescent="0.2">
      <c r="B28544"/>
      <c r="C28544"/>
      <c r="J28544"/>
      <c r="K28544"/>
      <c r="L28544"/>
    </row>
    <row r="28545" spans="2:12" x14ac:dyDescent="0.2">
      <c r="B28545"/>
      <c r="C28545"/>
      <c r="J28545"/>
      <c r="K28545"/>
      <c r="L28545"/>
    </row>
    <row r="28546" spans="2:12" x14ac:dyDescent="0.2">
      <c r="B28546"/>
      <c r="C28546"/>
      <c r="J28546"/>
      <c r="K28546"/>
      <c r="L28546"/>
    </row>
    <row r="28547" spans="2:12" x14ac:dyDescent="0.2">
      <c r="B28547"/>
      <c r="C28547"/>
      <c r="J28547"/>
      <c r="K28547"/>
      <c r="L28547"/>
    </row>
    <row r="28548" spans="2:12" x14ac:dyDescent="0.2">
      <c r="B28548"/>
      <c r="C28548"/>
      <c r="J28548"/>
      <c r="K28548"/>
      <c r="L28548"/>
    </row>
    <row r="28549" spans="2:12" x14ac:dyDescent="0.2">
      <c r="B28549"/>
      <c r="C28549"/>
      <c r="J28549"/>
      <c r="K28549"/>
      <c r="L28549"/>
    </row>
    <row r="28550" spans="2:12" x14ac:dyDescent="0.2">
      <c r="B28550"/>
      <c r="C28550"/>
      <c r="J28550"/>
      <c r="K28550"/>
      <c r="L28550"/>
    </row>
    <row r="28551" spans="2:12" x14ac:dyDescent="0.2">
      <c r="B28551"/>
      <c r="C28551"/>
      <c r="J28551"/>
      <c r="K28551"/>
      <c r="L28551"/>
    </row>
    <row r="28552" spans="2:12" x14ac:dyDescent="0.2">
      <c r="B28552"/>
      <c r="C28552"/>
      <c r="J28552"/>
      <c r="K28552"/>
      <c r="L28552"/>
    </row>
    <row r="28553" spans="2:12" x14ac:dyDescent="0.2">
      <c r="B28553"/>
      <c r="C28553"/>
      <c r="J28553"/>
      <c r="K28553"/>
      <c r="L28553"/>
    </row>
    <row r="28554" spans="2:12" x14ac:dyDescent="0.2">
      <c r="B28554"/>
      <c r="C28554"/>
      <c r="J28554"/>
      <c r="K28554"/>
      <c r="L28554"/>
    </row>
    <row r="28555" spans="2:12" x14ac:dyDescent="0.2">
      <c r="B28555"/>
      <c r="C28555"/>
      <c r="J28555"/>
      <c r="K28555"/>
      <c r="L28555"/>
    </row>
    <row r="28556" spans="2:12" x14ac:dyDescent="0.2">
      <c r="B28556"/>
      <c r="C28556"/>
      <c r="J28556"/>
      <c r="K28556"/>
      <c r="L28556"/>
    </row>
    <row r="28557" spans="2:12" x14ac:dyDescent="0.2">
      <c r="B28557"/>
      <c r="C28557"/>
      <c r="J28557"/>
      <c r="K28557"/>
      <c r="L28557"/>
    </row>
    <row r="28558" spans="2:12" x14ac:dyDescent="0.2">
      <c r="B28558"/>
      <c r="C28558"/>
      <c r="J28558"/>
      <c r="K28558"/>
      <c r="L28558"/>
    </row>
    <row r="28559" spans="2:12" x14ac:dyDescent="0.2">
      <c r="B28559"/>
      <c r="C28559"/>
      <c r="J28559"/>
      <c r="K28559"/>
      <c r="L28559"/>
    </row>
    <row r="28560" spans="2:12" x14ac:dyDescent="0.2">
      <c r="B28560"/>
      <c r="C28560"/>
      <c r="J28560"/>
      <c r="K28560"/>
      <c r="L28560"/>
    </row>
    <row r="28561" spans="2:12" x14ac:dyDescent="0.2">
      <c r="B28561"/>
      <c r="C28561"/>
      <c r="J28561"/>
      <c r="K28561"/>
      <c r="L28561"/>
    </row>
    <row r="28562" spans="2:12" x14ac:dyDescent="0.2">
      <c r="B28562"/>
      <c r="C28562"/>
      <c r="J28562"/>
      <c r="K28562"/>
      <c r="L28562"/>
    </row>
    <row r="28563" spans="2:12" x14ac:dyDescent="0.2">
      <c r="B28563"/>
      <c r="C28563"/>
      <c r="J28563"/>
      <c r="K28563"/>
      <c r="L28563"/>
    </row>
    <row r="28564" spans="2:12" x14ac:dyDescent="0.2">
      <c r="B28564"/>
      <c r="C28564"/>
      <c r="J28564"/>
      <c r="K28564"/>
      <c r="L28564"/>
    </row>
    <row r="28565" spans="2:12" x14ac:dyDescent="0.2">
      <c r="B28565"/>
      <c r="C28565"/>
      <c r="J28565"/>
      <c r="K28565"/>
      <c r="L28565"/>
    </row>
    <row r="28566" spans="2:12" x14ac:dyDescent="0.2">
      <c r="B28566"/>
      <c r="C28566"/>
      <c r="J28566"/>
      <c r="K28566"/>
      <c r="L28566"/>
    </row>
    <row r="28567" spans="2:12" x14ac:dyDescent="0.2">
      <c r="B28567"/>
      <c r="C28567"/>
      <c r="J28567"/>
      <c r="K28567"/>
      <c r="L28567"/>
    </row>
    <row r="28568" spans="2:12" x14ac:dyDescent="0.2">
      <c r="B28568"/>
      <c r="C28568"/>
      <c r="J28568"/>
      <c r="K28568"/>
      <c r="L28568"/>
    </row>
    <row r="28569" spans="2:12" x14ac:dyDescent="0.2">
      <c r="B28569"/>
      <c r="C28569"/>
      <c r="J28569"/>
      <c r="K28569"/>
      <c r="L28569"/>
    </row>
    <row r="28570" spans="2:12" x14ac:dyDescent="0.2">
      <c r="B28570"/>
      <c r="C28570"/>
      <c r="J28570"/>
      <c r="K28570"/>
      <c r="L28570"/>
    </row>
    <row r="28571" spans="2:12" x14ac:dyDescent="0.2">
      <c r="B28571"/>
      <c r="C28571"/>
      <c r="J28571"/>
      <c r="K28571"/>
      <c r="L28571"/>
    </row>
    <row r="28572" spans="2:12" x14ac:dyDescent="0.2">
      <c r="B28572"/>
      <c r="C28572"/>
      <c r="J28572"/>
      <c r="K28572"/>
      <c r="L28572"/>
    </row>
    <row r="28573" spans="2:12" x14ac:dyDescent="0.2">
      <c r="B28573"/>
      <c r="C28573"/>
      <c r="J28573"/>
      <c r="K28573"/>
      <c r="L28573"/>
    </row>
    <row r="28574" spans="2:12" x14ac:dyDescent="0.2">
      <c r="B28574"/>
      <c r="C28574"/>
      <c r="J28574"/>
      <c r="K28574"/>
      <c r="L28574"/>
    </row>
    <row r="28575" spans="2:12" x14ac:dyDescent="0.2">
      <c r="B28575"/>
      <c r="C28575"/>
      <c r="J28575"/>
      <c r="K28575"/>
      <c r="L28575"/>
    </row>
    <row r="28576" spans="2:12" x14ac:dyDescent="0.2">
      <c r="B28576"/>
      <c r="C28576"/>
      <c r="J28576"/>
      <c r="K28576"/>
      <c r="L28576"/>
    </row>
    <row r="28577" spans="2:12" x14ac:dyDescent="0.2">
      <c r="B28577"/>
      <c r="C28577"/>
      <c r="J28577"/>
      <c r="K28577"/>
      <c r="L28577"/>
    </row>
    <row r="28578" spans="2:12" x14ac:dyDescent="0.2">
      <c r="B28578"/>
      <c r="C28578"/>
      <c r="J28578"/>
      <c r="K28578"/>
      <c r="L28578"/>
    </row>
    <row r="28579" spans="2:12" x14ac:dyDescent="0.2">
      <c r="B28579"/>
      <c r="C28579"/>
      <c r="J28579"/>
      <c r="K28579"/>
      <c r="L28579"/>
    </row>
    <row r="28580" spans="2:12" x14ac:dyDescent="0.2">
      <c r="B28580"/>
      <c r="C28580"/>
      <c r="J28580"/>
      <c r="K28580"/>
      <c r="L28580"/>
    </row>
    <row r="28581" spans="2:12" x14ac:dyDescent="0.2">
      <c r="B28581"/>
      <c r="C28581"/>
      <c r="J28581"/>
      <c r="K28581"/>
      <c r="L28581"/>
    </row>
    <row r="28582" spans="2:12" x14ac:dyDescent="0.2">
      <c r="B28582"/>
      <c r="C28582"/>
      <c r="J28582"/>
      <c r="K28582"/>
      <c r="L28582"/>
    </row>
    <row r="28583" spans="2:12" x14ac:dyDescent="0.2">
      <c r="B28583"/>
      <c r="C28583"/>
      <c r="J28583"/>
      <c r="K28583"/>
      <c r="L28583"/>
    </row>
    <row r="28584" spans="2:12" x14ac:dyDescent="0.2">
      <c r="B28584"/>
      <c r="C28584"/>
      <c r="J28584"/>
      <c r="K28584"/>
      <c r="L28584"/>
    </row>
    <row r="28585" spans="2:12" x14ac:dyDescent="0.2">
      <c r="B28585"/>
      <c r="C28585"/>
      <c r="J28585"/>
      <c r="K28585"/>
      <c r="L28585"/>
    </row>
    <row r="28586" spans="2:12" x14ac:dyDescent="0.2">
      <c r="B28586"/>
      <c r="C28586"/>
      <c r="J28586"/>
      <c r="K28586"/>
      <c r="L28586"/>
    </row>
    <row r="28587" spans="2:12" x14ac:dyDescent="0.2">
      <c r="B28587"/>
      <c r="C28587"/>
      <c r="J28587"/>
      <c r="K28587"/>
      <c r="L28587"/>
    </row>
    <row r="28588" spans="2:12" x14ac:dyDescent="0.2">
      <c r="B28588"/>
      <c r="C28588"/>
      <c r="J28588"/>
      <c r="K28588"/>
      <c r="L28588"/>
    </row>
    <row r="28589" spans="2:12" x14ac:dyDescent="0.2">
      <c r="B28589"/>
      <c r="C28589"/>
      <c r="J28589"/>
      <c r="K28589"/>
      <c r="L28589"/>
    </row>
    <row r="28590" spans="2:12" x14ac:dyDescent="0.2">
      <c r="B28590"/>
      <c r="C28590"/>
      <c r="J28590"/>
      <c r="K28590"/>
      <c r="L28590"/>
    </row>
    <row r="28591" spans="2:12" x14ac:dyDescent="0.2">
      <c r="B28591"/>
      <c r="C28591"/>
      <c r="J28591"/>
      <c r="K28591"/>
      <c r="L28591"/>
    </row>
    <row r="28592" spans="2:12" x14ac:dyDescent="0.2">
      <c r="B28592"/>
      <c r="C28592"/>
      <c r="J28592"/>
      <c r="K28592"/>
      <c r="L28592"/>
    </row>
    <row r="28593" spans="2:12" x14ac:dyDescent="0.2">
      <c r="B28593"/>
      <c r="C28593"/>
      <c r="J28593"/>
      <c r="K28593"/>
      <c r="L28593"/>
    </row>
    <row r="28594" spans="2:12" x14ac:dyDescent="0.2">
      <c r="B28594"/>
      <c r="C28594"/>
      <c r="J28594"/>
      <c r="K28594"/>
      <c r="L28594"/>
    </row>
    <row r="28595" spans="2:12" x14ac:dyDescent="0.2">
      <c r="B28595"/>
      <c r="C28595"/>
      <c r="J28595"/>
      <c r="K28595"/>
      <c r="L28595"/>
    </row>
    <row r="28596" spans="2:12" x14ac:dyDescent="0.2">
      <c r="B28596"/>
      <c r="C28596"/>
      <c r="J28596"/>
      <c r="K28596"/>
      <c r="L28596"/>
    </row>
    <row r="28597" spans="2:12" x14ac:dyDescent="0.2">
      <c r="B28597"/>
      <c r="C28597"/>
      <c r="J28597"/>
      <c r="K28597"/>
      <c r="L28597"/>
    </row>
    <row r="28598" spans="2:12" x14ac:dyDescent="0.2">
      <c r="B28598"/>
      <c r="C28598"/>
      <c r="J28598"/>
      <c r="K28598"/>
      <c r="L28598"/>
    </row>
    <row r="28599" spans="2:12" x14ac:dyDescent="0.2">
      <c r="B28599"/>
      <c r="C28599"/>
      <c r="J28599"/>
      <c r="K28599"/>
      <c r="L28599"/>
    </row>
    <row r="28600" spans="2:12" x14ac:dyDescent="0.2">
      <c r="B28600"/>
      <c r="C28600"/>
      <c r="J28600"/>
      <c r="K28600"/>
      <c r="L28600"/>
    </row>
    <row r="28601" spans="2:12" x14ac:dyDescent="0.2">
      <c r="B28601"/>
      <c r="C28601"/>
      <c r="J28601"/>
      <c r="K28601"/>
      <c r="L28601"/>
    </row>
    <row r="28602" spans="2:12" x14ac:dyDescent="0.2">
      <c r="B28602"/>
      <c r="C28602"/>
      <c r="J28602"/>
      <c r="K28602"/>
      <c r="L28602"/>
    </row>
    <row r="28603" spans="2:12" x14ac:dyDescent="0.2">
      <c r="B28603"/>
      <c r="C28603"/>
      <c r="J28603"/>
      <c r="K28603"/>
      <c r="L28603"/>
    </row>
    <row r="28604" spans="2:12" x14ac:dyDescent="0.2">
      <c r="B28604"/>
      <c r="C28604"/>
      <c r="J28604"/>
      <c r="K28604"/>
      <c r="L28604"/>
    </row>
    <row r="28605" spans="2:12" x14ac:dyDescent="0.2">
      <c r="B28605"/>
      <c r="C28605"/>
      <c r="J28605"/>
      <c r="K28605"/>
      <c r="L28605"/>
    </row>
    <row r="28606" spans="2:12" x14ac:dyDescent="0.2">
      <c r="B28606"/>
      <c r="C28606"/>
      <c r="J28606"/>
      <c r="K28606"/>
      <c r="L28606"/>
    </row>
    <row r="28607" spans="2:12" x14ac:dyDescent="0.2">
      <c r="B28607"/>
      <c r="C28607"/>
      <c r="J28607"/>
      <c r="K28607"/>
      <c r="L28607"/>
    </row>
    <row r="28608" spans="2:12" x14ac:dyDescent="0.2">
      <c r="B28608"/>
      <c r="C28608"/>
      <c r="J28608"/>
      <c r="K28608"/>
      <c r="L28608"/>
    </row>
    <row r="28609" spans="2:12" x14ac:dyDescent="0.2">
      <c r="B28609"/>
      <c r="C28609"/>
      <c r="J28609"/>
      <c r="K28609"/>
      <c r="L28609"/>
    </row>
    <row r="28610" spans="2:12" x14ac:dyDescent="0.2">
      <c r="B28610"/>
      <c r="C28610"/>
      <c r="J28610"/>
      <c r="K28610"/>
      <c r="L28610"/>
    </row>
    <row r="28611" spans="2:12" x14ac:dyDescent="0.2">
      <c r="B28611"/>
      <c r="C28611"/>
      <c r="J28611"/>
      <c r="K28611"/>
      <c r="L28611"/>
    </row>
    <row r="28612" spans="2:12" x14ac:dyDescent="0.2">
      <c r="B28612"/>
      <c r="C28612"/>
      <c r="J28612"/>
      <c r="K28612"/>
      <c r="L28612"/>
    </row>
    <row r="28613" spans="2:12" x14ac:dyDescent="0.2">
      <c r="B28613"/>
      <c r="C28613"/>
      <c r="J28613"/>
      <c r="K28613"/>
      <c r="L28613"/>
    </row>
    <row r="28614" spans="2:12" x14ac:dyDescent="0.2">
      <c r="B28614"/>
      <c r="C28614"/>
      <c r="J28614"/>
      <c r="K28614"/>
      <c r="L28614"/>
    </row>
    <row r="28615" spans="2:12" x14ac:dyDescent="0.2">
      <c r="B28615"/>
      <c r="C28615"/>
      <c r="J28615"/>
      <c r="K28615"/>
      <c r="L28615"/>
    </row>
    <row r="28616" spans="2:12" x14ac:dyDescent="0.2">
      <c r="B28616"/>
      <c r="C28616"/>
      <c r="J28616"/>
      <c r="K28616"/>
      <c r="L28616"/>
    </row>
    <row r="28617" spans="2:12" x14ac:dyDescent="0.2">
      <c r="B28617"/>
      <c r="C28617"/>
      <c r="J28617"/>
      <c r="K28617"/>
      <c r="L28617"/>
    </row>
    <row r="28618" spans="2:12" x14ac:dyDescent="0.2">
      <c r="B28618"/>
      <c r="C28618"/>
      <c r="J28618"/>
      <c r="K28618"/>
      <c r="L28618"/>
    </row>
    <row r="28619" spans="2:12" x14ac:dyDescent="0.2">
      <c r="B28619"/>
      <c r="C28619"/>
      <c r="J28619"/>
      <c r="K28619"/>
      <c r="L28619"/>
    </row>
    <row r="28620" spans="2:12" x14ac:dyDescent="0.2">
      <c r="B28620"/>
      <c r="C28620"/>
      <c r="J28620"/>
      <c r="K28620"/>
      <c r="L28620"/>
    </row>
    <row r="28621" spans="2:12" x14ac:dyDescent="0.2">
      <c r="B28621"/>
      <c r="C28621"/>
      <c r="J28621"/>
      <c r="K28621"/>
      <c r="L28621"/>
    </row>
    <row r="28622" spans="2:12" x14ac:dyDescent="0.2">
      <c r="B28622"/>
      <c r="C28622"/>
      <c r="J28622"/>
      <c r="K28622"/>
      <c r="L28622"/>
    </row>
    <row r="28623" spans="2:12" x14ac:dyDescent="0.2">
      <c r="B28623"/>
      <c r="C28623"/>
      <c r="J28623"/>
      <c r="K28623"/>
      <c r="L28623"/>
    </row>
    <row r="28624" spans="2:12" x14ac:dyDescent="0.2">
      <c r="B28624"/>
      <c r="C28624"/>
      <c r="J28624"/>
      <c r="K28624"/>
      <c r="L28624"/>
    </row>
    <row r="28625" spans="2:12" x14ac:dyDescent="0.2">
      <c r="B28625"/>
      <c r="C28625"/>
      <c r="J28625"/>
      <c r="K28625"/>
      <c r="L28625"/>
    </row>
    <row r="28626" spans="2:12" x14ac:dyDescent="0.2">
      <c r="B28626"/>
      <c r="C28626"/>
      <c r="J28626"/>
      <c r="K28626"/>
      <c r="L28626"/>
    </row>
    <row r="28627" spans="2:12" x14ac:dyDescent="0.2">
      <c r="B28627"/>
      <c r="C28627"/>
      <c r="J28627"/>
      <c r="K28627"/>
      <c r="L28627"/>
    </row>
    <row r="28628" spans="2:12" x14ac:dyDescent="0.2">
      <c r="B28628"/>
      <c r="C28628"/>
      <c r="J28628"/>
      <c r="K28628"/>
      <c r="L28628"/>
    </row>
    <row r="28629" spans="2:12" x14ac:dyDescent="0.2">
      <c r="B28629"/>
      <c r="C28629"/>
      <c r="J28629"/>
      <c r="K28629"/>
      <c r="L28629"/>
    </row>
    <row r="28630" spans="2:12" x14ac:dyDescent="0.2">
      <c r="B28630"/>
      <c r="C28630"/>
      <c r="J28630"/>
      <c r="K28630"/>
      <c r="L28630"/>
    </row>
    <row r="28631" spans="2:12" x14ac:dyDescent="0.2">
      <c r="B28631"/>
      <c r="C28631"/>
      <c r="J28631"/>
      <c r="K28631"/>
      <c r="L28631"/>
    </row>
    <row r="28632" spans="2:12" x14ac:dyDescent="0.2">
      <c r="B28632"/>
      <c r="C28632"/>
      <c r="J28632"/>
      <c r="K28632"/>
      <c r="L28632"/>
    </row>
    <row r="28633" spans="2:12" x14ac:dyDescent="0.2">
      <c r="B28633"/>
      <c r="C28633"/>
      <c r="J28633"/>
      <c r="K28633"/>
      <c r="L28633"/>
    </row>
    <row r="28634" spans="2:12" x14ac:dyDescent="0.2">
      <c r="B28634"/>
      <c r="C28634"/>
      <c r="J28634"/>
      <c r="K28634"/>
      <c r="L28634"/>
    </row>
    <row r="28635" spans="2:12" x14ac:dyDescent="0.2">
      <c r="B28635"/>
      <c r="C28635"/>
      <c r="J28635"/>
      <c r="K28635"/>
      <c r="L28635"/>
    </row>
    <row r="28636" spans="2:12" x14ac:dyDescent="0.2">
      <c r="B28636"/>
      <c r="C28636"/>
      <c r="J28636"/>
      <c r="K28636"/>
      <c r="L28636"/>
    </row>
    <row r="28637" spans="2:12" x14ac:dyDescent="0.2">
      <c r="B28637"/>
      <c r="C28637"/>
      <c r="J28637"/>
      <c r="K28637"/>
      <c r="L28637"/>
    </row>
    <row r="28638" spans="2:12" x14ac:dyDescent="0.2">
      <c r="B28638"/>
      <c r="C28638"/>
      <c r="J28638"/>
      <c r="K28638"/>
      <c r="L28638"/>
    </row>
    <row r="28639" spans="2:12" x14ac:dyDescent="0.2">
      <c r="B28639"/>
      <c r="C28639"/>
      <c r="J28639"/>
      <c r="K28639"/>
      <c r="L28639"/>
    </row>
    <row r="28640" spans="2:12" x14ac:dyDescent="0.2">
      <c r="B28640"/>
      <c r="C28640"/>
      <c r="J28640"/>
      <c r="K28640"/>
      <c r="L28640"/>
    </row>
    <row r="28641" spans="2:12" x14ac:dyDescent="0.2">
      <c r="B28641"/>
      <c r="C28641"/>
      <c r="J28641"/>
      <c r="K28641"/>
      <c r="L28641"/>
    </row>
    <row r="28642" spans="2:12" x14ac:dyDescent="0.2">
      <c r="B28642"/>
      <c r="C28642"/>
      <c r="J28642"/>
      <c r="K28642"/>
      <c r="L28642"/>
    </row>
    <row r="28643" spans="2:12" x14ac:dyDescent="0.2">
      <c r="B28643"/>
      <c r="C28643"/>
      <c r="J28643"/>
      <c r="K28643"/>
      <c r="L28643"/>
    </row>
    <row r="28644" spans="2:12" x14ac:dyDescent="0.2">
      <c r="B28644"/>
      <c r="C28644"/>
      <c r="J28644"/>
      <c r="K28644"/>
      <c r="L28644"/>
    </row>
    <row r="28645" spans="2:12" x14ac:dyDescent="0.2">
      <c r="B28645"/>
      <c r="C28645"/>
      <c r="J28645"/>
      <c r="K28645"/>
      <c r="L28645"/>
    </row>
    <row r="28646" spans="2:12" x14ac:dyDescent="0.2">
      <c r="B28646"/>
      <c r="C28646"/>
      <c r="J28646"/>
      <c r="K28646"/>
      <c r="L28646"/>
    </row>
    <row r="28647" spans="2:12" x14ac:dyDescent="0.2">
      <c r="B28647"/>
      <c r="C28647"/>
      <c r="J28647"/>
      <c r="K28647"/>
      <c r="L28647"/>
    </row>
    <row r="28648" spans="2:12" x14ac:dyDescent="0.2">
      <c r="B28648"/>
      <c r="C28648"/>
      <c r="J28648"/>
      <c r="K28648"/>
      <c r="L28648"/>
    </row>
    <row r="28649" spans="2:12" x14ac:dyDescent="0.2">
      <c r="B28649"/>
      <c r="C28649"/>
      <c r="J28649"/>
      <c r="K28649"/>
      <c r="L28649"/>
    </row>
    <row r="28650" spans="2:12" x14ac:dyDescent="0.2">
      <c r="B28650"/>
      <c r="C28650"/>
      <c r="J28650"/>
      <c r="K28650"/>
      <c r="L28650"/>
    </row>
    <row r="28651" spans="2:12" x14ac:dyDescent="0.2">
      <c r="B28651"/>
      <c r="C28651"/>
      <c r="J28651"/>
      <c r="K28651"/>
      <c r="L28651"/>
    </row>
    <row r="28652" spans="2:12" x14ac:dyDescent="0.2">
      <c r="B28652"/>
      <c r="C28652"/>
      <c r="J28652"/>
      <c r="K28652"/>
      <c r="L28652"/>
    </row>
    <row r="28653" spans="2:12" x14ac:dyDescent="0.2">
      <c r="B28653"/>
      <c r="C28653"/>
      <c r="J28653"/>
      <c r="K28653"/>
      <c r="L28653"/>
    </row>
    <row r="28654" spans="2:12" x14ac:dyDescent="0.2">
      <c r="B28654"/>
      <c r="C28654"/>
      <c r="J28654"/>
      <c r="K28654"/>
      <c r="L28654"/>
    </row>
    <row r="28655" spans="2:12" x14ac:dyDescent="0.2">
      <c r="B28655"/>
      <c r="C28655"/>
      <c r="J28655"/>
      <c r="K28655"/>
      <c r="L28655"/>
    </row>
    <row r="28656" spans="2:12" x14ac:dyDescent="0.2">
      <c r="B28656"/>
      <c r="C28656"/>
      <c r="J28656"/>
      <c r="K28656"/>
      <c r="L28656"/>
    </row>
    <row r="28657" spans="2:12" x14ac:dyDescent="0.2">
      <c r="B28657"/>
      <c r="C28657"/>
      <c r="J28657"/>
      <c r="K28657"/>
      <c r="L28657"/>
    </row>
    <row r="28658" spans="2:12" x14ac:dyDescent="0.2">
      <c r="B28658"/>
      <c r="C28658"/>
      <c r="J28658"/>
      <c r="K28658"/>
      <c r="L28658"/>
    </row>
    <row r="28659" spans="2:12" x14ac:dyDescent="0.2">
      <c r="B28659"/>
      <c r="C28659"/>
      <c r="J28659"/>
      <c r="K28659"/>
      <c r="L28659"/>
    </row>
    <row r="28660" spans="2:12" x14ac:dyDescent="0.2">
      <c r="B28660"/>
      <c r="C28660"/>
      <c r="J28660"/>
      <c r="K28660"/>
      <c r="L28660"/>
    </row>
    <row r="28661" spans="2:12" x14ac:dyDescent="0.2">
      <c r="B28661"/>
      <c r="C28661"/>
      <c r="J28661"/>
      <c r="K28661"/>
      <c r="L28661"/>
    </row>
    <row r="28662" spans="2:12" x14ac:dyDescent="0.2">
      <c r="B28662"/>
      <c r="C28662"/>
      <c r="J28662"/>
      <c r="K28662"/>
      <c r="L28662"/>
    </row>
    <row r="28663" spans="2:12" x14ac:dyDescent="0.2">
      <c r="B28663"/>
      <c r="C28663"/>
      <c r="J28663"/>
      <c r="K28663"/>
      <c r="L28663"/>
    </row>
    <row r="28664" spans="2:12" x14ac:dyDescent="0.2">
      <c r="B28664"/>
      <c r="C28664"/>
      <c r="J28664"/>
      <c r="K28664"/>
      <c r="L28664"/>
    </row>
    <row r="28665" spans="2:12" x14ac:dyDescent="0.2">
      <c r="B28665"/>
      <c r="C28665"/>
      <c r="J28665"/>
      <c r="K28665"/>
      <c r="L28665"/>
    </row>
    <row r="28666" spans="2:12" x14ac:dyDescent="0.2">
      <c r="B28666"/>
      <c r="C28666"/>
      <c r="J28666"/>
      <c r="K28666"/>
      <c r="L28666"/>
    </row>
    <row r="28667" spans="2:12" x14ac:dyDescent="0.2">
      <c r="B28667"/>
      <c r="C28667"/>
      <c r="J28667"/>
      <c r="K28667"/>
      <c r="L28667"/>
    </row>
    <row r="28668" spans="2:12" x14ac:dyDescent="0.2">
      <c r="B28668"/>
      <c r="C28668"/>
      <c r="J28668"/>
      <c r="K28668"/>
      <c r="L28668"/>
    </row>
    <row r="28669" spans="2:12" x14ac:dyDescent="0.2">
      <c r="B28669"/>
      <c r="C28669"/>
      <c r="J28669"/>
      <c r="K28669"/>
      <c r="L28669"/>
    </row>
    <row r="28670" spans="2:12" x14ac:dyDescent="0.2">
      <c r="B28670"/>
      <c r="C28670"/>
      <c r="J28670"/>
      <c r="K28670"/>
      <c r="L28670"/>
    </row>
    <row r="28671" spans="2:12" x14ac:dyDescent="0.2">
      <c r="B28671"/>
      <c r="C28671"/>
      <c r="J28671"/>
      <c r="K28671"/>
      <c r="L28671"/>
    </row>
    <row r="28672" spans="2:12" x14ac:dyDescent="0.2">
      <c r="B28672"/>
      <c r="C28672"/>
      <c r="J28672"/>
      <c r="K28672"/>
      <c r="L28672"/>
    </row>
    <row r="28673" spans="2:12" x14ac:dyDescent="0.2">
      <c r="B28673"/>
      <c r="C28673"/>
      <c r="J28673"/>
      <c r="K28673"/>
      <c r="L28673"/>
    </row>
    <row r="28674" spans="2:12" x14ac:dyDescent="0.2">
      <c r="B28674"/>
      <c r="C28674"/>
      <c r="J28674"/>
      <c r="K28674"/>
      <c r="L28674"/>
    </row>
    <row r="28675" spans="2:12" x14ac:dyDescent="0.2">
      <c r="B28675"/>
      <c r="C28675"/>
      <c r="J28675"/>
      <c r="K28675"/>
      <c r="L28675"/>
    </row>
    <row r="28676" spans="2:12" x14ac:dyDescent="0.2">
      <c r="B28676"/>
      <c r="C28676"/>
      <c r="J28676"/>
      <c r="K28676"/>
      <c r="L28676"/>
    </row>
    <row r="28677" spans="2:12" x14ac:dyDescent="0.2">
      <c r="B28677"/>
      <c r="C28677"/>
      <c r="J28677"/>
      <c r="K28677"/>
      <c r="L28677"/>
    </row>
    <row r="28678" spans="2:12" x14ac:dyDescent="0.2">
      <c r="B28678"/>
      <c r="C28678"/>
      <c r="J28678"/>
      <c r="K28678"/>
      <c r="L28678"/>
    </row>
    <row r="28679" spans="2:12" x14ac:dyDescent="0.2">
      <c r="B28679"/>
      <c r="C28679"/>
      <c r="J28679"/>
      <c r="K28679"/>
      <c r="L28679"/>
    </row>
    <row r="28680" spans="2:12" x14ac:dyDescent="0.2">
      <c r="B28680"/>
      <c r="C28680"/>
      <c r="J28680"/>
      <c r="K28680"/>
      <c r="L28680"/>
    </row>
    <row r="28681" spans="2:12" x14ac:dyDescent="0.2">
      <c r="B28681"/>
      <c r="C28681"/>
      <c r="J28681"/>
      <c r="K28681"/>
      <c r="L28681"/>
    </row>
    <row r="28682" spans="2:12" x14ac:dyDescent="0.2">
      <c r="B28682"/>
      <c r="C28682"/>
      <c r="J28682"/>
      <c r="K28682"/>
      <c r="L28682"/>
    </row>
    <row r="28683" spans="2:12" x14ac:dyDescent="0.2">
      <c r="B28683"/>
      <c r="C28683"/>
      <c r="J28683"/>
      <c r="K28683"/>
      <c r="L28683"/>
    </row>
    <row r="28684" spans="2:12" x14ac:dyDescent="0.2">
      <c r="B28684"/>
      <c r="C28684"/>
      <c r="J28684"/>
      <c r="K28684"/>
      <c r="L28684"/>
    </row>
    <row r="28685" spans="2:12" x14ac:dyDescent="0.2">
      <c r="B28685"/>
      <c r="C28685"/>
      <c r="J28685"/>
      <c r="K28685"/>
      <c r="L28685"/>
    </row>
    <row r="28686" spans="2:12" x14ac:dyDescent="0.2">
      <c r="B28686"/>
      <c r="C28686"/>
      <c r="J28686"/>
      <c r="K28686"/>
      <c r="L28686"/>
    </row>
    <row r="28687" spans="2:12" x14ac:dyDescent="0.2">
      <c r="B28687"/>
      <c r="C28687"/>
      <c r="J28687"/>
      <c r="K28687"/>
      <c r="L28687"/>
    </row>
    <row r="28688" spans="2:12" x14ac:dyDescent="0.2">
      <c r="B28688"/>
      <c r="C28688"/>
      <c r="J28688"/>
      <c r="K28688"/>
      <c r="L28688"/>
    </row>
    <row r="28689" spans="2:12" x14ac:dyDescent="0.2">
      <c r="B28689"/>
      <c r="C28689"/>
      <c r="J28689"/>
      <c r="K28689"/>
      <c r="L28689"/>
    </row>
    <row r="28690" spans="2:12" x14ac:dyDescent="0.2">
      <c r="B28690"/>
      <c r="C28690"/>
      <c r="J28690"/>
      <c r="K28690"/>
      <c r="L28690"/>
    </row>
    <row r="28691" spans="2:12" x14ac:dyDescent="0.2">
      <c r="B28691"/>
      <c r="C28691"/>
      <c r="J28691"/>
      <c r="K28691"/>
      <c r="L28691"/>
    </row>
    <row r="28692" spans="2:12" x14ac:dyDescent="0.2">
      <c r="B28692"/>
      <c r="C28692"/>
      <c r="J28692"/>
      <c r="K28692"/>
      <c r="L28692"/>
    </row>
    <row r="28693" spans="2:12" x14ac:dyDescent="0.2">
      <c r="B28693"/>
      <c r="C28693"/>
      <c r="J28693"/>
      <c r="K28693"/>
      <c r="L28693"/>
    </row>
    <row r="28694" spans="2:12" x14ac:dyDescent="0.2">
      <c r="B28694"/>
      <c r="C28694"/>
      <c r="J28694"/>
      <c r="K28694"/>
      <c r="L28694"/>
    </row>
    <row r="28695" spans="2:12" x14ac:dyDescent="0.2">
      <c r="B28695"/>
      <c r="C28695"/>
      <c r="J28695"/>
      <c r="K28695"/>
      <c r="L28695"/>
    </row>
    <row r="28696" spans="2:12" x14ac:dyDescent="0.2">
      <c r="B28696"/>
      <c r="C28696"/>
      <c r="J28696"/>
      <c r="K28696"/>
      <c r="L28696"/>
    </row>
    <row r="28697" spans="2:12" x14ac:dyDescent="0.2">
      <c r="B28697"/>
      <c r="C28697"/>
      <c r="J28697"/>
      <c r="K28697"/>
      <c r="L28697"/>
    </row>
    <row r="28698" spans="2:12" x14ac:dyDescent="0.2">
      <c r="B28698"/>
      <c r="C28698"/>
      <c r="J28698"/>
      <c r="K28698"/>
      <c r="L28698"/>
    </row>
    <row r="28699" spans="2:12" x14ac:dyDescent="0.2">
      <c r="B28699"/>
      <c r="C28699"/>
      <c r="J28699"/>
      <c r="K28699"/>
      <c r="L28699"/>
    </row>
    <row r="28700" spans="2:12" x14ac:dyDescent="0.2">
      <c r="B28700"/>
      <c r="C28700"/>
      <c r="J28700"/>
      <c r="K28700"/>
      <c r="L28700"/>
    </row>
    <row r="28701" spans="2:12" x14ac:dyDescent="0.2">
      <c r="B28701"/>
      <c r="C28701"/>
      <c r="J28701"/>
      <c r="K28701"/>
      <c r="L28701"/>
    </row>
    <row r="28702" spans="2:12" x14ac:dyDescent="0.2">
      <c r="B28702"/>
      <c r="C28702"/>
      <c r="J28702"/>
      <c r="K28702"/>
      <c r="L28702"/>
    </row>
    <row r="28703" spans="2:12" x14ac:dyDescent="0.2">
      <c r="B28703"/>
      <c r="C28703"/>
      <c r="J28703"/>
      <c r="K28703"/>
      <c r="L28703"/>
    </row>
    <row r="28704" spans="2:12" x14ac:dyDescent="0.2">
      <c r="B28704"/>
      <c r="C28704"/>
      <c r="J28704"/>
      <c r="K28704"/>
      <c r="L28704"/>
    </row>
    <row r="28705" spans="2:12" x14ac:dyDescent="0.2">
      <c r="B28705"/>
      <c r="C28705"/>
      <c r="J28705"/>
      <c r="K28705"/>
      <c r="L28705"/>
    </row>
    <row r="28706" spans="2:12" x14ac:dyDescent="0.2">
      <c r="B28706"/>
      <c r="C28706"/>
      <c r="J28706"/>
      <c r="K28706"/>
      <c r="L28706"/>
    </row>
    <row r="28707" spans="2:12" x14ac:dyDescent="0.2">
      <c r="B28707"/>
      <c r="C28707"/>
      <c r="J28707"/>
      <c r="K28707"/>
      <c r="L28707"/>
    </row>
    <row r="28708" spans="2:12" x14ac:dyDescent="0.2">
      <c r="B28708"/>
      <c r="C28708"/>
      <c r="J28708"/>
      <c r="K28708"/>
      <c r="L28708"/>
    </row>
    <row r="28709" spans="2:12" x14ac:dyDescent="0.2">
      <c r="B28709"/>
      <c r="C28709"/>
      <c r="J28709"/>
      <c r="K28709"/>
      <c r="L28709"/>
    </row>
    <row r="28710" spans="2:12" x14ac:dyDescent="0.2">
      <c r="B28710"/>
      <c r="C28710"/>
      <c r="J28710"/>
      <c r="K28710"/>
      <c r="L28710"/>
    </row>
    <row r="28711" spans="2:12" x14ac:dyDescent="0.2">
      <c r="B28711"/>
      <c r="C28711"/>
      <c r="J28711"/>
      <c r="K28711"/>
      <c r="L28711"/>
    </row>
    <row r="28712" spans="2:12" x14ac:dyDescent="0.2">
      <c r="B28712"/>
      <c r="C28712"/>
      <c r="J28712"/>
      <c r="K28712"/>
      <c r="L28712"/>
    </row>
    <row r="28713" spans="2:12" x14ac:dyDescent="0.2">
      <c r="B28713"/>
      <c r="C28713"/>
      <c r="J28713"/>
      <c r="K28713"/>
      <c r="L28713"/>
    </row>
    <row r="28714" spans="2:12" x14ac:dyDescent="0.2">
      <c r="B28714"/>
      <c r="C28714"/>
      <c r="J28714"/>
      <c r="K28714"/>
      <c r="L28714"/>
    </row>
    <row r="28715" spans="2:12" x14ac:dyDescent="0.2">
      <c r="B28715"/>
      <c r="C28715"/>
      <c r="J28715"/>
      <c r="K28715"/>
      <c r="L28715"/>
    </row>
    <row r="28716" spans="2:12" x14ac:dyDescent="0.2">
      <c r="B28716"/>
      <c r="C28716"/>
      <c r="J28716"/>
      <c r="K28716"/>
      <c r="L28716"/>
    </row>
    <row r="28717" spans="2:12" x14ac:dyDescent="0.2">
      <c r="B28717"/>
      <c r="C28717"/>
      <c r="J28717"/>
      <c r="K28717"/>
      <c r="L28717"/>
    </row>
    <row r="28718" spans="2:12" x14ac:dyDescent="0.2">
      <c r="B28718"/>
      <c r="C28718"/>
      <c r="J28718"/>
      <c r="K28718"/>
      <c r="L28718"/>
    </row>
    <row r="28719" spans="2:12" x14ac:dyDescent="0.2">
      <c r="B28719"/>
      <c r="C28719"/>
      <c r="J28719"/>
      <c r="K28719"/>
      <c r="L28719"/>
    </row>
    <row r="28720" spans="2:12" x14ac:dyDescent="0.2">
      <c r="B28720"/>
      <c r="C28720"/>
      <c r="J28720"/>
      <c r="K28720"/>
      <c r="L28720"/>
    </row>
    <row r="28721" spans="2:12" x14ac:dyDescent="0.2">
      <c r="B28721"/>
      <c r="C28721"/>
      <c r="J28721"/>
      <c r="K28721"/>
      <c r="L28721"/>
    </row>
    <row r="28722" spans="2:12" x14ac:dyDescent="0.2">
      <c r="B28722"/>
      <c r="C28722"/>
      <c r="J28722"/>
      <c r="K28722"/>
      <c r="L28722"/>
    </row>
    <row r="28723" spans="2:12" x14ac:dyDescent="0.2">
      <c r="B28723"/>
      <c r="C28723"/>
      <c r="J28723"/>
      <c r="K28723"/>
      <c r="L28723"/>
    </row>
    <row r="28724" spans="2:12" x14ac:dyDescent="0.2">
      <c r="B28724"/>
      <c r="C28724"/>
      <c r="J28724"/>
      <c r="K28724"/>
      <c r="L28724"/>
    </row>
    <row r="28725" spans="2:12" x14ac:dyDescent="0.2">
      <c r="B28725"/>
      <c r="C28725"/>
      <c r="J28725"/>
      <c r="K28725"/>
      <c r="L28725"/>
    </row>
    <row r="28726" spans="2:12" x14ac:dyDescent="0.2">
      <c r="B28726"/>
      <c r="C28726"/>
      <c r="J28726"/>
      <c r="K28726"/>
      <c r="L28726"/>
    </row>
    <row r="28727" spans="2:12" x14ac:dyDescent="0.2">
      <c r="B28727"/>
      <c r="C28727"/>
      <c r="J28727"/>
      <c r="K28727"/>
      <c r="L28727"/>
    </row>
    <row r="28728" spans="2:12" x14ac:dyDescent="0.2">
      <c r="B28728"/>
      <c r="C28728"/>
      <c r="J28728"/>
      <c r="K28728"/>
      <c r="L28728"/>
    </row>
    <row r="28729" spans="2:12" x14ac:dyDescent="0.2">
      <c r="B28729"/>
      <c r="C28729"/>
      <c r="J28729"/>
      <c r="K28729"/>
      <c r="L28729"/>
    </row>
    <row r="28730" spans="2:12" x14ac:dyDescent="0.2">
      <c r="B28730"/>
      <c r="C28730"/>
      <c r="J28730"/>
      <c r="K28730"/>
      <c r="L28730"/>
    </row>
    <row r="28731" spans="2:12" x14ac:dyDescent="0.2">
      <c r="B28731"/>
      <c r="C28731"/>
      <c r="J28731"/>
      <c r="K28731"/>
      <c r="L28731"/>
    </row>
    <row r="28732" spans="2:12" x14ac:dyDescent="0.2">
      <c r="B28732"/>
      <c r="C28732"/>
      <c r="J28732"/>
      <c r="K28732"/>
      <c r="L28732"/>
    </row>
    <row r="28733" spans="2:12" x14ac:dyDescent="0.2">
      <c r="B28733"/>
      <c r="C28733"/>
      <c r="J28733"/>
      <c r="K28733"/>
      <c r="L28733"/>
    </row>
    <row r="28734" spans="2:12" x14ac:dyDescent="0.2">
      <c r="B28734"/>
      <c r="C28734"/>
      <c r="J28734"/>
      <c r="K28734"/>
      <c r="L28734"/>
    </row>
    <row r="28735" spans="2:12" x14ac:dyDescent="0.2">
      <c r="B28735"/>
      <c r="C28735"/>
      <c r="J28735"/>
      <c r="K28735"/>
      <c r="L28735"/>
    </row>
    <row r="28736" spans="2:12" x14ac:dyDescent="0.2">
      <c r="B28736"/>
      <c r="C28736"/>
      <c r="J28736"/>
      <c r="K28736"/>
      <c r="L28736"/>
    </row>
    <row r="28737" spans="2:12" x14ac:dyDescent="0.2">
      <c r="B28737"/>
      <c r="C28737"/>
      <c r="J28737"/>
      <c r="K28737"/>
      <c r="L28737"/>
    </row>
    <row r="28738" spans="2:12" x14ac:dyDescent="0.2">
      <c r="B28738"/>
      <c r="C28738"/>
      <c r="J28738"/>
      <c r="K28738"/>
      <c r="L28738"/>
    </row>
    <row r="28739" spans="2:12" x14ac:dyDescent="0.2">
      <c r="B28739"/>
      <c r="C28739"/>
      <c r="J28739"/>
      <c r="K28739"/>
      <c r="L28739"/>
    </row>
    <row r="28740" spans="2:12" x14ac:dyDescent="0.2">
      <c r="B28740"/>
      <c r="C28740"/>
      <c r="J28740"/>
      <c r="K28740"/>
      <c r="L28740"/>
    </row>
    <row r="28741" spans="2:12" x14ac:dyDescent="0.2">
      <c r="B28741"/>
      <c r="C28741"/>
      <c r="J28741"/>
      <c r="K28741"/>
      <c r="L28741"/>
    </row>
    <row r="28742" spans="2:12" x14ac:dyDescent="0.2">
      <c r="B28742"/>
      <c r="C28742"/>
      <c r="J28742"/>
      <c r="K28742"/>
      <c r="L28742"/>
    </row>
    <row r="28743" spans="2:12" x14ac:dyDescent="0.2">
      <c r="B28743"/>
      <c r="C28743"/>
      <c r="J28743"/>
      <c r="K28743"/>
      <c r="L28743"/>
    </row>
    <row r="28744" spans="2:12" x14ac:dyDescent="0.2">
      <c r="B28744"/>
      <c r="C28744"/>
      <c r="J28744"/>
      <c r="K28744"/>
      <c r="L28744"/>
    </row>
    <row r="28745" spans="2:12" x14ac:dyDescent="0.2">
      <c r="B28745"/>
      <c r="C28745"/>
      <c r="J28745"/>
      <c r="K28745"/>
      <c r="L28745"/>
    </row>
    <row r="28746" spans="2:12" x14ac:dyDescent="0.2">
      <c r="B28746"/>
      <c r="C28746"/>
      <c r="J28746"/>
      <c r="K28746"/>
      <c r="L28746"/>
    </row>
    <row r="28747" spans="2:12" x14ac:dyDescent="0.2">
      <c r="B28747"/>
      <c r="C28747"/>
      <c r="J28747"/>
      <c r="K28747"/>
      <c r="L28747"/>
    </row>
    <row r="28748" spans="2:12" x14ac:dyDescent="0.2">
      <c r="B28748"/>
      <c r="C28748"/>
      <c r="J28748"/>
      <c r="K28748"/>
      <c r="L28748"/>
    </row>
    <row r="28749" spans="2:12" x14ac:dyDescent="0.2">
      <c r="B28749"/>
      <c r="C28749"/>
      <c r="J28749"/>
      <c r="K28749"/>
      <c r="L28749"/>
    </row>
    <row r="28750" spans="2:12" x14ac:dyDescent="0.2">
      <c r="B28750"/>
      <c r="C28750"/>
      <c r="J28750"/>
      <c r="K28750"/>
      <c r="L28750"/>
    </row>
    <row r="28751" spans="2:12" x14ac:dyDescent="0.2">
      <c r="B28751"/>
      <c r="C28751"/>
      <c r="J28751"/>
      <c r="K28751"/>
      <c r="L28751"/>
    </row>
    <row r="28752" spans="2:12" x14ac:dyDescent="0.2">
      <c r="B28752"/>
      <c r="C28752"/>
      <c r="J28752"/>
      <c r="K28752"/>
      <c r="L28752"/>
    </row>
    <row r="28753" spans="2:12" x14ac:dyDescent="0.2">
      <c r="B28753"/>
      <c r="C28753"/>
      <c r="J28753"/>
      <c r="K28753"/>
      <c r="L28753"/>
    </row>
    <row r="28754" spans="2:12" x14ac:dyDescent="0.2">
      <c r="B28754"/>
      <c r="C28754"/>
      <c r="J28754"/>
      <c r="K28754"/>
      <c r="L28754"/>
    </row>
    <row r="28755" spans="2:12" x14ac:dyDescent="0.2">
      <c r="B28755"/>
      <c r="C28755"/>
      <c r="J28755"/>
      <c r="K28755"/>
      <c r="L28755"/>
    </row>
    <row r="28756" spans="2:12" x14ac:dyDescent="0.2">
      <c r="B28756"/>
      <c r="C28756"/>
      <c r="J28756"/>
      <c r="K28756"/>
      <c r="L28756"/>
    </row>
    <row r="28757" spans="2:12" x14ac:dyDescent="0.2">
      <c r="B28757"/>
      <c r="C28757"/>
      <c r="J28757"/>
      <c r="K28757"/>
      <c r="L28757"/>
    </row>
    <row r="28758" spans="2:12" x14ac:dyDescent="0.2">
      <c r="B28758"/>
      <c r="C28758"/>
      <c r="J28758"/>
      <c r="K28758"/>
      <c r="L28758"/>
    </row>
    <row r="28759" spans="2:12" x14ac:dyDescent="0.2">
      <c r="B28759"/>
      <c r="C28759"/>
      <c r="J28759"/>
      <c r="K28759"/>
      <c r="L28759"/>
    </row>
    <row r="28760" spans="2:12" x14ac:dyDescent="0.2">
      <c r="B28760"/>
      <c r="C28760"/>
      <c r="J28760"/>
      <c r="K28760"/>
      <c r="L28760"/>
    </row>
    <row r="28761" spans="2:12" x14ac:dyDescent="0.2">
      <c r="B28761"/>
      <c r="C28761"/>
      <c r="J28761"/>
      <c r="K28761"/>
      <c r="L28761"/>
    </row>
    <row r="28762" spans="2:12" x14ac:dyDescent="0.2">
      <c r="B28762"/>
      <c r="C28762"/>
      <c r="J28762"/>
      <c r="K28762"/>
      <c r="L28762"/>
    </row>
    <row r="28763" spans="2:12" x14ac:dyDescent="0.2">
      <c r="B28763"/>
      <c r="C28763"/>
      <c r="J28763"/>
      <c r="K28763"/>
      <c r="L28763"/>
    </row>
    <row r="28764" spans="2:12" x14ac:dyDescent="0.2">
      <c r="B28764"/>
      <c r="C28764"/>
      <c r="J28764"/>
      <c r="K28764"/>
      <c r="L28764"/>
    </row>
    <row r="28765" spans="2:12" x14ac:dyDescent="0.2">
      <c r="B28765"/>
      <c r="C28765"/>
      <c r="J28765"/>
      <c r="K28765"/>
      <c r="L28765"/>
    </row>
    <row r="28766" spans="2:12" x14ac:dyDescent="0.2">
      <c r="B28766"/>
      <c r="C28766"/>
      <c r="J28766"/>
      <c r="K28766"/>
      <c r="L28766"/>
    </row>
    <row r="28767" spans="2:12" x14ac:dyDescent="0.2">
      <c r="B28767"/>
      <c r="C28767"/>
      <c r="J28767"/>
      <c r="K28767"/>
      <c r="L28767"/>
    </row>
    <row r="28768" spans="2:12" x14ac:dyDescent="0.2">
      <c r="B28768"/>
      <c r="C28768"/>
      <c r="J28768"/>
      <c r="K28768"/>
      <c r="L28768"/>
    </row>
    <row r="28769" spans="2:12" x14ac:dyDescent="0.2">
      <c r="B28769"/>
      <c r="C28769"/>
      <c r="J28769"/>
      <c r="K28769"/>
      <c r="L28769"/>
    </row>
    <row r="28770" spans="2:12" x14ac:dyDescent="0.2">
      <c r="B28770"/>
      <c r="C28770"/>
      <c r="J28770"/>
      <c r="K28770"/>
      <c r="L28770"/>
    </row>
    <row r="28771" spans="2:12" x14ac:dyDescent="0.2">
      <c r="B28771"/>
      <c r="C28771"/>
      <c r="J28771"/>
      <c r="K28771"/>
      <c r="L28771"/>
    </row>
    <row r="28772" spans="2:12" x14ac:dyDescent="0.2">
      <c r="B28772"/>
      <c r="C28772"/>
      <c r="J28772"/>
      <c r="K28772"/>
      <c r="L28772"/>
    </row>
    <row r="28773" spans="2:12" x14ac:dyDescent="0.2">
      <c r="B28773"/>
      <c r="C28773"/>
      <c r="J28773"/>
      <c r="K28773"/>
      <c r="L28773"/>
    </row>
    <row r="28774" spans="2:12" x14ac:dyDescent="0.2">
      <c r="B28774"/>
      <c r="C28774"/>
      <c r="J28774"/>
      <c r="K28774"/>
      <c r="L28774"/>
    </row>
    <row r="28775" spans="2:12" x14ac:dyDescent="0.2">
      <c r="B28775"/>
      <c r="C28775"/>
      <c r="J28775"/>
      <c r="K28775"/>
      <c r="L28775"/>
    </row>
    <row r="28776" spans="2:12" x14ac:dyDescent="0.2">
      <c r="B28776"/>
      <c r="C28776"/>
      <c r="J28776"/>
      <c r="K28776"/>
      <c r="L28776"/>
    </row>
    <row r="28777" spans="2:12" x14ac:dyDescent="0.2">
      <c r="B28777"/>
      <c r="C28777"/>
      <c r="J28777"/>
      <c r="K28777"/>
      <c r="L28777"/>
    </row>
    <row r="28778" spans="2:12" x14ac:dyDescent="0.2">
      <c r="B28778"/>
      <c r="C28778"/>
      <c r="J28778"/>
      <c r="K28778"/>
      <c r="L28778"/>
    </row>
    <row r="28779" spans="2:12" x14ac:dyDescent="0.2">
      <c r="B28779"/>
      <c r="C28779"/>
      <c r="J28779"/>
      <c r="K28779"/>
      <c r="L28779"/>
    </row>
    <row r="28780" spans="2:12" x14ac:dyDescent="0.2">
      <c r="B28780"/>
      <c r="C28780"/>
      <c r="J28780"/>
      <c r="K28780"/>
      <c r="L28780"/>
    </row>
    <row r="28781" spans="2:12" x14ac:dyDescent="0.2">
      <c r="B28781"/>
      <c r="C28781"/>
      <c r="J28781"/>
      <c r="K28781"/>
      <c r="L28781"/>
    </row>
    <row r="28782" spans="2:12" x14ac:dyDescent="0.2">
      <c r="B28782"/>
      <c r="C28782"/>
      <c r="J28782"/>
      <c r="K28782"/>
      <c r="L28782"/>
    </row>
    <row r="28783" spans="2:12" x14ac:dyDescent="0.2">
      <c r="B28783"/>
      <c r="C28783"/>
      <c r="J28783"/>
      <c r="K28783"/>
      <c r="L28783"/>
    </row>
    <row r="28784" spans="2:12" x14ac:dyDescent="0.2">
      <c r="B28784"/>
      <c r="C28784"/>
      <c r="J28784"/>
      <c r="K28784"/>
      <c r="L28784"/>
    </row>
    <row r="28785" spans="2:12" x14ac:dyDescent="0.2">
      <c r="B28785"/>
      <c r="C28785"/>
      <c r="J28785"/>
      <c r="K28785"/>
      <c r="L28785"/>
    </row>
    <row r="28786" spans="2:12" x14ac:dyDescent="0.2">
      <c r="B28786"/>
      <c r="C28786"/>
      <c r="J28786"/>
      <c r="K28786"/>
      <c r="L28786"/>
    </row>
    <row r="28787" spans="2:12" x14ac:dyDescent="0.2">
      <c r="B28787"/>
      <c r="C28787"/>
      <c r="J28787"/>
      <c r="K28787"/>
      <c r="L28787"/>
    </row>
    <row r="28788" spans="2:12" x14ac:dyDescent="0.2">
      <c r="B28788"/>
      <c r="C28788"/>
      <c r="J28788"/>
      <c r="K28788"/>
      <c r="L28788"/>
    </row>
    <row r="28789" spans="2:12" x14ac:dyDescent="0.2">
      <c r="B28789"/>
      <c r="C28789"/>
      <c r="J28789"/>
      <c r="K28789"/>
      <c r="L28789"/>
    </row>
    <row r="28790" spans="2:12" x14ac:dyDescent="0.2">
      <c r="B28790"/>
      <c r="C28790"/>
      <c r="J28790"/>
      <c r="K28790"/>
      <c r="L28790"/>
    </row>
    <row r="28791" spans="2:12" x14ac:dyDescent="0.2">
      <c r="B28791"/>
      <c r="C28791"/>
      <c r="J28791"/>
      <c r="K28791"/>
      <c r="L28791"/>
    </row>
    <row r="28792" spans="2:12" x14ac:dyDescent="0.2">
      <c r="B28792"/>
      <c r="C28792"/>
      <c r="J28792"/>
      <c r="K28792"/>
      <c r="L28792"/>
    </row>
    <row r="28793" spans="2:12" x14ac:dyDescent="0.2">
      <c r="B28793"/>
      <c r="C28793"/>
      <c r="J28793"/>
      <c r="K28793"/>
      <c r="L28793"/>
    </row>
    <row r="28794" spans="2:12" x14ac:dyDescent="0.2">
      <c r="B28794"/>
      <c r="C28794"/>
      <c r="J28794"/>
      <c r="K28794"/>
      <c r="L28794"/>
    </row>
    <row r="28795" spans="2:12" x14ac:dyDescent="0.2">
      <c r="B28795"/>
      <c r="C28795"/>
      <c r="J28795"/>
      <c r="K28795"/>
      <c r="L28795"/>
    </row>
    <row r="28796" spans="2:12" x14ac:dyDescent="0.2">
      <c r="B28796"/>
      <c r="C28796"/>
      <c r="J28796"/>
      <c r="K28796"/>
      <c r="L28796"/>
    </row>
    <row r="28797" spans="2:12" x14ac:dyDescent="0.2">
      <c r="B28797"/>
      <c r="C28797"/>
      <c r="J28797"/>
      <c r="K28797"/>
      <c r="L28797"/>
    </row>
    <row r="28798" spans="2:12" x14ac:dyDescent="0.2">
      <c r="B28798"/>
      <c r="C28798"/>
      <c r="J28798"/>
      <c r="K28798"/>
      <c r="L28798"/>
    </row>
    <row r="28799" spans="2:12" x14ac:dyDescent="0.2">
      <c r="B28799"/>
      <c r="C28799"/>
      <c r="J28799"/>
      <c r="K28799"/>
      <c r="L28799"/>
    </row>
    <row r="28800" spans="2:12" x14ac:dyDescent="0.2">
      <c r="B28800"/>
      <c r="C28800"/>
      <c r="J28800"/>
      <c r="K28800"/>
      <c r="L28800"/>
    </row>
    <row r="28801" spans="2:12" x14ac:dyDescent="0.2">
      <c r="B28801"/>
      <c r="C28801"/>
      <c r="J28801"/>
      <c r="K28801"/>
      <c r="L28801"/>
    </row>
    <row r="28802" spans="2:12" x14ac:dyDescent="0.2">
      <c r="B28802"/>
      <c r="C28802"/>
      <c r="J28802"/>
      <c r="K28802"/>
      <c r="L28802"/>
    </row>
    <row r="28803" spans="2:12" x14ac:dyDescent="0.2">
      <c r="B28803"/>
      <c r="C28803"/>
      <c r="J28803"/>
      <c r="K28803"/>
      <c r="L28803"/>
    </row>
    <row r="28804" spans="2:12" x14ac:dyDescent="0.2">
      <c r="B28804"/>
      <c r="C28804"/>
      <c r="J28804"/>
      <c r="K28804"/>
      <c r="L28804"/>
    </row>
    <row r="28805" spans="2:12" x14ac:dyDescent="0.2">
      <c r="B28805"/>
      <c r="C28805"/>
      <c r="J28805"/>
      <c r="K28805"/>
      <c r="L28805"/>
    </row>
    <row r="28806" spans="2:12" x14ac:dyDescent="0.2">
      <c r="B28806"/>
      <c r="C28806"/>
      <c r="J28806"/>
      <c r="K28806"/>
      <c r="L28806"/>
    </row>
    <row r="28807" spans="2:12" x14ac:dyDescent="0.2">
      <c r="B28807"/>
      <c r="C28807"/>
      <c r="J28807"/>
      <c r="K28807"/>
      <c r="L28807"/>
    </row>
    <row r="28808" spans="2:12" x14ac:dyDescent="0.2">
      <c r="B28808"/>
      <c r="C28808"/>
      <c r="J28808"/>
      <c r="K28808"/>
      <c r="L28808"/>
    </row>
    <row r="28809" spans="2:12" x14ac:dyDescent="0.2">
      <c r="B28809"/>
      <c r="C28809"/>
      <c r="J28809"/>
      <c r="K28809"/>
      <c r="L28809"/>
    </row>
    <row r="28810" spans="2:12" x14ac:dyDescent="0.2">
      <c r="B28810"/>
      <c r="C28810"/>
      <c r="J28810"/>
      <c r="K28810"/>
      <c r="L28810"/>
    </row>
    <row r="28811" spans="2:12" x14ac:dyDescent="0.2">
      <c r="B28811"/>
      <c r="C28811"/>
      <c r="J28811"/>
      <c r="K28811"/>
      <c r="L28811"/>
    </row>
    <row r="28812" spans="2:12" x14ac:dyDescent="0.2">
      <c r="B28812"/>
      <c r="C28812"/>
      <c r="J28812"/>
      <c r="K28812"/>
      <c r="L28812"/>
    </row>
    <row r="28813" spans="2:12" x14ac:dyDescent="0.2">
      <c r="B28813"/>
      <c r="C28813"/>
      <c r="J28813"/>
      <c r="K28813"/>
      <c r="L28813"/>
    </row>
    <row r="28814" spans="2:12" x14ac:dyDescent="0.2">
      <c r="B28814"/>
      <c r="C28814"/>
      <c r="J28814"/>
      <c r="K28814"/>
      <c r="L28814"/>
    </row>
    <row r="28815" spans="2:12" x14ac:dyDescent="0.2">
      <c r="B28815"/>
      <c r="C28815"/>
      <c r="J28815"/>
      <c r="K28815"/>
      <c r="L28815"/>
    </row>
    <row r="28816" spans="2:12" x14ac:dyDescent="0.2">
      <c r="B28816"/>
      <c r="C28816"/>
      <c r="J28816"/>
      <c r="K28816"/>
      <c r="L28816"/>
    </row>
    <row r="28817" spans="2:12" x14ac:dyDescent="0.2">
      <c r="B28817"/>
      <c r="C28817"/>
      <c r="J28817"/>
      <c r="K28817"/>
      <c r="L28817"/>
    </row>
    <row r="28818" spans="2:12" x14ac:dyDescent="0.2">
      <c r="B28818"/>
      <c r="C28818"/>
      <c r="J28818"/>
      <c r="K28818"/>
      <c r="L28818"/>
    </row>
    <row r="28819" spans="2:12" x14ac:dyDescent="0.2">
      <c r="B28819"/>
      <c r="C28819"/>
      <c r="J28819"/>
      <c r="K28819"/>
      <c r="L28819"/>
    </row>
    <row r="28820" spans="2:12" x14ac:dyDescent="0.2">
      <c r="B28820"/>
      <c r="C28820"/>
      <c r="J28820"/>
      <c r="K28820"/>
      <c r="L28820"/>
    </row>
    <row r="28821" spans="2:12" x14ac:dyDescent="0.2">
      <c r="B28821"/>
      <c r="C28821"/>
      <c r="J28821"/>
      <c r="K28821"/>
      <c r="L28821"/>
    </row>
    <row r="28822" spans="2:12" x14ac:dyDescent="0.2">
      <c r="B28822"/>
      <c r="C28822"/>
      <c r="J28822"/>
      <c r="K28822"/>
      <c r="L28822"/>
    </row>
    <row r="28823" spans="2:12" x14ac:dyDescent="0.2">
      <c r="B28823"/>
      <c r="C28823"/>
      <c r="J28823"/>
      <c r="K28823"/>
      <c r="L28823"/>
    </row>
    <row r="28824" spans="2:12" x14ac:dyDescent="0.2">
      <c r="B28824"/>
      <c r="C28824"/>
      <c r="J28824"/>
      <c r="K28824"/>
      <c r="L28824"/>
    </row>
    <row r="28825" spans="2:12" x14ac:dyDescent="0.2">
      <c r="B28825"/>
      <c r="C28825"/>
      <c r="J28825"/>
      <c r="K28825"/>
      <c r="L28825"/>
    </row>
    <row r="28826" spans="2:12" x14ac:dyDescent="0.2">
      <c r="B28826"/>
      <c r="C28826"/>
      <c r="J28826"/>
      <c r="K28826"/>
      <c r="L28826"/>
    </row>
    <row r="28827" spans="2:12" x14ac:dyDescent="0.2">
      <c r="B28827"/>
      <c r="C28827"/>
      <c r="J28827"/>
      <c r="K28827"/>
      <c r="L28827"/>
    </row>
    <row r="28828" spans="2:12" x14ac:dyDescent="0.2">
      <c r="B28828"/>
      <c r="C28828"/>
      <c r="J28828"/>
      <c r="K28828"/>
      <c r="L28828"/>
    </row>
    <row r="28829" spans="2:12" x14ac:dyDescent="0.2">
      <c r="B28829"/>
      <c r="C28829"/>
      <c r="J28829"/>
      <c r="K28829"/>
      <c r="L28829"/>
    </row>
    <row r="28830" spans="2:12" x14ac:dyDescent="0.2">
      <c r="B28830"/>
      <c r="C28830"/>
      <c r="J28830"/>
      <c r="K28830"/>
      <c r="L28830"/>
    </row>
    <row r="28831" spans="2:12" x14ac:dyDescent="0.2">
      <c r="B28831"/>
      <c r="C28831"/>
      <c r="J28831"/>
      <c r="K28831"/>
      <c r="L28831"/>
    </row>
    <row r="28832" spans="2:12" x14ac:dyDescent="0.2">
      <c r="B28832"/>
      <c r="C28832"/>
      <c r="J28832"/>
      <c r="K28832"/>
      <c r="L28832"/>
    </row>
    <row r="28833" spans="2:12" x14ac:dyDescent="0.2">
      <c r="B28833"/>
      <c r="C28833"/>
      <c r="J28833"/>
      <c r="K28833"/>
      <c r="L28833"/>
    </row>
    <row r="28834" spans="2:12" x14ac:dyDescent="0.2">
      <c r="B28834"/>
      <c r="C28834"/>
      <c r="J28834"/>
      <c r="K28834"/>
      <c r="L28834"/>
    </row>
    <row r="28835" spans="2:12" x14ac:dyDescent="0.2">
      <c r="B28835"/>
      <c r="C28835"/>
      <c r="J28835"/>
      <c r="K28835"/>
      <c r="L28835"/>
    </row>
    <row r="28836" spans="2:12" x14ac:dyDescent="0.2">
      <c r="B28836"/>
      <c r="C28836"/>
      <c r="J28836"/>
      <c r="K28836"/>
      <c r="L28836"/>
    </row>
    <row r="28837" spans="2:12" x14ac:dyDescent="0.2">
      <c r="B28837"/>
      <c r="C28837"/>
      <c r="J28837"/>
      <c r="K28837"/>
      <c r="L28837"/>
    </row>
    <row r="28838" spans="2:12" x14ac:dyDescent="0.2">
      <c r="B28838"/>
      <c r="C28838"/>
      <c r="J28838"/>
      <c r="K28838"/>
      <c r="L28838"/>
    </row>
    <row r="28839" spans="2:12" x14ac:dyDescent="0.2">
      <c r="B28839"/>
      <c r="C28839"/>
      <c r="J28839"/>
      <c r="K28839"/>
      <c r="L28839"/>
    </row>
    <row r="28840" spans="2:12" x14ac:dyDescent="0.2">
      <c r="B28840"/>
      <c r="C28840"/>
      <c r="J28840"/>
      <c r="K28840"/>
      <c r="L28840"/>
    </row>
    <row r="28841" spans="2:12" x14ac:dyDescent="0.2">
      <c r="B28841"/>
      <c r="C28841"/>
      <c r="J28841"/>
      <c r="K28841"/>
      <c r="L28841"/>
    </row>
    <row r="28842" spans="2:12" x14ac:dyDescent="0.2">
      <c r="B28842"/>
      <c r="C28842"/>
      <c r="J28842"/>
      <c r="K28842"/>
      <c r="L28842"/>
    </row>
    <row r="28843" spans="2:12" x14ac:dyDescent="0.2">
      <c r="B28843"/>
      <c r="C28843"/>
      <c r="J28843"/>
      <c r="K28843"/>
      <c r="L28843"/>
    </row>
    <row r="28844" spans="2:12" x14ac:dyDescent="0.2">
      <c r="B28844"/>
      <c r="C28844"/>
      <c r="J28844"/>
      <c r="K28844"/>
      <c r="L28844"/>
    </row>
    <row r="28845" spans="2:12" x14ac:dyDescent="0.2">
      <c r="B28845"/>
      <c r="C28845"/>
      <c r="J28845"/>
      <c r="K28845"/>
      <c r="L28845"/>
    </row>
    <row r="28846" spans="2:12" x14ac:dyDescent="0.2">
      <c r="B28846"/>
      <c r="C28846"/>
      <c r="J28846"/>
      <c r="K28846"/>
      <c r="L28846"/>
    </row>
    <row r="28847" spans="2:12" x14ac:dyDescent="0.2">
      <c r="B28847"/>
      <c r="C28847"/>
      <c r="J28847"/>
      <c r="K28847"/>
      <c r="L28847"/>
    </row>
    <row r="28848" spans="2:12" x14ac:dyDescent="0.2">
      <c r="B28848"/>
      <c r="C28848"/>
      <c r="J28848"/>
      <c r="K28848"/>
      <c r="L28848"/>
    </row>
    <row r="28849" spans="2:12" x14ac:dyDescent="0.2">
      <c r="B28849"/>
      <c r="C28849"/>
      <c r="J28849"/>
      <c r="K28849"/>
      <c r="L28849"/>
    </row>
    <row r="28850" spans="2:12" x14ac:dyDescent="0.2">
      <c r="B28850"/>
      <c r="C28850"/>
      <c r="J28850"/>
      <c r="K28850"/>
      <c r="L28850"/>
    </row>
    <row r="28851" spans="2:12" x14ac:dyDescent="0.2">
      <c r="B28851"/>
      <c r="C28851"/>
      <c r="J28851"/>
      <c r="K28851"/>
      <c r="L28851"/>
    </row>
    <row r="28852" spans="2:12" x14ac:dyDescent="0.2">
      <c r="B28852"/>
      <c r="C28852"/>
      <c r="J28852"/>
      <c r="K28852"/>
      <c r="L28852"/>
    </row>
    <row r="28853" spans="2:12" x14ac:dyDescent="0.2">
      <c r="B28853"/>
      <c r="C28853"/>
      <c r="J28853"/>
      <c r="K28853"/>
      <c r="L28853"/>
    </row>
    <row r="28854" spans="2:12" x14ac:dyDescent="0.2">
      <c r="B28854"/>
      <c r="C28854"/>
      <c r="J28854"/>
      <c r="K28854"/>
      <c r="L28854"/>
    </row>
    <row r="28855" spans="2:12" x14ac:dyDescent="0.2">
      <c r="B28855"/>
      <c r="C28855"/>
      <c r="J28855"/>
      <c r="K28855"/>
      <c r="L28855"/>
    </row>
    <row r="28856" spans="2:12" x14ac:dyDescent="0.2">
      <c r="B28856"/>
      <c r="C28856"/>
      <c r="J28856"/>
      <c r="K28856"/>
      <c r="L28856"/>
    </row>
    <row r="28857" spans="2:12" x14ac:dyDescent="0.2">
      <c r="B28857"/>
      <c r="C28857"/>
      <c r="J28857"/>
      <c r="K28857"/>
      <c r="L28857"/>
    </row>
    <row r="28858" spans="2:12" x14ac:dyDescent="0.2">
      <c r="B28858"/>
      <c r="C28858"/>
      <c r="J28858"/>
      <c r="K28858"/>
      <c r="L28858"/>
    </row>
    <row r="28859" spans="2:12" x14ac:dyDescent="0.2">
      <c r="B28859"/>
      <c r="C28859"/>
      <c r="J28859"/>
      <c r="K28859"/>
      <c r="L28859"/>
    </row>
    <row r="28860" spans="2:12" x14ac:dyDescent="0.2">
      <c r="B28860"/>
      <c r="C28860"/>
      <c r="J28860"/>
      <c r="K28860"/>
      <c r="L28860"/>
    </row>
    <row r="28861" spans="2:12" x14ac:dyDescent="0.2">
      <c r="B28861"/>
      <c r="C28861"/>
      <c r="J28861"/>
      <c r="K28861"/>
      <c r="L28861"/>
    </row>
    <row r="28862" spans="2:12" x14ac:dyDescent="0.2">
      <c r="B28862"/>
      <c r="C28862"/>
      <c r="J28862"/>
      <c r="K28862"/>
      <c r="L28862"/>
    </row>
    <row r="28863" spans="2:12" x14ac:dyDescent="0.2">
      <c r="B28863"/>
      <c r="C28863"/>
      <c r="J28863"/>
      <c r="K28863"/>
      <c r="L28863"/>
    </row>
    <row r="28864" spans="2:12" x14ac:dyDescent="0.2">
      <c r="B28864"/>
      <c r="C28864"/>
      <c r="J28864"/>
      <c r="K28864"/>
      <c r="L28864"/>
    </row>
    <row r="28865" spans="2:12" x14ac:dyDescent="0.2">
      <c r="B28865"/>
      <c r="C28865"/>
      <c r="J28865"/>
      <c r="K28865"/>
      <c r="L28865"/>
    </row>
    <row r="28866" spans="2:12" x14ac:dyDescent="0.2">
      <c r="B28866"/>
      <c r="C28866"/>
      <c r="J28866"/>
      <c r="K28866"/>
      <c r="L28866"/>
    </row>
    <row r="28867" spans="2:12" x14ac:dyDescent="0.2">
      <c r="B28867"/>
      <c r="C28867"/>
      <c r="J28867"/>
      <c r="K28867"/>
      <c r="L28867"/>
    </row>
    <row r="28868" spans="2:12" x14ac:dyDescent="0.2">
      <c r="B28868"/>
      <c r="C28868"/>
      <c r="J28868"/>
      <c r="K28868"/>
      <c r="L28868"/>
    </row>
    <row r="28869" spans="2:12" x14ac:dyDescent="0.2">
      <c r="B28869"/>
      <c r="C28869"/>
      <c r="J28869"/>
      <c r="K28869"/>
      <c r="L28869"/>
    </row>
    <row r="28870" spans="2:12" x14ac:dyDescent="0.2">
      <c r="B28870"/>
      <c r="C28870"/>
      <c r="J28870"/>
      <c r="K28870"/>
      <c r="L28870"/>
    </row>
    <row r="28871" spans="2:12" x14ac:dyDescent="0.2">
      <c r="B28871"/>
      <c r="C28871"/>
      <c r="J28871"/>
      <c r="K28871"/>
      <c r="L28871"/>
    </row>
    <row r="28872" spans="2:12" x14ac:dyDescent="0.2">
      <c r="B28872"/>
      <c r="C28872"/>
      <c r="J28872"/>
      <c r="K28872"/>
      <c r="L28872"/>
    </row>
    <row r="28873" spans="2:12" x14ac:dyDescent="0.2">
      <c r="B28873"/>
      <c r="C28873"/>
      <c r="J28873"/>
      <c r="K28873"/>
      <c r="L28873"/>
    </row>
    <row r="28874" spans="2:12" x14ac:dyDescent="0.2">
      <c r="B28874"/>
      <c r="C28874"/>
      <c r="J28874"/>
      <c r="K28874"/>
      <c r="L28874"/>
    </row>
    <row r="28875" spans="2:12" x14ac:dyDescent="0.2">
      <c r="B28875"/>
      <c r="C28875"/>
      <c r="J28875"/>
      <c r="K28875"/>
      <c r="L28875"/>
    </row>
    <row r="28876" spans="2:12" x14ac:dyDescent="0.2">
      <c r="B28876"/>
      <c r="C28876"/>
      <c r="J28876"/>
      <c r="K28876"/>
      <c r="L28876"/>
    </row>
    <row r="28877" spans="2:12" x14ac:dyDescent="0.2">
      <c r="B28877"/>
      <c r="C28877"/>
      <c r="J28877"/>
      <c r="K28877"/>
      <c r="L28877"/>
    </row>
    <row r="28878" spans="2:12" x14ac:dyDescent="0.2">
      <c r="B28878"/>
      <c r="C28878"/>
      <c r="J28878"/>
      <c r="K28878"/>
      <c r="L28878"/>
    </row>
    <row r="28879" spans="2:12" x14ac:dyDescent="0.2">
      <c r="B28879"/>
      <c r="C28879"/>
      <c r="J28879"/>
      <c r="K28879"/>
      <c r="L28879"/>
    </row>
    <row r="28880" spans="2:12" x14ac:dyDescent="0.2">
      <c r="B28880"/>
      <c r="C28880"/>
      <c r="J28880"/>
      <c r="K28880"/>
      <c r="L28880"/>
    </row>
    <row r="28881" spans="2:12" x14ac:dyDescent="0.2">
      <c r="B28881"/>
      <c r="C28881"/>
      <c r="J28881"/>
      <c r="K28881"/>
      <c r="L28881"/>
    </row>
    <row r="28882" spans="2:12" x14ac:dyDescent="0.2">
      <c r="B28882"/>
      <c r="C28882"/>
      <c r="J28882"/>
      <c r="K28882"/>
      <c r="L28882"/>
    </row>
    <row r="28883" spans="2:12" x14ac:dyDescent="0.2">
      <c r="B28883"/>
      <c r="C28883"/>
      <c r="J28883"/>
      <c r="K28883"/>
      <c r="L28883"/>
    </row>
    <row r="28884" spans="2:12" x14ac:dyDescent="0.2">
      <c r="B28884"/>
      <c r="C28884"/>
      <c r="J28884"/>
      <c r="K28884"/>
      <c r="L28884"/>
    </row>
    <row r="28885" spans="2:12" x14ac:dyDescent="0.2">
      <c r="B28885"/>
      <c r="C28885"/>
      <c r="J28885"/>
      <c r="K28885"/>
      <c r="L28885"/>
    </row>
    <row r="28886" spans="2:12" x14ac:dyDescent="0.2">
      <c r="B28886"/>
      <c r="C28886"/>
      <c r="J28886"/>
      <c r="K28886"/>
      <c r="L28886"/>
    </row>
    <row r="28887" spans="2:12" x14ac:dyDescent="0.2">
      <c r="B28887"/>
      <c r="C28887"/>
      <c r="J28887"/>
      <c r="K28887"/>
      <c r="L28887"/>
    </row>
    <row r="28888" spans="2:12" x14ac:dyDescent="0.2">
      <c r="B28888"/>
      <c r="C28888"/>
      <c r="J28888"/>
      <c r="K28888"/>
      <c r="L28888"/>
    </row>
    <row r="28889" spans="2:12" x14ac:dyDescent="0.2">
      <c r="B28889"/>
      <c r="C28889"/>
      <c r="J28889"/>
      <c r="K28889"/>
      <c r="L28889"/>
    </row>
    <row r="28890" spans="2:12" x14ac:dyDescent="0.2">
      <c r="B28890"/>
      <c r="C28890"/>
      <c r="J28890"/>
      <c r="K28890"/>
      <c r="L28890"/>
    </row>
    <row r="28891" spans="2:12" x14ac:dyDescent="0.2">
      <c r="B28891"/>
      <c r="C28891"/>
      <c r="J28891"/>
      <c r="K28891"/>
      <c r="L28891"/>
    </row>
    <row r="28892" spans="2:12" x14ac:dyDescent="0.2">
      <c r="B28892"/>
      <c r="C28892"/>
      <c r="J28892"/>
      <c r="K28892"/>
      <c r="L28892"/>
    </row>
    <row r="28893" spans="2:12" x14ac:dyDescent="0.2">
      <c r="B28893"/>
      <c r="C28893"/>
      <c r="J28893"/>
      <c r="K28893"/>
      <c r="L28893"/>
    </row>
    <row r="28894" spans="2:12" x14ac:dyDescent="0.2">
      <c r="B28894"/>
      <c r="C28894"/>
      <c r="J28894"/>
      <c r="K28894"/>
      <c r="L28894"/>
    </row>
    <row r="28895" spans="2:12" x14ac:dyDescent="0.2">
      <c r="B28895"/>
      <c r="C28895"/>
      <c r="J28895"/>
      <c r="K28895"/>
      <c r="L28895"/>
    </row>
    <row r="28896" spans="2:12" x14ac:dyDescent="0.2">
      <c r="B28896"/>
      <c r="C28896"/>
      <c r="J28896"/>
      <c r="K28896"/>
      <c r="L28896"/>
    </row>
    <row r="28897" spans="2:12" x14ac:dyDescent="0.2">
      <c r="B28897"/>
      <c r="C28897"/>
      <c r="J28897"/>
      <c r="K28897"/>
      <c r="L28897"/>
    </row>
    <row r="28898" spans="2:12" x14ac:dyDescent="0.2">
      <c r="B28898"/>
      <c r="C28898"/>
      <c r="J28898"/>
      <c r="K28898"/>
      <c r="L28898"/>
    </row>
    <row r="28899" spans="2:12" x14ac:dyDescent="0.2">
      <c r="B28899"/>
      <c r="C28899"/>
      <c r="J28899"/>
      <c r="K28899"/>
      <c r="L28899"/>
    </row>
    <row r="28900" spans="2:12" x14ac:dyDescent="0.2">
      <c r="B28900"/>
      <c r="C28900"/>
      <c r="J28900"/>
      <c r="K28900"/>
      <c r="L28900"/>
    </row>
    <row r="28901" spans="2:12" x14ac:dyDescent="0.2">
      <c r="B28901"/>
      <c r="C28901"/>
      <c r="J28901"/>
      <c r="K28901"/>
      <c r="L28901"/>
    </row>
    <row r="28902" spans="2:12" x14ac:dyDescent="0.2">
      <c r="B28902"/>
      <c r="C28902"/>
      <c r="J28902"/>
      <c r="K28902"/>
      <c r="L28902"/>
    </row>
    <row r="28903" spans="2:12" x14ac:dyDescent="0.2">
      <c r="B28903"/>
      <c r="C28903"/>
      <c r="J28903"/>
      <c r="K28903"/>
      <c r="L28903"/>
    </row>
    <row r="28904" spans="2:12" x14ac:dyDescent="0.2">
      <c r="B28904"/>
      <c r="C28904"/>
      <c r="J28904"/>
      <c r="K28904"/>
      <c r="L28904"/>
    </row>
    <row r="28905" spans="2:12" x14ac:dyDescent="0.2">
      <c r="B28905"/>
      <c r="C28905"/>
      <c r="J28905"/>
      <c r="K28905"/>
      <c r="L28905"/>
    </row>
    <row r="28906" spans="2:12" x14ac:dyDescent="0.2">
      <c r="B28906"/>
      <c r="C28906"/>
      <c r="J28906"/>
      <c r="K28906"/>
      <c r="L28906"/>
    </row>
    <row r="28907" spans="2:12" x14ac:dyDescent="0.2">
      <c r="B28907"/>
      <c r="C28907"/>
      <c r="J28907"/>
      <c r="K28907"/>
      <c r="L28907"/>
    </row>
    <row r="28908" spans="2:12" x14ac:dyDescent="0.2">
      <c r="B28908"/>
      <c r="C28908"/>
      <c r="J28908"/>
      <c r="K28908"/>
      <c r="L28908"/>
    </row>
    <row r="28909" spans="2:12" x14ac:dyDescent="0.2">
      <c r="B28909"/>
      <c r="C28909"/>
      <c r="J28909"/>
      <c r="K28909"/>
      <c r="L28909"/>
    </row>
    <row r="28910" spans="2:12" x14ac:dyDescent="0.2">
      <c r="B28910"/>
      <c r="C28910"/>
      <c r="J28910"/>
      <c r="K28910"/>
      <c r="L28910"/>
    </row>
    <row r="28911" spans="2:12" x14ac:dyDescent="0.2">
      <c r="B28911"/>
      <c r="C28911"/>
      <c r="J28911"/>
      <c r="K28911"/>
      <c r="L28911"/>
    </row>
    <row r="28912" spans="2:12" x14ac:dyDescent="0.2">
      <c r="B28912"/>
      <c r="C28912"/>
      <c r="J28912"/>
      <c r="K28912"/>
      <c r="L28912"/>
    </row>
    <row r="28913" spans="2:12" x14ac:dyDescent="0.2">
      <c r="B28913"/>
      <c r="C28913"/>
      <c r="J28913"/>
      <c r="K28913"/>
      <c r="L28913"/>
    </row>
    <row r="28914" spans="2:12" x14ac:dyDescent="0.2">
      <c r="B28914"/>
      <c r="C28914"/>
      <c r="J28914"/>
      <c r="K28914"/>
      <c r="L28914"/>
    </row>
    <row r="28915" spans="2:12" x14ac:dyDescent="0.2">
      <c r="B28915"/>
      <c r="C28915"/>
      <c r="J28915"/>
      <c r="K28915"/>
      <c r="L28915"/>
    </row>
    <row r="28916" spans="2:12" x14ac:dyDescent="0.2">
      <c r="B28916"/>
      <c r="C28916"/>
      <c r="J28916"/>
      <c r="K28916"/>
      <c r="L28916"/>
    </row>
    <row r="28917" spans="2:12" x14ac:dyDescent="0.2">
      <c r="B28917"/>
      <c r="C28917"/>
      <c r="J28917"/>
      <c r="K28917"/>
      <c r="L28917"/>
    </row>
    <row r="28918" spans="2:12" x14ac:dyDescent="0.2">
      <c r="B28918"/>
      <c r="C28918"/>
      <c r="J28918"/>
      <c r="K28918"/>
      <c r="L28918"/>
    </row>
    <row r="28919" spans="2:12" x14ac:dyDescent="0.2">
      <c r="B28919"/>
      <c r="C28919"/>
      <c r="J28919"/>
      <c r="K28919"/>
      <c r="L28919"/>
    </row>
    <row r="28920" spans="2:12" x14ac:dyDescent="0.2">
      <c r="B28920"/>
      <c r="C28920"/>
      <c r="J28920"/>
      <c r="K28920"/>
      <c r="L28920"/>
    </row>
    <row r="28921" spans="2:12" x14ac:dyDescent="0.2">
      <c r="B28921"/>
      <c r="C28921"/>
      <c r="J28921"/>
      <c r="K28921"/>
      <c r="L28921"/>
    </row>
    <row r="28922" spans="2:12" x14ac:dyDescent="0.2">
      <c r="B28922"/>
      <c r="C28922"/>
      <c r="J28922"/>
      <c r="K28922"/>
      <c r="L28922"/>
    </row>
    <row r="28923" spans="2:12" x14ac:dyDescent="0.2">
      <c r="B28923"/>
      <c r="C28923"/>
      <c r="J28923"/>
      <c r="K28923"/>
      <c r="L28923"/>
    </row>
    <row r="28924" spans="2:12" x14ac:dyDescent="0.2">
      <c r="B28924"/>
      <c r="C28924"/>
      <c r="J28924"/>
      <c r="K28924"/>
      <c r="L28924"/>
    </row>
    <row r="28925" spans="2:12" x14ac:dyDescent="0.2">
      <c r="B28925"/>
      <c r="C28925"/>
      <c r="J28925"/>
      <c r="K28925"/>
      <c r="L28925"/>
    </row>
    <row r="28926" spans="2:12" x14ac:dyDescent="0.2">
      <c r="B28926"/>
      <c r="C28926"/>
      <c r="J28926"/>
      <c r="K28926"/>
      <c r="L28926"/>
    </row>
    <row r="28927" spans="2:12" x14ac:dyDescent="0.2">
      <c r="B28927"/>
      <c r="C28927"/>
      <c r="J28927"/>
      <c r="K28927"/>
      <c r="L28927"/>
    </row>
    <row r="28928" spans="2:12" x14ac:dyDescent="0.2">
      <c r="B28928"/>
      <c r="C28928"/>
      <c r="J28928"/>
      <c r="K28928"/>
      <c r="L28928"/>
    </row>
    <row r="28929" spans="2:12" x14ac:dyDescent="0.2">
      <c r="B28929"/>
      <c r="C28929"/>
      <c r="J28929"/>
      <c r="K28929"/>
      <c r="L28929"/>
    </row>
    <row r="28930" spans="2:12" x14ac:dyDescent="0.2">
      <c r="B28930"/>
      <c r="C28930"/>
      <c r="J28930"/>
      <c r="K28930"/>
      <c r="L28930"/>
    </row>
    <row r="28931" spans="2:12" x14ac:dyDescent="0.2">
      <c r="B28931"/>
      <c r="C28931"/>
      <c r="J28931"/>
      <c r="K28931"/>
      <c r="L28931"/>
    </row>
    <row r="28932" spans="2:12" x14ac:dyDescent="0.2">
      <c r="B28932"/>
      <c r="C28932"/>
      <c r="J28932"/>
      <c r="K28932"/>
      <c r="L28932"/>
    </row>
    <row r="28933" spans="2:12" x14ac:dyDescent="0.2">
      <c r="B28933"/>
      <c r="C28933"/>
      <c r="J28933"/>
      <c r="K28933"/>
      <c r="L28933"/>
    </row>
    <row r="28934" spans="2:12" x14ac:dyDescent="0.2">
      <c r="B28934"/>
      <c r="C28934"/>
      <c r="J28934"/>
      <c r="K28934"/>
      <c r="L28934"/>
    </row>
    <row r="28935" spans="2:12" x14ac:dyDescent="0.2">
      <c r="B28935"/>
      <c r="C28935"/>
      <c r="J28935"/>
      <c r="K28935"/>
      <c r="L28935"/>
    </row>
    <row r="28936" spans="2:12" x14ac:dyDescent="0.2">
      <c r="B28936"/>
      <c r="C28936"/>
      <c r="J28936"/>
      <c r="K28936"/>
      <c r="L28936"/>
    </row>
    <row r="28937" spans="2:12" x14ac:dyDescent="0.2">
      <c r="B28937"/>
      <c r="C28937"/>
      <c r="J28937"/>
      <c r="K28937"/>
      <c r="L28937"/>
    </row>
    <row r="28938" spans="2:12" x14ac:dyDescent="0.2">
      <c r="B28938"/>
      <c r="C28938"/>
      <c r="J28938"/>
      <c r="K28938"/>
      <c r="L28938"/>
    </row>
    <row r="28939" spans="2:12" x14ac:dyDescent="0.2">
      <c r="B28939"/>
      <c r="C28939"/>
      <c r="J28939"/>
      <c r="K28939"/>
      <c r="L28939"/>
    </row>
    <row r="28940" spans="2:12" x14ac:dyDescent="0.2">
      <c r="B28940"/>
      <c r="C28940"/>
      <c r="J28940"/>
      <c r="K28940"/>
      <c r="L28940"/>
    </row>
    <row r="28941" spans="2:12" x14ac:dyDescent="0.2">
      <c r="B28941"/>
      <c r="C28941"/>
      <c r="J28941"/>
      <c r="K28941"/>
      <c r="L28941"/>
    </row>
    <row r="28942" spans="2:12" x14ac:dyDescent="0.2">
      <c r="B28942"/>
      <c r="C28942"/>
      <c r="J28942"/>
      <c r="K28942"/>
      <c r="L28942"/>
    </row>
    <row r="28943" spans="2:12" x14ac:dyDescent="0.2">
      <c r="B28943"/>
      <c r="C28943"/>
      <c r="J28943"/>
      <c r="K28943"/>
      <c r="L28943"/>
    </row>
    <row r="28944" spans="2:12" x14ac:dyDescent="0.2">
      <c r="B28944"/>
      <c r="C28944"/>
      <c r="J28944"/>
      <c r="K28944"/>
      <c r="L28944"/>
    </row>
    <row r="28945" spans="2:12" x14ac:dyDescent="0.2">
      <c r="B28945"/>
      <c r="C28945"/>
      <c r="J28945"/>
      <c r="K28945"/>
      <c r="L28945"/>
    </row>
    <row r="28946" spans="2:12" x14ac:dyDescent="0.2">
      <c r="B28946"/>
      <c r="C28946"/>
      <c r="J28946"/>
      <c r="K28946"/>
      <c r="L28946"/>
    </row>
    <row r="28947" spans="2:12" x14ac:dyDescent="0.2">
      <c r="B28947"/>
      <c r="C28947"/>
      <c r="J28947"/>
      <c r="K28947"/>
      <c r="L28947"/>
    </row>
    <row r="28948" spans="2:12" x14ac:dyDescent="0.2">
      <c r="B28948"/>
      <c r="C28948"/>
      <c r="J28948"/>
      <c r="K28948"/>
      <c r="L28948"/>
    </row>
    <row r="28949" spans="2:12" x14ac:dyDescent="0.2">
      <c r="B28949"/>
      <c r="C28949"/>
      <c r="J28949"/>
      <c r="K28949"/>
      <c r="L28949"/>
    </row>
    <row r="28950" spans="2:12" x14ac:dyDescent="0.2">
      <c r="B28950"/>
      <c r="C28950"/>
      <c r="J28950"/>
      <c r="K28950"/>
      <c r="L28950"/>
    </row>
    <row r="28951" spans="2:12" x14ac:dyDescent="0.2">
      <c r="B28951"/>
      <c r="C28951"/>
      <c r="J28951"/>
      <c r="K28951"/>
      <c r="L28951"/>
    </row>
    <row r="28952" spans="2:12" x14ac:dyDescent="0.2">
      <c r="B28952"/>
      <c r="C28952"/>
      <c r="J28952"/>
      <c r="K28952"/>
      <c r="L28952"/>
    </row>
    <row r="28953" spans="2:12" x14ac:dyDescent="0.2">
      <c r="B28953"/>
      <c r="C28953"/>
      <c r="J28953"/>
      <c r="K28953"/>
      <c r="L28953"/>
    </row>
    <row r="28954" spans="2:12" x14ac:dyDescent="0.2">
      <c r="B28954"/>
      <c r="C28954"/>
      <c r="J28954"/>
      <c r="K28954"/>
      <c r="L28954"/>
    </row>
    <row r="28955" spans="2:12" x14ac:dyDescent="0.2">
      <c r="B28955"/>
      <c r="C28955"/>
      <c r="J28955"/>
      <c r="K28955"/>
      <c r="L28955"/>
    </row>
    <row r="28956" spans="2:12" x14ac:dyDescent="0.2">
      <c r="B28956"/>
      <c r="C28956"/>
      <c r="J28956"/>
      <c r="K28956"/>
      <c r="L28956"/>
    </row>
    <row r="28957" spans="2:12" x14ac:dyDescent="0.2">
      <c r="B28957"/>
      <c r="C28957"/>
      <c r="J28957"/>
      <c r="K28957"/>
      <c r="L28957"/>
    </row>
    <row r="28958" spans="2:12" x14ac:dyDescent="0.2">
      <c r="B28958"/>
      <c r="C28958"/>
      <c r="J28958"/>
      <c r="K28958"/>
      <c r="L28958"/>
    </row>
    <row r="28959" spans="2:12" x14ac:dyDescent="0.2">
      <c r="B28959"/>
      <c r="C28959"/>
      <c r="J28959"/>
      <c r="K28959"/>
      <c r="L28959"/>
    </row>
    <row r="28960" spans="2:12" x14ac:dyDescent="0.2">
      <c r="B28960"/>
      <c r="C28960"/>
      <c r="J28960"/>
      <c r="K28960"/>
      <c r="L28960"/>
    </row>
    <row r="28961" spans="2:12" x14ac:dyDescent="0.2">
      <c r="B28961"/>
      <c r="C28961"/>
      <c r="J28961"/>
      <c r="K28961"/>
      <c r="L28961"/>
    </row>
    <row r="28962" spans="2:12" x14ac:dyDescent="0.2">
      <c r="B28962"/>
      <c r="C28962"/>
      <c r="J28962"/>
      <c r="K28962"/>
      <c r="L28962"/>
    </row>
    <row r="28963" spans="2:12" x14ac:dyDescent="0.2">
      <c r="B28963"/>
      <c r="C28963"/>
      <c r="J28963"/>
      <c r="K28963"/>
      <c r="L28963"/>
    </row>
    <row r="28964" spans="2:12" x14ac:dyDescent="0.2">
      <c r="B28964"/>
      <c r="C28964"/>
      <c r="J28964"/>
      <c r="K28964"/>
      <c r="L28964"/>
    </row>
    <row r="28965" spans="2:12" x14ac:dyDescent="0.2">
      <c r="B28965"/>
      <c r="C28965"/>
      <c r="J28965"/>
      <c r="K28965"/>
      <c r="L28965"/>
    </row>
    <row r="28966" spans="2:12" x14ac:dyDescent="0.2">
      <c r="B28966"/>
      <c r="C28966"/>
      <c r="J28966"/>
      <c r="K28966"/>
      <c r="L28966"/>
    </row>
    <row r="28967" spans="2:12" x14ac:dyDescent="0.2">
      <c r="B28967"/>
      <c r="C28967"/>
      <c r="J28967"/>
      <c r="K28967"/>
      <c r="L28967"/>
    </row>
    <row r="28968" spans="2:12" x14ac:dyDescent="0.2">
      <c r="B28968"/>
      <c r="C28968"/>
      <c r="J28968"/>
      <c r="K28968"/>
      <c r="L28968"/>
    </row>
    <row r="28969" spans="2:12" x14ac:dyDescent="0.2">
      <c r="B28969"/>
      <c r="C28969"/>
      <c r="J28969"/>
      <c r="K28969"/>
      <c r="L28969"/>
    </row>
    <row r="28970" spans="2:12" x14ac:dyDescent="0.2">
      <c r="B28970"/>
      <c r="C28970"/>
      <c r="J28970"/>
      <c r="K28970"/>
      <c r="L28970"/>
    </row>
    <row r="28971" spans="2:12" x14ac:dyDescent="0.2">
      <c r="B28971"/>
      <c r="C28971"/>
      <c r="J28971"/>
      <c r="K28971"/>
      <c r="L28971"/>
    </row>
    <row r="28972" spans="2:12" x14ac:dyDescent="0.2">
      <c r="B28972"/>
      <c r="C28972"/>
      <c r="J28972"/>
      <c r="K28972"/>
      <c r="L28972"/>
    </row>
    <row r="28973" spans="2:12" x14ac:dyDescent="0.2">
      <c r="B28973"/>
      <c r="C28973"/>
      <c r="J28973"/>
      <c r="K28973"/>
      <c r="L28973"/>
    </row>
    <row r="28974" spans="2:12" x14ac:dyDescent="0.2">
      <c r="B28974"/>
      <c r="C28974"/>
      <c r="J28974"/>
      <c r="K28974"/>
      <c r="L28974"/>
    </row>
    <row r="28975" spans="2:12" x14ac:dyDescent="0.2">
      <c r="B28975"/>
      <c r="C28975"/>
      <c r="J28975"/>
      <c r="K28975"/>
      <c r="L28975"/>
    </row>
    <row r="28976" spans="2:12" x14ac:dyDescent="0.2">
      <c r="B28976"/>
      <c r="C28976"/>
      <c r="J28976"/>
      <c r="K28976"/>
      <c r="L28976"/>
    </row>
    <row r="28977" spans="2:12" x14ac:dyDescent="0.2">
      <c r="B28977"/>
      <c r="C28977"/>
      <c r="J28977"/>
      <c r="K28977"/>
      <c r="L28977"/>
    </row>
    <row r="28978" spans="2:12" x14ac:dyDescent="0.2">
      <c r="B28978"/>
      <c r="C28978"/>
      <c r="J28978"/>
      <c r="K28978"/>
      <c r="L28978"/>
    </row>
    <row r="28979" spans="2:12" x14ac:dyDescent="0.2">
      <c r="B28979"/>
      <c r="C28979"/>
      <c r="J28979"/>
      <c r="K28979"/>
      <c r="L28979"/>
    </row>
    <row r="28980" spans="2:12" x14ac:dyDescent="0.2">
      <c r="B28980"/>
      <c r="C28980"/>
      <c r="J28980"/>
      <c r="K28980"/>
      <c r="L28980"/>
    </row>
    <row r="28981" spans="2:12" x14ac:dyDescent="0.2">
      <c r="B28981"/>
      <c r="C28981"/>
      <c r="J28981"/>
      <c r="K28981"/>
      <c r="L28981"/>
    </row>
    <row r="28982" spans="2:12" x14ac:dyDescent="0.2">
      <c r="B28982"/>
      <c r="C28982"/>
      <c r="J28982"/>
      <c r="K28982"/>
      <c r="L28982"/>
    </row>
    <row r="28983" spans="2:12" x14ac:dyDescent="0.2">
      <c r="B28983"/>
      <c r="C28983"/>
      <c r="J28983"/>
      <c r="K28983"/>
      <c r="L28983"/>
    </row>
    <row r="28984" spans="2:12" x14ac:dyDescent="0.2">
      <c r="B28984"/>
      <c r="C28984"/>
      <c r="J28984"/>
      <c r="K28984"/>
      <c r="L28984"/>
    </row>
    <row r="28985" spans="2:12" x14ac:dyDescent="0.2">
      <c r="B28985"/>
      <c r="C28985"/>
      <c r="J28985"/>
      <c r="K28985"/>
      <c r="L28985"/>
    </row>
    <row r="28986" spans="2:12" x14ac:dyDescent="0.2">
      <c r="B28986"/>
      <c r="C28986"/>
      <c r="J28986"/>
      <c r="K28986"/>
      <c r="L28986"/>
    </row>
    <row r="28987" spans="2:12" x14ac:dyDescent="0.2">
      <c r="B28987"/>
      <c r="C28987"/>
      <c r="J28987"/>
      <c r="K28987"/>
      <c r="L28987"/>
    </row>
    <row r="28988" spans="2:12" x14ac:dyDescent="0.2">
      <c r="B28988"/>
      <c r="C28988"/>
      <c r="J28988"/>
      <c r="K28988"/>
      <c r="L28988"/>
    </row>
    <row r="28989" spans="2:12" x14ac:dyDescent="0.2">
      <c r="B28989"/>
      <c r="C28989"/>
      <c r="J28989"/>
      <c r="K28989"/>
      <c r="L28989"/>
    </row>
    <row r="28990" spans="2:12" x14ac:dyDescent="0.2">
      <c r="B28990"/>
      <c r="C28990"/>
      <c r="J28990"/>
      <c r="K28990"/>
      <c r="L28990"/>
    </row>
    <row r="28991" spans="2:12" x14ac:dyDescent="0.2">
      <c r="B28991"/>
      <c r="C28991"/>
      <c r="J28991"/>
      <c r="K28991"/>
      <c r="L28991"/>
    </row>
    <row r="28992" spans="2:12" x14ac:dyDescent="0.2">
      <c r="B28992"/>
      <c r="C28992"/>
      <c r="J28992"/>
      <c r="K28992"/>
      <c r="L28992"/>
    </row>
    <row r="28993" spans="2:12" x14ac:dyDescent="0.2">
      <c r="B28993"/>
      <c r="C28993"/>
      <c r="J28993"/>
      <c r="K28993"/>
      <c r="L28993"/>
    </row>
    <row r="28994" spans="2:12" x14ac:dyDescent="0.2">
      <c r="B28994"/>
      <c r="C28994"/>
      <c r="J28994"/>
      <c r="K28994"/>
      <c r="L28994"/>
    </row>
    <row r="28995" spans="2:12" x14ac:dyDescent="0.2">
      <c r="B28995"/>
      <c r="C28995"/>
      <c r="J28995"/>
      <c r="K28995"/>
      <c r="L28995"/>
    </row>
    <row r="28996" spans="2:12" x14ac:dyDescent="0.2">
      <c r="B28996"/>
      <c r="C28996"/>
      <c r="J28996"/>
      <c r="K28996"/>
      <c r="L28996"/>
    </row>
    <row r="28997" spans="2:12" x14ac:dyDescent="0.2">
      <c r="B28997"/>
      <c r="C28997"/>
      <c r="J28997"/>
      <c r="K28997"/>
      <c r="L28997"/>
    </row>
    <row r="28998" spans="2:12" x14ac:dyDescent="0.2">
      <c r="B28998"/>
      <c r="C28998"/>
      <c r="J28998"/>
      <c r="K28998"/>
      <c r="L28998"/>
    </row>
    <row r="28999" spans="2:12" x14ac:dyDescent="0.2">
      <c r="B28999"/>
      <c r="C28999"/>
      <c r="J28999"/>
      <c r="K28999"/>
      <c r="L28999"/>
    </row>
    <row r="29000" spans="2:12" x14ac:dyDescent="0.2">
      <c r="B29000"/>
      <c r="C29000"/>
      <c r="J29000"/>
      <c r="K29000"/>
      <c r="L29000"/>
    </row>
    <row r="29001" spans="2:12" x14ac:dyDescent="0.2">
      <c r="B29001"/>
      <c r="C29001"/>
      <c r="J29001"/>
      <c r="K29001"/>
      <c r="L29001"/>
    </row>
    <row r="29002" spans="2:12" x14ac:dyDescent="0.2">
      <c r="B29002"/>
      <c r="C29002"/>
      <c r="J29002"/>
      <c r="K29002"/>
      <c r="L29002"/>
    </row>
    <row r="29003" spans="2:12" x14ac:dyDescent="0.2">
      <c r="B29003"/>
      <c r="C29003"/>
      <c r="J29003"/>
      <c r="K29003"/>
      <c r="L29003"/>
    </row>
    <row r="29004" spans="2:12" x14ac:dyDescent="0.2">
      <c r="B29004"/>
      <c r="C29004"/>
      <c r="J29004"/>
      <c r="K29004"/>
      <c r="L29004"/>
    </row>
    <row r="29005" spans="2:12" x14ac:dyDescent="0.2">
      <c r="B29005"/>
      <c r="C29005"/>
      <c r="J29005"/>
      <c r="K29005"/>
      <c r="L29005"/>
    </row>
    <row r="29006" spans="2:12" x14ac:dyDescent="0.2">
      <c r="B29006"/>
      <c r="C29006"/>
      <c r="J29006"/>
      <c r="K29006"/>
      <c r="L29006"/>
    </row>
    <row r="29007" spans="2:12" x14ac:dyDescent="0.2">
      <c r="B29007"/>
      <c r="C29007"/>
      <c r="J29007"/>
      <c r="K29007"/>
      <c r="L29007"/>
    </row>
    <row r="29008" spans="2:12" x14ac:dyDescent="0.2">
      <c r="B29008"/>
      <c r="C29008"/>
      <c r="J29008"/>
      <c r="K29008"/>
      <c r="L29008"/>
    </row>
    <row r="29009" spans="2:12" x14ac:dyDescent="0.2">
      <c r="B29009"/>
      <c r="C29009"/>
      <c r="J29009"/>
      <c r="K29009"/>
      <c r="L29009"/>
    </row>
    <row r="29010" spans="2:12" x14ac:dyDescent="0.2">
      <c r="B29010"/>
      <c r="C29010"/>
      <c r="J29010"/>
      <c r="K29010"/>
      <c r="L29010"/>
    </row>
    <row r="29011" spans="2:12" x14ac:dyDescent="0.2">
      <c r="B29011"/>
      <c r="C29011"/>
      <c r="J29011"/>
      <c r="K29011"/>
      <c r="L29011"/>
    </row>
    <row r="29012" spans="2:12" x14ac:dyDescent="0.2">
      <c r="B29012"/>
      <c r="C29012"/>
      <c r="J29012"/>
      <c r="K29012"/>
      <c r="L29012"/>
    </row>
    <row r="29013" spans="2:12" x14ac:dyDescent="0.2">
      <c r="B29013"/>
      <c r="C29013"/>
      <c r="J29013"/>
      <c r="K29013"/>
      <c r="L29013"/>
    </row>
    <row r="29014" spans="2:12" x14ac:dyDescent="0.2">
      <c r="B29014"/>
      <c r="C29014"/>
      <c r="J29014"/>
      <c r="K29014"/>
      <c r="L29014"/>
    </row>
    <row r="29015" spans="2:12" x14ac:dyDescent="0.2">
      <c r="B29015"/>
      <c r="C29015"/>
      <c r="J29015"/>
      <c r="K29015"/>
      <c r="L29015"/>
    </row>
    <row r="29016" spans="2:12" x14ac:dyDescent="0.2">
      <c r="B29016"/>
      <c r="C29016"/>
      <c r="J29016"/>
      <c r="K29016"/>
      <c r="L29016"/>
    </row>
    <row r="29017" spans="2:12" x14ac:dyDescent="0.2">
      <c r="B29017"/>
      <c r="C29017"/>
      <c r="J29017"/>
      <c r="K29017"/>
      <c r="L29017"/>
    </row>
    <row r="29018" spans="2:12" x14ac:dyDescent="0.2">
      <c r="B29018"/>
      <c r="C29018"/>
      <c r="J29018"/>
      <c r="K29018"/>
      <c r="L29018"/>
    </row>
    <row r="29019" spans="2:12" x14ac:dyDescent="0.2">
      <c r="B29019"/>
      <c r="C29019"/>
      <c r="J29019"/>
      <c r="K29019"/>
      <c r="L29019"/>
    </row>
    <row r="29020" spans="2:12" x14ac:dyDescent="0.2">
      <c r="B29020"/>
      <c r="C29020"/>
      <c r="J29020"/>
      <c r="K29020"/>
      <c r="L29020"/>
    </row>
    <row r="29021" spans="2:12" x14ac:dyDescent="0.2">
      <c r="B29021"/>
      <c r="C29021"/>
      <c r="J29021"/>
      <c r="K29021"/>
      <c r="L29021"/>
    </row>
    <row r="29022" spans="2:12" x14ac:dyDescent="0.2">
      <c r="B29022"/>
      <c r="C29022"/>
      <c r="J29022"/>
      <c r="K29022"/>
      <c r="L29022"/>
    </row>
    <row r="29023" spans="2:12" x14ac:dyDescent="0.2">
      <c r="B29023"/>
      <c r="C29023"/>
      <c r="J29023"/>
      <c r="K29023"/>
      <c r="L29023"/>
    </row>
    <row r="29024" spans="2:12" x14ac:dyDescent="0.2">
      <c r="B29024"/>
      <c r="C29024"/>
      <c r="J29024"/>
      <c r="K29024"/>
      <c r="L29024"/>
    </row>
    <row r="29025" spans="2:12" x14ac:dyDescent="0.2">
      <c r="B29025"/>
      <c r="C29025"/>
      <c r="J29025"/>
      <c r="K29025"/>
      <c r="L29025"/>
    </row>
    <row r="29026" spans="2:12" x14ac:dyDescent="0.2">
      <c r="B29026"/>
      <c r="C29026"/>
      <c r="J29026"/>
      <c r="K29026"/>
      <c r="L29026"/>
    </row>
    <row r="29027" spans="2:12" x14ac:dyDescent="0.2">
      <c r="B29027"/>
      <c r="C29027"/>
      <c r="J29027"/>
      <c r="K29027"/>
      <c r="L29027"/>
    </row>
    <row r="29028" spans="2:12" x14ac:dyDescent="0.2">
      <c r="B29028"/>
      <c r="C29028"/>
      <c r="J29028"/>
      <c r="K29028"/>
      <c r="L29028"/>
    </row>
    <row r="29029" spans="2:12" x14ac:dyDescent="0.2">
      <c r="B29029"/>
      <c r="C29029"/>
      <c r="J29029"/>
      <c r="K29029"/>
      <c r="L29029"/>
    </row>
    <row r="29030" spans="2:12" x14ac:dyDescent="0.2">
      <c r="B29030"/>
      <c r="C29030"/>
      <c r="J29030"/>
      <c r="K29030"/>
      <c r="L29030"/>
    </row>
    <row r="29031" spans="2:12" x14ac:dyDescent="0.2">
      <c r="B29031"/>
      <c r="C29031"/>
      <c r="J29031"/>
      <c r="K29031"/>
      <c r="L29031"/>
    </row>
    <row r="29032" spans="2:12" x14ac:dyDescent="0.2">
      <c r="B29032"/>
      <c r="C29032"/>
      <c r="J29032"/>
      <c r="K29032"/>
      <c r="L29032"/>
    </row>
    <row r="29033" spans="2:12" x14ac:dyDescent="0.2">
      <c r="B29033"/>
      <c r="C29033"/>
      <c r="J29033"/>
      <c r="K29033"/>
      <c r="L29033"/>
    </row>
    <row r="29034" spans="2:12" x14ac:dyDescent="0.2">
      <c r="B29034"/>
      <c r="C29034"/>
      <c r="J29034"/>
      <c r="K29034"/>
      <c r="L29034"/>
    </row>
    <row r="29035" spans="2:12" x14ac:dyDescent="0.2">
      <c r="B29035"/>
      <c r="C29035"/>
      <c r="J29035"/>
      <c r="K29035"/>
      <c r="L29035"/>
    </row>
    <row r="29036" spans="2:12" x14ac:dyDescent="0.2">
      <c r="B29036"/>
      <c r="C29036"/>
      <c r="J29036"/>
      <c r="K29036"/>
      <c r="L29036"/>
    </row>
    <row r="29037" spans="2:12" x14ac:dyDescent="0.2">
      <c r="B29037"/>
      <c r="C29037"/>
      <c r="J29037"/>
      <c r="K29037"/>
      <c r="L29037"/>
    </row>
    <row r="29038" spans="2:12" x14ac:dyDescent="0.2">
      <c r="B29038"/>
      <c r="C29038"/>
      <c r="J29038"/>
      <c r="K29038"/>
      <c r="L29038"/>
    </row>
    <row r="29039" spans="2:12" x14ac:dyDescent="0.2">
      <c r="B29039"/>
      <c r="C29039"/>
      <c r="J29039"/>
      <c r="K29039"/>
      <c r="L29039"/>
    </row>
    <row r="29040" spans="2:12" x14ac:dyDescent="0.2">
      <c r="B29040"/>
      <c r="C29040"/>
      <c r="J29040"/>
      <c r="K29040"/>
      <c r="L29040"/>
    </row>
    <row r="29041" spans="2:12" x14ac:dyDescent="0.2">
      <c r="B29041"/>
      <c r="C29041"/>
      <c r="J29041"/>
      <c r="K29041"/>
      <c r="L29041"/>
    </row>
    <row r="29042" spans="2:12" x14ac:dyDescent="0.2">
      <c r="B29042"/>
      <c r="C29042"/>
      <c r="J29042"/>
      <c r="K29042"/>
      <c r="L29042"/>
    </row>
    <row r="29043" spans="2:12" x14ac:dyDescent="0.2">
      <c r="B29043"/>
      <c r="C29043"/>
      <c r="J29043"/>
      <c r="K29043"/>
      <c r="L29043"/>
    </row>
    <row r="29044" spans="2:12" x14ac:dyDescent="0.2">
      <c r="B29044"/>
      <c r="C29044"/>
      <c r="J29044"/>
      <c r="K29044"/>
      <c r="L29044"/>
    </row>
    <row r="29045" spans="2:12" x14ac:dyDescent="0.2">
      <c r="B29045"/>
      <c r="C29045"/>
      <c r="J29045"/>
      <c r="K29045"/>
      <c r="L29045"/>
    </row>
    <row r="29046" spans="2:12" x14ac:dyDescent="0.2">
      <c r="B29046"/>
      <c r="C29046"/>
      <c r="J29046"/>
      <c r="K29046"/>
      <c r="L29046"/>
    </row>
    <row r="29047" spans="2:12" x14ac:dyDescent="0.2">
      <c r="B29047"/>
      <c r="C29047"/>
      <c r="J29047"/>
      <c r="K29047"/>
      <c r="L29047"/>
    </row>
    <row r="29048" spans="2:12" x14ac:dyDescent="0.2">
      <c r="B29048"/>
      <c r="C29048"/>
      <c r="J29048"/>
      <c r="K29048"/>
      <c r="L29048"/>
    </row>
    <row r="29049" spans="2:12" x14ac:dyDescent="0.2">
      <c r="B29049"/>
      <c r="C29049"/>
      <c r="J29049"/>
      <c r="K29049"/>
      <c r="L29049"/>
    </row>
    <row r="29050" spans="2:12" x14ac:dyDescent="0.2">
      <c r="B29050"/>
      <c r="C29050"/>
      <c r="J29050"/>
      <c r="K29050"/>
      <c r="L29050"/>
    </row>
    <row r="29051" spans="2:12" x14ac:dyDescent="0.2">
      <c r="B29051"/>
      <c r="C29051"/>
      <c r="J29051"/>
      <c r="K29051"/>
      <c r="L29051"/>
    </row>
    <row r="29052" spans="2:12" x14ac:dyDescent="0.2">
      <c r="B29052"/>
      <c r="C29052"/>
      <c r="J29052"/>
      <c r="K29052"/>
      <c r="L29052"/>
    </row>
    <row r="29053" spans="2:12" x14ac:dyDescent="0.2">
      <c r="B29053"/>
      <c r="C29053"/>
      <c r="J29053"/>
      <c r="K29053"/>
      <c r="L29053"/>
    </row>
    <row r="29054" spans="2:12" x14ac:dyDescent="0.2">
      <c r="B29054"/>
      <c r="C29054"/>
      <c r="J29054"/>
      <c r="K29054"/>
      <c r="L29054"/>
    </row>
    <row r="29055" spans="2:12" x14ac:dyDescent="0.2">
      <c r="B29055"/>
      <c r="C29055"/>
      <c r="J29055"/>
      <c r="K29055"/>
      <c r="L29055"/>
    </row>
    <row r="29056" spans="2:12" x14ac:dyDescent="0.2">
      <c r="B29056"/>
      <c r="C29056"/>
      <c r="J29056"/>
      <c r="K29056"/>
      <c r="L29056"/>
    </row>
    <row r="29057" spans="2:12" x14ac:dyDescent="0.2">
      <c r="B29057"/>
      <c r="C29057"/>
      <c r="J29057"/>
      <c r="K29057"/>
      <c r="L29057"/>
    </row>
    <row r="29058" spans="2:12" x14ac:dyDescent="0.2">
      <c r="B29058"/>
      <c r="C29058"/>
      <c r="J29058"/>
      <c r="K29058"/>
      <c r="L29058"/>
    </row>
    <row r="29059" spans="2:12" x14ac:dyDescent="0.2">
      <c r="B29059"/>
      <c r="C29059"/>
      <c r="J29059"/>
      <c r="K29059"/>
      <c r="L29059"/>
    </row>
    <row r="29060" spans="2:12" x14ac:dyDescent="0.2">
      <c r="B29060"/>
      <c r="C29060"/>
      <c r="J29060"/>
      <c r="K29060"/>
      <c r="L29060"/>
    </row>
    <row r="29061" spans="2:12" x14ac:dyDescent="0.2">
      <c r="B29061"/>
      <c r="C29061"/>
      <c r="J29061"/>
      <c r="K29061"/>
      <c r="L29061"/>
    </row>
    <row r="29062" spans="2:12" x14ac:dyDescent="0.2">
      <c r="B29062"/>
      <c r="C29062"/>
      <c r="J29062"/>
      <c r="K29062"/>
      <c r="L29062"/>
    </row>
    <row r="29063" spans="2:12" x14ac:dyDescent="0.2">
      <c r="B29063"/>
      <c r="C29063"/>
      <c r="J29063"/>
      <c r="K29063"/>
      <c r="L29063"/>
    </row>
    <row r="29064" spans="2:12" x14ac:dyDescent="0.2">
      <c r="B29064"/>
      <c r="C29064"/>
      <c r="J29064"/>
      <c r="K29064"/>
      <c r="L29064"/>
    </row>
    <row r="29065" spans="2:12" x14ac:dyDescent="0.2">
      <c r="B29065"/>
      <c r="C29065"/>
      <c r="J29065"/>
      <c r="K29065"/>
      <c r="L29065"/>
    </row>
    <row r="29066" spans="2:12" x14ac:dyDescent="0.2">
      <c r="B29066"/>
      <c r="C29066"/>
      <c r="J29066"/>
      <c r="K29066"/>
      <c r="L29066"/>
    </row>
    <row r="29067" spans="2:12" x14ac:dyDescent="0.2">
      <c r="B29067"/>
      <c r="C29067"/>
      <c r="J29067"/>
      <c r="K29067"/>
      <c r="L29067"/>
    </row>
    <row r="29068" spans="2:12" x14ac:dyDescent="0.2">
      <c r="B29068"/>
      <c r="C29068"/>
      <c r="J29068"/>
      <c r="K29068"/>
      <c r="L29068"/>
    </row>
    <row r="29069" spans="2:12" x14ac:dyDescent="0.2">
      <c r="B29069"/>
      <c r="C29069"/>
      <c r="J29069"/>
      <c r="K29069"/>
      <c r="L29069"/>
    </row>
    <row r="29070" spans="2:12" x14ac:dyDescent="0.2">
      <c r="B29070"/>
      <c r="C29070"/>
      <c r="J29070"/>
      <c r="K29070"/>
      <c r="L29070"/>
    </row>
    <row r="29071" spans="2:12" x14ac:dyDescent="0.2">
      <c r="B29071"/>
      <c r="C29071"/>
      <c r="J29071"/>
      <c r="K29071"/>
      <c r="L29071"/>
    </row>
    <row r="29072" spans="2:12" x14ac:dyDescent="0.2">
      <c r="B29072"/>
      <c r="C29072"/>
      <c r="J29072"/>
      <c r="K29072"/>
      <c r="L29072"/>
    </row>
    <row r="29073" spans="2:12" x14ac:dyDescent="0.2">
      <c r="B29073"/>
      <c r="C29073"/>
      <c r="J29073"/>
      <c r="K29073"/>
      <c r="L29073"/>
    </row>
    <row r="29074" spans="2:12" x14ac:dyDescent="0.2">
      <c r="B29074"/>
      <c r="C29074"/>
      <c r="J29074"/>
      <c r="K29074"/>
      <c r="L29074"/>
    </row>
    <row r="29075" spans="2:12" x14ac:dyDescent="0.2">
      <c r="B29075"/>
      <c r="C29075"/>
      <c r="J29075"/>
      <c r="K29075"/>
      <c r="L29075"/>
    </row>
    <row r="29076" spans="2:12" x14ac:dyDescent="0.2">
      <c r="B29076"/>
      <c r="C29076"/>
      <c r="J29076"/>
      <c r="K29076"/>
      <c r="L29076"/>
    </row>
    <row r="29077" spans="2:12" x14ac:dyDescent="0.2">
      <c r="B29077"/>
      <c r="C29077"/>
      <c r="J29077"/>
      <c r="K29077"/>
      <c r="L29077"/>
    </row>
    <row r="29078" spans="2:12" x14ac:dyDescent="0.2">
      <c r="B29078"/>
      <c r="C29078"/>
      <c r="J29078"/>
      <c r="K29078"/>
      <c r="L29078"/>
    </row>
    <row r="29079" spans="2:12" x14ac:dyDescent="0.2">
      <c r="B29079"/>
      <c r="C29079"/>
      <c r="J29079"/>
      <c r="K29079"/>
      <c r="L29079"/>
    </row>
    <row r="29080" spans="2:12" x14ac:dyDescent="0.2">
      <c r="B29080"/>
      <c r="C29080"/>
      <c r="J29080"/>
      <c r="K29080"/>
      <c r="L29080"/>
    </row>
    <row r="29081" spans="2:12" x14ac:dyDescent="0.2">
      <c r="B29081"/>
      <c r="C29081"/>
      <c r="J29081"/>
      <c r="K29081"/>
      <c r="L29081"/>
    </row>
    <row r="29082" spans="2:12" x14ac:dyDescent="0.2">
      <c r="B29082"/>
      <c r="C29082"/>
      <c r="J29082"/>
      <c r="K29082"/>
      <c r="L29082"/>
    </row>
    <row r="29083" spans="2:12" x14ac:dyDescent="0.2">
      <c r="B29083"/>
      <c r="C29083"/>
      <c r="J29083"/>
      <c r="K29083"/>
      <c r="L29083"/>
    </row>
    <row r="29084" spans="2:12" x14ac:dyDescent="0.2">
      <c r="B29084"/>
      <c r="C29084"/>
      <c r="J29084"/>
      <c r="K29084"/>
      <c r="L29084"/>
    </row>
    <row r="29085" spans="2:12" x14ac:dyDescent="0.2">
      <c r="B29085"/>
      <c r="C29085"/>
      <c r="J29085"/>
      <c r="K29085"/>
      <c r="L29085"/>
    </row>
    <row r="29086" spans="2:12" x14ac:dyDescent="0.2">
      <c r="B29086"/>
      <c r="C29086"/>
      <c r="J29086"/>
      <c r="K29086"/>
      <c r="L29086"/>
    </row>
    <row r="29087" spans="2:12" x14ac:dyDescent="0.2">
      <c r="B29087"/>
      <c r="C29087"/>
      <c r="J29087"/>
      <c r="K29087"/>
      <c r="L29087"/>
    </row>
    <row r="29088" spans="2:12" x14ac:dyDescent="0.2">
      <c r="B29088"/>
      <c r="C29088"/>
      <c r="J29088"/>
      <c r="K29088"/>
      <c r="L29088"/>
    </row>
    <row r="29089" spans="2:12" x14ac:dyDescent="0.2">
      <c r="B29089"/>
      <c r="C29089"/>
      <c r="J29089"/>
      <c r="K29089"/>
      <c r="L29089"/>
    </row>
    <row r="29090" spans="2:12" x14ac:dyDescent="0.2">
      <c r="B29090"/>
      <c r="C29090"/>
      <c r="J29090"/>
      <c r="K29090"/>
      <c r="L29090"/>
    </row>
    <row r="29091" spans="2:12" x14ac:dyDescent="0.2">
      <c r="B29091"/>
      <c r="C29091"/>
      <c r="J29091"/>
      <c r="K29091"/>
      <c r="L29091"/>
    </row>
    <row r="29092" spans="2:12" x14ac:dyDescent="0.2">
      <c r="B29092"/>
      <c r="C29092"/>
      <c r="J29092"/>
      <c r="K29092"/>
      <c r="L29092"/>
    </row>
    <row r="29093" spans="2:12" x14ac:dyDescent="0.2">
      <c r="B29093"/>
      <c r="C29093"/>
      <c r="J29093"/>
      <c r="K29093"/>
      <c r="L29093"/>
    </row>
    <row r="29094" spans="2:12" x14ac:dyDescent="0.2">
      <c r="B29094"/>
      <c r="C29094"/>
      <c r="J29094"/>
      <c r="K29094"/>
      <c r="L29094"/>
    </row>
    <row r="29095" spans="2:12" x14ac:dyDescent="0.2">
      <c r="B29095"/>
      <c r="C29095"/>
      <c r="J29095"/>
      <c r="K29095"/>
      <c r="L29095"/>
    </row>
    <row r="29096" spans="2:12" x14ac:dyDescent="0.2">
      <c r="B29096"/>
      <c r="C29096"/>
      <c r="J29096"/>
      <c r="K29096"/>
      <c r="L29096"/>
    </row>
    <row r="29097" spans="2:12" x14ac:dyDescent="0.2">
      <c r="B29097"/>
      <c r="C29097"/>
      <c r="J29097"/>
      <c r="K29097"/>
      <c r="L29097"/>
    </row>
    <row r="29098" spans="2:12" x14ac:dyDescent="0.2">
      <c r="B29098"/>
      <c r="C29098"/>
      <c r="J29098"/>
      <c r="K29098"/>
      <c r="L29098"/>
    </row>
    <row r="29099" spans="2:12" x14ac:dyDescent="0.2">
      <c r="B29099"/>
      <c r="C29099"/>
      <c r="J29099"/>
      <c r="K29099"/>
      <c r="L29099"/>
    </row>
    <row r="29100" spans="2:12" x14ac:dyDescent="0.2">
      <c r="B29100"/>
      <c r="C29100"/>
      <c r="J29100"/>
      <c r="K29100"/>
      <c r="L29100"/>
    </row>
    <row r="29101" spans="2:12" x14ac:dyDescent="0.2">
      <c r="B29101"/>
      <c r="C29101"/>
      <c r="J29101"/>
      <c r="K29101"/>
      <c r="L29101"/>
    </row>
    <row r="29102" spans="2:12" x14ac:dyDescent="0.2">
      <c r="B29102"/>
      <c r="C29102"/>
      <c r="J29102"/>
      <c r="K29102"/>
      <c r="L29102"/>
    </row>
    <row r="29103" spans="2:12" x14ac:dyDescent="0.2">
      <c r="B29103"/>
      <c r="C29103"/>
      <c r="J29103"/>
      <c r="K29103"/>
      <c r="L29103"/>
    </row>
    <row r="29104" spans="2:12" x14ac:dyDescent="0.2">
      <c r="B29104"/>
      <c r="C29104"/>
      <c r="J29104"/>
      <c r="K29104"/>
      <c r="L29104"/>
    </row>
    <row r="29105" spans="2:12" x14ac:dyDescent="0.2">
      <c r="B29105"/>
      <c r="C29105"/>
      <c r="J29105"/>
      <c r="K29105"/>
      <c r="L29105"/>
    </row>
    <row r="29106" spans="2:12" x14ac:dyDescent="0.2">
      <c r="B29106"/>
      <c r="C29106"/>
      <c r="J29106"/>
      <c r="K29106"/>
      <c r="L29106"/>
    </row>
    <row r="29107" spans="2:12" x14ac:dyDescent="0.2">
      <c r="B29107"/>
      <c r="C29107"/>
      <c r="J29107"/>
      <c r="K29107"/>
      <c r="L29107"/>
    </row>
    <row r="29108" spans="2:12" x14ac:dyDescent="0.2">
      <c r="B29108"/>
      <c r="C29108"/>
      <c r="J29108"/>
      <c r="K29108"/>
      <c r="L29108"/>
    </row>
    <row r="29109" spans="2:12" x14ac:dyDescent="0.2">
      <c r="B29109"/>
      <c r="C29109"/>
      <c r="J29109"/>
      <c r="K29109"/>
      <c r="L29109"/>
    </row>
    <row r="29110" spans="2:12" x14ac:dyDescent="0.2">
      <c r="B29110"/>
      <c r="C29110"/>
      <c r="J29110"/>
      <c r="K29110"/>
      <c r="L29110"/>
    </row>
    <row r="29111" spans="2:12" x14ac:dyDescent="0.2">
      <c r="B29111"/>
      <c r="C29111"/>
      <c r="J29111"/>
      <c r="K29111"/>
      <c r="L29111"/>
    </row>
    <row r="29112" spans="2:12" x14ac:dyDescent="0.2">
      <c r="B29112"/>
      <c r="C29112"/>
      <c r="J29112"/>
      <c r="K29112"/>
      <c r="L29112"/>
    </row>
    <row r="29113" spans="2:12" x14ac:dyDescent="0.2">
      <c r="B29113"/>
      <c r="C29113"/>
      <c r="J29113"/>
      <c r="K29113"/>
      <c r="L29113"/>
    </row>
    <row r="29114" spans="2:12" x14ac:dyDescent="0.2">
      <c r="B29114"/>
      <c r="C29114"/>
      <c r="J29114"/>
      <c r="K29114"/>
      <c r="L29114"/>
    </row>
    <row r="29115" spans="2:12" x14ac:dyDescent="0.2">
      <c r="B29115"/>
      <c r="C29115"/>
      <c r="J29115"/>
      <c r="K29115"/>
      <c r="L29115"/>
    </row>
    <row r="29116" spans="2:12" x14ac:dyDescent="0.2">
      <c r="B29116"/>
      <c r="C29116"/>
      <c r="J29116"/>
      <c r="K29116"/>
      <c r="L29116"/>
    </row>
    <row r="29117" spans="2:12" x14ac:dyDescent="0.2">
      <c r="B29117"/>
      <c r="C29117"/>
      <c r="J29117"/>
      <c r="K29117"/>
      <c r="L29117"/>
    </row>
    <row r="29118" spans="2:12" x14ac:dyDescent="0.2">
      <c r="B29118"/>
      <c r="C29118"/>
      <c r="J29118"/>
      <c r="K29118"/>
      <c r="L29118"/>
    </row>
    <row r="29119" spans="2:12" x14ac:dyDescent="0.2">
      <c r="B29119"/>
      <c r="C29119"/>
      <c r="J29119"/>
      <c r="K29119"/>
      <c r="L29119"/>
    </row>
    <row r="29120" spans="2:12" x14ac:dyDescent="0.2">
      <c r="B29120"/>
      <c r="C29120"/>
      <c r="J29120"/>
      <c r="K29120"/>
      <c r="L29120"/>
    </row>
    <row r="29121" spans="2:12" x14ac:dyDescent="0.2">
      <c r="B29121"/>
      <c r="C29121"/>
      <c r="J29121"/>
      <c r="K29121"/>
      <c r="L29121"/>
    </row>
    <row r="29122" spans="2:12" x14ac:dyDescent="0.2">
      <c r="B29122"/>
      <c r="C29122"/>
      <c r="J29122"/>
      <c r="K29122"/>
      <c r="L29122"/>
    </row>
    <row r="29123" spans="2:12" x14ac:dyDescent="0.2">
      <c r="B29123"/>
      <c r="C29123"/>
      <c r="J29123"/>
      <c r="K29123"/>
      <c r="L29123"/>
    </row>
    <row r="29124" spans="2:12" x14ac:dyDescent="0.2">
      <c r="B29124"/>
      <c r="C29124"/>
      <c r="J29124"/>
      <c r="K29124"/>
      <c r="L29124"/>
    </row>
    <row r="29125" spans="2:12" x14ac:dyDescent="0.2">
      <c r="B29125"/>
      <c r="C29125"/>
      <c r="J29125"/>
      <c r="K29125"/>
      <c r="L29125"/>
    </row>
    <row r="29126" spans="2:12" x14ac:dyDescent="0.2">
      <c r="B29126"/>
      <c r="C29126"/>
      <c r="J29126"/>
      <c r="K29126"/>
      <c r="L29126"/>
    </row>
    <row r="29127" spans="2:12" x14ac:dyDescent="0.2">
      <c r="B29127"/>
      <c r="C29127"/>
      <c r="J29127"/>
      <c r="K29127"/>
      <c r="L29127"/>
    </row>
    <row r="29128" spans="2:12" x14ac:dyDescent="0.2">
      <c r="B29128"/>
      <c r="C29128"/>
      <c r="J29128"/>
      <c r="K29128"/>
      <c r="L29128"/>
    </row>
    <row r="29129" spans="2:12" x14ac:dyDescent="0.2">
      <c r="B29129"/>
      <c r="C29129"/>
      <c r="J29129"/>
      <c r="K29129"/>
      <c r="L29129"/>
    </row>
    <row r="29130" spans="2:12" x14ac:dyDescent="0.2">
      <c r="B29130"/>
      <c r="C29130"/>
      <c r="J29130"/>
      <c r="K29130"/>
      <c r="L29130"/>
    </row>
    <row r="29131" spans="2:12" x14ac:dyDescent="0.2">
      <c r="B29131"/>
      <c r="C29131"/>
      <c r="J29131"/>
      <c r="K29131"/>
      <c r="L29131"/>
    </row>
    <row r="29132" spans="2:12" x14ac:dyDescent="0.2">
      <c r="B29132"/>
      <c r="C29132"/>
      <c r="J29132"/>
      <c r="K29132"/>
      <c r="L29132"/>
    </row>
    <row r="29133" spans="2:12" x14ac:dyDescent="0.2">
      <c r="B29133"/>
      <c r="C29133"/>
      <c r="J29133"/>
      <c r="K29133"/>
      <c r="L29133"/>
    </row>
    <row r="29134" spans="2:12" x14ac:dyDescent="0.2">
      <c r="B29134"/>
      <c r="C29134"/>
      <c r="J29134"/>
      <c r="K29134"/>
      <c r="L29134"/>
    </row>
    <row r="29135" spans="2:12" x14ac:dyDescent="0.2">
      <c r="B29135"/>
      <c r="C29135"/>
      <c r="J29135"/>
      <c r="K29135"/>
      <c r="L29135"/>
    </row>
    <row r="29136" spans="2:12" x14ac:dyDescent="0.2">
      <c r="B29136"/>
      <c r="C29136"/>
      <c r="J29136"/>
      <c r="K29136"/>
      <c r="L29136"/>
    </row>
    <row r="29137" spans="2:12" x14ac:dyDescent="0.2">
      <c r="B29137"/>
      <c r="C29137"/>
      <c r="J29137"/>
      <c r="K29137"/>
      <c r="L29137"/>
    </row>
    <row r="29138" spans="2:12" x14ac:dyDescent="0.2">
      <c r="B29138"/>
      <c r="C29138"/>
      <c r="J29138"/>
      <c r="K29138"/>
      <c r="L29138"/>
    </row>
    <row r="29139" spans="2:12" x14ac:dyDescent="0.2">
      <c r="B29139"/>
      <c r="C29139"/>
      <c r="J29139"/>
      <c r="K29139"/>
      <c r="L29139"/>
    </row>
    <row r="29140" spans="2:12" x14ac:dyDescent="0.2">
      <c r="B29140"/>
      <c r="C29140"/>
      <c r="J29140"/>
      <c r="K29140"/>
      <c r="L29140"/>
    </row>
    <row r="29141" spans="2:12" x14ac:dyDescent="0.2">
      <c r="B29141"/>
      <c r="C29141"/>
      <c r="J29141"/>
      <c r="K29141"/>
      <c r="L29141"/>
    </row>
    <row r="29142" spans="2:12" x14ac:dyDescent="0.2">
      <c r="B29142"/>
      <c r="C29142"/>
      <c r="J29142"/>
      <c r="K29142"/>
      <c r="L29142"/>
    </row>
    <row r="29143" spans="2:12" x14ac:dyDescent="0.2">
      <c r="B29143"/>
      <c r="C29143"/>
      <c r="J29143"/>
      <c r="K29143"/>
      <c r="L29143"/>
    </row>
    <row r="29144" spans="2:12" x14ac:dyDescent="0.2">
      <c r="B29144"/>
      <c r="C29144"/>
      <c r="J29144"/>
      <c r="K29144"/>
      <c r="L29144"/>
    </row>
    <row r="29145" spans="2:12" x14ac:dyDescent="0.2">
      <c r="B29145"/>
      <c r="C29145"/>
      <c r="J29145"/>
      <c r="K29145"/>
      <c r="L29145"/>
    </row>
    <row r="29146" spans="2:12" x14ac:dyDescent="0.2">
      <c r="B29146"/>
      <c r="C29146"/>
      <c r="J29146"/>
      <c r="K29146"/>
      <c r="L29146"/>
    </row>
    <row r="29147" spans="2:12" x14ac:dyDescent="0.2">
      <c r="B29147"/>
      <c r="C29147"/>
      <c r="J29147"/>
      <c r="K29147"/>
      <c r="L29147"/>
    </row>
    <row r="29148" spans="2:12" x14ac:dyDescent="0.2">
      <c r="B29148"/>
      <c r="C29148"/>
      <c r="J29148"/>
      <c r="K29148"/>
      <c r="L29148"/>
    </row>
    <row r="29149" spans="2:12" x14ac:dyDescent="0.2">
      <c r="B29149"/>
      <c r="C29149"/>
      <c r="J29149"/>
      <c r="K29149"/>
      <c r="L29149"/>
    </row>
    <row r="29150" spans="2:12" x14ac:dyDescent="0.2">
      <c r="B29150"/>
      <c r="C29150"/>
      <c r="J29150"/>
      <c r="K29150"/>
      <c r="L29150"/>
    </row>
    <row r="29151" spans="2:12" x14ac:dyDescent="0.2">
      <c r="B29151"/>
      <c r="C29151"/>
      <c r="J29151"/>
      <c r="K29151"/>
      <c r="L29151"/>
    </row>
    <row r="29152" spans="2:12" x14ac:dyDescent="0.2">
      <c r="B29152"/>
      <c r="C29152"/>
      <c r="J29152"/>
      <c r="K29152"/>
      <c r="L29152"/>
    </row>
    <row r="29153" spans="2:12" x14ac:dyDescent="0.2">
      <c r="B29153"/>
      <c r="C29153"/>
      <c r="J29153"/>
      <c r="K29153"/>
      <c r="L29153"/>
    </row>
    <row r="29154" spans="2:12" x14ac:dyDescent="0.2">
      <c r="B29154"/>
      <c r="C29154"/>
      <c r="J29154"/>
      <c r="K29154"/>
      <c r="L29154"/>
    </row>
    <row r="29155" spans="2:12" x14ac:dyDescent="0.2">
      <c r="B29155"/>
      <c r="C29155"/>
      <c r="J29155"/>
      <c r="K29155"/>
      <c r="L29155"/>
    </row>
    <row r="29156" spans="2:12" x14ac:dyDescent="0.2">
      <c r="B29156"/>
      <c r="C29156"/>
      <c r="J29156"/>
      <c r="K29156"/>
      <c r="L29156"/>
    </row>
    <row r="29157" spans="2:12" x14ac:dyDescent="0.2">
      <c r="B29157"/>
      <c r="C29157"/>
      <c r="J29157"/>
      <c r="K29157"/>
      <c r="L29157"/>
    </row>
    <row r="29158" spans="2:12" x14ac:dyDescent="0.2">
      <c r="B29158"/>
      <c r="C29158"/>
      <c r="J29158"/>
      <c r="K29158"/>
      <c r="L29158"/>
    </row>
    <row r="29159" spans="2:12" x14ac:dyDescent="0.2">
      <c r="B29159"/>
      <c r="C29159"/>
      <c r="J29159"/>
      <c r="K29159"/>
      <c r="L29159"/>
    </row>
    <row r="29160" spans="2:12" x14ac:dyDescent="0.2">
      <c r="B29160"/>
      <c r="C29160"/>
      <c r="J29160"/>
      <c r="K29160"/>
      <c r="L29160"/>
    </row>
    <row r="29161" spans="2:12" x14ac:dyDescent="0.2">
      <c r="B29161"/>
      <c r="C29161"/>
      <c r="J29161"/>
      <c r="K29161"/>
      <c r="L29161"/>
    </row>
    <row r="29162" spans="2:12" x14ac:dyDescent="0.2">
      <c r="B29162"/>
      <c r="C29162"/>
      <c r="J29162"/>
      <c r="K29162"/>
      <c r="L29162"/>
    </row>
    <row r="29163" spans="2:12" x14ac:dyDescent="0.2">
      <c r="B29163"/>
      <c r="C29163"/>
      <c r="J29163"/>
      <c r="K29163"/>
      <c r="L29163"/>
    </row>
    <row r="29164" spans="2:12" x14ac:dyDescent="0.2">
      <c r="B29164"/>
      <c r="C29164"/>
      <c r="J29164"/>
      <c r="K29164"/>
      <c r="L29164"/>
    </row>
    <row r="29165" spans="2:12" x14ac:dyDescent="0.2">
      <c r="B29165"/>
      <c r="C29165"/>
      <c r="J29165"/>
      <c r="K29165"/>
      <c r="L29165"/>
    </row>
    <row r="29166" spans="2:12" x14ac:dyDescent="0.2">
      <c r="B29166"/>
      <c r="C29166"/>
      <c r="J29166"/>
      <c r="K29166"/>
      <c r="L29166"/>
    </row>
    <row r="29167" spans="2:12" x14ac:dyDescent="0.2">
      <c r="B29167"/>
      <c r="C29167"/>
      <c r="J29167"/>
      <c r="K29167"/>
      <c r="L29167"/>
    </row>
    <row r="29168" spans="2:12" x14ac:dyDescent="0.2">
      <c r="B29168"/>
      <c r="C29168"/>
      <c r="J29168"/>
      <c r="K29168"/>
      <c r="L29168"/>
    </row>
    <row r="29169" spans="2:12" x14ac:dyDescent="0.2">
      <c r="B29169"/>
      <c r="C29169"/>
      <c r="J29169"/>
      <c r="K29169"/>
      <c r="L29169"/>
    </row>
    <row r="29170" spans="2:12" x14ac:dyDescent="0.2">
      <c r="B29170"/>
      <c r="C29170"/>
      <c r="J29170"/>
      <c r="K29170"/>
      <c r="L29170"/>
    </row>
    <row r="29171" spans="2:12" x14ac:dyDescent="0.2">
      <c r="B29171"/>
      <c r="C29171"/>
      <c r="J29171"/>
      <c r="K29171"/>
      <c r="L29171"/>
    </row>
    <row r="29172" spans="2:12" x14ac:dyDescent="0.2">
      <c r="B29172"/>
      <c r="C29172"/>
      <c r="J29172"/>
      <c r="K29172"/>
      <c r="L29172"/>
    </row>
    <row r="29173" spans="2:12" x14ac:dyDescent="0.2">
      <c r="B29173"/>
      <c r="C29173"/>
      <c r="J29173"/>
      <c r="K29173"/>
      <c r="L29173"/>
    </row>
    <row r="29174" spans="2:12" x14ac:dyDescent="0.2">
      <c r="B29174"/>
      <c r="C29174"/>
      <c r="J29174"/>
      <c r="K29174"/>
      <c r="L29174"/>
    </row>
    <row r="29175" spans="2:12" x14ac:dyDescent="0.2">
      <c r="B29175"/>
      <c r="C29175"/>
      <c r="J29175"/>
      <c r="K29175"/>
      <c r="L29175"/>
    </row>
    <row r="29176" spans="2:12" x14ac:dyDescent="0.2">
      <c r="B29176"/>
      <c r="C29176"/>
      <c r="J29176"/>
      <c r="K29176"/>
      <c r="L29176"/>
    </row>
    <row r="29177" spans="2:12" x14ac:dyDescent="0.2">
      <c r="B29177"/>
      <c r="C29177"/>
      <c r="J29177"/>
      <c r="K29177"/>
      <c r="L29177"/>
    </row>
    <row r="29178" spans="2:12" x14ac:dyDescent="0.2">
      <c r="B29178"/>
      <c r="C29178"/>
      <c r="J29178"/>
      <c r="K29178"/>
      <c r="L29178"/>
    </row>
    <row r="29179" spans="2:12" x14ac:dyDescent="0.2">
      <c r="B29179"/>
      <c r="C29179"/>
      <c r="J29179"/>
      <c r="K29179"/>
      <c r="L29179"/>
    </row>
    <row r="29180" spans="2:12" x14ac:dyDescent="0.2">
      <c r="B29180"/>
      <c r="C29180"/>
      <c r="J29180"/>
      <c r="K29180"/>
      <c r="L29180"/>
    </row>
    <row r="29181" spans="2:12" x14ac:dyDescent="0.2">
      <c r="B29181"/>
      <c r="C29181"/>
      <c r="J29181"/>
      <c r="K29181"/>
      <c r="L29181"/>
    </row>
    <row r="29182" spans="2:12" x14ac:dyDescent="0.2">
      <c r="B29182"/>
      <c r="C29182"/>
      <c r="J29182"/>
      <c r="K29182"/>
      <c r="L29182"/>
    </row>
    <row r="29183" spans="2:12" x14ac:dyDescent="0.2">
      <c r="B29183"/>
      <c r="C29183"/>
      <c r="J29183"/>
      <c r="K29183"/>
      <c r="L29183"/>
    </row>
    <row r="29184" spans="2:12" x14ac:dyDescent="0.2">
      <c r="B29184"/>
      <c r="C29184"/>
      <c r="J29184"/>
      <c r="K29184"/>
      <c r="L29184"/>
    </row>
    <row r="29185" spans="2:12" x14ac:dyDescent="0.2">
      <c r="B29185"/>
      <c r="C29185"/>
      <c r="J29185"/>
      <c r="K29185"/>
      <c r="L29185"/>
    </row>
    <row r="29186" spans="2:12" x14ac:dyDescent="0.2">
      <c r="B29186"/>
      <c r="C29186"/>
      <c r="J29186"/>
      <c r="K29186"/>
      <c r="L29186"/>
    </row>
    <row r="29187" spans="2:12" x14ac:dyDescent="0.2">
      <c r="B29187"/>
      <c r="C29187"/>
      <c r="J29187"/>
      <c r="K29187"/>
      <c r="L29187"/>
    </row>
    <row r="29188" spans="2:12" x14ac:dyDescent="0.2">
      <c r="B29188"/>
      <c r="C29188"/>
      <c r="J29188"/>
      <c r="K29188"/>
      <c r="L29188"/>
    </row>
    <row r="29189" spans="2:12" x14ac:dyDescent="0.2">
      <c r="B29189"/>
      <c r="C29189"/>
      <c r="J29189"/>
      <c r="K29189"/>
      <c r="L29189"/>
    </row>
    <row r="29190" spans="2:12" x14ac:dyDescent="0.2">
      <c r="B29190"/>
      <c r="C29190"/>
      <c r="J29190"/>
      <c r="K29190"/>
      <c r="L29190"/>
    </row>
    <row r="29191" spans="2:12" x14ac:dyDescent="0.2">
      <c r="B29191"/>
      <c r="C29191"/>
      <c r="J29191"/>
      <c r="K29191"/>
      <c r="L29191"/>
    </row>
    <row r="29192" spans="2:12" x14ac:dyDescent="0.2">
      <c r="B29192"/>
      <c r="C29192"/>
      <c r="J29192"/>
      <c r="K29192"/>
      <c r="L29192"/>
    </row>
    <row r="29193" spans="2:12" x14ac:dyDescent="0.2">
      <c r="B29193"/>
      <c r="C29193"/>
      <c r="J29193"/>
      <c r="K29193"/>
      <c r="L29193"/>
    </row>
    <row r="29194" spans="2:12" x14ac:dyDescent="0.2">
      <c r="B29194"/>
      <c r="C29194"/>
      <c r="J29194"/>
      <c r="K29194"/>
      <c r="L29194"/>
    </row>
    <row r="29195" spans="2:12" x14ac:dyDescent="0.2">
      <c r="B29195"/>
      <c r="C29195"/>
      <c r="J29195"/>
      <c r="K29195"/>
      <c r="L29195"/>
    </row>
    <row r="29196" spans="2:12" x14ac:dyDescent="0.2">
      <c r="B29196"/>
      <c r="C29196"/>
      <c r="J29196"/>
      <c r="K29196"/>
      <c r="L29196"/>
    </row>
    <row r="29197" spans="2:12" x14ac:dyDescent="0.2">
      <c r="B29197"/>
      <c r="C29197"/>
      <c r="J29197"/>
      <c r="K29197"/>
      <c r="L29197"/>
    </row>
    <row r="29198" spans="2:12" x14ac:dyDescent="0.2">
      <c r="B29198"/>
      <c r="C29198"/>
      <c r="J29198"/>
      <c r="K29198"/>
      <c r="L29198"/>
    </row>
    <row r="29199" spans="2:12" x14ac:dyDescent="0.2">
      <c r="B29199"/>
      <c r="C29199"/>
      <c r="J29199"/>
      <c r="K29199"/>
      <c r="L29199"/>
    </row>
    <row r="29200" spans="2:12" x14ac:dyDescent="0.2">
      <c r="B29200"/>
      <c r="C29200"/>
      <c r="J29200"/>
      <c r="K29200"/>
      <c r="L29200"/>
    </row>
    <row r="29201" spans="2:12" x14ac:dyDescent="0.2">
      <c r="B29201"/>
      <c r="C29201"/>
      <c r="J29201"/>
      <c r="K29201"/>
      <c r="L29201"/>
    </row>
    <row r="29202" spans="2:12" x14ac:dyDescent="0.2">
      <c r="B29202"/>
      <c r="C29202"/>
      <c r="J29202"/>
      <c r="K29202"/>
      <c r="L29202"/>
    </row>
    <row r="29203" spans="2:12" x14ac:dyDescent="0.2">
      <c r="B29203"/>
      <c r="C29203"/>
      <c r="J29203"/>
      <c r="K29203"/>
      <c r="L29203"/>
    </row>
    <row r="29204" spans="2:12" x14ac:dyDescent="0.2">
      <c r="B29204"/>
      <c r="C29204"/>
      <c r="J29204"/>
      <c r="K29204"/>
      <c r="L29204"/>
    </row>
    <row r="29205" spans="2:12" x14ac:dyDescent="0.2">
      <c r="B29205"/>
      <c r="C29205"/>
      <c r="J29205"/>
      <c r="K29205"/>
      <c r="L29205"/>
    </row>
    <row r="29206" spans="2:12" x14ac:dyDescent="0.2">
      <c r="B29206"/>
      <c r="C29206"/>
      <c r="J29206"/>
      <c r="K29206"/>
      <c r="L29206"/>
    </row>
    <row r="29207" spans="2:12" x14ac:dyDescent="0.2">
      <c r="B29207"/>
      <c r="C29207"/>
      <c r="J29207"/>
      <c r="K29207"/>
      <c r="L29207"/>
    </row>
    <row r="29208" spans="2:12" x14ac:dyDescent="0.2">
      <c r="B29208"/>
      <c r="C29208"/>
      <c r="J29208"/>
      <c r="K29208"/>
      <c r="L29208"/>
    </row>
    <row r="29209" spans="2:12" x14ac:dyDescent="0.2">
      <c r="B29209"/>
      <c r="C29209"/>
      <c r="J29209"/>
      <c r="K29209"/>
      <c r="L29209"/>
    </row>
    <row r="29210" spans="2:12" x14ac:dyDescent="0.2">
      <c r="B29210"/>
      <c r="C29210"/>
      <c r="J29210"/>
      <c r="K29210"/>
      <c r="L29210"/>
    </row>
    <row r="29211" spans="2:12" x14ac:dyDescent="0.2">
      <c r="B29211"/>
      <c r="C29211"/>
      <c r="J29211"/>
      <c r="K29211"/>
      <c r="L29211"/>
    </row>
    <row r="29212" spans="2:12" x14ac:dyDescent="0.2">
      <c r="B29212"/>
      <c r="C29212"/>
      <c r="J29212"/>
      <c r="K29212"/>
      <c r="L29212"/>
    </row>
    <row r="29213" spans="2:12" x14ac:dyDescent="0.2">
      <c r="B29213"/>
      <c r="C29213"/>
      <c r="J29213"/>
      <c r="K29213"/>
      <c r="L29213"/>
    </row>
    <row r="29214" spans="2:12" x14ac:dyDescent="0.2">
      <c r="B29214"/>
      <c r="C29214"/>
      <c r="J29214"/>
      <c r="K29214"/>
      <c r="L29214"/>
    </row>
    <row r="29215" spans="2:12" x14ac:dyDescent="0.2">
      <c r="B29215"/>
      <c r="C29215"/>
      <c r="J29215"/>
      <c r="K29215"/>
      <c r="L29215"/>
    </row>
    <row r="29216" spans="2:12" x14ac:dyDescent="0.2">
      <c r="B29216"/>
      <c r="C29216"/>
      <c r="J29216"/>
      <c r="K29216"/>
      <c r="L29216"/>
    </row>
    <row r="29217" spans="2:12" x14ac:dyDescent="0.2">
      <c r="B29217"/>
      <c r="C29217"/>
      <c r="J29217"/>
      <c r="K29217"/>
      <c r="L29217"/>
    </row>
    <row r="29218" spans="2:12" x14ac:dyDescent="0.2">
      <c r="B29218"/>
      <c r="C29218"/>
      <c r="J29218"/>
      <c r="K29218"/>
      <c r="L29218"/>
    </row>
    <row r="29219" spans="2:12" x14ac:dyDescent="0.2">
      <c r="B29219"/>
      <c r="C29219"/>
      <c r="J29219"/>
      <c r="K29219"/>
      <c r="L29219"/>
    </row>
    <row r="29220" spans="2:12" x14ac:dyDescent="0.2">
      <c r="B29220"/>
      <c r="C29220"/>
      <c r="J29220"/>
      <c r="K29220"/>
      <c r="L29220"/>
    </row>
    <row r="29221" spans="2:12" x14ac:dyDescent="0.2">
      <c r="B29221"/>
      <c r="C29221"/>
      <c r="J29221"/>
      <c r="K29221"/>
      <c r="L29221"/>
    </row>
    <row r="29222" spans="2:12" x14ac:dyDescent="0.2">
      <c r="B29222"/>
      <c r="C29222"/>
      <c r="J29222"/>
      <c r="K29222"/>
      <c r="L29222"/>
    </row>
    <row r="29223" spans="2:12" x14ac:dyDescent="0.2">
      <c r="B29223"/>
      <c r="C29223"/>
      <c r="J29223"/>
      <c r="K29223"/>
      <c r="L29223"/>
    </row>
    <row r="29224" spans="2:12" x14ac:dyDescent="0.2">
      <c r="B29224"/>
      <c r="C29224"/>
      <c r="J29224"/>
      <c r="K29224"/>
      <c r="L29224"/>
    </row>
    <row r="29225" spans="2:12" x14ac:dyDescent="0.2">
      <c r="B29225"/>
      <c r="C29225"/>
      <c r="J29225"/>
      <c r="K29225"/>
      <c r="L29225"/>
    </row>
    <row r="29226" spans="2:12" x14ac:dyDescent="0.2">
      <c r="B29226"/>
      <c r="C29226"/>
      <c r="J29226"/>
      <c r="K29226"/>
      <c r="L29226"/>
    </row>
    <row r="29227" spans="2:12" x14ac:dyDescent="0.2">
      <c r="B29227"/>
      <c r="C29227"/>
      <c r="J29227"/>
      <c r="K29227"/>
      <c r="L29227"/>
    </row>
    <row r="29228" spans="2:12" x14ac:dyDescent="0.2">
      <c r="B29228"/>
      <c r="C29228"/>
      <c r="J29228"/>
      <c r="K29228"/>
      <c r="L29228"/>
    </row>
    <row r="29229" spans="2:12" x14ac:dyDescent="0.2">
      <c r="B29229"/>
      <c r="C29229"/>
      <c r="J29229"/>
      <c r="K29229"/>
      <c r="L29229"/>
    </row>
    <row r="29230" spans="2:12" x14ac:dyDescent="0.2">
      <c r="B29230"/>
      <c r="C29230"/>
      <c r="J29230"/>
      <c r="K29230"/>
      <c r="L29230"/>
    </row>
    <row r="29231" spans="2:12" x14ac:dyDescent="0.2">
      <c r="B29231"/>
      <c r="C29231"/>
      <c r="J29231"/>
      <c r="K29231"/>
      <c r="L29231"/>
    </row>
    <row r="29232" spans="2:12" x14ac:dyDescent="0.2">
      <c r="B29232"/>
      <c r="C29232"/>
      <c r="J29232"/>
      <c r="K29232"/>
      <c r="L29232"/>
    </row>
    <row r="29233" spans="2:12" x14ac:dyDescent="0.2">
      <c r="B29233"/>
      <c r="C29233"/>
      <c r="J29233"/>
      <c r="K29233"/>
      <c r="L29233"/>
    </row>
    <row r="29234" spans="2:12" x14ac:dyDescent="0.2">
      <c r="B29234"/>
      <c r="C29234"/>
      <c r="J29234"/>
      <c r="K29234"/>
      <c r="L29234"/>
    </row>
    <row r="29235" spans="2:12" x14ac:dyDescent="0.2">
      <c r="B29235"/>
      <c r="C29235"/>
      <c r="J29235"/>
      <c r="K29235"/>
      <c r="L29235"/>
    </row>
    <row r="29236" spans="2:12" x14ac:dyDescent="0.2">
      <c r="B29236"/>
      <c r="C29236"/>
      <c r="J29236"/>
      <c r="K29236"/>
      <c r="L29236"/>
    </row>
    <row r="29237" spans="2:12" x14ac:dyDescent="0.2">
      <c r="B29237"/>
      <c r="C29237"/>
      <c r="J29237"/>
      <c r="K29237"/>
      <c r="L29237"/>
    </row>
    <row r="29238" spans="2:12" x14ac:dyDescent="0.2">
      <c r="B29238"/>
      <c r="C29238"/>
      <c r="J29238"/>
      <c r="K29238"/>
      <c r="L29238"/>
    </row>
    <row r="29239" spans="2:12" x14ac:dyDescent="0.2">
      <c r="B29239"/>
      <c r="C29239"/>
      <c r="J29239"/>
      <c r="K29239"/>
      <c r="L29239"/>
    </row>
    <row r="29240" spans="2:12" x14ac:dyDescent="0.2">
      <c r="B29240"/>
      <c r="C29240"/>
      <c r="J29240"/>
      <c r="K29240"/>
      <c r="L29240"/>
    </row>
    <row r="29241" spans="2:12" x14ac:dyDescent="0.2">
      <c r="B29241"/>
      <c r="C29241"/>
      <c r="J29241"/>
      <c r="K29241"/>
      <c r="L29241"/>
    </row>
    <row r="29242" spans="2:12" x14ac:dyDescent="0.2">
      <c r="B29242"/>
      <c r="C29242"/>
      <c r="J29242"/>
      <c r="K29242"/>
      <c r="L29242"/>
    </row>
    <row r="29243" spans="2:12" x14ac:dyDescent="0.2">
      <c r="B29243"/>
      <c r="C29243"/>
      <c r="J29243"/>
      <c r="K29243"/>
      <c r="L29243"/>
    </row>
    <row r="29244" spans="2:12" x14ac:dyDescent="0.2">
      <c r="B29244"/>
      <c r="C29244"/>
      <c r="J29244"/>
      <c r="K29244"/>
      <c r="L29244"/>
    </row>
    <row r="29245" spans="2:12" x14ac:dyDescent="0.2">
      <c r="B29245"/>
      <c r="C29245"/>
      <c r="J29245"/>
      <c r="K29245"/>
      <c r="L29245"/>
    </row>
    <row r="29246" spans="2:12" x14ac:dyDescent="0.2">
      <c r="B29246"/>
      <c r="C29246"/>
      <c r="J29246"/>
      <c r="K29246"/>
      <c r="L29246"/>
    </row>
    <row r="29247" spans="2:12" x14ac:dyDescent="0.2">
      <c r="B29247"/>
      <c r="C29247"/>
      <c r="J29247"/>
      <c r="K29247"/>
      <c r="L29247"/>
    </row>
    <row r="29248" spans="2:12" x14ac:dyDescent="0.2">
      <c r="B29248"/>
      <c r="C29248"/>
      <c r="J29248"/>
      <c r="K29248"/>
      <c r="L29248"/>
    </row>
    <row r="29249" spans="2:12" x14ac:dyDescent="0.2">
      <c r="B29249"/>
      <c r="C29249"/>
      <c r="J29249"/>
      <c r="K29249"/>
      <c r="L29249"/>
    </row>
    <row r="29250" spans="2:12" x14ac:dyDescent="0.2">
      <c r="B29250"/>
      <c r="C29250"/>
      <c r="J29250"/>
      <c r="K29250"/>
      <c r="L29250"/>
    </row>
    <row r="29251" spans="2:12" x14ac:dyDescent="0.2">
      <c r="B29251"/>
      <c r="C29251"/>
      <c r="J29251"/>
      <c r="K29251"/>
      <c r="L29251"/>
    </row>
    <row r="29252" spans="2:12" x14ac:dyDescent="0.2">
      <c r="B29252"/>
      <c r="C29252"/>
      <c r="J29252"/>
      <c r="K29252"/>
      <c r="L29252"/>
    </row>
    <row r="29253" spans="2:12" x14ac:dyDescent="0.2">
      <c r="B29253"/>
      <c r="C29253"/>
      <c r="J29253"/>
      <c r="K29253"/>
      <c r="L29253"/>
    </row>
    <row r="29254" spans="2:12" x14ac:dyDescent="0.2">
      <c r="B29254"/>
      <c r="C29254"/>
      <c r="J29254"/>
      <c r="K29254"/>
      <c r="L29254"/>
    </row>
    <row r="29255" spans="2:12" x14ac:dyDescent="0.2">
      <c r="B29255"/>
      <c r="C29255"/>
      <c r="J29255"/>
      <c r="K29255"/>
      <c r="L29255"/>
    </row>
    <row r="29256" spans="2:12" x14ac:dyDescent="0.2">
      <c r="B29256"/>
      <c r="C29256"/>
      <c r="J29256"/>
      <c r="K29256"/>
      <c r="L29256"/>
    </row>
    <row r="29257" spans="2:12" x14ac:dyDescent="0.2">
      <c r="B29257"/>
      <c r="C29257"/>
      <c r="J29257"/>
      <c r="K29257"/>
      <c r="L29257"/>
    </row>
    <row r="29258" spans="2:12" x14ac:dyDescent="0.2">
      <c r="B29258"/>
      <c r="C29258"/>
      <c r="J29258"/>
      <c r="K29258"/>
      <c r="L29258"/>
    </row>
    <row r="29259" spans="2:12" x14ac:dyDescent="0.2">
      <c r="B29259"/>
      <c r="C29259"/>
      <c r="J29259"/>
      <c r="K29259"/>
      <c r="L29259"/>
    </row>
    <row r="29260" spans="2:12" x14ac:dyDescent="0.2">
      <c r="B29260"/>
      <c r="C29260"/>
      <c r="J29260"/>
      <c r="K29260"/>
      <c r="L29260"/>
    </row>
    <row r="29261" spans="2:12" x14ac:dyDescent="0.2">
      <c r="B29261"/>
      <c r="C29261"/>
      <c r="J29261"/>
      <c r="K29261"/>
      <c r="L29261"/>
    </row>
    <row r="29262" spans="2:12" x14ac:dyDescent="0.2">
      <c r="B29262"/>
      <c r="C29262"/>
      <c r="J29262"/>
      <c r="K29262"/>
      <c r="L29262"/>
    </row>
    <row r="29263" spans="2:12" x14ac:dyDescent="0.2">
      <c r="B29263"/>
      <c r="C29263"/>
      <c r="J29263"/>
      <c r="K29263"/>
      <c r="L29263"/>
    </row>
    <row r="29264" spans="2:12" x14ac:dyDescent="0.2">
      <c r="B29264"/>
      <c r="C29264"/>
      <c r="J29264"/>
      <c r="K29264"/>
      <c r="L29264"/>
    </row>
    <row r="29265" spans="2:12" x14ac:dyDescent="0.2">
      <c r="B29265"/>
      <c r="C29265"/>
      <c r="J29265"/>
      <c r="K29265"/>
      <c r="L29265"/>
    </row>
    <row r="29266" spans="2:12" x14ac:dyDescent="0.2">
      <c r="B29266"/>
      <c r="C29266"/>
      <c r="J29266"/>
      <c r="K29266"/>
      <c r="L29266"/>
    </row>
    <row r="29267" spans="2:12" x14ac:dyDescent="0.2">
      <c r="B29267"/>
      <c r="C29267"/>
      <c r="J29267"/>
      <c r="K29267"/>
      <c r="L29267"/>
    </row>
    <row r="29268" spans="2:12" x14ac:dyDescent="0.2">
      <c r="B29268"/>
      <c r="C29268"/>
      <c r="J29268"/>
      <c r="K29268"/>
      <c r="L29268"/>
    </row>
    <row r="29269" spans="2:12" x14ac:dyDescent="0.2">
      <c r="B29269"/>
      <c r="C29269"/>
      <c r="J29269"/>
      <c r="K29269"/>
      <c r="L29269"/>
    </row>
    <row r="29270" spans="2:12" x14ac:dyDescent="0.2">
      <c r="B29270"/>
      <c r="C29270"/>
      <c r="J29270"/>
      <c r="K29270"/>
      <c r="L29270"/>
    </row>
    <row r="29271" spans="2:12" x14ac:dyDescent="0.2">
      <c r="B29271"/>
      <c r="C29271"/>
      <c r="J29271"/>
      <c r="K29271"/>
      <c r="L29271"/>
    </row>
    <row r="29272" spans="2:12" x14ac:dyDescent="0.2">
      <c r="B29272"/>
      <c r="C29272"/>
      <c r="J29272"/>
      <c r="K29272"/>
      <c r="L29272"/>
    </row>
    <row r="29273" spans="2:12" x14ac:dyDescent="0.2">
      <c r="B29273"/>
      <c r="C29273"/>
      <c r="J29273"/>
      <c r="K29273"/>
      <c r="L29273"/>
    </row>
    <row r="29274" spans="2:12" x14ac:dyDescent="0.2">
      <c r="B29274"/>
      <c r="C29274"/>
      <c r="J29274"/>
      <c r="K29274"/>
      <c r="L29274"/>
    </row>
    <row r="29275" spans="2:12" x14ac:dyDescent="0.2">
      <c r="B29275"/>
      <c r="C29275"/>
      <c r="J29275"/>
      <c r="K29275"/>
      <c r="L29275"/>
    </row>
    <row r="29276" spans="2:12" x14ac:dyDescent="0.2">
      <c r="B29276"/>
      <c r="C29276"/>
      <c r="J29276"/>
      <c r="K29276"/>
      <c r="L29276"/>
    </row>
    <row r="29277" spans="2:12" x14ac:dyDescent="0.2">
      <c r="B29277"/>
      <c r="C29277"/>
      <c r="J29277"/>
      <c r="K29277"/>
      <c r="L29277"/>
    </row>
    <row r="29278" spans="2:12" x14ac:dyDescent="0.2">
      <c r="B29278"/>
      <c r="C29278"/>
      <c r="J29278"/>
      <c r="K29278"/>
      <c r="L29278"/>
    </row>
    <row r="29279" spans="2:12" x14ac:dyDescent="0.2">
      <c r="B29279"/>
      <c r="C29279"/>
      <c r="J29279"/>
      <c r="K29279"/>
      <c r="L29279"/>
    </row>
    <row r="29280" spans="2:12" x14ac:dyDescent="0.2">
      <c r="B29280"/>
      <c r="C29280"/>
      <c r="J29280"/>
      <c r="K29280"/>
      <c r="L29280"/>
    </row>
    <row r="29281" spans="2:12" x14ac:dyDescent="0.2">
      <c r="B29281"/>
      <c r="C29281"/>
      <c r="J29281"/>
      <c r="K29281"/>
      <c r="L29281"/>
    </row>
    <row r="29282" spans="2:12" x14ac:dyDescent="0.2">
      <c r="B29282"/>
      <c r="C29282"/>
      <c r="J29282"/>
      <c r="K29282"/>
      <c r="L29282"/>
    </row>
    <row r="29283" spans="2:12" x14ac:dyDescent="0.2">
      <c r="B29283"/>
      <c r="C29283"/>
      <c r="J29283"/>
      <c r="K29283"/>
      <c r="L29283"/>
    </row>
    <row r="29284" spans="2:12" x14ac:dyDescent="0.2">
      <c r="B29284"/>
      <c r="C29284"/>
      <c r="J29284"/>
      <c r="K29284"/>
      <c r="L29284"/>
    </row>
    <row r="29285" spans="2:12" x14ac:dyDescent="0.2">
      <c r="B29285"/>
      <c r="C29285"/>
      <c r="J29285"/>
      <c r="K29285"/>
      <c r="L29285"/>
    </row>
    <row r="29286" spans="2:12" x14ac:dyDescent="0.2">
      <c r="B29286"/>
      <c r="C29286"/>
      <c r="J29286"/>
      <c r="K29286"/>
      <c r="L29286"/>
    </row>
    <row r="29287" spans="2:12" x14ac:dyDescent="0.2">
      <c r="B29287"/>
      <c r="C29287"/>
      <c r="J29287"/>
      <c r="K29287"/>
      <c r="L29287"/>
    </row>
    <row r="29288" spans="2:12" x14ac:dyDescent="0.2">
      <c r="B29288"/>
      <c r="C29288"/>
      <c r="J29288"/>
      <c r="K29288"/>
      <c r="L29288"/>
    </row>
    <row r="29289" spans="2:12" x14ac:dyDescent="0.2">
      <c r="B29289"/>
      <c r="C29289"/>
      <c r="J29289"/>
      <c r="K29289"/>
      <c r="L29289"/>
    </row>
    <row r="29290" spans="2:12" x14ac:dyDescent="0.2">
      <c r="B29290"/>
      <c r="C29290"/>
      <c r="J29290"/>
      <c r="K29290"/>
      <c r="L29290"/>
    </row>
    <row r="29291" spans="2:12" x14ac:dyDescent="0.2">
      <c r="B29291"/>
      <c r="C29291"/>
      <c r="J29291"/>
      <c r="K29291"/>
      <c r="L29291"/>
    </row>
    <row r="29292" spans="2:12" x14ac:dyDescent="0.2">
      <c r="B29292"/>
      <c r="C29292"/>
      <c r="J29292"/>
      <c r="K29292"/>
      <c r="L29292"/>
    </row>
    <row r="29293" spans="2:12" x14ac:dyDescent="0.2">
      <c r="B29293"/>
      <c r="C29293"/>
      <c r="J29293"/>
      <c r="K29293"/>
      <c r="L29293"/>
    </row>
    <row r="29294" spans="2:12" x14ac:dyDescent="0.2">
      <c r="B29294"/>
      <c r="C29294"/>
      <c r="J29294"/>
      <c r="K29294"/>
      <c r="L29294"/>
    </row>
    <row r="29295" spans="2:12" x14ac:dyDescent="0.2">
      <c r="B29295"/>
      <c r="C29295"/>
      <c r="J29295"/>
      <c r="K29295"/>
      <c r="L29295"/>
    </row>
    <row r="29296" spans="2:12" x14ac:dyDescent="0.2">
      <c r="B29296"/>
      <c r="C29296"/>
      <c r="J29296"/>
      <c r="K29296"/>
      <c r="L29296"/>
    </row>
    <row r="29297" spans="2:12" x14ac:dyDescent="0.2">
      <c r="B29297"/>
      <c r="C29297"/>
      <c r="J29297"/>
      <c r="K29297"/>
      <c r="L29297"/>
    </row>
    <row r="29298" spans="2:12" x14ac:dyDescent="0.2">
      <c r="B29298"/>
      <c r="C29298"/>
      <c r="J29298"/>
      <c r="K29298"/>
      <c r="L29298"/>
    </row>
    <row r="29299" spans="2:12" x14ac:dyDescent="0.2">
      <c r="B29299"/>
      <c r="C29299"/>
      <c r="J29299"/>
      <c r="K29299"/>
      <c r="L29299"/>
    </row>
    <row r="29300" spans="2:12" x14ac:dyDescent="0.2">
      <c r="B29300"/>
      <c r="C29300"/>
      <c r="J29300"/>
      <c r="K29300"/>
      <c r="L29300"/>
    </row>
    <row r="29301" spans="2:12" x14ac:dyDescent="0.2">
      <c r="B29301"/>
      <c r="C29301"/>
      <c r="J29301"/>
      <c r="K29301"/>
      <c r="L29301"/>
    </row>
    <row r="29302" spans="2:12" x14ac:dyDescent="0.2">
      <c r="B29302"/>
      <c r="C29302"/>
      <c r="J29302"/>
      <c r="K29302"/>
      <c r="L29302"/>
    </row>
    <row r="29303" spans="2:12" x14ac:dyDescent="0.2">
      <c r="B29303"/>
      <c r="C29303"/>
      <c r="J29303"/>
      <c r="K29303"/>
      <c r="L29303"/>
    </row>
    <row r="29304" spans="2:12" x14ac:dyDescent="0.2">
      <c r="B29304"/>
      <c r="C29304"/>
      <c r="J29304"/>
      <c r="K29304"/>
      <c r="L29304"/>
    </row>
    <row r="29305" spans="2:12" x14ac:dyDescent="0.2">
      <c r="B29305"/>
      <c r="C29305"/>
      <c r="J29305"/>
      <c r="K29305"/>
      <c r="L29305"/>
    </row>
    <row r="29306" spans="2:12" x14ac:dyDescent="0.2">
      <c r="B29306"/>
      <c r="C29306"/>
      <c r="J29306"/>
      <c r="K29306"/>
      <c r="L29306"/>
    </row>
    <row r="29307" spans="2:12" x14ac:dyDescent="0.2">
      <c r="B29307"/>
      <c r="C29307"/>
      <c r="J29307"/>
      <c r="K29307"/>
      <c r="L29307"/>
    </row>
    <row r="29308" spans="2:12" x14ac:dyDescent="0.2">
      <c r="B29308"/>
      <c r="C29308"/>
      <c r="J29308"/>
      <c r="K29308"/>
      <c r="L29308"/>
    </row>
    <row r="29309" spans="2:12" x14ac:dyDescent="0.2">
      <c r="B29309"/>
      <c r="C29309"/>
      <c r="J29309"/>
      <c r="K29309"/>
      <c r="L29309"/>
    </row>
    <row r="29310" spans="2:12" x14ac:dyDescent="0.2">
      <c r="B29310"/>
      <c r="C29310"/>
      <c r="J29310"/>
      <c r="K29310"/>
      <c r="L29310"/>
    </row>
    <row r="29311" spans="2:12" x14ac:dyDescent="0.2">
      <c r="B29311"/>
      <c r="C29311"/>
      <c r="J29311"/>
      <c r="K29311"/>
      <c r="L29311"/>
    </row>
    <row r="29312" spans="2:12" x14ac:dyDescent="0.2">
      <c r="B29312"/>
      <c r="C29312"/>
      <c r="J29312"/>
      <c r="K29312"/>
      <c r="L29312"/>
    </row>
    <row r="29313" spans="2:12" x14ac:dyDescent="0.2">
      <c r="B29313"/>
      <c r="C29313"/>
      <c r="J29313"/>
      <c r="K29313"/>
      <c r="L29313"/>
    </row>
    <row r="29314" spans="2:12" x14ac:dyDescent="0.2">
      <c r="B29314"/>
      <c r="C29314"/>
      <c r="J29314"/>
      <c r="K29314"/>
      <c r="L29314"/>
    </row>
    <row r="29315" spans="2:12" x14ac:dyDescent="0.2">
      <c r="B29315"/>
      <c r="C29315"/>
      <c r="J29315"/>
      <c r="K29315"/>
      <c r="L29315"/>
    </row>
    <row r="29316" spans="2:12" x14ac:dyDescent="0.2">
      <c r="B29316"/>
      <c r="C29316"/>
      <c r="J29316"/>
      <c r="K29316"/>
      <c r="L29316"/>
    </row>
    <row r="29317" spans="2:12" x14ac:dyDescent="0.2">
      <c r="B29317"/>
      <c r="C29317"/>
      <c r="J29317"/>
      <c r="K29317"/>
      <c r="L29317"/>
    </row>
    <row r="29318" spans="2:12" x14ac:dyDescent="0.2">
      <c r="B29318"/>
      <c r="C29318"/>
      <c r="J29318"/>
      <c r="K29318"/>
      <c r="L29318"/>
    </row>
    <row r="29319" spans="2:12" x14ac:dyDescent="0.2">
      <c r="B29319"/>
      <c r="C29319"/>
      <c r="J29319"/>
      <c r="K29319"/>
      <c r="L29319"/>
    </row>
    <row r="29320" spans="2:12" x14ac:dyDescent="0.2">
      <c r="B29320"/>
      <c r="C29320"/>
      <c r="J29320"/>
      <c r="K29320"/>
      <c r="L29320"/>
    </row>
    <row r="29321" spans="2:12" x14ac:dyDescent="0.2">
      <c r="B29321"/>
      <c r="C29321"/>
      <c r="J29321"/>
      <c r="K29321"/>
      <c r="L29321"/>
    </row>
    <row r="29322" spans="2:12" x14ac:dyDescent="0.2">
      <c r="B29322"/>
      <c r="C29322"/>
      <c r="J29322"/>
      <c r="K29322"/>
      <c r="L29322"/>
    </row>
    <row r="29323" spans="2:12" x14ac:dyDescent="0.2">
      <c r="B29323"/>
      <c r="C29323"/>
      <c r="J29323"/>
      <c r="K29323"/>
      <c r="L29323"/>
    </row>
    <row r="29324" spans="2:12" x14ac:dyDescent="0.2">
      <c r="B29324"/>
      <c r="C29324"/>
      <c r="J29324"/>
      <c r="K29324"/>
      <c r="L29324"/>
    </row>
    <row r="29325" spans="2:12" x14ac:dyDescent="0.2">
      <c r="B29325"/>
      <c r="C29325"/>
      <c r="J29325"/>
      <c r="K29325"/>
      <c r="L29325"/>
    </row>
    <row r="29326" spans="2:12" x14ac:dyDescent="0.2">
      <c r="B29326"/>
      <c r="C29326"/>
      <c r="J29326"/>
      <c r="K29326"/>
      <c r="L29326"/>
    </row>
    <row r="29327" spans="2:12" x14ac:dyDescent="0.2">
      <c r="B29327"/>
      <c r="C29327"/>
      <c r="J29327"/>
      <c r="K29327"/>
      <c r="L29327"/>
    </row>
    <row r="29328" spans="2:12" x14ac:dyDescent="0.2">
      <c r="B29328"/>
      <c r="C29328"/>
      <c r="J29328"/>
      <c r="K29328"/>
      <c r="L29328"/>
    </row>
    <row r="29329" spans="2:12" x14ac:dyDescent="0.2">
      <c r="B29329"/>
      <c r="C29329"/>
      <c r="J29329"/>
      <c r="K29329"/>
      <c r="L29329"/>
    </row>
    <row r="29330" spans="2:12" x14ac:dyDescent="0.2">
      <c r="B29330"/>
      <c r="C29330"/>
      <c r="J29330"/>
      <c r="K29330"/>
      <c r="L29330"/>
    </row>
    <row r="29331" spans="2:12" x14ac:dyDescent="0.2">
      <c r="B29331"/>
      <c r="C29331"/>
      <c r="J29331"/>
      <c r="K29331"/>
      <c r="L29331"/>
    </row>
    <row r="29332" spans="2:12" x14ac:dyDescent="0.2">
      <c r="B29332"/>
      <c r="C29332"/>
      <c r="J29332"/>
      <c r="K29332"/>
      <c r="L29332"/>
    </row>
    <row r="29333" spans="2:12" x14ac:dyDescent="0.2">
      <c r="B29333"/>
      <c r="C29333"/>
      <c r="J29333"/>
      <c r="K29333"/>
      <c r="L29333"/>
    </row>
    <row r="29334" spans="2:12" x14ac:dyDescent="0.2">
      <c r="B29334"/>
      <c r="C29334"/>
      <c r="J29334"/>
      <c r="K29334"/>
      <c r="L29334"/>
    </row>
    <row r="29335" spans="2:12" x14ac:dyDescent="0.2">
      <c r="B29335"/>
      <c r="C29335"/>
      <c r="J29335"/>
      <c r="K29335"/>
      <c r="L29335"/>
    </row>
    <row r="29336" spans="2:12" x14ac:dyDescent="0.2">
      <c r="B29336"/>
      <c r="C29336"/>
      <c r="J29336"/>
      <c r="K29336"/>
      <c r="L29336"/>
    </row>
    <row r="29337" spans="2:12" x14ac:dyDescent="0.2">
      <c r="B29337"/>
      <c r="C29337"/>
      <c r="J29337"/>
      <c r="K29337"/>
      <c r="L29337"/>
    </row>
    <row r="29338" spans="2:12" x14ac:dyDescent="0.2">
      <c r="B29338"/>
      <c r="C29338"/>
      <c r="J29338"/>
      <c r="K29338"/>
      <c r="L29338"/>
    </row>
    <row r="29339" spans="2:12" x14ac:dyDescent="0.2">
      <c r="B29339"/>
      <c r="C29339"/>
      <c r="J29339"/>
      <c r="K29339"/>
      <c r="L29339"/>
    </row>
    <row r="29340" spans="2:12" x14ac:dyDescent="0.2">
      <c r="B29340"/>
      <c r="C29340"/>
      <c r="J29340"/>
      <c r="K29340"/>
      <c r="L29340"/>
    </row>
    <row r="29341" spans="2:12" x14ac:dyDescent="0.2">
      <c r="B29341"/>
      <c r="C29341"/>
      <c r="J29341"/>
      <c r="K29341"/>
      <c r="L29341"/>
    </row>
    <row r="29342" spans="2:12" x14ac:dyDescent="0.2">
      <c r="B29342"/>
      <c r="C29342"/>
      <c r="J29342"/>
      <c r="K29342"/>
      <c r="L29342"/>
    </row>
    <row r="29343" spans="2:12" x14ac:dyDescent="0.2">
      <c r="B29343"/>
      <c r="C29343"/>
      <c r="J29343"/>
      <c r="K29343"/>
      <c r="L29343"/>
    </row>
    <row r="29344" spans="2:12" x14ac:dyDescent="0.2">
      <c r="B29344"/>
      <c r="C29344"/>
      <c r="J29344"/>
      <c r="K29344"/>
      <c r="L29344"/>
    </row>
    <row r="29345" spans="2:12" x14ac:dyDescent="0.2">
      <c r="B29345"/>
      <c r="C29345"/>
      <c r="J29345"/>
      <c r="K29345"/>
      <c r="L29345"/>
    </row>
    <row r="29346" spans="2:12" x14ac:dyDescent="0.2">
      <c r="B29346"/>
      <c r="C29346"/>
      <c r="J29346"/>
      <c r="K29346"/>
      <c r="L29346"/>
    </row>
    <row r="29347" spans="2:12" x14ac:dyDescent="0.2">
      <c r="B29347"/>
      <c r="C29347"/>
      <c r="J29347"/>
      <c r="K29347"/>
      <c r="L29347"/>
    </row>
    <row r="29348" spans="2:12" x14ac:dyDescent="0.2">
      <c r="B29348"/>
      <c r="C29348"/>
      <c r="J29348"/>
      <c r="K29348"/>
      <c r="L29348"/>
    </row>
    <row r="29349" spans="2:12" x14ac:dyDescent="0.2">
      <c r="B29349"/>
      <c r="C29349"/>
      <c r="J29349"/>
      <c r="K29349"/>
      <c r="L29349"/>
    </row>
    <row r="29350" spans="2:12" x14ac:dyDescent="0.2">
      <c r="B29350"/>
      <c r="C29350"/>
      <c r="J29350"/>
      <c r="K29350"/>
      <c r="L29350"/>
    </row>
    <row r="29351" spans="2:12" x14ac:dyDescent="0.2">
      <c r="B29351"/>
      <c r="C29351"/>
      <c r="J29351"/>
      <c r="K29351"/>
      <c r="L29351"/>
    </row>
    <row r="29352" spans="2:12" x14ac:dyDescent="0.2">
      <c r="B29352"/>
      <c r="C29352"/>
      <c r="J29352"/>
      <c r="K29352"/>
      <c r="L29352"/>
    </row>
    <row r="29353" spans="2:12" x14ac:dyDescent="0.2">
      <c r="B29353"/>
      <c r="C29353"/>
      <c r="J29353"/>
      <c r="K29353"/>
      <c r="L29353"/>
    </row>
    <row r="29354" spans="2:12" x14ac:dyDescent="0.2">
      <c r="B29354"/>
      <c r="C29354"/>
      <c r="J29354"/>
      <c r="K29354"/>
      <c r="L29354"/>
    </row>
    <row r="29355" spans="2:12" x14ac:dyDescent="0.2">
      <c r="B29355"/>
      <c r="C29355"/>
      <c r="J29355"/>
      <c r="K29355"/>
      <c r="L29355"/>
    </row>
    <row r="29356" spans="2:12" x14ac:dyDescent="0.2">
      <c r="B29356"/>
      <c r="C29356"/>
      <c r="J29356"/>
      <c r="K29356"/>
      <c r="L29356"/>
    </row>
    <row r="29357" spans="2:12" x14ac:dyDescent="0.2">
      <c r="B29357"/>
      <c r="C29357"/>
      <c r="J29357"/>
      <c r="K29357"/>
      <c r="L29357"/>
    </row>
    <row r="29358" spans="2:12" x14ac:dyDescent="0.2">
      <c r="B29358"/>
      <c r="C29358"/>
      <c r="J29358"/>
      <c r="K29358"/>
      <c r="L29358"/>
    </row>
    <row r="29359" spans="2:12" x14ac:dyDescent="0.2">
      <c r="B29359"/>
      <c r="C29359"/>
      <c r="J29359"/>
      <c r="K29359"/>
      <c r="L29359"/>
    </row>
    <row r="29360" spans="2:12" x14ac:dyDescent="0.2">
      <c r="B29360"/>
      <c r="C29360"/>
      <c r="J29360"/>
      <c r="K29360"/>
      <c r="L29360"/>
    </row>
    <row r="29361" spans="2:12" x14ac:dyDescent="0.2">
      <c r="B29361"/>
      <c r="C29361"/>
      <c r="J29361"/>
      <c r="K29361"/>
      <c r="L29361"/>
    </row>
    <row r="29362" spans="2:12" x14ac:dyDescent="0.2">
      <c r="B29362"/>
      <c r="C29362"/>
      <c r="J29362"/>
      <c r="K29362"/>
      <c r="L29362"/>
    </row>
    <row r="29363" spans="2:12" x14ac:dyDescent="0.2">
      <c r="B29363"/>
      <c r="C29363"/>
      <c r="J29363"/>
      <c r="K29363"/>
      <c r="L29363"/>
    </row>
    <row r="29364" spans="2:12" x14ac:dyDescent="0.2">
      <c r="B29364"/>
      <c r="C29364"/>
      <c r="J29364"/>
      <c r="K29364"/>
      <c r="L29364"/>
    </row>
    <row r="29365" spans="2:12" x14ac:dyDescent="0.2">
      <c r="B29365"/>
      <c r="C29365"/>
      <c r="J29365"/>
      <c r="K29365"/>
      <c r="L29365"/>
    </row>
    <row r="29366" spans="2:12" x14ac:dyDescent="0.2">
      <c r="B29366"/>
      <c r="C29366"/>
      <c r="J29366"/>
      <c r="K29366"/>
      <c r="L29366"/>
    </row>
    <row r="29367" spans="2:12" x14ac:dyDescent="0.2">
      <c r="B29367"/>
      <c r="C29367"/>
      <c r="J29367"/>
      <c r="K29367"/>
      <c r="L29367"/>
    </row>
    <row r="29368" spans="2:12" x14ac:dyDescent="0.2">
      <c r="B29368"/>
      <c r="C29368"/>
      <c r="J29368"/>
      <c r="K29368"/>
      <c r="L29368"/>
    </row>
    <row r="29369" spans="2:12" x14ac:dyDescent="0.2">
      <c r="B29369"/>
      <c r="C29369"/>
      <c r="J29369"/>
      <c r="K29369"/>
      <c r="L29369"/>
    </row>
    <row r="29370" spans="2:12" x14ac:dyDescent="0.2">
      <c r="B29370"/>
      <c r="C29370"/>
      <c r="J29370"/>
      <c r="K29370"/>
      <c r="L29370"/>
    </row>
    <row r="29371" spans="2:12" x14ac:dyDescent="0.2">
      <c r="B29371"/>
      <c r="C29371"/>
      <c r="J29371"/>
      <c r="K29371"/>
      <c r="L29371"/>
    </row>
    <row r="29372" spans="2:12" x14ac:dyDescent="0.2">
      <c r="B29372"/>
      <c r="C29372"/>
      <c r="J29372"/>
      <c r="K29372"/>
      <c r="L29372"/>
    </row>
    <row r="29373" spans="2:12" x14ac:dyDescent="0.2">
      <c r="B29373"/>
      <c r="C29373"/>
      <c r="J29373"/>
      <c r="K29373"/>
      <c r="L29373"/>
    </row>
    <row r="29374" spans="2:12" x14ac:dyDescent="0.2">
      <c r="B29374"/>
      <c r="C29374"/>
      <c r="J29374"/>
      <c r="K29374"/>
      <c r="L29374"/>
    </row>
    <row r="29375" spans="2:12" x14ac:dyDescent="0.2">
      <c r="B29375"/>
      <c r="C29375"/>
      <c r="J29375"/>
      <c r="K29375"/>
      <c r="L29375"/>
    </row>
    <row r="29376" spans="2:12" x14ac:dyDescent="0.2">
      <c r="B29376"/>
      <c r="C29376"/>
      <c r="J29376"/>
      <c r="K29376"/>
      <c r="L29376"/>
    </row>
    <row r="29377" spans="2:12" x14ac:dyDescent="0.2">
      <c r="B29377"/>
      <c r="C29377"/>
      <c r="J29377"/>
      <c r="K29377"/>
      <c r="L29377"/>
    </row>
    <row r="29378" spans="2:12" x14ac:dyDescent="0.2">
      <c r="B29378"/>
      <c r="C29378"/>
      <c r="J29378"/>
      <c r="K29378"/>
      <c r="L29378"/>
    </row>
    <row r="29379" spans="2:12" x14ac:dyDescent="0.2">
      <c r="B29379"/>
      <c r="C29379"/>
      <c r="J29379"/>
      <c r="K29379"/>
      <c r="L29379"/>
    </row>
    <row r="29380" spans="2:12" x14ac:dyDescent="0.2">
      <c r="B29380"/>
      <c r="C29380"/>
      <c r="J29380"/>
      <c r="K29380"/>
      <c r="L29380"/>
    </row>
    <row r="29381" spans="2:12" x14ac:dyDescent="0.2">
      <c r="B29381"/>
      <c r="C29381"/>
      <c r="J29381"/>
      <c r="K29381"/>
      <c r="L29381"/>
    </row>
    <row r="29382" spans="2:12" x14ac:dyDescent="0.2">
      <c r="B29382"/>
      <c r="C29382"/>
      <c r="J29382"/>
      <c r="K29382"/>
      <c r="L29382"/>
    </row>
    <row r="29383" spans="2:12" x14ac:dyDescent="0.2">
      <c r="B29383"/>
      <c r="C29383"/>
      <c r="J29383"/>
      <c r="K29383"/>
      <c r="L29383"/>
    </row>
    <row r="29384" spans="2:12" x14ac:dyDescent="0.2">
      <c r="B29384"/>
      <c r="C29384"/>
      <c r="J29384"/>
      <c r="K29384"/>
      <c r="L29384"/>
    </row>
    <row r="29385" spans="2:12" x14ac:dyDescent="0.2">
      <c r="B29385"/>
      <c r="C29385"/>
      <c r="J29385"/>
      <c r="K29385"/>
      <c r="L29385"/>
    </row>
    <row r="29386" spans="2:12" x14ac:dyDescent="0.2">
      <c r="B29386"/>
      <c r="C29386"/>
      <c r="J29386"/>
      <c r="K29386"/>
      <c r="L29386"/>
    </row>
    <row r="29387" spans="2:12" x14ac:dyDescent="0.2">
      <c r="B29387"/>
      <c r="C29387"/>
      <c r="J29387"/>
      <c r="K29387"/>
      <c r="L29387"/>
    </row>
    <row r="29388" spans="2:12" x14ac:dyDescent="0.2">
      <c r="B29388"/>
      <c r="C29388"/>
      <c r="J29388"/>
      <c r="K29388"/>
      <c r="L29388"/>
    </row>
    <row r="29389" spans="2:12" x14ac:dyDescent="0.2">
      <c r="B29389"/>
      <c r="C29389"/>
      <c r="J29389"/>
      <c r="K29389"/>
      <c r="L29389"/>
    </row>
    <row r="29390" spans="2:12" x14ac:dyDescent="0.2">
      <c r="B29390"/>
      <c r="C29390"/>
      <c r="J29390"/>
      <c r="K29390"/>
      <c r="L29390"/>
    </row>
    <row r="29391" spans="2:12" x14ac:dyDescent="0.2">
      <c r="B29391"/>
      <c r="C29391"/>
      <c r="J29391"/>
      <c r="K29391"/>
      <c r="L29391"/>
    </row>
    <row r="29392" spans="2:12" x14ac:dyDescent="0.2">
      <c r="B29392"/>
      <c r="C29392"/>
      <c r="J29392"/>
      <c r="K29392"/>
      <c r="L29392"/>
    </row>
    <row r="29393" spans="2:12" x14ac:dyDescent="0.2">
      <c r="B29393"/>
      <c r="C29393"/>
      <c r="J29393"/>
      <c r="K29393"/>
      <c r="L29393"/>
    </row>
    <row r="29394" spans="2:12" x14ac:dyDescent="0.2">
      <c r="B29394"/>
      <c r="C29394"/>
      <c r="J29394"/>
      <c r="K29394"/>
      <c r="L29394"/>
    </row>
    <row r="29395" spans="2:12" x14ac:dyDescent="0.2">
      <c r="B29395"/>
      <c r="C29395"/>
      <c r="J29395"/>
      <c r="K29395"/>
      <c r="L29395"/>
    </row>
    <row r="29396" spans="2:12" x14ac:dyDescent="0.2">
      <c r="B29396"/>
      <c r="C29396"/>
      <c r="J29396"/>
      <c r="K29396"/>
      <c r="L29396"/>
    </row>
    <row r="29397" spans="2:12" x14ac:dyDescent="0.2">
      <c r="B29397"/>
      <c r="C29397"/>
      <c r="J29397"/>
      <c r="K29397"/>
      <c r="L29397"/>
    </row>
    <row r="29398" spans="2:12" x14ac:dyDescent="0.2">
      <c r="B29398"/>
      <c r="C29398"/>
      <c r="J29398"/>
      <c r="K29398"/>
      <c r="L29398"/>
    </row>
    <row r="29399" spans="2:12" x14ac:dyDescent="0.2">
      <c r="B29399"/>
      <c r="C29399"/>
      <c r="J29399"/>
      <c r="K29399"/>
      <c r="L29399"/>
    </row>
    <row r="29400" spans="2:12" x14ac:dyDescent="0.2">
      <c r="B29400"/>
      <c r="C29400"/>
      <c r="J29400"/>
      <c r="K29400"/>
      <c r="L29400"/>
    </row>
    <row r="29401" spans="2:12" x14ac:dyDescent="0.2">
      <c r="B29401"/>
      <c r="C29401"/>
      <c r="J29401"/>
      <c r="K29401"/>
      <c r="L29401"/>
    </row>
    <row r="29402" spans="2:12" x14ac:dyDescent="0.2">
      <c r="B29402"/>
      <c r="C29402"/>
      <c r="J29402"/>
      <c r="K29402"/>
      <c r="L29402"/>
    </row>
    <row r="29403" spans="2:12" x14ac:dyDescent="0.2">
      <c r="B29403"/>
      <c r="C29403"/>
      <c r="J29403"/>
      <c r="K29403"/>
      <c r="L29403"/>
    </row>
    <row r="29404" spans="2:12" x14ac:dyDescent="0.2">
      <c r="B29404"/>
      <c r="C29404"/>
      <c r="J29404"/>
      <c r="K29404"/>
      <c r="L29404"/>
    </row>
    <row r="29405" spans="2:12" x14ac:dyDescent="0.2">
      <c r="B29405"/>
      <c r="C29405"/>
      <c r="J29405"/>
      <c r="K29405"/>
      <c r="L29405"/>
    </row>
    <row r="29406" spans="2:12" x14ac:dyDescent="0.2">
      <c r="B29406"/>
      <c r="C29406"/>
      <c r="J29406"/>
      <c r="K29406"/>
      <c r="L29406"/>
    </row>
    <row r="29407" spans="2:12" x14ac:dyDescent="0.2">
      <c r="B29407"/>
      <c r="C29407"/>
      <c r="J29407"/>
      <c r="K29407"/>
      <c r="L29407"/>
    </row>
    <row r="29408" spans="2:12" x14ac:dyDescent="0.2">
      <c r="B29408"/>
      <c r="C29408"/>
      <c r="J29408"/>
      <c r="K29408"/>
      <c r="L29408"/>
    </row>
    <row r="29409" spans="2:12" x14ac:dyDescent="0.2">
      <c r="B29409"/>
      <c r="C29409"/>
      <c r="J29409"/>
      <c r="K29409"/>
      <c r="L29409"/>
    </row>
    <row r="29410" spans="2:12" x14ac:dyDescent="0.2">
      <c r="B29410"/>
      <c r="C29410"/>
      <c r="J29410"/>
      <c r="K29410"/>
      <c r="L29410"/>
    </row>
    <row r="29411" spans="2:12" x14ac:dyDescent="0.2">
      <c r="B29411"/>
      <c r="C29411"/>
      <c r="J29411"/>
      <c r="K29411"/>
      <c r="L29411"/>
    </row>
    <row r="29412" spans="2:12" x14ac:dyDescent="0.2">
      <c r="B29412"/>
      <c r="C29412"/>
      <c r="J29412"/>
      <c r="K29412"/>
      <c r="L29412"/>
    </row>
    <row r="29413" spans="2:12" x14ac:dyDescent="0.2">
      <c r="B29413"/>
      <c r="C29413"/>
      <c r="J29413"/>
      <c r="K29413"/>
      <c r="L29413"/>
    </row>
    <row r="29414" spans="2:12" x14ac:dyDescent="0.2">
      <c r="B29414"/>
      <c r="C29414"/>
      <c r="J29414"/>
      <c r="K29414"/>
      <c r="L29414"/>
    </row>
    <row r="29415" spans="2:12" x14ac:dyDescent="0.2">
      <c r="B29415"/>
      <c r="C29415"/>
      <c r="J29415"/>
      <c r="K29415"/>
      <c r="L29415"/>
    </row>
    <row r="29416" spans="2:12" x14ac:dyDescent="0.2">
      <c r="B29416"/>
      <c r="C29416"/>
      <c r="J29416"/>
      <c r="K29416"/>
      <c r="L29416"/>
    </row>
    <row r="29417" spans="2:12" x14ac:dyDescent="0.2">
      <c r="B29417"/>
      <c r="C29417"/>
      <c r="J29417"/>
      <c r="K29417"/>
      <c r="L29417"/>
    </row>
    <row r="29418" spans="2:12" x14ac:dyDescent="0.2">
      <c r="B29418"/>
      <c r="C29418"/>
      <c r="J29418"/>
      <c r="K29418"/>
      <c r="L29418"/>
    </row>
    <row r="29419" spans="2:12" x14ac:dyDescent="0.2">
      <c r="B29419"/>
      <c r="C29419"/>
      <c r="J29419"/>
      <c r="K29419"/>
      <c r="L29419"/>
    </row>
    <row r="29420" spans="2:12" x14ac:dyDescent="0.2">
      <c r="B29420"/>
      <c r="C29420"/>
      <c r="J29420"/>
      <c r="K29420"/>
      <c r="L29420"/>
    </row>
    <row r="29421" spans="2:12" x14ac:dyDescent="0.2">
      <c r="B29421"/>
      <c r="C29421"/>
      <c r="J29421"/>
      <c r="K29421"/>
      <c r="L29421"/>
    </row>
    <row r="29422" spans="2:12" x14ac:dyDescent="0.2">
      <c r="B29422"/>
      <c r="C29422"/>
      <c r="J29422"/>
      <c r="K29422"/>
      <c r="L29422"/>
    </row>
    <row r="29423" spans="2:12" x14ac:dyDescent="0.2">
      <c r="B29423"/>
      <c r="C29423"/>
      <c r="J29423"/>
      <c r="K29423"/>
      <c r="L29423"/>
    </row>
    <row r="29424" spans="2:12" x14ac:dyDescent="0.2">
      <c r="B29424"/>
      <c r="C29424"/>
      <c r="J29424"/>
      <c r="K29424"/>
      <c r="L29424"/>
    </row>
    <row r="29425" spans="2:12" x14ac:dyDescent="0.2">
      <c r="B29425"/>
      <c r="C29425"/>
      <c r="J29425"/>
      <c r="K29425"/>
      <c r="L29425"/>
    </row>
    <row r="29426" spans="2:12" x14ac:dyDescent="0.2">
      <c r="B29426"/>
      <c r="C29426"/>
      <c r="J29426"/>
      <c r="K29426"/>
      <c r="L29426"/>
    </row>
    <row r="29427" spans="2:12" x14ac:dyDescent="0.2">
      <c r="B29427"/>
      <c r="C29427"/>
      <c r="J29427"/>
      <c r="K29427"/>
      <c r="L29427"/>
    </row>
    <row r="29428" spans="2:12" x14ac:dyDescent="0.2">
      <c r="B29428"/>
      <c r="C29428"/>
      <c r="J29428"/>
      <c r="K29428"/>
      <c r="L29428"/>
    </row>
    <row r="29429" spans="2:12" x14ac:dyDescent="0.2">
      <c r="B29429"/>
      <c r="C29429"/>
      <c r="J29429"/>
      <c r="K29429"/>
      <c r="L29429"/>
    </row>
    <row r="29430" spans="2:12" x14ac:dyDescent="0.2">
      <c r="B29430"/>
      <c r="C29430"/>
      <c r="J29430"/>
      <c r="K29430"/>
      <c r="L29430"/>
    </row>
    <row r="29431" spans="2:12" x14ac:dyDescent="0.2">
      <c r="B29431"/>
      <c r="C29431"/>
      <c r="J29431"/>
      <c r="K29431"/>
      <c r="L29431"/>
    </row>
    <row r="29432" spans="2:12" x14ac:dyDescent="0.2">
      <c r="B29432"/>
      <c r="C29432"/>
      <c r="J29432"/>
      <c r="K29432"/>
      <c r="L29432"/>
    </row>
    <row r="29433" spans="2:12" x14ac:dyDescent="0.2">
      <c r="B29433"/>
      <c r="C29433"/>
      <c r="J29433"/>
      <c r="K29433"/>
      <c r="L29433"/>
    </row>
    <row r="29434" spans="2:12" x14ac:dyDescent="0.2">
      <c r="B29434"/>
      <c r="C29434"/>
      <c r="J29434"/>
      <c r="K29434"/>
      <c r="L29434"/>
    </row>
    <row r="29435" spans="2:12" x14ac:dyDescent="0.2">
      <c r="B29435"/>
      <c r="C29435"/>
      <c r="J29435"/>
      <c r="K29435"/>
      <c r="L29435"/>
    </row>
    <row r="29436" spans="2:12" x14ac:dyDescent="0.2">
      <c r="B29436"/>
      <c r="C29436"/>
      <c r="J29436"/>
      <c r="K29436"/>
      <c r="L29436"/>
    </row>
    <row r="29437" spans="2:12" x14ac:dyDescent="0.2">
      <c r="B29437"/>
      <c r="C29437"/>
      <c r="J29437"/>
      <c r="K29437"/>
      <c r="L29437"/>
    </row>
    <row r="29438" spans="2:12" x14ac:dyDescent="0.2">
      <c r="B29438"/>
      <c r="C29438"/>
      <c r="J29438"/>
      <c r="K29438"/>
      <c r="L29438"/>
    </row>
    <row r="29439" spans="2:12" x14ac:dyDescent="0.2">
      <c r="B29439"/>
      <c r="C29439"/>
      <c r="J29439"/>
      <c r="K29439"/>
      <c r="L29439"/>
    </row>
    <row r="29440" spans="2:12" x14ac:dyDescent="0.2">
      <c r="B29440"/>
      <c r="C29440"/>
      <c r="J29440"/>
      <c r="K29440"/>
      <c r="L29440"/>
    </row>
    <row r="29441" spans="2:12" x14ac:dyDescent="0.2">
      <c r="B29441"/>
      <c r="C29441"/>
      <c r="J29441"/>
      <c r="K29441"/>
      <c r="L29441"/>
    </row>
    <row r="29442" spans="2:12" x14ac:dyDescent="0.2">
      <c r="B29442"/>
      <c r="C29442"/>
      <c r="J29442"/>
      <c r="K29442"/>
      <c r="L29442"/>
    </row>
    <row r="29443" spans="2:12" x14ac:dyDescent="0.2">
      <c r="B29443"/>
      <c r="C29443"/>
      <c r="J29443"/>
      <c r="K29443"/>
      <c r="L29443"/>
    </row>
    <row r="29444" spans="2:12" x14ac:dyDescent="0.2">
      <c r="B29444"/>
      <c r="C29444"/>
      <c r="J29444"/>
      <c r="K29444"/>
      <c r="L29444"/>
    </row>
    <row r="29445" spans="2:12" x14ac:dyDescent="0.2">
      <c r="B29445"/>
      <c r="C29445"/>
      <c r="J29445"/>
      <c r="K29445"/>
      <c r="L29445"/>
    </row>
    <row r="29446" spans="2:12" x14ac:dyDescent="0.2">
      <c r="B29446"/>
      <c r="C29446"/>
      <c r="J29446"/>
      <c r="K29446"/>
      <c r="L29446"/>
    </row>
    <row r="29447" spans="2:12" x14ac:dyDescent="0.2">
      <c r="B29447"/>
      <c r="C29447"/>
      <c r="J29447"/>
      <c r="K29447"/>
      <c r="L29447"/>
    </row>
    <row r="29448" spans="2:12" x14ac:dyDescent="0.2">
      <c r="B29448"/>
      <c r="C29448"/>
      <c r="J29448"/>
      <c r="K29448"/>
      <c r="L29448"/>
    </row>
    <row r="29449" spans="2:12" x14ac:dyDescent="0.2">
      <c r="B29449"/>
      <c r="C29449"/>
      <c r="J29449"/>
      <c r="K29449"/>
      <c r="L29449"/>
    </row>
    <row r="29450" spans="2:12" x14ac:dyDescent="0.2">
      <c r="B29450"/>
      <c r="C29450"/>
      <c r="J29450"/>
      <c r="K29450"/>
      <c r="L29450"/>
    </row>
    <row r="29451" spans="2:12" x14ac:dyDescent="0.2">
      <c r="B29451"/>
      <c r="C29451"/>
      <c r="J29451"/>
      <c r="K29451"/>
      <c r="L29451"/>
    </row>
    <row r="29452" spans="2:12" x14ac:dyDescent="0.2">
      <c r="B29452"/>
      <c r="C29452"/>
      <c r="J29452"/>
      <c r="K29452"/>
      <c r="L29452"/>
    </row>
    <row r="29453" spans="2:12" x14ac:dyDescent="0.2">
      <c r="B29453"/>
      <c r="C29453"/>
      <c r="J29453"/>
      <c r="K29453"/>
      <c r="L29453"/>
    </row>
    <row r="29454" spans="2:12" x14ac:dyDescent="0.2">
      <c r="B29454"/>
      <c r="C29454"/>
      <c r="J29454"/>
      <c r="K29454"/>
      <c r="L29454"/>
    </row>
    <row r="29455" spans="2:12" x14ac:dyDescent="0.2">
      <c r="B29455"/>
      <c r="C29455"/>
      <c r="J29455"/>
      <c r="K29455"/>
      <c r="L29455"/>
    </row>
    <row r="29456" spans="2:12" x14ac:dyDescent="0.2">
      <c r="B29456"/>
      <c r="C29456"/>
      <c r="J29456"/>
      <c r="K29456"/>
      <c r="L29456"/>
    </row>
    <row r="29457" spans="2:12" x14ac:dyDescent="0.2">
      <c r="B29457"/>
      <c r="C29457"/>
      <c r="J29457"/>
      <c r="K29457"/>
      <c r="L29457"/>
    </row>
    <row r="29458" spans="2:12" x14ac:dyDescent="0.2">
      <c r="B29458"/>
      <c r="C29458"/>
      <c r="J29458"/>
      <c r="K29458"/>
      <c r="L29458"/>
    </row>
    <row r="29459" spans="2:12" x14ac:dyDescent="0.2">
      <c r="B29459"/>
      <c r="C29459"/>
      <c r="J29459"/>
      <c r="K29459"/>
      <c r="L29459"/>
    </row>
    <row r="29460" spans="2:12" x14ac:dyDescent="0.2">
      <c r="B29460"/>
      <c r="C29460"/>
      <c r="J29460"/>
      <c r="K29460"/>
      <c r="L29460"/>
    </row>
    <row r="29461" spans="2:12" x14ac:dyDescent="0.2">
      <c r="B29461"/>
      <c r="C29461"/>
      <c r="J29461"/>
      <c r="K29461"/>
      <c r="L29461"/>
    </row>
    <row r="29462" spans="2:12" x14ac:dyDescent="0.2">
      <c r="B29462"/>
      <c r="C29462"/>
      <c r="J29462"/>
      <c r="K29462"/>
      <c r="L29462"/>
    </row>
    <row r="29463" spans="2:12" x14ac:dyDescent="0.2">
      <c r="B29463"/>
      <c r="C29463"/>
      <c r="J29463"/>
      <c r="K29463"/>
      <c r="L29463"/>
    </row>
    <row r="29464" spans="2:12" x14ac:dyDescent="0.2">
      <c r="B29464"/>
      <c r="C29464"/>
      <c r="J29464"/>
      <c r="K29464"/>
      <c r="L29464"/>
    </row>
    <row r="29465" spans="2:12" x14ac:dyDescent="0.2">
      <c r="B29465"/>
      <c r="C29465"/>
      <c r="J29465"/>
      <c r="K29465"/>
      <c r="L29465"/>
    </row>
    <row r="29466" spans="2:12" x14ac:dyDescent="0.2">
      <c r="B29466"/>
      <c r="C29466"/>
      <c r="J29466"/>
      <c r="K29466"/>
      <c r="L29466"/>
    </row>
    <row r="29467" spans="2:12" x14ac:dyDescent="0.2">
      <c r="B29467"/>
      <c r="C29467"/>
      <c r="J29467"/>
      <c r="K29467"/>
      <c r="L29467"/>
    </row>
    <row r="29468" spans="2:12" x14ac:dyDescent="0.2">
      <c r="B29468"/>
      <c r="C29468"/>
      <c r="J29468"/>
      <c r="K29468"/>
      <c r="L29468"/>
    </row>
    <row r="29469" spans="2:12" x14ac:dyDescent="0.2">
      <c r="B29469"/>
      <c r="C29469"/>
      <c r="J29469"/>
      <c r="K29469"/>
      <c r="L29469"/>
    </row>
    <row r="29470" spans="2:12" x14ac:dyDescent="0.2">
      <c r="B29470"/>
      <c r="C29470"/>
      <c r="J29470"/>
      <c r="K29470"/>
      <c r="L29470"/>
    </row>
    <row r="29471" spans="2:12" x14ac:dyDescent="0.2">
      <c r="B29471"/>
      <c r="C29471"/>
      <c r="J29471"/>
      <c r="K29471"/>
      <c r="L29471"/>
    </row>
    <row r="29472" spans="2:12" x14ac:dyDescent="0.2">
      <c r="B29472"/>
      <c r="C29472"/>
      <c r="J29472"/>
      <c r="K29472"/>
      <c r="L29472"/>
    </row>
    <row r="29473" spans="2:12" x14ac:dyDescent="0.2">
      <c r="B29473"/>
      <c r="C29473"/>
      <c r="J29473"/>
      <c r="K29473"/>
      <c r="L29473"/>
    </row>
    <row r="29474" spans="2:12" x14ac:dyDescent="0.2">
      <c r="B29474"/>
      <c r="C29474"/>
      <c r="J29474"/>
      <c r="K29474"/>
      <c r="L29474"/>
    </row>
    <row r="29475" spans="2:12" x14ac:dyDescent="0.2">
      <c r="B29475"/>
      <c r="C29475"/>
      <c r="J29475"/>
      <c r="K29475"/>
      <c r="L29475"/>
    </row>
    <row r="29476" spans="2:12" x14ac:dyDescent="0.2">
      <c r="B29476"/>
      <c r="C29476"/>
      <c r="J29476"/>
      <c r="K29476"/>
      <c r="L29476"/>
    </row>
    <row r="29477" spans="2:12" x14ac:dyDescent="0.2">
      <c r="B29477"/>
      <c r="C29477"/>
      <c r="J29477"/>
      <c r="K29477"/>
      <c r="L29477"/>
    </row>
    <row r="29478" spans="2:12" x14ac:dyDescent="0.2">
      <c r="B29478"/>
      <c r="C29478"/>
      <c r="J29478"/>
      <c r="K29478"/>
      <c r="L29478"/>
    </row>
    <row r="29479" spans="2:12" x14ac:dyDescent="0.2">
      <c r="B29479"/>
      <c r="C29479"/>
      <c r="J29479"/>
      <c r="K29479"/>
      <c r="L29479"/>
    </row>
    <row r="29480" spans="2:12" x14ac:dyDescent="0.2">
      <c r="B29480"/>
      <c r="C29480"/>
      <c r="J29480"/>
      <c r="K29480"/>
      <c r="L29480"/>
    </row>
    <row r="29481" spans="2:12" x14ac:dyDescent="0.2">
      <c r="B29481"/>
      <c r="C29481"/>
      <c r="J29481"/>
      <c r="K29481"/>
      <c r="L29481"/>
    </row>
    <row r="29482" spans="2:12" x14ac:dyDescent="0.2">
      <c r="B29482"/>
      <c r="C29482"/>
      <c r="J29482"/>
      <c r="K29482"/>
      <c r="L29482"/>
    </row>
    <row r="29483" spans="2:12" x14ac:dyDescent="0.2">
      <c r="B29483"/>
      <c r="C29483"/>
      <c r="J29483"/>
      <c r="K29483"/>
      <c r="L29483"/>
    </row>
    <row r="29484" spans="2:12" x14ac:dyDescent="0.2">
      <c r="B29484"/>
      <c r="C29484"/>
      <c r="J29484"/>
      <c r="K29484"/>
      <c r="L29484"/>
    </row>
    <row r="29485" spans="2:12" x14ac:dyDescent="0.2">
      <c r="B29485"/>
      <c r="C29485"/>
      <c r="J29485"/>
      <c r="K29485"/>
      <c r="L29485"/>
    </row>
    <row r="29486" spans="2:12" x14ac:dyDescent="0.2">
      <c r="B29486"/>
      <c r="C29486"/>
      <c r="J29486"/>
      <c r="K29486"/>
      <c r="L29486"/>
    </row>
    <row r="29487" spans="2:12" x14ac:dyDescent="0.2">
      <c r="B29487"/>
      <c r="C29487"/>
      <c r="J29487"/>
      <c r="K29487"/>
      <c r="L29487"/>
    </row>
    <row r="29488" spans="2:12" x14ac:dyDescent="0.2">
      <c r="B29488"/>
      <c r="C29488"/>
      <c r="J29488"/>
      <c r="K29488"/>
      <c r="L29488"/>
    </row>
    <row r="29489" spans="2:12" x14ac:dyDescent="0.2">
      <c r="B29489"/>
      <c r="C29489"/>
      <c r="J29489"/>
      <c r="K29489"/>
      <c r="L29489"/>
    </row>
    <row r="29490" spans="2:12" x14ac:dyDescent="0.2">
      <c r="B29490"/>
      <c r="C29490"/>
      <c r="J29490"/>
      <c r="K29490"/>
      <c r="L29490"/>
    </row>
    <row r="29491" spans="2:12" x14ac:dyDescent="0.2">
      <c r="B29491"/>
      <c r="C29491"/>
      <c r="J29491"/>
      <c r="K29491"/>
      <c r="L29491"/>
    </row>
    <row r="29492" spans="2:12" x14ac:dyDescent="0.2">
      <c r="B29492"/>
      <c r="C29492"/>
      <c r="J29492"/>
      <c r="K29492"/>
      <c r="L29492"/>
    </row>
    <row r="29493" spans="2:12" x14ac:dyDescent="0.2">
      <c r="B29493"/>
      <c r="C29493"/>
      <c r="J29493"/>
      <c r="K29493"/>
      <c r="L29493"/>
    </row>
    <row r="29494" spans="2:12" x14ac:dyDescent="0.2">
      <c r="B29494"/>
      <c r="C29494"/>
      <c r="J29494"/>
      <c r="K29494"/>
      <c r="L29494"/>
    </row>
    <row r="29495" spans="2:12" x14ac:dyDescent="0.2">
      <c r="B29495"/>
      <c r="C29495"/>
      <c r="J29495"/>
      <c r="K29495"/>
      <c r="L29495"/>
    </row>
    <row r="29496" spans="2:12" x14ac:dyDescent="0.2">
      <c r="B29496"/>
      <c r="C29496"/>
      <c r="J29496"/>
      <c r="K29496"/>
      <c r="L29496"/>
    </row>
    <row r="29497" spans="2:12" x14ac:dyDescent="0.2">
      <c r="B29497"/>
      <c r="C29497"/>
      <c r="J29497"/>
      <c r="K29497"/>
      <c r="L29497"/>
    </row>
    <row r="29498" spans="2:12" x14ac:dyDescent="0.2">
      <c r="B29498"/>
      <c r="C29498"/>
      <c r="J29498"/>
      <c r="K29498"/>
      <c r="L29498"/>
    </row>
    <row r="29499" spans="2:12" x14ac:dyDescent="0.2">
      <c r="B29499"/>
      <c r="C29499"/>
      <c r="J29499"/>
      <c r="K29499"/>
      <c r="L29499"/>
    </row>
    <row r="29500" spans="2:12" x14ac:dyDescent="0.2">
      <c r="B29500"/>
      <c r="C29500"/>
      <c r="J29500"/>
      <c r="K29500"/>
      <c r="L29500"/>
    </row>
    <row r="29501" spans="2:12" x14ac:dyDescent="0.2">
      <c r="B29501"/>
      <c r="C29501"/>
      <c r="J29501"/>
      <c r="K29501"/>
      <c r="L29501"/>
    </row>
    <row r="29502" spans="2:12" x14ac:dyDescent="0.2">
      <c r="B29502"/>
      <c r="C29502"/>
      <c r="J29502"/>
      <c r="K29502"/>
      <c r="L29502"/>
    </row>
    <row r="29503" spans="2:12" x14ac:dyDescent="0.2">
      <c r="B29503"/>
      <c r="C29503"/>
      <c r="J29503"/>
      <c r="K29503"/>
      <c r="L29503"/>
    </row>
    <row r="29504" spans="2:12" x14ac:dyDescent="0.2">
      <c r="B29504"/>
      <c r="C29504"/>
      <c r="J29504"/>
      <c r="K29504"/>
      <c r="L29504"/>
    </row>
    <row r="29505" spans="2:12" x14ac:dyDescent="0.2">
      <c r="B29505"/>
      <c r="C29505"/>
      <c r="J29505"/>
      <c r="K29505"/>
      <c r="L29505"/>
    </row>
    <row r="29506" spans="2:12" x14ac:dyDescent="0.2">
      <c r="B29506"/>
      <c r="C29506"/>
      <c r="J29506"/>
      <c r="K29506"/>
      <c r="L29506"/>
    </row>
    <row r="29507" spans="2:12" x14ac:dyDescent="0.2">
      <c r="B29507"/>
      <c r="C29507"/>
      <c r="J29507"/>
      <c r="K29507"/>
      <c r="L29507"/>
    </row>
    <row r="29508" spans="2:12" x14ac:dyDescent="0.2">
      <c r="B29508"/>
      <c r="C29508"/>
      <c r="J29508"/>
      <c r="K29508"/>
      <c r="L29508"/>
    </row>
    <row r="29509" spans="2:12" x14ac:dyDescent="0.2">
      <c r="B29509"/>
      <c r="C29509"/>
      <c r="J29509"/>
      <c r="K29509"/>
      <c r="L29509"/>
    </row>
    <row r="29510" spans="2:12" x14ac:dyDescent="0.2">
      <c r="B29510"/>
      <c r="C29510"/>
      <c r="J29510"/>
      <c r="K29510"/>
      <c r="L29510"/>
    </row>
    <row r="29511" spans="2:12" x14ac:dyDescent="0.2">
      <c r="B29511"/>
      <c r="C29511"/>
      <c r="J29511"/>
      <c r="K29511"/>
      <c r="L29511"/>
    </row>
    <row r="29512" spans="2:12" x14ac:dyDescent="0.2">
      <c r="B29512"/>
      <c r="C29512"/>
      <c r="J29512"/>
      <c r="K29512"/>
      <c r="L29512"/>
    </row>
    <row r="29513" spans="2:12" x14ac:dyDescent="0.2">
      <c r="B29513"/>
      <c r="C29513"/>
      <c r="J29513"/>
      <c r="K29513"/>
      <c r="L29513"/>
    </row>
    <row r="29514" spans="2:12" x14ac:dyDescent="0.2">
      <c r="B29514"/>
      <c r="C29514"/>
      <c r="J29514"/>
      <c r="K29514"/>
      <c r="L29514"/>
    </row>
    <row r="29515" spans="2:12" x14ac:dyDescent="0.2">
      <c r="B29515"/>
      <c r="C29515"/>
      <c r="J29515"/>
      <c r="K29515"/>
      <c r="L29515"/>
    </row>
    <row r="29516" spans="2:12" x14ac:dyDescent="0.2">
      <c r="B29516"/>
      <c r="C29516"/>
      <c r="J29516"/>
      <c r="K29516"/>
      <c r="L29516"/>
    </row>
    <row r="29517" spans="2:12" x14ac:dyDescent="0.2">
      <c r="B29517"/>
      <c r="C29517"/>
      <c r="J29517"/>
      <c r="K29517"/>
      <c r="L29517"/>
    </row>
    <row r="29518" spans="2:12" x14ac:dyDescent="0.2">
      <c r="B29518"/>
      <c r="C29518"/>
      <c r="J29518"/>
      <c r="K29518"/>
      <c r="L29518"/>
    </row>
    <row r="29519" spans="2:12" x14ac:dyDescent="0.2">
      <c r="B29519"/>
      <c r="C29519"/>
      <c r="J29519"/>
      <c r="K29519"/>
      <c r="L29519"/>
    </row>
    <row r="29520" spans="2:12" x14ac:dyDescent="0.2">
      <c r="B29520"/>
      <c r="C29520"/>
      <c r="J29520"/>
      <c r="K29520"/>
      <c r="L29520"/>
    </row>
    <row r="29521" spans="2:12" x14ac:dyDescent="0.2">
      <c r="B29521"/>
      <c r="C29521"/>
      <c r="J29521"/>
      <c r="K29521"/>
      <c r="L29521"/>
    </row>
    <row r="29522" spans="2:12" x14ac:dyDescent="0.2">
      <c r="B29522"/>
      <c r="C29522"/>
      <c r="J29522"/>
      <c r="K29522"/>
      <c r="L29522"/>
    </row>
    <row r="29523" spans="2:12" x14ac:dyDescent="0.2">
      <c r="B29523"/>
      <c r="C29523"/>
      <c r="J29523"/>
      <c r="K29523"/>
      <c r="L29523"/>
    </row>
    <row r="29524" spans="2:12" x14ac:dyDescent="0.2">
      <c r="B29524"/>
      <c r="C29524"/>
      <c r="J29524"/>
      <c r="K29524"/>
      <c r="L29524"/>
    </row>
    <row r="29525" spans="2:12" x14ac:dyDescent="0.2">
      <c r="B29525"/>
      <c r="C29525"/>
      <c r="J29525"/>
      <c r="K29525"/>
      <c r="L29525"/>
    </row>
    <row r="29526" spans="2:12" x14ac:dyDescent="0.2">
      <c r="B29526"/>
      <c r="C29526"/>
      <c r="J29526"/>
      <c r="K29526"/>
      <c r="L29526"/>
    </row>
    <row r="29527" spans="2:12" x14ac:dyDescent="0.2">
      <c r="B29527"/>
      <c r="C29527"/>
      <c r="J29527"/>
      <c r="K29527"/>
      <c r="L29527"/>
    </row>
    <row r="29528" spans="2:12" x14ac:dyDescent="0.2">
      <c r="B29528"/>
      <c r="C29528"/>
      <c r="J29528"/>
      <c r="K29528"/>
      <c r="L29528"/>
    </row>
    <row r="29529" spans="2:12" x14ac:dyDescent="0.2">
      <c r="B29529"/>
      <c r="C29529"/>
      <c r="J29529"/>
      <c r="K29529"/>
      <c r="L29529"/>
    </row>
    <row r="29530" spans="2:12" x14ac:dyDescent="0.2">
      <c r="B29530"/>
      <c r="C29530"/>
      <c r="J29530"/>
      <c r="K29530"/>
      <c r="L29530"/>
    </row>
    <row r="29531" spans="2:12" x14ac:dyDescent="0.2">
      <c r="B29531"/>
      <c r="C29531"/>
      <c r="J29531"/>
      <c r="K29531"/>
      <c r="L29531"/>
    </row>
    <row r="29532" spans="2:12" x14ac:dyDescent="0.2">
      <c r="B29532"/>
      <c r="C29532"/>
      <c r="J29532"/>
      <c r="K29532"/>
      <c r="L29532"/>
    </row>
    <row r="29533" spans="2:12" x14ac:dyDescent="0.2">
      <c r="B29533"/>
      <c r="C29533"/>
      <c r="J29533"/>
      <c r="K29533"/>
      <c r="L29533"/>
    </row>
    <row r="29534" spans="2:12" x14ac:dyDescent="0.2">
      <c r="B29534"/>
      <c r="C29534"/>
      <c r="J29534"/>
      <c r="K29534"/>
      <c r="L29534"/>
    </row>
    <row r="29535" spans="2:12" x14ac:dyDescent="0.2">
      <c r="B29535"/>
      <c r="C29535"/>
      <c r="J29535"/>
      <c r="K29535"/>
      <c r="L29535"/>
    </row>
    <row r="29536" spans="2:12" x14ac:dyDescent="0.2">
      <c r="B29536"/>
      <c r="C29536"/>
      <c r="J29536"/>
      <c r="K29536"/>
      <c r="L29536"/>
    </row>
    <row r="29537" spans="2:12" x14ac:dyDescent="0.2">
      <c r="B29537"/>
      <c r="C29537"/>
      <c r="J29537"/>
      <c r="K29537"/>
      <c r="L29537"/>
    </row>
    <row r="29538" spans="2:12" x14ac:dyDescent="0.2">
      <c r="B29538"/>
      <c r="C29538"/>
      <c r="J29538"/>
      <c r="K29538"/>
      <c r="L29538"/>
    </row>
    <row r="29539" spans="2:12" x14ac:dyDescent="0.2">
      <c r="B29539"/>
      <c r="C29539"/>
      <c r="J29539"/>
      <c r="K29539"/>
      <c r="L29539"/>
    </row>
    <row r="29540" spans="2:12" x14ac:dyDescent="0.2">
      <c r="B29540"/>
      <c r="C29540"/>
      <c r="J29540"/>
      <c r="K29540"/>
      <c r="L29540"/>
    </row>
    <row r="29541" spans="2:12" x14ac:dyDescent="0.2">
      <c r="B29541"/>
      <c r="C29541"/>
      <c r="J29541"/>
      <c r="K29541"/>
      <c r="L29541"/>
    </row>
    <row r="29542" spans="2:12" x14ac:dyDescent="0.2">
      <c r="B29542"/>
      <c r="C29542"/>
      <c r="J29542"/>
      <c r="K29542"/>
      <c r="L29542"/>
    </row>
    <row r="29543" spans="2:12" x14ac:dyDescent="0.2">
      <c r="B29543"/>
      <c r="C29543"/>
      <c r="J29543"/>
      <c r="K29543"/>
      <c r="L29543"/>
    </row>
    <row r="29544" spans="2:12" x14ac:dyDescent="0.2">
      <c r="B29544"/>
      <c r="C29544"/>
      <c r="J29544"/>
      <c r="K29544"/>
      <c r="L29544"/>
    </row>
    <row r="29545" spans="2:12" x14ac:dyDescent="0.2">
      <c r="B29545"/>
      <c r="C29545"/>
      <c r="J29545"/>
      <c r="K29545"/>
      <c r="L29545"/>
    </row>
    <row r="29546" spans="2:12" x14ac:dyDescent="0.2">
      <c r="B29546"/>
      <c r="C29546"/>
      <c r="J29546"/>
      <c r="K29546"/>
      <c r="L29546"/>
    </row>
    <row r="29547" spans="2:12" x14ac:dyDescent="0.2">
      <c r="B29547"/>
      <c r="C29547"/>
      <c r="J29547"/>
      <c r="K29547"/>
      <c r="L29547"/>
    </row>
    <row r="29548" spans="2:12" x14ac:dyDescent="0.2">
      <c r="B29548"/>
      <c r="C29548"/>
      <c r="J29548"/>
      <c r="K29548"/>
      <c r="L29548"/>
    </row>
    <row r="29549" spans="2:12" x14ac:dyDescent="0.2">
      <c r="B29549"/>
      <c r="C29549"/>
      <c r="J29549"/>
      <c r="K29549"/>
      <c r="L29549"/>
    </row>
    <row r="29550" spans="2:12" x14ac:dyDescent="0.2">
      <c r="B29550"/>
      <c r="C29550"/>
      <c r="J29550"/>
      <c r="K29550"/>
      <c r="L29550"/>
    </row>
    <row r="29551" spans="2:12" x14ac:dyDescent="0.2">
      <c r="B29551"/>
      <c r="C29551"/>
      <c r="J29551"/>
      <c r="K29551"/>
      <c r="L29551"/>
    </row>
    <row r="29552" spans="2:12" x14ac:dyDescent="0.2">
      <c r="B29552"/>
      <c r="C29552"/>
      <c r="J29552"/>
      <c r="K29552"/>
      <c r="L29552"/>
    </row>
    <row r="29553" spans="2:12" x14ac:dyDescent="0.2">
      <c r="B29553"/>
      <c r="C29553"/>
      <c r="J29553"/>
      <c r="K29553"/>
      <c r="L29553"/>
    </row>
    <row r="29554" spans="2:12" x14ac:dyDescent="0.2">
      <c r="B29554"/>
      <c r="C29554"/>
      <c r="J29554"/>
      <c r="K29554"/>
      <c r="L29554"/>
    </row>
    <row r="29555" spans="2:12" x14ac:dyDescent="0.2">
      <c r="B29555"/>
      <c r="C29555"/>
      <c r="J29555"/>
      <c r="K29555"/>
      <c r="L29555"/>
    </row>
    <row r="29556" spans="2:12" x14ac:dyDescent="0.2">
      <c r="B29556"/>
      <c r="C29556"/>
      <c r="J29556"/>
      <c r="K29556"/>
      <c r="L29556"/>
    </row>
    <row r="29557" spans="2:12" x14ac:dyDescent="0.2">
      <c r="B29557"/>
      <c r="C29557"/>
      <c r="J29557"/>
      <c r="K29557"/>
      <c r="L29557"/>
    </row>
    <row r="29558" spans="2:12" x14ac:dyDescent="0.2">
      <c r="B29558"/>
      <c r="C29558"/>
      <c r="J29558"/>
      <c r="K29558"/>
      <c r="L29558"/>
    </row>
    <row r="29559" spans="2:12" x14ac:dyDescent="0.2">
      <c r="B29559"/>
      <c r="C29559"/>
      <c r="J29559"/>
      <c r="K29559"/>
      <c r="L29559"/>
    </row>
    <row r="29560" spans="2:12" x14ac:dyDescent="0.2">
      <c r="B29560"/>
      <c r="C29560"/>
      <c r="J29560"/>
      <c r="K29560"/>
      <c r="L29560"/>
    </row>
    <row r="29561" spans="2:12" x14ac:dyDescent="0.2">
      <c r="B29561"/>
      <c r="C29561"/>
      <c r="J29561"/>
      <c r="K29561"/>
      <c r="L29561"/>
    </row>
    <row r="29562" spans="2:12" x14ac:dyDescent="0.2">
      <c r="B29562"/>
      <c r="C29562"/>
      <c r="J29562"/>
      <c r="K29562"/>
      <c r="L29562"/>
    </row>
    <row r="29563" spans="2:12" x14ac:dyDescent="0.2">
      <c r="B29563"/>
      <c r="C29563"/>
      <c r="J29563"/>
      <c r="K29563"/>
      <c r="L29563"/>
    </row>
    <row r="29564" spans="2:12" x14ac:dyDescent="0.2">
      <c r="B29564"/>
      <c r="C29564"/>
      <c r="J29564"/>
      <c r="K29564"/>
      <c r="L29564"/>
    </row>
    <row r="29565" spans="2:12" x14ac:dyDescent="0.2">
      <c r="B29565"/>
      <c r="C29565"/>
      <c r="J29565"/>
      <c r="K29565"/>
      <c r="L29565"/>
    </row>
    <row r="29566" spans="2:12" x14ac:dyDescent="0.2">
      <c r="B29566"/>
      <c r="C29566"/>
      <c r="J29566"/>
      <c r="K29566"/>
      <c r="L29566"/>
    </row>
    <row r="29567" spans="2:12" x14ac:dyDescent="0.2">
      <c r="B29567"/>
      <c r="C29567"/>
      <c r="J29567"/>
      <c r="K29567"/>
      <c r="L29567"/>
    </row>
    <row r="29568" spans="2:12" x14ac:dyDescent="0.2">
      <c r="B29568"/>
      <c r="C29568"/>
      <c r="J29568"/>
      <c r="K29568"/>
      <c r="L29568"/>
    </row>
    <row r="29569" spans="2:12" x14ac:dyDescent="0.2">
      <c r="B29569"/>
      <c r="C29569"/>
      <c r="J29569"/>
      <c r="K29569"/>
      <c r="L29569"/>
    </row>
    <row r="29570" spans="2:12" x14ac:dyDescent="0.2">
      <c r="B29570"/>
      <c r="C29570"/>
      <c r="J29570"/>
      <c r="K29570"/>
      <c r="L29570"/>
    </row>
    <row r="29571" spans="2:12" x14ac:dyDescent="0.2">
      <c r="B29571"/>
      <c r="C29571"/>
      <c r="J29571"/>
      <c r="K29571"/>
      <c r="L29571"/>
    </row>
    <row r="29572" spans="2:12" x14ac:dyDescent="0.2">
      <c r="B29572"/>
      <c r="C29572"/>
      <c r="J29572"/>
      <c r="K29572"/>
      <c r="L29572"/>
    </row>
    <row r="29573" spans="2:12" x14ac:dyDescent="0.2">
      <c r="B29573"/>
      <c r="C29573"/>
      <c r="J29573"/>
      <c r="K29573"/>
      <c r="L29573"/>
    </row>
    <row r="29574" spans="2:12" x14ac:dyDescent="0.2">
      <c r="B29574"/>
      <c r="C29574"/>
      <c r="J29574"/>
      <c r="K29574"/>
      <c r="L29574"/>
    </row>
    <row r="29575" spans="2:12" x14ac:dyDescent="0.2">
      <c r="B29575"/>
      <c r="C29575"/>
      <c r="J29575"/>
      <c r="K29575"/>
      <c r="L29575"/>
    </row>
    <row r="29576" spans="2:12" x14ac:dyDescent="0.2">
      <c r="B29576"/>
      <c r="C29576"/>
      <c r="J29576"/>
      <c r="K29576"/>
      <c r="L29576"/>
    </row>
    <row r="29577" spans="2:12" x14ac:dyDescent="0.2">
      <c r="B29577"/>
      <c r="C29577"/>
      <c r="J29577"/>
      <c r="K29577"/>
      <c r="L29577"/>
    </row>
    <row r="29578" spans="2:12" x14ac:dyDescent="0.2">
      <c r="B29578"/>
      <c r="C29578"/>
      <c r="J29578"/>
      <c r="K29578"/>
      <c r="L29578"/>
    </row>
    <row r="29579" spans="2:12" x14ac:dyDescent="0.2">
      <c r="B29579"/>
      <c r="C29579"/>
      <c r="J29579"/>
      <c r="K29579"/>
      <c r="L29579"/>
    </row>
    <row r="29580" spans="2:12" x14ac:dyDescent="0.2">
      <c r="B29580"/>
      <c r="C29580"/>
      <c r="J29580"/>
      <c r="K29580"/>
      <c r="L29580"/>
    </row>
    <row r="29581" spans="2:12" x14ac:dyDescent="0.2">
      <c r="B29581"/>
      <c r="C29581"/>
      <c r="J29581"/>
      <c r="K29581"/>
      <c r="L29581"/>
    </row>
    <row r="29582" spans="2:12" x14ac:dyDescent="0.2">
      <c r="B29582"/>
      <c r="C29582"/>
      <c r="J29582"/>
      <c r="K29582"/>
      <c r="L29582"/>
    </row>
    <row r="29583" spans="2:12" x14ac:dyDescent="0.2">
      <c r="B29583"/>
      <c r="C29583"/>
      <c r="J29583"/>
      <c r="K29583"/>
      <c r="L29583"/>
    </row>
    <row r="29584" spans="2:12" x14ac:dyDescent="0.2">
      <c r="B29584"/>
      <c r="C29584"/>
      <c r="J29584"/>
      <c r="K29584"/>
      <c r="L29584"/>
    </row>
    <row r="29585" spans="2:12" x14ac:dyDescent="0.2">
      <c r="B29585"/>
      <c r="C29585"/>
      <c r="J29585"/>
      <c r="K29585"/>
      <c r="L29585"/>
    </row>
    <row r="29586" spans="2:12" x14ac:dyDescent="0.2">
      <c r="B29586"/>
      <c r="C29586"/>
      <c r="J29586"/>
      <c r="K29586"/>
      <c r="L29586"/>
    </row>
    <row r="29587" spans="2:12" x14ac:dyDescent="0.2">
      <c r="B29587"/>
      <c r="C29587"/>
      <c r="J29587"/>
      <c r="K29587"/>
      <c r="L29587"/>
    </row>
    <row r="29588" spans="2:12" x14ac:dyDescent="0.2">
      <c r="B29588"/>
      <c r="C29588"/>
      <c r="J29588"/>
      <c r="K29588"/>
      <c r="L29588"/>
    </row>
    <row r="29589" spans="2:12" x14ac:dyDescent="0.2">
      <c r="B29589"/>
      <c r="C29589"/>
      <c r="J29589"/>
      <c r="K29589"/>
      <c r="L29589"/>
    </row>
    <row r="29590" spans="2:12" x14ac:dyDescent="0.2">
      <c r="B29590"/>
      <c r="C29590"/>
      <c r="J29590"/>
      <c r="K29590"/>
      <c r="L29590"/>
    </row>
    <row r="29591" spans="2:12" x14ac:dyDescent="0.2">
      <c r="B29591"/>
      <c r="C29591"/>
      <c r="J29591"/>
      <c r="K29591"/>
      <c r="L29591"/>
    </row>
    <row r="29592" spans="2:12" x14ac:dyDescent="0.2">
      <c r="B29592"/>
      <c r="C29592"/>
      <c r="J29592"/>
      <c r="K29592"/>
      <c r="L29592"/>
    </row>
    <row r="29593" spans="2:12" x14ac:dyDescent="0.2">
      <c r="B29593"/>
      <c r="C29593"/>
      <c r="J29593"/>
      <c r="K29593"/>
      <c r="L29593"/>
    </row>
    <row r="29594" spans="2:12" x14ac:dyDescent="0.2">
      <c r="B29594"/>
      <c r="C29594"/>
      <c r="J29594"/>
      <c r="K29594"/>
      <c r="L29594"/>
    </row>
    <row r="29595" spans="2:12" x14ac:dyDescent="0.2">
      <c r="B29595"/>
      <c r="C29595"/>
      <c r="J29595"/>
      <c r="K29595"/>
      <c r="L29595"/>
    </row>
    <row r="29596" spans="2:12" x14ac:dyDescent="0.2">
      <c r="B29596"/>
      <c r="C29596"/>
      <c r="J29596"/>
      <c r="K29596"/>
      <c r="L29596"/>
    </row>
    <row r="29597" spans="2:12" x14ac:dyDescent="0.2">
      <c r="B29597"/>
      <c r="C29597"/>
      <c r="J29597"/>
      <c r="K29597"/>
      <c r="L29597"/>
    </row>
    <row r="29598" spans="2:12" x14ac:dyDescent="0.2">
      <c r="B29598"/>
      <c r="C29598"/>
      <c r="J29598"/>
      <c r="K29598"/>
      <c r="L29598"/>
    </row>
    <row r="29599" spans="2:12" x14ac:dyDescent="0.2">
      <c r="B29599"/>
      <c r="C29599"/>
      <c r="J29599"/>
      <c r="K29599"/>
      <c r="L29599"/>
    </row>
    <row r="29600" spans="2:12" x14ac:dyDescent="0.2">
      <c r="B29600"/>
      <c r="C29600"/>
      <c r="J29600"/>
      <c r="K29600"/>
      <c r="L29600"/>
    </row>
    <row r="29601" spans="2:12" x14ac:dyDescent="0.2">
      <c r="B29601"/>
      <c r="C29601"/>
      <c r="J29601"/>
      <c r="K29601"/>
      <c r="L29601"/>
    </row>
    <row r="29602" spans="2:12" x14ac:dyDescent="0.2">
      <c r="B29602"/>
      <c r="C29602"/>
      <c r="J29602"/>
      <c r="K29602"/>
      <c r="L29602"/>
    </row>
    <row r="29603" spans="2:12" x14ac:dyDescent="0.2">
      <c r="B29603"/>
      <c r="C29603"/>
      <c r="J29603"/>
      <c r="K29603"/>
      <c r="L29603"/>
    </row>
    <row r="29604" spans="2:12" x14ac:dyDescent="0.2">
      <c r="B29604"/>
      <c r="C29604"/>
      <c r="J29604"/>
      <c r="K29604"/>
      <c r="L29604"/>
    </row>
    <row r="29605" spans="2:12" x14ac:dyDescent="0.2">
      <c r="B29605"/>
      <c r="C29605"/>
      <c r="J29605"/>
      <c r="K29605"/>
      <c r="L29605"/>
    </row>
    <row r="29606" spans="2:12" x14ac:dyDescent="0.2">
      <c r="B29606"/>
      <c r="C29606"/>
      <c r="J29606"/>
      <c r="K29606"/>
      <c r="L29606"/>
    </row>
    <row r="29607" spans="2:12" x14ac:dyDescent="0.2">
      <c r="B29607"/>
      <c r="C29607"/>
      <c r="J29607"/>
      <c r="K29607"/>
      <c r="L29607"/>
    </row>
    <row r="29608" spans="2:12" x14ac:dyDescent="0.2">
      <c r="B29608"/>
      <c r="C29608"/>
      <c r="J29608"/>
      <c r="K29608"/>
      <c r="L29608"/>
    </row>
    <row r="29609" spans="2:12" x14ac:dyDescent="0.2">
      <c r="B29609"/>
      <c r="C29609"/>
      <c r="J29609"/>
      <c r="K29609"/>
      <c r="L29609"/>
    </row>
    <row r="29610" spans="2:12" x14ac:dyDescent="0.2">
      <c r="B29610"/>
      <c r="C29610"/>
      <c r="J29610"/>
      <c r="K29610"/>
      <c r="L29610"/>
    </row>
    <row r="29611" spans="2:12" x14ac:dyDescent="0.2">
      <c r="B29611"/>
      <c r="C29611"/>
      <c r="J29611"/>
      <c r="K29611"/>
      <c r="L29611"/>
    </row>
    <row r="29612" spans="2:12" x14ac:dyDescent="0.2">
      <c r="B29612"/>
      <c r="C29612"/>
      <c r="J29612"/>
      <c r="K29612"/>
      <c r="L29612"/>
    </row>
    <row r="29613" spans="2:12" x14ac:dyDescent="0.2">
      <c r="B29613"/>
      <c r="C29613"/>
      <c r="J29613"/>
      <c r="K29613"/>
      <c r="L29613"/>
    </row>
    <row r="29614" spans="2:12" x14ac:dyDescent="0.2">
      <c r="B29614"/>
      <c r="C29614"/>
      <c r="J29614"/>
      <c r="K29614"/>
      <c r="L29614"/>
    </row>
    <row r="29615" spans="2:12" x14ac:dyDescent="0.2">
      <c r="B29615"/>
      <c r="C29615"/>
      <c r="J29615"/>
      <c r="K29615"/>
      <c r="L29615"/>
    </row>
    <row r="29616" spans="2:12" x14ac:dyDescent="0.2">
      <c r="B29616"/>
      <c r="C29616"/>
      <c r="J29616"/>
      <c r="K29616"/>
      <c r="L29616"/>
    </row>
    <row r="29617" spans="2:12" x14ac:dyDescent="0.2">
      <c r="B29617"/>
      <c r="C29617"/>
      <c r="J29617"/>
      <c r="K29617"/>
      <c r="L29617"/>
    </row>
    <row r="29618" spans="2:12" x14ac:dyDescent="0.2">
      <c r="B29618"/>
      <c r="C29618"/>
      <c r="J29618"/>
      <c r="K29618"/>
      <c r="L29618"/>
    </row>
    <row r="29619" spans="2:12" x14ac:dyDescent="0.2">
      <c r="B29619"/>
      <c r="C29619"/>
      <c r="J29619"/>
      <c r="K29619"/>
      <c r="L29619"/>
    </row>
    <row r="29620" spans="2:12" x14ac:dyDescent="0.2">
      <c r="B29620"/>
      <c r="C29620"/>
      <c r="J29620"/>
      <c r="K29620"/>
      <c r="L29620"/>
    </row>
    <row r="29621" spans="2:12" x14ac:dyDescent="0.2">
      <c r="B29621"/>
      <c r="C29621"/>
      <c r="J29621"/>
      <c r="K29621"/>
      <c r="L29621"/>
    </row>
    <row r="29622" spans="2:12" x14ac:dyDescent="0.2">
      <c r="B29622"/>
      <c r="C29622"/>
      <c r="J29622"/>
      <c r="K29622"/>
      <c r="L29622"/>
    </row>
    <row r="29623" spans="2:12" x14ac:dyDescent="0.2">
      <c r="B29623"/>
      <c r="C29623"/>
      <c r="J29623"/>
      <c r="K29623"/>
      <c r="L29623"/>
    </row>
    <row r="29624" spans="2:12" x14ac:dyDescent="0.2">
      <c r="B29624"/>
      <c r="C29624"/>
      <c r="J29624"/>
      <c r="K29624"/>
      <c r="L29624"/>
    </row>
    <row r="29625" spans="2:12" x14ac:dyDescent="0.2">
      <c r="B29625"/>
      <c r="C29625"/>
      <c r="J29625"/>
      <c r="K29625"/>
      <c r="L29625"/>
    </row>
    <row r="29626" spans="2:12" x14ac:dyDescent="0.2">
      <c r="B29626"/>
      <c r="C29626"/>
      <c r="J29626"/>
      <c r="K29626"/>
      <c r="L29626"/>
    </row>
    <row r="29627" spans="2:12" x14ac:dyDescent="0.2">
      <c r="B29627"/>
      <c r="C29627"/>
      <c r="J29627"/>
      <c r="K29627"/>
      <c r="L29627"/>
    </row>
    <row r="29628" spans="2:12" x14ac:dyDescent="0.2">
      <c r="B29628"/>
      <c r="C29628"/>
      <c r="J29628"/>
      <c r="K29628"/>
      <c r="L29628"/>
    </row>
    <row r="29629" spans="2:12" x14ac:dyDescent="0.2">
      <c r="B29629"/>
      <c r="C29629"/>
      <c r="J29629"/>
      <c r="K29629"/>
      <c r="L29629"/>
    </row>
    <row r="29630" spans="2:12" x14ac:dyDescent="0.2">
      <c r="B29630"/>
      <c r="C29630"/>
      <c r="J29630"/>
      <c r="K29630"/>
      <c r="L29630"/>
    </row>
    <row r="29631" spans="2:12" x14ac:dyDescent="0.2">
      <c r="B29631"/>
      <c r="C29631"/>
      <c r="J29631"/>
      <c r="K29631"/>
      <c r="L29631"/>
    </row>
    <row r="29632" spans="2:12" x14ac:dyDescent="0.2">
      <c r="B29632"/>
      <c r="C29632"/>
      <c r="J29632"/>
      <c r="K29632"/>
      <c r="L29632"/>
    </row>
    <row r="29633" spans="2:12" x14ac:dyDescent="0.2">
      <c r="B29633"/>
      <c r="C29633"/>
      <c r="J29633"/>
      <c r="K29633"/>
      <c r="L29633"/>
    </row>
    <row r="29634" spans="2:12" x14ac:dyDescent="0.2">
      <c r="B29634"/>
      <c r="C29634"/>
      <c r="J29634"/>
      <c r="K29634"/>
      <c r="L29634"/>
    </row>
    <row r="29635" spans="2:12" x14ac:dyDescent="0.2">
      <c r="B29635"/>
      <c r="C29635"/>
      <c r="J29635"/>
      <c r="K29635"/>
      <c r="L29635"/>
    </row>
    <row r="29636" spans="2:12" x14ac:dyDescent="0.2">
      <c r="B29636"/>
      <c r="C29636"/>
      <c r="J29636"/>
      <c r="K29636"/>
      <c r="L29636"/>
    </row>
    <row r="29637" spans="2:12" x14ac:dyDescent="0.2">
      <c r="B29637"/>
      <c r="C29637"/>
      <c r="J29637"/>
      <c r="K29637"/>
      <c r="L29637"/>
    </row>
    <row r="29638" spans="2:12" x14ac:dyDescent="0.2">
      <c r="B29638"/>
      <c r="C29638"/>
      <c r="J29638"/>
      <c r="K29638"/>
      <c r="L29638"/>
    </row>
    <row r="29639" spans="2:12" x14ac:dyDescent="0.2">
      <c r="B29639"/>
      <c r="C29639"/>
      <c r="J29639"/>
      <c r="K29639"/>
      <c r="L29639"/>
    </row>
    <row r="29640" spans="2:12" x14ac:dyDescent="0.2">
      <c r="B29640"/>
      <c r="C29640"/>
      <c r="J29640"/>
      <c r="K29640"/>
      <c r="L29640"/>
    </row>
    <row r="29641" spans="2:12" x14ac:dyDescent="0.2">
      <c r="B29641"/>
      <c r="C29641"/>
      <c r="J29641"/>
      <c r="K29641"/>
      <c r="L29641"/>
    </row>
    <row r="29642" spans="2:12" x14ac:dyDescent="0.2">
      <c r="B29642"/>
      <c r="C29642"/>
      <c r="J29642"/>
      <c r="K29642"/>
      <c r="L29642"/>
    </row>
    <row r="29643" spans="2:12" x14ac:dyDescent="0.2">
      <c r="B29643"/>
      <c r="C29643"/>
      <c r="J29643"/>
      <c r="K29643"/>
      <c r="L29643"/>
    </row>
    <row r="29644" spans="2:12" x14ac:dyDescent="0.2">
      <c r="B29644"/>
      <c r="C29644"/>
      <c r="J29644"/>
      <c r="K29644"/>
      <c r="L29644"/>
    </row>
    <row r="29645" spans="2:12" x14ac:dyDescent="0.2">
      <c r="B29645"/>
      <c r="C29645"/>
      <c r="J29645"/>
      <c r="K29645"/>
      <c r="L29645"/>
    </row>
    <row r="29646" spans="2:12" x14ac:dyDescent="0.2">
      <c r="B29646"/>
      <c r="C29646"/>
      <c r="J29646"/>
      <c r="K29646"/>
      <c r="L29646"/>
    </row>
    <row r="29647" spans="2:12" x14ac:dyDescent="0.2">
      <c r="B29647"/>
      <c r="C29647"/>
      <c r="J29647"/>
      <c r="K29647"/>
      <c r="L29647"/>
    </row>
    <row r="29648" spans="2:12" x14ac:dyDescent="0.2">
      <c r="B29648"/>
      <c r="C29648"/>
      <c r="J29648"/>
      <c r="K29648"/>
      <c r="L29648"/>
    </row>
    <row r="29649" spans="2:12" x14ac:dyDescent="0.2">
      <c r="B29649"/>
      <c r="C29649"/>
      <c r="J29649"/>
      <c r="K29649"/>
      <c r="L29649"/>
    </row>
    <row r="29650" spans="2:12" x14ac:dyDescent="0.2">
      <c r="B29650"/>
      <c r="C29650"/>
      <c r="J29650"/>
      <c r="K29650"/>
      <c r="L29650"/>
    </row>
    <row r="29651" spans="2:12" x14ac:dyDescent="0.2">
      <c r="B29651"/>
      <c r="C29651"/>
      <c r="J29651"/>
      <c r="K29651"/>
      <c r="L29651"/>
    </row>
    <row r="29652" spans="2:12" x14ac:dyDescent="0.2">
      <c r="B29652"/>
      <c r="C29652"/>
      <c r="J29652"/>
      <c r="K29652"/>
      <c r="L29652"/>
    </row>
    <row r="29653" spans="2:12" x14ac:dyDescent="0.2">
      <c r="B29653"/>
      <c r="C29653"/>
      <c r="J29653"/>
      <c r="K29653"/>
      <c r="L29653"/>
    </row>
    <row r="29654" spans="2:12" x14ac:dyDescent="0.2">
      <c r="B29654"/>
      <c r="C29654"/>
      <c r="J29654"/>
      <c r="K29654"/>
      <c r="L29654"/>
    </row>
    <row r="29655" spans="2:12" x14ac:dyDescent="0.2">
      <c r="B29655"/>
      <c r="C29655"/>
      <c r="J29655"/>
      <c r="K29655"/>
      <c r="L29655"/>
    </row>
    <row r="29656" spans="2:12" x14ac:dyDescent="0.2">
      <c r="B29656"/>
      <c r="C29656"/>
      <c r="J29656"/>
      <c r="K29656"/>
      <c r="L29656"/>
    </row>
    <row r="29657" spans="2:12" x14ac:dyDescent="0.2">
      <c r="B29657"/>
      <c r="C29657"/>
      <c r="J29657"/>
      <c r="K29657"/>
      <c r="L29657"/>
    </row>
    <row r="29658" spans="2:12" x14ac:dyDescent="0.2">
      <c r="B29658"/>
      <c r="C29658"/>
      <c r="J29658"/>
      <c r="K29658"/>
      <c r="L29658"/>
    </row>
    <row r="29659" spans="2:12" x14ac:dyDescent="0.2">
      <c r="B29659"/>
      <c r="C29659"/>
      <c r="J29659"/>
      <c r="K29659"/>
      <c r="L29659"/>
    </row>
    <row r="29660" spans="2:12" x14ac:dyDescent="0.2">
      <c r="B29660"/>
      <c r="C29660"/>
      <c r="J29660"/>
      <c r="K29660"/>
      <c r="L29660"/>
    </row>
    <row r="29661" spans="2:12" x14ac:dyDescent="0.2">
      <c r="B29661"/>
      <c r="C29661"/>
      <c r="J29661"/>
      <c r="K29661"/>
      <c r="L29661"/>
    </row>
    <row r="29662" spans="2:12" x14ac:dyDescent="0.2">
      <c r="B29662"/>
      <c r="C29662"/>
      <c r="J29662"/>
      <c r="K29662"/>
      <c r="L29662"/>
    </row>
    <row r="29663" spans="2:12" x14ac:dyDescent="0.2">
      <c r="B29663"/>
      <c r="C29663"/>
      <c r="J29663"/>
      <c r="K29663"/>
      <c r="L29663"/>
    </row>
    <row r="29664" spans="2:12" x14ac:dyDescent="0.2">
      <c r="B29664"/>
      <c r="C29664"/>
      <c r="J29664"/>
      <c r="K29664"/>
      <c r="L29664"/>
    </row>
    <row r="29665" spans="2:12" x14ac:dyDescent="0.2">
      <c r="B29665"/>
      <c r="C29665"/>
      <c r="J29665"/>
      <c r="K29665"/>
      <c r="L29665"/>
    </row>
    <row r="29666" spans="2:12" x14ac:dyDescent="0.2">
      <c r="B29666"/>
      <c r="C29666"/>
      <c r="J29666"/>
      <c r="K29666"/>
      <c r="L29666"/>
    </row>
    <row r="29667" spans="2:12" x14ac:dyDescent="0.2">
      <c r="B29667"/>
      <c r="C29667"/>
      <c r="J29667"/>
      <c r="K29667"/>
      <c r="L29667"/>
    </row>
    <row r="29668" spans="2:12" x14ac:dyDescent="0.2">
      <c r="B29668"/>
      <c r="C29668"/>
      <c r="J29668"/>
      <c r="K29668"/>
      <c r="L29668"/>
    </row>
    <row r="29669" spans="2:12" x14ac:dyDescent="0.2">
      <c r="B29669"/>
      <c r="C29669"/>
      <c r="J29669"/>
      <c r="K29669"/>
      <c r="L29669"/>
    </row>
    <row r="29670" spans="2:12" x14ac:dyDescent="0.2">
      <c r="B29670"/>
      <c r="C29670"/>
      <c r="J29670"/>
      <c r="K29670"/>
      <c r="L29670"/>
    </row>
    <row r="29671" spans="2:12" x14ac:dyDescent="0.2">
      <c r="B29671"/>
      <c r="C29671"/>
      <c r="J29671"/>
      <c r="K29671"/>
      <c r="L29671"/>
    </row>
    <row r="29672" spans="2:12" x14ac:dyDescent="0.2">
      <c r="B29672"/>
      <c r="C29672"/>
      <c r="J29672"/>
      <c r="K29672"/>
      <c r="L29672"/>
    </row>
    <row r="29673" spans="2:12" x14ac:dyDescent="0.2">
      <c r="B29673"/>
      <c r="C29673"/>
      <c r="J29673"/>
      <c r="K29673"/>
      <c r="L29673"/>
    </row>
    <row r="29674" spans="2:12" x14ac:dyDescent="0.2">
      <c r="B29674"/>
      <c r="C29674"/>
      <c r="J29674"/>
      <c r="K29674"/>
      <c r="L29674"/>
    </row>
    <row r="29675" spans="2:12" x14ac:dyDescent="0.2">
      <c r="B29675"/>
      <c r="C29675"/>
      <c r="J29675"/>
      <c r="K29675"/>
      <c r="L29675"/>
    </row>
    <row r="29676" spans="2:12" x14ac:dyDescent="0.2">
      <c r="B29676"/>
      <c r="C29676"/>
      <c r="J29676"/>
      <c r="K29676"/>
      <c r="L29676"/>
    </row>
    <row r="29677" spans="2:12" x14ac:dyDescent="0.2">
      <c r="B29677"/>
      <c r="C29677"/>
      <c r="J29677"/>
      <c r="K29677"/>
      <c r="L29677"/>
    </row>
    <row r="29678" spans="2:12" x14ac:dyDescent="0.2">
      <c r="B29678"/>
      <c r="C29678"/>
      <c r="J29678"/>
      <c r="K29678"/>
      <c r="L29678"/>
    </row>
    <row r="29679" spans="2:12" x14ac:dyDescent="0.2">
      <c r="B29679"/>
      <c r="C29679"/>
      <c r="J29679"/>
      <c r="K29679"/>
      <c r="L29679"/>
    </row>
    <row r="29680" spans="2:12" x14ac:dyDescent="0.2">
      <c r="B29680"/>
      <c r="C29680"/>
      <c r="J29680"/>
      <c r="K29680"/>
      <c r="L29680"/>
    </row>
    <row r="29681" spans="2:12" x14ac:dyDescent="0.2">
      <c r="B29681"/>
      <c r="C29681"/>
      <c r="J29681"/>
      <c r="K29681"/>
      <c r="L29681"/>
    </row>
    <row r="29682" spans="2:12" x14ac:dyDescent="0.2">
      <c r="B29682"/>
      <c r="C29682"/>
      <c r="J29682"/>
      <c r="K29682"/>
      <c r="L29682"/>
    </row>
    <row r="29683" spans="2:12" x14ac:dyDescent="0.2">
      <c r="B29683"/>
      <c r="C29683"/>
      <c r="J29683"/>
      <c r="K29683"/>
      <c r="L29683"/>
    </row>
    <row r="29684" spans="2:12" x14ac:dyDescent="0.2">
      <c r="B29684"/>
      <c r="C29684"/>
      <c r="J29684"/>
      <c r="K29684"/>
      <c r="L29684"/>
    </row>
    <row r="29685" spans="2:12" x14ac:dyDescent="0.2">
      <c r="B29685"/>
      <c r="C29685"/>
      <c r="J29685"/>
      <c r="K29685"/>
      <c r="L29685"/>
    </row>
    <row r="29686" spans="2:12" x14ac:dyDescent="0.2">
      <c r="B29686"/>
      <c r="C29686"/>
      <c r="J29686"/>
      <c r="K29686"/>
      <c r="L29686"/>
    </row>
    <row r="29687" spans="2:12" x14ac:dyDescent="0.2">
      <c r="B29687"/>
      <c r="C29687"/>
      <c r="J29687"/>
      <c r="K29687"/>
      <c r="L29687"/>
    </row>
    <row r="29688" spans="2:12" x14ac:dyDescent="0.2">
      <c r="B29688"/>
      <c r="C29688"/>
      <c r="J29688"/>
      <c r="K29688"/>
      <c r="L29688"/>
    </row>
    <row r="29689" spans="2:12" x14ac:dyDescent="0.2">
      <c r="B29689"/>
      <c r="C29689"/>
      <c r="J29689"/>
      <c r="K29689"/>
      <c r="L29689"/>
    </row>
    <row r="29690" spans="2:12" x14ac:dyDescent="0.2">
      <c r="B29690"/>
      <c r="C29690"/>
      <c r="J29690"/>
      <c r="K29690"/>
      <c r="L29690"/>
    </row>
    <row r="29691" spans="2:12" x14ac:dyDescent="0.2">
      <c r="B29691"/>
      <c r="C29691"/>
      <c r="J29691"/>
      <c r="K29691"/>
      <c r="L29691"/>
    </row>
    <row r="29692" spans="2:12" x14ac:dyDescent="0.2">
      <c r="B29692"/>
      <c r="C29692"/>
      <c r="J29692"/>
      <c r="K29692"/>
      <c r="L29692"/>
    </row>
    <row r="29693" spans="2:12" x14ac:dyDescent="0.2">
      <c r="B29693"/>
      <c r="C29693"/>
      <c r="J29693"/>
      <c r="K29693"/>
      <c r="L29693"/>
    </row>
    <row r="29694" spans="2:12" x14ac:dyDescent="0.2">
      <c r="B29694"/>
      <c r="C29694"/>
      <c r="J29694"/>
      <c r="K29694"/>
      <c r="L29694"/>
    </row>
    <row r="29695" spans="2:12" x14ac:dyDescent="0.2">
      <c r="B29695"/>
      <c r="C29695"/>
      <c r="J29695"/>
      <c r="K29695"/>
      <c r="L29695"/>
    </row>
    <row r="29696" spans="2:12" x14ac:dyDescent="0.2">
      <c r="B29696"/>
      <c r="C29696"/>
      <c r="J29696"/>
      <c r="K29696"/>
      <c r="L29696"/>
    </row>
    <row r="29697" spans="2:12" x14ac:dyDescent="0.2">
      <c r="B29697"/>
      <c r="C29697"/>
      <c r="J29697"/>
      <c r="K29697"/>
      <c r="L29697"/>
    </row>
    <row r="29698" spans="2:12" x14ac:dyDescent="0.2">
      <c r="B29698"/>
      <c r="C29698"/>
      <c r="J29698"/>
      <c r="K29698"/>
      <c r="L29698"/>
    </row>
    <row r="29699" spans="2:12" x14ac:dyDescent="0.2">
      <c r="B29699"/>
      <c r="C29699"/>
      <c r="J29699"/>
      <c r="K29699"/>
      <c r="L29699"/>
    </row>
    <row r="29700" spans="2:12" x14ac:dyDescent="0.2">
      <c r="B29700"/>
      <c r="C29700"/>
      <c r="J29700"/>
      <c r="K29700"/>
      <c r="L29700"/>
    </row>
    <row r="29701" spans="2:12" x14ac:dyDescent="0.2">
      <c r="B29701"/>
      <c r="C29701"/>
      <c r="J29701"/>
      <c r="K29701"/>
      <c r="L29701"/>
    </row>
    <row r="29702" spans="2:12" x14ac:dyDescent="0.2">
      <c r="B29702"/>
      <c r="C29702"/>
      <c r="J29702"/>
      <c r="K29702"/>
      <c r="L29702"/>
    </row>
    <row r="29703" spans="2:12" x14ac:dyDescent="0.2">
      <c r="B29703"/>
      <c r="C29703"/>
      <c r="J29703"/>
      <c r="K29703"/>
      <c r="L29703"/>
    </row>
    <row r="29704" spans="2:12" x14ac:dyDescent="0.2">
      <c r="B29704"/>
      <c r="C29704"/>
      <c r="J29704"/>
      <c r="K29704"/>
      <c r="L29704"/>
    </row>
    <row r="29705" spans="2:12" x14ac:dyDescent="0.2">
      <c r="B29705"/>
      <c r="C29705"/>
      <c r="J29705"/>
      <c r="K29705"/>
      <c r="L29705"/>
    </row>
    <row r="29706" spans="2:12" x14ac:dyDescent="0.2">
      <c r="B29706"/>
      <c r="C29706"/>
      <c r="J29706"/>
      <c r="K29706"/>
      <c r="L29706"/>
    </row>
    <row r="29707" spans="2:12" x14ac:dyDescent="0.2">
      <c r="B29707"/>
      <c r="C29707"/>
      <c r="J29707"/>
      <c r="K29707"/>
      <c r="L29707"/>
    </row>
    <row r="29708" spans="2:12" x14ac:dyDescent="0.2">
      <c r="B29708"/>
      <c r="C29708"/>
      <c r="J29708"/>
      <c r="K29708"/>
      <c r="L29708"/>
    </row>
    <row r="29709" spans="2:12" x14ac:dyDescent="0.2">
      <c r="B29709"/>
      <c r="C29709"/>
      <c r="J29709"/>
      <c r="K29709"/>
      <c r="L29709"/>
    </row>
    <row r="29710" spans="2:12" x14ac:dyDescent="0.2">
      <c r="B29710"/>
      <c r="C29710"/>
      <c r="J29710"/>
      <c r="K29710"/>
      <c r="L29710"/>
    </row>
    <row r="29711" spans="2:12" x14ac:dyDescent="0.2">
      <c r="B29711"/>
      <c r="C29711"/>
      <c r="J29711"/>
      <c r="K29711"/>
      <c r="L29711"/>
    </row>
    <row r="29712" spans="2:12" x14ac:dyDescent="0.2">
      <c r="B29712"/>
      <c r="C29712"/>
      <c r="J29712"/>
      <c r="K29712"/>
      <c r="L29712"/>
    </row>
    <row r="29713" spans="2:12" x14ac:dyDescent="0.2">
      <c r="B29713"/>
      <c r="C29713"/>
      <c r="J29713"/>
      <c r="K29713"/>
      <c r="L29713"/>
    </row>
    <row r="29714" spans="2:12" x14ac:dyDescent="0.2">
      <c r="B29714"/>
      <c r="C29714"/>
      <c r="J29714"/>
      <c r="K29714"/>
      <c r="L29714"/>
    </row>
    <row r="29715" spans="2:12" x14ac:dyDescent="0.2">
      <c r="B29715"/>
      <c r="C29715"/>
      <c r="J29715"/>
      <c r="K29715"/>
      <c r="L29715"/>
    </row>
    <row r="29716" spans="2:12" x14ac:dyDescent="0.2">
      <c r="B29716"/>
      <c r="C29716"/>
      <c r="J29716"/>
      <c r="K29716"/>
      <c r="L29716"/>
    </row>
    <row r="29717" spans="2:12" x14ac:dyDescent="0.2">
      <c r="B29717"/>
      <c r="C29717"/>
      <c r="J29717"/>
      <c r="K29717"/>
      <c r="L29717"/>
    </row>
    <row r="29718" spans="2:12" x14ac:dyDescent="0.2">
      <c r="B29718"/>
      <c r="C29718"/>
      <c r="J29718"/>
      <c r="K29718"/>
      <c r="L29718"/>
    </row>
    <row r="29719" spans="2:12" x14ac:dyDescent="0.2">
      <c r="B29719"/>
      <c r="C29719"/>
      <c r="J29719"/>
      <c r="K29719"/>
      <c r="L29719"/>
    </row>
    <row r="29720" spans="2:12" x14ac:dyDescent="0.2">
      <c r="B29720"/>
      <c r="C29720"/>
      <c r="J29720"/>
      <c r="K29720"/>
      <c r="L29720"/>
    </row>
    <row r="29721" spans="2:12" x14ac:dyDescent="0.2">
      <c r="B29721"/>
      <c r="C29721"/>
      <c r="J29721"/>
      <c r="K29721"/>
      <c r="L29721"/>
    </row>
    <row r="29722" spans="2:12" x14ac:dyDescent="0.2">
      <c r="B29722"/>
      <c r="C29722"/>
      <c r="J29722"/>
      <c r="K29722"/>
      <c r="L29722"/>
    </row>
    <row r="29723" spans="2:12" x14ac:dyDescent="0.2">
      <c r="B29723"/>
      <c r="C29723"/>
      <c r="J29723"/>
      <c r="K29723"/>
      <c r="L29723"/>
    </row>
    <row r="29724" spans="2:12" x14ac:dyDescent="0.2">
      <c r="B29724"/>
      <c r="C29724"/>
      <c r="J29724"/>
      <c r="K29724"/>
      <c r="L29724"/>
    </row>
    <row r="29725" spans="2:12" x14ac:dyDescent="0.2">
      <c r="B29725"/>
      <c r="C29725"/>
      <c r="J29725"/>
      <c r="K29725"/>
      <c r="L29725"/>
    </row>
    <row r="29726" spans="2:12" x14ac:dyDescent="0.2">
      <c r="B29726"/>
      <c r="C29726"/>
      <c r="J29726"/>
      <c r="K29726"/>
      <c r="L29726"/>
    </row>
    <row r="29727" spans="2:12" x14ac:dyDescent="0.2">
      <c r="B29727"/>
      <c r="C29727"/>
      <c r="J29727"/>
      <c r="K29727"/>
      <c r="L29727"/>
    </row>
    <row r="29728" spans="2:12" x14ac:dyDescent="0.2">
      <c r="B29728"/>
      <c r="C29728"/>
      <c r="J29728"/>
      <c r="K29728"/>
      <c r="L29728"/>
    </row>
    <row r="29729" spans="2:12" x14ac:dyDescent="0.2">
      <c r="B29729"/>
      <c r="C29729"/>
      <c r="J29729"/>
      <c r="K29729"/>
      <c r="L29729"/>
    </row>
    <row r="29730" spans="2:12" x14ac:dyDescent="0.2">
      <c r="B29730"/>
      <c r="C29730"/>
      <c r="J29730"/>
      <c r="K29730"/>
      <c r="L29730"/>
    </row>
    <row r="29731" spans="2:12" x14ac:dyDescent="0.2">
      <c r="B29731"/>
      <c r="C29731"/>
      <c r="J29731"/>
      <c r="K29731"/>
      <c r="L29731"/>
    </row>
    <row r="29732" spans="2:12" x14ac:dyDescent="0.2">
      <c r="B29732"/>
      <c r="C29732"/>
      <c r="J29732"/>
      <c r="K29732"/>
      <c r="L29732"/>
    </row>
    <row r="29733" spans="2:12" x14ac:dyDescent="0.2">
      <c r="B29733"/>
      <c r="C29733"/>
      <c r="J29733"/>
      <c r="K29733"/>
      <c r="L29733"/>
    </row>
    <row r="29734" spans="2:12" x14ac:dyDescent="0.2">
      <c r="B29734"/>
      <c r="C29734"/>
      <c r="J29734"/>
      <c r="K29734"/>
      <c r="L29734"/>
    </row>
    <row r="29735" spans="2:12" x14ac:dyDescent="0.2">
      <c r="B29735"/>
      <c r="C29735"/>
      <c r="J29735"/>
      <c r="K29735"/>
      <c r="L29735"/>
    </row>
    <row r="29736" spans="2:12" x14ac:dyDescent="0.2">
      <c r="B29736"/>
      <c r="C29736"/>
      <c r="J29736"/>
      <c r="K29736"/>
      <c r="L29736"/>
    </row>
    <row r="29737" spans="2:12" x14ac:dyDescent="0.2">
      <c r="B29737"/>
      <c r="C29737"/>
      <c r="J29737"/>
      <c r="K29737"/>
      <c r="L29737"/>
    </row>
    <row r="29738" spans="2:12" x14ac:dyDescent="0.2">
      <c r="B29738"/>
      <c r="C29738"/>
      <c r="J29738"/>
      <c r="K29738"/>
      <c r="L29738"/>
    </row>
    <row r="29739" spans="2:12" x14ac:dyDescent="0.2">
      <c r="B29739"/>
      <c r="C29739"/>
      <c r="J29739"/>
      <c r="K29739"/>
      <c r="L29739"/>
    </row>
    <row r="29740" spans="2:12" x14ac:dyDescent="0.2">
      <c r="B29740"/>
      <c r="C29740"/>
      <c r="J29740"/>
      <c r="K29740"/>
      <c r="L29740"/>
    </row>
    <row r="29741" spans="2:12" x14ac:dyDescent="0.2">
      <c r="B29741"/>
      <c r="C29741"/>
      <c r="J29741"/>
      <c r="K29741"/>
      <c r="L29741"/>
    </row>
    <row r="29742" spans="2:12" x14ac:dyDescent="0.2">
      <c r="B29742"/>
      <c r="C29742"/>
      <c r="J29742"/>
      <c r="K29742"/>
      <c r="L29742"/>
    </row>
    <row r="29743" spans="2:12" x14ac:dyDescent="0.2">
      <c r="B29743"/>
      <c r="C29743"/>
      <c r="J29743"/>
      <c r="K29743"/>
      <c r="L29743"/>
    </row>
    <row r="29744" spans="2:12" x14ac:dyDescent="0.2">
      <c r="B29744"/>
      <c r="C29744"/>
      <c r="J29744"/>
      <c r="K29744"/>
      <c r="L29744"/>
    </row>
    <row r="29745" spans="2:12" x14ac:dyDescent="0.2">
      <c r="B29745"/>
      <c r="C29745"/>
      <c r="J29745"/>
      <c r="K29745"/>
      <c r="L29745"/>
    </row>
    <row r="29746" spans="2:12" x14ac:dyDescent="0.2">
      <c r="B29746"/>
      <c r="C29746"/>
      <c r="J29746"/>
      <c r="K29746"/>
      <c r="L29746"/>
    </row>
    <row r="29747" spans="2:12" x14ac:dyDescent="0.2">
      <c r="B29747"/>
      <c r="C29747"/>
      <c r="J29747"/>
      <c r="K29747"/>
      <c r="L29747"/>
    </row>
    <row r="29748" spans="2:12" x14ac:dyDescent="0.2">
      <c r="B29748"/>
      <c r="C29748"/>
      <c r="J29748"/>
      <c r="K29748"/>
      <c r="L29748"/>
    </row>
    <row r="29749" spans="2:12" x14ac:dyDescent="0.2">
      <c r="B29749"/>
      <c r="C29749"/>
      <c r="J29749"/>
      <c r="K29749"/>
      <c r="L29749"/>
    </row>
    <row r="29750" spans="2:12" x14ac:dyDescent="0.2">
      <c r="B29750"/>
      <c r="C29750"/>
      <c r="J29750"/>
      <c r="K29750"/>
      <c r="L29750"/>
    </row>
    <row r="29751" spans="2:12" x14ac:dyDescent="0.2">
      <c r="B29751"/>
      <c r="C29751"/>
      <c r="J29751"/>
      <c r="K29751"/>
      <c r="L29751"/>
    </row>
    <row r="29752" spans="2:12" x14ac:dyDescent="0.2">
      <c r="B29752"/>
      <c r="C29752"/>
      <c r="J29752"/>
      <c r="K29752"/>
      <c r="L29752"/>
    </row>
    <row r="29753" spans="2:12" x14ac:dyDescent="0.2">
      <c r="B29753"/>
      <c r="C29753"/>
      <c r="J29753"/>
      <c r="K29753"/>
      <c r="L29753"/>
    </row>
    <row r="29754" spans="2:12" x14ac:dyDescent="0.2">
      <c r="B29754"/>
      <c r="C29754"/>
      <c r="J29754"/>
      <c r="K29754"/>
      <c r="L29754"/>
    </row>
    <row r="29755" spans="2:12" x14ac:dyDescent="0.2">
      <c r="B29755"/>
      <c r="C29755"/>
      <c r="J29755"/>
      <c r="K29755"/>
      <c r="L29755"/>
    </row>
    <row r="29756" spans="2:12" x14ac:dyDescent="0.2">
      <c r="B29756"/>
      <c r="C29756"/>
      <c r="J29756"/>
      <c r="K29756"/>
      <c r="L29756"/>
    </row>
    <row r="29757" spans="2:12" x14ac:dyDescent="0.2">
      <c r="B29757"/>
      <c r="C29757"/>
      <c r="J29757"/>
      <c r="K29757"/>
      <c r="L29757"/>
    </row>
    <row r="29758" spans="2:12" x14ac:dyDescent="0.2">
      <c r="B29758"/>
      <c r="C29758"/>
      <c r="J29758"/>
      <c r="K29758"/>
      <c r="L29758"/>
    </row>
    <row r="29759" spans="2:12" x14ac:dyDescent="0.2">
      <c r="B29759"/>
      <c r="C29759"/>
      <c r="J29759"/>
      <c r="K29759"/>
      <c r="L29759"/>
    </row>
    <row r="29760" spans="2:12" x14ac:dyDescent="0.2">
      <c r="B29760"/>
      <c r="C29760"/>
      <c r="J29760"/>
      <c r="K29760"/>
      <c r="L29760"/>
    </row>
    <row r="29761" spans="2:12" x14ac:dyDescent="0.2">
      <c r="B29761"/>
      <c r="C29761"/>
      <c r="J29761"/>
      <c r="K29761"/>
      <c r="L29761"/>
    </row>
    <row r="29762" spans="2:12" x14ac:dyDescent="0.2">
      <c r="B29762"/>
      <c r="C29762"/>
      <c r="J29762"/>
      <c r="K29762"/>
      <c r="L29762"/>
    </row>
    <row r="29763" spans="2:12" x14ac:dyDescent="0.2">
      <c r="B29763"/>
      <c r="C29763"/>
      <c r="J29763"/>
      <c r="K29763"/>
      <c r="L29763"/>
    </row>
    <row r="29764" spans="2:12" x14ac:dyDescent="0.2">
      <c r="B29764"/>
      <c r="C29764"/>
      <c r="J29764"/>
      <c r="K29764"/>
      <c r="L29764"/>
    </row>
    <row r="29765" spans="2:12" x14ac:dyDescent="0.2">
      <c r="B29765"/>
      <c r="C29765"/>
      <c r="J29765"/>
      <c r="K29765"/>
      <c r="L29765"/>
    </row>
    <row r="29766" spans="2:12" x14ac:dyDescent="0.2">
      <c r="B29766"/>
      <c r="C29766"/>
      <c r="J29766"/>
      <c r="K29766"/>
      <c r="L29766"/>
    </row>
    <row r="29767" spans="2:12" x14ac:dyDescent="0.2">
      <c r="B29767"/>
      <c r="C29767"/>
      <c r="J29767"/>
      <c r="K29767"/>
      <c r="L29767"/>
    </row>
    <row r="29768" spans="2:12" x14ac:dyDescent="0.2">
      <c r="B29768"/>
      <c r="C29768"/>
      <c r="J29768"/>
      <c r="K29768"/>
      <c r="L29768"/>
    </row>
    <row r="29769" spans="2:12" x14ac:dyDescent="0.2">
      <c r="B29769"/>
      <c r="C29769"/>
      <c r="J29769"/>
      <c r="K29769"/>
      <c r="L29769"/>
    </row>
    <row r="29770" spans="2:12" x14ac:dyDescent="0.2">
      <c r="B29770"/>
      <c r="C29770"/>
      <c r="J29770"/>
      <c r="K29770"/>
      <c r="L29770"/>
    </row>
    <row r="29771" spans="2:12" x14ac:dyDescent="0.2">
      <c r="B29771"/>
      <c r="C29771"/>
      <c r="J29771"/>
      <c r="K29771"/>
      <c r="L29771"/>
    </row>
    <row r="29772" spans="2:12" x14ac:dyDescent="0.2">
      <c r="B29772"/>
      <c r="C29772"/>
      <c r="J29772"/>
      <c r="K29772"/>
      <c r="L29772"/>
    </row>
    <row r="29773" spans="2:12" x14ac:dyDescent="0.2">
      <c r="B29773"/>
      <c r="C29773"/>
      <c r="J29773"/>
      <c r="K29773"/>
      <c r="L29773"/>
    </row>
    <row r="29774" spans="2:12" x14ac:dyDescent="0.2">
      <c r="B29774"/>
      <c r="C29774"/>
      <c r="J29774"/>
      <c r="K29774"/>
      <c r="L29774"/>
    </row>
    <row r="29775" spans="2:12" x14ac:dyDescent="0.2">
      <c r="B29775"/>
      <c r="C29775"/>
      <c r="J29775"/>
      <c r="K29775"/>
      <c r="L29775"/>
    </row>
    <row r="29776" spans="2:12" x14ac:dyDescent="0.2">
      <c r="B29776"/>
      <c r="C29776"/>
      <c r="J29776"/>
      <c r="K29776"/>
      <c r="L29776"/>
    </row>
    <row r="29777" spans="2:12" x14ac:dyDescent="0.2">
      <c r="B29777"/>
      <c r="C29777"/>
      <c r="J29777"/>
      <c r="K29777"/>
      <c r="L29777"/>
    </row>
    <row r="29778" spans="2:12" x14ac:dyDescent="0.2">
      <c r="B29778"/>
      <c r="C29778"/>
      <c r="J29778"/>
      <c r="K29778"/>
      <c r="L29778"/>
    </row>
    <row r="29779" spans="2:12" x14ac:dyDescent="0.2">
      <c r="B29779"/>
      <c r="C29779"/>
      <c r="J29779"/>
      <c r="K29779"/>
      <c r="L29779"/>
    </row>
    <row r="29780" spans="2:12" x14ac:dyDescent="0.2">
      <c r="B29780"/>
      <c r="C29780"/>
      <c r="J29780"/>
      <c r="K29780"/>
      <c r="L29780"/>
    </row>
    <row r="29781" spans="2:12" x14ac:dyDescent="0.2">
      <c r="B29781"/>
      <c r="C29781"/>
      <c r="J29781"/>
      <c r="K29781"/>
      <c r="L29781"/>
    </row>
    <row r="29782" spans="2:12" x14ac:dyDescent="0.2">
      <c r="B29782"/>
      <c r="C29782"/>
      <c r="J29782"/>
      <c r="K29782"/>
      <c r="L29782"/>
    </row>
    <row r="29783" spans="2:12" x14ac:dyDescent="0.2">
      <c r="B29783"/>
      <c r="C29783"/>
      <c r="J29783"/>
      <c r="K29783"/>
      <c r="L29783"/>
    </row>
    <row r="29784" spans="2:12" x14ac:dyDescent="0.2">
      <c r="B29784"/>
      <c r="C29784"/>
      <c r="J29784"/>
      <c r="K29784"/>
      <c r="L29784"/>
    </row>
    <row r="29785" spans="2:12" x14ac:dyDescent="0.2">
      <c r="B29785"/>
      <c r="C29785"/>
      <c r="J29785"/>
      <c r="K29785"/>
      <c r="L29785"/>
    </row>
    <row r="29786" spans="2:12" x14ac:dyDescent="0.2">
      <c r="B29786"/>
      <c r="C29786"/>
      <c r="J29786"/>
      <c r="K29786"/>
      <c r="L29786"/>
    </row>
    <row r="29787" spans="2:12" x14ac:dyDescent="0.2">
      <c r="B29787"/>
      <c r="C29787"/>
      <c r="J29787"/>
      <c r="K29787"/>
      <c r="L29787"/>
    </row>
    <row r="29788" spans="2:12" x14ac:dyDescent="0.2">
      <c r="B29788"/>
      <c r="C29788"/>
      <c r="J29788"/>
      <c r="K29788"/>
      <c r="L29788"/>
    </row>
    <row r="29789" spans="2:12" x14ac:dyDescent="0.2">
      <c r="B29789"/>
      <c r="C29789"/>
      <c r="J29789"/>
      <c r="K29789"/>
      <c r="L29789"/>
    </row>
    <row r="29790" spans="2:12" x14ac:dyDescent="0.2">
      <c r="B29790"/>
      <c r="C29790"/>
      <c r="J29790"/>
      <c r="K29790"/>
      <c r="L29790"/>
    </row>
    <row r="29791" spans="2:12" x14ac:dyDescent="0.2">
      <c r="B29791"/>
      <c r="C29791"/>
      <c r="J29791"/>
      <c r="K29791"/>
      <c r="L29791"/>
    </row>
    <row r="29792" spans="2:12" x14ac:dyDescent="0.2">
      <c r="B29792"/>
      <c r="C29792"/>
      <c r="J29792"/>
      <c r="K29792"/>
      <c r="L29792"/>
    </row>
    <row r="29793" spans="2:12" x14ac:dyDescent="0.2">
      <c r="B29793"/>
      <c r="C29793"/>
      <c r="J29793"/>
      <c r="K29793"/>
      <c r="L29793"/>
    </row>
    <row r="29794" spans="2:12" x14ac:dyDescent="0.2">
      <c r="B29794"/>
      <c r="C29794"/>
      <c r="J29794"/>
      <c r="K29794"/>
      <c r="L29794"/>
    </row>
    <row r="29795" spans="2:12" x14ac:dyDescent="0.2">
      <c r="B29795"/>
      <c r="C29795"/>
      <c r="J29795"/>
      <c r="K29795"/>
      <c r="L29795"/>
    </row>
    <row r="29796" spans="2:12" x14ac:dyDescent="0.2">
      <c r="B29796"/>
      <c r="C29796"/>
      <c r="J29796"/>
      <c r="K29796"/>
      <c r="L29796"/>
    </row>
    <row r="29797" spans="2:12" x14ac:dyDescent="0.2">
      <c r="B29797"/>
      <c r="C29797"/>
      <c r="J29797"/>
      <c r="K29797"/>
      <c r="L29797"/>
    </row>
    <row r="29798" spans="2:12" x14ac:dyDescent="0.2">
      <c r="B29798"/>
      <c r="C29798"/>
      <c r="J29798"/>
      <c r="K29798"/>
      <c r="L29798"/>
    </row>
    <row r="29799" spans="2:12" x14ac:dyDescent="0.2">
      <c r="B29799"/>
      <c r="C29799"/>
      <c r="J29799"/>
      <c r="K29799"/>
      <c r="L29799"/>
    </row>
    <row r="29800" spans="2:12" x14ac:dyDescent="0.2">
      <c r="B29800"/>
      <c r="C29800"/>
      <c r="J29800"/>
      <c r="K29800"/>
      <c r="L29800"/>
    </row>
    <row r="29801" spans="2:12" x14ac:dyDescent="0.2">
      <c r="B29801"/>
      <c r="C29801"/>
      <c r="J29801"/>
      <c r="K29801"/>
      <c r="L29801"/>
    </row>
    <row r="29802" spans="2:12" x14ac:dyDescent="0.2">
      <c r="B29802"/>
      <c r="C29802"/>
      <c r="J29802"/>
      <c r="K29802"/>
      <c r="L29802"/>
    </row>
    <row r="29803" spans="2:12" x14ac:dyDescent="0.2">
      <c r="B29803"/>
      <c r="C29803"/>
      <c r="J29803"/>
      <c r="K29803"/>
      <c r="L29803"/>
    </row>
    <row r="29804" spans="2:12" x14ac:dyDescent="0.2">
      <c r="B29804"/>
      <c r="C29804"/>
      <c r="J29804"/>
      <c r="K29804"/>
      <c r="L29804"/>
    </row>
    <row r="29805" spans="2:12" x14ac:dyDescent="0.2">
      <c r="B29805"/>
      <c r="C29805"/>
      <c r="J29805"/>
      <c r="K29805"/>
      <c r="L29805"/>
    </row>
    <row r="29806" spans="2:12" x14ac:dyDescent="0.2">
      <c r="B29806"/>
      <c r="C29806"/>
      <c r="J29806"/>
      <c r="K29806"/>
      <c r="L29806"/>
    </row>
    <row r="29807" spans="2:12" x14ac:dyDescent="0.2">
      <c r="B29807"/>
      <c r="C29807"/>
      <c r="J29807"/>
      <c r="K29807"/>
      <c r="L29807"/>
    </row>
    <row r="29808" spans="2:12" x14ac:dyDescent="0.2">
      <c r="B29808"/>
      <c r="C29808"/>
      <c r="J29808"/>
      <c r="K29808"/>
      <c r="L29808"/>
    </row>
    <row r="29809" spans="2:12" x14ac:dyDescent="0.2">
      <c r="B29809"/>
      <c r="C29809"/>
      <c r="J29809"/>
      <c r="K29809"/>
      <c r="L29809"/>
    </row>
    <row r="29810" spans="2:12" x14ac:dyDescent="0.2">
      <c r="B29810"/>
      <c r="C29810"/>
      <c r="J29810"/>
      <c r="K29810"/>
      <c r="L29810"/>
    </row>
    <row r="29811" spans="2:12" x14ac:dyDescent="0.2">
      <c r="B29811"/>
      <c r="C29811"/>
      <c r="J29811"/>
      <c r="K29811"/>
      <c r="L29811"/>
    </row>
    <row r="29812" spans="2:12" x14ac:dyDescent="0.2">
      <c r="B29812"/>
      <c r="C29812"/>
      <c r="J29812"/>
      <c r="K29812"/>
      <c r="L29812"/>
    </row>
    <row r="29813" spans="2:12" x14ac:dyDescent="0.2">
      <c r="B29813"/>
      <c r="C29813"/>
      <c r="J29813"/>
      <c r="K29813"/>
      <c r="L29813"/>
    </row>
    <row r="29814" spans="2:12" x14ac:dyDescent="0.2">
      <c r="B29814"/>
      <c r="C29814"/>
      <c r="J29814"/>
      <c r="K29814"/>
      <c r="L29814"/>
    </row>
    <row r="29815" spans="2:12" x14ac:dyDescent="0.2">
      <c r="B29815"/>
      <c r="C29815"/>
      <c r="J29815"/>
      <c r="K29815"/>
      <c r="L29815"/>
    </row>
    <row r="29816" spans="2:12" x14ac:dyDescent="0.2">
      <c r="B29816"/>
      <c r="C29816"/>
      <c r="J29816"/>
      <c r="K29816"/>
      <c r="L29816"/>
    </row>
    <row r="29817" spans="2:12" x14ac:dyDescent="0.2">
      <c r="B29817"/>
      <c r="C29817"/>
      <c r="J29817"/>
      <c r="K29817"/>
      <c r="L29817"/>
    </row>
    <row r="29818" spans="2:12" x14ac:dyDescent="0.2">
      <c r="B29818"/>
      <c r="C29818"/>
      <c r="J29818"/>
      <c r="K29818"/>
      <c r="L29818"/>
    </row>
    <row r="29819" spans="2:12" x14ac:dyDescent="0.2">
      <c r="B29819"/>
      <c r="C29819"/>
      <c r="J29819"/>
      <c r="K29819"/>
      <c r="L29819"/>
    </row>
    <row r="29820" spans="2:12" x14ac:dyDescent="0.2">
      <c r="B29820"/>
      <c r="C29820"/>
      <c r="J29820"/>
      <c r="K29820"/>
      <c r="L29820"/>
    </row>
    <row r="29821" spans="2:12" x14ac:dyDescent="0.2">
      <c r="B29821"/>
      <c r="C29821"/>
      <c r="J29821"/>
      <c r="K29821"/>
      <c r="L29821"/>
    </row>
    <row r="29822" spans="2:12" x14ac:dyDescent="0.2">
      <c r="B29822"/>
      <c r="C29822"/>
      <c r="J29822"/>
      <c r="K29822"/>
      <c r="L29822"/>
    </row>
    <row r="29823" spans="2:12" x14ac:dyDescent="0.2">
      <c r="B29823"/>
      <c r="C29823"/>
      <c r="J29823"/>
      <c r="K29823"/>
      <c r="L29823"/>
    </row>
    <row r="29824" spans="2:12" x14ac:dyDescent="0.2">
      <c r="B29824"/>
      <c r="C29824"/>
      <c r="J29824"/>
      <c r="K29824"/>
      <c r="L29824"/>
    </row>
    <row r="29825" spans="2:12" x14ac:dyDescent="0.2">
      <c r="B29825"/>
      <c r="C29825"/>
      <c r="J29825"/>
      <c r="K29825"/>
      <c r="L29825"/>
    </row>
    <row r="29826" spans="2:12" x14ac:dyDescent="0.2">
      <c r="B29826"/>
      <c r="C29826"/>
      <c r="J29826"/>
      <c r="K29826"/>
      <c r="L29826"/>
    </row>
    <row r="29827" spans="2:12" x14ac:dyDescent="0.2">
      <c r="B29827"/>
      <c r="C29827"/>
      <c r="J29827"/>
      <c r="K29827"/>
      <c r="L29827"/>
    </row>
    <row r="29828" spans="2:12" x14ac:dyDescent="0.2">
      <c r="B29828"/>
      <c r="C29828"/>
      <c r="J29828"/>
      <c r="K29828"/>
      <c r="L29828"/>
    </row>
    <row r="29829" spans="2:12" x14ac:dyDescent="0.2">
      <c r="B29829"/>
      <c r="C29829"/>
      <c r="J29829"/>
      <c r="K29829"/>
      <c r="L29829"/>
    </row>
    <row r="29830" spans="2:12" x14ac:dyDescent="0.2">
      <c r="B29830"/>
      <c r="C29830"/>
      <c r="J29830"/>
      <c r="K29830"/>
      <c r="L29830"/>
    </row>
    <row r="29831" spans="2:12" x14ac:dyDescent="0.2">
      <c r="B29831"/>
      <c r="C29831"/>
      <c r="J29831"/>
      <c r="K29831"/>
      <c r="L29831"/>
    </row>
    <row r="29832" spans="2:12" x14ac:dyDescent="0.2">
      <c r="B29832"/>
      <c r="C29832"/>
      <c r="J29832"/>
      <c r="K29832"/>
      <c r="L29832"/>
    </row>
    <row r="29833" spans="2:12" x14ac:dyDescent="0.2">
      <c r="B29833"/>
      <c r="C29833"/>
      <c r="J29833"/>
      <c r="K29833"/>
      <c r="L29833"/>
    </row>
    <row r="29834" spans="2:12" x14ac:dyDescent="0.2">
      <c r="B29834"/>
      <c r="C29834"/>
      <c r="J29834"/>
      <c r="K29834"/>
      <c r="L29834"/>
    </row>
    <row r="29835" spans="2:12" x14ac:dyDescent="0.2">
      <c r="B29835"/>
      <c r="C29835"/>
      <c r="J29835"/>
      <c r="K29835"/>
      <c r="L29835"/>
    </row>
    <row r="29836" spans="2:12" x14ac:dyDescent="0.2">
      <c r="B29836"/>
      <c r="C29836"/>
      <c r="J29836"/>
      <c r="K29836"/>
      <c r="L29836"/>
    </row>
    <row r="29837" spans="2:12" x14ac:dyDescent="0.2">
      <c r="B29837"/>
      <c r="C29837"/>
      <c r="J29837"/>
      <c r="K29837"/>
      <c r="L29837"/>
    </row>
    <row r="29838" spans="2:12" x14ac:dyDescent="0.2">
      <c r="B29838"/>
      <c r="C29838"/>
      <c r="J29838"/>
      <c r="K29838"/>
      <c r="L29838"/>
    </row>
    <row r="29839" spans="2:12" x14ac:dyDescent="0.2">
      <c r="B29839"/>
      <c r="C29839"/>
      <c r="J29839"/>
      <c r="K29839"/>
      <c r="L29839"/>
    </row>
    <row r="29840" spans="2:12" x14ac:dyDescent="0.2">
      <c r="B29840"/>
      <c r="C29840"/>
      <c r="J29840"/>
      <c r="K29840"/>
      <c r="L29840"/>
    </row>
    <row r="29841" spans="2:12" x14ac:dyDescent="0.2">
      <c r="B29841"/>
      <c r="C29841"/>
      <c r="J29841"/>
      <c r="K29841"/>
      <c r="L29841"/>
    </row>
    <row r="29842" spans="2:12" x14ac:dyDescent="0.2">
      <c r="B29842"/>
      <c r="C29842"/>
      <c r="J29842"/>
      <c r="K29842"/>
      <c r="L29842"/>
    </row>
    <row r="29843" spans="2:12" x14ac:dyDescent="0.2">
      <c r="B29843"/>
      <c r="C29843"/>
      <c r="J29843"/>
      <c r="K29843"/>
      <c r="L29843"/>
    </row>
    <row r="29844" spans="2:12" x14ac:dyDescent="0.2">
      <c r="B29844"/>
      <c r="C29844"/>
      <c r="J29844"/>
      <c r="K29844"/>
      <c r="L29844"/>
    </row>
    <row r="29845" spans="2:12" x14ac:dyDescent="0.2">
      <c r="B29845"/>
      <c r="C29845"/>
      <c r="J29845"/>
      <c r="K29845"/>
      <c r="L29845"/>
    </row>
    <row r="29846" spans="2:12" x14ac:dyDescent="0.2">
      <c r="B29846"/>
      <c r="C29846"/>
      <c r="J29846"/>
      <c r="K29846"/>
      <c r="L29846"/>
    </row>
    <row r="29847" spans="2:12" x14ac:dyDescent="0.2">
      <c r="B29847"/>
      <c r="C29847"/>
      <c r="J29847"/>
      <c r="K29847"/>
      <c r="L29847"/>
    </row>
    <row r="29848" spans="2:12" x14ac:dyDescent="0.2">
      <c r="B29848"/>
      <c r="C29848"/>
      <c r="J29848"/>
      <c r="K29848"/>
      <c r="L29848"/>
    </row>
    <row r="29849" spans="2:12" x14ac:dyDescent="0.2">
      <c r="B29849"/>
      <c r="C29849"/>
      <c r="J29849"/>
      <c r="K29849"/>
      <c r="L29849"/>
    </row>
    <row r="29850" spans="2:12" x14ac:dyDescent="0.2">
      <c r="B29850"/>
      <c r="C29850"/>
      <c r="J29850"/>
      <c r="K29850"/>
      <c r="L29850"/>
    </row>
    <row r="29851" spans="2:12" x14ac:dyDescent="0.2">
      <c r="B29851"/>
      <c r="C29851"/>
      <c r="J29851"/>
      <c r="K29851"/>
      <c r="L29851"/>
    </row>
    <row r="29852" spans="2:12" x14ac:dyDescent="0.2">
      <c r="B29852"/>
      <c r="C29852"/>
      <c r="J29852"/>
      <c r="K29852"/>
      <c r="L29852"/>
    </row>
    <row r="29853" spans="2:12" x14ac:dyDescent="0.2">
      <c r="B29853"/>
      <c r="C29853"/>
      <c r="J29853"/>
      <c r="K29853"/>
      <c r="L29853"/>
    </row>
    <row r="29854" spans="2:12" x14ac:dyDescent="0.2">
      <c r="B29854"/>
      <c r="C29854"/>
      <c r="J29854"/>
      <c r="K29854"/>
      <c r="L29854"/>
    </row>
    <row r="29855" spans="2:12" x14ac:dyDescent="0.2">
      <c r="B29855"/>
      <c r="C29855"/>
      <c r="J29855"/>
      <c r="K29855"/>
      <c r="L29855"/>
    </row>
    <row r="29856" spans="2:12" x14ac:dyDescent="0.2">
      <c r="B29856"/>
      <c r="C29856"/>
      <c r="J29856"/>
      <c r="K29856"/>
      <c r="L29856"/>
    </row>
    <row r="29857" spans="2:12" x14ac:dyDescent="0.2">
      <c r="B29857"/>
      <c r="C29857"/>
      <c r="J29857"/>
      <c r="K29857"/>
      <c r="L29857"/>
    </row>
    <row r="29858" spans="2:12" x14ac:dyDescent="0.2">
      <c r="B29858"/>
      <c r="C29858"/>
      <c r="J29858"/>
      <c r="K29858"/>
      <c r="L29858"/>
    </row>
    <row r="29859" spans="2:12" x14ac:dyDescent="0.2">
      <c r="B29859"/>
      <c r="C29859"/>
      <c r="J29859"/>
      <c r="K29859"/>
      <c r="L29859"/>
    </row>
    <row r="29860" spans="2:12" x14ac:dyDescent="0.2">
      <c r="B29860"/>
      <c r="C29860"/>
      <c r="J29860"/>
      <c r="K29860"/>
      <c r="L29860"/>
    </row>
    <row r="29861" spans="2:12" x14ac:dyDescent="0.2">
      <c r="B29861"/>
      <c r="C29861"/>
      <c r="J29861"/>
      <c r="K29861"/>
      <c r="L29861"/>
    </row>
    <row r="29862" spans="2:12" x14ac:dyDescent="0.2">
      <c r="B29862"/>
      <c r="C29862"/>
      <c r="J29862"/>
      <c r="K29862"/>
      <c r="L29862"/>
    </row>
    <row r="29863" spans="2:12" x14ac:dyDescent="0.2">
      <c r="B29863"/>
      <c r="C29863"/>
      <c r="J29863"/>
      <c r="K29863"/>
      <c r="L29863"/>
    </row>
    <row r="29864" spans="2:12" x14ac:dyDescent="0.2">
      <c r="B29864"/>
      <c r="C29864"/>
      <c r="J29864"/>
      <c r="K29864"/>
      <c r="L29864"/>
    </row>
    <row r="29865" spans="2:12" x14ac:dyDescent="0.2">
      <c r="B29865"/>
      <c r="C29865"/>
      <c r="J29865"/>
      <c r="K29865"/>
      <c r="L29865"/>
    </row>
    <row r="29866" spans="2:12" x14ac:dyDescent="0.2">
      <c r="B29866"/>
      <c r="C29866"/>
      <c r="J29866"/>
      <c r="K29866"/>
      <c r="L29866"/>
    </row>
    <row r="29867" spans="2:12" x14ac:dyDescent="0.2">
      <c r="B29867"/>
      <c r="C29867"/>
      <c r="J29867"/>
      <c r="K29867"/>
      <c r="L29867"/>
    </row>
    <row r="29868" spans="2:12" x14ac:dyDescent="0.2">
      <c r="B29868"/>
      <c r="C29868"/>
      <c r="J29868"/>
      <c r="K29868"/>
      <c r="L29868"/>
    </row>
    <row r="29869" spans="2:12" x14ac:dyDescent="0.2">
      <c r="B29869"/>
      <c r="C29869"/>
      <c r="J29869"/>
      <c r="K29869"/>
      <c r="L29869"/>
    </row>
    <row r="29870" spans="2:12" x14ac:dyDescent="0.2">
      <c r="B29870"/>
      <c r="C29870"/>
      <c r="J29870"/>
      <c r="K29870"/>
      <c r="L29870"/>
    </row>
    <row r="29871" spans="2:12" x14ac:dyDescent="0.2">
      <c r="B29871"/>
      <c r="C29871"/>
      <c r="J29871"/>
      <c r="K29871"/>
      <c r="L29871"/>
    </row>
    <row r="29872" spans="2:12" x14ac:dyDescent="0.2">
      <c r="B29872"/>
      <c r="C29872"/>
      <c r="J29872"/>
      <c r="K29872"/>
      <c r="L29872"/>
    </row>
    <row r="29873" spans="2:12" x14ac:dyDescent="0.2">
      <c r="B29873"/>
      <c r="C29873"/>
      <c r="J29873"/>
      <c r="K29873"/>
      <c r="L29873"/>
    </row>
    <row r="29874" spans="2:12" x14ac:dyDescent="0.2">
      <c r="B29874"/>
      <c r="C29874"/>
      <c r="J29874"/>
      <c r="K29874"/>
      <c r="L29874"/>
    </row>
    <row r="29875" spans="2:12" x14ac:dyDescent="0.2">
      <c r="B29875"/>
      <c r="C29875"/>
      <c r="J29875"/>
      <c r="K29875"/>
      <c r="L29875"/>
    </row>
    <row r="29876" spans="2:12" x14ac:dyDescent="0.2">
      <c r="B29876"/>
      <c r="C29876"/>
      <c r="J29876"/>
      <c r="K29876"/>
      <c r="L29876"/>
    </row>
    <row r="29877" spans="2:12" x14ac:dyDescent="0.2">
      <c r="B29877"/>
      <c r="C29877"/>
      <c r="J29877"/>
      <c r="K29877"/>
      <c r="L29877"/>
    </row>
    <row r="29878" spans="2:12" x14ac:dyDescent="0.2">
      <c r="B29878"/>
      <c r="C29878"/>
      <c r="J29878"/>
      <c r="K29878"/>
      <c r="L29878"/>
    </row>
    <row r="29879" spans="2:12" x14ac:dyDescent="0.2">
      <c r="B29879"/>
      <c r="C29879"/>
      <c r="J29879"/>
      <c r="K29879"/>
      <c r="L29879"/>
    </row>
    <row r="29880" spans="2:12" x14ac:dyDescent="0.2">
      <c r="B29880"/>
      <c r="C29880"/>
      <c r="J29880"/>
      <c r="K29880"/>
      <c r="L29880"/>
    </row>
    <row r="29881" spans="2:12" x14ac:dyDescent="0.2">
      <c r="B29881"/>
      <c r="C29881"/>
      <c r="J29881"/>
      <c r="K29881"/>
      <c r="L29881"/>
    </row>
    <row r="29882" spans="2:12" x14ac:dyDescent="0.2">
      <c r="B29882"/>
      <c r="C29882"/>
      <c r="J29882"/>
      <c r="K29882"/>
      <c r="L29882"/>
    </row>
    <row r="29883" spans="2:12" x14ac:dyDescent="0.2">
      <c r="B29883"/>
      <c r="C29883"/>
      <c r="J29883"/>
      <c r="K29883"/>
      <c r="L29883"/>
    </row>
    <row r="29884" spans="2:12" x14ac:dyDescent="0.2">
      <c r="B29884"/>
      <c r="C29884"/>
      <c r="J29884"/>
      <c r="K29884"/>
      <c r="L29884"/>
    </row>
    <row r="29885" spans="2:12" x14ac:dyDescent="0.2">
      <c r="B29885"/>
      <c r="C29885"/>
      <c r="J29885"/>
      <c r="K29885"/>
      <c r="L29885"/>
    </row>
    <row r="29886" spans="2:12" x14ac:dyDescent="0.2">
      <c r="B29886"/>
      <c r="C29886"/>
      <c r="J29886"/>
      <c r="K29886"/>
      <c r="L29886"/>
    </row>
    <row r="29887" spans="2:12" x14ac:dyDescent="0.2">
      <c r="B29887"/>
      <c r="C29887"/>
      <c r="J29887"/>
      <c r="K29887"/>
      <c r="L29887"/>
    </row>
    <row r="29888" spans="2:12" x14ac:dyDescent="0.2">
      <c r="B29888"/>
      <c r="C29888"/>
      <c r="J29888"/>
      <c r="K29888"/>
      <c r="L29888"/>
    </row>
    <row r="29889" spans="2:12" x14ac:dyDescent="0.2">
      <c r="B29889"/>
      <c r="C29889"/>
      <c r="J29889"/>
      <c r="K29889"/>
      <c r="L29889"/>
    </row>
    <row r="29890" spans="2:12" x14ac:dyDescent="0.2">
      <c r="B29890"/>
      <c r="C29890"/>
      <c r="J29890"/>
      <c r="K29890"/>
      <c r="L29890"/>
    </row>
    <row r="29891" spans="2:12" x14ac:dyDescent="0.2">
      <c r="B29891"/>
      <c r="C29891"/>
      <c r="J29891"/>
      <c r="K29891"/>
      <c r="L29891"/>
    </row>
    <row r="29892" spans="2:12" x14ac:dyDescent="0.2">
      <c r="B29892"/>
      <c r="C29892"/>
      <c r="J29892"/>
      <c r="K29892"/>
      <c r="L29892"/>
    </row>
    <row r="29893" spans="2:12" x14ac:dyDescent="0.2">
      <c r="B29893"/>
      <c r="C29893"/>
      <c r="J29893"/>
      <c r="K29893"/>
      <c r="L29893"/>
    </row>
    <row r="29894" spans="2:12" x14ac:dyDescent="0.2">
      <c r="B29894"/>
      <c r="C29894"/>
      <c r="J29894"/>
      <c r="K29894"/>
      <c r="L29894"/>
    </row>
    <row r="29895" spans="2:12" x14ac:dyDescent="0.2">
      <c r="B29895"/>
      <c r="C29895"/>
      <c r="J29895"/>
      <c r="K29895"/>
      <c r="L29895"/>
    </row>
    <row r="29896" spans="2:12" x14ac:dyDescent="0.2">
      <c r="B29896"/>
      <c r="C29896"/>
      <c r="J29896"/>
      <c r="K29896"/>
      <c r="L29896"/>
    </row>
    <row r="29897" spans="2:12" x14ac:dyDescent="0.2">
      <c r="B29897"/>
      <c r="C29897"/>
      <c r="J29897"/>
      <c r="K29897"/>
      <c r="L29897"/>
    </row>
    <row r="29898" spans="2:12" x14ac:dyDescent="0.2">
      <c r="B29898"/>
      <c r="C29898"/>
      <c r="J29898"/>
      <c r="K29898"/>
      <c r="L29898"/>
    </row>
    <row r="29899" spans="2:12" x14ac:dyDescent="0.2">
      <c r="B29899"/>
      <c r="C29899"/>
      <c r="J29899"/>
      <c r="K29899"/>
      <c r="L29899"/>
    </row>
    <row r="29900" spans="2:12" x14ac:dyDescent="0.2">
      <c r="B29900"/>
      <c r="C29900"/>
      <c r="J29900"/>
      <c r="K29900"/>
      <c r="L29900"/>
    </row>
    <row r="29901" spans="2:12" x14ac:dyDescent="0.2">
      <c r="B29901"/>
      <c r="C29901"/>
      <c r="J29901"/>
      <c r="K29901"/>
      <c r="L29901"/>
    </row>
    <row r="29902" spans="2:12" x14ac:dyDescent="0.2">
      <c r="B29902"/>
      <c r="C29902"/>
      <c r="J29902"/>
      <c r="K29902"/>
      <c r="L29902"/>
    </row>
    <row r="29903" spans="2:12" x14ac:dyDescent="0.2">
      <c r="B29903"/>
      <c r="C29903"/>
      <c r="J29903"/>
      <c r="K29903"/>
      <c r="L29903"/>
    </row>
    <row r="29904" spans="2:12" x14ac:dyDescent="0.2">
      <c r="B29904"/>
      <c r="C29904"/>
      <c r="J29904"/>
      <c r="K29904"/>
      <c r="L29904"/>
    </row>
    <row r="29905" spans="2:12" x14ac:dyDescent="0.2">
      <c r="B29905"/>
      <c r="C29905"/>
      <c r="J29905"/>
      <c r="K29905"/>
      <c r="L29905"/>
    </row>
    <row r="29906" spans="2:12" x14ac:dyDescent="0.2">
      <c r="B29906"/>
      <c r="C29906"/>
      <c r="J29906"/>
      <c r="K29906"/>
      <c r="L29906"/>
    </row>
    <row r="29907" spans="2:12" x14ac:dyDescent="0.2">
      <c r="B29907"/>
      <c r="C29907"/>
      <c r="J29907"/>
      <c r="K29907"/>
      <c r="L29907"/>
    </row>
    <row r="29908" spans="2:12" x14ac:dyDescent="0.2">
      <c r="B29908"/>
      <c r="C29908"/>
      <c r="J29908"/>
      <c r="K29908"/>
      <c r="L29908"/>
    </row>
    <row r="29909" spans="2:12" x14ac:dyDescent="0.2">
      <c r="B29909"/>
      <c r="C29909"/>
      <c r="J29909"/>
      <c r="K29909"/>
      <c r="L29909"/>
    </row>
    <row r="29910" spans="2:12" x14ac:dyDescent="0.2">
      <c r="B29910"/>
      <c r="C29910"/>
      <c r="J29910"/>
      <c r="K29910"/>
      <c r="L29910"/>
    </row>
    <row r="29911" spans="2:12" x14ac:dyDescent="0.2">
      <c r="B29911"/>
      <c r="C29911"/>
      <c r="J29911"/>
      <c r="K29911"/>
      <c r="L29911"/>
    </row>
    <row r="29912" spans="2:12" x14ac:dyDescent="0.2">
      <c r="B29912"/>
      <c r="C29912"/>
      <c r="J29912"/>
      <c r="K29912"/>
      <c r="L29912"/>
    </row>
    <row r="29913" spans="2:12" x14ac:dyDescent="0.2">
      <c r="B29913"/>
      <c r="C29913"/>
      <c r="J29913"/>
      <c r="K29913"/>
      <c r="L29913"/>
    </row>
    <row r="29914" spans="2:12" x14ac:dyDescent="0.2">
      <c r="B29914"/>
      <c r="C29914"/>
      <c r="J29914"/>
      <c r="K29914"/>
      <c r="L29914"/>
    </row>
    <row r="29915" spans="2:12" x14ac:dyDescent="0.2">
      <c r="B29915"/>
      <c r="C29915"/>
      <c r="J29915"/>
      <c r="K29915"/>
      <c r="L29915"/>
    </row>
    <row r="29916" spans="2:12" x14ac:dyDescent="0.2">
      <c r="B29916"/>
      <c r="C29916"/>
      <c r="J29916"/>
      <c r="K29916"/>
      <c r="L29916"/>
    </row>
    <row r="29917" spans="2:12" x14ac:dyDescent="0.2">
      <c r="B29917"/>
      <c r="C29917"/>
      <c r="J29917"/>
      <c r="K29917"/>
      <c r="L29917"/>
    </row>
    <row r="29918" spans="2:12" x14ac:dyDescent="0.2">
      <c r="B29918"/>
      <c r="C29918"/>
      <c r="J29918"/>
      <c r="K29918"/>
      <c r="L29918"/>
    </row>
    <row r="29919" spans="2:12" x14ac:dyDescent="0.2">
      <c r="B29919"/>
      <c r="C29919"/>
      <c r="J29919"/>
      <c r="K29919"/>
      <c r="L29919"/>
    </row>
    <row r="29920" spans="2:12" x14ac:dyDescent="0.2">
      <c r="B29920"/>
      <c r="C29920"/>
      <c r="J29920"/>
      <c r="K29920"/>
      <c r="L29920"/>
    </row>
    <row r="29921" spans="2:12" x14ac:dyDescent="0.2">
      <c r="B29921"/>
      <c r="C29921"/>
      <c r="J29921"/>
      <c r="K29921"/>
      <c r="L29921"/>
    </row>
    <row r="29922" spans="2:12" x14ac:dyDescent="0.2">
      <c r="B29922"/>
      <c r="C29922"/>
      <c r="J29922"/>
      <c r="K29922"/>
      <c r="L29922"/>
    </row>
    <row r="29923" spans="2:12" x14ac:dyDescent="0.2">
      <c r="B29923"/>
      <c r="C29923"/>
      <c r="J29923"/>
      <c r="K29923"/>
      <c r="L29923"/>
    </row>
    <row r="29924" spans="2:12" x14ac:dyDescent="0.2">
      <c r="B29924"/>
      <c r="C29924"/>
      <c r="J29924"/>
      <c r="K29924"/>
      <c r="L29924"/>
    </row>
    <row r="29925" spans="2:12" x14ac:dyDescent="0.2">
      <c r="B29925"/>
      <c r="C29925"/>
      <c r="J29925"/>
      <c r="K29925"/>
      <c r="L29925"/>
    </row>
    <row r="29926" spans="2:12" x14ac:dyDescent="0.2">
      <c r="B29926"/>
      <c r="C29926"/>
      <c r="J29926"/>
      <c r="K29926"/>
      <c r="L29926"/>
    </row>
    <row r="29927" spans="2:12" x14ac:dyDescent="0.2">
      <c r="B29927"/>
      <c r="C29927"/>
      <c r="J29927"/>
      <c r="K29927"/>
      <c r="L29927"/>
    </row>
    <row r="29928" spans="2:12" x14ac:dyDescent="0.2">
      <c r="B29928"/>
      <c r="C29928"/>
      <c r="J29928"/>
      <c r="K29928"/>
      <c r="L29928"/>
    </row>
    <row r="29929" spans="2:12" x14ac:dyDescent="0.2">
      <c r="B29929"/>
      <c r="C29929"/>
      <c r="J29929"/>
      <c r="K29929"/>
      <c r="L29929"/>
    </row>
    <row r="29930" spans="2:12" x14ac:dyDescent="0.2">
      <c r="B29930"/>
      <c r="C29930"/>
      <c r="J29930"/>
      <c r="K29930"/>
      <c r="L29930"/>
    </row>
    <row r="29931" spans="2:12" x14ac:dyDescent="0.2">
      <c r="B29931"/>
      <c r="C29931"/>
      <c r="J29931"/>
      <c r="K29931"/>
      <c r="L29931"/>
    </row>
    <row r="29932" spans="2:12" x14ac:dyDescent="0.2">
      <c r="B29932"/>
      <c r="C29932"/>
      <c r="J29932"/>
      <c r="K29932"/>
      <c r="L29932"/>
    </row>
    <row r="29933" spans="2:12" x14ac:dyDescent="0.2">
      <c r="B29933"/>
      <c r="C29933"/>
      <c r="J29933"/>
      <c r="K29933"/>
      <c r="L29933"/>
    </row>
    <row r="29934" spans="2:12" x14ac:dyDescent="0.2">
      <c r="B29934"/>
      <c r="C29934"/>
      <c r="J29934"/>
      <c r="K29934"/>
      <c r="L29934"/>
    </row>
    <row r="29935" spans="2:12" x14ac:dyDescent="0.2">
      <c r="B29935"/>
      <c r="C29935"/>
      <c r="J29935"/>
      <c r="K29935"/>
      <c r="L29935"/>
    </row>
    <row r="29936" spans="2:12" x14ac:dyDescent="0.2">
      <c r="B29936"/>
      <c r="C29936"/>
      <c r="J29936"/>
      <c r="K29936"/>
      <c r="L29936"/>
    </row>
    <row r="29937" spans="2:12" x14ac:dyDescent="0.2">
      <c r="B29937"/>
      <c r="C29937"/>
      <c r="J29937"/>
      <c r="K29937"/>
      <c r="L29937"/>
    </row>
    <row r="29938" spans="2:12" x14ac:dyDescent="0.2">
      <c r="B29938"/>
      <c r="C29938"/>
      <c r="J29938"/>
      <c r="K29938"/>
      <c r="L29938"/>
    </row>
    <row r="29939" spans="2:12" x14ac:dyDescent="0.2">
      <c r="B29939"/>
      <c r="C29939"/>
      <c r="J29939"/>
      <c r="K29939"/>
      <c r="L29939"/>
    </row>
    <row r="29940" spans="2:12" x14ac:dyDescent="0.2">
      <c r="B29940"/>
      <c r="C29940"/>
      <c r="J29940"/>
      <c r="K29940"/>
      <c r="L29940"/>
    </row>
    <row r="29941" spans="2:12" x14ac:dyDescent="0.2">
      <c r="B29941"/>
      <c r="C29941"/>
      <c r="J29941"/>
      <c r="K29941"/>
      <c r="L29941"/>
    </row>
    <row r="29942" spans="2:12" x14ac:dyDescent="0.2">
      <c r="B29942"/>
      <c r="C29942"/>
      <c r="J29942"/>
      <c r="K29942"/>
      <c r="L29942"/>
    </row>
    <row r="29943" spans="2:12" x14ac:dyDescent="0.2">
      <c r="B29943"/>
      <c r="C29943"/>
      <c r="J29943"/>
      <c r="K29943"/>
      <c r="L29943"/>
    </row>
    <row r="29944" spans="2:12" x14ac:dyDescent="0.2">
      <c r="B29944"/>
      <c r="C29944"/>
      <c r="J29944"/>
      <c r="K29944"/>
      <c r="L29944"/>
    </row>
    <row r="29945" spans="2:12" x14ac:dyDescent="0.2">
      <c r="B29945"/>
      <c r="C29945"/>
      <c r="J29945"/>
      <c r="K29945"/>
      <c r="L29945"/>
    </row>
    <row r="29946" spans="2:12" x14ac:dyDescent="0.2">
      <c r="B29946"/>
      <c r="C29946"/>
      <c r="J29946"/>
      <c r="K29946"/>
      <c r="L29946"/>
    </row>
    <row r="29947" spans="2:12" x14ac:dyDescent="0.2">
      <c r="B29947"/>
      <c r="C29947"/>
      <c r="J29947"/>
      <c r="K29947"/>
      <c r="L29947"/>
    </row>
    <row r="29948" spans="2:12" x14ac:dyDescent="0.2">
      <c r="B29948"/>
      <c r="C29948"/>
      <c r="J29948"/>
      <c r="K29948"/>
      <c r="L29948"/>
    </row>
    <row r="29949" spans="2:12" x14ac:dyDescent="0.2">
      <c r="B29949"/>
      <c r="C29949"/>
      <c r="J29949"/>
      <c r="K29949"/>
      <c r="L29949"/>
    </row>
    <row r="29950" spans="2:12" x14ac:dyDescent="0.2">
      <c r="B29950"/>
      <c r="C29950"/>
      <c r="J29950"/>
      <c r="K29950"/>
      <c r="L29950"/>
    </row>
    <row r="29951" spans="2:12" x14ac:dyDescent="0.2">
      <c r="B29951"/>
      <c r="C29951"/>
      <c r="J29951"/>
      <c r="K29951"/>
      <c r="L29951"/>
    </row>
    <row r="29952" spans="2:12" x14ac:dyDescent="0.2">
      <c r="B29952"/>
      <c r="C29952"/>
      <c r="J29952"/>
      <c r="K29952"/>
      <c r="L29952"/>
    </row>
    <row r="29953" spans="2:12" x14ac:dyDescent="0.2">
      <c r="B29953"/>
      <c r="C29953"/>
      <c r="J29953"/>
      <c r="K29953"/>
      <c r="L29953"/>
    </row>
    <row r="29954" spans="2:12" x14ac:dyDescent="0.2">
      <c r="B29954"/>
      <c r="C29954"/>
      <c r="J29954"/>
      <c r="K29954"/>
      <c r="L29954"/>
    </row>
    <row r="29955" spans="2:12" x14ac:dyDescent="0.2">
      <c r="B29955"/>
      <c r="C29955"/>
      <c r="J29955"/>
      <c r="K29955"/>
      <c r="L29955"/>
    </row>
    <row r="29956" spans="2:12" x14ac:dyDescent="0.2">
      <c r="B29956"/>
      <c r="C29956"/>
      <c r="J29956"/>
      <c r="K29956"/>
      <c r="L29956"/>
    </row>
    <row r="29957" spans="2:12" x14ac:dyDescent="0.2">
      <c r="B29957"/>
      <c r="C29957"/>
      <c r="J29957"/>
      <c r="K29957"/>
      <c r="L29957"/>
    </row>
    <row r="29958" spans="2:12" x14ac:dyDescent="0.2">
      <c r="B29958"/>
      <c r="C29958"/>
      <c r="J29958"/>
      <c r="K29958"/>
      <c r="L29958"/>
    </row>
    <row r="29959" spans="2:12" x14ac:dyDescent="0.2">
      <c r="B29959"/>
      <c r="C29959"/>
      <c r="J29959"/>
      <c r="K29959"/>
      <c r="L29959"/>
    </row>
    <row r="29960" spans="2:12" x14ac:dyDescent="0.2">
      <c r="B29960"/>
      <c r="C29960"/>
      <c r="J29960"/>
      <c r="K29960"/>
      <c r="L29960"/>
    </row>
    <row r="29961" spans="2:12" x14ac:dyDescent="0.2">
      <c r="B29961"/>
      <c r="C29961"/>
      <c r="J29961"/>
      <c r="K29961"/>
      <c r="L29961"/>
    </row>
    <row r="29962" spans="2:12" x14ac:dyDescent="0.2">
      <c r="B29962"/>
      <c r="C29962"/>
      <c r="J29962"/>
      <c r="K29962"/>
      <c r="L29962"/>
    </row>
    <row r="29963" spans="2:12" x14ac:dyDescent="0.2">
      <c r="B29963"/>
      <c r="C29963"/>
      <c r="J29963"/>
      <c r="K29963"/>
      <c r="L29963"/>
    </row>
    <row r="29964" spans="2:12" x14ac:dyDescent="0.2">
      <c r="B29964"/>
      <c r="C29964"/>
      <c r="J29964"/>
      <c r="K29964"/>
      <c r="L29964"/>
    </row>
    <row r="29965" spans="2:12" x14ac:dyDescent="0.2">
      <c r="B29965"/>
      <c r="C29965"/>
      <c r="J29965"/>
      <c r="K29965"/>
      <c r="L29965"/>
    </row>
    <row r="29966" spans="2:12" x14ac:dyDescent="0.2">
      <c r="B29966"/>
      <c r="C29966"/>
      <c r="J29966"/>
      <c r="K29966"/>
      <c r="L29966"/>
    </row>
    <row r="29967" spans="2:12" x14ac:dyDescent="0.2">
      <c r="B29967"/>
      <c r="C29967"/>
      <c r="J29967"/>
      <c r="K29967"/>
      <c r="L29967"/>
    </row>
    <row r="29968" spans="2:12" x14ac:dyDescent="0.2">
      <c r="B29968"/>
      <c r="C29968"/>
      <c r="J29968"/>
      <c r="K29968"/>
      <c r="L29968"/>
    </row>
    <row r="29969" spans="2:12" x14ac:dyDescent="0.2">
      <c r="B29969"/>
      <c r="C29969"/>
      <c r="J29969"/>
      <c r="K29969"/>
      <c r="L29969"/>
    </row>
    <row r="29970" spans="2:12" x14ac:dyDescent="0.2">
      <c r="B29970"/>
      <c r="C29970"/>
      <c r="J29970"/>
      <c r="K29970"/>
      <c r="L29970"/>
    </row>
    <row r="29971" spans="2:12" x14ac:dyDescent="0.2">
      <c r="B29971"/>
      <c r="C29971"/>
      <c r="J29971"/>
      <c r="K29971"/>
      <c r="L29971"/>
    </row>
    <row r="29972" spans="2:12" x14ac:dyDescent="0.2">
      <c r="B29972"/>
      <c r="C29972"/>
      <c r="J29972"/>
      <c r="K29972"/>
      <c r="L29972"/>
    </row>
    <row r="29973" spans="2:12" x14ac:dyDescent="0.2">
      <c r="B29973"/>
      <c r="C29973"/>
      <c r="J29973"/>
      <c r="K29973"/>
      <c r="L29973"/>
    </row>
    <row r="29974" spans="2:12" x14ac:dyDescent="0.2">
      <c r="B29974"/>
      <c r="C29974"/>
      <c r="J29974"/>
      <c r="K29974"/>
      <c r="L29974"/>
    </row>
    <row r="29975" spans="2:12" x14ac:dyDescent="0.2">
      <c r="B29975"/>
      <c r="C29975"/>
      <c r="J29975"/>
      <c r="K29975"/>
      <c r="L29975"/>
    </row>
    <row r="29976" spans="2:12" x14ac:dyDescent="0.2">
      <c r="B29976"/>
      <c r="C29976"/>
      <c r="J29976"/>
      <c r="K29976"/>
      <c r="L29976"/>
    </row>
    <row r="29977" spans="2:12" x14ac:dyDescent="0.2">
      <c r="B29977"/>
      <c r="C29977"/>
      <c r="J29977"/>
      <c r="K29977"/>
      <c r="L29977"/>
    </row>
    <row r="29978" spans="2:12" x14ac:dyDescent="0.2">
      <c r="B29978"/>
      <c r="C29978"/>
      <c r="J29978"/>
      <c r="K29978"/>
      <c r="L29978"/>
    </row>
    <row r="29979" spans="2:12" x14ac:dyDescent="0.2">
      <c r="B29979"/>
      <c r="C29979"/>
      <c r="J29979"/>
      <c r="K29979"/>
      <c r="L29979"/>
    </row>
    <row r="29980" spans="2:12" x14ac:dyDescent="0.2">
      <c r="B29980"/>
      <c r="C29980"/>
      <c r="J29980"/>
      <c r="K29980"/>
      <c r="L29980"/>
    </row>
    <row r="29981" spans="2:12" x14ac:dyDescent="0.2">
      <c r="B29981"/>
      <c r="C29981"/>
      <c r="J29981"/>
      <c r="K29981"/>
      <c r="L29981"/>
    </row>
    <row r="29982" spans="2:12" x14ac:dyDescent="0.2">
      <c r="B29982"/>
      <c r="C29982"/>
      <c r="J29982"/>
      <c r="K29982"/>
      <c r="L29982"/>
    </row>
    <row r="29983" spans="2:12" x14ac:dyDescent="0.2">
      <c r="B29983"/>
      <c r="C29983"/>
      <c r="J29983"/>
      <c r="K29983"/>
      <c r="L29983"/>
    </row>
    <row r="29984" spans="2:12" x14ac:dyDescent="0.2">
      <c r="B29984"/>
      <c r="C29984"/>
      <c r="J29984"/>
      <c r="K29984"/>
      <c r="L29984"/>
    </row>
    <row r="29985" spans="2:12" x14ac:dyDescent="0.2">
      <c r="B29985"/>
      <c r="C29985"/>
      <c r="J29985"/>
      <c r="K29985"/>
      <c r="L29985"/>
    </row>
    <row r="29986" spans="2:12" x14ac:dyDescent="0.2">
      <c r="B29986"/>
      <c r="C29986"/>
      <c r="J29986"/>
      <c r="K29986"/>
      <c r="L29986"/>
    </row>
    <row r="29987" spans="2:12" x14ac:dyDescent="0.2">
      <c r="B29987"/>
      <c r="C29987"/>
      <c r="J29987"/>
      <c r="K29987"/>
      <c r="L29987"/>
    </row>
    <row r="29988" spans="2:12" x14ac:dyDescent="0.2">
      <c r="B29988"/>
      <c r="C29988"/>
      <c r="J29988"/>
      <c r="K29988"/>
      <c r="L29988"/>
    </row>
    <row r="29989" spans="2:12" x14ac:dyDescent="0.2">
      <c r="B29989"/>
      <c r="C29989"/>
      <c r="J29989"/>
      <c r="K29989"/>
      <c r="L29989"/>
    </row>
    <row r="29990" spans="2:12" x14ac:dyDescent="0.2">
      <c r="B29990"/>
      <c r="C29990"/>
      <c r="J29990"/>
      <c r="K29990"/>
      <c r="L29990"/>
    </row>
    <row r="29991" spans="2:12" x14ac:dyDescent="0.2">
      <c r="B29991"/>
      <c r="C29991"/>
      <c r="J29991"/>
      <c r="K29991"/>
      <c r="L29991"/>
    </row>
    <row r="29992" spans="2:12" x14ac:dyDescent="0.2">
      <c r="B29992"/>
      <c r="C29992"/>
      <c r="J29992"/>
      <c r="K29992"/>
      <c r="L29992"/>
    </row>
    <row r="29993" spans="2:12" x14ac:dyDescent="0.2">
      <c r="B29993"/>
      <c r="C29993"/>
      <c r="J29993"/>
      <c r="K29993"/>
      <c r="L29993"/>
    </row>
    <row r="29994" spans="2:12" x14ac:dyDescent="0.2">
      <c r="B29994"/>
      <c r="C29994"/>
      <c r="J29994"/>
      <c r="K29994"/>
      <c r="L29994"/>
    </row>
    <row r="29995" spans="2:12" x14ac:dyDescent="0.2">
      <c r="B29995"/>
      <c r="C29995"/>
      <c r="J29995"/>
      <c r="K29995"/>
      <c r="L29995"/>
    </row>
    <row r="29996" spans="2:12" x14ac:dyDescent="0.2">
      <c r="B29996"/>
      <c r="C29996"/>
      <c r="J29996"/>
      <c r="K29996"/>
      <c r="L29996"/>
    </row>
    <row r="29997" spans="2:12" x14ac:dyDescent="0.2">
      <c r="B29997"/>
      <c r="C29997"/>
      <c r="J29997"/>
      <c r="K29997"/>
      <c r="L29997"/>
    </row>
    <row r="29998" spans="2:12" x14ac:dyDescent="0.2">
      <c r="B29998"/>
      <c r="C29998"/>
      <c r="J29998"/>
      <c r="K29998"/>
      <c r="L29998"/>
    </row>
    <row r="29999" spans="2:12" x14ac:dyDescent="0.2">
      <c r="B29999"/>
      <c r="C29999"/>
      <c r="J29999"/>
      <c r="K29999"/>
      <c r="L29999"/>
    </row>
    <row r="30000" spans="2:12" x14ac:dyDescent="0.2">
      <c r="B30000"/>
      <c r="C30000"/>
      <c r="J30000"/>
      <c r="K30000"/>
      <c r="L30000"/>
    </row>
    <row r="30001" spans="2:12" x14ac:dyDescent="0.2">
      <c r="B30001"/>
      <c r="C30001"/>
      <c r="J30001"/>
      <c r="K30001"/>
      <c r="L30001"/>
    </row>
    <row r="30002" spans="2:12" x14ac:dyDescent="0.2">
      <c r="B30002"/>
      <c r="C30002"/>
      <c r="J30002"/>
      <c r="K30002"/>
      <c r="L30002"/>
    </row>
    <row r="30003" spans="2:12" x14ac:dyDescent="0.2">
      <c r="B30003"/>
      <c r="C30003"/>
      <c r="J30003"/>
      <c r="K30003"/>
      <c r="L30003"/>
    </row>
    <row r="30004" spans="2:12" x14ac:dyDescent="0.2">
      <c r="B30004"/>
      <c r="C30004"/>
      <c r="J30004"/>
      <c r="K30004"/>
      <c r="L30004"/>
    </row>
    <row r="30005" spans="2:12" x14ac:dyDescent="0.2">
      <c r="B30005"/>
      <c r="C30005"/>
      <c r="J30005"/>
      <c r="K30005"/>
      <c r="L30005"/>
    </row>
    <row r="30006" spans="2:12" x14ac:dyDescent="0.2">
      <c r="B30006"/>
      <c r="C30006"/>
      <c r="J30006"/>
      <c r="K30006"/>
      <c r="L30006"/>
    </row>
    <row r="30007" spans="2:12" x14ac:dyDescent="0.2">
      <c r="B30007"/>
      <c r="C30007"/>
      <c r="J30007"/>
      <c r="K30007"/>
      <c r="L30007"/>
    </row>
    <row r="30008" spans="2:12" x14ac:dyDescent="0.2">
      <c r="B30008"/>
      <c r="C30008"/>
      <c r="J30008"/>
      <c r="K30008"/>
      <c r="L30008"/>
    </row>
    <row r="30009" spans="2:12" x14ac:dyDescent="0.2">
      <c r="B30009"/>
      <c r="C30009"/>
      <c r="J30009"/>
      <c r="K30009"/>
      <c r="L30009"/>
    </row>
    <row r="30010" spans="2:12" x14ac:dyDescent="0.2">
      <c r="B30010"/>
      <c r="C30010"/>
      <c r="J30010"/>
      <c r="K30010"/>
      <c r="L30010"/>
    </row>
    <row r="30011" spans="2:12" x14ac:dyDescent="0.2">
      <c r="B30011"/>
      <c r="C30011"/>
      <c r="J30011"/>
      <c r="K30011"/>
      <c r="L30011"/>
    </row>
    <row r="30012" spans="2:12" x14ac:dyDescent="0.2">
      <c r="B30012"/>
      <c r="C30012"/>
      <c r="J30012"/>
      <c r="K30012"/>
      <c r="L30012"/>
    </row>
    <row r="30013" spans="2:12" x14ac:dyDescent="0.2">
      <c r="B30013"/>
      <c r="C30013"/>
      <c r="J30013"/>
      <c r="K30013"/>
      <c r="L30013"/>
    </row>
    <row r="30014" spans="2:12" x14ac:dyDescent="0.2">
      <c r="B30014"/>
      <c r="C30014"/>
      <c r="J30014"/>
      <c r="K30014"/>
      <c r="L30014"/>
    </row>
    <row r="30015" spans="2:12" x14ac:dyDescent="0.2">
      <c r="B30015"/>
      <c r="C30015"/>
      <c r="J30015"/>
      <c r="K30015"/>
      <c r="L30015"/>
    </row>
    <row r="30016" spans="2:12" x14ac:dyDescent="0.2">
      <c r="B30016"/>
      <c r="C30016"/>
      <c r="J30016"/>
      <c r="K30016"/>
      <c r="L30016"/>
    </row>
    <row r="30017" spans="2:12" x14ac:dyDescent="0.2">
      <c r="B30017"/>
      <c r="C30017"/>
      <c r="J30017"/>
      <c r="K30017"/>
      <c r="L30017"/>
    </row>
    <row r="30018" spans="2:12" x14ac:dyDescent="0.2">
      <c r="B30018"/>
      <c r="C30018"/>
      <c r="J30018"/>
      <c r="K30018"/>
      <c r="L30018"/>
    </row>
    <row r="30019" spans="2:12" x14ac:dyDescent="0.2">
      <c r="B30019"/>
      <c r="C30019"/>
      <c r="J30019"/>
      <c r="K30019"/>
      <c r="L30019"/>
    </row>
    <row r="30020" spans="2:12" x14ac:dyDescent="0.2">
      <c r="B30020"/>
      <c r="C30020"/>
      <c r="J30020"/>
      <c r="K30020"/>
      <c r="L30020"/>
    </row>
    <row r="30021" spans="2:12" x14ac:dyDescent="0.2">
      <c r="B30021"/>
      <c r="C30021"/>
      <c r="J30021"/>
      <c r="K30021"/>
      <c r="L30021"/>
    </row>
    <row r="30022" spans="2:12" x14ac:dyDescent="0.2">
      <c r="B30022"/>
      <c r="C30022"/>
      <c r="J30022"/>
      <c r="K30022"/>
      <c r="L30022"/>
    </row>
    <row r="30023" spans="2:12" x14ac:dyDescent="0.2">
      <c r="B30023"/>
      <c r="C30023"/>
      <c r="J30023"/>
      <c r="K30023"/>
      <c r="L30023"/>
    </row>
    <row r="30024" spans="2:12" x14ac:dyDescent="0.2">
      <c r="B30024"/>
      <c r="C30024"/>
      <c r="J30024"/>
      <c r="K30024"/>
      <c r="L30024"/>
    </row>
    <row r="30025" spans="2:12" x14ac:dyDescent="0.2">
      <c r="B30025"/>
      <c r="C30025"/>
      <c r="J30025"/>
      <c r="K30025"/>
      <c r="L30025"/>
    </row>
    <row r="30026" spans="2:12" x14ac:dyDescent="0.2">
      <c r="B30026"/>
      <c r="C30026"/>
      <c r="J30026"/>
      <c r="K30026"/>
      <c r="L30026"/>
    </row>
    <row r="30027" spans="2:12" x14ac:dyDescent="0.2">
      <c r="B30027"/>
      <c r="C30027"/>
      <c r="J30027"/>
      <c r="K30027"/>
      <c r="L30027"/>
    </row>
    <row r="30028" spans="2:12" x14ac:dyDescent="0.2">
      <c r="B30028"/>
      <c r="C30028"/>
      <c r="J30028"/>
      <c r="K30028"/>
      <c r="L30028"/>
    </row>
    <row r="30029" spans="2:12" x14ac:dyDescent="0.2">
      <c r="B30029"/>
      <c r="C30029"/>
      <c r="J30029"/>
      <c r="K30029"/>
      <c r="L30029"/>
    </row>
    <row r="30030" spans="2:12" x14ac:dyDescent="0.2">
      <c r="B30030"/>
      <c r="C30030"/>
      <c r="J30030"/>
      <c r="K30030"/>
      <c r="L30030"/>
    </row>
    <row r="30031" spans="2:12" x14ac:dyDescent="0.2">
      <c r="B30031"/>
      <c r="C30031"/>
      <c r="J30031"/>
      <c r="K30031"/>
      <c r="L30031"/>
    </row>
    <row r="30032" spans="2:12" x14ac:dyDescent="0.2">
      <c r="B30032"/>
      <c r="C30032"/>
      <c r="J30032"/>
      <c r="K30032"/>
      <c r="L30032"/>
    </row>
    <row r="30033" spans="2:12" x14ac:dyDescent="0.2">
      <c r="B30033"/>
      <c r="C30033"/>
      <c r="J30033"/>
      <c r="K30033"/>
      <c r="L30033"/>
    </row>
    <row r="30034" spans="2:12" x14ac:dyDescent="0.2">
      <c r="B30034"/>
      <c r="C30034"/>
      <c r="J30034"/>
      <c r="K30034"/>
      <c r="L30034"/>
    </row>
    <row r="30035" spans="2:12" x14ac:dyDescent="0.2">
      <c r="B30035"/>
      <c r="C30035"/>
      <c r="J30035"/>
      <c r="K30035"/>
      <c r="L30035"/>
    </row>
    <row r="30036" spans="2:12" x14ac:dyDescent="0.2">
      <c r="B30036"/>
      <c r="C30036"/>
      <c r="J30036"/>
      <c r="K30036"/>
      <c r="L30036"/>
    </row>
    <row r="30037" spans="2:12" x14ac:dyDescent="0.2">
      <c r="B30037"/>
      <c r="C30037"/>
      <c r="J30037"/>
      <c r="K30037"/>
      <c r="L30037"/>
    </row>
    <row r="30038" spans="2:12" x14ac:dyDescent="0.2">
      <c r="B30038"/>
      <c r="C30038"/>
      <c r="J30038"/>
      <c r="K30038"/>
      <c r="L30038"/>
    </row>
    <row r="30039" spans="2:12" x14ac:dyDescent="0.2">
      <c r="B30039"/>
      <c r="C30039"/>
      <c r="J30039"/>
      <c r="K30039"/>
      <c r="L30039"/>
    </row>
    <row r="30040" spans="2:12" x14ac:dyDescent="0.2">
      <c r="B30040"/>
      <c r="C30040"/>
      <c r="J30040"/>
      <c r="K30040"/>
      <c r="L30040"/>
    </row>
    <row r="30041" spans="2:12" x14ac:dyDescent="0.2">
      <c r="B30041"/>
      <c r="C30041"/>
      <c r="J30041"/>
      <c r="K30041"/>
      <c r="L30041"/>
    </row>
    <row r="30042" spans="2:12" x14ac:dyDescent="0.2">
      <c r="B30042"/>
      <c r="C30042"/>
      <c r="J30042"/>
      <c r="K30042"/>
      <c r="L30042"/>
    </row>
    <row r="30043" spans="2:12" x14ac:dyDescent="0.2">
      <c r="B30043"/>
      <c r="C30043"/>
      <c r="J30043"/>
      <c r="K30043"/>
      <c r="L30043"/>
    </row>
    <row r="30044" spans="2:12" x14ac:dyDescent="0.2">
      <c r="B30044"/>
      <c r="C30044"/>
      <c r="J30044"/>
      <c r="K30044"/>
      <c r="L30044"/>
    </row>
    <row r="30045" spans="2:12" x14ac:dyDescent="0.2">
      <c r="B30045"/>
      <c r="C30045"/>
      <c r="J30045"/>
      <c r="K30045"/>
      <c r="L30045"/>
    </row>
    <row r="30046" spans="2:12" x14ac:dyDescent="0.2">
      <c r="B30046"/>
      <c r="C30046"/>
      <c r="J30046"/>
      <c r="K30046"/>
      <c r="L30046"/>
    </row>
    <row r="30047" spans="2:12" x14ac:dyDescent="0.2">
      <c r="B30047"/>
      <c r="C30047"/>
      <c r="J30047"/>
      <c r="K30047"/>
      <c r="L30047"/>
    </row>
    <row r="30048" spans="2:12" x14ac:dyDescent="0.2">
      <c r="B30048"/>
      <c r="C30048"/>
      <c r="J30048"/>
      <c r="K30048"/>
      <c r="L30048"/>
    </row>
    <row r="30049" spans="2:12" x14ac:dyDescent="0.2">
      <c r="B30049"/>
      <c r="C30049"/>
      <c r="J30049"/>
      <c r="K30049"/>
      <c r="L30049"/>
    </row>
    <row r="30050" spans="2:12" x14ac:dyDescent="0.2">
      <c r="B30050"/>
      <c r="C30050"/>
      <c r="J30050"/>
      <c r="K30050"/>
      <c r="L30050"/>
    </row>
    <row r="30051" spans="2:12" x14ac:dyDescent="0.2">
      <c r="B30051"/>
      <c r="C30051"/>
      <c r="J30051"/>
      <c r="K30051"/>
      <c r="L30051"/>
    </row>
    <row r="30052" spans="2:12" x14ac:dyDescent="0.2">
      <c r="B30052"/>
      <c r="C30052"/>
      <c r="J30052"/>
      <c r="K30052"/>
      <c r="L30052"/>
    </row>
    <row r="30053" spans="2:12" x14ac:dyDescent="0.2">
      <c r="B30053"/>
      <c r="C30053"/>
      <c r="J30053"/>
      <c r="K30053"/>
      <c r="L30053"/>
    </row>
    <row r="30054" spans="2:12" x14ac:dyDescent="0.2">
      <c r="B30054"/>
      <c r="C30054"/>
      <c r="J30054"/>
      <c r="K30054"/>
      <c r="L30054"/>
    </row>
    <row r="30055" spans="2:12" x14ac:dyDescent="0.2">
      <c r="B30055"/>
      <c r="C30055"/>
      <c r="J30055"/>
      <c r="K30055"/>
      <c r="L30055"/>
    </row>
    <row r="30056" spans="2:12" x14ac:dyDescent="0.2">
      <c r="B30056"/>
      <c r="C30056"/>
      <c r="J30056"/>
      <c r="K30056"/>
      <c r="L30056"/>
    </row>
    <row r="30057" spans="2:12" x14ac:dyDescent="0.2">
      <c r="B30057"/>
      <c r="C30057"/>
      <c r="J30057"/>
      <c r="K30057"/>
      <c r="L30057"/>
    </row>
    <row r="30058" spans="2:12" x14ac:dyDescent="0.2">
      <c r="B30058"/>
      <c r="C30058"/>
      <c r="J30058"/>
      <c r="K30058"/>
      <c r="L30058"/>
    </row>
    <row r="30059" spans="2:12" x14ac:dyDescent="0.2">
      <c r="B30059"/>
      <c r="C30059"/>
      <c r="J30059"/>
      <c r="K30059"/>
      <c r="L30059"/>
    </row>
    <row r="30060" spans="2:12" x14ac:dyDescent="0.2">
      <c r="B30060"/>
      <c r="C30060"/>
      <c r="J30060"/>
      <c r="K30060"/>
      <c r="L30060"/>
    </row>
    <row r="30061" spans="2:12" x14ac:dyDescent="0.2">
      <c r="B30061"/>
      <c r="C30061"/>
      <c r="J30061"/>
      <c r="K30061"/>
      <c r="L30061"/>
    </row>
    <row r="30062" spans="2:12" x14ac:dyDescent="0.2">
      <c r="B30062"/>
      <c r="C30062"/>
      <c r="J30062"/>
      <c r="K30062"/>
      <c r="L30062"/>
    </row>
    <row r="30063" spans="2:12" x14ac:dyDescent="0.2">
      <c r="B30063"/>
      <c r="C30063"/>
      <c r="J30063"/>
      <c r="K30063"/>
      <c r="L30063"/>
    </row>
    <row r="30064" spans="2:12" x14ac:dyDescent="0.2">
      <c r="B30064"/>
      <c r="C30064"/>
      <c r="J30064"/>
      <c r="K30064"/>
      <c r="L30064"/>
    </row>
    <row r="30065" spans="2:12" x14ac:dyDescent="0.2">
      <c r="B30065"/>
      <c r="C30065"/>
      <c r="J30065"/>
      <c r="K30065"/>
      <c r="L30065"/>
    </row>
    <row r="30066" spans="2:12" x14ac:dyDescent="0.2">
      <c r="B30066"/>
      <c r="C30066"/>
      <c r="J30066"/>
      <c r="K30066"/>
      <c r="L30066"/>
    </row>
    <row r="30067" spans="2:12" x14ac:dyDescent="0.2">
      <c r="B30067"/>
      <c r="C30067"/>
      <c r="J30067"/>
      <c r="K30067"/>
      <c r="L30067"/>
    </row>
    <row r="30068" spans="2:12" x14ac:dyDescent="0.2">
      <c r="B30068"/>
      <c r="C30068"/>
      <c r="J30068"/>
      <c r="K30068"/>
      <c r="L30068"/>
    </row>
    <row r="30069" spans="2:12" x14ac:dyDescent="0.2">
      <c r="B30069"/>
      <c r="C30069"/>
      <c r="J30069"/>
      <c r="K30069"/>
      <c r="L30069"/>
    </row>
    <row r="30070" spans="2:12" x14ac:dyDescent="0.2">
      <c r="B30070"/>
      <c r="C30070"/>
      <c r="J30070"/>
      <c r="K30070"/>
      <c r="L30070"/>
    </row>
    <row r="30071" spans="2:12" x14ac:dyDescent="0.2">
      <c r="B30071"/>
      <c r="C30071"/>
      <c r="J30071"/>
      <c r="K30071"/>
      <c r="L30071"/>
    </row>
    <row r="30072" spans="2:12" x14ac:dyDescent="0.2">
      <c r="B30072"/>
      <c r="C30072"/>
      <c r="J30072"/>
      <c r="K30072"/>
      <c r="L30072"/>
    </row>
    <row r="30073" spans="2:12" x14ac:dyDescent="0.2">
      <c r="B30073"/>
      <c r="C30073"/>
      <c r="J30073"/>
      <c r="K30073"/>
      <c r="L30073"/>
    </row>
    <row r="30074" spans="2:12" x14ac:dyDescent="0.2">
      <c r="B30074"/>
      <c r="C30074"/>
      <c r="J30074"/>
      <c r="K30074"/>
      <c r="L30074"/>
    </row>
    <row r="30075" spans="2:12" x14ac:dyDescent="0.2">
      <c r="B30075"/>
      <c r="C30075"/>
      <c r="J30075"/>
      <c r="K30075"/>
      <c r="L30075"/>
    </row>
    <row r="30076" spans="2:12" x14ac:dyDescent="0.2">
      <c r="B30076"/>
      <c r="C30076"/>
      <c r="J30076"/>
      <c r="K30076"/>
      <c r="L30076"/>
    </row>
    <row r="30077" spans="2:12" x14ac:dyDescent="0.2">
      <c r="B30077"/>
      <c r="C30077"/>
      <c r="J30077"/>
      <c r="K30077"/>
      <c r="L30077"/>
    </row>
    <row r="30078" spans="2:12" x14ac:dyDescent="0.2">
      <c r="B30078"/>
      <c r="C30078"/>
      <c r="J30078"/>
      <c r="K30078"/>
      <c r="L30078"/>
    </row>
    <row r="30079" spans="2:12" x14ac:dyDescent="0.2">
      <c r="B30079"/>
      <c r="C30079"/>
      <c r="J30079"/>
      <c r="K30079"/>
      <c r="L30079"/>
    </row>
    <row r="30080" spans="2:12" x14ac:dyDescent="0.2">
      <c r="B30080"/>
      <c r="C30080"/>
      <c r="J30080"/>
      <c r="K30080"/>
      <c r="L30080"/>
    </row>
    <row r="30081" spans="2:12" x14ac:dyDescent="0.2">
      <c r="B30081"/>
      <c r="C30081"/>
      <c r="J30081"/>
      <c r="K30081"/>
      <c r="L30081"/>
    </row>
    <row r="30082" spans="2:12" x14ac:dyDescent="0.2">
      <c r="B30082"/>
      <c r="C30082"/>
      <c r="J30082"/>
      <c r="K30082"/>
      <c r="L30082"/>
    </row>
    <row r="30083" spans="2:12" x14ac:dyDescent="0.2">
      <c r="B30083"/>
      <c r="C30083"/>
      <c r="J30083"/>
      <c r="K30083"/>
      <c r="L30083"/>
    </row>
    <row r="30084" spans="2:12" x14ac:dyDescent="0.2">
      <c r="B30084"/>
      <c r="C30084"/>
      <c r="J30084"/>
      <c r="K30084"/>
      <c r="L30084"/>
    </row>
    <row r="30085" spans="2:12" x14ac:dyDescent="0.2">
      <c r="B30085"/>
      <c r="C30085"/>
      <c r="J30085"/>
      <c r="K30085"/>
      <c r="L30085"/>
    </row>
    <row r="30086" spans="2:12" x14ac:dyDescent="0.2">
      <c r="B30086"/>
      <c r="C30086"/>
      <c r="J30086"/>
      <c r="K30086"/>
      <c r="L30086"/>
    </row>
    <row r="30087" spans="2:12" x14ac:dyDescent="0.2">
      <c r="B30087"/>
      <c r="C30087"/>
      <c r="J30087"/>
      <c r="K30087"/>
      <c r="L30087"/>
    </row>
    <row r="30088" spans="2:12" x14ac:dyDescent="0.2">
      <c r="B30088"/>
      <c r="C30088"/>
      <c r="J30088"/>
      <c r="K30088"/>
      <c r="L30088"/>
    </row>
    <row r="30089" spans="2:12" x14ac:dyDescent="0.2">
      <c r="B30089"/>
      <c r="C30089"/>
      <c r="J30089"/>
      <c r="K30089"/>
      <c r="L30089"/>
    </row>
    <row r="30090" spans="2:12" x14ac:dyDescent="0.2">
      <c r="B30090"/>
      <c r="C30090"/>
      <c r="J30090"/>
      <c r="K30090"/>
      <c r="L30090"/>
    </row>
    <row r="30091" spans="2:12" x14ac:dyDescent="0.2">
      <c r="B30091"/>
      <c r="C30091"/>
      <c r="J30091"/>
      <c r="K30091"/>
      <c r="L30091"/>
    </row>
    <row r="30092" spans="2:12" x14ac:dyDescent="0.2">
      <c r="B30092"/>
      <c r="C30092"/>
      <c r="J30092"/>
      <c r="K30092"/>
      <c r="L30092"/>
    </row>
    <row r="30093" spans="2:12" x14ac:dyDescent="0.2">
      <c r="B30093"/>
      <c r="C30093"/>
      <c r="J30093"/>
      <c r="K30093"/>
      <c r="L30093"/>
    </row>
    <row r="30094" spans="2:12" x14ac:dyDescent="0.2">
      <c r="B30094"/>
      <c r="C30094"/>
      <c r="J30094"/>
      <c r="K30094"/>
      <c r="L30094"/>
    </row>
    <row r="30095" spans="2:12" x14ac:dyDescent="0.2">
      <c r="B30095"/>
      <c r="C30095"/>
      <c r="J30095"/>
      <c r="K30095"/>
      <c r="L30095"/>
    </row>
    <row r="30096" spans="2:12" x14ac:dyDescent="0.2">
      <c r="B30096"/>
      <c r="C30096"/>
      <c r="J30096"/>
      <c r="K30096"/>
      <c r="L30096"/>
    </row>
    <row r="30097" spans="2:12" x14ac:dyDescent="0.2">
      <c r="B30097"/>
      <c r="C30097"/>
      <c r="J30097"/>
      <c r="K30097"/>
      <c r="L30097"/>
    </row>
    <row r="30098" spans="2:12" x14ac:dyDescent="0.2">
      <c r="B30098"/>
      <c r="C30098"/>
      <c r="J30098"/>
      <c r="K30098"/>
      <c r="L30098"/>
    </row>
    <row r="30099" spans="2:12" x14ac:dyDescent="0.2">
      <c r="B30099"/>
      <c r="C30099"/>
      <c r="J30099"/>
      <c r="K30099"/>
      <c r="L30099"/>
    </row>
    <row r="30100" spans="2:12" x14ac:dyDescent="0.2">
      <c r="B30100"/>
      <c r="C30100"/>
      <c r="J30100"/>
      <c r="K30100"/>
      <c r="L30100"/>
    </row>
    <row r="30101" spans="2:12" x14ac:dyDescent="0.2">
      <c r="B30101"/>
      <c r="C30101"/>
      <c r="J30101"/>
      <c r="K30101"/>
      <c r="L30101"/>
    </row>
    <row r="30102" spans="2:12" x14ac:dyDescent="0.2">
      <c r="B30102"/>
      <c r="C30102"/>
      <c r="J30102"/>
      <c r="K30102"/>
      <c r="L30102"/>
    </row>
    <row r="30103" spans="2:12" x14ac:dyDescent="0.2">
      <c r="B30103"/>
      <c r="C30103"/>
      <c r="J30103"/>
      <c r="K30103"/>
      <c r="L30103"/>
    </row>
    <row r="30104" spans="2:12" x14ac:dyDescent="0.2">
      <c r="B30104"/>
      <c r="C30104"/>
      <c r="J30104"/>
      <c r="K30104"/>
      <c r="L30104"/>
    </row>
    <row r="30105" spans="2:12" x14ac:dyDescent="0.2">
      <c r="B30105"/>
      <c r="C30105"/>
      <c r="J30105"/>
      <c r="K30105"/>
      <c r="L30105"/>
    </row>
    <row r="30106" spans="2:12" x14ac:dyDescent="0.2">
      <c r="B30106"/>
      <c r="C30106"/>
      <c r="J30106"/>
      <c r="K30106"/>
      <c r="L30106"/>
    </row>
    <row r="30107" spans="2:12" x14ac:dyDescent="0.2">
      <c r="B30107"/>
      <c r="C30107"/>
      <c r="J30107"/>
      <c r="K30107"/>
      <c r="L30107"/>
    </row>
    <row r="30108" spans="2:12" x14ac:dyDescent="0.2">
      <c r="B30108"/>
      <c r="C30108"/>
      <c r="J30108"/>
      <c r="K30108"/>
      <c r="L30108"/>
    </row>
    <row r="30109" spans="2:12" x14ac:dyDescent="0.2">
      <c r="B30109"/>
      <c r="C30109"/>
      <c r="J30109"/>
      <c r="K30109"/>
      <c r="L30109"/>
    </row>
    <row r="30110" spans="2:12" x14ac:dyDescent="0.2">
      <c r="B30110"/>
      <c r="C30110"/>
      <c r="J30110"/>
      <c r="K30110"/>
      <c r="L30110"/>
    </row>
    <row r="30111" spans="2:12" x14ac:dyDescent="0.2">
      <c r="B30111"/>
      <c r="C30111"/>
      <c r="J30111"/>
      <c r="K30111"/>
      <c r="L30111"/>
    </row>
    <row r="30112" spans="2:12" x14ac:dyDescent="0.2">
      <c r="B30112"/>
      <c r="C30112"/>
      <c r="J30112"/>
      <c r="K30112"/>
      <c r="L30112"/>
    </row>
    <row r="30113" spans="2:12" x14ac:dyDescent="0.2">
      <c r="B30113"/>
      <c r="C30113"/>
      <c r="J30113"/>
      <c r="K30113"/>
      <c r="L30113"/>
    </row>
    <row r="30114" spans="2:12" x14ac:dyDescent="0.2">
      <c r="B30114"/>
      <c r="C30114"/>
      <c r="J30114"/>
      <c r="K30114"/>
      <c r="L30114"/>
    </row>
    <row r="30115" spans="2:12" x14ac:dyDescent="0.2">
      <c r="B30115"/>
      <c r="C30115"/>
      <c r="J30115"/>
      <c r="K30115"/>
      <c r="L30115"/>
    </row>
    <row r="30116" spans="2:12" x14ac:dyDescent="0.2">
      <c r="B30116"/>
      <c r="C30116"/>
      <c r="J30116"/>
      <c r="K30116"/>
      <c r="L30116"/>
    </row>
    <row r="30117" spans="2:12" x14ac:dyDescent="0.2">
      <c r="B30117"/>
      <c r="C30117"/>
      <c r="J30117"/>
      <c r="K30117"/>
      <c r="L30117"/>
    </row>
    <row r="30118" spans="2:12" x14ac:dyDescent="0.2">
      <c r="B30118"/>
      <c r="C30118"/>
      <c r="J30118"/>
      <c r="K30118"/>
      <c r="L30118"/>
    </row>
    <row r="30119" spans="2:12" x14ac:dyDescent="0.2">
      <c r="B30119"/>
      <c r="C30119"/>
      <c r="J30119"/>
      <c r="K30119"/>
      <c r="L30119"/>
    </row>
    <row r="30120" spans="2:12" x14ac:dyDescent="0.2">
      <c r="B30120"/>
      <c r="C30120"/>
      <c r="J30120"/>
      <c r="K30120"/>
      <c r="L30120"/>
    </row>
    <row r="30121" spans="2:12" x14ac:dyDescent="0.2">
      <c r="B30121"/>
      <c r="C30121"/>
      <c r="J30121"/>
      <c r="K30121"/>
      <c r="L30121"/>
    </row>
    <row r="30122" spans="2:12" x14ac:dyDescent="0.2">
      <c r="B30122"/>
      <c r="C30122"/>
      <c r="J30122"/>
      <c r="K30122"/>
      <c r="L30122"/>
    </row>
    <row r="30123" spans="2:12" x14ac:dyDescent="0.2">
      <c r="B30123"/>
      <c r="C30123"/>
      <c r="J30123"/>
      <c r="K30123"/>
      <c r="L30123"/>
    </row>
    <row r="30124" spans="2:12" x14ac:dyDescent="0.2">
      <c r="B30124"/>
      <c r="C30124"/>
      <c r="J30124"/>
      <c r="K30124"/>
      <c r="L30124"/>
    </row>
    <row r="30125" spans="2:12" x14ac:dyDescent="0.2">
      <c r="B30125"/>
      <c r="C30125"/>
      <c r="J30125"/>
      <c r="K30125"/>
      <c r="L30125"/>
    </row>
    <row r="30126" spans="2:12" x14ac:dyDescent="0.2">
      <c r="B30126"/>
      <c r="C30126"/>
      <c r="J30126"/>
      <c r="K30126"/>
      <c r="L30126"/>
    </row>
    <row r="30127" spans="2:12" x14ac:dyDescent="0.2">
      <c r="B30127"/>
      <c r="C30127"/>
      <c r="J30127"/>
      <c r="K30127"/>
      <c r="L30127"/>
    </row>
    <row r="30128" spans="2:12" x14ac:dyDescent="0.2">
      <c r="B30128"/>
      <c r="C30128"/>
      <c r="J30128"/>
      <c r="K30128"/>
      <c r="L30128"/>
    </row>
    <row r="30129" spans="2:12" x14ac:dyDescent="0.2">
      <c r="B30129"/>
      <c r="C30129"/>
      <c r="J30129"/>
      <c r="K30129"/>
      <c r="L30129"/>
    </row>
    <row r="30130" spans="2:12" x14ac:dyDescent="0.2">
      <c r="B30130"/>
      <c r="C30130"/>
      <c r="J30130"/>
      <c r="K30130"/>
      <c r="L30130"/>
    </row>
    <row r="30131" spans="2:12" x14ac:dyDescent="0.2">
      <c r="B30131"/>
      <c r="C30131"/>
      <c r="J30131"/>
      <c r="K30131"/>
      <c r="L30131"/>
    </row>
    <row r="30132" spans="2:12" x14ac:dyDescent="0.2">
      <c r="B30132"/>
      <c r="C30132"/>
      <c r="J30132"/>
      <c r="K30132"/>
      <c r="L30132"/>
    </row>
    <row r="30133" spans="2:12" x14ac:dyDescent="0.2">
      <c r="B30133"/>
      <c r="C30133"/>
      <c r="J30133"/>
      <c r="K30133"/>
      <c r="L30133"/>
    </row>
    <row r="30134" spans="2:12" x14ac:dyDescent="0.2">
      <c r="B30134"/>
      <c r="C30134"/>
      <c r="J30134"/>
      <c r="K30134"/>
      <c r="L30134"/>
    </row>
    <row r="30135" spans="2:12" x14ac:dyDescent="0.2">
      <c r="B30135"/>
      <c r="C30135"/>
      <c r="J30135"/>
      <c r="K30135"/>
      <c r="L30135"/>
    </row>
    <row r="30136" spans="2:12" x14ac:dyDescent="0.2">
      <c r="B30136"/>
      <c r="C30136"/>
      <c r="J30136"/>
      <c r="K30136"/>
      <c r="L30136"/>
    </row>
    <row r="30137" spans="2:12" x14ac:dyDescent="0.2">
      <c r="B30137"/>
      <c r="C30137"/>
      <c r="J30137"/>
      <c r="K30137"/>
      <c r="L30137"/>
    </row>
    <row r="30138" spans="2:12" x14ac:dyDescent="0.2">
      <c r="B30138"/>
      <c r="C30138"/>
      <c r="J30138"/>
      <c r="K30138"/>
      <c r="L30138"/>
    </row>
    <row r="30139" spans="2:12" x14ac:dyDescent="0.2">
      <c r="B30139"/>
      <c r="C30139"/>
      <c r="J30139"/>
      <c r="K30139"/>
      <c r="L30139"/>
    </row>
    <row r="30140" spans="2:12" x14ac:dyDescent="0.2">
      <c r="B30140"/>
      <c r="C30140"/>
      <c r="J30140"/>
      <c r="K30140"/>
      <c r="L30140"/>
    </row>
    <row r="30141" spans="2:12" x14ac:dyDescent="0.2">
      <c r="B30141"/>
      <c r="C30141"/>
      <c r="J30141"/>
      <c r="K30141"/>
      <c r="L30141"/>
    </row>
    <row r="30142" spans="2:12" x14ac:dyDescent="0.2">
      <c r="B30142"/>
      <c r="C30142"/>
      <c r="J30142"/>
      <c r="K30142"/>
      <c r="L30142"/>
    </row>
    <row r="30143" spans="2:12" x14ac:dyDescent="0.2">
      <c r="B30143"/>
      <c r="C30143"/>
      <c r="J30143"/>
      <c r="K30143"/>
      <c r="L30143"/>
    </row>
    <row r="30144" spans="2:12" x14ac:dyDescent="0.2">
      <c r="B30144"/>
      <c r="C30144"/>
      <c r="J30144"/>
      <c r="K30144"/>
      <c r="L30144"/>
    </row>
    <row r="30145" spans="2:12" x14ac:dyDescent="0.2">
      <c r="B30145"/>
      <c r="C30145"/>
      <c r="J30145"/>
      <c r="K30145"/>
      <c r="L30145"/>
    </row>
    <row r="30146" spans="2:12" x14ac:dyDescent="0.2">
      <c r="B30146"/>
      <c r="C30146"/>
      <c r="J30146"/>
      <c r="K30146"/>
      <c r="L30146"/>
    </row>
    <row r="30147" spans="2:12" x14ac:dyDescent="0.2">
      <c r="B30147"/>
      <c r="C30147"/>
      <c r="J30147"/>
      <c r="K30147"/>
      <c r="L30147"/>
    </row>
    <row r="30148" spans="2:12" x14ac:dyDescent="0.2">
      <c r="B30148"/>
      <c r="C30148"/>
      <c r="J30148"/>
      <c r="K30148"/>
      <c r="L30148"/>
    </row>
    <row r="30149" spans="2:12" x14ac:dyDescent="0.2">
      <c r="B30149"/>
      <c r="C30149"/>
      <c r="J30149"/>
      <c r="K30149"/>
      <c r="L30149"/>
    </row>
    <row r="30150" spans="2:12" x14ac:dyDescent="0.2">
      <c r="B30150"/>
      <c r="C30150"/>
      <c r="J30150"/>
      <c r="K30150"/>
      <c r="L30150"/>
    </row>
    <row r="30151" spans="2:12" x14ac:dyDescent="0.2">
      <c r="B30151"/>
      <c r="C30151"/>
      <c r="J30151"/>
      <c r="K30151"/>
      <c r="L30151"/>
    </row>
    <row r="30152" spans="2:12" x14ac:dyDescent="0.2">
      <c r="B30152"/>
      <c r="C30152"/>
      <c r="J30152"/>
      <c r="K30152"/>
      <c r="L30152"/>
    </row>
    <row r="30153" spans="2:12" x14ac:dyDescent="0.2">
      <c r="B30153"/>
      <c r="C30153"/>
      <c r="J30153"/>
      <c r="K30153"/>
      <c r="L30153"/>
    </row>
    <row r="30154" spans="2:12" x14ac:dyDescent="0.2">
      <c r="B30154"/>
      <c r="C30154"/>
      <c r="J30154"/>
      <c r="K30154"/>
      <c r="L30154"/>
    </row>
    <row r="30155" spans="2:12" x14ac:dyDescent="0.2">
      <c r="B30155"/>
      <c r="C30155"/>
      <c r="J30155"/>
      <c r="K30155"/>
      <c r="L30155"/>
    </row>
    <row r="30156" spans="2:12" x14ac:dyDescent="0.2">
      <c r="B30156"/>
      <c r="C30156"/>
      <c r="J30156"/>
      <c r="K30156"/>
      <c r="L30156"/>
    </row>
    <row r="30157" spans="2:12" x14ac:dyDescent="0.2">
      <c r="B30157"/>
      <c r="C30157"/>
      <c r="J30157"/>
      <c r="K30157"/>
      <c r="L30157"/>
    </row>
    <row r="30158" spans="2:12" x14ac:dyDescent="0.2">
      <c r="B30158"/>
      <c r="C30158"/>
      <c r="J30158"/>
      <c r="K30158"/>
      <c r="L30158"/>
    </row>
    <row r="30159" spans="2:12" x14ac:dyDescent="0.2">
      <c r="B30159"/>
      <c r="C30159"/>
      <c r="J30159"/>
      <c r="K30159"/>
      <c r="L30159"/>
    </row>
    <row r="30160" spans="2:12" x14ac:dyDescent="0.2">
      <c r="B30160"/>
      <c r="C30160"/>
      <c r="J30160"/>
      <c r="K30160"/>
      <c r="L30160"/>
    </row>
    <row r="30161" spans="2:12" x14ac:dyDescent="0.2">
      <c r="B30161"/>
      <c r="C30161"/>
      <c r="J30161"/>
      <c r="K30161"/>
      <c r="L30161"/>
    </row>
    <row r="30162" spans="2:12" x14ac:dyDescent="0.2">
      <c r="B30162"/>
      <c r="C30162"/>
      <c r="J30162"/>
      <c r="K30162"/>
      <c r="L30162"/>
    </row>
    <row r="30163" spans="2:12" x14ac:dyDescent="0.2">
      <c r="B30163"/>
      <c r="C30163"/>
      <c r="J30163"/>
      <c r="K30163"/>
      <c r="L30163"/>
    </row>
    <row r="30164" spans="2:12" x14ac:dyDescent="0.2">
      <c r="B30164"/>
      <c r="C30164"/>
      <c r="J30164"/>
      <c r="K30164"/>
      <c r="L30164"/>
    </row>
    <row r="30165" spans="2:12" x14ac:dyDescent="0.2">
      <c r="B30165"/>
      <c r="C30165"/>
      <c r="J30165"/>
      <c r="K30165"/>
      <c r="L30165"/>
    </row>
    <row r="30166" spans="2:12" x14ac:dyDescent="0.2">
      <c r="B30166"/>
      <c r="C30166"/>
      <c r="J30166"/>
      <c r="K30166"/>
      <c r="L30166"/>
    </row>
    <row r="30167" spans="2:12" x14ac:dyDescent="0.2">
      <c r="B30167"/>
      <c r="C30167"/>
      <c r="J30167"/>
      <c r="K30167"/>
      <c r="L30167"/>
    </row>
    <row r="30168" spans="2:12" x14ac:dyDescent="0.2">
      <c r="B30168"/>
      <c r="C30168"/>
      <c r="J30168"/>
      <c r="K30168"/>
      <c r="L30168"/>
    </row>
    <row r="30169" spans="2:12" x14ac:dyDescent="0.2">
      <c r="B30169"/>
      <c r="C30169"/>
      <c r="J30169"/>
      <c r="K30169"/>
      <c r="L30169"/>
    </row>
    <row r="30170" spans="2:12" x14ac:dyDescent="0.2">
      <c r="B30170"/>
      <c r="C30170"/>
      <c r="J30170"/>
      <c r="K30170"/>
      <c r="L30170"/>
    </row>
    <row r="30171" spans="2:12" x14ac:dyDescent="0.2">
      <c r="B30171"/>
      <c r="C30171"/>
      <c r="J30171"/>
      <c r="K30171"/>
      <c r="L30171"/>
    </row>
    <row r="30172" spans="2:12" x14ac:dyDescent="0.2">
      <c r="B30172"/>
      <c r="C30172"/>
      <c r="J30172"/>
      <c r="K30172"/>
      <c r="L30172"/>
    </row>
    <row r="30173" spans="2:12" x14ac:dyDescent="0.2">
      <c r="B30173"/>
      <c r="C30173"/>
      <c r="J30173"/>
      <c r="K30173"/>
      <c r="L30173"/>
    </row>
    <row r="30174" spans="2:12" x14ac:dyDescent="0.2">
      <c r="B30174"/>
      <c r="C30174"/>
      <c r="J30174"/>
      <c r="K30174"/>
      <c r="L30174"/>
    </row>
    <row r="30175" spans="2:12" x14ac:dyDescent="0.2">
      <c r="B30175"/>
      <c r="C30175"/>
      <c r="J30175"/>
      <c r="K30175"/>
      <c r="L30175"/>
    </row>
    <row r="30176" spans="2:12" x14ac:dyDescent="0.2">
      <c r="B30176"/>
      <c r="C30176"/>
      <c r="J30176"/>
      <c r="K30176"/>
      <c r="L30176"/>
    </row>
    <row r="30177" spans="2:12" x14ac:dyDescent="0.2">
      <c r="B30177"/>
      <c r="C30177"/>
      <c r="J30177"/>
      <c r="K30177"/>
      <c r="L30177"/>
    </row>
    <row r="30178" spans="2:12" x14ac:dyDescent="0.2">
      <c r="B30178"/>
      <c r="C30178"/>
      <c r="J30178"/>
      <c r="K30178"/>
      <c r="L30178"/>
    </row>
    <row r="30179" spans="2:12" x14ac:dyDescent="0.2">
      <c r="B30179"/>
      <c r="C30179"/>
      <c r="J30179"/>
      <c r="K30179"/>
      <c r="L30179"/>
    </row>
    <row r="30180" spans="2:12" x14ac:dyDescent="0.2">
      <c r="B30180"/>
      <c r="C30180"/>
      <c r="J30180"/>
      <c r="K30180"/>
      <c r="L30180"/>
    </row>
    <row r="30181" spans="2:12" x14ac:dyDescent="0.2">
      <c r="B30181"/>
      <c r="C30181"/>
      <c r="J30181"/>
      <c r="K30181"/>
      <c r="L30181"/>
    </row>
    <row r="30182" spans="2:12" x14ac:dyDescent="0.2">
      <c r="B30182"/>
      <c r="C30182"/>
      <c r="J30182"/>
      <c r="K30182"/>
      <c r="L30182"/>
    </row>
    <row r="30183" spans="2:12" x14ac:dyDescent="0.2">
      <c r="B30183"/>
      <c r="C30183"/>
      <c r="J30183"/>
      <c r="K30183"/>
      <c r="L30183"/>
    </row>
    <row r="30184" spans="2:12" x14ac:dyDescent="0.2">
      <c r="B30184"/>
      <c r="C30184"/>
      <c r="J30184"/>
      <c r="K30184"/>
      <c r="L30184"/>
    </row>
    <row r="30185" spans="2:12" x14ac:dyDescent="0.2">
      <c r="B30185"/>
      <c r="C30185"/>
      <c r="J30185"/>
      <c r="K30185"/>
      <c r="L30185"/>
    </row>
    <row r="30186" spans="2:12" x14ac:dyDescent="0.2">
      <c r="B30186"/>
      <c r="C30186"/>
      <c r="J30186"/>
      <c r="K30186"/>
      <c r="L30186"/>
    </row>
    <row r="30187" spans="2:12" x14ac:dyDescent="0.2">
      <c r="B30187"/>
      <c r="C30187"/>
      <c r="J30187"/>
      <c r="K30187"/>
      <c r="L30187"/>
    </row>
    <row r="30188" spans="2:12" x14ac:dyDescent="0.2">
      <c r="B30188"/>
      <c r="C30188"/>
      <c r="J30188"/>
      <c r="K30188"/>
      <c r="L30188"/>
    </row>
    <row r="30189" spans="2:12" x14ac:dyDescent="0.2">
      <c r="B30189"/>
      <c r="C30189"/>
      <c r="J30189"/>
      <c r="K30189"/>
      <c r="L30189"/>
    </row>
    <row r="30190" spans="2:12" x14ac:dyDescent="0.2">
      <c r="B30190"/>
      <c r="C30190"/>
      <c r="J30190"/>
      <c r="K30190"/>
      <c r="L30190"/>
    </row>
    <row r="30191" spans="2:12" x14ac:dyDescent="0.2">
      <c r="B30191"/>
      <c r="C30191"/>
      <c r="J30191"/>
      <c r="K30191"/>
      <c r="L30191"/>
    </row>
    <row r="30192" spans="2:12" x14ac:dyDescent="0.2">
      <c r="B30192"/>
      <c r="C30192"/>
      <c r="J30192"/>
      <c r="K30192"/>
      <c r="L30192"/>
    </row>
    <row r="30193" spans="2:12" x14ac:dyDescent="0.2">
      <c r="B30193"/>
      <c r="C30193"/>
      <c r="J30193"/>
      <c r="K30193"/>
      <c r="L30193"/>
    </row>
    <row r="30194" spans="2:12" x14ac:dyDescent="0.2">
      <c r="B30194"/>
      <c r="C30194"/>
      <c r="J30194"/>
      <c r="K30194"/>
      <c r="L30194"/>
    </row>
    <row r="30195" spans="2:12" x14ac:dyDescent="0.2">
      <c r="B30195"/>
      <c r="C30195"/>
      <c r="J30195"/>
      <c r="K30195"/>
      <c r="L30195"/>
    </row>
    <row r="30196" spans="2:12" x14ac:dyDescent="0.2">
      <c r="B30196"/>
      <c r="C30196"/>
      <c r="J30196"/>
      <c r="K30196"/>
      <c r="L30196"/>
    </row>
    <row r="30197" spans="2:12" x14ac:dyDescent="0.2">
      <c r="B30197"/>
      <c r="C30197"/>
      <c r="J30197"/>
      <c r="K30197"/>
      <c r="L30197"/>
    </row>
    <row r="30198" spans="2:12" x14ac:dyDescent="0.2">
      <c r="B30198"/>
      <c r="C30198"/>
      <c r="J30198"/>
      <c r="K30198"/>
      <c r="L30198"/>
    </row>
    <row r="30199" spans="2:12" x14ac:dyDescent="0.2">
      <c r="B30199"/>
      <c r="C30199"/>
      <c r="J30199"/>
      <c r="K30199"/>
      <c r="L30199"/>
    </row>
    <row r="30200" spans="2:12" x14ac:dyDescent="0.2">
      <c r="B30200"/>
      <c r="C30200"/>
      <c r="J30200"/>
      <c r="K30200"/>
      <c r="L30200"/>
    </row>
    <row r="30201" spans="2:12" x14ac:dyDescent="0.2">
      <c r="B30201"/>
      <c r="C30201"/>
      <c r="J30201"/>
      <c r="K30201"/>
      <c r="L30201"/>
    </row>
    <row r="30202" spans="2:12" x14ac:dyDescent="0.2">
      <c r="B30202"/>
      <c r="C30202"/>
      <c r="J30202"/>
      <c r="K30202"/>
      <c r="L30202"/>
    </row>
    <row r="30203" spans="2:12" x14ac:dyDescent="0.2">
      <c r="B30203"/>
      <c r="C30203"/>
      <c r="J30203"/>
      <c r="K30203"/>
      <c r="L30203"/>
    </row>
    <row r="30204" spans="2:12" x14ac:dyDescent="0.2">
      <c r="B30204"/>
      <c r="C30204"/>
      <c r="J30204"/>
      <c r="K30204"/>
      <c r="L30204"/>
    </row>
    <row r="30205" spans="2:12" x14ac:dyDescent="0.2">
      <c r="B30205"/>
      <c r="C30205"/>
      <c r="J30205"/>
      <c r="K30205"/>
      <c r="L30205"/>
    </row>
    <row r="30206" spans="2:12" x14ac:dyDescent="0.2">
      <c r="B30206"/>
      <c r="C30206"/>
      <c r="J30206"/>
      <c r="K30206"/>
      <c r="L30206"/>
    </row>
    <row r="30207" spans="2:12" x14ac:dyDescent="0.2">
      <c r="B30207"/>
      <c r="C30207"/>
      <c r="J30207"/>
      <c r="K30207"/>
      <c r="L30207"/>
    </row>
    <row r="30208" spans="2:12" x14ac:dyDescent="0.2">
      <c r="B30208"/>
      <c r="C30208"/>
      <c r="J30208"/>
      <c r="K30208"/>
      <c r="L30208"/>
    </row>
    <row r="30209" spans="2:12" x14ac:dyDescent="0.2">
      <c r="B30209"/>
      <c r="C30209"/>
      <c r="J30209"/>
      <c r="K30209"/>
      <c r="L30209"/>
    </row>
    <row r="30210" spans="2:12" x14ac:dyDescent="0.2">
      <c r="B30210"/>
      <c r="C30210"/>
      <c r="J30210"/>
      <c r="K30210"/>
      <c r="L30210"/>
    </row>
    <row r="30211" spans="2:12" x14ac:dyDescent="0.2">
      <c r="B30211"/>
      <c r="C30211"/>
      <c r="J30211"/>
      <c r="K30211"/>
      <c r="L30211"/>
    </row>
    <row r="30212" spans="2:12" x14ac:dyDescent="0.2">
      <c r="B30212"/>
      <c r="C30212"/>
      <c r="J30212"/>
      <c r="K30212"/>
      <c r="L30212"/>
    </row>
    <row r="30213" spans="2:12" x14ac:dyDescent="0.2">
      <c r="B30213"/>
      <c r="C30213"/>
      <c r="J30213"/>
      <c r="K30213"/>
      <c r="L30213"/>
    </row>
    <row r="30214" spans="2:12" x14ac:dyDescent="0.2">
      <c r="B30214"/>
      <c r="C30214"/>
      <c r="J30214"/>
      <c r="K30214"/>
      <c r="L30214"/>
    </row>
    <row r="30215" spans="2:12" x14ac:dyDescent="0.2">
      <c r="B30215"/>
      <c r="C30215"/>
      <c r="J30215"/>
      <c r="K30215"/>
      <c r="L30215"/>
    </row>
    <row r="30216" spans="2:12" x14ac:dyDescent="0.2">
      <c r="B30216"/>
      <c r="C30216"/>
      <c r="J30216"/>
      <c r="K30216"/>
      <c r="L30216"/>
    </row>
    <row r="30217" spans="2:12" x14ac:dyDescent="0.2">
      <c r="B30217"/>
      <c r="C30217"/>
      <c r="J30217"/>
      <c r="K30217"/>
      <c r="L30217"/>
    </row>
    <row r="30218" spans="2:12" x14ac:dyDescent="0.2">
      <c r="B30218"/>
      <c r="C30218"/>
      <c r="J30218"/>
      <c r="K30218"/>
      <c r="L30218"/>
    </row>
    <row r="30219" spans="2:12" x14ac:dyDescent="0.2">
      <c r="B30219"/>
      <c r="C30219"/>
      <c r="J30219"/>
      <c r="K30219"/>
      <c r="L30219"/>
    </row>
    <row r="30220" spans="2:12" x14ac:dyDescent="0.2">
      <c r="B30220"/>
      <c r="C30220"/>
      <c r="J30220"/>
      <c r="K30220"/>
      <c r="L30220"/>
    </row>
    <row r="30221" spans="2:12" x14ac:dyDescent="0.2">
      <c r="B30221"/>
      <c r="C30221"/>
      <c r="J30221"/>
      <c r="K30221"/>
      <c r="L30221"/>
    </row>
    <row r="30222" spans="2:12" x14ac:dyDescent="0.2">
      <c r="B30222"/>
      <c r="C30222"/>
      <c r="J30222"/>
      <c r="K30222"/>
      <c r="L30222"/>
    </row>
    <row r="30223" spans="2:12" x14ac:dyDescent="0.2">
      <c r="B30223"/>
      <c r="C30223"/>
      <c r="J30223"/>
      <c r="K30223"/>
      <c r="L30223"/>
    </row>
    <row r="30224" spans="2:12" x14ac:dyDescent="0.2">
      <c r="B30224"/>
      <c r="C30224"/>
      <c r="J30224"/>
      <c r="K30224"/>
      <c r="L30224"/>
    </row>
    <row r="30225" spans="2:12" x14ac:dyDescent="0.2">
      <c r="B30225"/>
      <c r="C30225"/>
      <c r="J30225"/>
      <c r="K30225"/>
      <c r="L30225"/>
    </row>
    <row r="30226" spans="2:12" x14ac:dyDescent="0.2">
      <c r="B30226"/>
      <c r="C30226"/>
      <c r="J30226"/>
      <c r="K30226"/>
      <c r="L30226"/>
    </row>
    <row r="30227" spans="2:12" x14ac:dyDescent="0.2">
      <c r="B30227"/>
      <c r="C30227"/>
      <c r="J30227"/>
      <c r="K30227"/>
      <c r="L30227"/>
    </row>
    <row r="30228" spans="2:12" x14ac:dyDescent="0.2">
      <c r="B30228"/>
      <c r="C30228"/>
      <c r="J30228"/>
      <c r="K30228"/>
      <c r="L30228"/>
    </row>
    <row r="30229" spans="2:12" x14ac:dyDescent="0.2">
      <c r="B30229"/>
      <c r="C30229"/>
      <c r="J30229"/>
      <c r="K30229"/>
      <c r="L30229"/>
    </row>
    <row r="30230" spans="2:12" x14ac:dyDescent="0.2">
      <c r="B30230"/>
      <c r="C30230"/>
      <c r="J30230"/>
      <c r="K30230"/>
      <c r="L30230"/>
    </row>
    <row r="30231" spans="2:12" x14ac:dyDescent="0.2">
      <c r="B30231"/>
      <c r="C30231"/>
      <c r="J30231"/>
      <c r="K30231"/>
      <c r="L30231"/>
    </row>
    <row r="30232" spans="2:12" x14ac:dyDescent="0.2">
      <c r="B30232"/>
      <c r="C30232"/>
      <c r="J30232"/>
      <c r="K30232"/>
      <c r="L30232"/>
    </row>
    <row r="30233" spans="2:12" x14ac:dyDescent="0.2">
      <c r="B30233"/>
      <c r="C30233"/>
      <c r="J30233"/>
      <c r="K30233"/>
      <c r="L30233"/>
    </row>
    <row r="30234" spans="2:12" x14ac:dyDescent="0.2">
      <c r="B30234"/>
      <c r="C30234"/>
      <c r="J30234"/>
      <c r="K30234"/>
      <c r="L30234"/>
    </row>
    <row r="30235" spans="2:12" x14ac:dyDescent="0.2">
      <c r="B30235"/>
      <c r="C30235"/>
      <c r="J30235"/>
      <c r="K30235"/>
      <c r="L30235"/>
    </row>
    <row r="30236" spans="2:12" x14ac:dyDescent="0.2">
      <c r="B30236"/>
      <c r="C30236"/>
      <c r="J30236"/>
      <c r="K30236"/>
      <c r="L30236"/>
    </row>
    <row r="30237" spans="2:12" x14ac:dyDescent="0.2">
      <c r="B30237"/>
      <c r="C30237"/>
      <c r="J30237"/>
      <c r="K30237"/>
      <c r="L30237"/>
    </row>
    <row r="30238" spans="2:12" x14ac:dyDescent="0.2">
      <c r="B30238"/>
      <c r="C30238"/>
      <c r="J30238"/>
      <c r="K30238"/>
      <c r="L30238"/>
    </row>
    <row r="30239" spans="2:12" x14ac:dyDescent="0.2">
      <c r="B30239"/>
      <c r="C30239"/>
      <c r="J30239"/>
      <c r="K30239"/>
      <c r="L30239"/>
    </row>
    <row r="30240" spans="2:12" x14ac:dyDescent="0.2">
      <c r="B30240"/>
      <c r="C30240"/>
      <c r="J30240"/>
      <c r="K30240"/>
      <c r="L30240"/>
    </row>
    <row r="30241" spans="2:12" x14ac:dyDescent="0.2">
      <c r="B30241"/>
      <c r="C30241"/>
      <c r="J30241"/>
      <c r="K30241"/>
      <c r="L30241"/>
    </row>
    <row r="30242" spans="2:12" x14ac:dyDescent="0.2">
      <c r="B30242"/>
      <c r="C30242"/>
      <c r="J30242"/>
      <c r="K30242"/>
      <c r="L30242"/>
    </row>
    <row r="30243" spans="2:12" x14ac:dyDescent="0.2">
      <c r="B30243"/>
      <c r="C30243"/>
      <c r="J30243"/>
      <c r="K30243"/>
      <c r="L30243"/>
    </row>
    <row r="30244" spans="2:12" x14ac:dyDescent="0.2">
      <c r="B30244"/>
      <c r="C30244"/>
      <c r="J30244"/>
      <c r="K30244"/>
      <c r="L30244"/>
    </row>
    <row r="30245" spans="2:12" x14ac:dyDescent="0.2">
      <c r="B30245"/>
      <c r="C30245"/>
      <c r="J30245"/>
      <c r="K30245"/>
      <c r="L30245"/>
    </row>
    <row r="30246" spans="2:12" x14ac:dyDescent="0.2">
      <c r="B30246"/>
      <c r="C30246"/>
      <c r="J30246"/>
      <c r="K30246"/>
      <c r="L30246"/>
    </row>
    <row r="30247" spans="2:12" x14ac:dyDescent="0.2">
      <c r="B30247"/>
      <c r="C30247"/>
      <c r="J30247"/>
      <c r="K30247"/>
      <c r="L30247"/>
    </row>
    <row r="30248" spans="2:12" x14ac:dyDescent="0.2">
      <c r="B30248"/>
      <c r="C30248"/>
      <c r="J30248"/>
      <c r="K30248"/>
      <c r="L30248"/>
    </row>
    <row r="30249" spans="2:12" x14ac:dyDescent="0.2">
      <c r="B30249"/>
      <c r="C30249"/>
      <c r="J30249"/>
      <c r="K30249"/>
      <c r="L30249"/>
    </row>
    <row r="30250" spans="2:12" x14ac:dyDescent="0.2">
      <c r="B30250"/>
      <c r="C30250"/>
      <c r="J30250"/>
      <c r="K30250"/>
      <c r="L30250"/>
    </row>
    <row r="30251" spans="2:12" x14ac:dyDescent="0.2">
      <c r="B30251"/>
      <c r="C30251"/>
      <c r="J30251"/>
      <c r="K30251"/>
      <c r="L30251"/>
    </row>
    <row r="30252" spans="2:12" x14ac:dyDescent="0.2">
      <c r="B30252"/>
      <c r="C30252"/>
      <c r="J30252"/>
      <c r="K30252"/>
      <c r="L30252"/>
    </row>
    <row r="30253" spans="2:12" x14ac:dyDescent="0.2">
      <c r="B30253"/>
      <c r="C30253"/>
      <c r="J30253"/>
      <c r="K30253"/>
      <c r="L30253"/>
    </row>
    <row r="30254" spans="2:12" x14ac:dyDescent="0.2">
      <c r="B30254"/>
      <c r="C30254"/>
      <c r="J30254"/>
      <c r="K30254"/>
      <c r="L30254"/>
    </row>
    <row r="30255" spans="2:12" x14ac:dyDescent="0.2">
      <c r="B30255"/>
      <c r="C30255"/>
      <c r="J30255"/>
      <c r="K30255"/>
      <c r="L30255"/>
    </row>
    <row r="30256" spans="2:12" x14ac:dyDescent="0.2">
      <c r="B30256"/>
      <c r="C30256"/>
      <c r="J30256"/>
      <c r="K30256"/>
      <c r="L30256"/>
    </row>
    <row r="30257" spans="2:12" x14ac:dyDescent="0.2">
      <c r="B30257"/>
      <c r="C30257"/>
      <c r="J30257"/>
      <c r="K30257"/>
      <c r="L30257"/>
    </row>
    <row r="30258" spans="2:12" x14ac:dyDescent="0.2">
      <c r="B30258"/>
      <c r="C30258"/>
      <c r="J30258"/>
      <c r="K30258"/>
      <c r="L30258"/>
    </row>
    <row r="30259" spans="2:12" x14ac:dyDescent="0.2">
      <c r="B30259"/>
      <c r="C30259"/>
      <c r="J30259"/>
      <c r="K30259"/>
      <c r="L30259"/>
    </row>
    <row r="30260" spans="2:12" x14ac:dyDescent="0.2">
      <c r="B30260"/>
      <c r="C30260"/>
      <c r="J30260"/>
      <c r="K30260"/>
      <c r="L30260"/>
    </row>
    <row r="30261" spans="2:12" x14ac:dyDescent="0.2">
      <c r="B30261"/>
      <c r="C30261"/>
      <c r="J30261"/>
      <c r="K30261"/>
      <c r="L30261"/>
    </row>
    <row r="30262" spans="2:12" x14ac:dyDescent="0.2">
      <c r="B30262"/>
      <c r="C30262"/>
      <c r="J30262"/>
      <c r="K30262"/>
      <c r="L30262"/>
    </row>
    <row r="30263" spans="2:12" x14ac:dyDescent="0.2">
      <c r="B30263"/>
      <c r="C30263"/>
      <c r="J30263"/>
      <c r="K30263"/>
      <c r="L30263"/>
    </row>
    <row r="30264" spans="2:12" x14ac:dyDescent="0.2">
      <c r="B30264"/>
      <c r="C30264"/>
      <c r="J30264"/>
      <c r="K30264"/>
      <c r="L30264"/>
    </row>
    <row r="30265" spans="2:12" x14ac:dyDescent="0.2">
      <c r="B30265"/>
      <c r="C30265"/>
      <c r="J30265"/>
      <c r="K30265"/>
      <c r="L30265"/>
    </row>
    <row r="30266" spans="2:12" x14ac:dyDescent="0.2">
      <c r="B30266"/>
      <c r="C30266"/>
      <c r="J30266"/>
      <c r="K30266"/>
      <c r="L30266"/>
    </row>
    <row r="30267" spans="2:12" x14ac:dyDescent="0.2">
      <c r="B30267"/>
      <c r="C30267"/>
      <c r="J30267"/>
      <c r="K30267"/>
      <c r="L30267"/>
    </row>
    <row r="30268" spans="2:12" x14ac:dyDescent="0.2">
      <c r="B30268"/>
      <c r="C30268"/>
      <c r="J30268"/>
      <c r="K30268"/>
      <c r="L30268"/>
    </row>
    <row r="30269" spans="2:12" x14ac:dyDescent="0.2">
      <c r="B30269"/>
      <c r="C30269"/>
      <c r="J30269"/>
      <c r="K30269"/>
      <c r="L30269"/>
    </row>
    <row r="30270" spans="2:12" x14ac:dyDescent="0.2">
      <c r="B30270"/>
      <c r="C30270"/>
      <c r="J30270"/>
      <c r="K30270"/>
      <c r="L30270"/>
    </row>
    <row r="30271" spans="2:12" x14ac:dyDescent="0.2">
      <c r="B30271"/>
      <c r="C30271"/>
      <c r="J30271"/>
      <c r="K30271"/>
      <c r="L30271"/>
    </row>
    <row r="30272" spans="2:12" x14ac:dyDescent="0.2">
      <c r="B30272"/>
      <c r="C30272"/>
      <c r="J30272"/>
      <c r="K30272"/>
      <c r="L30272"/>
    </row>
    <row r="30273" spans="2:12" x14ac:dyDescent="0.2">
      <c r="B30273"/>
      <c r="C30273"/>
      <c r="J30273"/>
      <c r="K30273"/>
      <c r="L30273"/>
    </row>
    <row r="30274" spans="2:12" x14ac:dyDescent="0.2">
      <c r="B30274"/>
      <c r="C30274"/>
      <c r="J30274"/>
      <c r="K30274"/>
      <c r="L30274"/>
    </row>
    <row r="30275" spans="2:12" x14ac:dyDescent="0.2">
      <c r="B30275"/>
      <c r="C30275"/>
      <c r="J30275"/>
      <c r="K30275"/>
      <c r="L30275"/>
    </row>
    <row r="30276" spans="2:12" x14ac:dyDescent="0.2">
      <c r="B30276"/>
      <c r="C30276"/>
      <c r="J30276"/>
      <c r="K30276"/>
      <c r="L30276"/>
    </row>
    <row r="30277" spans="2:12" x14ac:dyDescent="0.2">
      <c r="B30277"/>
      <c r="C30277"/>
      <c r="J30277"/>
      <c r="K30277"/>
      <c r="L30277"/>
    </row>
    <row r="30278" spans="2:12" x14ac:dyDescent="0.2">
      <c r="B30278"/>
      <c r="C30278"/>
      <c r="J30278"/>
      <c r="K30278"/>
      <c r="L30278"/>
    </row>
    <row r="30279" spans="2:12" x14ac:dyDescent="0.2">
      <c r="B30279"/>
      <c r="C30279"/>
      <c r="J30279"/>
      <c r="K30279"/>
      <c r="L30279"/>
    </row>
    <row r="30280" spans="2:12" x14ac:dyDescent="0.2">
      <c r="B30280"/>
      <c r="C30280"/>
      <c r="J30280"/>
      <c r="K30280"/>
      <c r="L30280"/>
    </row>
    <row r="30281" spans="2:12" x14ac:dyDescent="0.2">
      <c r="B30281"/>
      <c r="C30281"/>
      <c r="J30281"/>
      <c r="K30281"/>
      <c r="L30281"/>
    </row>
    <row r="30282" spans="2:12" x14ac:dyDescent="0.2">
      <c r="B30282"/>
      <c r="C30282"/>
      <c r="J30282"/>
      <c r="K30282"/>
      <c r="L30282"/>
    </row>
    <row r="30283" spans="2:12" x14ac:dyDescent="0.2">
      <c r="B30283"/>
      <c r="C30283"/>
      <c r="J30283"/>
      <c r="K30283"/>
      <c r="L30283"/>
    </row>
    <row r="30284" spans="2:12" x14ac:dyDescent="0.2">
      <c r="B30284"/>
      <c r="C30284"/>
      <c r="J30284"/>
      <c r="K30284"/>
      <c r="L30284"/>
    </row>
    <row r="30285" spans="2:12" x14ac:dyDescent="0.2">
      <c r="B30285"/>
      <c r="C30285"/>
      <c r="J30285"/>
      <c r="K30285"/>
      <c r="L30285"/>
    </row>
    <row r="30286" spans="2:12" x14ac:dyDescent="0.2">
      <c r="B30286"/>
      <c r="C30286"/>
      <c r="J30286"/>
      <c r="K30286"/>
      <c r="L30286"/>
    </row>
    <row r="30287" spans="2:12" x14ac:dyDescent="0.2">
      <c r="B30287"/>
      <c r="C30287"/>
      <c r="J30287"/>
      <c r="K30287"/>
      <c r="L30287"/>
    </row>
    <row r="30288" spans="2:12" x14ac:dyDescent="0.2">
      <c r="B30288"/>
      <c r="C30288"/>
      <c r="J30288"/>
      <c r="K30288"/>
      <c r="L30288"/>
    </row>
    <row r="30289" spans="2:12" x14ac:dyDescent="0.2">
      <c r="B30289"/>
      <c r="C30289"/>
      <c r="J30289"/>
      <c r="K30289"/>
      <c r="L30289"/>
    </row>
    <row r="30290" spans="2:12" x14ac:dyDescent="0.2">
      <c r="B30290"/>
      <c r="C30290"/>
      <c r="J30290"/>
      <c r="K30290"/>
      <c r="L30290"/>
    </row>
    <row r="30291" spans="2:12" x14ac:dyDescent="0.2">
      <c r="B30291"/>
      <c r="C30291"/>
      <c r="J30291"/>
      <c r="K30291"/>
      <c r="L30291"/>
    </row>
    <row r="30292" spans="2:12" x14ac:dyDescent="0.2">
      <c r="B30292"/>
      <c r="C30292"/>
      <c r="J30292"/>
      <c r="K30292"/>
      <c r="L30292"/>
    </row>
    <row r="30293" spans="2:12" x14ac:dyDescent="0.2">
      <c r="B30293"/>
      <c r="C30293"/>
      <c r="J30293"/>
      <c r="K30293"/>
      <c r="L30293"/>
    </row>
    <row r="30294" spans="2:12" x14ac:dyDescent="0.2">
      <c r="B30294"/>
      <c r="C30294"/>
      <c r="J30294"/>
      <c r="K30294"/>
      <c r="L30294"/>
    </row>
    <row r="30295" spans="2:12" x14ac:dyDescent="0.2">
      <c r="B30295"/>
      <c r="C30295"/>
      <c r="J30295"/>
      <c r="K30295"/>
      <c r="L30295"/>
    </row>
    <row r="30296" spans="2:12" x14ac:dyDescent="0.2">
      <c r="B30296"/>
      <c r="C30296"/>
      <c r="J30296"/>
      <c r="K30296"/>
      <c r="L30296"/>
    </row>
    <row r="30297" spans="2:12" x14ac:dyDescent="0.2">
      <c r="B30297"/>
      <c r="C30297"/>
      <c r="J30297"/>
      <c r="K30297"/>
      <c r="L30297"/>
    </row>
    <row r="30298" spans="2:12" x14ac:dyDescent="0.2">
      <c r="B30298"/>
      <c r="C30298"/>
      <c r="J30298"/>
      <c r="K30298"/>
      <c r="L30298"/>
    </row>
    <row r="30299" spans="2:12" x14ac:dyDescent="0.2">
      <c r="B30299"/>
      <c r="C30299"/>
      <c r="J30299"/>
      <c r="K30299"/>
      <c r="L30299"/>
    </row>
    <row r="30300" spans="2:12" x14ac:dyDescent="0.2">
      <c r="B30300"/>
      <c r="C30300"/>
      <c r="J30300"/>
      <c r="K30300"/>
      <c r="L30300"/>
    </row>
    <row r="30301" spans="2:12" x14ac:dyDescent="0.2">
      <c r="B30301"/>
      <c r="C30301"/>
      <c r="J30301"/>
      <c r="K30301"/>
      <c r="L30301"/>
    </row>
    <row r="30302" spans="2:12" x14ac:dyDescent="0.2">
      <c r="B30302"/>
      <c r="C30302"/>
      <c r="J30302"/>
      <c r="K30302"/>
      <c r="L30302"/>
    </row>
    <row r="30303" spans="2:12" x14ac:dyDescent="0.2">
      <c r="B30303"/>
      <c r="C30303"/>
      <c r="J30303"/>
      <c r="K30303"/>
      <c r="L30303"/>
    </row>
    <row r="30304" spans="2:12" x14ac:dyDescent="0.2">
      <c r="B30304"/>
      <c r="C30304"/>
      <c r="J30304"/>
      <c r="K30304"/>
      <c r="L30304"/>
    </row>
    <row r="30305" spans="2:12" x14ac:dyDescent="0.2">
      <c r="B30305"/>
      <c r="C30305"/>
      <c r="J30305"/>
      <c r="K30305"/>
      <c r="L30305"/>
    </row>
    <row r="30306" spans="2:12" x14ac:dyDescent="0.2">
      <c r="B30306"/>
      <c r="C30306"/>
      <c r="J30306"/>
      <c r="K30306"/>
      <c r="L30306"/>
    </row>
    <row r="30307" spans="2:12" x14ac:dyDescent="0.2">
      <c r="B30307"/>
      <c r="C30307"/>
      <c r="J30307"/>
      <c r="K30307"/>
      <c r="L30307"/>
    </row>
    <row r="30308" spans="2:12" x14ac:dyDescent="0.2">
      <c r="B30308"/>
      <c r="C30308"/>
      <c r="J30308"/>
      <c r="K30308"/>
      <c r="L30308"/>
    </row>
    <row r="30309" spans="2:12" x14ac:dyDescent="0.2">
      <c r="B30309"/>
      <c r="C30309"/>
      <c r="J30309"/>
      <c r="K30309"/>
      <c r="L30309"/>
    </row>
    <row r="30310" spans="2:12" x14ac:dyDescent="0.2">
      <c r="B30310"/>
      <c r="C30310"/>
      <c r="J30310"/>
      <c r="K30310"/>
      <c r="L30310"/>
    </row>
    <row r="30311" spans="2:12" x14ac:dyDescent="0.2">
      <c r="B30311"/>
      <c r="C30311"/>
      <c r="J30311"/>
      <c r="K30311"/>
      <c r="L30311"/>
    </row>
    <row r="30312" spans="2:12" x14ac:dyDescent="0.2">
      <c r="B30312"/>
      <c r="C30312"/>
      <c r="J30312"/>
      <c r="K30312"/>
      <c r="L30312"/>
    </row>
    <row r="30313" spans="2:12" x14ac:dyDescent="0.2">
      <c r="B30313"/>
      <c r="C30313"/>
      <c r="J30313"/>
      <c r="K30313"/>
      <c r="L30313"/>
    </row>
    <row r="30314" spans="2:12" x14ac:dyDescent="0.2">
      <c r="B30314"/>
      <c r="C30314"/>
      <c r="J30314"/>
      <c r="K30314"/>
      <c r="L30314"/>
    </row>
    <row r="30315" spans="2:12" x14ac:dyDescent="0.2">
      <c r="B30315"/>
      <c r="C30315"/>
      <c r="J30315"/>
      <c r="K30315"/>
      <c r="L30315"/>
    </row>
    <row r="30316" spans="2:12" x14ac:dyDescent="0.2">
      <c r="B30316"/>
      <c r="C30316"/>
      <c r="J30316"/>
      <c r="K30316"/>
      <c r="L30316"/>
    </row>
    <row r="30317" spans="2:12" x14ac:dyDescent="0.2">
      <c r="B30317"/>
      <c r="C30317"/>
      <c r="J30317"/>
      <c r="K30317"/>
      <c r="L30317"/>
    </row>
    <row r="30318" spans="2:12" x14ac:dyDescent="0.2">
      <c r="B30318"/>
      <c r="C30318"/>
      <c r="J30318"/>
      <c r="K30318"/>
      <c r="L30318"/>
    </row>
    <row r="30319" spans="2:12" x14ac:dyDescent="0.2">
      <c r="B30319"/>
      <c r="C30319"/>
      <c r="J30319"/>
      <c r="K30319"/>
      <c r="L30319"/>
    </row>
    <row r="30320" spans="2:12" x14ac:dyDescent="0.2">
      <c r="B30320"/>
      <c r="C30320"/>
      <c r="J30320"/>
      <c r="K30320"/>
      <c r="L30320"/>
    </row>
    <row r="30321" spans="2:12" x14ac:dyDescent="0.2">
      <c r="B30321"/>
      <c r="C30321"/>
      <c r="J30321"/>
      <c r="K30321"/>
      <c r="L30321"/>
    </row>
    <row r="30322" spans="2:12" x14ac:dyDescent="0.2">
      <c r="B30322"/>
      <c r="C30322"/>
      <c r="J30322"/>
      <c r="K30322"/>
      <c r="L30322"/>
    </row>
    <row r="30323" spans="2:12" x14ac:dyDescent="0.2">
      <c r="B30323"/>
      <c r="C30323"/>
      <c r="J30323"/>
      <c r="K30323"/>
      <c r="L30323"/>
    </row>
    <row r="30324" spans="2:12" x14ac:dyDescent="0.2">
      <c r="B30324"/>
      <c r="C30324"/>
      <c r="J30324"/>
      <c r="K30324"/>
      <c r="L30324"/>
    </row>
    <row r="30325" spans="2:12" x14ac:dyDescent="0.2">
      <c r="B30325"/>
      <c r="C30325"/>
      <c r="J30325"/>
      <c r="K30325"/>
      <c r="L30325"/>
    </row>
    <row r="30326" spans="2:12" x14ac:dyDescent="0.2">
      <c r="B30326"/>
      <c r="C30326"/>
      <c r="J30326"/>
      <c r="K30326"/>
      <c r="L30326"/>
    </row>
    <row r="30327" spans="2:12" x14ac:dyDescent="0.2">
      <c r="B30327"/>
      <c r="C30327"/>
      <c r="J30327"/>
      <c r="K30327"/>
      <c r="L30327"/>
    </row>
    <row r="30328" spans="2:12" x14ac:dyDescent="0.2">
      <c r="B30328"/>
      <c r="C30328"/>
      <c r="J30328"/>
      <c r="K30328"/>
      <c r="L30328"/>
    </row>
    <row r="30329" spans="2:12" x14ac:dyDescent="0.2">
      <c r="B30329"/>
      <c r="C30329"/>
      <c r="J30329"/>
      <c r="K30329"/>
      <c r="L30329"/>
    </row>
    <row r="30330" spans="2:12" x14ac:dyDescent="0.2">
      <c r="B30330"/>
      <c r="C30330"/>
      <c r="J30330"/>
      <c r="K30330"/>
      <c r="L30330"/>
    </row>
    <row r="30331" spans="2:12" x14ac:dyDescent="0.2">
      <c r="B30331"/>
      <c r="C30331"/>
      <c r="J30331"/>
      <c r="K30331"/>
      <c r="L30331"/>
    </row>
    <row r="30332" spans="2:12" x14ac:dyDescent="0.2">
      <c r="B30332"/>
      <c r="C30332"/>
      <c r="J30332"/>
      <c r="K30332"/>
      <c r="L30332"/>
    </row>
    <row r="30333" spans="2:12" x14ac:dyDescent="0.2">
      <c r="B30333"/>
      <c r="C30333"/>
      <c r="J30333"/>
      <c r="K30333"/>
      <c r="L30333"/>
    </row>
    <row r="30334" spans="2:12" x14ac:dyDescent="0.2">
      <c r="B30334"/>
      <c r="C30334"/>
      <c r="J30334"/>
      <c r="K30334"/>
      <c r="L30334"/>
    </row>
    <row r="30335" spans="2:12" x14ac:dyDescent="0.2">
      <c r="B30335"/>
      <c r="C30335"/>
      <c r="J30335"/>
      <c r="K30335"/>
      <c r="L30335"/>
    </row>
    <row r="30336" spans="2:12" x14ac:dyDescent="0.2">
      <c r="B30336"/>
      <c r="C30336"/>
      <c r="J30336"/>
      <c r="K30336"/>
      <c r="L30336"/>
    </row>
    <row r="30337" spans="2:12" x14ac:dyDescent="0.2">
      <c r="B30337"/>
      <c r="C30337"/>
      <c r="J30337"/>
      <c r="K30337"/>
      <c r="L30337"/>
    </row>
    <row r="30338" spans="2:12" x14ac:dyDescent="0.2">
      <c r="B30338"/>
      <c r="C30338"/>
      <c r="J30338"/>
      <c r="K30338"/>
      <c r="L30338"/>
    </row>
    <row r="30339" spans="2:12" x14ac:dyDescent="0.2">
      <c r="B30339"/>
      <c r="C30339"/>
      <c r="J30339"/>
      <c r="K30339"/>
      <c r="L30339"/>
    </row>
    <row r="30340" spans="2:12" x14ac:dyDescent="0.2">
      <c r="B30340"/>
      <c r="C30340"/>
      <c r="J30340"/>
      <c r="K30340"/>
      <c r="L30340"/>
    </row>
    <row r="30341" spans="2:12" x14ac:dyDescent="0.2">
      <c r="B30341"/>
      <c r="C30341"/>
      <c r="J30341"/>
      <c r="K30341"/>
      <c r="L30341"/>
    </row>
    <row r="30342" spans="2:12" x14ac:dyDescent="0.2">
      <c r="B30342"/>
      <c r="C30342"/>
      <c r="J30342"/>
      <c r="K30342"/>
      <c r="L30342"/>
    </row>
    <row r="30343" spans="2:12" x14ac:dyDescent="0.2">
      <c r="B30343"/>
      <c r="C30343"/>
      <c r="J30343"/>
      <c r="K30343"/>
      <c r="L30343"/>
    </row>
    <row r="30344" spans="2:12" x14ac:dyDescent="0.2">
      <c r="B30344"/>
      <c r="C30344"/>
      <c r="J30344"/>
      <c r="K30344"/>
      <c r="L30344"/>
    </row>
    <row r="30345" spans="2:12" x14ac:dyDescent="0.2">
      <c r="B30345"/>
      <c r="C30345"/>
      <c r="J30345"/>
      <c r="K30345"/>
      <c r="L30345"/>
    </row>
    <row r="30346" spans="2:12" x14ac:dyDescent="0.2">
      <c r="B30346"/>
      <c r="C30346"/>
      <c r="J30346"/>
      <c r="K30346"/>
      <c r="L30346"/>
    </row>
    <row r="30347" spans="2:12" x14ac:dyDescent="0.2">
      <c r="B30347"/>
      <c r="C30347"/>
      <c r="J30347"/>
      <c r="K30347"/>
      <c r="L30347"/>
    </row>
    <row r="30348" spans="2:12" x14ac:dyDescent="0.2">
      <c r="B30348"/>
      <c r="C30348"/>
      <c r="J30348"/>
      <c r="K30348"/>
      <c r="L30348"/>
    </row>
    <row r="30349" spans="2:12" x14ac:dyDescent="0.2">
      <c r="B30349"/>
      <c r="C30349"/>
      <c r="J30349"/>
      <c r="K30349"/>
      <c r="L30349"/>
    </row>
    <row r="30350" spans="2:12" x14ac:dyDescent="0.2">
      <c r="B30350"/>
      <c r="C30350"/>
      <c r="J30350"/>
      <c r="K30350"/>
      <c r="L30350"/>
    </row>
    <row r="30351" spans="2:12" x14ac:dyDescent="0.2">
      <c r="B30351"/>
      <c r="C30351"/>
      <c r="J30351"/>
      <c r="K30351"/>
      <c r="L30351"/>
    </row>
    <row r="30352" spans="2:12" x14ac:dyDescent="0.2">
      <c r="B30352"/>
      <c r="C30352"/>
      <c r="J30352"/>
      <c r="K30352"/>
      <c r="L30352"/>
    </row>
    <row r="30353" spans="2:12" x14ac:dyDescent="0.2">
      <c r="B30353"/>
      <c r="C30353"/>
      <c r="J30353"/>
      <c r="K30353"/>
      <c r="L30353"/>
    </row>
    <row r="30354" spans="2:12" x14ac:dyDescent="0.2">
      <c r="B30354"/>
      <c r="C30354"/>
      <c r="J30354"/>
      <c r="K30354"/>
      <c r="L30354"/>
    </row>
    <row r="30355" spans="2:12" x14ac:dyDescent="0.2">
      <c r="B30355"/>
      <c r="C30355"/>
      <c r="J30355"/>
      <c r="K30355"/>
      <c r="L30355"/>
    </row>
    <row r="30356" spans="2:12" x14ac:dyDescent="0.2">
      <c r="B30356"/>
      <c r="C30356"/>
      <c r="J30356"/>
      <c r="K30356"/>
      <c r="L30356"/>
    </row>
    <row r="30357" spans="2:12" x14ac:dyDescent="0.2">
      <c r="B30357"/>
      <c r="C30357"/>
      <c r="J30357"/>
      <c r="K30357"/>
      <c r="L30357"/>
    </row>
    <row r="30358" spans="2:12" x14ac:dyDescent="0.2">
      <c r="B30358"/>
      <c r="C30358"/>
      <c r="J30358"/>
      <c r="K30358"/>
      <c r="L30358"/>
    </row>
    <row r="30359" spans="2:12" x14ac:dyDescent="0.2">
      <c r="B30359"/>
      <c r="C30359"/>
      <c r="J30359"/>
      <c r="K30359"/>
      <c r="L30359"/>
    </row>
    <row r="30360" spans="2:12" x14ac:dyDescent="0.2">
      <c r="B30360"/>
      <c r="C30360"/>
      <c r="J30360"/>
      <c r="K30360"/>
      <c r="L30360"/>
    </row>
    <row r="30361" spans="2:12" x14ac:dyDescent="0.2">
      <c r="B30361"/>
      <c r="C30361"/>
      <c r="J30361"/>
      <c r="K30361"/>
      <c r="L30361"/>
    </row>
    <row r="30362" spans="2:12" x14ac:dyDescent="0.2">
      <c r="B30362"/>
      <c r="C30362"/>
      <c r="J30362"/>
      <c r="K30362"/>
      <c r="L30362"/>
    </row>
    <row r="30363" spans="2:12" x14ac:dyDescent="0.2">
      <c r="B30363"/>
      <c r="C30363"/>
      <c r="J30363"/>
      <c r="K30363"/>
      <c r="L30363"/>
    </row>
    <row r="30364" spans="2:12" x14ac:dyDescent="0.2">
      <c r="B30364"/>
      <c r="C30364"/>
      <c r="J30364"/>
      <c r="K30364"/>
      <c r="L30364"/>
    </row>
    <row r="30365" spans="2:12" x14ac:dyDescent="0.2">
      <c r="B30365"/>
      <c r="C30365"/>
      <c r="J30365"/>
      <c r="K30365"/>
      <c r="L30365"/>
    </row>
    <row r="30366" spans="2:12" x14ac:dyDescent="0.2">
      <c r="B30366"/>
      <c r="C30366"/>
      <c r="J30366"/>
      <c r="K30366"/>
      <c r="L30366"/>
    </row>
    <row r="30367" spans="2:12" x14ac:dyDescent="0.2">
      <c r="B30367"/>
      <c r="C30367"/>
      <c r="J30367"/>
      <c r="K30367"/>
      <c r="L30367"/>
    </row>
    <row r="30368" spans="2:12" x14ac:dyDescent="0.2">
      <c r="B30368"/>
      <c r="C30368"/>
      <c r="J30368"/>
      <c r="K30368"/>
      <c r="L30368"/>
    </row>
    <row r="30369" spans="2:12" x14ac:dyDescent="0.2">
      <c r="B30369"/>
      <c r="C30369"/>
      <c r="J30369"/>
      <c r="K30369"/>
      <c r="L30369"/>
    </row>
    <row r="30370" spans="2:12" x14ac:dyDescent="0.2">
      <c r="B30370"/>
      <c r="C30370"/>
      <c r="J30370"/>
      <c r="K30370"/>
      <c r="L30370"/>
    </row>
    <row r="30371" spans="2:12" x14ac:dyDescent="0.2">
      <c r="B30371"/>
      <c r="C30371"/>
      <c r="J30371"/>
      <c r="K30371"/>
      <c r="L30371"/>
    </row>
    <row r="30372" spans="2:12" x14ac:dyDescent="0.2">
      <c r="B30372"/>
      <c r="C30372"/>
      <c r="J30372"/>
      <c r="K30372"/>
      <c r="L30372"/>
    </row>
    <row r="30373" spans="2:12" x14ac:dyDescent="0.2">
      <c r="B30373"/>
      <c r="C30373"/>
      <c r="J30373"/>
      <c r="K30373"/>
      <c r="L30373"/>
    </row>
    <row r="30374" spans="2:12" x14ac:dyDescent="0.2">
      <c r="B30374"/>
      <c r="C30374"/>
      <c r="J30374"/>
      <c r="K30374"/>
      <c r="L30374"/>
    </row>
    <row r="30375" spans="2:12" x14ac:dyDescent="0.2">
      <c r="B30375"/>
      <c r="C30375"/>
      <c r="J30375"/>
      <c r="K30375"/>
      <c r="L30375"/>
    </row>
    <row r="30376" spans="2:12" x14ac:dyDescent="0.2">
      <c r="B30376"/>
      <c r="C30376"/>
      <c r="J30376"/>
      <c r="K30376"/>
      <c r="L30376"/>
    </row>
    <row r="30377" spans="2:12" x14ac:dyDescent="0.2">
      <c r="B30377"/>
      <c r="C30377"/>
      <c r="J30377"/>
      <c r="K30377"/>
      <c r="L30377"/>
    </row>
    <row r="30378" spans="2:12" x14ac:dyDescent="0.2">
      <c r="B30378"/>
      <c r="C30378"/>
      <c r="J30378"/>
      <c r="K30378"/>
      <c r="L30378"/>
    </row>
    <row r="30379" spans="2:12" x14ac:dyDescent="0.2">
      <c r="B30379"/>
      <c r="C30379"/>
      <c r="J30379"/>
      <c r="K30379"/>
      <c r="L30379"/>
    </row>
    <row r="30380" spans="2:12" x14ac:dyDescent="0.2">
      <c r="B30380"/>
      <c r="C30380"/>
      <c r="J30380"/>
      <c r="K30380"/>
      <c r="L30380"/>
    </row>
    <row r="30381" spans="2:12" x14ac:dyDescent="0.2">
      <c r="B30381"/>
      <c r="C30381"/>
      <c r="J30381"/>
      <c r="K30381"/>
      <c r="L30381"/>
    </row>
    <row r="30382" spans="2:12" x14ac:dyDescent="0.2">
      <c r="B30382"/>
      <c r="C30382"/>
      <c r="J30382"/>
      <c r="K30382"/>
      <c r="L30382"/>
    </row>
    <row r="30383" spans="2:12" x14ac:dyDescent="0.2">
      <c r="B30383"/>
      <c r="C30383"/>
      <c r="J30383"/>
      <c r="K30383"/>
      <c r="L30383"/>
    </row>
    <row r="30384" spans="2:12" x14ac:dyDescent="0.2">
      <c r="B30384"/>
      <c r="C30384"/>
      <c r="J30384"/>
      <c r="K30384"/>
      <c r="L30384"/>
    </row>
    <row r="30385" spans="2:12" x14ac:dyDescent="0.2">
      <c r="B30385"/>
      <c r="C30385"/>
      <c r="J30385"/>
      <c r="K30385"/>
      <c r="L30385"/>
    </row>
    <row r="30386" spans="2:12" x14ac:dyDescent="0.2">
      <c r="B30386"/>
      <c r="C30386"/>
      <c r="J30386"/>
      <c r="K30386"/>
      <c r="L30386"/>
    </row>
    <row r="30387" spans="2:12" x14ac:dyDescent="0.2">
      <c r="B30387"/>
      <c r="C30387"/>
      <c r="J30387"/>
      <c r="K30387"/>
      <c r="L30387"/>
    </row>
    <row r="30388" spans="2:12" x14ac:dyDescent="0.2">
      <c r="B30388"/>
      <c r="C30388"/>
      <c r="J30388"/>
      <c r="K30388"/>
      <c r="L30388"/>
    </row>
    <row r="30389" spans="2:12" x14ac:dyDescent="0.2">
      <c r="B30389"/>
      <c r="C30389"/>
      <c r="J30389"/>
      <c r="K30389"/>
      <c r="L30389"/>
    </row>
    <row r="30390" spans="2:12" x14ac:dyDescent="0.2">
      <c r="B30390"/>
      <c r="C30390"/>
      <c r="J30390"/>
      <c r="K30390"/>
      <c r="L30390"/>
    </row>
    <row r="30391" spans="2:12" x14ac:dyDescent="0.2">
      <c r="B30391"/>
      <c r="C30391"/>
      <c r="J30391"/>
      <c r="K30391"/>
      <c r="L30391"/>
    </row>
    <row r="30392" spans="2:12" x14ac:dyDescent="0.2">
      <c r="B30392"/>
      <c r="C30392"/>
      <c r="J30392"/>
      <c r="K30392"/>
      <c r="L30392"/>
    </row>
    <row r="30393" spans="2:12" x14ac:dyDescent="0.2">
      <c r="B30393"/>
      <c r="C30393"/>
      <c r="J30393"/>
      <c r="K30393"/>
      <c r="L30393"/>
    </row>
    <row r="30394" spans="2:12" x14ac:dyDescent="0.2">
      <c r="B30394"/>
      <c r="C30394"/>
      <c r="J30394"/>
      <c r="K30394"/>
      <c r="L30394"/>
    </row>
    <row r="30395" spans="2:12" x14ac:dyDescent="0.2">
      <c r="B30395"/>
      <c r="C30395"/>
      <c r="J30395"/>
      <c r="K30395"/>
      <c r="L30395"/>
    </row>
    <row r="30396" spans="2:12" x14ac:dyDescent="0.2">
      <c r="B30396"/>
      <c r="C30396"/>
      <c r="J30396"/>
      <c r="K30396"/>
      <c r="L30396"/>
    </row>
    <row r="30397" spans="2:12" x14ac:dyDescent="0.2">
      <c r="B30397"/>
      <c r="C30397"/>
      <c r="J30397"/>
      <c r="K30397"/>
      <c r="L30397"/>
    </row>
    <row r="30398" spans="2:12" x14ac:dyDescent="0.2">
      <c r="B30398"/>
      <c r="C30398"/>
      <c r="J30398"/>
      <c r="K30398"/>
      <c r="L30398"/>
    </row>
    <row r="30399" spans="2:12" x14ac:dyDescent="0.2">
      <c r="B30399"/>
      <c r="C30399"/>
      <c r="J30399"/>
      <c r="K30399"/>
      <c r="L30399"/>
    </row>
    <row r="30400" spans="2:12" x14ac:dyDescent="0.2">
      <c r="B30400"/>
      <c r="C30400"/>
      <c r="J30400"/>
      <c r="K30400"/>
      <c r="L30400"/>
    </row>
    <row r="30401" spans="2:12" x14ac:dyDescent="0.2">
      <c r="B30401"/>
      <c r="C30401"/>
      <c r="J30401"/>
      <c r="K30401"/>
      <c r="L30401"/>
    </row>
    <row r="30402" spans="2:12" x14ac:dyDescent="0.2">
      <c r="B30402"/>
      <c r="C30402"/>
      <c r="J30402"/>
      <c r="K30402"/>
      <c r="L30402"/>
    </row>
    <row r="30403" spans="2:12" x14ac:dyDescent="0.2">
      <c r="B30403"/>
      <c r="C30403"/>
      <c r="J30403"/>
      <c r="K30403"/>
      <c r="L30403"/>
    </row>
    <row r="30404" spans="2:12" x14ac:dyDescent="0.2">
      <c r="B30404"/>
      <c r="C30404"/>
      <c r="J30404"/>
      <c r="K30404"/>
      <c r="L30404"/>
    </row>
    <row r="30405" spans="2:12" x14ac:dyDescent="0.2">
      <c r="B30405"/>
      <c r="C30405"/>
      <c r="J30405"/>
      <c r="K30405"/>
      <c r="L30405"/>
    </row>
    <row r="30406" spans="2:12" x14ac:dyDescent="0.2">
      <c r="B30406"/>
      <c r="C30406"/>
      <c r="J30406"/>
      <c r="K30406"/>
      <c r="L30406"/>
    </row>
    <row r="30407" spans="2:12" x14ac:dyDescent="0.2">
      <c r="B30407"/>
      <c r="C30407"/>
      <c r="J30407"/>
      <c r="K30407"/>
      <c r="L30407"/>
    </row>
    <row r="30408" spans="2:12" x14ac:dyDescent="0.2">
      <c r="B30408"/>
      <c r="C30408"/>
      <c r="J30408"/>
      <c r="K30408"/>
      <c r="L30408"/>
    </row>
    <row r="30409" spans="2:12" x14ac:dyDescent="0.2">
      <c r="B30409"/>
      <c r="C30409"/>
      <c r="J30409"/>
      <c r="K30409"/>
      <c r="L30409"/>
    </row>
    <row r="30410" spans="2:12" x14ac:dyDescent="0.2">
      <c r="B30410"/>
      <c r="C30410"/>
      <c r="J30410"/>
      <c r="K30410"/>
      <c r="L30410"/>
    </row>
    <row r="30411" spans="2:12" x14ac:dyDescent="0.2">
      <c r="B30411"/>
      <c r="C30411"/>
      <c r="J30411"/>
      <c r="K30411"/>
      <c r="L30411"/>
    </row>
    <row r="30412" spans="2:12" x14ac:dyDescent="0.2">
      <c r="B30412"/>
      <c r="C30412"/>
      <c r="J30412"/>
      <c r="K30412"/>
      <c r="L30412"/>
    </row>
    <row r="30413" spans="2:12" x14ac:dyDescent="0.2">
      <c r="B30413"/>
      <c r="C30413"/>
      <c r="J30413"/>
      <c r="K30413"/>
      <c r="L30413"/>
    </row>
    <row r="30414" spans="2:12" x14ac:dyDescent="0.2">
      <c r="B30414"/>
      <c r="C30414"/>
      <c r="J30414"/>
      <c r="K30414"/>
      <c r="L30414"/>
    </row>
    <row r="30415" spans="2:12" x14ac:dyDescent="0.2">
      <c r="B30415"/>
      <c r="C30415"/>
      <c r="J30415"/>
      <c r="K30415"/>
      <c r="L30415"/>
    </row>
    <row r="30416" spans="2:12" x14ac:dyDescent="0.2">
      <c r="B30416"/>
      <c r="C30416"/>
      <c r="J30416"/>
      <c r="K30416"/>
      <c r="L30416"/>
    </row>
    <row r="30417" spans="2:12" x14ac:dyDescent="0.2">
      <c r="B30417"/>
      <c r="C30417"/>
      <c r="J30417"/>
      <c r="K30417"/>
      <c r="L30417"/>
    </row>
    <row r="30418" spans="2:12" x14ac:dyDescent="0.2">
      <c r="B30418"/>
      <c r="C30418"/>
      <c r="J30418"/>
      <c r="K30418"/>
      <c r="L30418"/>
    </row>
    <row r="30419" spans="2:12" x14ac:dyDescent="0.2">
      <c r="B30419"/>
      <c r="C30419"/>
      <c r="J30419"/>
      <c r="K30419"/>
      <c r="L30419"/>
    </row>
    <row r="30420" spans="2:12" x14ac:dyDescent="0.2">
      <c r="B30420"/>
      <c r="C30420"/>
      <c r="J30420"/>
      <c r="K30420"/>
      <c r="L30420"/>
    </row>
    <row r="30421" spans="2:12" x14ac:dyDescent="0.2">
      <c r="B30421"/>
      <c r="C30421"/>
      <c r="J30421"/>
      <c r="K30421"/>
      <c r="L30421"/>
    </row>
    <row r="30422" spans="2:12" x14ac:dyDescent="0.2">
      <c r="B30422"/>
      <c r="C30422"/>
      <c r="J30422"/>
      <c r="K30422"/>
      <c r="L30422"/>
    </row>
    <row r="30423" spans="2:12" x14ac:dyDescent="0.2">
      <c r="B30423"/>
      <c r="C30423"/>
      <c r="J30423"/>
      <c r="K30423"/>
      <c r="L30423"/>
    </row>
    <row r="30424" spans="2:12" x14ac:dyDescent="0.2">
      <c r="B30424"/>
      <c r="C30424"/>
      <c r="J30424"/>
      <c r="K30424"/>
      <c r="L30424"/>
    </row>
    <row r="30425" spans="2:12" x14ac:dyDescent="0.2">
      <c r="B30425"/>
      <c r="C30425"/>
      <c r="J30425"/>
      <c r="K30425"/>
      <c r="L30425"/>
    </row>
    <row r="30426" spans="2:12" x14ac:dyDescent="0.2">
      <c r="B30426"/>
      <c r="C30426"/>
      <c r="J30426"/>
      <c r="K30426"/>
      <c r="L30426"/>
    </row>
    <row r="30427" spans="2:12" x14ac:dyDescent="0.2">
      <c r="B30427"/>
      <c r="C30427"/>
      <c r="J30427"/>
      <c r="K30427"/>
      <c r="L30427"/>
    </row>
    <row r="30428" spans="2:12" x14ac:dyDescent="0.2">
      <c r="B30428"/>
      <c r="C30428"/>
      <c r="J30428"/>
      <c r="K30428"/>
      <c r="L30428"/>
    </row>
    <row r="30429" spans="2:12" x14ac:dyDescent="0.2">
      <c r="B30429"/>
      <c r="C30429"/>
      <c r="J30429"/>
      <c r="K30429"/>
      <c r="L30429"/>
    </row>
    <row r="30430" spans="2:12" x14ac:dyDescent="0.2">
      <c r="B30430"/>
      <c r="C30430"/>
      <c r="J30430"/>
      <c r="K30430"/>
      <c r="L30430"/>
    </row>
    <row r="30431" spans="2:12" x14ac:dyDescent="0.2">
      <c r="B30431"/>
      <c r="C30431"/>
      <c r="J30431"/>
      <c r="K30431"/>
      <c r="L30431"/>
    </row>
    <row r="30432" spans="2:12" x14ac:dyDescent="0.2">
      <c r="B30432"/>
      <c r="C30432"/>
      <c r="J30432"/>
      <c r="K30432"/>
      <c r="L30432"/>
    </row>
    <row r="30433" spans="2:12" x14ac:dyDescent="0.2">
      <c r="B30433"/>
      <c r="C30433"/>
      <c r="J30433"/>
      <c r="K30433"/>
      <c r="L30433"/>
    </row>
    <row r="30434" spans="2:12" x14ac:dyDescent="0.2">
      <c r="B30434"/>
      <c r="C30434"/>
      <c r="J30434"/>
      <c r="K30434"/>
      <c r="L30434"/>
    </row>
    <row r="30435" spans="2:12" x14ac:dyDescent="0.2">
      <c r="B30435"/>
      <c r="C30435"/>
      <c r="J30435"/>
      <c r="K30435"/>
      <c r="L30435"/>
    </row>
    <row r="30436" spans="2:12" x14ac:dyDescent="0.2">
      <c r="B30436"/>
      <c r="C30436"/>
      <c r="J30436"/>
      <c r="K30436"/>
      <c r="L30436"/>
    </row>
    <row r="30437" spans="2:12" x14ac:dyDescent="0.2">
      <c r="B30437"/>
      <c r="C30437"/>
      <c r="J30437"/>
      <c r="K30437"/>
      <c r="L30437"/>
    </row>
    <row r="30438" spans="2:12" x14ac:dyDescent="0.2">
      <c r="B30438"/>
      <c r="C30438"/>
      <c r="J30438"/>
      <c r="K30438"/>
      <c r="L30438"/>
    </row>
    <row r="30439" spans="2:12" x14ac:dyDescent="0.2">
      <c r="B30439"/>
      <c r="C30439"/>
      <c r="J30439"/>
      <c r="K30439"/>
      <c r="L30439"/>
    </row>
    <row r="30440" spans="2:12" x14ac:dyDescent="0.2">
      <c r="B30440"/>
      <c r="C30440"/>
      <c r="J30440"/>
      <c r="K30440"/>
      <c r="L30440"/>
    </row>
    <row r="30441" spans="2:12" x14ac:dyDescent="0.2">
      <c r="B30441"/>
      <c r="C30441"/>
      <c r="J30441"/>
      <c r="K30441"/>
      <c r="L30441"/>
    </row>
    <row r="30442" spans="2:12" x14ac:dyDescent="0.2">
      <c r="B30442"/>
      <c r="C30442"/>
      <c r="J30442"/>
      <c r="K30442"/>
      <c r="L30442"/>
    </row>
    <row r="30443" spans="2:12" x14ac:dyDescent="0.2">
      <c r="B30443"/>
      <c r="C30443"/>
      <c r="J30443"/>
      <c r="K30443"/>
      <c r="L30443"/>
    </row>
    <row r="30444" spans="2:12" x14ac:dyDescent="0.2">
      <c r="B30444"/>
      <c r="C30444"/>
      <c r="J30444"/>
      <c r="K30444"/>
      <c r="L30444"/>
    </row>
    <row r="30445" spans="2:12" x14ac:dyDescent="0.2">
      <c r="B30445"/>
      <c r="C30445"/>
      <c r="J30445"/>
      <c r="K30445"/>
      <c r="L30445"/>
    </row>
    <row r="30446" spans="2:12" x14ac:dyDescent="0.2">
      <c r="B30446"/>
      <c r="C30446"/>
      <c r="J30446"/>
      <c r="K30446"/>
      <c r="L30446"/>
    </row>
    <row r="30447" spans="2:12" x14ac:dyDescent="0.2">
      <c r="B30447"/>
      <c r="C30447"/>
      <c r="J30447"/>
      <c r="K30447"/>
      <c r="L30447"/>
    </row>
    <row r="30448" spans="2:12" x14ac:dyDescent="0.2">
      <c r="B30448"/>
      <c r="C30448"/>
      <c r="J30448"/>
      <c r="K30448"/>
      <c r="L30448"/>
    </row>
    <row r="30449" spans="2:12" x14ac:dyDescent="0.2">
      <c r="B30449"/>
      <c r="C30449"/>
      <c r="J30449"/>
      <c r="K30449"/>
      <c r="L30449"/>
    </row>
    <row r="30450" spans="2:12" x14ac:dyDescent="0.2">
      <c r="B30450"/>
      <c r="C30450"/>
      <c r="J30450"/>
      <c r="K30450"/>
      <c r="L30450"/>
    </row>
    <row r="30451" spans="2:12" x14ac:dyDescent="0.2">
      <c r="B30451"/>
      <c r="C30451"/>
      <c r="J30451"/>
      <c r="K30451"/>
      <c r="L30451"/>
    </row>
    <row r="30452" spans="2:12" x14ac:dyDescent="0.2">
      <c r="B30452"/>
      <c r="C30452"/>
      <c r="J30452"/>
      <c r="K30452"/>
      <c r="L30452"/>
    </row>
    <row r="30453" spans="2:12" x14ac:dyDescent="0.2">
      <c r="B30453"/>
      <c r="C30453"/>
      <c r="J30453"/>
      <c r="K30453"/>
      <c r="L30453"/>
    </row>
    <row r="30454" spans="2:12" x14ac:dyDescent="0.2">
      <c r="B30454"/>
      <c r="C30454"/>
      <c r="J30454"/>
      <c r="K30454"/>
      <c r="L30454"/>
    </row>
    <row r="30455" spans="2:12" x14ac:dyDescent="0.2">
      <c r="B30455"/>
      <c r="C30455"/>
      <c r="J30455"/>
      <c r="K30455"/>
      <c r="L30455"/>
    </row>
    <row r="30456" spans="2:12" x14ac:dyDescent="0.2">
      <c r="B30456"/>
      <c r="C30456"/>
      <c r="J30456"/>
      <c r="K30456"/>
      <c r="L30456"/>
    </row>
    <row r="30457" spans="2:12" x14ac:dyDescent="0.2">
      <c r="B30457"/>
      <c r="C30457"/>
      <c r="J30457"/>
      <c r="K30457"/>
      <c r="L30457"/>
    </row>
    <row r="30458" spans="2:12" x14ac:dyDescent="0.2">
      <c r="B30458"/>
      <c r="C30458"/>
      <c r="J30458"/>
      <c r="K30458"/>
      <c r="L30458"/>
    </row>
    <row r="30459" spans="2:12" x14ac:dyDescent="0.2">
      <c r="B30459"/>
      <c r="C30459"/>
      <c r="J30459"/>
      <c r="K30459"/>
      <c r="L30459"/>
    </row>
    <row r="30460" spans="2:12" x14ac:dyDescent="0.2">
      <c r="B30460"/>
      <c r="C30460"/>
      <c r="J30460"/>
      <c r="K30460"/>
      <c r="L30460"/>
    </row>
    <row r="30461" spans="2:12" x14ac:dyDescent="0.2">
      <c r="B30461"/>
      <c r="C30461"/>
      <c r="J30461"/>
      <c r="K30461"/>
      <c r="L30461"/>
    </row>
    <row r="30462" spans="2:12" x14ac:dyDescent="0.2">
      <c r="B30462"/>
      <c r="C30462"/>
      <c r="J30462"/>
      <c r="K30462"/>
      <c r="L30462"/>
    </row>
    <row r="30463" spans="2:12" x14ac:dyDescent="0.2">
      <c r="B30463"/>
      <c r="C30463"/>
      <c r="J30463"/>
      <c r="K30463"/>
      <c r="L30463"/>
    </row>
    <row r="30464" spans="2:12" x14ac:dyDescent="0.2">
      <c r="B30464"/>
      <c r="C30464"/>
      <c r="J30464"/>
      <c r="K30464"/>
      <c r="L30464"/>
    </row>
    <row r="30465" spans="2:12" x14ac:dyDescent="0.2">
      <c r="B30465"/>
      <c r="C30465"/>
      <c r="J30465"/>
      <c r="K30465"/>
      <c r="L30465"/>
    </row>
    <row r="30466" spans="2:12" x14ac:dyDescent="0.2">
      <c r="B30466"/>
      <c r="C30466"/>
      <c r="J30466"/>
      <c r="K30466"/>
      <c r="L30466"/>
    </row>
    <row r="30467" spans="2:12" x14ac:dyDescent="0.2">
      <c r="B30467"/>
      <c r="C30467"/>
      <c r="J30467"/>
      <c r="K30467"/>
      <c r="L30467"/>
    </row>
    <row r="30468" spans="2:12" x14ac:dyDescent="0.2">
      <c r="B30468"/>
      <c r="C30468"/>
      <c r="J30468"/>
      <c r="K30468"/>
      <c r="L30468"/>
    </row>
    <row r="30469" spans="2:12" x14ac:dyDescent="0.2">
      <c r="B30469"/>
      <c r="C30469"/>
      <c r="J30469"/>
      <c r="K30469"/>
      <c r="L30469"/>
    </row>
    <row r="30470" spans="2:12" x14ac:dyDescent="0.2">
      <c r="B30470"/>
      <c r="C30470"/>
      <c r="J30470"/>
      <c r="K30470"/>
      <c r="L30470"/>
    </row>
    <row r="30471" spans="2:12" x14ac:dyDescent="0.2">
      <c r="B30471"/>
      <c r="C30471"/>
      <c r="J30471"/>
      <c r="K30471"/>
      <c r="L30471"/>
    </row>
    <row r="30472" spans="2:12" x14ac:dyDescent="0.2">
      <c r="B30472"/>
      <c r="C30472"/>
      <c r="J30472"/>
      <c r="K30472"/>
      <c r="L30472"/>
    </row>
    <row r="30473" spans="2:12" x14ac:dyDescent="0.2">
      <c r="B30473"/>
      <c r="C30473"/>
      <c r="J30473"/>
      <c r="K30473"/>
      <c r="L30473"/>
    </row>
    <row r="30474" spans="2:12" x14ac:dyDescent="0.2">
      <c r="B30474"/>
      <c r="C30474"/>
      <c r="J30474"/>
      <c r="K30474"/>
      <c r="L30474"/>
    </row>
    <row r="30475" spans="2:12" x14ac:dyDescent="0.2">
      <c r="B30475"/>
      <c r="C30475"/>
      <c r="J30475"/>
      <c r="K30475"/>
      <c r="L30475"/>
    </row>
    <row r="30476" spans="2:12" x14ac:dyDescent="0.2">
      <c r="B30476"/>
      <c r="C30476"/>
      <c r="J30476"/>
      <c r="K30476"/>
      <c r="L30476"/>
    </row>
    <row r="30477" spans="2:12" x14ac:dyDescent="0.2">
      <c r="B30477"/>
      <c r="C30477"/>
      <c r="J30477"/>
      <c r="K30477"/>
      <c r="L30477"/>
    </row>
    <row r="30478" spans="2:12" x14ac:dyDescent="0.2">
      <c r="B30478"/>
      <c r="C30478"/>
      <c r="J30478"/>
      <c r="K30478"/>
      <c r="L30478"/>
    </row>
    <row r="30479" spans="2:12" x14ac:dyDescent="0.2">
      <c r="B30479"/>
      <c r="C30479"/>
      <c r="J30479"/>
      <c r="K30479"/>
      <c r="L30479"/>
    </row>
    <row r="30480" spans="2:12" x14ac:dyDescent="0.2">
      <c r="B30480"/>
      <c r="C30480"/>
      <c r="J30480"/>
      <c r="K30480"/>
      <c r="L30480"/>
    </row>
    <row r="30481" spans="2:12" x14ac:dyDescent="0.2">
      <c r="B30481"/>
      <c r="C30481"/>
      <c r="J30481"/>
      <c r="K30481"/>
      <c r="L30481"/>
    </row>
    <row r="30482" spans="2:12" x14ac:dyDescent="0.2">
      <c r="B30482"/>
      <c r="C30482"/>
      <c r="J30482"/>
      <c r="K30482"/>
      <c r="L30482"/>
    </row>
    <row r="30483" spans="2:12" x14ac:dyDescent="0.2">
      <c r="B30483"/>
      <c r="C30483"/>
      <c r="J30483"/>
      <c r="K30483"/>
      <c r="L30483"/>
    </row>
    <row r="30484" spans="2:12" x14ac:dyDescent="0.2">
      <c r="B30484"/>
      <c r="C30484"/>
      <c r="J30484"/>
      <c r="K30484"/>
      <c r="L30484"/>
    </row>
    <row r="30485" spans="2:12" x14ac:dyDescent="0.2">
      <c r="B30485"/>
      <c r="C30485"/>
      <c r="J30485"/>
      <c r="K30485"/>
      <c r="L30485"/>
    </row>
    <row r="30486" spans="2:12" x14ac:dyDescent="0.2">
      <c r="B30486"/>
      <c r="C30486"/>
      <c r="J30486"/>
      <c r="K30486"/>
      <c r="L30486"/>
    </row>
    <row r="30487" spans="2:12" x14ac:dyDescent="0.2">
      <c r="B30487"/>
      <c r="C30487"/>
      <c r="J30487"/>
      <c r="K30487"/>
      <c r="L30487"/>
    </row>
    <row r="30488" spans="2:12" x14ac:dyDescent="0.2">
      <c r="B30488"/>
      <c r="C30488"/>
      <c r="J30488"/>
      <c r="K30488"/>
      <c r="L30488"/>
    </row>
    <row r="30489" spans="2:12" x14ac:dyDescent="0.2">
      <c r="B30489"/>
      <c r="C30489"/>
      <c r="J30489"/>
      <c r="K30489"/>
      <c r="L30489"/>
    </row>
    <row r="30490" spans="2:12" x14ac:dyDescent="0.2">
      <c r="B30490"/>
      <c r="C30490"/>
      <c r="J30490"/>
      <c r="K30490"/>
      <c r="L30490"/>
    </row>
    <row r="30491" spans="2:12" x14ac:dyDescent="0.2">
      <c r="B30491"/>
      <c r="C30491"/>
      <c r="J30491"/>
      <c r="K30491"/>
      <c r="L30491"/>
    </row>
    <row r="30492" spans="2:12" x14ac:dyDescent="0.2">
      <c r="B30492"/>
      <c r="C30492"/>
      <c r="J30492"/>
      <c r="K30492"/>
      <c r="L30492"/>
    </row>
    <row r="30493" spans="2:12" x14ac:dyDescent="0.2">
      <c r="B30493"/>
      <c r="C30493"/>
      <c r="J30493"/>
      <c r="K30493"/>
      <c r="L30493"/>
    </row>
    <row r="30494" spans="2:12" x14ac:dyDescent="0.2">
      <c r="B30494"/>
      <c r="C30494"/>
      <c r="J30494"/>
      <c r="K30494"/>
      <c r="L30494"/>
    </row>
    <row r="30495" spans="2:12" x14ac:dyDescent="0.2">
      <c r="B30495"/>
      <c r="C30495"/>
      <c r="J30495"/>
      <c r="K30495"/>
      <c r="L30495"/>
    </row>
    <row r="30496" spans="2:12" x14ac:dyDescent="0.2">
      <c r="B30496"/>
      <c r="C30496"/>
      <c r="J30496"/>
      <c r="K30496"/>
      <c r="L30496"/>
    </row>
    <row r="30497" spans="2:12" x14ac:dyDescent="0.2">
      <c r="B30497"/>
      <c r="C30497"/>
      <c r="J30497"/>
      <c r="K30497"/>
      <c r="L30497"/>
    </row>
    <row r="30498" spans="2:12" x14ac:dyDescent="0.2">
      <c r="B30498"/>
      <c r="C30498"/>
      <c r="J30498"/>
      <c r="K30498"/>
      <c r="L30498"/>
    </row>
    <row r="30499" spans="2:12" x14ac:dyDescent="0.2">
      <c r="B30499"/>
      <c r="C30499"/>
      <c r="J30499"/>
      <c r="K30499"/>
      <c r="L30499"/>
    </row>
    <row r="30500" spans="2:12" x14ac:dyDescent="0.2">
      <c r="B30500"/>
      <c r="C30500"/>
      <c r="J30500"/>
      <c r="K30500"/>
      <c r="L30500"/>
    </row>
    <row r="30501" spans="2:12" x14ac:dyDescent="0.2">
      <c r="B30501"/>
      <c r="C30501"/>
      <c r="J30501"/>
      <c r="K30501"/>
      <c r="L30501"/>
    </row>
    <row r="30502" spans="2:12" x14ac:dyDescent="0.2">
      <c r="B30502"/>
      <c r="C30502"/>
      <c r="J30502"/>
      <c r="K30502"/>
      <c r="L30502"/>
    </row>
    <row r="30503" spans="2:12" x14ac:dyDescent="0.2">
      <c r="B30503"/>
      <c r="C30503"/>
      <c r="J30503"/>
      <c r="K30503"/>
      <c r="L30503"/>
    </row>
    <row r="30504" spans="2:12" x14ac:dyDescent="0.2">
      <c r="B30504"/>
      <c r="C30504"/>
      <c r="J30504"/>
      <c r="K30504"/>
      <c r="L30504"/>
    </row>
    <row r="30505" spans="2:12" x14ac:dyDescent="0.2">
      <c r="B30505"/>
      <c r="C30505"/>
      <c r="J30505"/>
      <c r="K30505"/>
      <c r="L30505"/>
    </row>
    <row r="30506" spans="2:12" x14ac:dyDescent="0.2">
      <c r="B30506"/>
      <c r="C30506"/>
      <c r="J30506"/>
      <c r="K30506"/>
      <c r="L30506"/>
    </row>
    <row r="30507" spans="2:12" x14ac:dyDescent="0.2">
      <c r="B30507"/>
      <c r="C30507"/>
      <c r="J30507"/>
      <c r="K30507"/>
      <c r="L30507"/>
    </row>
    <row r="30508" spans="2:12" x14ac:dyDescent="0.2">
      <c r="B30508"/>
      <c r="C30508"/>
      <c r="J30508"/>
      <c r="K30508"/>
      <c r="L30508"/>
    </row>
    <row r="30509" spans="2:12" x14ac:dyDescent="0.2">
      <c r="B30509"/>
      <c r="C30509"/>
      <c r="J30509"/>
      <c r="K30509"/>
      <c r="L30509"/>
    </row>
    <row r="30510" spans="2:12" x14ac:dyDescent="0.2">
      <c r="B30510"/>
      <c r="C30510"/>
      <c r="J30510"/>
      <c r="K30510"/>
      <c r="L30510"/>
    </row>
    <row r="30511" spans="2:12" x14ac:dyDescent="0.2">
      <c r="B30511"/>
      <c r="C30511"/>
      <c r="J30511"/>
      <c r="K30511"/>
      <c r="L30511"/>
    </row>
    <row r="30512" spans="2:12" x14ac:dyDescent="0.2">
      <c r="B30512"/>
      <c r="C30512"/>
      <c r="J30512"/>
      <c r="K30512"/>
      <c r="L30512"/>
    </row>
    <row r="30513" spans="2:12" x14ac:dyDescent="0.2">
      <c r="B30513"/>
      <c r="C30513"/>
      <c r="J30513"/>
      <c r="K30513"/>
      <c r="L30513"/>
    </row>
    <row r="30514" spans="2:12" x14ac:dyDescent="0.2">
      <c r="B30514"/>
      <c r="C30514"/>
      <c r="J30514"/>
      <c r="K30514"/>
      <c r="L30514"/>
    </row>
    <row r="30515" spans="2:12" x14ac:dyDescent="0.2">
      <c r="B30515"/>
      <c r="C30515"/>
      <c r="J30515"/>
      <c r="K30515"/>
      <c r="L30515"/>
    </row>
    <row r="30516" spans="2:12" x14ac:dyDescent="0.2">
      <c r="B30516"/>
      <c r="C30516"/>
      <c r="J30516"/>
      <c r="K30516"/>
      <c r="L30516"/>
    </row>
    <row r="30517" spans="2:12" x14ac:dyDescent="0.2">
      <c r="B30517"/>
      <c r="C30517"/>
      <c r="J30517"/>
      <c r="K30517"/>
      <c r="L30517"/>
    </row>
    <row r="30518" spans="2:12" x14ac:dyDescent="0.2">
      <c r="B30518"/>
      <c r="C30518"/>
      <c r="J30518"/>
      <c r="K30518"/>
      <c r="L30518"/>
    </row>
    <row r="30519" spans="2:12" x14ac:dyDescent="0.2">
      <c r="B30519"/>
      <c r="C30519"/>
      <c r="J30519"/>
      <c r="K30519"/>
      <c r="L30519"/>
    </row>
    <row r="30520" spans="2:12" x14ac:dyDescent="0.2">
      <c r="B30520"/>
      <c r="C30520"/>
      <c r="J30520"/>
      <c r="K30520"/>
      <c r="L30520"/>
    </row>
    <row r="30521" spans="2:12" x14ac:dyDescent="0.2">
      <c r="B30521"/>
      <c r="C30521"/>
      <c r="J30521"/>
      <c r="K30521"/>
      <c r="L30521"/>
    </row>
    <row r="30522" spans="2:12" x14ac:dyDescent="0.2">
      <c r="B30522"/>
      <c r="C30522"/>
      <c r="J30522"/>
      <c r="K30522"/>
      <c r="L30522"/>
    </row>
    <row r="30523" spans="2:12" x14ac:dyDescent="0.2">
      <c r="B30523"/>
      <c r="C30523"/>
      <c r="J30523"/>
      <c r="K30523"/>
      <c r="L30523"/>
    </row>
    <row r="30524" spans="2:12" x14ac:dyDescent="0.2">
      <c r="B30524"/>
      <c r="C30524"/>
      <c r="J30524"/>
      <c r="K30524"/>
      <c r="L30524"/>
    </row>
    <row r="30525" spans="2:12" x14ac:dyDescent="0.2">
      <c r="B30525"/>
      <c r="C30525"/>
      <c r="J30525"/>
      <c r="K30525"/>
      <c r="L30525"/>
    </row>
    <row r="30526" spans="2:12" x14ac:dyDescent="0.2">
      <c r="B30526"/>
      <c r="C30526"/>
      <c r="J30526"/>
      <c r="K30526"/>
      <c r="L30526"/>
    </row>
    <row r="30527" spans="2:12" x14ac:dyDescent="0.2">
      <c r="B30527"/>
      <c r="C30527"/>
      <c r="J30527"/>
      <c r="K30527"/>
      <c r="L30527"/>
    </row>
    <row r="30528" spans="2:12" x14ac:dyDescent="0.2">
      <c r="B30528"/>
      <c r="C30528"/>
      <c r="J30528"/>
      <c r="K30528"/>
      <c r="L30528"/>
    </row>
    <row r="30529" spans="2:12" x14ac:dyDescent="0.2">
      <c r="B30529"/>
      <c r="C30529"/>
      <c r="J30529"/>
      <c r="K30529"/>
      <c r="L30529"/>
    </row>
    <row r="30530" spans="2:12" x14ac:dyDescent="0.2">
      <c r="B30530"/>
      <c r="C30530"/>
      <c r="J30530"/>
      <c r="K30530"/>
      <c r="L30530"/>
    </row>
    <row r="30531" spans="2:12" x14ac:dyDescent="0.2">
      <c r="B30531"/>
      <c r="C30531"/>
      <c r="J30531"/>
      <c r="K30531"/>
      <c r="L30531"/>
    </row>
    <row r="30532" spans="2:12" x14ac:dyDescent="0.2">
      <c r="B30532"/>
      <c r="C30532"/>
      <c r="J30532"/>
      <c r="K30532"/>
      <c r="L30532"/>
    </row>
    <row r="30533" spans="2:12" x14ac:dyDescent="0.2">
      <c r="B30533"/>
      <c r="C30533"/>
      <c r="J30533"/>
      <c r="K30533"/>
      <c r="L30533"/>
    </row>
    <row r="30534" spans="2:12" x14ac:dyDescent="0.2">
      <c r="B30534"/>
      <c r="C30534"/>
      <c r="J30534"/>
      <c r="K30534"/>
      <c r="L30534"/>
    </row>
    <row r="30535" spans="2:12" x14ac:dyDescent="0.2">
      <c r="B30535"/>
      <c r="C30535"/>
      <c r="J30535"/>
      <c r="K30535"/>
      <c r="L30535"/>
    </row>
    <row r="30536" spans="2:12" x14ac:dyDescent="0.2">
      <c r="B30536"/>
      <c r="C30536"/>
      <c r="J30536"/>
      <c r="K30536"/>
      <c r="L30536"/>
    </row>
    <row r="30537" spans="2:12" x14ac:dyDescent="0.2">
      <c r="B30537"/>
      <c r="C30537"/>
      <c r="J30537"/>
      <c r="K30537"/>
      <c r="L30537"/>
    </row>
    <row r="30538" spans="2:12" x14ac:dyDescent="0.2">
      <c r="B30538"/>
      <c r="C30538"/>
      <c r="J30538"/>
      <c r="K30538"/>
      <c r="L30538"/>
    </row>
    <row r="30539" spans="2:12" x14ac:dyDescent="0.2">
      <c r="B30539"/>
      <c r="C30539"/>
      <c r="J30539"/>
      <c r="K30539"/>
      <c r="L30539"/>
    </row>
    <row r="30540" spans="2:12" x14ac:dyDescent="0.2">
      <c r="B30540"/>
      <c r="C30540"/>
      <c r="J30540"/>
      <c r="K30540"/>
      <c r="L30540"/>
    </row>
    <row r="30541" spans="2:12" x14ac:dyDescent="0.2">
      <c r="B30541"/>
      <c r="C30541"/>
      <c r="J30541"/>
      <c r="K30541"/>
      <c r="L30541"/>
    </row>
    <row r="30542" spans="2:12" x14ac:dyDescent="0.2">
      <c r="B30542"/>
      <c r="C30542"/>
      <c r="J30542"/>
      <c r="K30542"/>
      <c r="L30542"/>
    </row>
    <row r="30543" spans="2:12" x14ac:dyDescent="0.2">
      <c r="B30543"/>
      <c r="C30543"/>
      <c r="J30543"/>
      <c r="K30543"/>
      <c r="L30543"/>
    </row>
    <row r="30544" spans="2:12" x14ac:dyDescent="0.2">
      <c r="B30544"/>
      <c r="C30544"/>
      <c r="J30544"/>
      <c r="K30544"/>
      <c r="L30544"/>
    </row>
    <row r="30545" spans="2:12" x14ac:dyDescent="0.2">
      <c r="B30545"/>
      <c r="C30545"/>
      <c r="J30545"/>
      <c r="K30545"/>
      <c r="L30545"/>
    </row>
    <row r="30546" spans="2:12" x14ac:dyDescent="0.2">
      <c r="B30546"/>
      <c r="C30546"/>
      <c r="J30546"/>
      <c r="K30546"/>
      <c r="L30546"/>
    </row>
    <row r="30547" spans="2:12" x14ac:dyDescent="0.2">
      <c r="B30547"/>
      <c r="C30547"/>
      <c r="J30547"/>
      <c r="K30547"/>
      <c r="L30547"/>
    </row>
    <row r="30548" spans="2:12" x14ac:dyDescent="0.2">
      <c r="B30548"/>
      <c r="C30548"/>
      <c r="J30548"/>
      <c r="K30548"/>
      <c r="L30548"/>
    </row>
    <row r="30549" spans="2:12" x14ac:dyDescent="0.2">
      <c r="B30549"/>
      <c r="C30549"/>
      <c r="J30549"/>
      <c r="K30549"/>
      <c r="L30549"/>
    </row>
    <row r="30550" spans="2:12" x14ac:dyDescent="0.2">
      <c r="B30550"/>
      <c r="C30550"/>
      <c r="J30550"/>
      <c r="K30550"/>
      <c r="L30550"/>
    </row>
    <row r="30551" spans="2:12" x14ac:dyDescent="0.2">
      <c r="B30551"/>
      <c r="C30551"/>
      <c r="J30551"/>
      <c r="K30551"/>
      <c r="L30551"/>
    </row>
    <row r="30552" spans="2:12" x14ac:dyDescent="0.2">
      <c r="B30552"/>
      <c r="C30552"/>
      <c r="J30552"/>
      <c r="K30552"/>
      <c r="L30552"/>
    </row>
    <row r="30553" spans="2:12" x14ac:dyDescent="0.2">
      <c r="B30553"/>
      <c r="C30553"/>
      <c r="J30553"/>
      <c r="K30553"/>
      <c r="L30553"/>
    </row>
    <row r="30554" spans="2:12" x14ac:dyDescent="0.2">
      <c r="B30554"/>
      <c r="C30554"/>
      <c r="J30554"/>
      <c r="K30554"/>
      <c r="L30554"/>
    </row>
    <row r="30555" spans="2:12" x14ac:dyDescent="0.2">
      <c r="B30555"/>
      <c r="C30555"/>
      <c r="J30555"/>
      <c r="K30555"/>
      <c r="L30555"/>
    </row>
    <row r="30556" spans="2:12" x14ac:dyDescent="0.2">
      <c r="B30556"/>
      <c r="C30556"/>
      <c r="J30556"/>
      <c r="K30556"/>
      <c r="L30556"/>
    </row>
    <row r="30557" spans="2:12" x14ac:dyDescent="0.2">
      <c r="B30557"/>
      <c r="C30557"/>
      <c r="J30557"/>
      <c r="K30557"/>
      <c r="L30557"/>
    </row>
    <row r="30558" spans="2:12" x14ac:dyDescent="0.2">
      <c r="B30558"/>
      <c r="C30558"/>
      <c r="J30558"/>
      <c r="K30558"/>
      <c r="L30558"/>
    </row>
    <row r="30559" spans="2:12" x14ac:dyDescent="0.2">
      <c r="B30559"/>
      <c r="C30559"/>
      <c r="J30559"/>
      <c r="K30559"/>
      <c r="L30559"/>
    </row>
    <row r="30560" spans="2:12" x14ac:dyDescent="0.2">
      <c r="B30560"/>
      <c r="C30560"/>
      <c r="J30560"/>
      <c r="K30560"/>
      <c r="L30560"/>
    </row>
    <row r="30561" spans="2:12" x14ac:dyDescent="0.2">
      <c r="B30561"/>
      <c r="C30561"/>
      <c r="J30561"/>
      <c r="K30561"/>
      <c r="L30561"/>
    </row>
    <row r="30562" spans="2:12" x14ac:dyDescent="0.2">
      <c r="B30562"/>
      <c r="C30562"/>
      <c r="J30562"/>
      <c r="K30562"/>
      <c r="L30562"/>
    </row>
    <row r="30563" spans="2:12" x14ac:dyDescent="0.2">
      <c r="B30563"/>
      <c r="C30563"/>
      <c r="J30563"/>
      <c r="K30563"/>
      <c r="L30563"/>
    </row>
    <row r="30564" spans="2:12" x14ac:dyDescent="0.2">
      <c r="B30564"/>
      <c r="C30564"/>
      <c r="J30564"/>
      <c r="K30564"/>
      <c r="L30564"/>
    </row>
    <row r="30565" spans="2:12" x14ac:dyDescent="0.2">
      <c r="B30565"/>
      <c r="C30565"/>
      <c r="J30565"/>
      <c r="K30565"/>
      <c r="L30565"/>
    </row>
    <row r="30566" spans="2:12" x14ac:dyDescent="0.2">
      <c r="B30566"/>
      <c r="C30566"/>
      <c r="J30566"/>
      <c r="K30566"/>
      <c r="L30566"/>
    </row>
    <row r="30567" spans="2:12" x14ac:dyDescent="0.2">
      <c r="B30567"/>
      <c r="C30567"/>
      <c r="J30567"/>
      <c r="K30567"/>
      <c r="L30567"/>
    </row>
    <row r="30568" spans="2:12" x14ac:dyDescent="0.2">
      <c r="B30568"/>
      <c r="C30568"/>
      <c r="J30568"/>
      <c r="K30568"/>
      <c r="L30568"/>
    </row>
    <row r="30569" spans="2:12" x14ac:dyDescent="0.2">
      <c r="B30569"/>
      <c r="C30569"/>
      <c r="J30569"/>
      <c r="K30569"/>
      <c r="L30569"/>
    </row>
    <row r="30570" spans="2:12" x14ac:dyDescent="0.2">
      <c r="B30570"/>
      <c r="C30570"/>
      <c r="J30570"/>
      <c r="K30570"/>
      <c r="L30570"/>
    </row>
    <row r="30571" spans="2:12" x14ac:dyDescent="0.2">
      <c r="B30571"/>
      <c r="C30571"/>
      <c r="J30571"/>
      <c r="K30571"/>
      <c r="L30571"/>
    </row>
    <row r="30572" spans="2:12" x14ac:dyDescent="0.2">
      <c r="B30572"/>
      <c r="C30572"/>
      <c r="J30572"/>
      <c r="K30572"/>
      <c r="L30572"/>
    </row>
    <row r="30573" spans="2:12" x14ac:dyDescent="0.2">
      <c r="B30573"/>
      <c r="C30573"/>
      <c r="J30573"/>
      <c r="K30573"/>
      <c r="L30573"/>
    </row>
    <row r="30574" spans="2:12" x14ac:dyDescent="0.2">
      <c r="B30574"/>
      <c r="C30574"/>
      <c r="J30574"/>
      <c r="K30574"/>
      <c r="L30574"/>
    </row>
    <row r="30575" spans="2:12" x14ac:dyDescent="0.2">
      <c r="B30575"/>
      <c r="C30575"/>
      <c r="J30575"/>
      <c r="K30575"/>
      <c r="L30575"/>
    </row>
    <row r="30576" spans="2:12" x14ac:dyDescent="0.2">
      <c r="B30576"/>
      <c r="C30576"/>
      <c r="J30576"/>
      <c r="K30576"/>
      <c r="L30576"/>
    </row>
    <row r="30577" spans="2:12" x14ac:dyDescent="0.2">
      <c r="B30577"/>
      <c r="C30577"/>
      <c r="J30577"/>
      <c r="K30577"/>
      <c r="L30577"/>
    </row>
    <row r="30578" spans="2:12" x14ac:dyDescent="0.2">
      <c r="B30578"/>
      <c r="C30578"/>
      <c r="J30578"/>
      <c r="K30578"/>
      <c r="L30578"/>
    </row>
    <row r="30579" spans="2:12" x14ac:dyDescent="0.2">
      <c r="B30579"/>
      <c r="C30579"/>
      <c r="J30579"/>
      <c r="K30579"/>
      <c r="L30579"/>
    </row>
    <row r="30580" spans="2:12" x14ac:dyDescent="0.2">
      <c r="B30580"/>
      <c r="C30580"/>
      <c r="J30580"/>
      <c r="K30580"/>
      <c r="L30580"/>
    </row>
    <row r="30581" spans="2:12" x14ac:dyDescent="0.2">
      <c r="B30581"/>
      <c r="C30581"/>
      <c r="J30581"/>
      <c r="K30581"/>
      <c r="L30581"/>
    </row>
    <row r="30582" spans="2:12" x14ac:dyDescent="0.2">
      <c r="B30582"/>
      <c r="C30582"/>
      <c r="J30582"/>
      <c r="K30582"/>
      <c r="L30582"/>
    </row>
    <row r="30583" spans="2:12" x14ac:dyDescent="0.2">
      <c r="B30583"/>
      <c r="C30583"/>
      <c r="J30583"/>
      <c r="K30583"/>
      <c r="L30583"/>
    </row>
    <row r="30584" spans="2:12" x14ac:dyDescent="0.2">
      <c r="B30584"/>
      <c r="C30584"/>
      <c r="J30584"/>
      <c r="K30584"/>
      <c r="L30584"/>
    </row>
    <row r="30585" spans="2:12" x14ac:dyDescent="0.2">
      <c r="B30585"/>
      <c r="C30585"/>
      <c r="J30585"/>
      <c r="K30585"/>
      <c r="L30585"/>
    </row>
    <row r="30586" spans="2:12" x14ac:dyDescent="0.2">
      <c r="B30586"/>
      <c r="C30586"/>
      <c r="J30586"/>
      <c r="K30586"/>
      <c r="L30586"/>
    </row>
    <row r="30587" spans="2:12" x14ac:dyDescent="0.2">
      <c r="B30587"/>
      <c r="C30587"/>
      <c r="J30587"/>
      <c r="K30587"/>
      <c r="L30587"/>
    </row>
    <row r="30588" spans="2:12" x14ac:dyDescent="0.2">
      <c r="B30588"/>
      <c r="C30588"/>
      <c r="J30588"/>
      <c r="K30588"/>
      <c r="L30588"/>
    </row>
    <row r="30589" spans="2:12" x14ac:dyDescent="0.2">
      <c r="B30589"/>
      <c r="C30589"/>
      <c r="J30589"/>
      <c r="K30589"/>
      <c r="L30589"/>
    </row>
    <row r="30590" spans="2:12" x14ac:dyDescent="0.2">
      <c r="B30590"/>
      <c r="C30590"/>
      <c r="J30590"/>
      <c r="K30590"/>
      <c r="L30590"/>
    </row>
    <row r="30591" spans="2:12" x14ac:dyDescent="0.2">
      <c r="B30591"/>
      <c r="C30591"/>
      <c r="J30591"/>
      <c r="K30591"/>
      <c r="L30591"/>
    </row>
    <row r="30592" spans="2:12" x14ac:dyDescent="0.2">
      <c r="B30592"/>
      <c r="C30592"/>
      <c r="J30592"/>
      <c r="K30592"/>
      <c r="L30592"/>
    </row>
    <row r="30593" spans="2:12" x14ac:dyDescent="0.2">
      <c r="B30593"/>
      <c r="C30593"/>
      <c r="J30593"/>
      <c r="K30593"/>
      <c r="L30593"/>
    </row>
    <row r="30594" spans="2:12" x14ac:dyDescent="0.2">
      <c r="B30594"/>
      <c r="C30594"/>
      <c r="J30594"/>
      <c r="K30594"/>
      <c r="L30594"/>
    </row>
    <row r="30595" spans="2:12" x14ac:dyDescent="0.2">
      <c r="B30595"/>
      <c r="C30595"/>
      <c r="J30595"/>
      <c r="K30595"/>
      <c r="L30595"/>
    </row>
    <row r="30596" spans="2:12" x14ac:dyDescent="0.2">
      <c r="B30596"/>
      <c r="C30596"/>
      <c r="J30596"/>
      <c r="K30596"/>
      <c r="L30596"/>
    </row>
    <row r="30597" spans="2:12" x14ac:dyDescent="0.2">
      <c r="B30597"/>
      <c r="C30597"/>
      <c r="J30597"/>
      <c r="K30597"/>
      <c r="L30597"/>
    </row>
    <row r="30598" spans="2:12" x14ac:dyDescent="0.2">
      <c r="B30598"/>
      <c r="C30598"/>
      <c r="J30598"/>
      <c r="K30598"/>
      <c r="L30598"/>
    </row>
    <row r="30599" spans="2:12" x14ac:dyDescent="0.2">
      <c r="B30599"/>
      <c r="C30599"/>
      <c r="J30599"/>
      <c r="K30599"/>
      <c r="L30599"/>
    </row>
    <row r="30600" spans="2:12" x14ac:dyDescent="0.2">
      <c r="B30600"/>
      <c r="C30600"/>
      <c r="J30600"/>
      <c r="K30600"/>
      <c r="L30600"/>
    </row>
    <row r="30601" spans="2:12" x14ac:dyDescent="0.2">
      <c r="B30601"/>
      <c r="C30601"/>
      <c r="J30601"/>
      <c r="K30601"/>
      <c r="L30601"/>
    </row>
    <row r="30602" spans="2:12" x14ac:dyDescent="0.2">
      <c r="B30602"/>
      <c r="C30602"/>
      <c r="J30602"/>
      <c r="K30602"/>
      <c r="L30602"/>
    </row>
    <row r="30603" spans="2:12" x14ac:dyDescent="0.2">
      <c r="B30603"/>
      <c r="C30603"/>
      <c r="J30603"/>
      <c r="K30603"/>
      <c r="L30603"/>
    </row>
    <row r="30604" spans="2:12" x14ac:dyDescent="0.2">
      <c r="B30604"/>
      <c r="C30604"/>
      <c r="J30604"/>
      <c r="K30604"/>
      <c r="L30604"/>
    </row>
    <row r="30605" spans="2:12" x14ac:dyDescent="0.2">
      <c r="B30605"/>
      <c r="C30605"/>
      <c r="J30605"/>
      <c r="K30605"/>
      <c r="L30605"/>
    </row>
    <row r="30606" spans="2:12" x14ac:dyDescent="0.2">
      <c r="B30606"/>
      <c r="C30606"/>
      <c r="J30606"/>
      <c r="K30606"/>
      <c r="L30606"/>
    </row>
    <row r="30607" spans="2:12" x14ac:dyDescent="0.2">
      <c r="B30607"/>
      <c r="C30607"/>
      <c r="J30607"/>
      <c r="K30607"/>
      <c r="L30607"/>
    </row>
    <row r="30608" spans="2:12" x14ac:dyDescent="0.2">
      <c r="B30608"/>
      <c r="C30608"/>
      <c r="J30608"/>
      <c r="K30608"/>
      <c r="L30608"/>
    </row>
    <row r="30609" spans="2:12" x14ac:dyDescent="0.2">
      <c r="B30609"/>
      <c r="C30609"/>
      <c r="J30609"/>
      <c r="K30609"/>
      <c r="L30609"/>
    </row>
    <row r="30610" spans="2:12" x14ac:dyDescent="0.2">
      <c r="B30610"/>
      <c r="C30610"/>
      <c r="J30610"/>
      <c r="K30610"/>
      <c r="L30610"/>
    </row>
    <row r="30611" spans="2:12" x14ac:dyDescent="0.2">
      <c r="B30611"/>
      <c r="C30611"/>
      <c r="J30611"/>
      <c r="K30611"/>
      <c r="L30611"/>
    </row>
    <row r="30612" spans="2:12" x14ac:dyDescent="0.2">
      <c r="B30612"/>
      <c r="C30612"/>
      <c r="J30612"/>
      <c r="K30612"/>
      <c r="L30612"/>
    </row>
    <row r="30613" spans="2:12" x14ac:dyDescent="0.2">
      <c r="B30613"/>
      <c r="C30613"/>
      <c r="J30613"/>
      <c r="K30613"/>
      <c r="L30613"/>
    </row>
    <row r="30614" spans="2:12" x14ac:dyDescent="0.2">
      <c r="B30614"/>
      <c r="C30614"/>
      <c r="J30614"/>
      <c r="K30614"/>
      <c r="L30614"/>
    </row>
    <row r="30615" spans="2:12" x14ac:dyDescent="0.2">
      <c r="B30615"/>
      <c r="C30615"/>
      <c r="J30615"/>
      <c r="K30615"/>
      <c r="L30615"/>
    </row>
    <row r="30616" spans="2:12" x14ac:dyDescent="0.2">
      <c r="B30616"/>
      <c r="C30616"/>
      <c r="J30616"/>
      <c r="K30616"/>
      <c r="L30616"/>
    </row>
    <row r="30617" spans="2:12" x14ac:dyDescent="0.2">
      <c r="B30617"/>
      <c r="C30617"/>
      <c r="J30617"/>
      <c r="K30617"/>
      <c r="L30617"/>
    </row>
    <row r="30618" spans="2:12" x14ac:dyDescent="0.2">
      <c r="B30618"/>
      <c r="C30618"/>
      <c r="J30618"/>
      <c r="K30618"/>
      <c r="L30618"/>
    </row>
    <row r="30619" spans="2:12" x14ac:dyDescent="0.2">
      <c r="B30619"/>
      <c r="C30619"/>
      <c r="J30619"/>
      <c r="K30619"/>
      <c r="L30619"/>
    </row>
    <row r="30620" spans="2:12" x14ac:dyDescent="0.2">
      <c r="B30620"/>
      <c r="C30620"/>
      <c r="J30620"/>
      <c r="K30620"/>
      <c r="L30620"/>
    </row>
    <row r="30621" spans="2:12" x14ac:dyDescent="0.2">
      <c r="B30621"/>
      <c r="C30621"/>
      <c r="J30621"/>
      <c r="K30621"/>
      <c r="L30621"/>
    </row>
    <row r="30622" spans="2:12" x14ac:dyDescent="0.2">
      <c r="B30622"/>
      <c r="C30622"/>
      <c r="J30622"/>
      <c r="K30622"/>
      <c r="L30622"/>
    </row>
    <row r="30623" spans="2:12" x14ac:dyDescent="0.2">
      <c r="B30623"/>
      <c r="C30623"/>
      <c r="J30623"/>
      <c r="K30623"/>
      <c r="L30623"/>
    </row>
    <row r="30624" spans="2:12" x14ac:dyDescent="0.2">
      <c r="B30624"/>
      <c r="C30624"/>
      <c r="J30624"/>
      <c r="K30624"/>
      <c r="L30624"/>
    </row>
    <row r="30625" spans="2:12" x14ac:dyDescent="0.2">
      <c r="B30625"/>
      <c r="C30625"/>
      <c r="J30625"/>
      <c r="K30625"/>
      <c r="L30625"/>
    </row>
    <row r="30626" spans="2:12" x14ac:dyDescent="0.2">
      <c r="B30626"/>
      <c r="C30626"/>
      <c r="J30626"/>
      <c r="K30626"/>
      <c r="L30626"/>
    </row>
    <row r="30627" spans="2:12" x14ac:dyDescent="0.2">
      <c r="B30627"/>
      <c r="C30627"/>
      <c r="J30627"/>
      <c r="K30627"/>
      <c r="L30627"/>
    </row>
    <row r="30628" spans="2:12" x14ac:dyDescent="0.2">
      <c r="B30628"/>
      <c r="C30628"/>
      <c r="J30628"/>
      <c r="K30628"/>
      <c r="L30628"/>
    </row>
    <row r="30629" spans="2:12" x14ac:dyDescent="0.2">
      <c r="B30629"/>
      <c r="C30629"/>
      <c r="J30629"/>
      <c r="K30629"/>
      <c r="L30629"/>
    </row>
    <row r="30630" spans="2:12" x14ac:dyDescent="0.2">
      <c r="B30630"/>
      <c r="C30630"/>
      <c r="J30630"/>
      <c r="K30630"/>
      <c r="L30630"/>
    </row>
    <row r="30631" spans="2:12" x14ac:dyDescent="0.2">
      <c r="B30631"/>
      <c r="C30631"/>
      <c r="J30631"/>
      <c r="K30631"/>
      <c r="L30631"/>
    </row>
    <row r="30632" spans="2:12" x14ac:dyDescent="0.2">
      <c r="B30632"/>
      <c r="C30632"/>
      <c r="J30632"/>
      <c r="K30632"/>
      <c r="L30632"/>
    </row>
    <row r="30633" spans="2:12" x14ac:dyDescent="0.2">
      <c r="B30633"/>
      <c r="C30633"/>
      <c r="J30633"/>
      <c r="K30633"/>
      <c r="L30633"/>
    </row>
    <row r="30634" spans="2:12" x14ac:dyDescent="0.2">
      <c r="B30634"/>
      <c r="C30634"/>
      <c r="J30634"/>
      <c r="K30634"/>
      <c r="L30634"/>
    </row>
    <row r="30635" spans="2:12" x14ac:dyDescent="0.2">
      <c r="B30635"/>
      <c r="C30635"/>
      <c r="J30635"/>
      <c r="K30635"/>
      <c r="L30635"/>
    </row>
    <row r="30636" spans="2:12" x14ac:dyDescent="0.2">
      <c r="B30636"/>
      <c r="C30636"/>
      <c r="J30636"/>
      <c r="K30636"/>
      <c r="L30636"/>
    </row>
    <row r="30637" spans="2:12" x14ac:dyDescent="0.2">
      <c r="B30637"/>
      <c r="C30637"/>
      <c r="J30637"/>
      <c r="K30637"/>
      <c r="L30637"/>
    </row>
    <row r="30638" spans="2:12" x14ac:dyDescent="0.2">
      <c r="B30638"/>
      <c r="C30638"/>
      <c r="J30638"/>
      <c r="K30638"/>
      <c r="L30638"/>
    </row>
    <row r="30639" spans="2:12" x14ac:dyDescent="0.2">
      <c r="B30639"/>
      <c r="C30639"/>
      <c r="J30639"/>
      <c r="K30639"/>
      <c r="L30639"/>
    </row>
    <row r="30640" spans="2:12" x14ac:dyDescent="0.2">
      <c r="B30640"/>
      <c r="C30640"/>
      <c r="J30640"/>
      <c r="K30640"/>
      <c r="L30640"/>
    </row>
    <row r="30641" spans="2:12" x14ac:dyDescent="0.2">
      <c r="B30641"/>
      <c r="C30641"/>
      <c r="J30641"/>
      <c r="K30641"/>
      <c r="L30641"/>
    </row>
    <row r="30642" spans="2:12" x14ac:dyDescent="0.2">
      <c r="B30642"/>
      <c r="C30642"/>
      <c r="J30642"/>
      <c r="K30642"/>
      <c r="L30642"/>
    </row>
    <row r="30643" spans="2:12" x14ac:dyDescent="0.2">
      <c r="B30643"/>
      <c r="C30643"/>
      <c r="J30643"/>
      <c r="K30643"/>
      <c r="L30643"/>
    </row>
    <row r="30644" spans="2:12" x14ac:dyDescent="0.2">
      <c r="B30644"/>
      <c r="C30644"/>
      <c r="J30644"/>
      <c r="K30644"/>
      <c r="L30644"/>
    </row>
    <row r="30645" spans="2:12" x14ac:dyDescent="0.2">
      <c r="B30645"/>
      <c r="C30645"/>
      <c r="J30645"/>
      <c r="K30645"/>
      <c r="L30645"/>
    </row>
    <row r="30646" spans="2:12" x14ac:dyDescent="0.2">
      <c r="B30646"/>
      <c r="C30646"/>
      <c r="J30646"/>
      <c r="K30646"/>
      <c r="L30646"/>
    </row>
    <row r="30647" spans="2:12" x14ac:dyDescent="0.2">
      <c r="B30647"/>
      <c r="C30647"/>
      <c r="J30647"/>
      <c r="K30647"/>
      <c r="L30647"/>
    </row>
    <row r="30648" spans="2:12" x14ac:dyDescent="0.2">
      <c r="B30648"/>
      <c r="C30648"/>
      <c r="J30648"/>
      <c r="K30648"/>
      <c r="L30648"/>
    </row>
    <row r="30649" spans="2:12" x14ac:dyDescent="0.2">
      <c r="B30649"/>
      <c r="C30649"/>
      <c r="J30649"/>
      <c r="K30649"/>
      <c r="L30649"/>
    </row>
    <row r="30650" spans="2:12" x14ac:dyDescent="0.2">
      <c r="B30650"/>
      <c r="C30650"/>
      <c r="J30650"/>
      <c r="K30650"/>
      <c r="L30650"/>
    </row>
    <row r="30651" spans="2:12" x14ac:dyDescent="0.2">
      <c r="B30651"/>
      <c r="C30651"/>
      <c r="J30651"/>
      <c r="K30651"/>
      <c r="L30651"/>
    </row>
    <row r="30652" spans="2:12" x14ac:dyDescent="0.2">
      <c r="B30652"/>
      <c r="C30652"/>
      <c r="J30652"/>
      <c r="K30652"/>
      <c r="L30652"/>
    </row>
    <row r="30653" spans="2:12" x14ac:dyDescent="0.2">
      <c r="B30653"/>
      <c r="C30653"/>
      <c r="J30653"/>
      <c r="K30653"/>
      <c r="L30653"/>
    </row>
    <row r="30654" spans="2:12" x14ac:dyDescent="0.2">
      <c r="B30654"/>
      <c r="C30654"/>
      <c r="J30654"/>
      <c r="K30654"/>
      <c r="L30654"/>
    </row>
    <row r="30655" spans="2:12" x14ac:dyDescent="0.2">
      <c r="B30655"/>
      <c r="C30655"/>
      <c r="J30655"/>
      <c r="K30655"/>
      <c r="L30655"/>
    </row>
    <row r="30656" spans="2:12" x14ac:dyDescent="0.2">
      <c r="B30656"/>
      <c r="C30656"/>
      <c r="J30656"/>
      <c r="K30656"/>
      <c r="L30656"/>
    </row>
    <row r="30657" spans="2:12" x14ac:dyDescent="0.2">
      <c r="B30657"/>
      <c r="C30657"/>
      <c r="J30657"/>
      <c r="K30657"/>
      <c r="L30657"/>
    </row>
    <row r="30658" spans="2:12" x14ac:dyDescent="0.2">
      <c r="B30658"/>
      <c r="C30658"/>
      <c r="J30658"/>
      <c r="K30658"/>
      <c r="L30658"/>
    </row>
    <row r="30659" spans="2:12" x14ac:dyDescent="0.2">
      <c r="B30659"/>
      <c r="C30659"/>
      <c r="J30659"/>
      <c r="K30659"/>
      <c r="L30659"/>
    </row>
    <row r="30660" spans="2:12" x14ac:dyDescent="0.2">
      <c r="B30660"/>
      <c r="C30660"/>
      <c r="J30660"/>
      <c r="K30660"/>
      <c r="L30660"/>
    </row>
    <row r="30661" spans="2:12" x14ac:dyDescent="0.2">
      <c r="B30661"/>
      <c r="C30661"/>
      <c r="J30661"/>
      <c r="K30661"/>
      <c r="L30661"/>
    </row>
    <row r="30662" spans="2:12" x14ac:dyDescent="0.2">
      <c r="B30662"/>
      <c r="C30662"/>
      <c r="J30662"/>
      <c r="K30662"/>
      <c r="L30662"/>
    </row>
    <row r="30663" spans="2:12" x14ac:dyDescent="0.2">
      <c r="B30663"/>
      <c r="C30663"/>
      <c r="J30663"/>
      <c r="K30663"/>
      <c r="L30663"/>
    </row>
    <row r="30664" spans="2:12" x14ac:dyDescent="0.2">
      <c r="B30664"/>
      <c r="C30664"/>
      <c r="J30664"/>
      <c r="K30664"/>
      <c r="L30664"/>
    </row>
    <row r="30665" spans="2:12" x14ac:dyDescent="0.2">
      <c r="B30665"/>
      <c r="C30665"/>
      <c r="J30665"/>
      <c r="K30665"/>
      <c r="L30665"/>
    </row>
    <row r="30666" spans="2:12" x14ac:dyDescent="0.2">
      <c r="B30666"/>
      <c r="C30666"/>
      <c r="J30666"/>
      <c r="K30666"/>
      <c r="L30666"/>
    </row>
    <row r="30667" spans="2:12" x14ac:dyDescent="0.2">
      <c r="B30667"/>
      <c r="C30667"/>
      <c r="J30667"/>
      <c r="K30667"/>
      <c r="L30667"/>
    </row>
    <row r="30668" spans="2:12" x14ac:dyDescent="0.2">
      <c r="B30668"/>
      <c r="C30668"/>
      <c r="J30668"/>
      <c r="K30668"/>
      <c r="L30668"/>
    </row>
    <row r="30669" spans="2:12" x14ac:dyDescent="0.2">
      <c r="B30669"/>
      <c r="C30669"/>
      <c r="J30669"/>
      <c r="K30669"/>
      <c r="L30669"/>
    </row>
    <row r="30670" spans="2:12" x14ac:dyDescent="0.2">
      <c r="B30670"/>
      <c r="C30670"/>
      <c r="J30670"/>
      <c r="K30670"/>
      <c r="L30670"/>
    </row>
    <row r="30671" spans="2:12" x14ac:dyDescent="0.2">
      <c r="B30671"/>
      <c r="C30671"/>
      <c r="J30671"/>
      <c r="K30671"/>
      <c r="L30671"/>
    </row>
    <row r="30672" spans="2:12" x14ac:dyDescent="0.2">
      <c r="B30672"/>
      <c r="C30672"/>
      <c r="J30672"/>
      <c r="K30672"/>
      <c r="L30672"/>
    </row>
    <row r="30673" spans="2:12" x14ac:dyDescent="0.2">
      <c r="B30673"/>
      <c r="C30673"/>
      <c r="J30673"/>
      <c r="K30673"/>
      <c r="L30673"/>
    </row>
    <row r="30674" spans="2:12" x14ac:dyDescent="0.2">
      <c r="B30674"/>
      <c r="C30674"/>
      <c r="J30674"/>
      <c r="K30674"/>
      <c r="L30674"/>
    </row>
    <row r="30675" spans="2:12" x14ac:dyDescent="0.2">
      <c r="B30675"/>
      <c r="C30675"/>
      <c r="J30675"/>
      <c r="K30675"/>
      <c r="L30675"/>
    </row>
    <row r="30676" spans="2:12" x14ac:dyDescent="0.2">
      <c r="B30676"/>
      <c r="C30676"/>
      <c r="J30676"/>
      <c r="K30676"/>
      <c r="L30676"/>
    </row>
    <row r="30677" spans="2:12" x14ac:dyDescent="0.2">
      <c r="B30677"/>
      <c r="C30677"/>
      <c r="J30677"/>
      <c r="K30677"/>
      <c r="L30677"/>
    </row>
    <row r="30678" spans="2:12" x14ac:dyDescent="0.2">
      <c r="B30678"/>
      <c r="C30678"/>
      <c r="J30678"/>
      <c r="K30678"/>
      <c r="L30678"/>
    </row>
    <row r="30679" spans="2:12" x14ac:dyDescent="0.2">
      <c r="B30679"/>
      <c r="C30679"/>
      <c r="J30679"/>
      <c r="K30679"/>
      <c r="L30679"/>
    </row>
    <row r="30680" spans="2:12" x14ac:dyDescent="0.2">
      <c r="B30680"/>
      <c r="C30680"/>
      <c r="J30680"/>
      <c r="K30680"/>
      <c r="L30680"/>
    </row>
    <row r="30681" spans="2:12" x14ac:dyDescent="0.2">
      <c r="B30681"/>
      <c r="C30681"/>
      <c r="J30681"/>
      <c r="K30681"/>
      <c r="L30681"/>
    </row>
    <row r="30682" spans="2:12" x14ac:dyDescent="0.2">
      <c r="B30682"/>
      <c r="C30682"/>
      <c r="J30682"/>
      <c r="K30682"/>
      <c r="L30682"/>
    </row>
    <row r="30683" spans="2:12" x14ac:dyDescent="0.2">
      <c r="B30683"/>
      <c r="C30683"/>
      <c r="J30683"/>
      <c r="K30683"/>
      <c r="L30683"/>
    </row>
    <row r="30684" spans="2:12" x14ac:dyDescent="0.2">
      <c r="B30684"/>
      <c r="C30684"/>
      <c r="J30684"/>
      <c r="K30684"/>
      <c r="L30684"/>
    </row>
    <row r="30685" spans="2:12" x14ac:dyDescent="0.2">
      <c r="B30685"/>
      <c r="C30685"/>
      <c r="J30685"/>
      <c r="K30685"/>
      <c r="L30685"/>
    </row>
    <row r="30686" spans="2:12" x14ac:dyDescent="0.2">
      <c r="B30686"/>
      <c r="C30686"/>
      <c r="J30686"/>
      <c r="K30686"/>
      <c r="L30686"/>
    </row>
    <row r="30687" spans="2:12" x14ac:dyDescent="0.2">
      <c r="B30687"/>
      <c r="C30687"/>
      <c r="J30687"/>
      <c r="K30687"/>
      <c r="L30687"/>
    </row>
    <row r="30688" spans="2:12" x14ac:dyDescent="0.2">
      <c r="B30688"/>
      <c r="C30688"/>
      <c r="J30688"/>
      <c r="K30688"/>
      <c r="L30688"/>
    </row>
    <row r="30689" spans="2:12" x14ac:dyDescent="0.2">
      <c r="B30689"/>
      <c r="C30689"/>
      <c r="J30689"/>
      <c r="K30689"/>
      <c r="L30689"/>
    </row>
    <row r="30690" spans="2:12" x14ac:dyDescent="0.2">
      <c r="B30690"/>
      <c r="C30690"/>
      <c r="J30690"/>
      <c r="K30690"/>
      <c r="L30690"/>
    </row>
    <row r="30691" spans="2:12" x14ac:dyDescent="0.2">
      <c r="B30691"/>
      <c r="C30691"/>
      <c r="J30691"/>
      <c r="K30691"/>
      <c r="L30691"/>
    </row>
    <row r="30692" spans="2:12" x14ac:dyDescent="0.2">
      <c r="B30692"/>
      <c r="C30692"/>
      <c r="J30692"/>
      <c r="K30692"/>
      <c r="L30692"/>
    </row>
    <row r="30693" spans="2:12" x14ac:dyDescent="0.2">
      <c r="B30693"/>
      <c r="C30693"/>
      <c r="J30693"/>
      <c r="K30693"/>
      <c r="L30693"/>
    </row>
    <row r="30694" spans="2:12" x14ac:dyDescent="0.2">
      <c r="B30694"/>
      <c r="C30694"/>
      <c r="J30694"/>
      <c r="K30694"/>
      <c r="L30694"/>
    </row>
    <row r="30695" spans="2:12" x14ac:dyDescent="0.2">
      <c r="B30695"/>
      <c r="C30695"/>
      <c r="J30695"/>
      <c r="K30695"/>
      <c r="L30695"/>
    </row>
    <row r="30696" spans="2:12" x14ac:dyDescent="0.2">
      <c r="B30696"/>
      <c r="C30696"/>
      <c r="J30696"/>
      <c r="K30696"/>
      <c r="L30696"/>
    </row>
    <row r="30697" spans="2:12" x14ac:dyDescent="0.2">
      <c r="B30697"/>
      <c r="C30697"/>
      <c r="J30697"/>
      <c r="K30697"/>
      <c r="L30697"/>
    </row>
    <row r="30698" spans="2:12" x14ac:dyDescent="0.2">
      <c r="B30698"/>
      <c r="C30698"/>
      <c r="J30698"/>
      <c r="K30698"/>
      <c r="L30698"/>
    </row>
    <row r="30699" spans="2:12" x14ac:dyDescent="0.2">
      <c r="B30699"/>
      <c r="C30699"/>
      <c r="J30699"/>
      <c r="K30699"/>
      <c r="L30699"/>
    </row>
    <row r="30700" spans="2:12" x14ac:dyDescent="0.2">
      <c r="B30700"/>
      <c r="C30700"/>
      <c r="J30700"/>
      <c r="K30700"/>
      <c r="L30700"/>
    </row>
    <row r="30701" spans="2:12" x14ac:dyDescent="0.2">
      <c r="B30701"/>
      <c r="C30701"/>
      <c r="J30701"/>
      <c r="K30701"/>
      <c r="L30701"/>
    </row>
    <row r="30702" spans="2:12" x14ac:dyDescent="0.2">
      <c r="B30702"/>
      <c r="C30702"/>
      <c r="J30702"/>
      <c r="K30702"/>
      <c r="L30702"/>
    </row>
    <row r="30703" spans="2:12" x14ac:dyDescent="0.2">
      <c r="B30703"/>
      <c r="C30703"/>
      <c r="J30703"/>
      <c r="K30703"/>
      <c r="L30703"/>
    </row>
    <row r="30704" spans="2:12" x14ac:dyDescent="0.2">
      <c r="B30704"/>
      <c r="C30704"/>
      <c r="J30704"/>
      <c r="K30704"/>
      <c r="L30704"/>
    </row>
    <row r="30705" spans="2:12" x14ac:dyDescent="0.2">
      <c r="B30705"/>
      <c r="C30705"/>
      <c r="J30705"/>
      <c r="K30705"/>
      <c r="L30705"/>
    </row>
    <row r="30706" spans="2:12" x14ac:dyDescent="0.2">
      <c r="B30706"/>
      <c r="C30706"/>
      <c r="J30706"/>
      <c r="K30706"/>
      <c r="L30706"/>
    </row>
    <row r="30707" spans="2:12" x14ac:dyDescent="0.2">
      <c r="B30707"/>
      <c r="C30707"/>
      <c r="J30707"/>
      <c r="K30707"/>
      <c r="L30707"/>
    </row>
    <row r="30708" spans="2:12" x14ac:dyDescent="0.2">
      <c r="B30708"/>
      <c r="C30708"/>
      <c r="J30708"/>
      <c r="K30708"/>
      <c r="L30708"/>
    </row>
    <row r="30709" spans="2:12" x14ac:dyDescent="0.2">
      <c r="B30709"/>
      <c r="C30709"/>
      <c r="J30709"/>
      <c r="K30709"/>
      <c r="L30709"/>
    </row>
    <row r="30710" spans="2:12" x14ac:dyDescent="0.2">
      <c r="B30710"/>
      <c r="C30710"/>
      <c r="J30710"/>
      <c r="K30710"/>
      <c r="L30710"/>
    </row>
    <row r="30711" spans="2:12" x14ac:dyDescent="0.2">
      <c r="B30711"/>
      <c r="C30711"/>
      <c r="J30711"/>
      <c r="K30711"/>
      <c r="L30711"/>
    </row>
    <row r="30712" spans="2:12" x14ac:dyDescent="0.2">
      <c r="B30712"/>
      <c r="C30712"/>
      <c r="J30712"/>
      <c r="K30712"/>
      <c r="L30712"/>
    </row>
    <row r="30713" spans="2:12" x14ac:dyDescent="0.2">
      <c r="B30713"/>
      <c r="C30713"/>
      <c r="J30713"/>
      <c r="K30713"/>
      <c r="L30713"/>
    </row>
    <row r="30714" spans="2:12" x14ac:dyDescent="0.2">
      <c r="B30714"/>
      <c r="C30714"/>
      <c r="J30714"/>
      <c r="K30714"/>
      <c r="L30714"/>
    </row>
    <row r="30715" spans="2:12" x14ac:dyDescent="0.2">
      <c r="B30715"/>
      <c r="C30715"/>
      <c r="J30715"/>
      <c r="K30715"/>
      <c r="L30715"/>
    </row>
    <row r="30716" spans="2:12" x14ac:dyDescent="0.2">
      <c r="B30716"/>
      <c r="C30716"/>
      <c r="J30716"/>
      <c r="K30716"/>
      <c r="L30716"/>
    </row>
    <row r="30717" spans="2:12" x14ac:dyDescent="0.2">
      <c r="B30717"/>
      <c r="C30717"/>
      <c r="J30717"/>
      <c r="K30717"/>
      <c r="L30717"/>
    </row>
    <row r="30718" spans="2:12" x14ac:dyDescent="0.2">
      <c r="B30718"/>
      <c r="C30718"/>
      <c r="J30718"/>
      <c r="K30718"/>
      <c r="L30718"/>
    </row>
    <row r="30719" spans="2:12" x14ac:dyDescent="0.2">
      <c r="B30719"/>
      <c r="C30719"/>
      <c r="J30719"/>
      <c r="K30719"/>
      <c r="L30719"/>
    </row>
    <row r="30720" spans="2:12" x14ac:dyDescent="0.2">
      <c r="B30720"/>
      <c r="C30720"/>
      <c r="J30720"/>
      <c r="K30720"/>
      <c r="L30720"/>
    </row>
    <row r="30721" spans="2:12" x14ac:dyDescent="0.2">
      <c r="B30721"/>
      <c r="C30721"/>
      <c r="J30721"/>
      <c r="K30721"/>
      <c r="L30721"/>
    </row>
    <row r="30722" spans="2:12" x14ac:dyDescent="0.2">
      <c r="B30722"/>
      <c r="C30722"/>
      <c r="J30722"/>
      <c r="K30722"/>
      <c r="L30722"/>
    </row>
    <row r="30723" spans="2:12" x14ac:dyDescent="0.2">
      <c r="B30723"/>
      <c r="C30723"/>
      <c r="J30723"/>
      <c r="K30723"/>
      <c r="L30723"/>
    </row>
    <row r="30724" spans="2:12" x14ac:dyDescent="0.2">
      <c r="B30724"/>
      <c r="C30724"/>
      <c r="J30724"/>
      <c r="K30724"/>
      <c r="L30724"/>
    </row>
    <row r="30725" spans="2:12" x14ac:dyDescent="0.2">
      <c r="B30725"/>
      <c r="C30725"/>
      <c r="J30725"/>
      <c r="K30725"/>
      <c r="L30725"/>
    </row>
    <row r="30726" spans="2:12" x14ac:dyDescent="0.2">
      <c r="B30726"/>
      <c r="C30726"/>
      <c r="J30726"/>
      <c r="K30726"/>
      <c r="L30726"/>
    </row>
    <row r="30727" spans="2:12" x14ac:dyDescent="0.2">
      <c r="B30727"/>
      <c r="C30727"/>
      <c r="J30727"/>
      <c r="K30727"/>
      <c r="L30727"/>
    </row>
    <row r="30728" spans="2:12" x14ac:dyDescent="0.2">
      <c r="B30728"/>
      <c r="C30728"/>
      <c r="J30728"/>
      <c r="K30728"/>
      <c r="L30728"/>
    </row>
    <row r="30729" spans="2:12" x14ac:dyDescent="0.2">
      <c r="B30729"/>
      <c r="C30729"/>
      <c r="J30729"/>
      <c r="K30729"/>
      <c r="L30729"/>
    </row>
    <row r="30730" spans="2:12" x14ac:dyDescent="0.2">
      <c r="B30730"/>
      <c r="C30730"/>
      <c r="J30730"/>
      <c r="K30730"/>
      <c r="L30730"/>
    </row>
    <row r="30731" spans="2:12" x14ac:dyDescent="0.2">
      <c r="B30731"/>
      <c r="C30731"/>
      <c r="J30731"/>
      <c r="K30731"/>
      <c r="L30731"/>
    </row>
    <row r="30732" spans="2:12" x14ac:dyDescent="0.2">
      <c r="B30732"/>
      <c r="C30732"/>
      <c r="J30732"/>
      <c r="K30732"/>
      <c r="L30732"/>
    </row>
    <row r="30733" spans="2:12" x14ac:dyDescent="0.2">
      <c r="B30733"/>
      <c r="C30733"/>
      <c r="J30733"/>
      <c r="K30733"/>
      <c r="L30733"/>
    </row>
    <row r="30734" spans="2:12" x14ac:dyDescent="0.2">
      <c r="B30734"/>
      <c r="C30734"/>
      <c r="J30734"/>
      <c r="K30734"/>
      <c r="L30734"/>
    </row>
    <row r="30735" spans="2:12" x14ac:dyDescent="0.2">
      <c r="B30735"/>
      <c r="C30735"/>
      <c r="J30735"/>
      <c r="K30735"/>
      <c r="L30735"/>
    </row>
    <row r="30736" spans="2:12" x14ac:dyDescent="0.2">
      <c r="B30736"/>
      <c r="C30736"/>
      <c r="J30736"/>
      <c r="K30736"/>
      <c r="L30736"/>
    </row>
    <row r="30737" spans="2:12" x14ac:dyDescent="0.2">
      <c r="B30737"/>
      <c r="C30737"/>
      <c r="J30737"/>
      <c r="K30737"/>
      <c r="L30737"/>
    </row>
    <row r="30738" spans="2:12" x14ac:dyDescent="0.2">
      <c r="B30738"/>
      <c r="C30738"/>
      <c r="J30738"/>
      <c r="K30738"/>
      <c r="L30738"/>
    </row>
    <row r="30739" spans="2:12" x14ac:dyDescent="0.2">
      <c r="B30739"/>
      <c r="C30739"/>
      <c r="J30739"/>
      <c r="K30739"/>
      <c r="L30739"/>
    </row>
    <row r="30740" spans="2:12" x14ac:dyDescent="0.2">
      <c r="B30740"/>
      <c r="C30740"/>
      <c r="J30740"/>
      <c r="K30740"/>
      <c r="L30740"/>
    </row>
    <row r="30741" spans="2:12" x14ac:dyDescent="0.2">
      <c r="B30741"/>
      <c r="C30741"/>
      <c r="J30741"/>
      <c r="K30741"/>
      <c r="L30741"/>
    </row>
    <row r="30742" spans="2:12" x14ac:dyDescent="0.2">
      <c r="B30742"/>
      <c r="C30742"/>
      <c r="J30742"/>
      <c r="K30742"/>
      <c r="L30742"/>
    </row>
    <row r="30743" spans="2:12" x14ac:dyDescent="0.2">
      <c r="B30743"/>
      <c r="C30743"/>
      <c r="J30743"/>
      <c r="K30743"/>
      <c r="L30743"/>
    </row>
    <row r="30744" spans="2:12" x14ac:dyDescent="0.2">
      <c r="B30744"/>
      <c r="C30744"/>
      <c r="J30744"/>
      <c r="K30744"/>
      <c r="L30744"/>
    </row>
    <row r="30745" spans="2:12" x14ac:dyDescent="0.2">
      <c r="B30745"/>
      <c r="C30745"/>
      <c r="J30745"/>
      <c r="K30745"/>
      <c r="L30745"/>
    </row>
    <row r="30746" spans="2:12" x14ac:dyDescent="0.2">
      <c r="B30746"/>
      <c r="C30746"/>
      <c r="J30746"/>
      <c r="K30746"/>
      <c r="L30746"/>
    </row>
    <row r="30747" spans="2:12" x14ac:dyDescent="0.2">
      <c r="B30747"/>
      <c r="C30747"/>
      <c r="J30747"/>
      <c r="K30747"/>
      <c r="L30747"/>
    </row>
    <row r="30748" spans="2:12" x14ac:dyDescent="0.2">
      <c r="B30748"/>
      <c r="C30748"/>
      <c r="J30748"/>
      <c r="K30748"/>
      <c r="L30748"/>
    </row>
    <row r="30749" spans="2:12" x14ac:dyDescent="0.2">
      <c r="B30749"/>
      <c r="C30749"/>
      <c r="J30749"/>
      <c r="K30749"/>
      <c r="L30749"/>
    </row>
    <row r="30750" spans="2:12" x14ac:dyDescent="0.2">
      <c r="B30750"/>
      <c r="C30750"/>
      <c r="J30750"/>
      <c r="K30750"/>
      <c r="L30750"/>
    </row>
    <row r="30751" spans="2:12" x14ac:dyDescent="0.2">
      <c r="B30751"/>
      <c r="C30751"/>
      <c r="J30751"/>
      <c r="K30751"/>
      <c r="L30751"/>
    </row>
    <row r="30752" spans="2:12" x14ac:dyDescent="0.2">
      <c r="B30752"/>
      <c r="C30752"/>
      <c r="J30752"/>
      <c r="K30752"/>
      <c r="L30752"/>
    </row>
    <row r="30753" spans="2:12" x14ac:dyDescent="0.2">
      <c r="B30753"/>
      <c r="C30753"/>
      <c r="J30753"/>
      <c r="K30753"/>
      <c r="L30753"/>
    </row>
    <row r="30754" spans="2:12" x14ac:dyDescent="0.2">
      <c r="B30754"/>
      <c r="C30754"/>
      <c r="J30754"/>
      <c r="K30754"/>
      <c r="L30754"/>
    </row>
    <row r="30755" spans="2:12" x14ac:dyDescent="0.2">
      <c r="B30755"/>
      <c r="C30755"/>
      <c r="J30755"/>
      <c r="K30755"/>
      <c r="L30755"/>
    </row>
    <row r="30756" spans="2:12" x14ac:dyDescent="0.2">
      <c r="B30756"/>
      <c r="C30756"/>
      <c r="J30756"/>
      <c r="K30756"/>
      <c r="L30756"/>
    </row>
    <row r="30757" spans="2:12" x14ac:dyDescent="0.2">
      <c r="B30757"/>
      <c r="C30757"/>
      <c r="J30757"/>
      <c r="K30757"/>
      <c r="L30757"/>
    </row>
    <row r="30758" spans="2:12" x14ac:dyDescent="0.2">
      <c r="B30758"/>
      <c r="C30758"/>
      <c r="J30758"/>
      <c r="K30758"/>
      <c r="L30758"/>
    </row>
    <row r="30759" spans="2:12" x14ac:dyDescent="0.2">
      <c r="B30759"/>
      <c r="C30759"/>
      <c r="J30759"/>
      <c r="K30759"/>
      <c r="L30759"/>
    </row>
    <row r="30760" spans="2:12" x14ac:dyDescent="0.2">
      <c r="B30760"/>
      <c r="C30760"/>
      <c r="J30760"/>
      <c r="K30760"/>
      <c r="L30760"/>
    </row>
    <row r="30761" spans="2:12" x14ac:dyDescent="0.2">
      <c r="B30761"/>
      <c r="C30761"/>
      <c r="J30761"/>
      <c r="K30761"/>
      <c r="L30761"/>
    </row>
    <row r="30762" spans="2:12" x14ac:dyDescent="0.2">
      <c r="B30762"/>
      <c r="C30762"/>
      <c r="J30762"/>
      <c r="K30762"/>
      <c r="L30762"/>
    </row>
    <row r="30763" spans="2:12" x14ac:dyDescent="0.2">
      <c r="B30763"/>
      <c r="C30763"/>
      <c r="J30763"/>
      <c r="K30763"/>
      <c r="L30763"/>
    </row>
    <row r="30764" spans="2:12" x14ac:dyDescent="0.2">
      <c r="B30764"/>
      <c r="C30764"/>
      <c r="J30764"/>
      <c r="K30764"/>
      <c r="L30764"/>
    </row>
    <row r="30765" spans="2:12" x14ac:dyDescent="0.2">
      <c r="B30765"/>
      <c r="C30765"/>
      <c r="J30765"/>
      <c r="K30765"/>
      <c r="L30765"/>
    </row>
    <row r="30766" spans="2:12" x14ac:dyDescent="0.2">
      <c r="B30766"/>
      <c r="C30766"/>
      <c r="J30766"/>
      <c r="K30766"/>
      <c r="L30766"/>
    </row>
    <row r="30767" spans="2:12" x14ac:dyDescent="0.2">
      <c r="B30767"/>
      <c r="C30767"/>
      <c r="J30767"/>
      <c r="K30767"/>
      <c r="L30767"/>
    </row>
    <row r="30768" spans="2:12" x14ac:dyDescent="0.2">
      <c r="B30768"/>
      <c r="C30768"/>
      <c r="J30768"/>
      <c r="K30768"/>
      <c r="L30768"/>
    </row>
    <row r="30769" spans="2:12" x14ac:dyDescent="0.2">
      <c r="B30769"/>
      <c r="C30769"/>
      <c r="J30769"/>
      <c r="K30769"/>
      <c r="L30769"/>
    </row>
    <row r="30770" spans="2:12" x14ac:dyDescent="0.2">
      <c r="B30770"/>
      <c r="C30770"/>
      <c r="J30770"/>
      <c r="K30770"/>
      <c r="L30770"/>
    </row>
    <row r="30771" spans="2:12" x14ac:dyDescent="0.2">
      <c r="B30771"/>
      <c r="C30771"/>
      <c r="J30771"/>
      <c r="K30771"/>
      <c r="L30771"/>
    </row>
    <row r="30772" spans="2:12" x14ac:dyDescent="0.2">
      <c r="B30772"/>
      <c r="C30772"/>
      <c r="J30772"/>
      <c r="K30772"/>
      <c r="L30772"/>
    </row>
    <row r="30773" spans="2:12" x14ac:dyDescent="0.2">
      <c r="B30773"/>
      <c r="C30773"/>
      <c r="J30773"/>
      <c r="K30773"/>
      <c r="L30773"/>
    </row>
    <row r="30774" spans="2:12" x14ac:dyDescent="0.2">
      <c r="B30774"/>
      <c r="C30774"/>
      <c r="J30774"/>
      <c r="K30774"/>
      <c r="L30774"/>
    </row>
    <row r="30775" spans="2:12" x14ac:dyDescent="0.2">
      <c r="B30775"/>
      <c r="C30775"/>
      <c r="J30775"/>
      <c r="K30775"/>
      <c r="L30775"/>
    </row>
    <row r="30776" spans="2:12" x14ac:dyDescent="0.2">
      <c r="B30776"/>
      <c r="C30776"/>
      <c r="J30776"/>
      <c r="K30776"/>
      <c r="L30776"/>
    </row>
    <row r="30777" spans="2:12" x14ac:dyDescent="0.2">
      <c r="B30777"/>
      <c r="C30777"/>
      <c r="J30777"/>
      <c r="K30777"/>
      <c r="L30777"/>
    </row>
    <row r="30778" spans="2:12" x14ac:dyDescent="0.2">
      <c r="B30778"/>
      <c r="C30778"/>
      <c r="J30778"/>
      <c r="K30778"/>
      <c r="L30778"/>
    </row>
    <row r="30779" spans="2:12" x14ac:dyDescent="0.2">
      <c r="B30779"/>
      <c r="C30779"/>
      <c r="J30779"/>
      <c r="K30779"/>
      <c r="L30779"/>
    </row>
    <row r="30780" spans="2:12" x14ac:dyDescent="0.2">
      <c r="B30780"/>
      <c r="C30780"/>
      <c r="J30780"/>
      <c r="K30780"/>
      <c r="L30780"/>
    </row>
    <row r="30781" spans="2:12" x14ac:dyDescent="0.2">
      <c r="B30781"/>
      <c r="C30781"/>
      <c r="J30781"/>
      <c r="K30781"/>
      <c r="L30781"/>
    </row>
    <row r="30782" spans="2:12" x14ac:dyDescent="0.2">
      <c r="B30782"/>
      <c r="C30782"/>
      <c r="J30782"/>
      <c r="K30782"/>
      <c r="L30782"/>
    </row>
    <row r="30783" spans="2:12" x14ac:dyDescent="0.2">
      <c r="B30783"/>
      <c r="C30783"/>
      <c r="J30783"/>
      <c r="K30783"/>
      <c r="L30783"/>
    </row>
    <row r="30784" spans="2:12" x14ac:dyDescent="0.2">
      <c r="B30784"/>
      <c r="C30784"/>
      <c r="J30784"/>
      <c r="K30784"/>
      <c r="L30784"/>
    </row>
    <row r="30785" spans="2:12" x14ac:dyDescent="0.2">
      <c r="B30785"/>
      <c r="C30785"/>
      <c r="J30785"/>
      <c r="K30785"/>
      <c r="L30785"/>
    </row>
    <row r="30786" spans="2:12" x14ac:dyDescent="0.2">
      <c r="B30786"/>
      <c r="C30786"/>
      <c r="J30786"/>
      <c r="K30786"/>
      <c r="L30786"/>
    </row>
    <row r="30787" spans="2:12" x14ac:dyDescent="0.2">
      <c r="B30787"/>
      <c r="C30787"/>
      <c r="J30787"/>
      <c r="K30787"/>
      <c r="L30787"/>
    </row>
    <row r="30788" spans="2:12" x14ac:dyDescent="0.2">
      <c r="B30788"/>
      <c r="C30788"/>
      <c r="J30788"/>
      <c r="K30788"/>
      <c r="L30788"/>
    </row>
    <row r="30789" spans="2:12" x14ac:dyDescent="0.2">
      <c r="B30789"/>
      <c r="C30789"/>
      <c r="J30789"/>
      <c r="K30789"/>
      <c r="L30789"/>
    </row>
    <row r="30790" spans="2:12" x14ac:dyDescent="0.2">
      <c r="B30790"/>
      <c r="C30790"/>
      <c r="J30790"/>
      <c r="K30790"/>
      <c r="L30790"/>
    </row>
    <row r="30791" spans="2:12" x14ac:dyDescent="0.2">
      <c r="B30791"/>
      <c r="C30791"/>
      <c r="J30791"/>
      <c r="K30791"/>
      <c r="L30791"/>
    </row>
    <row r="30792" spans="2:12" x14ac:dyDescent="0.2">
      <c r="B30792"/>
      <c r="C30792"/>
      <c r="J30792"/>
      <c r="K30792"/>
      <c r="L30792"/>
    </row>
    <row r="30793" spans="2:12" x14ac:dyDescent="0.2">
      <c r="B30793"/>
      <c r="C30793"/>
      <c r="J30793"/>
      <c r="K30793"/>
      <c r="L30793"/>
    </row>
    <row r="30794" spans="2:12" x14ac:dyDescent="0.2">
      <c r="B30794"/>
      <c r="C30794"/>
      <c r="J30794"/>
      <c r="K30794"/>
      <c r="L30794"/>
    </row>
    <row r="30795" spans="2:12" x14ac:dyDescent="0.2">
      <c r="B30795"/>
      <c r="C30795"/>
      <c r="J30795"/>
      <c r="K30795"/>
      <c r="L30795"/>
    </row>
    <row r="30796" spans="2:12" x14ac:dyDescent="0.2">
      <c r="B30796"/>
      <c r="C30796"/>
      <c r="J30796"/>
      <c r="K30796"/>
      <c r="L30796"/>
    </row>
    <row r="30797" spans="2:12" x14ac:dyDescent="0.2">
      <c r="B30797"/>
      <c r="C30797"/>
      <c r="J30797"/>
      <c r="K30797"/>
      <c r="L30797"/>
    </row>
    <row r="30798" spans="2:12" x14ac:dyDescent="0.2">
      <c r="B30798"/>
      <c r="C30798"/>
      <c r="J30798"/>
      <c r="K30798"/>
      <c r="L30798"/>
    </row>
    <row r="30799" spans="2:12" x14ac:dyDescent="0.2">
      <c r="B30799"/>
      <c r="C30799"/>
      <c r="J30799"/>
      <c r="K30799"/>
      <c r="L30799"/>
    </row>
    <row r="30800" spans="2:12" x14ac:dyDescent="0.2">
      <c r="B30800"/>
      <c r="C30800"/>
      <c r="J30800"/>
      <c r="K30800"/>
      <c r="L30800"/>
    </row>
    <row r="30801" spans="2:12" x14ac:dyDescent="0.2">
      <c r="B30801"/>
      <c r="C30801"/>
      <c r="J30801"/>
      <c r="K30801"/>
      <c r="L30801"/>
    </row>
    <row r="30802" spans="2:12" x14ac:dyDescent="0.2">
      <c r="B30802"/>
      <c r="C30802"/>
      <c r="J30802"/>
      <c r="K30802"/>
      <c r="L30802"/>
    </row>
    <row r="30803" spans="2:12" x14ac:dyDescent="0.2">
      <c r="B30803"/>
      <c r="C30803"/>
      <c r="J30803"/>
      <c r="K30803"/>
      <c r="L30803"/>
    </row>
    <row r="30804" spans="2:12" x14ac:dyDescent="0.2">
      <c r="B30804"/>
      <c r="C30804"/>
      <c r="J30804"/>
      <c r="K30804"/>
      <c r="L30804"/>
    </row>
    <row r="30805" spans="2:12" x14ac:dyDescent="0.2">
      <c r="B30805"/>
      <c r="C30805"/>
      <c r="J30805"/>
      <c r="K30805"/>
      <c r="L30805"/>
    </row>
    <row r="30806" spans="2:12" x14ac:dyDescent="0.2">
      <c r="B30806"/>
      <c r="C30806"/>
      <c r="J30806"/>
      <c r="K30806"/>
      <c r="L30806"/>
    </row>
    <row r="30807" spans="2:12" x14ac:dyDescent="0.2">
      <c r="B30807"/>
      <c r="C30807"/>
      <c r="J30807"/>
      <c r="K30807"/>
      <c r="L30807"/>
    </row>
    <row r="30808" spans="2:12" x14ac:dyDescent="0.2">
      <c r="B30808"/>
      <c r="C30808"/>
      <c r="J30808"/>
      <c r="K30808"/>
      <c r="L30808"/>
    </row>
    <row r="30809" spans="2:12" x14ac:dyDescent="0.2">
      <c r="B30809"/>
      <c r="C30809"/>
      <c r="J30809"/>
      <c r="K30809"/>
      <c r="L30809"/>
    </row>
    <row r="30810" spans="2:12" x14ac:dyDescent="0.2">
      <c r="B30810"/>
      <c r="C30810"/>
      <c r="J30810"/>
      <c r="K30810"/>
      <c r="L30810"/>
    </row>
    <row r="30811" spans="2:12" x14ac:dyDescent="0.2">
      <c r="B30811"/>
      <c r="C30811"/>
      <c r="J30811"/>
      <c r="K30811"/>
      <c r="L30811"/>
    </row>
    <row r="30812" spans="2:12" x14ac:dyDescent="0.2">
      <c r="B30812"/>
      <c r="C30812"/>
      <c r="J30812"/>
      <c r="K30812"/>
      <c r="L30812"/>
    </row>
    <row r="30813" spans="2:12" x14ac:dyDescent="0.2">
      <c r="B30813"/>
      <c r="C30813"/>
      <c r="J30813"/>
      <c r="K30813"/>
      <c r="L30813"/>
    </row>
    <row r="30814" spans="2:12" x14ac:dyDescent="0.2">
      <c r="B30814"/>
      <c r="C30814"/>
      <c r="J30814"/>
      <c r="K30814"/>
      <c r="L30814"/>
    </row>
    <row r="30815" spans="2:12" x14ac:dyDescent="0.2">
      <c r="B30815"/>
      <c r="C30815"/>
      <c r="J30815"/>
      <c r="K30815"/>
      <c r="L30815"/>
    </row>
    <row r="30816" spans="2:12" x14ac:dyDescent="0.2">
      <c r="B30816"/>
      <c r="C30816"/>
      <c r="J30816"/>
      <c r="K30816"/>
      <c r="L30816"/>
    </row>
    <row r="30817" spans="2:12" x14ac:dyDescent="0.2">
      <c r="B30817"/>
      <c r="C30817"/>
      <c r="J30817"/>
      <c r="K30817"/>
      <c r="L30817"/>
    </row>
    <row r="30818" spans="2:12" x14ac:dyDescent="0.2">
      <c r="B30818"/>
      <c r="C30818"/>
      <c r="J30818"/>
      <c r="K30818"/>
      <c r="L30818"/>
    </row>
    <row r="30819" spans="2:12" x14ac:dyDescent="0.2">
      <c r="B30819"/>
      <c r="C30819"/>
      <c r="J30819"/>
      <c r="K30819"/>
      <c r="L30819"/>
    </row>
    <row r="30820" spans="2:12" x14ac:dyDescent="0.2">
      <c r="B30820"/>
      <c r="C30820"/>
      <c r="J30820"/>
      <c r="K30820"/>
      <c r="L30820"/>
    </row>
    <row r="30821" spans="2:12" x14ac:dyDescent="0.2">
      <c r="B30821"/>
      <c r="C30821"/>
      <c r="J30821"/>
      <c r="K30821"/>
      <c r="L30821"/>
    </row>
    <row r="30822" spans="2:12" x14ac:dyDescent="0.2">
      <c r="B30822"/>
      <c r="C30822"/>
      <c r="J30822"/>
      <c r="K30822"/>
      <c r="L30822"/>
    </row>
    <row r="30823" spans="2:12" x14ac:dyDescent="0.2">
      <c r="B30823"/>
      <c r="C30823"/>
      <c r="J30823"/>
      <c r="K30823"/>
      <c r="L30823"/>
    </row>
    <row r="30824" spans="2:12" x14ac:dyDescent="0.2">
      <c r="B30824"/>
      <c r="C30824"/>
      <c r="J30824"/>
      <c r="K30824"/>
      <c r="L30824"/>
    </row>
    <row r="30825" spans="2:12" x14ac:dyDescent="0.2">
      <c r="B30825"/>
      <c r="C30825"/>
      <c r="J30825"/>
      <c r="K30825"/>
      <c r="L30825"/>
    </row>
    <row r="30826" spans="2:12" x14ac:dyDescent="0.2">
      <c r="B30826"/>
      <c r="C30826"/>
      <c r="J30826"/>
      <c r="K30826"/>
      <c r="L30826"/>
    </row>
    <row r="30827" spans="2:12" x14ac:dyDescent="0.2">
      <c r="B30827"/>
      <c r="C30827"/>
      <c r="J30827"/>
      <c r="K30827"/>
      <c r="L30827"/>
    </row>
    <row r="30828" spans="2:12" x14ac:dyDescent="0.2">
      <c r="B30828"/>
      <c r="C30828"/>
      <c r="J30828"/>
      <c r="K30828"/>
      <c r="L30828"/>
    </row>
    <row r="30829" spans="2:12" x14ac:dyDescent="0.2">
      <c r="B30829"/>
      <c r="C30829"/>
      <c r="J30829"/>
      <c r="K30829"/>
      <c r="L30829"/>
    </row>
    <row r="30830" spans="2:12" x14ac:dyDescent="0.2">
      <c r="B30830"/>
      <c r="C30830"/>
      <c r="J30830"/>
      <c r="K30830"/>
      <c r="L30830"/>
    </row>
    <row r="30831" spans="2:12" x14ac:dyDescent="0.2">
      <c r="B30831"/>
      <c r="C30831"/>
      <c r="J30831"/>
      <c r="K30831"/>
      <c r="L30831"/>
    </row>
    <row r="30832" spans="2:12" x14ac:dyDescent="0.2">
      <c r="B30832"/>
      <c r="C30832"/>
      <c r="J30832"/>
      <c r="K30832"/>
      <c r="L30832"/>
    </row>
    <row r="30833" spans="2:12" x14ac:dyDescent="0.2">
      <c r="B30833"/>
      <c r="C30833"/>
      <c r="J30833"/>
      <c r="K30833"/>
      <c r="L30833"/>
    </row>
    <row r="30834" spans="2:12" x14ac:dyDescent="0.2">
      <c r="B30834"/>
      <c r="C30834"/>
      <c r="J30834"/>
      <c r="K30834"/>
      <c r="L30834"/>
    </row>
    <row r="30835" spans="2:12" x14ac:dyDescent="0.2">
      <c r="B30835"/>
      <c r="C30835"/>
      <c r="J30835"/>
      <c r="K30835"/>
      <c r="L30835"/>
    </row>
    <row r="30836" spans="2:12" x14ac:dyDescent="0.2">
      <c r="B30836"/>
      <c r="C30836"/>
      <c r="J30836"/>
      <c r="K30836"/>
      <c r="L30836"/>
    </row>
    <row r="30837" spans="2:12" x14ac:dyDescent="0.2">
      <c r="B30837"/>
      <c r="C30837"/>
      <c r="J30837"/>
      <c r="K30837"/>
      <c r="L30837"/>
    </row>
    <row r="30838" spans="2:12" x14ac:dyDescent="0.2">
      <c r="B30838"/>
      <c r="C30838"/>
      <c r="J30838"/>
      <c r="K30838"/>
      <c r="L30838"/>
    </row>
    <row r="30839" spans="2:12" x14ac:dyDescent="0.2">
      <c r="B30839"/>
      <c r="C30839"/>
      <c r="J30839"/>
      <c r="K30839"/>
      <c r="L30839"/>
    </row>
    <row r="30840" spans="2:12" x14ac:dyDescent="0.2">
      <c r="B30840"/>
      <c r="C30840"/>
      <c r="J30840"/>
      <c r="K30840"/>
      <c r="L30840"/>
    </row>
    <row r="30841" spans="2:12" x14ac:dyDescent="0.2">
      <c r="B30841"/>
      <c r="C30841"/>
      <c r="J30841"/>
      <c r="K30841"/>
      <c r="L30841"/>
    </row>
    <row r="30842" spans="2:12" x14ac:dyDescent="0.2">
      <c r="B30842"/>
      <c r="C30842"/>
      <c r="J30842"/>
      <c r="K30842"/>
      <c r="L30842"/>
    </row>
    <row r="30843" spans="2:12" x14ac:dyDescent="0.2">
      <c r="B30843"/>
      <c r="C30843"/>
      <c r="J30843"/>
      <c r="K30843"/>
      <c r="L30843"/>
    </row>
    <row r="30844" spans="2:12" x14ac:dyDescent="0.2">
      <c r="B30844"/>
      <c r="C30844"/>
      <c r="J30844"/>
      <c r="K30844"/>
      <c r="L30844"/>
    </row>
    <row r="30845" spans="2:12" x14ac:dyDescent="0.2">
      <c r="B30845"/>
      <c r="C30845"/>
      <c r="J30845"/>
      <c r="K30845"/>
      <c r="L30845"/>
    </row>
    <row r="30846" spans="2:12" x14ac:dyDescent="0.2">
      <c r="B30846"/>
      <c r="C30846"/>
      <c r="J30846"/>
      <c r="K30846"/>
      <c r="L30846"/>
    </row>
    <row r="30847" spans="2:12" x14ac:dyDescent="0.2">
      <c r="B30847"/>
      <c r="C30847"/>
      <c r="J30847"/>
      <c r="K30847"/>
      <c r="L30847"/>
    </row>
    <row r="30848" spans="2:12" x14ac:dyDescent="0.2">
      <c r="B30848"/>
      <c r="C30848"/>
      <c r="J30848"/>
      <c r="K30848"/>
      <c r="L30848"/>
    </row>
    <row r="30849" spans="2:12" x14ac:dyDescent="0.2">
      <c r="B30849"/>
      <c r="C30849"/>
      <c r="J30849"/>
      <c r="K30849"/>
      <c r="L30849"/>
    </row>
    <row r="30850" spans="2:12" x14ac:dyDescent="0.2">
      <c r="B30850"/>
      <c r="C30850"/>
      <c r="J30850"/>
      <c r="K30850"/>
      <c r="L30850"/>
    </row>
    <row r="30851" spans="2:12" x14ac:dyDescent="0.2">
      <c r="B30851"/>
      <c r="C30851"/>
      <c r="J30851"/>
      <c r="K30851"/>
      <c r="L30851"/>
    </row>
    <row r="30852" spans="2:12" x14ac:dyDescent="0.2">
      <c r="B30852"/>
      <c r="C30852"/>
      <c r="J30852"/>
      <c r="K30852"/>
      <c r="L30852"/>
    </row>
    <row r="30853" spans="2:12" x14ac:dyDescent="0.2">
      <c r="B30853"/>
      <c r="C30853"/>
      <c r="J30853"/>
      <c r="K30853"/>
      <c r="L30853"/>
    </row>
    <row r="30854" spans="2:12" x14ac:dyDescent="0.2">
      <c r="B30854"/>
      <c r="C30854"/>
      <c r="J30854"/>
      <c r="K30854"/>
      <c r="L30854"/>
    </row>
    <row r="30855" spans="2:12" x14ac:dyDescent="0.2">
      <c r="B30855"/>
      <c r="C30855"/>
      <c r="J30855"/>
      <c r="K30855"/>
      <c r="L30855"/>
    </row>
    <row r="30856" spans="2:12" x14ac:dyDescent="0.2">
      <c r="B30856"/>
      <c r="C30856"/>
      <c r="J30856"/>
      <c r="K30856"/>
      <c r="L30856"/>
    </row>
    <row r="30857" spans="2:12" x14ac:dyDescent="0.2">
      <c r="B30857"/>
      <c r="C30857"/>
      <c r="J30857"/>
      <c r="K30857"/>
      <c r="L30857"/>
    </row>
    <row r="30858" spans="2:12" x14ac:dyDescent="0.2">
      <c r="B30858"/>
      <c r="C30858"/>
      <c r="J30858"/>
      <c r="K30858"/>
      <c r="L30858"/>
    </row>
    <row r="30859" spans="2:12" x14ac:dyDescent="0.2">
      <c r="B30859"/>
      <c r="C30859"/>
      <c r="J30859"/>
      <c r="K30859"/>
      <c r="L30859"/>
    </row>
    <row r="30860" spans="2:12" x14ac:dyDescent="0.2">
      <c r="B30860"/>
      <c r="C30860"/>
      <c r="J30860"/>
      <c r="K30860"/>
      <c r="L30860"/>
    </row>
    <row r="30861" spans="2:12" x14ac:dyDescent="0.2">
      <c r="B30861"/>
      <c r="C30861"/>
      <c r="J30861"/>
      <c r="K30861"/>
      <c r="L30861"/>
    </row>
    <row r="30862" spans="2:12" x14ac:dyDescent="0.2">
      <c r="B30862"/>
      <c r="C30862"/>
      <c r="J30862"/>
      <c r="K30862"/>
      <c r="L30862"/>
    </row>
    <row r="30863" spans="2:12" x14ac:dyDescent="0.2">
      <c r="B30863"/>
      <c r="C30863"/>
      <c r="J30863"/>
      <c r="K30863"/>
      <c r="L30863"/>
    </row>
    <row r="30864" spans="2:12" x14ac:dyDescent="0.2">
      <c r="B30864"/>
      <c r="C30864"/>
      <c r="J30864"/>
      <c r="K30864"/>
      <c r="L30864"/>
    </row>
    <row r="30865" spans="2:12" x14ac:dyDescent="0.2">
      <c r="B30865"/>
      <c r="C30865"/>
      <c r="J30865"/>
      <c r="K30865"/>
      <c r="L30865"/>
    </row>
    <row r="30866" spans="2:12" x14ac:dyDescent="0.2">
      <c r="B30866"/>
      <c r="C30866"/>
      <c r="J30866"/>
      <c r="K30866"/>
      <c r="L30866"/>
    </row>
    <row r="30867" spans="2:12" x14ac:dyDescent="0.2">
      <c r="B30867"/>
      <c r="C30867"/>
      <c r="J30867"/>
      <c r="K30867"/>
      <c r="L30867"/>
    </row>
    <row r="30868" spans="2:12" x14ac:dyDescent="0.2">
      <c r="B30868"/>
      <c r="C30868"/>
      <c r="J30868"/>
      <c r="K30868"/>
      <c r="L30868"/>
    </row>
    <row r="30869" spans="2:12" x14ac:dyDescent="0.2">
      <c r="B30869"/>
      <c r="C30869"/>
      <c r="J30869"/>
      <c r="K30869"/>
      <c r="L30869"/>
    </row>
    <row r="30870" spans="2:12" x14ac:dyDescent="0.2">
      <c r="B30870"/>
      <c r="C30870"/>
      <c r="J30870"/>
      <c r="K30870"/>
      <c r="L30870"/>
    </row>
    <row r="30871" spans="2:12" x14ac:dyDescent="0.2">
      <c r="B30871"/>
      <c r="C30871"/>
      <c r="J30871"/>
      <c r="K30871"/>
      <c r="L30871"/>
    </row>
    <row r="30872" spans="2:12" x14ac:dyDescent="0.2">
      <c r="B30872"/>
      <c r="C30872"/>
      <c r="J30872"/>
      <c r="K30872"/>
      <c r="L30872"/>
    </row>
    <row r="30873" spans="2:12" x14ac:dyDescent="0.2">
      <c r="B30873"/>
      <c r="C30873"/>
      <c r="J30873"/>
      <c r="K30873"/>
      <c r="L30873"/>
    </row>
    <row r="30874" spans="2:12" x14ac:dyDescent="0.2">
      <c r="B30874"/>
      <c r="C30874"/>
      <c r="J30874"/>
      <c r="K30874"/>
      <c r="L30874"/>
    </row>
    <row r="30875" spans="2:12" x14ac:dyDescent="0.2">
      <c r="B30875"/>
      <c r="C30875"/>
      <c r="J30875"/>
      <c r="K30875"/>
      <c r="L30875"/>
    </row>
    <row r="30876" spans="2:12" x14ac:dyDescent="0.2">
      <c r="B30876"/>
      <c r="C30876"/>
      <c r="J30876"/>
      <c r="K30876"/>
      <c r="L30876"/>
    </row>
    <row r="30877" spans="2:12" x14ac:dyDescent="0.2">
      <c r="B30877"/>
      <c r="C30877"/>
      <c r="J30877"/>
      <c r="K30877"/>
      <c r="L30877"/>
    </row>
    <row r="30878" spans="2:12" x14ac:dyDescent="0.2">
      <c r="B30878"/>
      <c r="C30878"/>
      <c r="J30878"/>
      <c r="K30878"/>
      <c r="L30878"/>
    </row>
    <row r="30879" spans="2:12" x14ac:dyDescent="0.2">
      <c r="B30879"/>
      <c r="C30879"/>
      <c r="J30879"/>
      <c r="K30879"/>
      <c r="L30879"/>
    </row>
    <row r="30880" spans="2:12" x14ac:dyDescent="0.2">
      <c r="B30880"/>
      <c r="C30880"/>
      <c r="J30880"/>
      <c r="K30880"/>
      <c r="L30880"/>
    </row>
    <row r="30881" spans="2:12" x14ac:dyDescent="0.2">
      <c r="B30881"/>
      <c r="C30881"/>
      <c r="J30881"/>
      <c r="K30881"/>
      <c r="L30881"/>
    </row>
    <row r="30882" spans="2:12" x14ac:dyDescent="0.2">
      <c r="B30882"/>
      <c r="C30882"/>
      <c r="J30882"/>
      <c r="K30882"/>
      <c r="L30882"/>
    </row>
    <row r="30883" spans="2:12" x14ac:dyDescent="0.2">
      <c r="B30883"/>
      <c r="C30883"/>
      <c r="J30883"/>
      <c r="K30883"/>
      <c r="L30883"/>
    </row>
    <row r="30884" spans="2:12" x14ac:dyDescent="0.2">
      <c r="B30884"/>
      <c r="C30884"/>
      <c r="J30884"/>
      <c r="K30884"/>
      <c r="L30884"/>
    </row>
    <row r="30885" spans="2:12" x14ac:dyDescent="0.2">
      <c r="B30885"/>
      <c r="C30885"/>
      <c r="J30885"/>
      <c r="K30885"/>
      <c r="L30885"/>
    </row>
    <row r="30886" spans="2:12" x14ac:dyDescent="0.2">
      <c r="B30886"/>
      <c r="C30886"/>
      <c r="J30886"/>
      <c r="K30886"/>
      <c r="L30886"/>
    </row>
    <row r="30887" spans="2:12" x14ac:dyDescent="0.2">
      <c r="B30887"/>
      <c r="C30887"/>
      <c r="J30887"/>
      <c r="K30887"/>
      <c r="L30887"/>
    </row>
    <row r="30888" spans="2:12" x14ac:dyDescent="0.2">
      <c r="B30888"/>
      <c r="C30888"/>
      <c r="J30888"/>
      <c r="K30888"/>
      <c r="L30888"/>
    </row>
    <row r="30889" spans="2:12" x14ac:dyDescent="0.2">
      <c r="B30889"/>
      <c r="C30889"/>
      <c r="J30889"/>
      <c r="K30889"/>
      <c r="L30889"/>
    </row>
    <row r="30890" spans="2:12" x14ac:dyDescent="0.2">
      <c r="B30890"/>
      <c r="C30890"/>
      <c r="J30890"/>
      <c r="K30890"/>
      <c r="L30890"/>
    </row>
    <row r="30891" spans="2:12" x14ac:dyDescent="0.2">
      <c r="B30891"/>
      <c r="C30891"/>
      <c r="J30891"/>
      <c r="K30891"/>
      <c r="L30891"/>
    </row>
    <row r="30892" spans="2:12" x14ac:dyDescent="0.2">
      <c r="B30892"/>
      <c r="C30892"/>
      <c r="J30892"/>
      <c r="K30892"/>
      <c r="L30892"/>
    </row>
    <row r="30893" spans="2:12" x14ac:dyDescent="0.2">
      <c r="B30893"/>
      <c r="C30893"/>
      <c r="J30893"/>
      <c r="K30893"/>
      <c r="L30893"/>
    </row>
    <row r="30894" spans="2:12" x14ac:dyDescent="0.2">
      <c r="B30894"/>
      <c r="C30894"/>
      <c r="J30894"/>
      <c r="K30894"/>
      <c r="L30894"/>
    </row>
    <row r="30895" spans="2:12" x14ac:dyDescent="0.2">
      <c r="B30895"/>
      <c r="C30895"/>
      <c r="J30895"/>
      <c r="K30895"/>
      <c r="L30895"/>
    </row>
    <row r="30896" spans="2:12" x14ac:dyDescent="0.2">
      <c r="B30896"/>
      <c r="C30896"/>
      <c r="J30896"/>
      <c r="K30896"/>
      <c r="L30896"/>
    </row>
    <row r="30897" spans="2:12" x14ac:dyDescent="0.2">
      <c r="B30897"/>
      <c r="C30897"/>
      <c r="J30897"/>
      <c r="K30897"/>
      <c r="L30897"/>
    </row>
    <row r="30898" spans="2:12" x14ac:dyDescent="0.2">
      <c r="B30898"/>
      <c r="C30898"/>
      <c r="J30898"/>
      <c r="K30898"/>
      <c r="L30898"/>
    </row>
    <row r="30899" spans="2:12" x14ac:dyDescent="0.2">
      <c r="B30899"/>
      <c r="C30899"/>
      <c r="J30899"/>
      <c r="K30899"/>
      <c r="L30899"/>
    </row>
    <row r="30900" spans="2:12" x14ac:dyDescent="0.2">
      <c r="B30900"/>
      <c r="C30900"/>
      <c r="J30900"/>
      <c r="K30900"/>
      <c r="L30900"/>
    </row>
    <row r="30901" spans="2:12" x14ac:dyDescent="0.2">
      <c r="B30901"/>
      <c r="C30901"/>
      <c r="J30901"/>
      <c r="K30901"/>
      <c r="L30901"/>
    </row>
    <row r="30902" spans="2:12" x14ac:dyDescent="0.2">
      <c r="B30902"/>
      <c r="C30902"/>
      <c r="J30902"/>
      <c r="K30902"/>
      <c r="L30902"/>
    </row>
    <row r="30903" spans="2:12" x14ac:dyDescent="0.2">
      <c r="B30903"/>
      <c r="C30903"/>
      <c r="J30903"/>
      <c r="K30903"/>
      <c r="L30903"/>
    </row>
    <row r="30904" spans="2:12" x14ac:dyDescent="0.2">
      <c r="B30904"/>
      <c r="C30904"/>
      <c r="J30904"/>
      <c r="K30904"/>
      <c r="L30904"/>
    </row>
    <row r="30905" spans="2:12" x14ac:dyDescent="0.2">
      <c r="B30905"/>
      <c r="C30905"/>
      <c r="J30905"/>
      <c r="K30905"/>
      <c r="L30905"/>
    </row>
    <row r="30906" spans="2:12" x14ac:dyDescent="0.2">
      <c r="B30906"/>
      <c r="C30906"/>
      <c r="J30906"/>
      <c r="K30906"/>
      <c r="L30906"/>
    </row>
    <row r="30907" spans="2:12" x14ac:dyDescent="0.2">
      <c r="B30907"/>
      <c r="C30907"/>
      <c r="J30907"/>
      <c r="K30907"/>
      <c r="L30907"/>
    </row>
    <row r="30908" spans="2:12" x14ac:dyDescent="0.2">
      <c r="B30908"/>
      <c r="C30908"/>
      <c r="J30908"/>
      <c r="K30908"/>
      <c r="L30908"/>
    </row>
    <row r="30909" spans="2:12" x14ac:dyDescent="0.2">
      <c r="B30909"/>
      <c r="C30909"/>
      <c r="J30909"/>
      <c r="K30909"/>
      <c r="L30909"/>
    </row>
    <row r="30910" spans="2:12" x14ac:dyDescent="0.2">
      <c r="B30910"/>
      <c r="C30910"/>
      <c r="J30910"/>
      <c r="K30910"/>
      <c r="L30910"/>
    </row>
    <row r="30911" spans="2:12" x14ac:dyDescent="0.2">
      <c r="B30911"/>
      <c r="C30911"/>
      <c r="J30911"/>
      <c r="K30911"/>
      <c r="L30911"/>
    </row>
    <row r="30912" spans="2:12" x14ac:dyDescent="0.2">
      <c r="B30912"/>
      <c r="C30912"/>
      <c r="J30912"/>
      <c r="K30912"/>
      <c r="L30912"/>
    </row>
    <row r="30913" spans="2:12" x14ac:dyDescent="0.2">
      <c r="B30913"/>
      <c r="C30913"/>
      <c r="J30913"/>
      <c r="K30913"/>
      <c r="L30913"/>
    </row>
    <row r="30914" spans="2:12" x14ac:dyDescent="0.2">
      <c r="B30914"/>
      <c r="C30914"/>
      <c r="J30914"/>
      <c r="K30914"/>
      <c r="L30914"/>
    </row>
    <row r="30915" spans="2:12" x14ac:dyDescent="0.2">
      <c r="B30915"/>
      <c r="C30915"/>
      <c r="J30915"/>
      <c r="K30915"/>
      <c r="L30915"/>
    </row>
    <row r="30916" spans="2:12" x14ac:dyDescent="0.2">
      <c r="B30916"/>
      <c r="C30916"/>
      <c r="J30916"/>
      <c r="K30916"/>
      <c r="L30916"/>
    </row>
    <row r="30917" spans="2:12" x14ac:dyDescent="0.2">
      <c r="B30917"/>
      <c r="C30917"/>
      <c r="J30917"/>
      <c r="K30917"/>
      <c r="L30917"/>
    </row>
    <row r="30918" spans="2:12" x14ac:dyDescent="0.2">
      <c r="B30918"/>
      <c r="C30918"/>
      <c r="J30918"/>
      <c r="K30918"/>
      <c r="L30918"/>
    </row>
    <row r="30919" spans="2:12" x14ac:dyDescent="0.2">
      <c r="B30919"/>
      <c r="C30919"/>
      <c r="J30919"/>
      <c r="K30919"/>
      <c r="L30919"/>
    </row>
    <row r="30920" spans="2:12" x14ac:dyDescent="0.2">
      <c r="B30920"/>
      <c r="C30920"/>
      <c r="J30920"/>
      <c r="K30920"/>
      <c r="L30920"/>
    </row>
    <row r="30921" spans="2:12" x14ac:dyDescent="0.2">
      <c r="B30921"/>
      <c r="C30921"/>
      <c r="J30921"/>
      <c r="K30921"/>
      <c r="L30921"/>
    </row>
    <row r="30922" spans="2:12" x14ac:dyDescent="0.2">
      <c r="B30922"/>
      <c r="C30922"/>
      <c r="J30922"/>
      <c r="K30922"/>
      <c r="L30922"/>
    </row>
    <row r="30923" spans="2:12" x14ac:dyDescent="0.2">
      <c r="B30923"/>
      <c r="C30923"/>
      <c r="J30923"/>
      <c r="K30923"/>
      <c r="L30923"/>
    </row>
    <row r="30924" spans="2:12" x14ac:dyDescent="0.2">
      <c r="B30924"/>
      <c r="C30924"/>
      <c r="J30924"/>
      <c r="K30924"/>
      <c r="L30924"/>
    </row>
    <row r="30925" spans="2:12" x14ac:dyDescent="0.2">
      <c r="B30925"/>
      <c r="C30925"/>
      <c r="J30925"/>
      <c r="K30925"/>
      <c r="L30925"/>
    </row>
    <row r="30926" spans="2:12" x14ac:dyDescent="0.2">
      <c r="B30926"/>
      <c r="C30926"/>
      <c r="J30926"/>
      <c r="K30926"/>
      <c r="L30926"/>
    </row>
    <row r="30927" spans="2:12" x14ac:dyDescent="0.2">
      <c r="B30927"/>
      <c r="C30927"/>
      <c r="J30927"/>
      <c r="K30927"/>
      <c r="L30927"/>
    </row>
    <row r="30928" spans="2:12" x14ac:dyDescent="0.2">
      <c r="B30928"/>
      <c r="C30928"/>
      <c r="J30928"/>
      <c r="K30928"/>
      <c r="L30928"/>
    </row>
    <row r="30929" spans="2:12" x14ac:dyDescent="0.2">
      <c r="B30929"/>
      <c r="C30929"/>
      <c r="J30929"/>
      <c r="K30929"/>
      <c r="L30929"/>
    </row>
    <row r="30930" spans="2:12" x14ac:dyDescent="0.2">
      <c r="B30930"/>
      <c r="C30930"/>
      <c r="J30930"/>
      <c r="K30930"/>
      <c r="L30930"/>
    </row>
    <row r="30931" spans="2:12" x14ac:dyDescent="0.2">
      <c r="B30931"/>
      <c r="C30931"/>
      <c r="J30931"/>
      <c r="K30931"/>
      <c r="L30931"/>
    </row>
    <row r="30932" spans="2:12" x14ac:dyDescent="0.2">
      <c r="B30932"/>
      <c r="C30932"/>
      <c r="J30932"/>
      <c r="K30932"/>
      <c r="L30932"/>
    </row>
    <row r="30933" spans="2:12" x14ac:dyDescent="0.2">
      <c r="B30933"/>
      <c r="C30933"/>
      <c r="J30933"/>
      <c r="K30933"/>
      <c r="L30933"/>
    </row>
    <row r="30934" spans="2:12" x14ac:dyDescent="0.2">
      <c r="B30934"/>
      <c r="C30934"/>
      <c r="J30934"/>
      <c r="K30934"/>
      <c r="L30934"/>
    </row>
    <row r="30935" spans="2:12" x14ac:dyDescent="0.2">
      <c r="B30935"/>
      <c r="C30935"/>
      <c r="J30935"/>
      <c r="K30935"/>
      <c r="L30935"/>
    </row>
    <row r="30936" spans="2:12" x14ac:dyDescent="0.2">
      <c r="B30936"/>
      <c r="C30936"/>
      <c r="J30936"/>
      <c r="K30936"/>
      <c r="L30936"/>
    </row>
    <row r="30937" spans="2:12" x14ac:dyDescent="0.2">
      <c r="B30937"/>
      <c r="C30937"/>
      <c r="J30937"/>
      <c r="K30937"/>
      <c r="L30937"/>
    </row>
    <row r="30938" spans="2:12" x14ac:dyDescent="0.2">
      <c r="B30938"/>
      <c r="C30938"/>
      <c r="J30938"/>
      <c r="K30938"/>
      <c r="L30938"/>
    </row>
    <row r="30939" spans="2:12" x14ac:dyDescent="0.2">
      <c r="B30939"/>
      <c r="C30939"/>
      <c r="J30939"/>
      <c r="K30939"/>
      <c r="L30939"/>
    </row>
    <row r="30940" spans="2:12" x14ac:dyDescent="0.2">
      <c r="B30940"/>
      <c r="C30940"/>
      <c r="J30940"/>
      <c r="K30940"/>
      <c r="L30940"/>
    </row>
    <row r="30941" spans="2:12" x14ac:dyDescent="0.2">
      <c r="B30941"/>
      <c r="C30941"/>
      <c r="J30941"/>
      <c r="K30941"/>
      <c r="L30941"/>
    </row>
    <row r="30942" spans="2:12" x14ac:dyDescent="0.2">
      <c r="B30942"/>
      <c r="C30942"/>
      <c r="J30942"/>
      <c r="K30942"/>
      <c r="L30942"/>
    </row>
    <row r="30943" spans="2:12" x14ac:dyDescent="0.2">
      <c r="B30943"/>
      <c r="C30943"/>
      <c r="J30943"/>
      <c r="K30943"/>
      <c r="L30943"/>
    </row>
    <row r="30944" spans="2:12" x14ac:dyDescent="0.2">
      <c r="B30944"/>
      <c r="C30944"/>
      <c r="J30944"/>
      <c r="K30944"/>
      <c r="L30944"/>
    </row>
    <row r="30945" spans="2:12" x14ac:dyDescent="0.2">
      <c r="B30945"/>
      <c r="C30945"/>
      <c r="J30945"/>
      <c r="K30945"/>
      <c r="L30945"/>
    </row>
    <row r="30946" spans="2:12" x14ac:dyDescent="0.2">
      <c r="B30946"/>
      <c r="C30946"/>
      <c r="J30946"/>
      <c r="K30946"/>
      <c r="L30946"/>
    </row>
    <row r="30947" spans="2:12" x14ac:dyDescent="0.2">
      <c r="B30947"/>
      <c r="C30947"/>
      <c r="J30947"/>
      <c r="K30947"/>
      <c r="L30947"/>
    </row>
    <row r="30948" spans="2:12" x14ac:dyDescent="0.2">
      <c r="B30948"/>
      <c r="C30948"/>
      <c r="J30948"/>
      <c r="K30948"/>
      <c r="L30948"/>
    </row>
    <row r="30949" spans="2:12" x14ac:dyDescent="0.2">
      <c r="B30949"/>
      <c r="C30949"/>
      <c r="J30949"/>
      <c r="K30949"/>
      <c r="L30949"/>
    </row>
    <row r="30950" spans="2:12" x14ac:dyDescent="0.2">
      <c r="B30950"/>
      <c r="C30950"/>
      <c r="J30950"/>
      <c r="K30950"/>
      <c r="L30950"/>
    </row>
    <row r="30951" spans="2:12" x14ac:dyDescent="0.2">
      <c r="B30951"/>
      <c r="C30951"/>
      <c r="J30951"/>
      <c r="K30951"/>
      <c r="L30951"/>
    </row>
    <row r="30952" spans="2:12" x14ac:dyDescent="0.2">
      <c r="B30952"/>
      <c r="C30952"/>
      <c r="J30952"/>
      <c r="K30952"/>
      <c r="L30952"/>
    </row>
    <row r="30953" spans="2:12" x14ac:dyDescent="0.2">
      <c r="B30953"/>
      <c r="C30953"/>
      <c r="J30953"/>
      <c r="K30953"/>
      <c r="L30953"/>
    </row>
    <row r="30954" spans="2:12" x14ac:dyDescent="0.2">
      <c r="B30954"/>
      <c r="C30954"/>
      <c r="J30954"/>
      <c r="K30954"/>
      <c r="L30954"/>
    </row>
    <row r="30955" spans="2:12" x14ac:dyDescent="0.2">
      <c r="B30955"/>
      <c r="C30955"/>
      <c r="J30955"/>
      <c r="K30955"/>
      <c r="L30955"/>
    </row>
    <row r="30956" spans="2:12" x14ac:dyDescent="0.2">
      <c r="B30956"/>
      <c r="C30956"/>
      <c r="J30956"/>
      <c r="K30956"/>
      <c r="L30956"/>
    </row>
    <row r="30957" spans="2:12" x14ac:dyDescent="0.2">
      <c r="B30957"/>
      <c r="C30957"/>
      <c r="J30957"/>
      <c r="K30957"/>
      <c r="L30957"/>
    </row>
    <row r="30958" spans="2:12" x14ac:dyDescent="0.2">
      <c r="B30958"/>
      <c r="C30958"/>
      <c r="J30958"/>
      <c r="K30958"/>
      <c r="L30958"/>
    </row>
    <row r="30959" spans="2:12" x14ac:dyDescent="0.2">
      <c r="B30959"/>
      <c r="C30959"/>
      <c r="J30959"/>
      <c r="K30959"/>
      <c r="L30959"/>
    </row>
    <row r="30960" spans="2:12" x14ac:dyDescent="0.2">
      <c r="B30960"/>
      <c r="C30960"/>
      <c r="J30960"/>
      <c r="K30960"/>
      <c r="L30960"/>
    </row>
    <row r="30961" spans="2:12" x14ac:dyDescent="0.2">
      <c r="B30961"/>
      <c r="C30961"/>
      <c r="J30961"/>
      <c r="K30961"/>
      <c r="L30961"/>
    </row>
    <row r="30962" spans="2:12" x14ac:dyDescent="0.2">
      <c r="B30962"/>
      <c r="C30962"/>
      <c r="J30962"/>
      <c r="K30962"/>
      <c r="L30962"/>
    </row>
    <row r="30963" spans="2:12" x14ac:dyDescent="0.2">
      <c r="B30963"/>
      <c r="C30963"/>
      <c r="J30963"/>
      <c r="K30963"/>
      <c r="L30963"/>
    </row>
    <row r="30964" spans="2:12" x14ac:dyDescent="0.2">
      <c r="B30964"/>
      <c r="C30964"/>
      <c r="J30964"/>
      <c r="K30964"/>
      <c r="L30964"/>
    </row>
    <row r="30965" spans="2:12" x14ac:dyDescent="0.2">
      <c r="B30965"/>
      <c r="C30965"/>
      <c r="J30965"/>
      <c r="K30965"/>
      <c r="L30965"/>
    </row>
    <row r="30966" spans="2:12" x14ac:dyDescent="0.2">
      <c r="B30966"/>
      <c r="C30966"/>
      <c r="J30966"/>
      <c r="K30966"/>
      <c r="L30966"/>
    </row>
    <row r="30967" spans="2:12" x14ac:dyDescent="0.2">
      <c r="B30967"/>
      <c r="C30967"/>
      <c r="J30967"/>
      <c r="K30967"/>
      <c r="L30967"/>
    </row>
    <row r="30968" spans="2:12" x14ac:dyDescent="0.2">
      <c r="B30968"/>
      <c r="C30968"/>
      <c r="J30968"/>
      <c r="K30968"/>
      <c r="L30968"/>
    </row>
    <row r="30969" spans="2:12" x14ac:dyDescent="0.2">
      <c r="B30969"/>
      <c r="C30969"/>
      <c r="J30969"/>
      <c r="K30969"/>
      <c r="L30969"/>
    </row>
    <row r="30970" spans="2:12" x14ac:dyDescent="0.2">
      <c r="B30970"/>
      <c r="C30970"/>
      <c r="J30970"/>
      <c r="K30970"/>
      <c r="L30970"/>
    </row>
    <row r="30971" spans="2:12" x14ac:dyDescent="0.2">
      <c r="B30971"/>
      <c r="C30971"/>
      <c r="J30971"/>
      <c r="K30971"/>
      <c r="L30971"/>
    </row>
    <row r="30972" spans="2:12" x14ac:dyDescent="0.2">
      <c r="B30972"/>
      <c r="C30972"/>
      <c r="J30972"/>
      <c r="K30972"/>
      <c r="L30972"/>
    </row>
    <row r="30973" spans="2:12" x14ac:dyDescent="0.2">
      <c r="B30973"/>
      <c r="C30973"/>
      <c r="J30973"/>
      <c r="K30973"/>
      <c r="L30973"/>
    </row>
    <row r="30974" spans="2:12" x14ac:dyDescent="0.2">
      <c r="B30974"/>
      <c r="C30974"/>
      <c r="J30974"/>
      <c r="K30974"/>
      <c r="L30974"/>
    </row>
    <row r="30975" spans="2:12" x14ac:dyDescent="0.2">
      <c r="B30975"/>
      <c r="C30975"/>
      <c r="J30975"/>
      <c r="K30975"/>
      <c r="L30975"/>
    </row>
    <row r="30976" spans="2:12" x14ac:dyDescent="0.2">
      <c r="B30976"/>
      <c r="C30976"/>
      <c r="J30976"/>
      <c r="K30976"/>
      <c r="L30976"/>
    </row>
    <row r="30977" spans="2:12" x14ac:dyDescent="0.2">
      <c r="B30977"/>
      <c r="C30977"/>
      <c r="J30977"/>
      <c r="K30977"/>
      <c r="L30977"/>
    </row>
    <row r="30978" spans="2:12" x14ac:dyDescent="0.2">
      <c r="B30978"/>
      <c r="C30978"/>
      <c r="J30978"/>
      <c r="K30978"/>
      <c r="L30978"/>
    </row>
    <row r="30979" spans="2:12" x14ac:dyDescent="0.2">
      <c r="B30979"/>
      <c r="C30979"/>
      <c r="J30979"/>
      <c r="K30979"/>
      <c r="L30979"/>
    </row>
    <row r="30980" spans="2:12" x14ac:dyDescent="0.2">
      <c r="B30980"/>
      <c r="C30980"/>
      <c r="J30980"/>
      <c r="K30980"/>
      <c r="L30980"/>
    </row>
    <row r="30981" spans="2:12" x14ac:dyDescent="0.2">
      <c r="B30981"/>
      <c r="C30981"/>
      <c r="J30981"/>
      <c r="K30981"/>
      <c r="L30981"/>
    </row>
    <row r="30982" spans="2:12" x14ac:dyDescent="0.2">
      <c r="B30982"/>
      <c r="C30982"/>
      <c r="J30982"/>
      <c r="K30982"/>
      <c r="L30982"/>
    </row>
    <row r="30983" spans="2:12" x14ac:dyDescent="0.2">
      <c r="B30983"/>
      <c r="C30983"/>
      <c r="J30983"/>
      <c r="K30983"/>
      <c r="L30983"/>
    </row>
    <row r="30984" spans="2:12" x14ac:dyDescent="0.2">
      <c r="B30984"/>
      <c r="C30984"/>
      <c r="J30984"/>
      <c r="K30984"/>
      <c r="L30984"/>
    </row>
    <row r="30985" spans="2:12" x14ac:dyDescent="0.2">
      <c r="B30985"/>
      <c r="C30985"/>
      <c r="J30985"/>
      <c r="K30985"/>
      <c r="L30985"/>
    </row>
    <row r="30986" spans="2:12" x14ac:dyDescent="0.2">
      <c r="B30986"/>
      <c r="C30986"/>
      <c r="J30986"/>
      <c r="K30986"/>
      <c r="L30986"/>
    </row>
    <row r="30987" spans="2:12" x14ac:dyDescent="0.2">
      <c r="B30987"/>
      <c r="C30987"/>
      <c r="J30987"/>
      <c r="K30987"/>
      <c r="L30987"/>
    </row>
    <row r="30988" spans="2:12" x14ac:dyDescent="0.2">
      <c r="B30988"/>
      <c r="C30988"/>
      <c r="J30988"/>
      <c r="K30988"/>
      <c r="L30988"/>
    </row>
    <row r="30989" spans="2:12" x14ac:dyDescent="0.2">
      <c r="B30989"/>
      <c r="C30989"/>
      <c r="J30989"/>
      <c r="K30989"/>
      <c r="L30989"/>
    </row>
    <row r="30990" spans="2:12" x14ac:dyDescent="0.2">
      <c r="B30990"/>
      <c r="C30990"/>
      <c r="J30990"/>
      <c r="K30990"/>
      <c r="L30990"/>
    </row>
    <row r="30991" spans="2:12" x14ac:dyDescent="0.2">
      <c r="B30991"/>
      <c r="C30991"/>
      <c r="J30991"/>
      <c r="K30991"/>
      <c r="L30991"/>
    </row>
    <row r="30992" spans="2:12" x14ac:dyDescent="0.2">
      <c r="B30992"/>
      <c r="C30992"/>
      <c r="J30992"/>
      <c r="K30992"/>
      <c r="L30992"/>
    </row>
    <row r="30993" spans="2:12" x14ac:dyDescent="0.2">
      <c r="B30993"/>
      <c r="C30993"/>
      <c r="J30993"/>
      <c r="K30993"/>
      <c r="L30993"/>
    </row>
    <row r="30994" spans="2:12" x14ac:dyDescent="0.2">
      <c r="B30994"/>
      <c r="C30994"/>
      <c r="J30994"/>
      <c r="K30994"/>
      <c r="L30994"/>
    </row>
    <row r="30995" spans="2:12" x14ac:dyDescent="0.2">
      <c r="B30995"/>
      <c r="C30995"/>
      <c r="J30995"/>
      <c r="K30995"/>
      <c r="L30995"/>
    </row>
    <row r="30996" spans="2:12" x14ac:dyDescent="0.2">
      <c r="B30996"/>
      <c r="C30996"/>
      <c r="J30996"/>
      <c r="K30996"/>
      <c r="L30996"/>
    </row>
    <row r="30997" spans="2:12" x14ac:dyDescent="0.2">
      <c r="B30997"/>
      <c r="C30997"/>
      <c r="J30997"/>
      <c r="K30997"/>
      <c r="L30997"/>
    </row>
    <row r="30998" spans="2:12" x14ac:dyDescent="0.2">
      <c r="B30998"/>
      <c r="C30998"/>
      <c r="J30998"/>
      <c r="K30998"/>
      <c r="L30998"/>
    </row>
    <row r="30999" spans="2:12" x14ac:dyDescent="0.2">
      <c r="B30999"/>
      <c r="C30999"/>
      <c r="J30999"/>
      <c r="K30999"/>
      <c r="L30999"/>
    </row>
    <row r="31000" spans="2:12" x14ac:dyDescent="0.2">
      <c r="B31000"/>
      <c r="C31000"/>
      <c r="J31000"/>
      <c r="K31000"/>
      <c r="L31000"/>
    </row>
    <row r="31001" spans="2:12" x14ac:dyDescent="0.2">
      <c r="B31001"/>
      <c r="C31001"/>
      <c r="J31001"/>
      <c r="K31001"/>
      <c r="L31001"/>
    </row>
    <row r="31002" spans="2:12" x14ac:dyDescent="0.2">
      <c r="B31002"/>
      <c r="C31002"/>
      <c r="J31002"/>
      <c r="K31002"/>
      <c r="L31002"/>
    </row>
    <row r="31003" spans="2:12" x14ac:dyDescent="0.2">
      <c r="B31003"/>
      <c r="C31003"/>
      <c r="J31003"/>
      <c r="K31003"/>
      <c r="L31003"/>
    </row>
    <row r="31004" spans="2:12" x14ac:dyDescent="0.2">
      <c r="B31004"/>
      <c r="C31004"/>
      <c r="J31004"/>
      <c r="K31004"/>
      <c r="L31004"/>
    </row>
    <row r="31005" spans="2:12" x14ac:dyDescent="0.2">
      <c r="B31005"/>
      <c r="C31005"/>
      <c r="J31005"/>
      <c r="K31005"/>
      <c r="L31005"/>
    </row>
    <row r="31006" spans="2:12" x14ac:dyDescent="0.2">
      <c r="B31006"/>
      <c r="C31006"/>
      <c r="J31006"/>
      <c r="K31006"/>
      <c r="L31006"/>
    </row>
    <row r="31007" spans="2:12" x14ac:dyDescent="0.2">
      <c r="B31007"/>
      <c r="C31007"/>
      <c r="J31007"/>
      <c r="K31007"/>
      <c r="L31007"/>
    </row>
    <row r="31008" spans="2:12" x14ac:dyDescent="0.2">
      <c r="B31008"/>
      <c r="C31008"/>
      <c r="J31008"/>
      <c r="K31008"/>
      <c r="L31008"/>
    </row>
    <row r="31009" spans="2:12" x14ac:dyDescent="0.2">
      <c r="B31009"/>
      <c r="C31009"/>
      <c r="J31009"/>
      <c r="K31009"/>
      <c r="L31009"/>
    </row>
    <row r="31010" spans="2:12" x14ac:dyDescent="0.2">
      <c r="B31010"/>
      <c r="C31010"/>
      <c r="J31010"/>
      <c r="K31010"/>
      <c r="L31010"/>
    </row>
    <row r="31011" spans="2:12" x14ac:dyDescent="0.2">
      <c r="B31011"/>
      <c r="C31011"/>
      <c r="J31011"/>
      <c r="K31011"/>
      <c r="L31011"/>
    </row>
    <row r="31012" spans="2:12" x14ac:dyDescent="0.2">
      <c r="B31012"/>
      <c r="C31012"/>
      <c r="J31012"/>
      <c r="K31012"/>
      <c r="L31012"/>
    </row>
    <row r="31013" spans="2:12" x14ac:dyDescent="0.2">
      <c r="B31013"/>
      <c r="C31013"/>
      <c r="J31013"/>
      <c r="K31013"/>
      <c r="L31013"/>
    </row>
    <row r="31014" spans="2:12" x14ac:dyDescent="0.2">
      <c r="B31014"/>
      <c r="C31014"/>
      <c r="J31014"/>
      <c r="K31014"/>
      <c r="L31014"/>
    </row>
    <row r="31015" spans="2:12" x14ac:dyDescent="0.2">
      <c r="B31015"/>
      <c r="C31015"/>
      <c r="J31015"/>
      <c r="K31015"/>
      <c r="L31015"/>
    </row>
    <row r="31016" spans="2:12" x14ac:dyDescent="0.2">
      <c r="B31016"/>
      <c r="C31016"/>
      <c r="J31016"/>
      <c r="K31016"/>
      <c r="L31016"/>
    </row>
    <row r="31017" spans="2:12" x14ac:dyDescent="0.2">
      <c r="B31017"/>
      <c r="C31017"/>
      <c r="J31017"/>
      <c r="K31017"/>
      <c r="L31017"/>
    </row>
    <row r="31018" spans="2:12" x14ac:dyDescent="0.2">
      <c r="B31018"/>
      <c r="C31018"/>
      <c r="J31018"/>
      <c r="K31018"/>
      <c r="L31018"/>
    </row>
    <row r="31019" spans="2:12" x14ac:dyDescent="0.2">
      <c r="B31019"/>
      <c r="C31019"/>
      <c r="J31019"/>
      <c r="K31019"/>
      <c r="L31019"/>
    </row>
    <row r="31020" spans="2:12" x14ac:dyDescent="0.2">
      <c r="B31020"/>
      <c r="C31020"/>
      <c r="J31020"/>
      <c r="K31020"/>
      <c r="L31020"/>
    </row>
    <row r="31021" spans="2:12" x14ac:dyDescent="0.2">
      <c r="B31021"/>
      <c r="C31021"/>
      <c r="J31021"/>
      <c r="K31021"/>
      <c r="L31021"/>
    </row>
    <row r="31022" spans="2:12" x14ac:dyDescent="0.2">
      <c r="B31022"/>
      <c r="C31022"/>
      <c r="J31022"/>
      <c r="K31022"/>
      <c r="L31022"/>
    </row>
    <row r="31023" spans="2:12" x14ac:dyDescent="0.2">
      <c r="B31023"/>
      <c r="C31023"/>
      <c r="J31023"/>
      <c r="K31023"/>
      <c r="L31023"/>
    </row>
    <row r="31024" spans="2:12" x14ac:dyDescent="0.2">
      <c r="B31024"/>
      <c r="C31024"/>
      <c r="J31024"/>
      <c r="K31024"/>
      <c r="L31024"/>
    </row>
    <row r="31025" spans="2:12" x14ac:dyDescent="0.2">
      <c r="B31025"/>
      <c r="C31025"/>
      <c r="J31025"/>
      <c r="K31025"/>
      <c r="L31025"/>
    </row>
    <row r="31026" spans="2:12" x14ac:dyDescent="0.2">
      <c r="B31026"/>
      <c r="C31026"/>
      <c r="J31026"/>
      <c r="K31026"/>
      <c r="L31026"/>
    </row>
    <row r="31027" spans="2:12" x14ac:dyDescent="0.2">
      <c r="B31027"/>
      <c r="C31027"/>
      <c r="J31027"/>
      <c r="K31027"/>
      <c r="L31027"/>
    </row>
    <row r="31028" spans="2:12" x14ac:dyDescent="0.2">
      <c r="B31028"/>
      <c r="C31028"/>
      <c r="J31028"/>
      <c r="K31028"/>
      <c r="L31028"/>
    </row>
    <row r="31029" spans="2:12" x14ac:dyDescent="0.2">
      <c r="B31029"/>
      <c r="C31029"/>
      <c r="J31029"/>
      <c r="K31029"/>
      <c r="L31029"/>
    </row>
    <row r="31030" spans="2:12" x14ac:dyDescent="0.2">
      <c r="B31030"/>
      <c r="C31030"/>
      <c r="J31030"/>
      <c r="K31030"/>
      <c r="L31030"/>
    </row>
    <row r="31031" spans="2:12" x14ac:dyDescent="0.2">
      <c r="B31031"/>
      <c r="C31031"/>
      <c r="J31031"/>
      <c r="K31031"/>
      <c r="L31031"/>
    </row>
    <row r="31032" spans="2:12" x14ac:dyDescent="0.2">
      <c r="B31032"/>
      <c r="C31032"/>
      <c r="J31032"/>
      <c r="K31032"/>
      <c r="L31032"/>
    </row>
    <row r="31033" spans="2:12" x14ac:dyDescent="0.2">
      <c r="B31033"/>
      <c r="C31033"/>
      <c r="J31033"/>
      <c r="K31033"/>
      <c r="L31033"/>
    </row>
    <row r="31034" spans="2:12" x14ac:dyDescent="0.2">
      <c r="B31034"/>
      <c r="C31034"/>
      <c r="J31034"/>
      <c r="K31034"/>
      <c r="L31034"/>
    </row>
    <row r="31035" spans="2:12" x14ac:dyDescent="0.2">
      <c r="B31035"/>
      <c r="C31035"/>
      <c r="J31035"/>
      <c r="K31035"/>
      <c r="L31035"/>
    </row>
    <row r="31036" spans="2:12" x14ac:dyDescent="0.2">
      <c r="B31036"/>
      <c r="C31036"/>
      <c r="J31036"/>
      <c r="K31036"/>
      <c r="L31036"/>
    </row>
    <row r="31037" spans="2:12" x14ac:dyDescent="0.2">
      <c r="B31037"/>
      <c r="C31037"/>
      <c r="J31037"/>
      <c r="K31037"/>
      <c r="L31037"/>
    </row>
    <row r="31038" spans="2:12" x14ac:dyDescent="0.2">
      <c r="B31038"/>
      <c r="C31038"/>
      <c r="J31038"/>
      <c r="K31038"/>
      <c r="L31038"/>
    </row>
    <row r="31039" spans="2:12" x14ac:dyDescent="0.2">
      <c r="B31039"/>
      <c r="C31039"/>
      <c r="J31039"/>
      <c r="K31039"/>
      <c r="L31039"/>
    </row>
    <row r="31040" spans="2:12" x14ac:dyDescent="0.2">
      <c r="B31040"/>
      <c r="C31040"/>
      <c r="J31040"/>
      <c r="K31040"/>
      <c r="L31040"/>
    </row>
    <row r="31041" spans="2:12" x14ac:dyDescent="0.2">
      <c r="B31041"/>
      <c r="C31041"/>
      <c r="J31041"/>
      <c r="K31041"/>
      <c r="L31041"/>
    </row>
    <row r="31042" spans="2:12" x14ac:dyDescent="0.2">
      <c r="B31042"/>
      <c r="C31042"/>
      <c r="J31042"/>
      <c r="K31042"/>
      <c r="L31042"/>
    </row>
    <row r="31043" spans="2:12" x14ac:dyDescent="0.2">
      <c r="B31043"/>
      <c r="C31043"/>
      <c r="J31043"/>
      <c r="K31043"/>
      <c r="L31043"/>
    </row>
    <row r="31044" spans="2:12" x14ac:dyDescent="0.2">
      <c r="B31044"/>
      <c r="C31044"/>
      <c r="J31044"/>
      <c r="K31044"/>
      <c r="L31044"/>
    </row>
    <row r="31045" spans="2:12" x14ac:dyDescent="0.2">
      <c r="B31045"/>
      <c r="C31045"/>
      <c r="J31045"/>
      <c r="K31045"/>
      <c r="L31045"/>
    </row>
    <row r="31046" spans="2:12" x14ac:dyDescent="0.2">
      <c r="B31046"/>
      <c r="C31046"/>
      <c r="J31046"/>
      <c r="K31046"/>
      <c r="L31046"/>
    </row>
    <row r="31047" spans="2:12" x14ac:dyDescent="0.2">
      <c r="B31047"/>
      <c r="C31047"/>
      <c r="J31047"/>
      <c r="K31047"/>
      <c r="L31047"/>
    </row>
    <row r="31048" spans="2:12" x14ac:dyDescent="0.2">
      <c r="B31048"/>
      <c r="C31048"/>
      <c r="J31048"/>
      <c r="K31048"/>
      <c r="L31048"/>
    </row>
    <row r="31049" spans="2:12" x14ac:dyDescent="0.2">
      <c r="B31049"/>
      <c r="C31049"/>
      <c r="J31049"/>
      <c r="K31049"/>
      <c r="L31049"/>
    </row>
    <row r="31050" spans="2:12" x14ac:dyDescent="0.2">
      <c r="B31050"/>
      <c r="C31050"/>
      <c r="J31050"/>
      <c r="K31050"/>
      <c r="L31050"/>
    </row>
    <row r="31051" spans="2:12" x14ac:dyDescent="0.2">
      <c r="B31051"/>
      <c r="C31051"/>
      <c r="J31051"/>
      <c r="K31051"/>
      <c r="L31051"/>
    </row>
    <row r="31052" spans="2:12" x14ac:dyDescent="0.2">
      <c r="B31052"/>
      <c r="C31052"/>
      <c r="J31052"/>
      <c r="K31052"/>
      <c r="L31052"/>
    </row>
    <row r="31053" spans="2:12" x14ac:dyDescent="0.2">
      <c r="B31053"/>
      <c r="C31053"/>
      <c r="J31053"/>
      <c r="K31053"/>
      <c r="L31053"/>
    </row>
    <row r="31054" spans="2:12" x14ac:dyDescent="0.2">
      <c r="B31054"/>
      <c r="C31054"/>
      <c r="J31054"/>
      <c r="K31054"/>
      <c r="L31054"/>
    </row>
    <row r="31055" spans="2:12" x14ac:dyDescent="0.2">
      <c r="B31055"/>
      <c r="C31055"/>
      <c r="J31055"/>
      <c r="K31055"/>
      <c r="L31055"/>
    </row>
    <row r="31056" spans="2:12" x14ac:dyDescent="0.2">
      <c r="B31056"/>
      <c r="C31056"/>
      <c r="J31056"/>
      <c r="K31056"/>
      <c r="L31056"/>
    </row>
    <row r="31057" spans="2:12" x14ac:dyDescent="0.2">
      <c r="B31057"/>
      <c r="C31057"/>
      <c r="J31057"/>
      <c r="K31057"/>
      <c r="L31057"/>
    </row>
    <row r="31058" spans="2:12" x14ac:dyDescent="0.2">
      <c r="B31058"/>
      <c r="C31058"/>
      <c r="J31058"/>
      <c r="K31058"/>
      <c r="L31058"/>
    </row>
    <row r="31059" spans="2:12" x14ac:dyDescent="0.2">
      <c r="B31059"/>
      <c r="C31059"/>
      <c r="J31059"/>
      <c r="K31059"/>
      <c r="L31059"/>
    </row>
    <row r="31060" spans="2:12" x14ac:dyDescent="0.2">
      <c r="B31060"/>
      <c r="C31060"/>
      <c r="J31060"/>
      <c r="K31060"/>
      <c r="L31060"/>
    </row>
    <row r="31061" spans="2:12" x14ac:dyDescent="0.2">
      <c r="B31061"/>
      <c r="C31061"/>
      <c r="J31061"/>
      <c r="K31061"/>
      <c r="L31061"/>
    </row>
    <row r="31062" spans="2:12" x14ac:dyDescent="0.2">
      <c r="B31062"/>
      <c r="C31062"/>
      <c r="J31062"/>
      <c r="K31062"/>
      <c r="L31062"/>
    </row>
    <row r="31063" spans="2:12" x14ac:dyDescent="0.2">
      <c r="B31063"/>
      <c r="C31063"/>
      <c r="J31063"/>
      <c r="K31063"/>
      <c r="L31063"/>
    </row>
    <row r="31064" spans="2:12" x14ac:dyDescent="0.2">
      <c r="B31064"/>
      <c r="C31064"/>
      <c r="J31064"/>
      <c r="K31064"/>
      <c r="L31064"/>
    </row>
    <row r="31065" spans="2:12" x14ac:dyDescent="0.2">
      <c r="B31065"/>
      <c r="C31065"/>
      <c r="J31065"/>
      <c r="K31065"/>
      <c r="L31065"/>
    </row>
    <row r="31066" spans="2:12" x14ac:dyDescent="0.2">
      <c r="B31066"/>
      <c r="C31066"/>
      <c r="J31066"/>
      <c r="K31066"/>
      <c r="L31066"/>
    </row>
    <row r="31067" spans="2:12" x14ac:dyDescent="0.2">
      <c r="B31067"/>
      <c r="C31067"/>
      <c r="J31067"/>
      <c r="K31067"/>
      <c r="L31067"/>
    </row>
    <row r="31068" spans="2:12" x14ac:dyDescent="0.2">
      <c r="B31068"/>
      <c r="C31068"/>
      <c r="J31068"/>
      <c r="K31068"/>
      <c r="L31068"/>
    </row>
    <row r="31069" spans="2:12" x14ac:dyDescent="0.2">
      <c r="B31069"/>
      <c r="C31069"/>
      <c r="J31069"/>
      <c r="K31069"/>
      <c r="L31069"/>
    </row>
    <row r="31070" spans="2:12" x14ac:dyDescent="0.2">
      <c r="B31070"/>
      <c r="C31070"/>
      <c r="J31070"/>
      <c r="K31070"/>
      <c r="L31070"/>
    </row>
    <row r="31071" spans="2:12" x14ac:dyDescent="0.2">
      <c r="B31071"/>
      <c r="C31071"/>
      <c r="J31071"/>
      <c r="K31071"/>
      <c r="L31071"/>
    </row>
    <row r="31072" spans="2:12" x14ac:dyDescent="0.2">
      <c r="B31072"/>
      <c r="C31072"/>
      <c r="J31072"/>
      <c r="K31072"/>
      <c r="L31072"/>
    </row>
    <row r="31073" spans="2:12" x14ac:dyDescent="0.2">
      <c r="B31073"/>
      <c r="C31073"/>
      <c r="J31073"/>
      <c r="K31073"/>
      <c r="L31073"/>
    </row>
    <row r="31074" spans="2:12" x14ac:dyDescent="0.2">
      <c r="B31074"/>
      <c r="C31074"/>
      <c r="J31074"/>
      <c r="K31074"/>
      <c r="L31074"/>
    </row>
    <row r="31075" spans="2:12" x14ac:dyDescent="0.2">
      <c r="B31075"/>
      <c r="C31075"/>
      <c r="J31075"/>
      <c r="K31075"/>
      <c r="L31075"/>
    </row>
    <row r="31076" spans="2:12" x14ac:dyDescent="0.2">
      <c r="B31076"/>
      <c r="C31076"/>
      <c r="J31076"/>
      <c r="K31076"/>
      <c r="L31076"/>
    </row>
    <row r="31077" spans="2:12" x14ac:dyDescent="0.2">
      <c r="B31077"/>
      <c r="C31077"/>
      <c r="J31077"/>
      <c r="K31077"/>
      <c r="L31077"/>
    </row>
    <row r="31078" spans="2:12" x14ac:dyDescent="0.2">
      <c r="B31078"/>
      <c r="C31078"/>
      <c r="J31078"/>
      <c r="K31078"/>
      <c r="L31078"/>
    </row>
    <row r="31079" spans="2:12" x14ac:dyDescent="0.2">
      <c r="B31079"/>
      <c r="C31079"/>
      <c r="J31079"/>
      <c r="K31079"/>
      <c r="L31079"/>
    </row>
    <row r="31080" spans="2:12" x14ac:dyDescent="0.2">
      <c r="B31080"/>
      <c r="C31080"/>
      <c r="J31080"/>
      <c r="K31080"/>
      <c r="L31080"/>
    </row>
    <row r="31081" spans="2:12" x14ac:dyDescent="0.2">
      <c r="B31081"/>
      <c r="C31081"/>
      <c r="J31081"/>
      <c r="K31081"/>
      <c r="L31081"/>
    </row>
    <row r="31082" spans="2:12" x14ac:dyDescent="0.2">
      <c r="B31082"/>
      <c r="C31082"/>
      <c r="J31082"/>
      <c r="K31082"/>
      <c r="L31082"/>
    </row>
    <row r="31083" spans="2:12" x14ac:dyDescent="0.2">
      <c r="B31083"/>
      <c r="C31083"/>
      <c r="J31083"/>
      <c r="K31083"/>
      <c r="L31083"/>
    </row>
    <row r="31084" spans="2:12" x14ac:dyDescent="0.2">
      <c r="B31084"/>
      <c r="C31084"/>
      <c r="J31084"/>
      <c r="K31084"/>
      <c r="L31084"/>
    </row>
    <row r="31085" spans="2:12" x14ac:dyDescent="0.2">
      <c r="B31085"/>
      <c r="C31085"/>
      <c r="J31085"/>
      <c r="K31085"/>
      <c r="L31085"/>
    </row>
    <row r="31086" spans="2:12" x14ac:dyDescent="0.2">
      <c r="B31086"/>
      <c r="C31086"/>
      <c r="J31086"/>
      <c r="K31086"/>
      <c r="L31086"/>
    </row>
    <row r="31087" spans="2:12" x14ac:dyDescent="0.2">
      <c r="B31087"/>
      <c r="C31087"/>
      <c r="J31087"/>
      <c r="K31087"/>
      <c r="L31087"/>
    </row>
    <row r="31088" spans="2:12" x14ac:dyDescent="0.2">
      <c r="B31088"/>
      <c r="C31088"/>
      <c r="J31088"/>
      <c r="K31088"/>
      <c r="L31088"/>
    </row>
    <row r="31089" spans="2:12" x14ac:dyDescent="0.2">
      <c r="B31089"/>
      <c r="C31089"/>
      <c r="J31089"/>
      <c r="K31089"/>
      <c r="L31089"/>
    </row>
    <row r="31090" spans="2:12" x14ac:dyDescent="0.2">
      <c r="B31090"/>
      <c r="C31090"/>
      <c r="J31090"/>
      <c r="K31090"/>
      <c r="L31090"/>
    </row>
    <row r="31091" spans="2:12" x14ac:dyDescent="0.2">
      <c r="B31091"/>
      <c r="C31091"/>
      <c r="J31091"/>
      <c r="K31091"/>
      <c r="L31091"/>
    </row>
    <row r="31092" spans="2:12" x14ac:dyDescent="0.2">
      <c r="B31092"/>
      <c r="C31092"/>
      <c r="J31092"/>
      <c r="K31092"/>
      <c r="L31092"/>
    </row>
    <row r="31093" spans="2:12" x14ac:dyDescent="0.2">
      <c r="B31093"/>
      <c r="C31093"/>
      <c r="J31093"/>
      <c r="K31093"/>
      <c r="L31093"/>
    </row>
    <row r="31094" spans="2:12" x14ac:dyDescent="0.2">
      <c r="B31094"/>
      <c r="C31094"/>
      <c r="J31094"/>
      <c r="K31094"/>
      <c r="L31094"/>
    </row>
    <row r="31095" spans="2:12" x14ac:dyDescent="0.2">
      <c r="B31095"/>
      <c r="C31095"/>
      <c r="J31095"/>
      <c r="K31095"/>
      <c r="L31095"/>
    </row>
    <row r="31096" spans="2:12" x14ac:dyDescent="0.2">
      <c r="B31096"/>
      <c r="C31096"/>
      <c r="J31096"/>
      <c r="K31096"/>
      <c r="L31096"/>
    </row>
    <row r="31097" spans="2:12" x14ac:dyDescent="0.2">
      <c r="B31097"/>
      <c r="C31097"/>
      <c r="J31097"/>
      <c r="K31097"/>
      <c r="L31097"/>
    </row>
    <row r="31098" spans="2:12" x14ac:dyDescent="0.2">
      <c r="B31098"/>
      <c r="C31098"/>
      <c r="J31098"/>
      <c r="K31098"/>
      <c r="L31098"/>
    </row>
    <row r="31099" spans="2:12" x14ac:dyDescent="0.2">
      <c r="B31099"/>
      <c r="C31099"/>
      <c r="J31099"/>
      <c r="K31099"/>
      <c r="L31099"/>
    </row>
    <row r="31100" spans="2:12" x14ac:dyDescent="0.2">
      <c r="B31100"/>
      <c r="C31100"/>
      <c r="J31100"/>
      <c r="K31100"/>
      <c r="L31100"/>
    </row>
    <row r="31101" spans="2:12" x14ac:dyDescent="0.2">
      <c r="B31101"/>
      <c r="C31101"/>
      <c r="J31101"/>
      <c r="K31101"/>
      <c r="L31101"/>
    </row>
    <row r="31102" spans="2:12" x14ac:dyDescent="0.2">
      <c r="B31102"/>
      <c r="C31102"/>
      <c r="J31102"/>
      <c r="K31102"/>
      <c r="L31102"/>
    </row>
    <row r="31103" spans="2:12" x14ac:dyDescent="0.2">
      <c r="B31103"/>
      <c r="C31103"/>
      <c r="J31103"/>
      <c r="K31103"/>
      <c r="L31103"/>
    </row>
    <row r="31104" spans="2:12" x14ac:dyDescent="0.2">
      <c r="B31104"/>
      <c r="C31104"/>
      <c r="J31104"/>
      <c r="K31104"/>
      <c r="L31104"/>
    </row>
    <row r="31105" spans="2:12" x14ac:dyDescent="0.2">
      <c r="B31105"/>
      <c r="C31105"/>
      <c r="J31105"/>
      <c r="K31105"/>
      <c r="L31105"/>
    </row>
    <row r="31106" spans="2:12" x14ac:dyDescent="0.2">
      <c r="B31106"/>
      <c r="C31106"/>
      <c r="J31106"/>
      <c r="K31106"/>
      <c r="L31106"/>
    </row>
    <row r="31107" spans="2:12" x14ac:dyDescent="0.2">
      <c r="B31107"/>
      <c r="C31107"/>
      <c r="J31107"/>
      <c r="K31107"/>
      <c r="L31107"/>
    </row>
    <row r="31108" spans="2:12" x14ac:dyDescent="0.2">
      <c r="B31108"/>
      <c r="C31108"/>
      <c r="J31108"/>
      <c r="K31108"/>
      <c r="L31108"/>
    </row>
    <row r="31109" spans="2:12" x14ac:dyDescent="0.2">
      <c r="B31109"/>
      <c r="C31109"/>
      <c r="J31109"/>
      <c r="K31109"/>
      <c r="L31109"/>
    </row>
    <row r="31110" spans="2:12" x14ac:dyDescent="0.2">
      <c r="B31110"/>
      <c r="C31110"/>
      <c r="J31110"/>
      <c r="K31110"/>
      <c r="L31110"/>
    </row>
    <row r="31111" spans="2:12" x14ac:dyDescent="0.2">
      <c r="B31111"/>
      <c r="C31111"/>
      <c r="J31111"/>
      <c r="K31111"/>
      <c r="L31111"/>
    </row>
    <row r="31112" spans="2:12" x14ac:dyDescent="0.2">
      <c r="B31112"/>
      <c r="C31112"/>
      <c r="J31112"/>
      <c r="K31112"/>
      <c r="L31112"/>
    </row>
    <row r="31113" spans="2:12" x14ac:dyDescent="0.2">
      <c r="B31113"/>
      <c r="C31113"/>
      <c r="J31113"/>
      <c r="K31113"/>
      <c r="L31113"/>
    </row>
    <row r="31114" spans="2:12" x14ac:dyDescent="0.2">
      <c r="B31114"/>
      <c r="C31114"/>
      <c r="J31114"/>
      <c r="K31114"/>
      <c r="L31114"/>
    </row>
    <row r="31115" spans="2:12" x14ac:dyDescent="0.2">
      <c r="B31115"/>
      <c r="C31115"/>
      <c r="J31115"/>
      <c r="K31115"/>
      <c r="L31115"/>
    </row>
    <row r="31116" spans="2:12" x14ac:dyDescent="0.2">
      <c r="B31116"/>
      <c r="C31116"/>
      <c r="J31116"/>
      <c r="K31116"/>
      <c r="L31116"/>
    </row>
    <row r="31117" spans="2:12" x14ac:dyDescent="0.2">
      <c r="B31117"/>
      <c r="C31117"/>
      <c r="J31117"/>
      <c r="K31117"/>
      <c r="L31117"/>
    </row>
    <row r="31118" spans="2:12" x14ac:dyDescent="0.2">
      <c r="B31118"/>
      <c r="C31118"/>
      <c r="J31118"/>
      <c r="K31118"/>
      <c r="L31118"/>
    </row>
    <row r="31119" spans="2:12" x14ac:dyDescent="0.2">
      <c r="B31119"/>
      <c r="C31119"/>
      <c r="J31119"/>
      <c r="K31119"/>
      <c r="L31119"/>
    </row>
    <row r="31120" spans="2:12" x14ac:dyDescent="0.2">
      <c r="B31120"/>
      <c r="C31120"/>
      <c r="J31120"/>
      <c r="K31120"/>
      <c r="L31120"/>
    </row>
    <row r="31121" spans="2:12" x14ac:dyDescent="0.2">
      <c r="B31121"/>
      <c r="C31121"/>
      <c r="J31121"/>
      <c r="K31121"/>
      <c r="L31121"/>
    </row>
    <row r="31122" spans="2:12" x14ac:dyDescent="0.2">
      <c r="B31122"/>
      <c r="C31122"/>
      <c r="J31122"/>
      <c r="K31122"/>
      <c r="L31122"/>
    </row>
    <row r="31123" spans="2:12" x14ac:dyDescent="0.2">
      <c r="B31123"/>
      <c r="C31123"/>
      <c r="J31123"/>
      <c r="K31123"/>
      <c r="L31123"/>
    </row>
    <row r="31124" spans="2:12" x14ac:dyDescent="0.2">
      <c r="B31124"/>
      <c r="C31124"/>
      <c r="J31124"/>
      <c r="K31124"/>
      <c r="L31124"/>
    </row>
    <row r="31125" spans="2:12" x14ac:dyDescent="0.2">
      <c r="B31125"/>
      <c r="C31125"/>
      <c r="J31125"/>
      <c r="K31125"/>
      <c r="L31125"/>
    </row>
    <row r="31126" spans="2:12" x14ac:dyDescent="0.2">
      <c r="B31126"/>
      <c r="C31126"/>
      <c r="J31126"/>
      <c r="K31126"/>
      <c r="L31126"/>
    </row>
    <row r="31127" spans="2:12" x14ac:dyDescent="0.2">
      <c r="B31127"/>
      <c r="C31127"/>
      <c r="J31127"/>
      <c r="K31127"/>
      <c r="L31127"/>
    </row>
    <row r="31128" spans="2:12" x14ac:dyDescent="0.2">
      <c r="B31128"/>
      <c r="C31128"/>
      <c r="J31128"/>
      <c r="K31128"/>
      <c r="L31128"/>
    </row>
    <row r="31129" spans="2:12" x14ac:dyDescent="0.2">
      <c r="B31129"/>
      <c r="C31129"/>
      <c r="J31129"/>
      <c r="K31129"/>
      <c r="L31129"/>
    </row>
    <row r="31130" spans="2:12" x14ac:dyDescent="0.2">
      <c r="B31130"/>
      <c r="C31130"/>
      <c r="J31130"/>
      <c r="K31130"/>
      <c r="L31130"/>
    </row>
    <row r="31131" spans="2:12" x14ac:dyDescent="0.2">
      <c r="B31131"/>
      <c r="C31131"/>
      <c r="J31131"/>
      <c r="K31131"/>
      <c r="L31131"/>
    </row>
    <row r="31132" spans="2:12" x14ac:dyDescent="0.2">
      <c r="B31132"/>
      <c r="C31132"/>
      <c r="J31132"/>
      <c r="K31132"/>
      <c r="L31132"/>
    </row>
    <row r="31133" spans="2:12" x14ac:dyDescent="0.2">
      <c r="B31133"/>
      <c r="C31133"/>
      <c r="J31133"/>
      <c r="K31133"/>
      <c r="L31133"/>
    </row>
    <row r="31134" spans="2:12" x14ac:dyDescent="0.2">
      <c r="B31134"/>
      <c r="C31134"/>
      <c r="J31134"/>
      <c r="K31134"/>
      <c r="L31134"/>
    </row>
    <row r="31135" spans="2:12" x14ac:dyDescent="0.2">
      <c r="B31135"/>
      <c r="C31135"/>
      <c r="J31135"/>
      <c r="K31135"/>
      <c r="L31135"/>
    </row>
    <row r="31136" spans="2:12" x14ac:dyDescent="0.2">
      <c r="B31136"/>
      <c r="C31136"/>
      <c r="J31136"/>
      <c r="K31136"/>
      <c r="L31136"/>
    </row>
    <row r="31137" spans="2:12" x14ac:dyDescent="0.2">
      <c r="B31137"/>
      <c r="C31137"/>
      <c r="J31137"/>
      <c r="K31137"/>
      <c r="L31137"/>
    </row>
    <row r="31138" spans="2:12" x14ac:dyDescent="0.2">
      <c r="B31138"/>
      <c r="C31138"/>
      <c r="J31138"/>
      <c r="K31138"/>
      <c r="L31138"/>
    </row>
    <row r="31139" spans="2:12" x14ac:dyDescent="0.2">
      <c r="B31139"/>
      <c r="C31139"/>
      <c r="J31139"/>
      <c r="K31139"/>
      <c r="L31139"/>
    </row>
    <row r="31140" spans="2:12" x14ac:dyDescent="0.2">
      <c r="B31140"/>
      <c r="C31140"/>
      <c r="J31140"/>
      <c r="K31140"/>
      <c r="L31140"/>
    </row>
    <row r="31141" spans="2:12" x14ac:dyDescent="0.2">
      <c r="B31141"/>
      <c r="C31141"/>
      <c r="J31141"/>
      <c r="K31141"/>
      <c r="L31141"/>
    </row>
    <row r="31142" spans="2:12" x14ac:dyDescent="0.2">
      <c r="B31142"/>
      <c r="C31142"/>
      <c r="J31142"/>
      <c r="K31142"/>
      <c r="L31142"/>
    </row>
    <row r="31143" spans="2:12" x14ac:dyDescent="0.2">
      <c r="B31143"/>
      <c r="C31143"/>
      <c r="J31143"/>
      <c r="K31143"/>
      <c r="L31143"/>
    </row>
    <row r="31144" spans="2:12" x14ac:dyDescent="0.2">
      <c r="B31144"/>
      <c r="C31144"/>
      <c r="J31144"/>
      <c r="K31144"/>
      <c r="L31144"/>
    </row>
    <row r="31145" spans="2:12" x14ac:dyDescent="0.2">
      <c r="B31145"/>
      <c r="C31145"/>
      <c r="J31145"/>
      <c r="K31145"/>
      <c r="L31145"/>
    </row>
    <row r="31146" spans="2:12" x14ac:dyDescent="0.2">
      <c r="B31146"/>
      <c r="C31146"/>
      <c r="J31146"/>
      <c r="K31146"/>
      <c r="L31146"/>
    </row>
    <row r="31147" spans="2:12" x14ac:dyDescent="0.2">
      <c r="B31147"/>
      <c r="C31147"/>
      <c r="J31147"/>
      <c r="K31147"/>
      <c r="L31147"/>
    </row>
    <row r="31148" spans="2:12" x14ac:dyDescent="0.2">
      <c r="B31148"/>
      <c r="C31148"/>
      <c r="J31148"/>
      <c r="K31148"/>
      <c r="L31148"/>
    </row>
    <row r="31149" spans="2:12" x14ac:dyDescent="0.2">
      <c r="B31149"/>
      <c r="C31149"/>
      <c r="J31149"/>
      <c r="K31149"/>
      <c r="L31149"/>
    </row>
    <row r="31150" spans="2:12" x14ac:dyDescent="0.2">
      <c r="B31150"/>
      <c r="C31150"/>
      <c r="J31150"/>
      <c r="K31150"/>
      <c r="L31150"/>
    </row>
    <row r="31151" spans="2:12" x14ac:dyDescent="0.2">
      <c r="B31151"/>
      <c r="C31151"/>
      <c r="J31151"/>
      <c r="K31151"/>
      <c r="L31151"/>
    </row>
    <row r="31152" spans="2:12" x14ac:dyDescent="0.2">
      <c r="B31152"/>
      <c r="C31152"/>
      <c r="J31152"/>
      <c r="K31152"/>
      <c r="L31152"/>
    </row>
    <row r="31153" spans="2:12" x14ac:dyDescent="0.2">
      <c r="B31153"/>
      <c r="C31153"/>
      <c r="J31153"/>
      <c r="K31153"/>
      <c r="L31153"/>
    </row>
    <row r="31154" spans="2:12" x14ac:dyDescent="0.2">
      <c r="B31154"/>
      <c r="C31154"/>
      <c r="J31154"/>
      <c r="K31154"/>
      <c r="L31154"/>
    </row>
    <row r="31155" spans="2:12" x14ac:dyDescent="0.2">
      <c r="B31155"/>
      <c r="C31155"/>
      <c r="J31155"/>
      <c r="K31155"/>
      <c r="L31155"/>
    </row>
    <row r="31156" spans="2:12" x14ac:dyDescent="0.2">
      <c r="B31156"/>
      <c r="C31156"/>
      <c r="J31156"/>
      <c r="K31156"/>
      <c r="L31156"/>
    </row>
    <row r="31157" spans="2:12" x14ac:dyDescent="0.2">
      <c r="B31157"/>
      <c r="C31157"/>
      <c r="J31157"/>
      <c r="K31157"/>
      <c r="L31157"/>
    </row>
    <row r="31158" spans="2:12" x14ac:dyDescent="0.2">
      <c r="B31158"/>
      <c r="C31158"/>
      <c r="J31158"/>
      <c r="K31158"/>
      <c r="L31158"/>
    </row>
    <row r="31159" spans="2:12" x14ac:dyDescent="0.2">
      <c r="B31159"/>
      <c r="C31159"/>
      <c r="J31159"/>
      <c r="K31159"/>
      <c r="L31159"/>
    </row>
    <row r="31160" spans="2:12" x14ac:dyDescent="0.2">
      <c r="B31160"/>
      <c r="C31160"/>
      <c r="J31160"/>
      <c r="K31160"/>
      <c r="L31160"/>
    </row>
    <row r="31161" spans="2:12" x14ac:dyDescent="0.2">
      <c r="B31161"/>
      <c r="C31161"/>
      <c r="J31161"/>
      <c r="K31161"/>
      <c r="L31161"/>
    </row>
    <row r="31162" spans="2:12" x14ac:dyDescent="0.2">
      <c r="B31162"/>
      <c r="C31162"/>
      <c r="J31162"/>
      <c r="K31162"/>
      <c r="L31162"/>
    </row>
    <row r="31163" spans="2:12" x14ac:dyDescent="0.2">
      <c r="B31163"/>
      <c r="C31163"/>
      <c r="J31163"/>
      <c r="K31163"/>
      <c r="L31163"/>
    </row>
    <row r="31164" spans="2:12" x14ac:dyDescent="0.2">
      <c r="B31164"/>
      <c r="C31164"/>
      <c r="J31164"/>
      <c r="K31164"/>
      <c r="L31164"/>
    </row>
    <row r="31165" spans="2:12" x14ac:dyDescent="0.2">
      <c r="B31165"/>
      <c r="C31165"/>
      <c r="J31165"/>
      <c r="K31165"/>
      <c r="L31165"/>
    </row>
    <row r="31166" spans="2:12" x14ac:dyDescent="0.2">
      <c r="B31166"/>
      <c r="C31166"/>
      <c r="J31166"/>
      <c r="K31166"/>
      <c r="L31166"/>
    </row>
    <row r="31167" spans="2:12" x14ac:dyDescent="0.2">
      <c r="B31167"/>
      <c r="C31167"/>
      <c r="J31167"/>
      <c r="K31167"/>
      <c r="L31167"/>
    </row>
    <row r="31168" spans="2:12" x14ac:dyDescent="0.2">
      <c r="B31168"/>
      <c r="C31168"/>
      <c r="J31168"/>
      <c r="K31168"/>
      <c r="L31168"/>
    </row>
    <row r="31169" spans="2:12" x14ac:dyDescent="0.2">
      <c r="B31169"/>
      <c r="C31169"/>
      <c r="J31169"/>
      <c r="K31169"/>
      <c r="L31169"/>
    </row>
    <row r="31170" spans="2:12" x14ac:dyDescent="0.2">
      <c r="B31170"/>
      <c r="C31170"/>
      <c r="J31170"/>
      <c r="K31170"/>
      <c r="L31170"/>
    </row>
    <row r="31171" spans="2:12" x14ac:dyDescent="0.2">
      <c r="B31171"/>
      <c r="C31171"/>
      <c r="J31171"/>
      <c r="K31171"/>
      <c r="L31171"/>
    </row>
    <row r="31172" spans="2:12" x14ac:dyDescent="0.2">
      <c r="B31172"/>
      <c r="C31172"/>
      <c r="J31172"/>
      <c r="K31172"/>
      <c r="L31172"/>
    </row>
    <row r="31173" spans="2:12" x14ac:dyDescent="0.2">
      <c r="B31173"/>
      <c r="C31173"/>
      <c r="J31173"/>
      <c r="K31173"/>
      <c r="L31173"/>
    </row>
    <row r="31174" spans="2:12" x14ac:dyDescent="0.2">
      <c r="B31174"/>
      <c r="C31174"/>
      <c r="J31174"/>
      <c r="K31174"/>
      <c r="L31174"/>
    </row>
    <row r="31175" spans="2:12" x14ac:dyDescent="0.2">
      <c r="B31175"/>
      <c r="C31175"/>
      <c r="J31175"/>
      <c r="K31175"/>
      <c r="L31175"/>
    </row>
    <row r="31176" spans="2:12" x14ac:dyDescent="0.2">
      <c r="B31176"/>
      <c r="C31176"/>
      <c r="J31176"/>
      <c r="K31176"/>
      <c r="L31176"/>
    </row>
    <row r="31177" spans="2:12" x14ac:dyDescent="0.2">
      <c r="B31177"/>
      <c r="C31177"/>
      <c r="J31177"/>
      <c r="K31177"/>
      <c r="L31177"/>
    </row>
    <row r="31178" spans="2:12" x14ac:dyDescent="0.2">
      <c r="B31178"/>
      <c r="C31178"/>
      <c r="J31178"/>
      <c r="K31178"/>
      <c r="L31178"/>
    </row>
    <row r="31179" spans="2:12" x14ac:dyDescent="0.2">
      <c r="B31179"/>
      <c r="C31179"/>
      <c r="J31179"/>
      <c r="K31179"/>
      <c r="L31179"/>
    </row>
    <row r="31180" spans="2:12" x14ac:dyDescent="0.2">
      <c r="B31180"/>
      <c r="C31180"/>
      <c r="J31180"/>
      <c r="K31180"/>
      <c r="L31180"/>
    </row>
    <row r="31181" spans="2:12" x14ac:dyDescent="0.2">
      <c r="B31181"/>
      <c r="C31181"/>
      <c r="J31181"/>
      <c r="K31181"/>
      <c r="L31181"/>
    </row>
    <row r="31182" spans="2:12" x14ac:dyDescent="0.2">
      <c r="B31182"/>
      <c r="C31182"/>
      <c r="J31182"/>
      <c r="K31182"/>
      <c r="L31182"/>
    </row>
    <row r="31183" spans="2:12" x14ac:dyDescent="0.2">
      <c r="B31183"/>
      <c r="C31183"/>
      <c r="J31183"/>
      <c r="K31183"/>
      <c r="L31183"/>
    </row>
    <row r="31184" spans="2:12" x14ac:dyDescent="0.2">
      <c r="B31184"/>
      <c r="C31184"/>
      <c r="J31184"/>
      <c r="K31184"/>
      <c r="L31184"/>
    </row>
    <row r="31185" spans="2:12" x14ac:dyDescent="0.2">
      <c r="B31185"/>
      <c r="C31185"/>
      <c r="J31185"/>
      <c r="K31185"/>
      <c r="L31185"/>
    </row>
    <row r="31186" spans="2:12" x14ac:dyDescent="0.2">
      <c r="B31186"/>
      <c r="C31186"/>
      <c r="J31186"/>
      <c r="K31186"/>
      <c r="L31186"/>
    </row>
    <row r="31187" spans="2:12" x14ac:dyDescent="0.2">
      <c r="B31187"/>
      <c r="C31187"/>
      <c r="J31187"/>
      <c r="K31187"/>
      <c r="L31187"/>
    </row>
    <row r="31188" spans="2:12" x14ac:dyDescent="0.2">
      <c r="B31188"/>
      <c r="C31188"/>
      <c r="J31188"/>
      <c r="K31188"/>
      <c r="L31188"/>
    </row>
    <row r="31189" spans="2:12" x14ac:dyDescent="0.2">
      <c r="B31189"/>
      <c r="C31189"/>
      <c r="J31189"/>
      <c r="K31189"/>
      <c r="L31189"/>
    </row>
    <row r="31190" spans="2:12" x14ac:dyDescent="0.2">
      <c r="B31190"/>
      <c r="C31190"/>
      <c r="J31190"/>
      <c r="K31190"/>
      <c r="L31190"/>
    </row>
    <row r="31191" spans="2:12" x14ac:dyDescent="0.2">
      <c r="B31191"/>
      <c r="C31191"/>
      <c r="J31191"/>
      <c r="K31191"/>
      <c r="L31191"/>
    </row>
    <row r="31192" spans="2:12" x14ac:dyDescent="0.2">
      <c r="B31192"/>
      <c r="C31192"/>
      <c r="J31192"/>
      <c r="K31192"/>
      <c r="L31192"/>
    </row>
    <row r="31193" spans="2:12" x14ac:dyDescent="0.2">
      <c r="B31193"/>
      <c r="C31193"/>
      <c r="J31193"/>
      <c r="K31193"/>
      <c r="L31193"/>
    </row>
    <row r="31194" spans="2:12" x14ac:dyDescent="0.2">
      <c r="B31194"/>
      <c r="C31194"/>
      <c r="J31194"/>
      <c r="K31194"/>
      <c r="L31194"/>
    </row>
    <row r="31195" spans="2:12" x14ac:dyDescent="0.2">
      <c r="B31195"/>
      <c r="C31195"/>
      <c r="J31195"/>
      <c r="K31195"/>
      <c r="L31195"/>
    </row>
    <row r="31196" spans="2:12" x14ac:dyDescent="0.2">
      <c r="B31196"/>
      <c r="C31196"/>
      <c r="J31196"/>
      <c r="K31196"/>
      <c r="L31196"/>
    </row>
    <row r="31197" spans="2:12" x14ac:dyDescent="0.2">
      <c r="B31197"/>
      <c r="C31197"/>
      <c r="J31197"/>
      <c r="K31197"/>
      <c r="L31197"/>
    </row>
    <row r="31198" spans="2:12" x14ac:dyDescent="0.2">
      <c r="B31198"/>
      <c r="C31198"/>
      <c r="J31198"/>
      <c r="K31198"/>
      <c r="L31198"/>
    </row>
    <row r="31199" spans="2:12" x14ac:dyDescent="0.2">
      <c r="B31199"/>
      <c r="C31199"/>
      <c r="J31199"/>
      <c r="K31199"/>
      <c r="L31199"/>
    </row>
    <row r="31200" spans="2:12" x14ac:dyDescent="0.2">
      <c r="B31200"/>
      <c r="C31200"/>
      <c r="J31200"/>
      <c r="K31200"/>
      <c r="L31200"/>
    </row>
    <row r="31201" spans="2:12" x14ac:dyDescent="0.2">
      <c r="B31201"/>
      <c r="C31201"/>
      <c r="J31201"/>
      <c r="K31201"/>
      <c r="L31201"/>
    </row>
    <row r="31202" spans="2:12" x14ac:dyDescent="0.2">
      <c r="B31202"/>
      <c r="C31202"/>
      <c r="J31202"/>
      <c r="K31202"/>
      <c r="L31202"/>
    </row>
    <row r="31203" spans="2:12" x14ac:dyDescent="0.2">
      <c r="B31203"/>
      <c r="C31203"/>
      <c r="J31203"/>
      <c r="K31203"/>
      <c r="L31203"/>
    </row>
    <row r="31204" spans="2:12" x14ac:dyDescent="0.2">
      <c r="B31204"/>
      <c r="C31204"/>
      <c r="J31204"/>
      <c r="K31204"/>
      <c r="L31204"/>
    </row>
    <row r="31205" spans="2:12" x14ac:dyDescent="0.2">
      <c r="B31205"/>
      <c r="C31205"/>
      <c r="J31205"/>
      <c r="K31205"/>
      <c r="L31205"/>
    </row>
    <row r="31206" spans="2:12" x14ac:dyDescent="0.2">
      <c r="B31206"/>
      <c r="C31206"/>
      <c r="J31206"/>
      <c r="K31206"/>
      <c r="L31206"/>
    </row>
    <row r="31207" spans="2:12" x14ac:dyDescent="0.2">
      <c r="B31207"/>
      <c r="C31207"/>
      <c r="J31207"/>
      <c r="K31207"/>
      <c r="L31207"/>
    </row>
    <row r="31208" spans="2:12" x14ac:dyDescent="0.2">
      <c r="B31208"/>
      <c r="C31208"/>
      <c r="J31208"/>
      <c r="K31208"/>
      <c r="L31208"/>
    </row>
    <row r="31209" spans="2:12" x14ac:dyDescent="0.2">
      <c r="B31209"/>
      <c r="C31209"/>
      <c r="J31209"/>
      <c r="K31209"/>
      <c r="L31209"/>
    </row>
    <row r="31210" spans="2:12" x14ac:dyDescent="0.2">
      <c r="B31210"/>
      <c r="C31210"/>
      <c r="J31210"/>
      <c r="K31210"/>
      <c r="L31210"/>
    </row>
    <row r="31211" spans="2:12" x14ac:dyDescent="0.2">
      <c r="B31211"/>
      <c r="C31211"/>
      <c r="J31211"/>
      <c r="K31211"/>
      <c r="L31211"/>
    </row>
    <row r="31212" spans="2:12" x14ac:dyDescent="0.2">
      <c r="B31212"/>
      <c r="C31212"/>
      <c r="J31212"/>
      <c r="K31212"/>
      <c r="L31212"/>
    </row>
    <row r="31213" spans="2:12" x14ac:dyDescent="0.2">
      <c r="B31213"/>
      <c r="C31213"/>
      <c r="J31213"/>
      <c r="K31213"/>
      <c r="L31213"/>
    </row>
    <row r="31214" spans="2:12" x14ac:dyDescent="0.2">
      <c r="B31214"/>
      <c r="C31214"/>
      <c r="J31214"/>
      <c r="K31214"/>
      <c r="L31214"/>
    </row>
    <row r="31215" spans="2:12" x14ac:dyDescent="0.2">
      <c r="B31215"/>
      <c r="C31215"/>
      <c r="J31215"/>
      <c r="K31215"/>
      <c r="L31215"/>
    </row>
    <row r="31216" spans="2:12" x14ac:dyDescent="0.2">
      <c r="B31216"/>
      <c r="C31216"/>
      <c r="J31216"/>
      <c r="K31216"/>
      <c r="L31216"/>
    </row>
    <row r="31217" spans="2:12" x14ac:dyDescent="0.2">
      <c r="B31217"/>
      <c r="C31217"/>
      <c r="J31217"/>
      <c r="K31217"/>
      <c r="L31217"/>
    </row>
    <row r="31218" spans="2:12" x14ac:dyDescent="0.2">
      <c r="B31218"/>
      <c r="C31218"/>
      <c r="J31218"/>
      <c r="K31218"/>
      <c r="L31218"/>
    </row>
    <row r="31219" spans="2:12" x14ac:dyDescent="0.2">
      <c r="B31219"/>
      <c r="C31219"/>
      <c r="J31219"/>
      <c r="K31219"/>
      <c r="L31219"/>
    </row>
    <row r="31220" spans="2:12" x14ac:dyDescent="0.2">
      <c r="B31220"/>
      <c r="C31220"/>
      <c r="J31220"/>
      <c r="K31220"/>
      <c r="L31220"/>
    </row>
    <row r="31221" spans="2:12" x14ac:dyDescent="0.2">
      <c r="B31221"/>
      <c r="C31221"/>
      <c r="J31221"/>
      <c r="K31221"/>
      <c r="L31221"/>
    </row>
    <row r="31222" spans="2:12" x14ac:dyDescent="0.2">
      <c r="B31222"/>
      <c r="C31222"/>
      <c r="J31222"/>
      <c r="K31222"/>
      <c r="L31222"/>
    </row>
    <row r="31223" spans="2:12" x14ac:dyDescent="0.2">
      <c r="B31223"/>
      <c r="C31223"/>
      <c r="J31223"/>
      <c r="K31223"/>
      <c r="L31223"/>
    </row>
    <row r="31224" spans="2:12" x14ac:dyDescent="0.2">
      <c r="B31224"/>
      <c r="C31224"/>
      <c r="J31224"/>
      <c r="K31224"/>
      <c r="L31224"/>
    </row>
    <row r="31225" spans="2:12" x14ac:dyDescent="0.2">
      <c r="B31225"/>
      <c r="C31225"/>
      <c r="J31225"/>
      <c r="K31225"/>
      <c r="L31225"/>
    </row>
    <row r="31226" spans="2:12" x14ac:dyDescent="0.2">
      <c r="B31226"/>
      <c r="C31226"/>
      <c r="J31226"/>
      <c r="K31226"/>
      <c r="L31226"/>
    </row>
    <row r="31227" spans="2:12" x14ac:dyDescent="0.2">
      <c r="B31227"/>
      <c r="C31227"/>
      <c r="J31227"/>
      <c r="K31227"/>
      <c r="L31227"/>
    </row>
    <row r="31228" spans="2:12" x14ac:dyDescent="0.2">
      <c r="B31228"/>
      <c r="C31228"/>
      <c r="J31228"/>
      <c r="K31228"/>
      <c r="L31228"/>
    </row>
    <row r="31229" spans="2:12" x14ac:dyDescent="0.2">
      <c r="B31229"/>
      <c r="C31229"/>
      <c r="J31229"/>
      <c r="K31229"/>
      <c r="L31229"/>
    </row>
    <row r="31230" spans="2:12" x14ac:dyDescent="0.2">
      <c r="B31230"/>
      <c r="C31230"/>
      <c r="J31230"/>
      <c r="K31230"/>
      <c r="L31230"/>
    </row>
    <row r="31231" spans="2:12" x14ac:dyDescent="0.2">
      <c r="B31231"/>
      <c r="C31231"/>
      <c r="J31231"/>
      <c r="K31231"/>
      <c r="L31231"/>
    </row>
    <row r="31232" spans="2:12" x14ac:dyDescent="0.2">
      <c r="B31232"/>
      <c r="C31232"/>
      <c r="J31232"/>
      <c r="K31232"/>
      <c r="L31232"/>
    </row>
    <row r="31233" spans="2:12" x14ac:dyDescent="0.2">
      <c r="B31233"/>
      <c r="C31233"/>
      <c r="J31233"/>
      <c r="K31233"/>
      <c r="L31233"/>
    </row>
    <row r="31234" spans="2:12" x14ac:dyDescent="0.2">
      <c r="B31234"/>
      <c r="C31234"/>
      <c r="J31234"/>
      <c r="K31234"/>
      <c r="L31234"/>
    </row>
    <row r="31235" spans="2:12" x14ac:dyDescent="0.2">
      <c r="B31235"/>
      <c r="C31235"/>
      <c r="J31235"/>
      <c r="K31235"/>
      <c r="L31235"/>
    </row>
    <row r="31236" spans="2:12" x14ac:dyDescent="0.2">
      <c r="B31236"/>
      <c r="C31236"/>
      <c r="J31236"/>
      <c r="K31236"/>
      <c r="L31236"/>
    </row>
    <row r="31237" spans="2:12" x14ac:dyDescent="0.2">
      <c r="B31237"/>
      <c r="C31237"/>
      <c r="J31237"/>
      <c r="K31237"/>
      <c r="L31237"/>
    </row>
    <row r="31238" spans="2:12" x14ac:dyDescent="0.2">
      <c r="B31238"/>
      <c r="C31238"/>
      <c r="J31238"/>
      <c r="K31238"/>
      <c r="L31238"/>
    </row>
    <row r="31239" spans="2:12" x14ac:dyDescent="0.2">
      <c r="B31239"/>
      <c r="C31239"/>
      <c r="J31239"/>
      <c r="K31239"/>
      <c r="L31239"/>
    </row>
    <row r="31240" spans="2:12" x14ac:dyDescent="0.2">
      <c r="B31240"/>
      <c r="C31240"/>
      <c r="J31240"/>
      <c r="K31240"/>
      <c r="L31240"/>
    </row>
    <row r="31241" spans="2:12" x14ac:dyDescent="0.2">
      <c r="B31241"/>
      <c r="C31241"/>
      <c r="J31241"/>
      <c r="K31241"/>
      <c r="L31241"/>
    </row>
    <row r="31242" spans="2:12" x14ac:dyDescent="0.2">
      <c r="B31242"/>
      <c r="C31242"/>
      <c r="J31242"/>
      <c r="K31242"/>
      <c r="L31242"/>
    </row>
    <row r="31243" spans="2:12" x14ac:dyDescent="0.2">
      <c r="B31243"/>
      <c r="C31243"/>
      <c r="J31243"/>
      <c r="K31243"/>
      <c r="L31243"/>
    </row>
    <row r="31244" spans="2:12" x14ac:dyDescent="0.2">
      <c r="B31244"/>
      <c r="C31244"/>
      <c r="J31244"/>
      <c r="K31244"/>
      <c r="L31244"/>
    </row>
    <row r="31245" spans="2:12" x14ac:dyDescent="0.2">
      <c r="B31245"/>
      <c r="C31245"/>
      <c r="J31245"/>
      <c r="K31245"/>
      <c r="L31245"/>
    </row>
    <row r="31246" spans="2:12" x14ac:dyDescent="0.2">
      <c r="B31246"/>
      <c r="C31246"/>
      <c r="J31246"/>
      <c r="K31246"/>
      <c r="L31246"/>
    </row>
    <row r="31247" spans="2:12" x14ac:dyDescent="0.2">
      <c r="B31247"/>
      <c r="C31247"/>
      <c r="J31247"/>
      <c r="K31247"/>
      <c r="L31247"/>
    </row>
    <row r="31248" spans="2:12" x14ac:dyDescent="0.2">
      <c r="B31248"/>
      <c r="C31248"/>
      <c r="J31248"/>
      <c r="K31248"/>
      <c r="L31248"/>
    </row>
    <row r="31249" spans="2:12" x14ac:dyDescent="0.2">
      <c r="B31249"/>
      <c r="C31249"/>
      <c r="J31249"/>
      <c r="K31249"/>
      <c r="L31249"/>
    </row>
    <row r="31250" spans="2:12" x14ac:dyDescent="0.2">
      <c r="B31250"/>
      <c r="C31250"/>
      <c r="J31250"/>
      <c r="K31250"/>
      <c r="L31250"/>
    </row>
    <row r="31251" spans="2:12" x14ac:dyDescent="0.2">
      <c r="B31251"/>
      <c r="C31251"/>
      <c r="J31251"/>
      <c r="K31251"/>
      <c r="L31251"/>
    </row>
    <row r="31252" spans="2:12" x14ac:dyDescent="0.2">
      <c r="B31252"/>
      <c r="C31252"/>
      <c r="J31252"/>
      <c r="K31252"/>
      <c r="L31252"/>
    </row>
    <row r="31253" spans="2:12" x14ac:dyDescent="0.2">
      <c r="B31253"/>
      <c r="C31253"/>
      <c r="J31253"/>
      <c r="K31253"/>
      <c r="L31253"/>
    </row>
    <row r="31254" spans="2:12" x14ac:dyDescent="0.2">
      <c r="B31254"/>
      <c r="C31254"/>
      <c r="J31254"/>
      <c r="K31254"/>
      <c r="L31254"/>
    </row>
    <row r="31255" spans="2:12" x14ac:dyDescent="0.2">
      <c r="B31255"/>
      <c r="C31255"/>
      <c r="J31255"/>
      <c r="K31255"/>
      <c r="L31255"/>
    </row>
    <row r="31256" spans="2:12" x14ac:dyDescent="0.2">
      <c r="B31256"/>
      <c r="C31256"/>
      <c r="J31256"/>
      <c r="K31256"/>
      <c r="L31256"/>
    </row>
    <row r="31257" spans="2:12" x14ac:dyDescent="0.2">
      <c r="B31257"/>
      <c r="C31257"/>
      <c r="J31257"/>
      <c r="K31257"/>
      <c r="L31257"/>
    </row>
    <row r="31258" spans="2:12" x14ac:dyDescent="0.2">
      <c r="B31258"/>
      <c r="C31258"/>
      <c r="J31258"/>
      <c r="K31258"/>
      <c r="L31258"/>
    </row>
    <row r="31259" spans="2:12" x14ac:dyDescent="0.2">
      <c r="B31259"/>
      <c r="C31259"/>
      <c r="J31259"/>
      <c r="K31259"/>
      <c r="L31259"/>
    </row>
    <row r="31260" spans="2:12" x14ac:dyDescent="0.2">
      <c r="B31260"/>
      <c r="C31260"/>
      <c r="J31260"/>
      <c r="K31260"/>
      <c r="L31260"/>
    </row>
    <row r="31261" spans="2:12" x14ac:dyDescent="0.2">
      <c r="B31261"/>
      <c r="C31261"/>
      <c r="J31261"/>
      <c r="K31261"/>
      <c r="L31261"/>
    </row>
    <row r="31262" spans="2:12" x14ac:dyDescent="0.2">
      <c r="B31262"/>
      <c r="C31262"/>
      <c r="J31262"/>
      <c r="K31262"/>
      <c r="L31262"/>
    </row>
    <row r="31263" spans="2:12" x14ac:dyDescent="0.2">
      <c r="B31263"/>
      <c r="C31263"/>
      <c r="J31263"/>
      <c r="K31263"/>
      <c r="L31263"/>
    </row>
    <row r="31264" spans="2:12" x14ac:dyDescent="0.2">
      <c r="B31264"/>
      <c r="C31264"/>
      <c r="J31264"/>
      <c r="K31264"/>
      <c r="L31264"/>
    </row>
    <row r="31265" spans="2:12" x14ac:dyDescent="0.2">
      <c r="B31265"/>
      <c r="C31265"/>
      <c r="J31265"/>
      <c r="K31265"/>
      <c r="L31265"/>
    </row>
    <row r="31266" spans="2:12" x14ac:dyDescent="0.2">
      <c r="B31266"/>
      <c r="C31266"/>
      <c r="J31266"/>
      <c r="K31266"/>
      <c r="L31266"/>
    </row>
    <row r="31267" spans="2:12" x14ac:dyDescent="0.2">
      <c r="B31267"/>
      <c r="C31267"/>
      <c r="J31267"/>
      <c r="K31267"/>
      <c r="L31267"/>
    </row>
    <row r="31268" spans="2:12" x14ac:dyDescent="0.2">
      <c r="B31268"/>
      <c r="C31268"/>
      <c r="J31268"/>
      <c r="K31268"/>
      <c r="L31268"/>
    </row>
    <row r="31269" spans="2:12" x14ac:dyDescent="0.2">
      <c r="B31269"/>
      <c r="C31269"/>
      <c r="J31269"/>
      <c r="K31269"/>
      <c r="L31269"/>
    </row>
    <row r="31270" spans="2:12" x14ac:dyDescent="0.2">
      <c r="B31270"/>
      <c r="C31270"/>
      <c r="J31270"/>
      <c r="K31270"/>
      <c r="L31270"/>
    </row>
    <row r="31271" spans="2:12" x14ac:dyDescent="0.2">
      <c r="B31271"/>
      <c r="C31271"/>
      <c r="J31271"/>
      <c r="K31271"/>
      <c r="L31271"/>
    </row>
    <row r="31272" spans="2:12" x14ac:dyDescent="0.2">
      <c r="B31272"/>
      <c r="C31272"/>
      <c r="J31272"/>
      <c r="K31272"/>
      <c r="L31272"/>
    </row>
    <row r="31273" spans="2:12" x14ac:dyDescent="0.2">
      <c r="B31273"/>
      <c r="C31273"/>
      <c r="J31273"/>
      <c r="K31273"/>
      <c r="L31273"/>
    </row>
    <row r="31274" spans="2:12" x14ac:dyDescent="0.2">
      <c r="B31274"/>
      <c r="C31274"/>
      <c r="J31274"/>
      <c r="K31274"/>
      <c r="L31274"/>
    </row>
    <row r="31275" spans="2:12" x14ac:dyDescent="0.2">
      <c r="B31275"/>
      <c r="C31275"/>
      <c r="J31275"/>
      <c r="K31275"/>
      <c r="L31275"/>
    </row>
    <row r="31276" spans="2:12" x14ac:dyDescent="0.2">
      <c r="B31276"/>
      <c r="C31276"/>
      <c r="J31276"/>
      <c r="K31276"/>
      <c r="L31276"/>
    </row>
    <row r="31277" spans="2:12" x14ac:dyDescent="0.2">
      <c r="B31277"/>
      <c r="C31277"/>
      <c r="J31277"/>
      <c r="K31277"/>
      <c r="L31277"/>
    </row>
    <row r="31278" spans="2:12" x14ac:dyDescent="0.2">
      <c r="B31278"/>
      <c r="C31278"/>
      <c r="J31278"/>
      <c r="K31278"/>
      <c r="L31278"/>
    </row>
    <row r="31279" spans="2:12" x14ac:dyDescent="0.2">
      <c r="B31279"/>
      <c r="C31279"/>
      <c r="J31279"/>
      <c r="K31279"/>
      <c r="L31279"/>
    </row>
    <row r="31280" spans="2:12" x14ac:dyDescent="0.2">
      <c r="B31280"/>
      <c r="C31280"/>
      <c r="J31280"/>
      <c r="K31280"/>
      <c r="L31280"/>
    </row>
    <row r="31281" spans="2:12" x14ac:dyDescent="0.2">
      <c r="B31281"/>
      <c r="C31281"/>
      <c r="J31281"/>
      <c r="K31281"/>
      <c r="L31281"/>
    </row>
    <row r="31282" spans="2:12" x14ac:dyDescent="0.2">
      <c r="B31282"/>
      <c r="C31282"/>
      <c r="J31282"/>
      <c r="K31282"/>
      <c r="L31282"/>
    </row>
    <row r="31283" spans="2:12" x14ac:dyDescent="0.2">
      <c r="B31283"/>
      <c r="C31283"/>
      <c r="J31283"/>
      <c r="K31283"/>
      <c r="L31283"/>
    </row>
    <row r="31284" spans="2:12" x14ac:dyDescent="0.2">
      <c r="B31284"/>
      <c r="C31284"/>
      <c r="J31284"/>
      <c r="K31284"/>
      <c r="L31284"/>
    </row>
    <row r="31285" spans="2:12" x14ac:dyDescent="0.2">
      <c r="B31285"/>
      <c r="C31285"/>
      <c r="J31285"/>
      <c r="K31285"/>
      <c r="L31285"/>
    </row>
    <row r="31286" spans="2:12" x14ac:dyDescent="0.2">
      <c r="B31286"/>
      <c r="C31286"/>
      <c r="J31286"/>
      <c r="K31286"/>
      <c r="L31286"/>
    </row>
    <row r="31287" spans="2:12" x14ac:dyDescent="0.2">
      <c r="B31287"/>
      <c r="C31287"/>
      <c r="J31287"/>
      <c r="K31287"/>
      <c r="L31287"/>
    </row>
    <row r="31288" spans="2:12" x14ac:dyDescent="0.2">
      <c r="B31288"/>
      <c r="C31288"/>
      <c r="J31288"/>
      <c r="K31288"/>
      <c r="L31288"/>
    </row>
    <row r="31289" spans="2:12" x14ac:dyDescent="0.2">
      <c r="B31289"/>
      <c r="C31289"/>
      <c r="J31289"/>
      <c r="K31289"/>
      <c r="L31289"/>
    </row>
    <row r="31290" spans="2:12" x14ac:dyDescent="0.2">
      <c r="B31290"/>
      <c r="C31290"/>
      <c r="J31290"/>
      <c r="K31290"/>
      <c r="L31290"/>
    </row>
    <row r="31291" spans="2:12" x14ac:dyDescent="0.2">
      <c r="B31291"/>
      <c r="C31291"/>
      <c r="J31291"/>
      <c r="K31291"/>
      <c r="L31291"/>
    </row>
    <row r="31292" spans="2:12" x14ac:dyDescent="0.2">
      <c r="B31292"/>
      <c r="C31292"/>
      <c r="J31292"/>
      <c r="K31292"/>
      <c r="L31292"/>
    </row>
    <row r="31293" spans="2:12" x14ac:dyDescent="0.2">
      <c r="B31293"/>
      <c r="C31293"/>
      <c r="J31293"/>
      <c r="K31293"/>
      <c r="L31293"/>
    </row>
    <row r="31294" spans="2:12" x14ac:dyDescent="0.2">
      <c r="B31294"/>
      <c r="C31294"/>
      <c r="J31294"/>
      <c r="K31294"/>
      <c r="L31294"/>
    </row>
    <row r="31295" spans="2:12" x14ac:dyDescent="0.2">
      <c r="B31295"/>
      <c r="C31295"/>
      <c r="J31295"/>
      <c r="K31295"/>
      <c r="L31295"/>
    </row>
    <row r="31296" spans="2:12" x14ac:dyDescent="0.2">
      <c r="B31296"/>
      <c r="C31296"/>
      <c r="J31296"/>
      <c r="K31296"/>
      <c r="L31296"/>
    </row>
    <row r="31297" spans="2:12" x14ac:dyDescent="0.2">
      <c r="B31297"/>
      <c r="C31297"/>
      <c r="J31297"/>
      <c r="K31297"/>
      <c r="L31297"/>
    </row>
    <row r="31298" spans="2:12" x14ac:dyDescent="0.2">
      <c r="B31298"/>
      <c r="C31298"/>
      <c r="J31298"/>
      <c r="K31298"/>
      <c r="L31298"/>
    </row>
    <row r="31299" spans="2:12" x14ac:dyDescent="0.2">
      <c r="B31299"/>
      <c r="C31299"/>
      <c r="J31299"/>
      <c r="K31299"/>
      <c r="L31299"/>
    </row>
    <row r="31300" spans="2:12" x14ac:dyDescent="0.2">
      <c r="B31300"/>
      <c r="C31300"/>
      <c r="J31300"/>
      <c r="K31300"/>
      <c r="L31300"/>
    </row>
    <row r="31301" spans="2:12" x14ac:dyDescent="0.2">
      <c r="B31301"/>
      <c r="C31301"/>
      <c r="J31301"/>
      <c r="K31301"/>
      <c r="L31301"/>
    </row>
    <row r="31302" spans="2:12" x14ac:dyDescent="0.2">
      <c r="B31302"/>
      <c r="C31302"/>
      <c r="J31302"/>
      <c r="K31302"/>
      <c r="L31302"/>
    </row>
    <row r="31303" spans="2:12" x14ac:dyDescent="0.2">
      <c r="B31303"/>
      <c r="C31303"/>
      <c r="J31303"/>
      <c r="K31303"/>
      <c r="L31303"/>
    </row>
    <row r="31304" spans="2:12" x14ac:dyDescent="0.2">
      <c r="B31304"/>
      <c r="C31304"/>
      <c r="J31304"/>
      <c r="K31304"/>
      <c r="L31304"/>
    </row>
    <row r="31305" spans="2:12" x14ac:dyDescent="0.2">
      <c r="B31305"/>
      <c r="C31305"/>
      <c r="J31305"/>
      <c r="K31305"/>
      <c r="L31305"/>
    </row>
    <row r="31306" spans="2:12" x14ac:dyDescent="0.2">
      <c r="B31306"/>
      <c r="C31306"/>
      <c r="J31306"/>
      <c r="K31306"/>
      <c r="L31306"/>
    </row>
    <row r="31307" spans="2:12" x14ac:dyDescent="0.2">
      <c r="B31307"/>
      <c r="C31307"/>
      <c r="J31307"/>
      <c r="K31307"/>
      <c r="L31307"/>
    </row>
    <row r="31308" spans="2:12" x14ac:dyDescent="0.2">
      <c r="B31308"/>
      <c r="C31308"/>
      <c r="J31308"/>
      <c r="K31308"/>
      <c r="L31308"/>
    </row>
    <row r="31309" spans="2:12" x14ac:dyDescent="0.2">
      <c r="B31309"/>
      <c r="C31309"/>
      <c r="J31309"/>
      <c r="K31309"/>
      <c r="L31309"/>
    </row>
    <row r="31310" spans="2:12" x14ac:dyDescent="0.2">
      <c r="B31310"/>
      <c r="C31310"/>
      <c r="J31310"/>
      <c r="K31310"/>
      <c r="L31310"/>
    </row>
    <row r="31311" spans="2:12" x14ac:dyDescent="0.2">
      <c r="B31311"/>
      <c r="C31311"/>
      <c r="J31311"/>
      <c r="K31311"/>
      <c r="L31311"/>
    </row>
    <row r="31312" spans="2:12" x14ac:dyDescent="0.2">
      <c r="B31312"/>
      <c r="C31312"/>
      <c r="J31312"/>
      <c r="K31312"/>
      <c r="L31312"/>
    </row>
    <row r="31313" spans="2:12" x14ac:dyDescent="0.2">
      <c r="B31313"/>
      <c r="C31313"/>
      <c r="J31313"/>
      <c r="K31313"/>
      <c r="L31313"/>
    </row>
    <row r="31314" spans="2:12" x14ac:dyDescent="0.2">
      <c r="B31314"/>
      <c r="C31314"/>
      <c r="J31314"/>
      <c r="K31314"/>
      <c r="L31314"/>
    </row>
    <row r="31315" spans="2:12" x14ac:dyDescent="0.2">
      <c r="B31315"/>
      <c r="C31315"/>
      <c r="J31315"/>
      <c r="K31315"/>
      <c r="L31315"/>
    </row>
    <row r="31316" spans="2:12" x14ac:dyDescent="0.2">
      <c r="B31316"/>
      <c r="C31316"/>
      <c r="J31316"/>
      <c r="K31316"/>
      <c r="L31316"/>
    </row>
    <row r="31317" spans="2:12" x14ac:dyDescent="0.2">
      <c r="B31317"/>
      <c r="C31317"/>
      <c r="J31317"/>
      <c r="K31317"/>
      <c r="L31317"/>
    </row>
    <row r="31318" spans="2:12" x14ac:dyDescent="0.2">
      <c r="B31318"/>
      <c r="C31318"/>
      <c r="J31318"/>
      <c r="K31318"/>
      <c r="L31318"/>
    </row>
    <row r="31319" spans="2:12" x14ac:dyDescent="0.2">
      <c r="B31319"/>
      <c r="C31319"/>
      <c r="J31319"/>
      <c r="K31319"/>
      <c r="L31319"/>
    </row>
    <row r="31320" spans="2:12" x14ac:dyDescent="0.2">
      <c r="B31320"/>
      <c r="C31320"/>
      <c r="J31320"/>
      <c r="K31320"/>
      <c r="L31320"/>
    </row>
    <row r="31321" spans="2:12" x14ac:dyDescent="0.2">
      <c r="B31321"/>
      <c r="C31321"/>
      <c r="J31321"/>
      <c r="K31321"/>
      <c r="L31321"/>
    </row>
    <row r="31322" spans="2:12" x14ac:dyDescent="0.2">
      <c r="B31322"/>
      <c r="C31322"/>
      <c r="J31322"/>
      <c r="K31322"/>
      <c r="L31322"/>
    </row>
    <row r="31323" spans="2:12" x14ac:dyDescent="0.2">
      <c r="B31323"/>
      <c r="C31323"/>
      <c r="J31323"/>
      <c r="K31323"/>
      <c r="L31323"/>
    </row>
    <row r="31324" spans="2:12" x14ac:dyDescent="0.2">
      <c r="B31324"/>
      <c r="C31324"/>
      <c r="J31324"/>
      <c r="K31324"/>
      <c r="L31324"/>
    </row>
    <row r="31325" spans="2:12" x14ac:dyDescent="0.2">
      <c r="B31325"/>
      <c r="C31325"/>
      <c r="J31325"/>
      <c r="K31325"/>
      <c r="L31325"/>
    </row>
    <row r="31326" spans="2:12" x14ac:dyDescent="0.2">
      <c r="B31326"/>
      <c r="C31326"/>
      <c r="J31326"/>
      <c r="K31326"/>
      <c r="L31326"/>
    </row>
    <row r="31327" spans="2:12" x14ac:dyDescent="0.2">
      <c r="B31327"/>
      <c r="C31327"/>
      <c r="J31327"/>
      <c r="K31327"/>
      <c r="L31327"/>
    </row>
    <row r="31328" spans="2:12" x14ac:dyDescent="0.2">
      <c r="B31328"/>
      <c r="C31328"/>
      <c r="J31328"/>
      <c r="K31328"/>
      <c r="L31328"/>
    </row>
    <row r="31329" spans="2:12" x14ac:dyDescent="0.2">
      <c r="B31329"/>
      <c r="C31329"/>
      <c r="J31329"/>
      <c r="K31329"/>
      <c r="L31329"/>
    </row>
    <row r="31330" spans="2:12" x14ac:dyDescent="0.2">
      <c r="B31330"/>
      <c r="C31330"/>
      <c r="J31330"/>
      <c r="K31330"/>
      <c r="L31330"/>
    </row>
    <row r="31331" spans="2:12" x14ac:dyDescent="0.2">
      <c r="B31331"/>
      <c r="C31331"/>
      <c r="J31331"/>
      <c r="K31331"/>
      <c r="L31331"/>
    </row>
    <row r="31332" spans="2:12" x14ac:dyDescent="0.2">
      <c r="B31332"/>
      <c r="C31332"/>
      <c r="J31332"/>
      <c r="K31332"/>
      <c r="L31332"/>
    </row>
    <row r="31333" spans="2:12" x14ac:dyDescent="0.2">
      <c r="B31333"/>
      <c r="C31333"/>
      <c r="J31333"/>
      <c r="K31333"/>
      <c r="L31333"/>
    </row>
    <row r="31334" spans="2:12" x14ac:dyDescent="0.2">
      <c r="B31334"/>
      <c r="C31334"/>
      <c r="J31334"/>
      <c r="K31334"/>
      <c r="L31334"/>
    </row>
    <row r="31335" spans="2:12" x14ac:dyDescent="0.2">
      <c r="B31335"/>
      <c r="C31335"/>
      <c r="J31335"/>
      <c r="K31335"/>
      <c r="L31335"/>
    </row>
    <row r="31336" spans="2:12" x14ac:dyDescent="0.2">
      <c r="B31336"/>
      <c r="C31336"/>
      <c r="J31336"/>
      <c r="K31336"/>
      <c r="L31336"/>
    </row>
    <row r="31337" spans="2:12" x14ac:dyDescent="0.2">
      <c r="B31337"/>
      <c r="C31337"/>
      <c r="J31337"/>
      <c r="K31337"/>
      <c r="L31337"/>
    </row>
    <row r="31338" spans="2:12" x14ac:dyDescent="0.2">
      <c r="B31338"/>
      <c r="C31338"/>
      <c r="J31338"/>
      <c r="K31338"/>
      <c r="L31338"/>
    </row>
    <row r="31339" spans="2:12" x14ac:dyDescent="0.2">
      <c r="B31339"/>
      <c r="C31339"/>
      <c r="J31339"/>
      <c r="K31339"/>
      <c r="L31339"/>
    </row>
    <row r="31340" spans="2:12" x14ac:dyDescent="0.2">
      <c r="B31340"/>
      <c r="C31340"/>
      <c r="J31340"/>
      <c r="K31340"/>
      <c r="L31340"/>
    </row>
    <row r="31341" spans="2:12" x14ac:dyDescent="0.2">
      <c r="B31341"/>
      <c r="C31341"/>
      <c r="J31341"/>
      <c r="K31341"/>
      <c r="L31341"/>
    </row>
    <row r="31342" spans="2:12" x14ac:dyDescent="0.2">
      <c r="B31342"/>
      <c r="C31342"/>
      <c r="J31342"/>
      <c r="K31342"/>
      <c r="L31342"/>
    </row>
    <row r="31343" spans="2:12" x14ac:dyDescent="0.2">
      <c r="B31343"/>
      <c r="C31343"/>
      <c r="J31343"/>
      <c r="K31343"/>
      <c r="L31343"/>
    </row>
    <row r="31344" spans="2:12" x14ac:dyDescent="0.2">
      <c r="B31344"/>
      <c r="C31344"/>
      <c r="J31344"/>
      <c r="K31344"/>
      <c r="L31344"/>
    </row>
    <row r="31345" spans="2:12" x14ac:dyDescent="0.2">
      <c r="B31345"/>
      <c r="C31345"/>
      <c r="J31345"/>
      <c r="K31345"/>
      <c r="L31345"/>
    </row>
    <row r="31346" spans="2:12" x14ac:dyDescent="0.2">
      <c r="B31346"/>
      <c r="C31346"/>
      <c r="J31346"/>
      <c r="K31346"/>
      <c r="L31346"/>
    </row>
    <row r="31347" spans="2:12" x14ac:dyDescent="0.2">
      <c r="B31347"/>
      <c r="C31347"/>
      <c r="J31347"/>
      <c r="K31347"/>
      <c r="L31347"/>
    </row>
    <row r="31348" spans="2:12" x14ac:dyDescent="0.2">
      <c r="B31348"/>
      <c r="C31348"/>
      <c r="J31348"/>
      <c r="K31348"/>
      <c r="L31348"/>
    </row>
    <row r="31349" spans="2:12" x14ac:dyDescent="0.2">
      <c r="B31349"/>
      <c r="C31349"/>
      <c r="J31349"/>
      <c r="K31349"/>
      <c r="L31349"/>
    </row>
    <row r="31350" spans="2:12" x14ac:dyDescent="0.2">
      <c r="B31350"/>
      <c r="C31350"/>
      <c r="J31350"/>
      <c r="K31350"/>
      <c r="L31350"/>
    </row>
    <row r="31351" spans="2:12" x14ac:dyDescent="0.2">
      <c r="B31351"/>
      <c r="C31351"/>
      <c r="J31351"/>
      <c r="K31351"/>
      <c r="L31351"/>
    </row>
    <row r="31352" spans="2:12" x14ac:dyDescent="0.2">
      <c r="B31352"/>
      <c r="C31352"/>
      <c r="J31352"/>
      <c r="K31352"/>
      <c r="L31352"/>
    </row>
    <row r="31353" spans="2:12" x14ac:dyDescent="0.2">
      <c r="B31353"/>
      <c r="C31353"/>
      <c r="J31353"/>
      <c r="K31353"/>
      <c r="L31353"/>
    </row>
    <row r="31354" spans="2:12" x14ac:dyDescent="0.2">
      <c r="B31354"/>
      <c r="C31354"/>
      <c r="J31354"/>
      <c r="K31354"/>
      <c r="L31354"/>
    </row>
    <row r="31355" spans="2:12" x14ac:dyDescent="0.2">
      <c r="B31355"/>
      <c r="C31355"/>
      <c r="J31355"/>
      <c r="K31355"/>
      <c r="L31355"/>
    </row>
    <row r="31356" spans="2:12" x14ac:dyDescent="0.2">
      <c r="B31356"/>
      <c r="C31356"/>
      <c r="J31356"/>
      <c r="K31356"/>
      <c r="L31356"/>
    </row>
    <row r="31357" spans="2:12" x14ac:dyDescent="0.2">
      <c r="B31357"/>
      <c r="C31357"/>
      <c r="J31357"/>
      <c r="K31357"/>
      <c r="L31357"/>
    </row>
    <row r="31358" spans="2:12" x14ac:dyDescent="0.2">
      <c r="B31358"/>
      <c r="C31358"/>
      <c r="J31358"/>
      <c r="K31358"/>
      <c r="L31358"/>
    </row>
    <row r="31359" spans="2:12" x14ac:dyDescent="0.2">
      <c r="B31359"/>
      <c r="C31359"/>
      <c r="J31359"/>
      <c r="K31359"/>
      <c r="L31359"/>
    </row>
    <row r="31360" spans="2:12" x14ac:dyDescent="0.2">
      <c r="B31360"/>
      <c r="C31360"/>
      <c r="J31360"/>
      <c r="K31360"/>
      <c r="L31360"/>
    </row>
    <row r="31361" spans="2:12" x14ac:dyDescent="0.2">
      <c r="B31361"/>
      <c r="C31361"/>
      <c r="J31361"/>
      <c r="K31361"/>
      <c r="L31361"/>
    </row>
    <row r="31362" spans="2:12" x14ac:dyDescent="0.2">
      <c r="B31362"/>
      <c r="C31362"/>
      <c r="J31362"/>
      <c r="K31362"/>
      <c r="L31362"/>
    </row>
    <row r="31363" spans="2:12" x14ac:dyDescent="0.2">
      <c r="B31363"/>
      <c r="C31363"/>
      <c r="J31363"/>
      <c r="K31363"/>
      <c r="L31363"/>
    </row>
    <row r="31364" spans="2:12" x14ac:dyDescent="0.2">
      <c r="B31364"/>
      <c r="C31364"/>
      <c r="J31364"/>
      <c r="K31364"/>
      <c r="L31364"/>
    </row>
    <row r="31365" spans="2:12" x14ac:dyDescent="0.2">
      <c r="B31365"/>
      <c r="C31365"/>
      <c r="J31365"/>
      <c r="K31365"/>
      <c r="L31365"/>
    </row>
    <row r="31366" spans="2:12" x14ac:dyDescent="0.2">
      <c r="B31366"/>
      <c r="C31366"/>
      <c r="J31366"/>
      <c r="K31366"/>
      <c r="L31366"/>
    </row>
    <row r="31367" spans="2:12" x14ac:dyDescent="0.2">
      <c r="B31367"/>
      <c r="C31367"/>
      <c r="J31367"/>
      <c r="K31367"/>
      <c r="L31367"/>
    </row>
    <row r="31368" spans="2:12" x14ac:dyDescent="0.2">
      <c r="B31368"/>
      <c r="C31368"/>
      <c r="J31368"/>
      <c r="K31368"/>
      <c r="L31368"/>
    </row>
    <row r="31369" spans="2:12" x14ac:dyDescent="0.2">
      <c r="B31369"/>
      <c r="C31369"/>
      <c r="J31369"/>
      <c r="K31369"/>
      <c r="L31369"/>
    </row>
    <row r="31370" spans="2:12" x14ac:dyDescent="0.2">
      <c r="B31370"/>
      <c r="C31370"/>
      <c r="J31370"/>
      <c r="K31370"/>
      <c r="L31370"/>
    </row>
    <row r="31371" spans="2:12" x14ac:dyDescent="0.2">
      <c r="B31371"/>
      <c r="C31371"/>
      <c r="J31371"/>
      <c r="K31371"/>
      <c r="L31371"/>
    </row>
    <row r="31372" spans="2:12" x14ac:dyDescent="0.2">
      <c r="B31372"/>
      <c r="C31372"/>
      <c r="J31372"/>
      <c r="K31372"/>
      <c r="L31372"/>
    </row>
    <row r="31373" spans="2:12" x14ac:dyDescent="0.2">
      <c r="B31373"/>
      <c r="C31373"/>
      <c r="J31373"/>
      <c r="K31373"/>
      <c r="L31373"/>
    </row>
    <row r="31374" spans="2:12" x14ac:dyDescent="0.2">
      <c r="B31374"/>
      <c r="C31374"/>
      <c r="J31374"/>
      <c r="K31374"/>
      <c r="L31374"/>
    </row>
    <row r="31375" spans="2:12" x14ac:dyDescent="0.2">
      <c r="B31375"/>
      <c r="C31375"/>
      <c r="J31375"/>
      <c r="K31375"/>
      <c r="L31375"/>
    </row>
    <row r="31376" spans="2:12" x14ac:dyDescent="0.2">
      <c r="B31376"/>
      <c r="C31376"/>
      <c r="J31376"/>
      <c r="K31376"/>
      <c r="L31376"/>
    </row>
    <row r="31377" spans="2:12" x14ac:dyDescent="0.2">
      <c r="B31377"/>
      <c r="C31377"/>
      <c r="J31377"/>
      <c r="K31377"/>
      <c r="L31377"/>
    </row>
    <row r="31378" spans="2:12" x14ac:dyDescent="0.2">
      <c r="B31378"/>
      <c r="C31378"/>
      <c r="J31378"/>
      <c r="K31378"/>
      <c r="L31378"/>
    </row>
    <row r="31379" spans="2:12" x14ac:dyDescent="0.2">
      <c r="B31379"/>
      <c r="C31379"/>
      <c r="J31379"/>
      <c r="K31379"/>
      <c r="L31379"/>
    </row>
    <row r="31380" spans="2:12" x14ac:dyDescent="0.2">
      <c r="B31380"/>
      <c r="C31380"/>
      <c r="J31380"/>
      <c r="K31380"/>
      <c r="L31380"/>
    </row>
    <row r="31381" spans="2:12" x14ac:dyDescent="0.2">
      <c r="B31381"/>
      <c r="C31381"/>
      <c r="J31381"/>
      <c r="K31381"/>
      <c r="L31381"/>
    </row>
    <row r="31382" spans="2:12" x14ac:dyDescent="0.2">
      <c r="B31382"/>
      <c r="C31382"/>
      <c r="J31382"/>
      <c r="K31382"/>
      <c r="L31382"/>
    </row>
    <row r="31383" spans="2:12" x14ac:dyDescent="0.2">
      <c r="B31383"/>
      <c r="C31383"/>
      <c r="J31383"/>
      <c r="K31383"/>
      <c r="L31383"/>
    </row>
    <row r="31384" spans="2:12" x14ac:dyDescent="0.2">
      <c r="B31384"/>
      <c r="C31384"/>
      <c r="J31384"/>
      <c r="K31384"/>
      <c r="L31384"/>
    </row>
    <row r="31385" spans="2:12" x14ac:dyDescent="0.2">
      <c r="B31385"/>
      <c r="C31385"/>
      <c r="J31385"/>
      <c r="K31385"/>
      <c r="L31385"/>
    </row>
    <row r="31386" spans="2:12" x14ac:dyDescent="0.2">
      <c r="B31386"/>
      <c r="C31386"/>
      <c r="J31386"/>
      <c r="K31386"/>
      <c r="L31386"/>
    </row>
    <row r="31387" spans="2:12" x14ac:dyDescent="0.2">
      <c r="B31387"/>
      <c r="C31387"/>
      <c r="J31387"/>
      <c r="K31387"/>
      <c r="L31387"/>
    </row>
    <row r="31388" spans="2:12" x14ac:dyDescent="0.2">
      <c r="B31388"/>
      <c r="C31388"/>
      <c r="J31388"/>
      <c r="K31388"/>
      <c r="L31388"/>
    </row>
    <row r="31389" spans="2:12" x14ac:dyDescent="0.2">
      <c r="B31389"/>
      <c r="C31389"/>
      <c r="J31389"/>
      <c r="K31389"/>
      <c r="L31389"/>
    </row>
    <row r="31390" spans="2:12" x14ac:dyDescent="0.2">
      <c r="B31390"/>
      <c r="C31390"/>
      <c r="J31390"/>
      <c r="K31390"/>
      <c r="L31390"/>
    </row>
    <row r="31391" spans="2:12" x14ac:dyDescent="0.2">
      <c r="B31391"/>
      <c r="C31391"/>
      <c r="J31391"/>
      <c r="K31391"/>
      <c r="L31391"/>
    </row>
    <row r="31392" spans="2:12" x14ac:dyDescent="0.2">
      <c r="B31392"/>
      <c r="C31392"/>
      <c r="J31392"/>
      <c r="K31392"/>
      <c r="L31392"/>
    </row>
    <row r="31393" spans="2:12" x14ac:dyDescent="0.2">
      <c r="B31393"/>
      <c r="C31393"/>
      <c r="J31393"/>
      <c r="K31393"/>
      <c r="L31393"/>
    </row>
    <row r="31394" spans="2:12" x14ac:dyDescent="0.2">
      <c r="B31394"/>
      <c r="C31394"/>
      <c r="J31394"/>
      <c r="K31394"/>
      <c r="L31394"/>
    </row>
    <row r="31395" spans="2:12" x14ac:dyDescent="0.2">
      <c r="B31395"/>
      <c r="C31395"/>
      <c r="J31395"/>
      <c r="K31395"/>
      <c r="L31395"/>
    </row>
    <row r="31396" spans="2:12" x14ac:dyDescent="0.2">
      <c r="B31396"/>
      <c r="C31396"/>
      <c r="J31396"/>
      <c r="K31396"/>
      <c r="L31396"/>
    </row>
    <row r="31397" spans="2:12" x14ac:dyDescent="0.2">
      <c r="B31397"/>
      <c r="C31397"/>
      <c r="J31397"/>
      <c r="K31397"/>
      <c r="L31397"/>
    </row>
    <row r="31398" spans="2:12" x14ac:dyDescent="0.2">
      <c r="B31398"/>
      <c r="C31398"/>
      <c r="J31398"/>
      <c r="K31398"/>
      <c r="L31398"/>
    </row>
    <row r="31399" spans="2:12" x14ac:dyDescent="0.2">
      <c r="B31399"/>
      <c r="C31399"/>
      <c r="J31399"/>
      <c r="K31399"/>
      <c r="L31399"/>
    </row>
    <row r="31400" spans="2:12" x14ac:dyDescent="0.2">
      <c r="B31400"/>
      <c r="C31400"/>
      <c r="J31400"/>
      <c r="K31400"/>
      <c r="L31400"/>
    </row>
    <row r="31401" spans="2:12" x14ac:dyDescent="0.2">
      <c r="B31401"/>
      <c r="C31401"/>
      <c r="J31401"/>
      <c r="K31401"/>
      <c r="L31401"/>
    </row>
    <row r="31402" spans="2:12" x14ac:dyDescent="0.2">
      <c r="B31402"/>
      <c r="C31402"/>
      <c r="J31402"/>
      <c r="K31402"/>
      <c r="L31402"/>
    </row>
    <row r="31403" spans="2:12" x14ac:dyDescent="0.2">
      <c r="B31403"/>
      <c r="C31403"/>
      <c r="J31403"/>
      <c r="K31403"/>
      <c r="L31403"/>
    </row>
    <row r="31404" spans="2:12" x14ac:dyDescent="0.2">
      <c r="B31404"/>
      <c r="C31404"/>
      <c r="J31404"/>
      <c r="K31404"/>
      <c r="L31404"/>
    </row>
    <row r="31405" spans="2:12" x14ac:dyDescent="0.2">
      <c r="B31405"/>
      <c r="C31405"/>
      <c r="J31405"/>
      <c r="K31405"/>
      <c r="L31405"/>
    </row>
    <row r="31406" spans="2:12" x14ac:dyDescent="0.2">
      <c r="B31406"/>
      <c r="C31406"/>
      <c r="J31406"/>
      <c r="K31406"/>
      <c r="L31406"/>
    </row>
    <row r="31407" spans="2:12" x14ac:dyDescent="0.2">
      <c r="B31407"/>
      <c r="C31407"/>
      <c r="J31407"/>
      <c r="K31407"/>
      <c r="L31407"/>
    </row>
    <row r="31408" spans="2:12" x14ac:dyDescent="0.2">
      <c r="B31408"/>
      <c r="C31408"/>
      <c r="J31408"/>
      <c r="K31408"/>
      <c r="L31408"/>
    </row>
    <row r="31409" spans="2:12" x14ac:dyDescent="0.2">
      <c r="B31409"/>
      <c r="C31409"/>
      <c r="J31409"/>
      <c r="K31409"/>
      <c r="L31409"/>
    </row>
    <row r="31410" spans="2:12" x14ac:dyDescent="0.2">
      <c r="B31410"/>
      <c r="C31410"/>
      <c r="J31410"/>
      <c r="K31410"/>
      <c r="L31410"/>
    </row>
    <row r="31411" spans="2:12" x14ac:dyDescent="0.2">
      <c r="B31411"/>
      <c r="C31411"/>
      <c r="J31411"/>
      <c r="K31411"/>
      <c r="L31411"/>
    </row>
    <row r="31412" spans="2:12" x14ac:dyDescent="0.2">
      <c r="B31412"/>
      <c r="C31412"/>
      <c r="J31412"/>
      <c r="K31412"/>
      <c r="L31412"/>
    </row>
    <row r="31413" spans="2:12" x14ac:dyDescent="0.2">
      <c r="B31413"/>
      <c r="C31413"/>
      <c r="J31413"/>
      <c r="K31413"/>
      <c r="L31413"/>
    </row>
    <row r="31414" spans="2:12" x14ac:dyDescent="0.2">
      <c r="B31414"/>
      <c r="C31414"/>
      <c r="J31414"/>
      <c r="K31414"/>
      <c r="L31414"/>
    </row>
    <row r="31415" spans="2:12" x14ac:dyDescent="0.2">
      <c r="B31415"/>
      <c r="C31415"/>
      <c r="J31415"/>
      <c r="K31415"/>
      <c r="L31415"/>
    </row>
    <row r="31416" spans="2:12" x14ac:dyDescent="0.2">
      <c r="B31416"/>
      <c r="C31416"/>
      <c r="J31416"/>
      <c r="K31416"/>
      <c r="L31416"/>
    </row>
    <row r="31417" spans="2:12" x14ac:dyDescent="0.2">
      <c r="B31417"/>
      <c r="C31417"/>
      <c r="J31417"/>
      <c r="K31417"/>
      <c r="L31417"/>
    </row>
    <row r="31418" spans="2:12" x14ac:dyDescent="0.2">
      <c r="B31418"/>
      <c r="C31418"/>
      <c r="J31418"/>
      <c r="K31418"/>
      <c r="L31418"/>
    </row>
    <row r="31419" spans="2:12" x14ac:dyDescent="0.2">
      <c r="B31419"/>
      <c r="C31419"/>
      <c r="J31419"/>
      <c r="K31419"/>
      <c r="L31419"/>
    </row>
    <row r="31420" spans="2:12" x14ac:dyDescent="0.2">
      <c r="B31420"/>
      <c r="C31420"/>
      <c r="J31420"/>
      <c r="K31420"/>
      <c r="L31420"/>
    </row>
    <row r="31421" spans="2:12" x14ac:dyDescent="0.2">
      <c r="B31421"/>
      <c r="C31421"/>
      <c r="J31421"/>
      <c r="K31421"/>
      <c r="L31421"/>
    </row>
    <row r="31422" spans="2:12" x14ac:dyDescent="0.2">
      <c r="B31422"/>
      <c r="C31422"/>
      <c r="J31422"/>
      <c r="K31422"/>
      <c r="L31422"/>
    </row>
    <row r="31423" spans="2:12" x14ac:dyDescent="0.2">
      <c r="B31423"/>
      <c r="C31423"/>
      <c r="J31423"/>
      <c r="K31423"/>
      <c r="L31423"/>
    </row>
    <row r="31424" spans="2:12" x14ac:dyDescent="0.2">
      <c r="B31424"/>
      <c r="C31424"/>
      <c r="J31424"/>
      <c r="K31424"/>
      <c r="L31424"/>
    </row>
    <row r="31425" spans="2:12" x14ac:dyDescent="0.2">
      <c r="B31425"/>
      <c r="C31425"/>
      <c r="J31425"/>
      <c r="K31425"/>
      <c r="L31425"/>
    </row>
    <row r="31426" spans="2:12" x14ac:dyDescent="0.2">
      <c r="B31426"/>
      <c r="C31426"/>
      <c r="J31426"/>
      <c r="K31426"/>
      <c r="L31426"/>
    </row>
    <row r="31427" spans="2:12" x14ac:dyDescent="0.2">
      <c r="B31427"/>
      <c r="C31427"/>
      <c r="J31427"/>
      <c r="K31427"/>
      <c r="L31427"/>
    </row>
    <row r="31428" spans="2:12" x14ac:dyDescent="0.2">
      <c r="B31428"/>
      <c r="C31428"/>
      <c r="J31428"/>
      <c r="K31428"/>
      <c r="L31428"/>
    </row>
    <row r="31429" spans="2:12" x14ac:dyDescent="0.2">
      <c r="B31429"/>
      <c r="C31429"/>
      <c r="J31429"/>
      <c r="K31429"/>
      <c r="L31429"/>
    </row>
    <row r="31430" spans="2:12" x14ac:dyDescent="0.2">
      <c r="B31430"/>
      <c r="C31430"/>
      <c r="J31430"/>
      <c r="K31430"/>
      <c r="L31430"/>
    </row>
    <row r="31431" spans="2:12" x14ac:dyDescent="0.2">
      <c r="B31431"/>
      <c r="C31431"/>
      <c r="J31431"/>
      <c r="K31431"/>
      <c r="L31431"/>
    </row>
    <row r="31432" spans="2:12" x14ac:dyDescent="0.2">
      <c r="B31432"/>
      <c r="C31432"/>
      <c r="J31432"/>
      <c r="K31432"/>
      <c r="L31432"/>
    </row>
    <row r="31433" spans="2:12" x14ac:dyDescent="0.2">
      <c r="B31433"/>
      <c r="C31433"/>
      <c r="J31433"/>
      <c r="K31433"/>
      <c r="L31433"/>
    </row>
    <row r="31434" spans="2:12" x14ac:dyDescent="0.2">
      <c r="B31434"/>
      <c r="C31434"/>
      <c r="J31434"/>
      <c r="K31434"/>
      <c r="L31434"/>
    </row>
    <row r="31435" spans="2:12" x14ac:dyDescent="0.2">
      <c r="B31435"/>
      <c r="C31435"/>
      <c r="J31435"/>
      <c r="K31435"/>
      <c r="L31435"/>
    </row>
    <row r="31436" spans="2:12" x14ac:dyDescent="0.2">
      <c r="B31436"/>
      <c r="C31436"/>
      <c r="J31436"/>
      <c r="K31436"/>
      <c r="L31436"/>
    </row>
    <row r="31437" spans="2:12" x14ac:dyDescent="0.2">
      <c r="B31437"/>
      <c r="C31437"/>
      <c r="J31437"/>
      <c r="K31437"/>
      <c r="L31437"/>
    </row>
    <row r="31438" spans="2:12" x14ac:dyDescent="0.2">
      <c r="B31438"/>
      <c r="C31438"/>
      <c r="J31438"/>
      <c r="K31438"/>
      <c r="L31438"/>
    </row>
    <row r="31439" spans="2:12" x14ac:dyDescent="0.2">
      <c r="B31439"/>
      <c r="C31439"/>
      <c r="J31439"/>
      <c r="K31439"/>
      <c r="L31439"/>
    </row>
    <row r="31440" spans="2:12" x14ac:dyDescent="0.2">
      <c r="B31440"/>
      <c r="C31440"/>
      <c r="J31440"/>
      <c r="K31440"/>
      <c r="L31440"/>
    </row>
    <row r="31441" spans="2:12" x14ac:dyDescent="0.2">
      <c r="B31441"/>
      <c r="C31441"/>
      <c r="J31441"/>
      <c r="K31441"/>
      <c r="L31441"/>
    </row>
    <row r="31442" spans="2:12" x14ac:dyDescent="0.2">
      <c r="B31442"/>
      <c r="C31442"/>
      <c r="J31442"/>
      <c r="K31442"/>
      <c r="L31442"/>
    </row>
    <row r="31443" spans="2:12" x14ac:dyDescent="0.2">
      <c r="B31443"/>
      <c r="C31443"/>
      <c r="J31443"/>
      <c r="K31443"/>
      <c r="L31443"/>
    </row>
    <row r="31444" spans="2:12" x14ac:dyDescent="0.2">
      <c r="B31444"/>
      <c r="C31444"/>
      <c r="J31444"/>
      <c r="K31444"/>
      <c r="L31444"/>
    </row>
    <row r="31445" spans="2:12" x14ac:dyDescent="0.2">
      <c r="B31445"/>
      <c r="C31445"/>
      <c r="J31445"/>
      <c r="K31445"/>
      <c r="L31445"/>
    </row>
    <row r="31446" spans="2:12" x14ac:dyDescent="0.2">
      <c r="B31446"/>
      <c r="C31446"/>
      <c r="J31446"/>
      <c r="K31446"/>
      <c r="L31446"/>
    </row>
    <row r="31447" spans="2:12" x14ac:dyDescent="0.2">
      <c r="B31447"/>
      <c r="C31447"/>
      <c r="J31447"/>
      <c r="K31447"/>
      <c r="L31447"/>
    </row>
    <row r="31448" spans="2:12" x14ac:dyDescent="0.2">
      <c r="B31448"/>
      <c r="C31448"/>
      <c r="J31448"/>
      <c r="K31448"/>
      <c r="L31448"/>
    </row>
    <row r="31449" spans="2:12" x14ac:dyDescent="0.2">
      <c r="B31449"/>
      <c r="C31449"/>
      <c r="J31449"/>
      <c r="K31449"/>
      <c r="L31449"/>
    </row>
    <row r="31450" spans="2:12" x14ac:dyDescent="0.2">
      <c r="B31450"/>
      <c r="C31450"/>
      <c r="J31450"/>
      <c r="K31450"/>
      <c r="L31450"/>
    </row>
    <row r="31451" spans="2:12" x14ac:dyDescent="0.2">
      <c r="B31451"/>
      <c r="C31451"/>
      <c r="J31451"/>
      <c r="K31451"/>
      <c r="L31451"/>
    </row>
    <row r="31452" spans="2:12" x14ac:dyDescent="0.2">
      <c r="B31452"/>
      <c r="C31452"/>
      <c r="J31452"/>
      <c r="K31452"/>
      <c r="L31452"/>
    </row>
    <row r="31453" spans="2:12" x14ac:dyDescent="0.2">
      <c r="B31453"/>
      <c r="C31453"/>
      <c r="J31453"/>
      <c r="K31453"/>
      <c r="L31453"/>
    </row>
    <row r="31454" spans="2:12" x14ac:dyDescent="0.2">
      <c r="B31454"/>
      <c r="C31454"/>
      <c r="J31454"/>
      <c r="K31454"/>
      <c r="L31454"/>
    </row>
    <row r="31455" spans="2:12" x14ac:dyDescent="0.2">
      <c r="B31455"/>
      <c r="C31455"/>
      <c r="J31455"/>
      <c r="K31455"/>
      <c r="L31455"/>
    </row>
    <row r="31456" spans="2:12" x14ac:dyDescent="0.2">
      <c r="B31456"/>
      <c r="C31456"/>
      <c r="J31456"/>
      <c r="K31456"/>
      <c r="L31456"/>
    </row>
    <row r="31457" spans="2:12" x14ac:dyDescent="0.2">
      <c r="B31457"/>
      <c r="C31457"/>
      <c r="J31457"/>
      <c r="K31457"/>
      <c r="L31457"/>
    </row>
    <row r="31458" spans="2:12" x14ac:dyDescent="0.2">
      <c r="B31458"/>
      <c r="C31458"/>
      <c r="J31458"/>
      <c r="K31458"/>
      <c r="L31458"/>
    </row>
    <row r="31459" spans="2:12" x14ac:dyDescent="0.2">
      <c r="B31459"/>
      <c r="C31459"/>
      <c r="J31459"/>
      <c r="K31459"/>
      <c r="L31459"/>
    </row>
    <row r="31460" spans="2:12" x14ac:dyDescent="0.2">
      <c r="B31460"/>
      <c r="C31460"/>
      <c r="J31460"/>
      <c r="K31460"/>
      <c r="L31460"/>
    </row>
    <row r="31461" spans="2:12" x14ac:dyDescent="0.2">
      <c r="B31461"/>
      <c r="C31461"/>
      <c r="J31461"/>
      <c r="K31461"/>
      <c r="L31461"/>
    </row>
    <row r="31462" spans="2:12" x14ac:dyDescent="0.2">
      <c r="B31462"/>
      <c r="C31462"/>
      <c r="J31462"/>
      <c r="K31462"/>
      <c r="L31462"/>
    </row>
    <row r="31463" spans="2:12" x14ac:dyDescent="0.2">
      <c r="B31463"/>
      <c r="C31463"/>
      <c r="J31463"/>
      <c r="K31463"/>
      <c r="L31463"/>
    </row>
    <row r="31464" spans="2:12" x14ac:dyDescent="0.2">
      <c r="B31464"/>
      <c r="C31464"/>
      <c r="J31464"/>
      <c r="K31464"/>
      <c r="L31464"/>
    </row>
    <row r="31465" spans="2:12" x14ac:dyDescent="0.2">
      <c r="B31465"/>
      <c r="C31465"/>
      <c r="J31465"/>
      <c r="K31465"/>
      <c r="L31465"/>
    </row>
    <row r="31466" spans="2:12" x14ac:dyDescent="0.2">
      <c r="B31466"/>
      <c r="C31466"/>
      <c r="J31466"/>
      <c r="K31466"/>
      <c r="L31466"/>
    </row>
    <row r="31467" spans="2:12" x14ac:dyDescent="0.2">
      <c r="B31467"/>
      <c r="C31467"/>
      <c r="J31467"/>
      <c r="K31467"/>
      <c r="L31467"/>
    </row>
    <row r="31468" spans="2:12" x14ac:dyDescent="0.2">
      <c r="B31468"/>
      <c r="C31468"/>
      <c r="J31468"/>
      <c r="K31468"/>
      <c r="L31468"/>
    </row>
    <row r="31469" spans="2:12" x14ac:dyDescent="0.2">
      <c r="B31469"/>
      <c r="C31469"/>
      <c r="J31469"/>
      <c r="K31469"/>
      <c r="L31469"/>
    </row>
    <row r="31470" spans="2:12" x14ac:dyDescent="0.2">
      <c r="B31470"/>
      <c r="C31470"/>
      <c r="J31470"/>
      <c r="K31470"/>
      <c r="L31470"/>
    </row>
    <row r="31471" spans="2:12" x14ac:dyDescent="0.2">
      <c r="B31471"/>
      <c r="C31471"/>
      <c r="J31471"/>
      <c r="K31471"/>
      <c r="L31471"/>
    </row>
    <row r="31472" spans="2:12" x14ac:dyDescent="0.2">
      <c r="B31472"/>
      <c r="C31472"/>
      <c r="J31472"/>
      <c r="K31472"/>
      <c r="L31472"/>
    </row>
    <row r="31473" spans="2:12" x14ac:dyDescent="0.2">
      <c r="B31473"/>
      <c r="C31473"/>
      <c r="J31473"/>
      <c r="K31473"/>
      <c r="L31473"/>
    </row>
    <row r="31474" spans="2:12" x14ac:dyDescent="0.2">
      <c r="B31474"/>
      <c r="C31474"/>
      <c r="J31474"/>
      <c r="K31474"/>
      <c r="L31474"/>
    </row>
    <row r="31475" spans="2:12" x14ac:dyDescent="0.2">
      <c r="B31475"/>
      <c r="C31475"/>
      <c r="J31475"/>
      <c r="K31475"/>
      <c r="L31475"/>
    </row>
    <row r="31476" spans="2:12" x14ac:dyDescent="0.2">
      <c r="B31476"/>
      <c r="C31476"/>
      <c r="J31476"/>
      <c r="K31476"/>
      <c r="L31476"/>
    </row>
    <row r="31477" spans="2:12" x14ac:dyDescent="0.2">
      <c r="B31477"/>
      <c r="C31477"/>
      <c r="J31477"/>
      <c r="K31477"/>
      <c r="L31477"/>
    </row>
    <row r="31478" spans="2:12" x14ac:dyDescent="0.2">
      <c r="B31478"/>
      <c r="C31478"/>
      <c r="J31478"/>
      <c r="K31478"/>
      <c r="L31478"/>
    </row>
    <row r="31479" spans="2:12" x14ac:dyDescent="0.2">
      <c r="B31479"/>
      <c r="C31479"/>
      <c r="J31479"/>
      <c r="K31479"/>
      <c r="L31479"/>
    </row>
    <row r="31480" spans="2:12" x14ac:dyDescent="0.2">
      <c r="B31480"/>
      <c r="C31480"/>
      <c r="J31480"/>
      <c r="K31480"/>
      <c r="L31480"/>
    </row>
    <row r="31481" spans="2:12" x14ac:dyDescent="0.2">
      <c r="B31481"/>
      <c r="C31481"/>
      <c r="J31481"/>
      <c r="K31481"/>
      <c r="L31481"/>
    </row>
    <row r="31482" spans="2:12" x14ac:dyDescent="0.2">
      <c r="B31482"/>
      <c r="C31482"/>
      <c r="J31482"/>
      <c r="K31482"/>
      <c r="L31482"/>
    </row>
    <row r="31483" spans="2:12" x14ac:dyDescent="0.2">
      <c r="B31483"/>
      <c r="C31483"/>
      <c r="J31483"/>
      <c r="K31483"/>
      <c r="L31483"/>
    </row>
    <row r="31484" spans="2:12" x14ac:dyDescent="0.2">
      <c r="B31484"/>
      <c r="C31484"/>
      <c r="J31484"/>
      <c r="K31484"/>
      <c r="L31484"/>
    </row>
    <row r="31485" spans="2:12" x14ac:dyDescent="0.2">
      <c r="B31485"/>
      <c r="C31485"/>
      <c r="J31485"/>
      <c r="K31485"/>
      <c r="L31485"/>
    </row>
    <row r="31486" spans="2:12" x14ac:dyDescent="0.2">
      <c r="B31486"/>
      <c r="C31486"/>
      <c r="J31486"/>
      <c r="K31486"/>
      <c r="L31486"/>
    </row>
    <row r="31487" spans="2:12" x14ac:dyDescent="0.2">
      <c r="B31487"/>
      <c r="C31487"/>
      <c r="J31487"/>
      <c r="K31487"/>
      <c r="L31487"/>
    </row>
    <row r="31488" spans="2:12" x14ac:dyDescent="0.2">
      <c r="B31488"/>
      <c r="C31488"/>
      <c r="J31488"/>
      <c r="K31488"/>
      <c r="L31488"/>
    </row>
    <row r="31489" spans="2:12" x14ac:dyDescent="0.2">
      <c r="B31489"/>
      <c r="C31489"/>
      <c r="J31489"/>
      <c r="K31489"/>
      <c r="L31489"/>
    </row>
    <row r="31490" spans="2:12" x14ac:dyDescent="0.2">
      <c r="B31490"/>
      <c r="C31490"/>
      <c r="J31490"/>
      <c r="K31490"/>
      <c r="L31490"/>
    </row>
    <row r="31491" spans="2:12" x14ac:dyDescent="0.2">
      <c r="B31491"/>
      <c r="C31491"/>
      <c r="J31491"/>
      <c r="K31491"/>
      <c r="L31491"/>
    </row>
    <row r="31492" spans="2:12" x14ac:dyDescent="0.2">
      <c r="B31492"/>
      <c r="C31492"/>
      <c r="J31492"/>
      <c r="K31492"/>
      <c r="L31492"/>
    </row>
    <row r="31493" spans="2:12" x14ac:dyDescent="0.2">
      <c r="B31493"/>
      <c r="C31493"/>
      <c r="J31493"/>
      <c r="K31493"/>
      <c r="L31493"/>
    </row>
    <row r="31494" spans="2:12" x14ac:dyDescent="0.2">
      <c r="B31494"/>
      <c r="C31494"/>
      <c r="J31494"/>
      <c r="K31494"/>
      <c r="L31494"/>
    </row>
    <row r="31495" spans="2:12" x14ac:dyDescent="0.2">
      <c r="B31495"/>
      <c r="C31495"/>
      <c r="J31495"/>
      <c r="K31495"/>
      <c r="L31495"/>
    </row>
    <row r="31496" spans="2:12" x14ac:dyDescent="0.2">
      <c r="B31496"/>
      <c r="C31496"/>
      <c r="J31496"/>
      <c r="K31496"/>
      <c r="L31496"/>
    </row>
    <row r="31497" spans="2:12" x14ac:dyDescent="0.2">
      <c r="B31497"/>
      <c r="C31497"/>
      <c r="J31497"/>
      <c r="K31497"/>
      <c r="L31497"/>
    </row>
    <row r="31498" spans="2:12" x14ac:dyDescent="0.2">
      <c r="B31498"/>
      <c r="C31498"/>
      <c r="J31498"/>
      <c r="K31498"/>
      <c r="L31498"/>
    </row>
    <row r="31499" spans="2:12" x14ac:dyDescent="0.2">
      <c r="B31499"/>
      <c r="C31499"/>
      <c r="J31499"/>
      <c r="K31499"/>
      <c r="L31499"/>
    </row>
    <row r="31500" spans="2:12" x14ac:dyDescent="0.2">
      <c r="B31500"/>
      <c r="C31500"/>
      <c r="J31500"/>
      <c r="K31500"/>
      <c r="L31500"/>
    </row>
    <row r="31501" spans="2:12" x14ac:dyDescent="0.2">
      <c r="B31501"/>
      <c r="C31501"/>
      <c r="J31501"/>
      <c r="K31501"/>
      <c r="L31501"/>
    </row>
    <row r="31502" spans="2:12" x14ac:dyDescent="0.2">
      <c r="B31502"/>
      <c r="C31502"/>
      <c r="J31502"/>
      <c r="K31502"/>
      <c r="L31502"/>
    </row>
    <row r="31503" spans="2:12" x14ac:dyDescent="0.2">
      <c r="B31503"/>
      <c r="C31503"/>
      <c r="J31503"/>
      <c r="K31503"/>
      <c r="L31503"/>
    </row>
    <row r="31504" spans="2:12" x14ac:dyDescent="0.2">
      <c r="B31504"/>
      <c r="C31504"/>
      <c r="J31504"/>
      <c r="K31504"/>
      <c r="L31504"/>
    </row>
    <row r="31505" spans="2:12" x14ac:dyDescent="0.2">
      <c r="B31505"/>
      <c r="C31505"/>
      <c r="J31505"/>
      <c r="K31505"/>
      <c r="L31505"/>
    </row>
    <row r="31506" spans="2:12" x14ac:dyDescent="0.2">
      <c r="B31506"/>
      <c r="C31506"/>
      <c r="J31506"/>
      <c r="K31506"/>
      <c r="L31506"/>
    </row>
    <row r="31507" spans="2:12" x14ac:dyDescent="0.2">
      <c r="B31507"/>
      <c r="C31507"/>
      <c r="J31507"/>
      <c r="K31507"/>
      <c r="L31507"/>
    </row>
    <row r="31508" spans="2:12" x14ac:dyDescent="0.2">
      <c r="B31508"/>
      <c r="C31508"/>
      <c r="J31508"/>
      <c r="K31508"/>
      <c r="L31508"/>
    </row>
    <row r="31509" spans="2:12" x14ac:dyDescent="0.2">
      <c r="B31509"/>
      <c r="C31509"/>
      <c r="J31509"/>
      <c r="K31509"/>
      <c r="L31509"/>
    </row>
    <row r="31510" spans="2:12" x14ac:dyDescent="0.2">
      <c r="B31510"/>
      <c r="C31510"/>
      <c r="J31510"/>
      <c r="K31510"/>
      <c r="L31510"/>
    </row>
    <row r="31511" spans="2:12" x14ac:dyDescent="0.2">
      <c r="B31511"/>
      <c r="C31511"/>
      <c r="J31511"/>
      <c r="K31511"/>
      <c r="L31511"/>
    </row>
    <row r="31512" spans="2:12" x14ac:dyDescent="0.2">
      <c r="B31512"/>
      <c r="C31512"/>
      <c r="J31512"/>
      <c r="K31512"/>
      <c r="L31512"/>
    </row>
    <row r="31513" spans="2:12" x14ac:dyDescent="0.2">
      <c r="B31513"/>
      <c r="C31513"/>
      <c r="J31513"/>
      <c r="K31513"/>
      <c r="L31513"/>
    </row>
    <row r="31514" spans="2:12" x14ac:dyDescent="0.2">
      <c r="B31514"/>
      <c r="C31514"/>
      <c r="J31514"/>
      <c r="K31514"/>
      <c r="L31514"/>
    </row>
    <row r="31515" spans="2:12" x14ac:dyDescent="0.2">
      <c r="B31515"/>
      <c r="C31515"/>
      <c r="J31515"/>
      <c r="K31515"/>
      <c r="L31515"/>
    </row>
    <row r="31516" spans="2:12" x14ac:dyDescent="0.2">
      <c r="B31516"/>
      <c r="C31516"/>
      <c r="J31516"/>
      <c r="K31516"/>
      <c r="L31516"/>
    </row>
    <row r="31517" spans="2:12" x14ac:dyDescent="0.2">
      <c r="B31517"/>
      <c r="C31517"/>
      <c r="J31517"/>
      <c r="K31517"/>
      <c r="L31517"/>
    </row>
    <row r="31518" spans="2:12" x14ac:dyDescent="0.2">
      <c r="B31518"/>
      <c r="C31518"/>
      <c r="J31518"/>
      <c r="K31518"/>
      <c r="L31518"/>
    </row>
    <row r="31519" spans="2:12" x14ac:dyDescent="0.2">
      <c r="B31519"/>
      <c r="C31519"/>
      <c r="J31519"/>
      <c r="K31519"/>
      <c r="L31519"/>
    </row>
    <row r="31520" spans="2:12" x14ac:dyDescent="0.2">
      <c r="B31520"/>
      <c r="C31520"/>
      <c r="J31520"/>
      <c r="K31520"/>
      <c r="L31520"/>
    </row>
    <row r="31521" spans="2:12" x14ac:dyDescent="0.2">
      <c r="B31521"/>
      <c r="C31521"/>
      <c r="J31521"/>
      <c r="K31521"/>
      <c r="L31521"/>
    </row>
    <row r="31522" spans="2:12" x14ac:dyDescent="0.2">
      <c r="B31522"/>
      <c r="C31522"/>
      <c r="J31522"/>
      <c r="K31522"/>
      <c r="L31522"/>
    </row>
    <row r="31523" spans="2:12" x14ac:dyDescent="0.2">
      <c r="B31523"/>
      <c r="C31523"/>
      <c r="J31523"/>
      <c r="K31523"/>
      <c r="L31523"/>
    </row>
    <row r="31524" spans="2:12" x14ac:dyDescent="0.2">
      <c r="B31524"/>
      <c r="C31524"/>
      <c r="J31524"/>
      <c r="K31524"/>
      <c r="L31524"/>
    </row>
    <row r="31525" spans="2:12" x14ac:dyDescent="0.2">
      <c r="B31525"/>
      <c r="C31525"/>
      <c r="J31525"/>
      <c r="K31525"/>
      <c r="L31525"/>
    </row>
    <row r="31526" spans="2:12" x14ac:dyDescent="0.2">
      <c r="B31526"/>
      <c r="C31526"/>
      <c r="J31526"/>
      <c r="K31526"/>
      <c r="L31526"/>
    </row>
    <row r="31527" spans="2:12" x14ac:dyDescent="0.2">
      <c r="B31527"/>
      <c r="C31527"/>
      <c r="J31527"/>
      <c r="K31527"/>
      <c r="L31527"/>
    </row>
    <row r="31528" spans="2:12" x14ac:dyDescent="0.2">
      <c r="B31528"/>
      <c r="C31528"/>
      <c r="J31528"/>
      <c r="K31528"/>
      <c r="L31528"/>
    </row>
    <row r="31529" spans="2:12" x14ac:dyDescent="0.2">
      <c r="B31529"/>
      <c r="C31529"/>
      <c r="J31529"/>
      <c r="K31529"/>
      <c r="L31529"/>
    </row>
    <row r="31530" spans="2:12" x14ac:dyDescent="0.2">
      <c r="B31530"/>
      <c r="C31530"/>
      <c r="J31530"/>
      <c r="K31530"/>
      <c r="L31530"/>
    </row>
    <row r="31531" spans="2:12" x14ac:dyDescent="0.2">
      <c r="B31531"/>
      <c r="C31531"/>
      <c r="J31531"/>
      <c r="K31531"/>
      <c r="L31531"/>
    </row>
    <row r="31532" spans="2:12" x14ac:dyDescent="0.2">
      <c r="B31532"/>
      <c r="C31532"/>
      <c r="J31532"/>
      <c r="K31532"/>
      <c r="L31532"/>
    </row>
    <row r="31533" spans="2:12" x14ac:dyDescent="0.2">
      <c r="B31533"/>
      <c r="C31533"/>
      <c r="J31533"/>
      <c r="K31533"/>
      <c r="L31533"/>
    </row>
    <row r="31534" spans="2:12" x14ac:dyDescent="0.2">
      <c r="B31534"/>
      <c r="C31534"/>
      <c r="J31534"/>
      <c r="K31534"/>
      <c r="L31534"/>
    </row>
    <row r="31535" spans="2:12" x14ac:dyDescent="0.2">
      <c r="B31535"/>
      <c r="C31535"/>
      <c r="J31535"/>
      <c r="K31535"/>
      <c r="L31535"/>
    </row>
    <row r="31536" spans="2:12" x14ac:dyDescent="0.2">
      <c r="B31536"/>
      <c r="C31536"/>
      <c r="J31536"/>
      <c r="K31536"/>
      <c r="L31536"/>
    </row>
    <row r="31537" spans="2:12" x14ac:dyDescent="0.2">
      <c r="B31537"/>
      <c r="C31537"/>
      <c r="J31537"/>
      <c r="K31537"/>
      <c r="L31537"/>
    </row>
    <row r="31538" spans="2:12" x14ac:dyDescent="0.2">
      <c r="B31538"/>
      <c r="C31538"/>
      <c r="J31538"/>
      <c r="K31538"/>
      <c r="L31538"/>
    </row>
    <row r="31539" spans="2:12" x14ac:dyDescent="0.2">
      <c r="B31539"/>
      <c r="C31539"/>
      <c r="J31539"/>
      <c r="K31539"/>
      <c r="L31539"/>
    </row>
    <row r="31540" spans="2:12" x14ac:dyDescent="0.2">
      <c r="B31540"/>
      <c r="C31540"/>
      <c r="J31540"/>
      <c r="K31540"/>
      <c r="L31540"/>
    </row>
    <row r="31541" spans="2:12" x14ac:dyDescent="0.2">
      <c r="B31541"/>
      <c r="C31541"/>
      <c r="J31541"/>
      <c r="K31541"/>
      <c r="L31541"/>
    </row>
    <row r="31542" spans="2:12" x14ac:dyDescent="0.2">
      <c r="B31542"/>
      <c r="C31542"/>
      <c r="J31542"/>
      <c r="K31542"/>
      <c r="L31542"/>
    </row>
    <row r="31543" spans="2:12" x14ac:dyDescent="0.2">
      <c r="B31543"/>
      <c r="C31543"/>
      <c r="J31543"/>
      <c r="K31543"/>
      <c r="L31543"/>
    </row>
    <row r="31544" spans="2:12" x14ac:dyDescent="0.2">
      <c r="B31544"/>
      <c r="C31544"/>
      <c r="J31544"/>
      <c r="K31544"/>
      <c r="L31544"/>
    </row>
    <row r="31545" spans="2:12" x14ac:dyDescent="0.2">
      <c r="B31545"/>
      <c r="C31545"/>
      <c r="J31545"/>
      <c r="K31545"/>
      <c r="L31545"/>
    </row>
    <row r="31546" spans="2:12" x14ac:dyDescent="0.2">
      <c r="B31546"/>
      <c r="C31546"/>
      <c r="J31546"/>
      <c r="K31546"/>
      <c r="L31546"/>
    </row>
    <row r="31547" spans="2:12" x14ac:dyDescent="0.2">
      <c r="B31547"/>
      <c r="C31547"/>
      <c r="J31547"/>
      <c r="K31547"/>
      <c r="L31547"/>
    </row>
    <row r="31548" spans="2:12" x14ac:dyDescent="0.2">
      <c r="B31548"/>
      <c r="C31548"/>
      <c r="J31548"/>
      <c r="K31548"/>
      <c r="L31548"/>
    </row>
    <row r="31549" spans="2:12" x14ac:dyDescent="0.2">
      <c r="B31549"/>
      <c r="C31549"/>
      <c r="J31549"/>
      <c r="K31549"/>
      <c r="L31549"/>
    </row>
    <row r="31550" spans="2:12" x14ac:dyDescent="0.2">
      <c r="B31550"/>
      <c r="C31550"/>
      <c r="J31550"/>
      <c r="K31550"/>
      <c r="L31550"/>
    </row>
    <row r="31551" spans="2:12" x14ac:dyDescent="0.2">
      <c r="B31551"/>
      <c r="C31551"/>
      <c r="J31551"/>
      <c r="K31551"/>
      <c r="L31551"/>
    </row>
    <row r="31552" spans="2:12" x14ac:dyDescent="0.2">
      <c r="B31552"/>
      <c r="C31552"/>
      <c r="J31552"/>
      <c r="K31552"/>
      <c r="L31552"/>
    </row>
    <row r="31553" spans="2:12" x14ac:dyDescent="0.2">
      <c r="B31553"/>
      <c r="C31553"/>
      <c r="J31553"/>
      <c r="K31553"/>
      <c r="L31553"/>
    </row>
    <row r="31554" spans="2:12" x14ac:dyDescent="0.2">
      <c r="B31554"/>
      <c r="C31554"/>
      <c r="J31554"/>
      <c r="K31554"/>
      <c r="L31554"/>
    </row>
    <row r="31555" spans="2:12" x14ac:dyDescent="0.2">
      <c r="B31555"/>
      <c r="C31555"/>
      <c r="J31555"/>
      <c r="K31555"/>
      <c r="L31555"/>
    </row>
    <row r="31556" spans="2:12" x14ac:dyDescent="0.2">
      <c r="B31556"/>
      <c r="C31556"/>
      <c r="J31556"/>
      <c r="K31556"/>
      <c r="L31556"/>
    </row>
    <row r="31557" spans="2:12" x14ac:dyDescent="0.2">
      <c r="B31557"/>
      <c r="C31557"/>
      <c r="J31557"/>
      <c r="K31557"/>
      <c r="L31557"/>
    </row>
    <row r="31558" spans="2:12" x14ac:dyDescent="0.2">
      <c r="B31558"/>
      <c r="C31558"/>
      <c r="J31558"/>
      <c r="K31558"/>
      <c r="L31558"/>
    </row>
    <row r="31559" spans="2:12" x14ac:dyDescent="0.2">
      <c r="B31559"/>
      <c r="C31559"/>
      <c r="J31559"/>
      <c r="K31559"/>
      <c r="L31559"/>
    </row>
    <row r="31560" spans="2:12" x14ac:dyDescent="0.2">
      <c r="B31560"/>
      <c r="C31560"/>
      <c r="J31560"/>
      <c r="K31560"/>
      <c r="L31560"/>
    </row>
    <row r="31561" spans="2:12" x14ac:dyDescent="0.2">
      <c r="B31561"/>
      <c r="C31561"/>
      <c r="J31561"/>
      <c r="K31561"/>
      <c r="L31561"/>
    </row>
    <row r="31562" spans="2:12" x14ac:dyDescent="0.2">
      <c r="B31562"/>
      <c r="C31562"/>
      <c r="J31562"/>
      <c r="K31562"/>
      <c r="L31562"/>
    </row>
    <row r="31563" spans="2:12" x14ac:dyDescent="0.2">
      <c r="B31563"/>
      <c r="C31563"/>
      <c r="J31563"/>
      <c r="K31563"/>
      <c r="L31563"/>
    </row>
    <row r="31564" spans="2:12" x14ac:dyDescent="0.2">
      <c r="B31564"/>
      <c r="C31564"/>
      <c r="J31564"/>
      <c r="K31564"/>
      <c r="L31564"/>
    </row>
    <row r="31565" spans="2:12" x14ac:dyDescent="0.2">
      <c r="B31565"/>
      <c r="C31565"/>
      <c r="J31565"/>
      <c r="K31565"/>
      <c r="L31565"/>
    </row>
    <row r="31566" spans="2:12" x14ac:dyDescent="0.2">
      <c r="B31566"/>
      <c r="C31566"/>
      <c r="J31566"/>
      <c r="K31566"/>
      <c r="L31566"/>
    </row>
    <row r="31567" spans="2:12" x14ac:dyDescent="0.2">
      <c r="B31567"/>
      <c r="C31567"/>
      <c r="J31567"/>
      <c r="K31567"/>
      <c r="L31567"/>
    </row>
    <row r="31568" spans="2:12" x14ac:dyDescent="0.2">
      <c r="B31568"/>
      <c r="C31568"/>
      <c r="J31568"/>
      <c r="K31568"/>
      <c r="L31568"/>
    </row>
    <row r="31569" spans="2:12" x14ac:dyDescent="0.2">
      <c r="B31569"/>
      <c r="C31569"/>
      <c r="J31569"/>
      <c r="K31569"/>
      <c r="L31569"/>
    </row>
    <row r="31570" spans="2:12" x14ac:dyDescent="0.2">
      <c r="B31570"/>
      <c r="C31570"/>
      <c r="J31570"/>
      <c r="K31570"/>
      <c r="L31570"/>
    </row>
    <row r="31571" spans="2:12" x14ac:dyDescent="0.2">
      <c r="B31571"/>
      <c r="C31571"/>
      <c r="J31571"/>
      <c r="K31571"/>
      <c r="L31571"/>
    </row>
    <row r="31572" spans="2:12" x14ac:dyDescent="0.2">
      <c r="B31572"/>
      <c r="C31572"/>
      <c r="J31572"/>
      <c r="K31572"/>
      <c r="L31572"/>
    </row>
    <row r="31573" spans="2:12" x14ac:dyDescent="0.2">
      <c r="B31573"/>
      <c r="C31573"/>
      <c r="J31573"/>
      <c r="K31573"/>
      <c r="L31573"/>
    </row>
    <row r="31574" spans="2:12" x14ac:dyDescent="0.2">
      <c r="B31574"/>
      <c r="C31574"/>
      <c r="J31574"/>
      <c r="K31574"/>
      <c r="L31574"/>
    </row>
    <row r="31575" spans="2:12" x14ac:dyDescent="0.2">
      <c r="B31575"/>
      <c r="C31575"/>
      <c r="J31575"/>
      <c r="K31575"/>
      <c r="L31575"/>
    </row>
    <row r="31576" spans="2:12" x14ac:dyDescent="0.2">
      <c r="B31576"/>
      <c r="C31576"/>
      <c r="J31576"/>
      <c r="K31576"/>
      <c r="L31576"/>
    </row>
    <row r="31577" spans="2:12" x14ac:dyDescent="0.2">
      <c r="B31577"/>
      <c r="C31577"/>
      <c r="J31577"/>
      <c r="K31577"/>
      <c r="L31577"/>
    </row>
    <row r="31578" spans="2:12" x14ac:dyDescent="0.2">
      <c r="B31578"/>
      <c r="C31578"/>
      <c r="J31578"/>
      <c r="K31578"/>
      <c r="L31578"/>
    </row>
    <row r="31579" spans="2:12" x14ac:dyDescent="0.2">
      <c r="B31579"/>
      <c r="C31579"/>
      <c r="J31579"/>
      <c r="K31579"/>
      <c r="L31579"/>
    </row>
    <row r="31580" spans="2:12" x14ac:dyDescent="0.2">
      <c r="B31580"/>
      <c r="C31580"/>
      <c r="J31580"/>
      <c r="K31580"/>
      <c r="L31580"/>
    </row>
    <row r="31581" spans="2:12" x14ac:dyDescent="0.2">
      <c r="B31581"/>
      <c r="C31581"/>
      <c r="J31581"/>
      <c r="K31581"/>
      <c r="L31581"/>
    </row>
    <row r="31582" spans="2:12" x14ac:dyDescent="0.2">
      <c r="B31582"/>
      <c r="C31582"/>
      <c r="J31582"/>
      <c r="K31582"/>
      <c r="L31582"/>
    </row>
    <row r="31583" spans="2:12" x14ac:dyDescent="0.2">
      <c r="B31583"/>
      <c r="C31583"/>
      <c r="J31583"/>
      <c r="K31583"/>
      <c r="L31583"/>
    </row>
    <row r="31584" spans="2:12" x14ac:dyDescent="0.2">
      <c r="B31584"/>
      <c r="C31584"/>
      <c r="J31584"/>
      <c r="K31584"/>
      <c r="L31584"/>
    </row>
    <row r="31585" spans="2:12" x14ac:dyDescent="0.2">
      <c r="B31585"/>
      <c r="C31585"/>
      <c r="J31585"/>
      <c r="K31585"/>
      <c r="L31585"/>
    </row>
    <row r="31586" spans="2:12" x14ac:dyDescent="0.2">
      <c r="B31586"/>
      <c r="C31586"/>
      <c r="J31586"/>
      <c r="K31586"/>
      <c r="L31586"/>
    </row>
    <row r="31587" spans="2:12" x14ac:dyDescent="0.2">
      <c r="B31587"/>
      <c r="C31587"/>
      <c r="J31587"/>
      <c r="K31587"/>
      <c r="L31587"/>
    </row>
    <row r="31588" spans="2:12" x14ac:dyDescent="0.2">
      <c r="B31588"/>
      <c r="C31588"/>
      <c r="J31588"/>
      <c r="K31588"/>
      <c r="L31588"/>
    </row>
    <row r="31589" spans="2:12" x14ac:dyDescent="0.2">
      <c r="B31589"/>
      <c r="C31589"/>
      <c r="J31589"/>
      <c r="K31589"/>
      <c r="L31589"/>
    </row>
    <row r="31590" spans="2:12" x14ac:dyDescent="0.2">
      <c r="B31590"/>
      <c r="C31590"/>
      <c r="J31590"/>
      <c r="K31590"/>
      <c r="L31590"/>
    </row>
    <row r="31591" spans="2:12" x14ac:dyDescent="0.2">
      <c r="B31591"/>
      <c r="C31591"/>
      <c r="J31591"/>
      <c r="K31591"/>
      <c r="L31591"/>
    </row>
    <row r="31592" spans="2:12" x14ac:dyDescent="0.2">
      <c r="B31592"/>
      <c r="C31592"/>
      <c r="J31592"/>
      <c r="K31592"/>
      <c r="L31592"/>
    </row>
    <row r="31593" spans="2:12" x14ac:dyDescent="0.2">
      <c r="B31593"/>
      <c r="C31593"/>
      <c r="J31593"/>
      <c r="K31593"/>
      <c r="L31593"/>
    </row>
    <row r="31594" spans="2:12" x14ac:dyDescent="0.2">
      <c r="B31594"/>
      <c r="C31594"/>
      <c r="J31594"/>
      <c r="K31594"/>
      <c r="L31594"/>
    </row>
    <row r="31595" spans="2:12" x14ac:dyDescent="0.2">
      <c r="B31595"/>
      <c r="C31595"/>
      <c r="J31595"/>
      <c r="K31595"/>
      <c r="L31595"/>
    </row>
    <row r="31596" spans="2:12" x14ac:dyDescent="0.2">
      <c r="B31596"/>
      <c r="C31596"/>
      <c r="J31596"/>
      <c r="K31596"/>
      <c r="L31596"/>
    </row>
    <row r="31597" spans="2:12" x14ac:dyDescent="0.2">
      <c r="B31597"/>
      <c r="C31597"/>
      <c r="J31597"/>
      <c r="K31597"/>
      <c r="L31597"/>
    </row>
    <row r="31598" spans="2:12" x14ac:dyDescent="0.2">
      <c r="B31598"/>
      <c r="C31598"/>
      <c r="J31598"/>
      <c r="K31598"/>
      <c r="L31598"/>
    </row>
    <row r="31599" spans="2:12" x14ac:dyDescent="0.2">
      <c r="B31599"/>
      <c r="C31599"/>
      <c r="J31599"/>
      <c r="K31599"/>
      <c r="L31599"/>
    </row>
    <row r="31600" spans="2:12" x14ac:dyDescent="0.2">
      <c r="B31600"/>
      <c r="C31600"/>
      <c r="J31600"/>
      <c r="K31600"/>
      <c r="L31600"/>
    </row>
    <row r="31601" spans="2:12" x14ac:dyDescent="0.2">
      <c r="B31601"/>
      <c r="C31601"/>
      <c r="J31601"/>
      <c r="K31601"/>
      <c r="L31601"/>
    </row>
    <row r="31602" spans="2:12" x14ac:dyDescent="0.2">
      <c r="B31602"/>
      <c r="C31602"/>
      <c r="J31602"/>
      <c r="K31602"/>
      <c r="L31602"/>
    </row>
    <row r="31603" spans="2:12" x14ac:dyDescent="0.2">
      <c r="B31603"/>
      <c r="C31603"/>
      <c r="J31603"/>
      <c r="K31603"/>
      <c r="L31603"/>
    </row>
    <row r="31604" spans="2:12" x14ac:dyDescent="0.2">
      <c r="B31604"/>
      <c r="C31604"/>
      <c r="J31604"/>
      <c r="K31604"/>
      <c r="L31604"/>
    </row>
    <row r="31605" spans="2:12" x14ac:dyDescent="0.2">
      <c r="B31605"/>
      <c r="C31605"/>
      <c r="J31605"/>
      <c r="K31605"/>
      <c r="L31605"/>
    </row>
    <row r="31606" spans="2:12" x14ac:dyDescent="0.2">
      <c r="B31606"/>
      <c r="C31606"/>
      <c r="J31606"/>
      <c r="K31606"/>
      <c r="L31606"/>
    </row>
    <row r="31607" spans="2:12" x14ac:dyDescent="0.2">
      <c r="B31607"/>
      <c r="C31607"/>
      <c r="J31607"/>
      <c r="K31607"/>
      <c r="L31607"/>
    </row>
    <row r="31608" spans="2:12" x14ac:dyDescent="0.2">
      <c r="B31608"/>
      <c r="C31608"/>
      <c r="J31608"/>
      <c r="K31608"/>
      <c r="L31608"/>
    </row>
    <row r="31609" spans="2:12" x14ac:dyDescent="0.2">
      <c r="B31609"/>
      <c r="C31609"/>
      <c r="J31609"/>
      <c r="K31609"/>
      <c r="L31609"/>
    </row>
    <row r="31610" spans="2:12" x14ac:dyDescent="0.2">
      <c r="B31610"/>
      <c r="C31610"/>
      <c r="J31610"/>
      <c r="K31610"/>
      <c r="L31610"/>
    </row>
    <row r="31611" spans="2:12" x14ac:dyDescent="0.2">
      <c r="B31611"/>
      <c r="C31611"/>
      <c r="J31611"/>
      <c r="K31611"/>
      <c r="L31611"/>
    </row>
    <row r="31612" spans="2:12" x14ac:dyDescent="0.2">
      <c r="B31612"/>
      <c r="C31612"/>
      <c r="J31612"/>
      <c r="K31612"/>
      <c r="L31612"/>
    </row>
    <row r="31613" spans="2:12" x14ac:dyDescent="0.2">
      <c r="B31613"/>
      <c r="C31613"/>
      <c r="J31613"/>
      <c r="K31613"/>
      <c r="L31613"/>
    </row>
    <row r="31614" spans="2:12" x14ac:dyDescent="0.2">
      <c r="B31614"/>
      <c r="C31614"/>
      <c r="J31614"/>
      <c r="K31614"/>
      <c r="L31614"/>
    </row>
    <row r="31615" spans="2:12" x14ac:dyDescent="0.2">
      <c r="B31615"/>
      <c r="C31615"/>
      <c r="J31615"/>
      <c r="K31615"/>
      <c r="L31615"/>
    </row>
    <row r="31616" spans="2:12" x14ac:dyDescent="0.2">
      <c r="B31616"/>
      <c r="C31616"/>
      <c r="J31616"/>
      <c r="K31616"/>
      <c r="L31616"/>
    </row>
    <row r="31617" spans="2:12" x14ac:dyDescent="0.2">
      <c r="B31617"/>
      <c r="C31617"/>
      <c r="J31617"/>
      <c r="K31617"/>
      <c r="L31617"/>
    </row>
    <row r="31618" spans="2:12" x14ac:dyDescent="0.2">
      <c r="B31618"/>
      <c r="C31618"/>
      <c r="J31618"/>
      <c r="K31618"/>
      <c r="L31618"/>
    </row>
    <row r="31619" spans="2:12" x14ac:dyDescent="0.2">
      <c r="B31619"/>
      <c r="C31619"/>
      <c r="J31619"/>
      <c r="K31619"/>
      <c r="L31619"/>
    </row>
    <row r="31620" spans="2:12" x14ac:dyDescent="0.2">
      <c r="B31620"/>
      <c r="C31620"/>
      <c r="J31620"/>
      <c r="K31620"/>
      <c r="L31620"/>
    </row>
    <row r="31621" spans="2:12" x14ac:dyDescent="0.2">
      <c r="B31621"/>
      <c r="C31621"/>
      <c r="J31621"/>
      <c r="K31621"/>
      <c r="L31621"/>
    </row>
    <row r="31622" spans="2:12" x14ac:dyDescent="0.2">
      <c r="B31622"/>
      <c r="C31622"/>
      <c r="J31622"/>
      <c r="K31622"/>
      <c r="L31622"/>
    </row>
    <row r="31623" spans="2:12" x14ac:dyDescent="0.2">
      <c r="B31623"/>
      <c r="C31623"/>
      <c r="J31623"/>
      <c r="K31623"/>
      <c r="L31623"/>
    </row>
    <row r="31624" spans="2:12" x14ac:dyDescent="0.2">
      <c r="B31624"/>
      <c r="C31624"/>
      <c r="J31624"/>
      <c r="K31624"/>
      <c r="L31624"/>
    </row>
    <row r="31625" spans="2:12" x14ac:dyDescent="0.2">
      <c r="B31625"/>
      <c r="C31625"/>
      <c r="J31625"/>
      <c r="K31625"/>
      <c r="L31625"/>
    </row>
    <row r="31626" spans="2:12" x14ac:dyDescent="0.2">
      <c r="B31626"/>
      <c r="C31626"/>
      <c r="J31626"/>
      <c r="K31626"/>
      <c r="L31626"/>
    </row>
    <row r="31627" spans="2:12" x14ac:dyDescent="0.2">
      <c r="B31627"/>
      <c r="C31627"/>
      <c r="J31627"/>
      <c r="K31627"/>
      <c r="L31627"/>
    </row>
    <row r="31628" spans="2:12" x14ac:dyDescent="0.2">
      <c r="B31628"/>
      <c r="C31628"/>
      <c r="J31628"/>
      <c r="K31628"/>
      <c r="L31628"/>
    </row>
    <row r="31629" spans="2:12" x14ac:dyDescent="0.2">
      <c r="B31629"/>
      <c r="C31629"/>
      <c r="J31629"/>
      <c r="K31629"/>
      <c r="L31629"/>
    </row>
    <row r="31630" spans="2:12" x14ac:dyDescent="0.2">
      <c r="B31630"/>
      <c r="C31630"/>
      <c r="J31630"/>
      <c r="K31630"/>
      <c r="L31630"/>
    </row>
    <row r="31631" spans="2:12" x14ac:dyDescent="0.2">
      <c r="B31631"/>
      <c r="C31631"/>
      <c r="J31631"/>
      <c r="K31631"/>
      <c r="L31631"/>
    </row>
    <row r="31632" spans="2:12" x14ac:dyDescent="0.2">
      <c r="B31632"/>
      <c r="C31632"/>
      <c r="J31632"/>
      <c r="K31632"/>
      <c r="L31632"/>
    </row>
    <row r="31633" spans="2:12" x14ac:dyDescent="0.2">
      <c r="B31633"/>
      <c r="C31633"/>
      <c r="J31633"/>
      <c r="K31633"/>
      <c r="L31633"/>
    </row>
    <row r="31634" spans="2:12" x14ac:dyDescent="0.2">
      <c r="B31634"/>
      <c r="C31634"/>
      <c r="J31634"/>
      <c r="K31634"/>
      <c r="L31634"/>
    </row>
    <row r="31635" spans="2:12" x14ac:dyDescent="0.2">
      <c r="B31635"/>
      <c r="C31635"/>
      <c r="J31635"/>
      <c r="K31635"/>
      <c r="L31635"/>
    </row>
    <row r="31636" spans="2:12" x14ac:dyDescent="0.2">
      <c r="B31636"/>
      <c r="C31636"/>
      <c r="J31636"/>
      <c r="K31636"/>
      <c r="L31636"/>
    </row>
    <row r="31637" spans="2:12" x14ac:dyDescent="0.2">
      <c r="B31637"/>
      <c r="C31637"/>
      <c r="J31637"/>
      <c r="K31637"/>
      <c r="L31637"/>
    </row>
    <row r="31638" spans="2:12" x14ac:dyDescent="0.2">
      <c r="B31638"/>
      <c r="C31638"/>
      <c r="J31638"/>
      <c r="K31638"/>
      <c r="L31638"/>
    </row>
    <row r="31639" spans="2:12" x14ac:dyDescent="0.2">
      <c r="B31639"/>
      <c r="C31639"/>
      <c r="J31639"/>
      <c r="K31639"/>
      <c r="L31639"/>
    </row>
    <row r="31640" spans="2:12" x14ac:dyDescent="0.2">
      <c r="B31640"/>
      <c r="C31640"/>
      <c r="J31640"/>
      <c r="K31640"/>
      <c r="L31640"/>
    </row>
    <row r="31641" spans="2:12" x14ac:dyDescent="0.2">
      <c r="B31641"/>
      <c r="C31641"/>
      <c r="J31641"/>
      <c r="K31641"/>
      <c r="L31641"/>
    </row>
    <row r="31642" spans="2:12" x14ac:dyDescent="0.2">
      <c r="B31642"/>
      <c r="C31642"/>
      <c r="J31642"/>
      <c r="K31642"/>
      <c r="L31642"/>
    </row>
    <row r="31643" spans="2:12" x14ac:dyDescent="0.2">
      <c r="B31643"/>
      <c r="C31643"/>
      <c r="J31643"/>
      <c r="K31643"/>
      <c r="L31643"/>
    </row>
    <row r="31644" spans="2:12" x14ac:dyDescent="0.2">
      <c r="B31644"/>
      <c r="C31644"/>
      <c r="J31644"/>
      <c r="K31644"/>
      <c r="L31644"/>
    </row>
    <row r="31645" spans="2:12" x14ac:dyDescent="0.2">
      <c r="B31645"/>
      <c r="C31645"/>
      <c r="J31645"/>
      <c r="K31645"/>
      <c r="L31645"/>
    </row>
    <row r="31646" spans="2:12" x14ac:dyDescent="0.2">
      <c r="B31646"/>
      <c r="C31646"/>
      <c r="J31646"/>
      <c r="K31646"/>
      <c r="L31646"/>
    </row>
    <row r="31647" spans="2:12" x14ac:dyDescent="0.2">
      <c r="B31647"/>
      <c r="C31647"/>
      <c r="J31647"/>
      <c r="K31647"/>
      <c r="L31647"/>
    </row>
    <row r="31648" spans="2:12" x14ac:dyDescent="0.2">
      <c r="B31648"/>
      <c r="C31648"/>
      <c r="J31648"/>
      <c r="K31648"/>
      <c r="L31648"/>
    </row>
    <row r="31649" spans="2:12" x14ac:dyDescent="0.2">
      <c r="B31649"/>
      <c r="C31649"/>
      <c r="J31649"/>
      <c r="K31649"/>
      <c r="L31649"/>
    </row>
    <row r="31650" spans="2:12" x14ac:dyDescent="0.2">
      <c r="B31650"/>
      <c r="C31650"/>
      <c r="J31650"/>
      <c r="K31650"/>
      <c r="L31650"/>
    </row>
    <row r="31651" spans="2:12" x14ac:dyDescent="0.2">
      <c r="B31651"/>
      <c r="C31651"/>
      <c r="J31651"/>
      <c r="K31651"/>
      <c r="L31651"/>
    </row>
    <row r="31652" spans="2:12" x14ac:dyDescent="0.2">
      <c r="B31652"/>
      <c r="C31652"/>
      <c r="J31652"/>
      <c r="K31652"/>
      <c r="L31652"/>
    </row>
    <row r="31653" spans="2:12" x14ac:dyDescent="0.2">
      <c r="B31653"/>
      <c r="C31653"/>
      <c r="J31653"/>
      <c r="K31653"/>
      <c r="L31653"/>
    </row>
    <row r="31654" spans="2:12" x14ac:dyDescent="0.2">
      <c r="B31654"/>
      <c r="C31654"/>
      <c r="J31654"/>
      <c r="K31654"/>
      <c r="L31654"/>
    </row>
    <row r="31655" spans="2:12" x14ac:dyDescent="0.2">
      <c r="B31655"/>
      <c r="C31655"/>
      <c r="J31655"/>
      <c r="K31655"/>
      <c r="L31655"/>
    </row>
    <row r="31656" spans="2:12" x14ac:dyDescent="0.2">
      <c r="B31656"/>
      <c r="C31656"/>
      <c r="J31656"/>
      <c r="K31656"/>
      <c r="L31656"/>
    </row>
    <row r="31657" spans="2:12" x14ac:dyDescent="0.2">
      <c r="B31657"/>
      <c r="C31657"/>
      <c r="J31657"/>
      <c r="K31657"/>
      <c r="L31657"/>
    </row>
    <row r="31658" spans="2:12" x14ac:dyDescent="0.2">
      <c r="B31658"/>
      <c r="C31658"/>
      <c r="J31658"/>
      <c r="K31658"/>
      <c r="L31658"/>
    </row>
    <row r="31659" spans="2:12" x14ac:dyDescent="0.2">
      <c r="B31659"/>
      <c r="C31659"/>
      <c r="J31659"/>
      <c r="K31659"/>
      <c r="L31659"/>
    </row>
    <row r="31660" spans="2:12" x14ac:dyDescent="0.2">
      <c r="B31660"/>
      <c r="C31660"/>
      <c r="J31660"/>
      <c r="K31660"/>
      <c r="L31660"/>
    </row>
    <row r="31661" spans="2:12" x14ac:dyDescent="0.2">
      <c r="B31661"/>
      <c r="C31661"/>
      <c r="J31661"/>
      <c r="K31661"/>
      <c r="L31661"/>
    </row>
    <row r="31662" spans="2:12" x14ac:dyDescent="0.2">
      <c r="B31662"/>
      <c r="C31662"/>
      <c r="J31662"/>
      <c r="K31662"/>
      <c r="L31662"/>
    </row>
    <row r="31663" spans="2:12" x14ac:dyDescent="0.2">
      <c r="B31663"/>
      <c r="C31663"/>
      <c r="J31663"/>
      <c r="K31663"/>
      <c r="L31663"/>
    </row>
    <row r="31664" spans="2:12" x14ac:dyDescent="0.2">
      <c r="B31664"/>
      <c r="C31664"/>
      <c r="J31664"/>
      <c r="K31664"/>
      <c r="L31664"/>
    </row>
    <row r="31665" spans="2:12" x14ac:dyDescent="0.2">
      <c r="B31665"/>
      <c r="C31665"/>
      <c r="J31665"/>
      <c r="K31665"/>
      <c r="L31665"/>
    </row>
    <row r="31666" spans="2:12" x14ac:dyDescent="0.2">
      <c r="B31666"/>
      <c r="C31666"/>
      <c r="J31666"/>
      <c r="K31666"/>
      <c r="L31666"/>
    </row>
    <row r="31667" spans="2:12" x14ac:dyDescent="0.2">
      <c r="B31667"/>
      <c r="C31667"/>
      <c r="J31667"/>
      <c r="K31667"/>
      <c r="L31667"/>
    </row>
    <row r="31668" spans="2:12" x14ac:dyDescent="0.2">
      <c r="B31668"/>
      <c r="C31668"/>
      <c r="J31668"/>
      <c r="K31668"/>
      <c r="L31668"/>
    </row>
    <row r="31669" spans="2:12" x14ac:dyDescent="0.2">
      <c r="B31669"/>
      <c r="C31669"/>
      <c r="J31669"/>
      <c r="K31669"/>
      <c r="L31669"/>
    </row>
    <row r="31670" spans="2:12" x14ac:dyDescent="0.2">
      <c r="B31670"/>
      <c r="C31670"/>
      <c r="J31670"/>
      <c r="K31670"/>
      <c r="L31670"/>
    </row>
    <row r="31671" spans="2:12" x14ac:dyDescent="0.2">
      <c r="B31671"/>
      <c r="C31671"/>
      <c r="J31671"/>
      <c r="K31671"/>
      <c r="L31671"/>
    </row>
    <row r="31672" spans="2:12" x14ac:dyDescent="0.2">
      <c r="B31672"/>
      <c r="C31672"/>
      <c r="J31672"/>
      <c r="K31672"/>
      <c r="L31672"/>
    </row>
    <row r="31673" spans="2:12" x14ac:dyDescent="0.2">
      <c r="B31673"/>
      <c r="C31673"/>
      <c r="J31673"/>
      <c r="K31673"/>
      <c r="L31673"/>
    </row>
    <row r="31674" spans="2:12" x14ac:dyDescent="0.2">
      <c r="B31674"/>
      <c r="C31674"/>
      <c r="J31674"/>
      <c r="K31674"/>
      <c r="L31674"/>
    </row>
    <row r="31675" spans="2:12" x14ac:dyDescent="0.2">
      <c r="B31675"/>
      <c r="C31675"/>
      <c r="J31675"/>
      <c r="K31675"/>
      <c r="L31675"/>
    </row>
    <row r="31676" spans="2:12" x14ac:dyDescent="0.2">
      <c r="B31676"/>
      <c r="C31676"/>
      <c r="J31676"/>
      <c r="K31676"/>
      <c r="L31676"/>
    </row>
    <row r="31677" spans="2:12" x14ac:dyDescent="0.2">
      <c r="B31677"/>
      <c r="C31677"/>
      <c r="J31677"/>
      <c r="K31677"/>
      <c r="L31677"/>
    </row>
    <row r="31678" spans="2:12" x14ac:dyDescent="0.2">
      <c r="B31678"/>
      <c r="C31678"/>
      <c r="J31678"/>
      <c r="K31678"/>
      <c r="L31678"/>
    </row>
    <row r="31679" spans="2:12" x14ac:dyDescent="0.2">
      <c r="B31679"/>
      <c r="C31679"/>
      <c r="J31679"/>
      <c r="K31679"/>
      <c r="L31679"/>
    </row>
    <row r="31680" spans="2:12" x14ac:dyDescent="0.2">
      <c r="B31680"/>
      <c r="C31680"/>
      <c r="J31680"/>
      <c r="K31680"/>
      <c r="L31680"/>
    </row>
    <row r="31681" spans="2:12" x14ac:dyDescent="0.2">
      <c r="B31681"/>
      <c r="C31681"/>
      <c r="J31681"/>
      <c r="K31681"/>
      <c r="L31681"/>
    </row>
    <row r="31682" spans="2:12" x14ac:dyDescent="0.2">
      <c r="B31682"/>
      <c r="C31682"/>
      <c r="J31682"/>
      <c r="K31682"/>
      <c r="L31682"/>
    </row>
    <row r="31683" spans="2:12" x14ac:dyDescent="0.2">
      <c r="B31683"/>
      <c r="C31683"/>
      <c r="J31683"/>
      <c r="K31683"/>
      <c r="L31683"/>
    </row>
    <row r="31684" spans="2:12" x14ac:dyDescent="0.2">
      <c r="B31684"/>
      <c r="C31684"/>
      <c r="J31684"/>
      <c r="K31684"/>
      <c r="L31684"/>
    </row>
    <row r="31685" spans="2:12" x14ac:dyDescent="0.2">
      <c r="B31685"/>
      <c r="C31685"/>
      <c r="J31685"/>
      <c r="K31685"/>
      <c r="L31685"/>
    </row>
    <row r="31686" spans="2:12" x14ac:dyDescent="0.2">
      <c r="B31686"/>
      <c r="C31686"/>
      <c r="J31686"/>
      <c r="K31686"/>
      <c r="L31686"/>
    </row>
    <row r="31687" spans="2:12" x14ac:dyDescent="0.2">
      <c r="B31687"/>
      <c r="C31687"/>
      <c r="J31687"/>
      <c r="K31687"/>
      <c r="L31687"/>
    </row>
    <row r="31688" spans="2:12" x14ac:dyDescent="0.2">
      <c r="B31688"/>
      <c r="C31688"/>
      <c r="J31688"/>
      <c r="K31688"/>
      <c r="L31688"/>
    </row>
    <row r="31689" spans="2:12" x14ac:dyDescent="0.2">
      <c r="B31689"/>
      <c r="C31689"/>
      <c r="J31689"/>
      <c r="K31689"/>
      <c r="L31689"/>
    </row>
    <row r="31690" spans="2:12" x14ac:dyDescent="0.2">
      <c r="B31690"/>
      <c r="C31690"/>
      <c r="J31690"/>
      <c r="K31690"/>
      <c r="L31690"/>
    </row>
    <row r="31691" spans="2:12" x14ac:dyDescent="0.2">
      <c r="B31691"/>
      <c r="C31691"/>
      <c r="J31691"/>
      <c r="K31691"/>
      <c r="L31691"/>
    </row>
    <row r="31692" spans="2:12" x14ac:dyDescent="0.2">
      <c r="B31692"/>
      <c r="C31692"/>
      <c r="J31692"/>
      <c r="K31692"/>
      <c r="L31692"/>
    </row>
    <row r="31693" spans="2:12" x14ac:dyDescent="0.2">
      <c r="B31693"/>
      <c r="C31693"/>
      <c r="J31693"/>
      <c r="K31693"/>
      <c r="L31693"/>
    </row>
    <row r="31694" spans="2:12" x14ac:dyDescent="0.2">
      <c r="B31694"/>
      <c r="C31694"/>
      <c r="J31694"/>
      <c r="K31694"/>
      <c r="L31694"/>
    </row>
    <row r="31695" spans="2:12" x14ac:dyDescent="0.2">
      <c r="B31695"/>
      <c r="C31695"/>
      <c r="J31695"/>
      <c r="K31695"/>
      <c r="L31695"/>
    </row>
    <row r="31696" spans="2:12" x14ac:dyDescent="0.2">
      <c r="B31696"/>
      <c r="C31696"/>
      <c r="J31696"/>
      <c r="K31696"/>
      <c r="L31696"/>
    </row>
    <row r="31697" spans="2:12" x14ac:dyDescent="0.2">
      <c r="B31697"/>
      <c r="C31697"/>
      <c r="J31697"/>
      <c r="K31697"/>
      <c r="L31697"/>
    </row>
    <row r="31698" spans="2:12" x14ac:dyDescent="0.2">
      <c r="B31698"/>
      <c r="C31698"/>
      <c r="J31698"/>
      <c r="K31698"/>
      <c r="L31698"/>
    </row>
    <row r="31699" spans="2:12" x14ac:dyDescent="0.2">
      <c r="B31699"/>
      <c r="C31699"/>
      <c r="J31699"/>
      <c r="K31699"/>
      <c r="L31699"/>
    </row>
    <row r="31700" spans="2:12" x14ac:dyDescent="0.2">
      <c r="B31700"/>
      <c r="C31700"/>
      <c r="J31700"/>
      <c r="K31700"/>
      <c r="L31700"/>
    </row>
    <row r="31701" spans="2:12" x14ac:dyDescent="0.2">
      <c r="B31701"/>
      <c r="C31701"/>
      <c r="J31701"/>
      <c r="K31701"/>
      <c r="L31701"/>
    </row>
    <row r="31702" spans="2:12" x14ac:dyDescent="0.2">
      <c r="B31702"/>
      <c r="C31702"/>
      <c r="J31702"/>
      <c r="K31702"/>
      <c r="L31702"/>
    </row>
    <row r="31703" spans="2:12" x14ac:dyDescent="0.2">
      <c r="B31703"/>
      <c r="C31703"/>
      <c r="J31703"/>
      <c r="K31703"/>
      <c r="L31703"/>
    </row>
    <row r="31704" spans="2:12" x14ac:dyDescent="0.2">
      <c r="B31704"/>
      <c r="C31704"/>
      <c r="J31704"/>
      <c r="K31704"/>
      <c r="L31704"/>
    </row>
    <row r="31705" spans="2:12" x14ac:dyDescent="0.2">
      <c r="B31705"/>
      <c r="C31705"/>
      <c r="J31705"/>
      <c r="K31705"/>
      <c r="L31705"/>
    </row>
    <row r="31706" spans="2:12" x14ac:dyDescent="0.2">
      <c r="B31706"/>
      <c r="C31706"/>
      <c r="J31706"/>
      <c r="K31706"/>
      <c r="L31706"/>
    </row>
    <row r="31707" spans="2:12" x14ac:dyDescent="0.2">
      <c r="B31707"/>
      <c r="C31707"/>
      <c r="J31707"/>
      <c r="K31707"/>
      <c r="L31707"/>
    </row>
    <row r="31708" spans="2:12" x14ac:dyDescent="0.2">
      <c r="B31708"/>
      <c r="C31708"/>
      <c r="J31708"/>
      <c r="K31708"/>
      <c r="L31708"/>
    </row>
    <row r="31709" spans="2:12" x14ac:dyDescent="0.2">
      <c r="B31709"/>
      <c r="C31709"/>
      <c r="J31709"/>
      <c r="K31709"/>
      <c r="L31709"/>
    </row>
    <row r="31710" spans="2:12" x14ac:dyDescent="0.2">
      <c r="B31710"/>
      <c r="C31710"/>
      <c r="J31710"/>
      <c r="K31710"/>
      <c r="L31710"/>
    </row>
    <row r="31711" spans="2:12" x14ac:dyDescent="0.2">
      <c r="B31711"/>
      <c r="C31711"/>
      <c r="J31711"/>
      <c r="K31711"/>
      <c r="L31711"/>
    </row>
    <row r="31712" spans="2:12" x14ac:dyDescent="0.2">
      <c r="B31712"/>
      <c r="C31712"/>
      <c r="J31712"/>
      <c r="K31712"/>
      <c r="L31712"/>
    </row>
    <row r="31713" spans="2:12" x14ac:dyDescent="0.2">
      <c r="B31713"/>
      <c r="C31713"/>
      <c r="J31713"/>
      <c r="K31713"/>
      <c r="L31713"/>
    </row>
    <row r="31714" spans="2:12" x14ac:dyDescent="0.2">
      <c r="B31714"/>
      <c r="C31714"/>
      <c r="J31714"/>
      <c r="K31714"/>
      <c r="L31714"/>
    </row>
    <row r="31715" spans="2:12" x14ac:dyDescent="0.2">
      <c r="B31715"/>
      <c r="C31715"/>
      <c r="J31715"/>
      <c r="K31715"/>
      <c r="L31715"/>
    </row>
    <row r="31716" spans="2:12" x14ac:dyDescent="0.2">
      <c r="B31716"/>
      <c r="C31716"/>
      <c r="J31716"/>
      <c r="K31716"/>
      <c r="L31716"/>
    </row>
    <row r="31717" spans="2:12" x14ac:dyDescent="0.2">
      <c r="B31717"/>
      <c r="C31717"/>
      <c r="J31717"/>
      <c r="K31717"/>
      <c r="L31717"/>
    </row>
    <row r="31718" spans="2:12" x14ac:dyDescent="0.2">
      <c r="B31718"/>
      <c r="C31718"/>
      <c r="J31718"/>
      <c r="K31718"/>
      <c r="L31718"/>
    </row>
    <row r="31719" spans="2:12" x14ac:dyDescent="0.2">
      <c r="B31719"/>
      <c r="C31719"/>
      <c r="J31719"/>
      <c r="K31719"/>
      <c r="L31719"/>
    </row>
    <row r="31720" spans="2:12" x14ac:dyDescent="0.2">
      <c r="B31720"/>
      <c r="C31720"/>
      <c r="J31720"/>
      <c r="K31720"/>
      <c r="L31720"/>
    </row>
    <row r="31721" spans="2:12" x14ac:dyDescent="0.2">
      <c r="B31721"/>
      <c r="C31721"/>
      <c r="J31721"/>
      <c r="K31721"/>
      <c r="L31721"/>
    </row>
    <row r="31722" spans="2:12" x14ac:dyDescent="0.2">
      <c r="B31722"/>
      <c r="C31722"/>
      <c r="J31722"/>
      <c r="K31722"/>
      <c r="L31722"/>
    </row>
    <row r="31723" spans="2:12" x14ac:dyDescent="0.2">
      <c r="B31723"/>
      <c r="C31723"/>
      <c r="J31723"/>
      <c r="K31723"/>
      <c r="L31723"/>
    </row>
    <row r="31724" spans="2:12" x14ac:dyDescent="0.2">
      <c r="B31724"/>
      <c r="C31724"/>
      <c r="J31724"/>
      <c r="K31724"/>
      <c r="L31724"/>
    </row>
    <row r="31725" spans="2:12" x14ac:dyDescent="0.2">
      <c r="B31725"/>
      <c r="C31725"/>
      <c r="J31725"/>
      <c r="K31725"/>
      <c r="L31725"/>
    </row>
    <row r="31726" spans="2:12" x14ac:dyDescent="0.2">
      <c r="B31726"/>
      <c r="C31726"/>
      <c r="J31726"/>
      <c r="K31726"/>
      <c r="L31726"/>
    </row>
    <row r="31727" spans="2:12" x14ac:dyDescent="0.2">
      <c r="B31727"/>
      <c r="C31727"/>
      <c r="J31727"/>
      <c r="K31727"/>
      <c r="L31727"/>
    </row>
    <row r="31728" spans="2:12" x14ac:dyDescent="0.2">
      <c r="B31728"/>
      <c r="C31728"/>
      <c r="J31728"/>
      <c r="K31728"/>
      <c r="L31728"/>
    </row>
    <row r="31729" spans="2:12" x14ac:dyDescent="0.2">
      <c r="B31729"/>
      <c r="C31729"/>
      <c r="J31729"/>
      <c r="K31729"/>
      <c r="L31729"/>
    </row>
    <row r="31730" spans="2:12" x14ac:dyDescent="0.2">
      <c r="B31730"/>
      <c r="C31730"/>
      <c r="J31730"/>
      <c r="K31730"/>
      <c r="L31730"/>
    </row>
    <row r="31731" spans="2:12" x14ac:dyDescent="0.2">
      <c r="B31731"/>
      <c r="C31731"/>
      <c r="J31731"/>
      <c r="K31731"/>
      <c r="L31731"/>
    </row>
    <row r="31732" spans="2:12" x14ac:dyDescent="0.2">
      <c r="B31732"/>
      <c r="C31732"/>
      <c r="J31732"/>
      <c r="K31732"/>
      <c r="L31732"/>
    </row>
    <row r="31733" spans="2:12" x14ac:dyDescent="0.2">
      <c r="B31733"/>
      <c r="C31733"/>
      <c r="J31733"/>
      <c r="K31733"/>
      <c r="L31733"/>
    </row>
    <row r="31734" spans="2:12" x14ac:dyDescent="0.2">
      <c r="B31734"/>
      <c r="C31734"/>
      <c r="J31734"/>
      <c r="K31734"/>
      <c r="L31734"/>
    </row>
    <row r="31735" spans="2:12" x14ac:dyDescent="0.2">
      <c r="B31735"/>
      <c r="C31735"/>
      <c r="J31735"/>
      <c r="K31735"/>
      <c r="L31735"/>
    </row>
    <row r="31736" spans="2:12" x14ac:dyDescent="0.2">
      <c r="B31736"/>
      <c r="C31736"/>
      <c r="J31736"/>
      <c r="K31736"/>
      <c r="L31736"/>
    </row>
    <row r="31737" spans="2:12" x14ac:dyDescent="0.2">
      <c r="B31737"/>
      <c r="C31737"/>
      <c r="J31737"/>
      <c r="K31737"/>
      <c r="L31737"/>
    </row>
    <row r="31738" spans="2:12" x14ac:dyDescent="0.2">
      <c r="B31738"/>
      <c r="C31738"/>
      <c r="J31738"/>
      <c r="K31738"/>
      <c r="L31738"/>
    </row>
    <row r="31739" spans="2:12" x14ac:dyDescent="0.2">
      <c r="B31739"/>
      <c r="C31739"/>
      <c r="J31739"/>
      <c r="K31739"/>
      <c r="L31739"/>
    </row>
    <row r="31740" spans="2:12" x14ac:dyDescent="0.2">
      <c r="B31740"/>
      <c r="C31740"/>
      <c r="J31740"/>
      <c r="K31740"/>
      <c r="L31740"/>
    </row>
    <row r="31741" spans="2:12" x14ac:dyDescent="0.2">
      <c r="B31741"/>
      <c r="C31741"/>
      <c r="J31741"/>
      <c r="K31741"/>
      <c r="L31741"/>
    </row>
    <row r="31742" spans="2:12" x14ac:dyDescent="0.2">
      <c r="B31742"/>
      <c r="C31742"/>
      <c r="J31742"/>
      <c r="K31742"/>
      <c r="L31742"/>
    </row>
    <row r="31743" spans="2:12" x14ac:dyDescent="0.2">
      <c r="B31743"/>
      <c r="C31743"/>
      <c r="J31743"/>
      <c r="K31743"/>
      <c r="L31743"/>
    </row>
    <row r="31744" spans="2:12" x14ac:dyDescent="0.2">
      <c r="B31744"/>
      <c r="C31744"/>
      <c r="J31744"/>
      <c r="K31744"/>
      <c r="L31744"/>
    </row>
    <row r="31745" spans="2:12" x14ac:dyDescent="0.2">
      <c r="B31745"/>
      <c r="C31745"/>
      <c r="J31745"/>
      <c r="K31745"/>
      <c r="L31745"/>
    </row>
    <row r="31746" spans="2:12" x14ac:dyDescent="0.2">
      <c r="B31746"/>
      <c r="C31746"/>
      <c r="J31746"/>
      <c r="K31746"/>
      <c r="L31746"/>
    </row>
    <row r="31747" spans="2:12" x14ac:dyDescent="0.2">
      <c r="B31747"/>
      <c r="C31747"/>
      <c r="J31747"/>
      <c r="K31747"/>
      <c r="L31747"/>
    </row>
    <row r="31748" spans="2:12" x14ac:dyDescent="0.2">
      <c r="B31748"/>
      <c r="C31748"/>
      <c r="J31748"/>
      <c r="K31748"/>
      <c r="L31748"/>
    </row>
    <row r="31749" spans="2:12" x14ac:dyDescent="0.2">
      <c r="B31749"/>
      <c r="C31749"/>
      <c r="J31749"/>
      <c r="K31749"/>
      <c r="L31749"/>
    </row>
    <row r="31750" spans="2:12" x14ac:dyDescent="0.2">
      <c r="B31750"/>
      <c r="C31750"/>
      <c r="J31750"/>
      <c r="K31750"/>
      <c r="L31750"/>
    </row>
    <row r="31751" spans="2:12" x14ac:dyDescent="0.2">
      <c r="B31751"/>
      <c r="C31751"/>
      <c r="J31751"/>
      <c r="K31751"/>
      <c r="L31751"/>
    </row>
    <row r="31752" spans="2:12" x14ac:dyDescent="0.2">
      <c r="B31752"/>
      <c r="C31752"/>
      <c r="J31752"/>
      <c r="K31752"/>
      <c r="L31752"/>
    </row>
    <row r="31753" spans="2:12" x14ac:dyDescent="0.2">
      <c r="B31753"/>
      <c r="C31753"/>
      <c r="J31753"/>
      <c r="K31753"/>
      <c r="L31753"/>
    </row>
    <row r="31754" spans="2:12" x14ac:dyDescent="0.2">
      <c r="B31754"/>
      <c r="C31754"/>
      <c r="J31754"/>
      <c r="K31754"/>
      <c r="L31754"/>
    </row>
    <row r="31755" spans="2:12" x14ac:dyDescent="0.2">
      <c r="B31755"/>
      <c r="C31755"/>
      <c r="J31755"/>
      <c r="K31755"/>
      <c r="L31755"/>
    </row>
    <row r="31756" spans="2:12" x14ac:dyDescent="0.2">
      <c r="B31756"/>
      <c r="C31756"/>
      <c r="J31756"/>
      <c r="K31756"/>
      <c r="L31756"/>
    </row>
    <row r="31757" spans="2:12" x14ac:dyDescent="0.2">
      <c r="B31757"/>
      <c r="C31757"/>
      <c r="J31757"/>
      <c r="K31757"/>
      <c r="L31757"/>
    </row>
    <row r="31758" spans="2:12" x14ac:dyDescent="0.2">
      <c r="B31758"/>
      <c r="C31758"/>
      <c r="J31758"/>
      <c r="K31758"/>
      <c r="L31758"/>
    </row>
    <row r="31759" spans="2:12" x14ac:dyDescent="0.2">
      <c r="B31759"/>
      <c r="C31759"/>
      <c r="J31759"/>
      <c r="K31759"/>
      <c r="L31759"/>
    </row>
    <row r="31760" spans="2:12" x14ac:dyDescent="0.2">
      <c r="B31760"/>
      <c r="C31760"/>
      <c r="J31760"/>
      <c r="K31760"/>
      <c r="L31760"/>
    </row>
    <row r="31761" spans="2:12" x14ac:dyDescent="0.2">
      <c r="B31761"/>
      <c r="C31761"/>
      <c r="J31761"/>
      <c r="K31761"/>
      <c r="L31761"/>
    </row>
    <row r="31762" spans="2:12" x14ac:dyDescent="0.2">
      <c r="B31762"/>
      <c r="C31762"/>
      <c r="J31762"/>
      <c r="K31762"/>
      <c r="L31762"/>
    </row>
    <row r="31763" spans="2:12" x14ac:dyDescent="0.2">
      <c r="B31763"/>
      <c r="C31763"/>
      <c r="J31763"/>
      <c r="K31763"/>
      <c r="L31763"/>
    </row>
    <row r="31764" spans="2:12" x14ac:dyDescent="0.2">
      <c r="B31764"/>
      <c r="C31764"/>
      <c r="J31764"/>
      <c r="K31764"/>
      <c r="L31764"/>
    </row>
    <row r="31765" spans="2:12" x14ac:dyDescent="0.2">
      <c r="B31765"/>
      <c r="C31765"/>
      <c r="J31765"/>
      <c r="K31765"/>
      <c r="L31765"/>
    </row>
    <row r="31766" spans="2:12" x14ac:dyDescent="0.2">
      <c r="B31766"/>
      <c r="C31766"/>
      <c r="J31766"/>
      <c r="K31766"/>
      <c r="L31766"/>
    </row>
    <row r="31767" spans="2:12" x14ac:dyDescent="0.2">
      <c r="B31767"/>
      <c r="C31767"/>
      <c r="J31767"/>
      <c r="K31767"/>
      <c r="L31767"/>
    </row>
    <row r="31768" spans="2:12" x14ac:dyDescent="0.2">
      <c r="B31768"/>
      <c r="C31768"/>
      <c r="J31768"/>
      <c r="K31768"/>
      <c r="L31768"/>
    </row>
    <row r="31769" spans="2:12" x14ac:dyDescent="0.2">
      <c r="B31769"/>
      <c r="C31769"/>
      <c r="J31769"/>
      <c r="K31769"/>
      <c r="L31769"/>
    </row>
    <row r="31770" spans="2:12" x14ac:dyDescent="0.2">
      <c r="B31770"/>
      <c r="C31770"/>
      <c r="J31770"/>
      <c r="K31770"/>
      <c r="L31770"/>
    </row>
    <row r="31771" spans="2:12" x14ac:dyDescent="0.2">
      <c r="B31771"/>
      <c r="C31771"/>
      <c r="J31771"/>
      <c r="K31771"/>
      <c r="L31771"/>
    </row>
    <row r="31772" spans="2:12" x14ac:dyDescent="0.2">
      <c r="B31772"/>
      <c r="C31772"/>
      <c r="J31772"/>
      <c r="K31772"/>
      <c r="L31772"/>
    </row>
    <row r="31773" spans="2:12" x14ac:dyDescent="0.2">
      <c r="B31773"/>
      <c r="C31773"/>
      <c r="J31773"/>
      <c r="K31773"/>
      <c r="L31773"/>
    </row>
    <row r="31774" spans="2:12" x14ac:dyDescent="0.2">
      <c r="B31774"/>
      <c r="C31774"/>
      <c r="J31774"/>
      <c r="K31774"/>
      <c r="L31774"/>
    </row>
    <row r="31775" spans="2:12" x14ac:dyDescent="0.2">
      <c r="B31775"/>
      <c r="C31775"/>
      <c r="J31775"/>
      <c r="K31775"/>
      <c r="L31775"/>
    </row>
    <row r="31776" spans="2:12" x14ac:dyDescent="0.2">
      <c r="B31776"/>
      <c r="C31776"/>
      <c r="J31776"/>
      <c r="K31776"/>
      <c r="L31776"/>
    </row>
    <row r="31777" spans="2:12" x14ac:dyDescent="0.2">
      <c r="B31777"/>
      <c r="C31777"/>
      <c r="J31777"/>
      <c r="K31777"/>
      <c r="L31777"/>
    </row>
    <row r="31778" spans="2:12" x14ac:dyDescent="0.2">
      <c r="B31778"/>
      <c r="C31778"/>
      <c r="J31778"/>
      <c r="K31778"/>
      <c r="L31778"/>
    </row>
    <row r="31779" spans="2:12" x14ac:dyDescent="0.2">
      <c r="B31779"/>
      <c r="C31779"/>
      <c r="J31779"/>
      <c r="K31779"/>
      <c r="L31779"/>
    </row>
    <row r="31780" spans="2:12" x14ac:dyDescent="0.2">
      <c r="B31780"/>
      <c r="C31780"/>
      <c r="J31780"/>
      <c r="K31780"/>
      <c r="L31780"/>
    </row>
    <row r="31781" spans="2:12" x14ac:dyDescent="0.2">
      <c r="B31781"/>
      <c r="C31781"/>
      <c r="J31781"/>
      <c r="K31781"/>
      <c r="L31781"/>
    </row>
    <row r="31782" spans="2:12" x14ac:dyDescent="0.2">
      <c r="B31782"/>
      <c r="C31782"/>
      <c r="J31782"/>
      <c r="K31782"/>
      <c r="L31782"/>
    </row>
    <row r="31783" spans="2:12" x14ac:dyDescent="0.2">
      <c r="B31783"/>
      <c r="C31783"/>
      <c r="J31783"/>
      <c r="K31783"/>
      <c r="L31783"/>
    </row>
    <row r="31784" spans="2:12" x14ac:dyDescent="0.2">
      <c r="B31784"/>
      <c r="C31784"/>
      <c r="J31784"/>
      <c r="K31784"/>
      <c r="L31784"/>
    </row>
    <row r="31785" spans="2:12" x14ac:dyDescent="0.2">
      <c r="B31785"/>
      <c r="C31785"/>
      <c r="J31785"/>
      <c r="K31785"/>
      <c r="L31785"/>
    </row>
    <row r="31786" spans="2:12" x14ac:dyDescent="0.2">
      <c r="B31786"/>
      <c r="C31786"/>
      <c r="J31786"/>
      <c r="K31786"/>
      <c r="L31786"/>
    </row>
    <row r="31787" spans="2:12" x14ac:dyDescent="0.2">
      <c r="B31787"/>
      <c r="C31787"/>
      <c r="J31787"/>
      <c r="K31787"/>
      <c r="L31787"/>
    </row>
    <row r="31788" spans="2:12" x14ac:dyDescent="0.2">
      <c r="B31788"/>
      <c r="C31788"/>
      <c r="J31788"/>
      <c r="K31788"/>
      <c r="L31788"/>
    </row>
    <row r="31789" spans="2:12" x14ac:dyDescent="0.2">
      <c r="B31789"/>
      <c r="C31789"/>
      <c r="J31789"/>
      <c r="K31789"/>
      <c r="L31789"/>
    </row>
    <row r="31790" spans="2:12" x14ac:dyDescent="0.2">
      <c r="B31790"/>
      <c r="C31790"/>
      <c r="J31790"/>
      <c r="K31790"/>
      <c r="L31790"/>
    </row>
    <row r="31791" spans="2:12" x14ac:dyDescent="0.2">
      <c r="B31791"/>
      <c r="C31791"/>
      <c r="J31791"/>
      <c r="K31791"/>
      <c r="L31791"/>
    </row>
    <row r="31792" spans="2:12" x14ac:dyDescent="0.2">
      <c r="B31792"/>
      <c r="C31792"/>
      <c r="J31792"/>
      <c r="K31792"/>
      <c r="L31792"/>
    </row>
    <row r="31793" spans="2:12" x14ac:dyDescent="0.2">
      <c r="B31793"/>
      <c r="C31793"/>
      <c r="J31793"/>
      <c r="K31793"/>
      <c r="L31793"/>
    </row>
    <row r="31794" spans="2:12" x14ac:dyDescent="0.2">
      <c r="B31794"/>
      <c r="C31794"/>
      <c r="J31794"/>
      <c r="K31794"/>
      <c r="L31794"/>
    </row>
    <row r="31795" spans="2:12" x14ac:dyDescent="0.2">
      <c r="B31795"/>
      <c r="C31795"/>
      <c r="J31795"/>
      <c r="K31795"/>
      <c r="L31795"/>
    </row>
    <row r="31796" spans="2:12" x14ac:dyDescent="0.2">
      <c r="B31796"/>
      <c r="C31796"/>
      <c r="J31796"/>
      <c r="K31796"/>
      <c r="L31796"/>
    </row>
    <row r="31797" spans="2:12" x14ac:dyDescent="0.2">
      <c r="B31797"/>
      <c r="C31797"/>
      <c r="J31797"/>
      <c r="K31797"/>
      <c r="L31797"/>
    </row>
    <row r="31798" spans="2:12" x14ac:dyDescent="0.2">
      <c r="B31798"/>
      <c r="C31798"/>
      <c r="J31798"/>
      <c r="K31798"/>
      <c r="L31798"/>
    </row>
    <row r="31799" spans="2:12" x14ac:dyDescent="0.2">
      <c r="B31799"/>
      <c r="C31799"/>
      <c r="J31799"/>
      <c r="K31799"/>
      <c r="L31799"/>
    </row>
    <row r="31800" spans="2:12" x14ac:dyDescent="0.2">
      <c r="B31800"/>
      <c r="C31800"/>
      <c r="J31800"/>
      <c r="K31800"/>
      <c r="L31800"/>
    </row>
    <row r="31801" spans="2:12" x14ac:dyDescent="0.2">
      <c r="B31801"/>
      <c r="C31801"/>
      <c r="J31801"/>
      <c r="K31801"/>
      <c r="L31801"/>
    </row>
    <row r="31802" spans="2:12" x14ac:dyDescent="0.2">
      <c r="B31802"/>
      <c r="C31802"/>
      <c r="J31802"/>
      <c r="K31802"/>
      <c r="L31802"/>
    </row>
    <row r="31803" spans="2:12" x14ac:dyDescent="0.2">
      <c r="B31803"/>
      <c r="C31803"/>
      <c r="J31803"/>
      <c r="K31803"/>
      <c r="L31803"/>
    </row>
    <row r="31804" spans="2:12" x14ac:dyDescent="0.2">
      <c r="B31804"/>
      <c r="C31804"/>
      <c r="J31804"/>
      <c r="K31804"/>
      <c r="L31804"/>
    </row>
    <row r="31805" spans="2:12" x14ac:dyDescent="0.2">
      <c r="B31805"/>
      <c r="C31805"/>
      <c r="J31805"/>
      <c r="K31805"/>
      <c r="L31805"/>
    </row>
    <row r="31806" spans="2:12" x14ac:dyDescent="0.2">
      <c r="B31806"/>
      <c r="C31806"/>
      <c r="J31806"/>
      <c r="K31806"/>
      <c r="L31806"/>
    </row>
    <row r="31807" spans="2:12" x14ac:dyDescent="0.2">
      <c r="B31807"/>
      <c r="C31807"/>
      <c r="J31807"/>
      <c r="K31807"/>
      <c r="L31807"/>
    </row>
    <row r="31808" spans="2:12" x14ac:dyDescent="0.2">
      <c r="B31808"/>
      <c r="C31808"/>
      <c r="J31808"/>
      <c r="K31808"/>
      <c r="L31808"/>
    </row>
    <row r="31809" spans="2:12" x14ac:dyDescent="0.2">
      <c r="B31809"/>
      <c r="C31809"/>
      <c r="J31809"/>
      <c r="K31809"/>
      <c r="L31809"/>
    </row>
    <row r="31810" spans="2:12" x14ac:dyDescent="0.2">
      <c r="B31810"/>
      <c r="C31810"/>
      <c r="J31810"/>
      <c r="K31810"/>
      <c r="L31810"/>
    </row>
    <row r="31811" spans="2:12" x14ac:dyDescent="0.2">
      <c r="B31811"/>
      <c r="C31811"/>
      <c r="J31811"/>
      <c r="K31811"/>
      <c r="L31811"/>
    </row>
    <row r="31812" spans="2:12" x14ac:dyDescent="0.2">
      <c r="B31812"/>
      <c r="C31812"/>
      <c r="J31812"/>
      <c r="K31812"/>
      <c r="L31812"/>
    </row>
    <row r="31813" spans="2:12" x14ac:dyDescent="0.2">
      <c r="B31813"/>
      <c r="C31813"/>
      <c r="J31813"/>
      <c r="K31813"/>
      <c r="L31813"/>
    </row>
    <row r="31814" spans="2:12" x14ac:dyDescent="0.2">
      <c r="B31814"/>
      <c r="C31814"/>
      <c r="J31814"/>
      <c r="K31814"/>
      <c r="L31814"/>
    </row>
    <row r="31815" spans="2:12" x14ac:dyDescent="0.2">
      <c r="B31815"/>
      <c r="C31815"/>
      <c r="J31815"/>
      <c r="K31815"/>
      <c r="L31815"/>
    </row>
    <row r="31816" spans="2:12" x14ac:dyDescent="0.2">
      <c r="B31816"/>
      <c r="C31816"/>
      <c r="J31816"/>
      <c r="K31816"/>
      <c r="L31816"/>
    </row>
    <row r="31817" spans="2:12" x14ac:dyDescent="0.2">
      <c r="B31817"/>
      <c r="C31817"/>
      <c r="J31817"/>
      <c r="K31817"/>
      <c r="L31817"/>
    </row>
    <row r="31818" spans="2:12" x14ac:dyDescent="0.2">
      <c r="B31818"/>
      <c r="C31818"/>
      <c r="J31818"/>
      <c r="K31818"/>
      <c r="L31818"/>
    </row>
    <row r="31819" spans="2:12" x14ac:dyDescent="0.2">
      <c r="B31819"/>
      <c r="C31819"/>
      <c r="J31819"/>
      <c r="K31819"/>
      <c r="L31819"/>
    </row>
    <row r="31820" spans="2:12" x14ac:dyDescent="0.2">
      <c r="B31820"/>
      <c r="C31820"/>
      <c r="J31820"/>
      <c r="K31820"/>
      <c r="L31820"/>
    </row>
    <row r="31821" spans="2:12" x14ac:dyDescent="0.2">
      <c r="B31821"/>
      <c r="C31821"/>
      <c r="J31821"/>
      <c r="K31821"/>
      <c r="L31821"/>
    </row>
    <row r="31822" spans="2:12" x14ac:dyDescent="0.2">
      <c r="B31822"/>
      <c r="C31822"/>
      <c r="J31822"/>
      <c r="K31822"/>
      <c r="L31822"/>
    </row>
    <row r="31823" spans="2:12" x14ac:dyDescent="0.2">
      <c r="B31823"/>
      <c r="C31823"/>
      <c r="J31823"/>
      <c r="K31823"/>
      <c r="L31823"/>
    </row>
    <row r="31824" spans="2:12" x14ac:dyDescent="0.2">
      <c r="B31824"/>
      <c r="C31824"/>
      <c r="J31824"/>
      <c r="K31824"/>
      <c r="L31824"/>
    </row>
    <row r="31825" spans="2:12" x14ac:dyDescent="0.2">
      <c r="B31825"/>
      <c r="C31825"/>
      <c r="J31825"/>
      <c r="K31825"/>
      <c r="L31825"/>
    </row>
    <row r="31826" spans="2:12" x14ac:dyDescent="0.2">
      <c r="B31826"/>
      <c r="C31826"/>
      <c r="J31826"/>
      <c r="K31826"/>
      <c r="L31826"/>
    </row>
    <row r="31827" spans="2:12" x14ac:dyDescent="0.2">
      <c r="B31827"/>
      <c r="C31827"/>
      <c r="J31827"/>
      <c r="K31827"/>
      <c r="L31827"/>
    </row>
    <row r="31828" spans="2:12" x14ac:dyDescent="0.2">
      <c r="B31828"/>
      <c r="C31828"/>
      <c r="J31828"/>
      <c r="K31828"/>
      <c r="L31828"/>
    </row>
    <row r="31829" spans="2:12" x14ac:dyDescent="0.2">
      <c r="B31829"/>
      <c r="C31829"/>
      <c r="J31829"/>
      <c r="K31829"/>
      <c r="L31829"/>
    </row>
    <row r="31830" spans="2:12" x14ac:dyDescent="0.2">
      <c r="B31830"/>
      <c r="C31830"/>
      <c r="J31830"/>
      <c r="K31830"/>
      <c r="L31830"/>
    </row>
    <row r="31831" spans="2:12" x14ac:dyDescent="0.2">
      <c r="B31831"/>
      <c r="C31831"/>
      <c r="J31831"/>
      <c r="K31831"/>
      <c r="L31831"/>
    </row>
    <row r="31832" spans="2:12" x14ac:dyDescent="0.2">
      <c r="B31832"/>
      <c r="C31832"/>
      <c r="J31832"/>
      <c r="K31832"/>
      <c r="L31832"/>
    </row>
    <row r="31833" spans="2:12" x14ac:dyDescent="0.2">
      <c r="B31833"/>
      <c r="C31833"/>
      <c r="J31833"/>
      <c r="K31833"/>
      <c r="L31833"/>
    </row>
    <row r="31834" spans="2:12" x14ac:dyDescent="0.2">
      <c r="B31834"/>
      <c r="C31834"/>
      <c r="J31834"/>
      <c r="K31834"/>
      <c r="L31834"/>
    </row>
    <row r="31835" spans="2:12" x14ac:dyDescent="0.2">
      <c r="B31835"/>
      <c r="C31835"/>
      <c r="J31835"/>
      <c r="K31835"/>
      <c r="L31835"/>
    </row>
    <row r="31836" spans="2:12" x14ac:dyDescent="0.2">
      <c r="B31836"/>
      <c r="C31836"/>
      <c r="J31836"/>
      <c r="K31836"/>
      <c r="L31836"/>
    </row>
    <row r="31837" spans="2:12" x14ac:dyDescent="0.2">
      <c r="B31837"/>
      <c r="C31837"/>
      <c r="J31837"/>
      <c r="K31837"/>
      <c r="L31837"/>
    </row>
    <row r="31838" spans="2:12" x14ac:dyDescent="0.2">
      <c r="B31838"/>
      <c r="C31838"/>
      <c r="J31838"/>
      <c r="K31838"/>
      <c r="L31838"/>
    </row>
    <row r="31839" spans="2:12" x14ac:dyDescent="0.2">
      <c r="B31839"/>
      <c r="C31839"/>
      <c r="J31839"/>
      <c r="K31839"/>
      <c r="L31839"/>
    </row>
    <row r="31840" spans="2:12" x14ac:dyDescent="0.2">
      <c r="B31840"/>
      <c r="C31840"/>
      <c r="J31840"/>
      <c r="K31840"/>
      <c r="L31840"/>
    </row>
    <row r="31841" spans="2:12" x14ac:dyDescent="0.2">
      <c r="B31841"/>
      <c r="C31841"/>
      <c r="J31841"/>
      <c r="K31841"/>
      <c r="L31841"/>
    </row>
    <row r="31842" spans="2:12" x14ac:dyDescent="0.2">
      <c r="B31842"/>
      <c r="C31842"/>
      <c r="J31842"/>
      <c r="K31842"/>
      <c r="L31842"/>
    </row>
    <row r="31843" spans="2:12" x14ac:dyDescent="0.2">
      <c r="B31843"/>
      <c r="C31843"/>
      <c r="J31843"/>
      <c r="K31843"/>
      <c r="L31843"/>
    </row>
    <row r="31844" spans="2:12" x14ac:dyDescent="0.2">
      <c r="B31844"/>
      <c r="C31844"/>
      <c r="J31844"/>
      <c r="K31844"/>
      <c r="L31844"/>
    </row>
    <row r="31845" spans="2:12" x14ac:dyDescent="0.2">
      <c r="B31845"/>
      <c r="C31845"/>
      <c r="J31845"/>
      <c r="K31845"/>
      <c r="L31845"/>
    </row>
    <row r="31846" spans="2:12" x14ac:dyDescent="0.2">
      <c r="B31846"/>
      <c r="C31846"/>
      <c r="J31846"/>
      <c r="K31846"/>
      <c r="L31846"/>
    </row>
    <row r="31847" spans="2:12" x14ac:dyDescent="0.2">
      <c r="B31847"/>
      <c r="C31847"/>
      <c r="J31847"/>
      <c r="K31847"/>
      <c r="L31847"/>
    </row>
    <row r="31848" spans="2:12" x14ac:dyDescent="0.2">
      <c r="B31848"/>
      <c r="C31848"/>
      <c r="J31848"/>
      <c r="K31848"/>
      <c r="L31848"/>
    </row>
    <row r="31849" spans="2:12" x14ac:dyDescent="0.2">
      <c r="B31849"/>
      <c r="C31849"/>
      <c r="J31849"/>
      <c r="K31849"/>
      <c r="L31849"/>
    </row>
    <row r="31850" spans="2:12" x14ac:dyDescent="0.2">
      <c r="B31850"/>
      <c r="C31850"/>
      <c r="J31850"/>
      <c r="K31850"/>
      <c r="L31850"/>
    </row>
    <row r="31851" spans="2:12" x14ac:dyDescent="0.2">
      <c r="B31851"/>
      <c r="C31851"/>
      <c r="J31851"/>
      <c r="K31851"/>
      <c r="L31851"/>
    </row>
    <row r="31852" spans="2:12" x14ac:dyDescent="0.2">
      <c r="B31852"/>
      <c r="C31852"/>
      <c r="J31852"/>
      <c r="K31852"/>
      <c r="L31852"/>
    </row>
    <row r="31853" spans="2:12" x14ac:dyDescent="0.2">
      <c r="B31853"/>
      <c r="C31853"/>
      <c r="J31853"/>
      <c r="K31853"/>
      <c r="L31853"/>
    </row>
    <row r="31854" spans="2:12" x14ac:dyDescent="0.2">
      <c r="B31854"/>
      <c r="C31854"/>
      <c r="J31854"/>
      <c r="K31854"/>
      <c r="L31854"/>
    </row>
    <row r="31855" spans="2:12" x14ac:dyDescent="0.2">
      <c r="B31855"/>
      <c r="C31855"/>
      <c r="J31855"/>
      <c r="K31855"/>
      <c r="L31855"/>
    </row>
    <row r="31856" spans="2:12" x14ac:dyDescent="0.2">
      <c r="B31856"/>
      <c r="C31856"/>
      <c r="J31856"/>
      <c r="K31856"/>
      <c r="L31856"/>
    </row>
    <row r="31857" spans="2:12" x14ac:dyDescent="0.2">
      <c r="B31857"/>
      <c r="C31857"/>
      <c r="J31857"/>
      <c r="K31857"/>
      <c r="L31857"/>
    </row>
    <row r="31858" spans="2:12" x14ac:dyDescent="0.2">
      <c r="B31858"/>
      <c r="C31858"/>
      <c r="J31858"/>
      <c r="K31858"/>
      <c r="L31858"/>
    </row>
    <row r="31859" spans="2:12" x14ac:dyDescent="0.2">
      <c r="B31859"/>
      <c r="C31859"/>
      <c r="J31859"/>
      <c r="K31859"/>
      <c r="L31859"/>
    </row>
    <row r="31860" spans="2:12" x14ac:dyDescent="0.2">
      <c r="B31860"/>
      <c r="C31860"/>
      <c r="J31860"/>
      <c r="K31860"/>
      <c r="L31860"/>
    </row>
    <row r="31861" spans="2:12" x14ac:dyDescent="0.2">
      <c r="B31861"/>
      <c r="C31861"/>
      <c r="J31861"/>
      <c r="K31861"/>
      <c r="L31861"/>
    </row>
    <row r="31862" spans="2:12" x14ac:dyDescent="0.2">
      <c r="B31862"/>
      <c r="C31862"/>
      <c r="J31862"/>
      <c r="K31862"/>
      <c r="L31862"/>
    </row>
    <row r="31863" spans="2:12" x14ac:dyDescent="0.2">
      <c r="B31863"/>
      <c r="C31863"/>
      <c r="J31863"/>
      <c r="K31863"/>
      <c r="L31863"/>
    </row>
    <row r="31864" spans="2:12" x14ac:dyDescent="0.2">
      <c r="B31864"/>
      <c r="C31864"/>
      <c r="J31864"/>
      <c r="K31864"/>
      <c r="L31864"/>
    </row>
    <row r="31865" spans="2:12" x14ac:dyDescent="0.2">
      <c r="B31865"/>
      <c r="C31865"/>
      <c r="J31865"/>
      <c r="K31865"/>
      <c r="L31865"/>
    </row>
    <row r="31866" spans="2:12" x14ac:dyDescent="0.2">
      <c r="B31866"/>
      <c r="C31866"/>
      <c r="J31866"/>
      <c r="K31866"/>
      <c r="L31866"/>
    </row>
    <row r="31867" spans="2:12" x14ac:dyDescent="0.2">
      <c r="B31867"/>
      <c r="C31867"/>
      <c r="J31867"/>
      <c r="K31867"/>
      <c r="L31867"/>
    </row>
    <row r="31868" spans="2:12" x14ac:dyDescent="0.2">
      <c r="B31868"/>
      <c r="C31868"/>
      <c r="J31868"/>
      <c r="K31868"/>
      <c r="L31868"/>
    </row>
    <row r="31869" spans="2:12" x14ac:dyDescent="0.2">
      <c r="B31869"/>
      <c r="C31869"/>
      <c r="J31869"/>
      <c r="K31869"/>
      <c r="L31869"/>
    </row>
    <row r="31870" spans="2:12" x14ac:dyDescent="0.2">
      <c r="B31870"/>
      <c r="C31870"/>
      <c r="J31870"/>
      <c r="K31870"/>
      <c r="L31870"/>
    </row>
    <row r="31871" spans="2:12" x14ac:dyDescent="0.2">
      <c r="B31871"/>
      <c r="C31871"/>
      <c r="J31871"/>
      <c r="K31871"/>
      <c r="L31871"/>
    </row>
    <row r="31872" spans="2:12" x14ac:dyDescent="0.2">
      <c r="B31872"/>
      <c r="C31872"/>
      <c r="J31872"/>
      <c r="K31872"/>
      <c r="L31872"/>
    </row>
    <row r="31873" spans="2:12" x14ac:dyDescent="0.2">
      <c r="B31873"/>
      <c r="C31873"/>
      <c r="J31873"/>
      <c r="K31873"/>
      <c r="L31873"/>
    </row>
    <row r="31874" spans="2:12" x14ac:dyDescent="0.2">
      <c r="B31874"/>
      <c r="C31874"/>
      <c r="J31874"/>
      <c r="K31874"/>
      <c r="L31874"/>
    </row>
    <row r="31875" spans="2:12" x14ac:dyDescent="0.2">
      <c r="B31875"/>
      <c r="C31875"/>
      <c r="J31875"/>
      <c r="K31875"/>
      <c r="L31875"/>
    </row>
    <row r="31876" spans="2:12" x14ac:dyDescent="0.2">
      <c r="B31876"/>
      <c r="C31876"/>
      <c r="J31876"/>
      <c r="K31876"/>
      <c r="L31876"/>
    </row>
    <row r="31877" spans="2:12" x14ac:dyDescent="0.2">
      <c r="B31877"/>
      <c r="C31877"/>
      <c r="J31877"/>
      <c r="K31877"/>
      <c r="L31877"/>
    </row>
    <row r="31878" spans="2:12" x14ac:dyDescent="0.2">
      <c r="B31878"/>
      <c r="C31878"/>
      <c r="J31878"/>
      <c r="K31878"/>
      <c r="L31878"/>
    </row>
    <row r="31879" spans="2:12" x14ac:dyDescent="0.2">
      <c r="B31879"/>
      <c r="C31879"/>
      <c r="J31879"/>
      <c r="K31879"/>
      <c r="L31879"/>
    </row>
    <row r="31880" spans="2:12" x14ac:dyDescent="0.2">
      <c r="B31880"/>
      <c r="C31880"/>
      <c r="J31880"/>
      <c r="K31880"/>
      <c r="L31880"/>
    </row>
    <row r="31881" spans="2:12" x14ac:dyDescent="0.2">
      <c r="B31881"/>
      <c r="C31881"/>
      <c r="J31881"/>
      <c r="K31881"/>
      <c r="L31881"/>
    </row>
    <row r="31882" spans="2:12" x14ac:dyDescent="0.2">
      <c r="B31882"/>
      <c r="C31882"/>
      <c r="J31882"/>
      <c r="K31882"/>
      <c r="L31882"/>
    </row>
    <row r="31883" spans="2:12" x14ac:dyDescent="0.2">
      <c r="B31883"/>
      <c r="C31883"/>
      <c r="J31883"/>
      <c r="K31883"/>
      <c r="L31883"/>
    </row>
    <row r="31884" spans="2:12" x14ac:dyDescent="0.2">
      <c r="B31884"/>
      <c r="C31884"/>
      <c r="J31884"/>
      <c r="K31884"/>
      <c r="L31884"/>
    </row>
    <row r="31885" spans="2:12" x14ac:dyDescent="0.2">
      <c r="B31885"/>
      <c r="C31885"/>
      <c r="J31885"/>
      <c r="K31885"/>
      <c r="L31885"/>
    </row>
    <row r="31886" spans="2:12" x14ac:dyDescent="0.2">
      <c r="B31886"/>
      <c r="C31886"/>
      <c r="J31886"/>
      <c r="K31886"/>
      <c r="L31886"/>
    </row>
    <row r="31887" spans="2:12" x14ac:dyDescent="0.2">
      <c r="B31887"/>
      <c r="C31887"/>
      <c r="J31887"/>
      <c r="K31887"/>
      <c r="L31887"/>
    </row>
    <row r="31888" spans="2:12" x14ac:dyDescent="0.2">
      <c r="B31888"/>
      <c r="C31888"/>
      <c r="J31888"/>
      <c r="K31888"/>
      <c r="L31888"/>
    </row>
    <row r="31889" spans="2:12" x14ac:dyDescent="0.2">
      <c r="B31889"/>
      <c r="C31889"/>
      <c r="J31889"/>
      <c r="K31889"/>
      <c r="L31889"/>
    </row>
    <row r="31890" spans="2:12" x14ac:dyDescent="0.2">
      <c r="B31890"/>
      <c r="C31890"/>
      <c r="J31890"/>
      <c r="K31890"/>
      <c r="L31890"/>
    </row>
    <row r="31891" spans="2:12" x14ac:dyDescent="0.2">
      <c r="B31891"/>
      <c r="C31891"/>
      <c r="J31891"/>
      <c r="K31891"/>
      <c r="L31891"/>
    </row>
    <row r="31892" spans="2:12" x14ac:dyDescent="0.2">
      <c r="B31892"/>
      <c r="C31892"/>
      <c r="J31892"/>
      <c r="K31892"/>
      <c r="L31892"/>
    </row>
    <row r="31893" spans="2:12" x14ac:dyDescent="0.2">
      <c r="B31893"/>
      <c r="C31893"/>
      <c r="J31893"/>
      <c r="K31893"/>
      <c r="L31893"/>
    </row>
    <row r="31894" spans="2:12" x14ac:dyDescent="0.2">
      <c r="B31894"/>
      <c r="C31894"/>
      <c r="J31894"/>
      <c r="K31894"/>
      <c r="L31894"/>
    </row>
    <row r="31895" spans="2:12" x14ac:dyDescent="0.2">
      <c r="B31895"/>
      <c r="C31895"/>
      <c r="J31895"/>
      <c r="K31895"/>
      <c r="L31895"/>
    </row>
    <row r="31896" spans="2:12" x14ac:dyDescent="0.2">
      <c r="B31896"/>
      <c r="C31896"/>
      <c r="J31896"/>
      <c r="K31896"/>
      <c r="L31896"/>
    </row>
    <row r="31897" spans="2:12" x14ac:dyDescent="0.2">
      <c r="B31897"/>
      <c r="C31897"/>
      <c r="J31897"/>
      <c r="K31897"/>
      <c r="L31897"/>
    </row>
    <row r="31898" spans="2:12" x14ac:dyDescent="0.2">
      <c r="B31898"/>
      <c r="C31898"/>
      <c r="J31898"/>
      <c r="K31898"/>
      <c r="L31898"/>
    </row>
    <row r="31899" spans="2:12" x14ac:dyDescent="0.2">
      <c r="B31899"/>
      <c r="C31899"/>
      <c r="J31899"/>
      <c r="K31899"/>
      <c r="L31899"/>
    </row>
    <row r="31900" spans="2:12" x14ac:dyDescent="0.2">
      <c r="B31900"/>
      <c r="C31900"/>
      <c r="J31900"/>
      <c r="K31900"/>
      <c r="L31900"/>
    </row>
    <row r="31901" spans="2:12" x14ac:dyDescent="0.2">
      <c r="B31901"/>
      <c r="C31901"/>
      <c r="J31901"/>
      <c r="K31901"/>
      <c r="L31901"/>
    </row>
    <row r="31902" spans="2:12" x14ac:dyDescent="0.2">
      <c r="B31902"/>
      <c r="C31902"/>
      <c r="J31902"/>
      <c r="K31902"/>
      <c r="L31902"/>
    </row>
    <row r="31903" spans="2:12" x14ac:dyDescent="0.2">
      <c r="B31903"/>
      <c r="C31903"/>
      <c r="J31903"/>
      <c r="K31903"/>
      <c r="L31903"/>
    </row>
    <row r="31904" spans="2:12" x14ac:dyDescent="0.2">
      <c r="B31904"/>
      <c r="C31904"/>
      <c r="J31904"/>
      <c r="K31904"/>
      <c r="L31904"/>
    </row>
    <row r="31905" spans="2:12" x14ac:dyDescent="0.2">
      <c r="B31905"/>
      <c r="C31905"/>
      <c r="J31905"/>
      <c r="K31905"/>
      <c r="L31905"/>
    </row>
    <row r="31906" spans="2:12" x14ac:dyDescent="0.2">
      <c r="B31906"/>
      <c r="C31906"/>
      <c r="J31906"/>
      <c r="K31906"/>
      <c r="L31906"/>
    </row>
    <row r="31907" spans="2:12" x14ac:dyDescent="0.2">
      <c r="B31907"/>
      <c r="C31907"/>
      <c r="J31907"/>
      <c r="K31907"/>
      <c r="L31907"/>
    </row>
    <row r="31908" spans="2:12" x14ac:dyDescent="0.2">
      <c r="B31908"/>
      <c r="C31908"/>
      <c r="J31908"/>
      <c r="K31908"/>
      <c r="L31908"/>
    </row>
    <row r="31909" spans="2:12" x14ac:dyDescent="0.2">
      <c r="B31909"/>
      <c r="C31909"/>
      <c r="J31909"/>
      <c r="K31909"/>
      <c r="L31909"/>
    </row>
    <row r="31910" spans="2:12" x14ac:dyDescent="0.2">
      <c r="B31910"/>
      <c r="C31910"/>
      <c r="J31910"/>
      <c r="K31910"/>
      <c r="L31910"/>
    </row>
    <row r="31911" spans="2:12" x14ac:dyDescent="0.2">
      <c r="B31911"/>
      <c r="C31911"/>
      <c r="J31911"/>
      <c r="K31911"/>
      <c r="L31911"/>
    </row>
    <row r="31912" spans="2:12" x14ac:dyDescent="0.2">
      <c r="B31912"/>
      <c r="C31912"/>
      <c r="J31912"/>
      <c r="K31912"/>
      <c r="L31912"/>
    </row>
    <row r="31913" spans="2:12" x14ac:dyDescent="0.2">
      <c r="B31913"/>
      <c r="C31913"/>
      <c r="J31913"/>
      <c r="K31913"/>
      <c r="L31913"/>
    </row>
    <row r="31914" spans="2:12" x14ac:dyDescent="0.2">
      <c r="B31914"/>
      <c r="C31914"/>
      <c r="J31914"/>
      <c r="K31914"/>
      <c r="L31914"/>
    </row>
    <row r="31915" spans="2:12" x14ac:dyDescent="0.2">
      <c r="B31915"/>
      <c r="C31915"/>
      <c r="J31915"/>
      <c r="K31915"/>
      <c r="L31915"/>
    </row>
    <row r="31916" spans="2:12" x14ac:dyDescent="0.2">
      <c r="B31916"/>
      <c r="C31916"/>
      <c r="J31916"/>
      <c r="K31916"/>
      <c r="L31916"/>
    </row>
    <row r="31917" spans="2:12" x14ac:dyDescent="0.2">
      <c r="B31917"/>
      <c r="C31917"/>
      <c r="J31917"/>
      <c r="K31917"/>
      <c r="L31917"/>
    </row>
    <row r="31918" spans="2:12" x14ac:dyDescent="0.2">
      <c r="B31918"/>
      <c r="C31918"/>
      <c r="J31918"/>
      <c r="K31918"/>
      <c r="L31918"/>
    </row>
    <row r="31919" spans="2:12" x14ac:dyDescent="0.2">
      <c r="B31919"/>
      <c r="C31919"/>
      <c r="J31919"/>
      <c r="K31919"/>
      <c r="L31919"/>
    </row>
    <row r="31920" spans="2:12" x14ac:dyDescent="0.2">
      <c r="B31920"/>
      <c r="C31920"/>
      <c r="J31920"/>
      <c r="K31920"/>
      <c r="L31920"/>
    </row>
    <row r="31921" spans="2:12" x14ac:dyDescent="0.2">
      <c r="B31921"/>
      <c r="C31921"/>
      <c r="J31921"/>
      <c r="K31921"/>
      <c r="L31921"/>
    </row>
    <row r="31922" spans="2:12" x14ac:dyDescent="0.2">
      <c r="B31922"/>
      <c r="C31922"/>
      <c r="J31922"/>
      <c r="K31922"/>
      <c r="L31922"/>
    </row>
    <row r="31923" spans="2:12" x14ac:dyDescent="0.2">
      <c r="B31923"/>
      <c r="C31923"/>
      <c r="J31923"/>
      <c r="K31923"/>
      <c r="L31923"/>
    </row>
    <row r="31924" spans="2:12" x14ac:dyDescent="0.2">
      <c r="B31924"/>
      <c r="C31924"/>
      <c r="J31924"/>
      <c r="K31924"/>
      <c r="L31924"/>
    </row>
    <row r="31925" spans="2:12" x14ac:dyDescent="0.2">
      <c r="B31925"/>
      <c r="C31925"/>
      <c r="J31925"/>
      <c r="K31925"/>
      <c r="L31925"/>
    </row>
    <row r="31926" spans="2:12" x14ac:dyDescent="0.2">
      <c r="B31926"/>
      <c r="C31926"/>
      <c r="J31926"/>
      <c r="K31926"/>
      <c r="L31926"/>
    </row>
    <row r="31927" spans="2:12" x14ac:dyDescent="0.2">
      <c r="B31927"/>
      <c r="C31927"/>
      <c r="J31927"/>
      <c r="K31927"/>
      <c r="L31927"/>
    </row>
    <row r="31928" spans="2:12" x14ac:dyDescent="0.2">
      <c r="B31928"/>
      <c r="C31928"/>
      <c r="J31928"/>
      <c r="K31928"/>
      <c r="L31928"/>
    </row>
    <row r="31929" spans="2:12" x14ac:dyDescent="0.2">
      <c r="B31929"/>
      <c r="C31929"/>
      <c r="J31929"/>
      <c r="K31929"/>
      <c r="L31929"/>
    </row>
    <row r="31930" spans="2:12" x14ac:dyDescent="0.2">
      <c r="B31930"/>
      <c r="C31930"/>
      <c r="J31930"/>
      <c r="K31930"/>
      <c r="L31930"/>
    </row>
    <row r="31931" spans="2:12" x14ac:dyDescent="0.2">
      <c r="B31931"/>
      <c r="C31931"/>
      <c r="J31931"/>
      <c r="K31931"/>
      <c r="L31931"/>
    </row>
    <row r="31932" spans="2:12" x14ac:dyDescent="0.2">
      <c r="B31932"/>
      <c r="C31932"/>
      <c r="J31932"/>
      <c r="K31932"/>
      <c r="L31932"/>
    </row>
    <row r="31933" spans="2:12" x14ac:dyDescent="0.2">
      <c r="B31933"/>
      <c r="C31933"/>
      <c r="J31933"/>
      <c r="K31933"/>
      <c r="L31933"/>
    </row>
    <row r="31934" spans="2:12" x14ac:dyDescent="0.2">
      <c r="B31934"/>
      <c r="C31934"/>
      <c r="J31934"/>
      <c r="K31934"/>
      <c r="L31934"/>
    </row>
    <row r="31935" spans="2:12" x14ac:dyDescent="0.2">
      <c r="B31935"/>
      <c r="C31935"/>
      <c r="J31935"/>
      <c r="K31935"/>
      <c r="L31935"/>
    </row>
    <row r="31936" spans="2:12" x14ac:dyDescent="0.2">
      <c r="B31936"/>
      <c r="C31936"/>
      <c r="J31936"/>
      <c r="K31936"/>
      <c r="L31936"/>
    </row>
    <row r="31937" spans="2:12" x14ac:dyDescent="0.2">
      <c r="B31937"/>
      <c r="C31937"/>
      <c r="J31937"/>
      <c r="K31937"/>
      <c r="L31937"/>
    </row>
    <row r="31938" spans="2:12" x14ac:dyDescent="0.2">
      <c r="B31938"/>
      <c r="C31938"/>
      <c r="J31938"/>
      <c r="K31938"/>
      <c r="L31938"/>
    </row>
    <row r="31939" spans="2:12" x14ac:dyDescent="0.2">
      <c r="B31939"/>
      <c r="C31939"/>
      <c r="J31939"/>
      <c r="K31939"/>
      <c r="L31939"/>
    </row>
    <row r="31940" spans="2:12" x14ac:dyDescent="0.2">
      <c r="B31940"/>
      <c r="C31940"/>
      <c r="J31940"/>
      <c r="K31940"/>
      <c r="L31940"/>
    </row>
    <row r="31941" spans="2:12" x14ac:dyDescent="0.2">
      <c r="B31941"/>
      <c r="C31941"/>
      <c r="J31941"/>
      <c r="K31941"/>
      <c r="L31941"/>
    </row>
    <row r="31942" spans="2:12" x14ac:dyDescent="0.2">
      <c r="B31942"/>
      <c r="C31942"/>
      <c r="J31942"/>
      <c r="K31942"/>
      <c r="L31942"/>
    </row>
    <row r="31943" spans="2:12" x14ac:dyDescent="0.2">
      <c r="B31943"/>
      <c r="C31943"/>
      <c r="J31943"/>
      <c r="K31943"/>
      <c r="L31943"/>
    </row>
    <row r="31944" spans="2:12" x14ac:dyDescent="0.2">
      <c r="B31944"/>
      <c r="C31944"/>
      <c r="J31944"/>
      <c r="K31944"/>
      <c r="L31944"/>
    </row>
    <row r="31945" spans="2:12" x14ac:dyDescent="0.2">
      <c r="B31945"/>
      <c r="C31945"/>
      <c r="J31945"/>
      <c r="K31945"/>
      <c r="L31945"/>
    </row>
    <row r="31946" spans="2:12" x14ac:dyDescent="0.2">
      <c r="B31946"/>
      <c r="C31946"/>
      <c r="J31946"/>
      <c r="K31946"/>
      <c r="L31946"/>
    </row>
    <row r="31947" spans="2:12" x14ac:dyDescent="0.2">
      <c r="B31947"/>
      <c r="C31947"/>
      <c r="J31947"/>
      <c r="K31947"/>
      <c r="L31947"/>
    </row>
    <row r="31948" spans="2:12" x14ac:dyDescent="0.2">
      <c r="B31948"/>
      <c r="C31948"/>
      <c r="J31948"/>
      <c r="K31948"/>
      <c r="L31948"/>
    </row>
    <row r="31949" spans="2:12" x14ac:dyDescent="0.2">
      <c r="B31949"/>
      <c r="C31949"/>
      <c r="J31949"/>
      <c r="K31949"/>
      <c r="L31949"/>
    </row>
    <row r="31950" spans="2:12" x14ac:dyDescent="0.2">
      <c r="B31950"/>
      <c r="C31950"/>
      <c r="J31950"/>
      <c r="K31950"/>
      <c r="L31950"/>
    </row>
    <row r="31951" spans="2:12" x14ac:dyDescent="0.2">
      <c r="B31951"/>
      <c r="C31951"/>
      <c r="J31951"/>
      <c r="K31951"/>
      <c r="L31951"/>
    </row>
    <row r="31952" spans="2:12" x14ac:dyDescent="0.2">
      <c r="B31952"/>
      <c r="C31952"/>
      <c r="J31952"/>
      <c r="K31952"/>
      <c r="L31952"/>
    </row>
    <row r="31953" spans="2:12" x14ac:dyDescent="0.2">
      <c r="B31953"/>
      <c r="C31953"/>
      <c r="J31953"/>
      <c r="K31953"/>
      <c r="L31953"/>
    </row>
    <row r="31954" spans="2:12" x14ac:dyDescent="0.2">
      <c r="B31954"/>
      <c r="C31954"/>
      <c r="J31954"/>
      <c r="K31954"/>
      <c r="L31954"/>
    </row>
    <row r="31955" spans="2:12" x14ac:dyDescent="0.2">
      <c r="B31955"/>
      <c r="C31955"/>
      <c r="J31955"/>
      <c r="K31955"/>
      <c r="L31955"/>
    </row>
    <row r="31956" spans="2:12" x14ac:dyDescent="0.2">
      <c r="B31956"/>
      <c r="C31956"/>
      <c r="J31956"/>
      <c r="K31956"/>
      <c r="L31956"/>
    </row>
    <row r="31957" spans="2:12" x14ac:dyDescent="0.2">
      <c r="B31957"/>
      <c r="C31957"/>
      <c r="J31957"/>
      <c r="K31957"/>
      <c r="L31957"/>
    </row>
    <row r="31958" spans="2:12" x14ac:dyDescent="0.2">
      <c r="B31958"/>
      <c r="C31958"/>
      <c r="J31958"/>
      <c r="K31958"/>
      <c r="L31958"/>
    </row>
    <row r="31959" spans="2:12" x14ac:dyDescent="0.2">
      <c r="B31959"/>
      <c r="C31959"/>
      <c r="J31959"/>
      <c r="K31959"/>
      <c r="L31959"/>
    </row>
    <row r="31960" spans="2:12" x14ac:dyDescent="0.2">
      <c r="B31960"/>
      <c r="C31960"/>
      <c r="J31960"/>
      <c r="K31960"/>
      <c r="L31960"/>
    </row>
    <row r="31961" spans="2:12" x14ac:dyDescent="0.2">
      <c r="B31961"/>
      <c r="C31961"/>
      <c r="J31961"/>
      <c r="K31961"/>
      <c r="L31961"/>
    </row>
    <row r="31962" spans="2:12" x14ac:dyDescent="0.2">
      <c r="B31962"/>
      <c r="C31962"/>
      <c r="J31962"/>
      <c r="K31962"/>
      <c r="L31962"/>
    </row>
    <row r="31963" spans="2:12" x14ac:dyDescent="0.2">
      <c r="B31963"/>
      <c r="C31963"/>
      <c r="J31963"/>
      <c r="K31963"/>
      <c r="L31963"/>
    </row>
    <row r="31964" spans="2:12" x14ac:dyDescent="0.2">
      <c r="B31964"/>
      <c r="C31964"/>
      <c r="J31964"/>
      <c r="K31964"/>
      <c r="L31964"/>
    </row>
    <row r="31965" spans="2:12" x14ac:dyDescent="0.2">
      <c r="B31965"/>
      <c r="C31965"/>
      <c r="J31965"/>
      <c r="K31965"/>
      <c r="L31965"/>
    </row>
    <row r="31966" spans="2:12" x14ac:dyDescent="0.2">
      <c r="B31966"/>
      <c r="C31966"/>
      <c r="J31966"/>
      <c r="K31966"/>
      <c r="L31966"/>
    </row>
    <row r="31967" spans="2:12" x14ac:dyDescent="0.2">
      <c r="B31967"/>
      <c r="C31967"/>
      <c r="J31967"/>
      <c r="K31967"/>
      <c r="L31967"/>
    </row>
    <row r="31968" spans="2:12" x14ac:dyDescent="0.2">
      <c r="B31968"/>
      <c r="C31968"/>
      <c r="J31968"/>
      <c r="K31968"/>
      <c r="L31968"/>
    </row>
    <row r="31969" spans="2:12" x14ac:dyDescent="0.2">
      <c r="B31969"/>
      <c r="C31969"/>
      <c r="J31969"/>
      <c r="K31969"/>
      <c r="L31969"/>
    </row>
    <row r="31970" spans="2:12" x14ac:dyDescent="0.2">
      <c r="B31970"/>
      <c r="C31970"/>
      <c r="J31970"/>
      <c r="K31970"/>
      <c r="L31970"/>
    </row>
    <row r="31971" spans="2:12" x14ac:dyDescent="0.2">
      <c r="B31971"/>
      <c r="C31971"/>
      <c r="J31971"/>
      <c r="K31971"/>
      <c r="L31971"/>
    </row>
    <row r="31972" spans="2:12" x14ac:dyDescent="0.2">
      <c r="B31972"/>
      <c r="C31972"/>
      <c r="J31972"/>
      <c r="K31972"/>
      <c r="L31972"/>
    </row>
    <row r="31973" spans="2:12" x14ac:dyDescent="0.2">
      <c r="B31973"/>
      <c r="C31973"/>
      <c r="J31973"/>
      <c r="K31973"/>
      <c r="L31973"/>
    </row>
    <row r="31974" spans="2:12" x14ac:dyDescent="0.2">
      <c r="B31974"/>
      <c r="C31974"/>
      <c r="J31974"/>
      <c r="K31974"/>
      <c r="L31974"/>
    </row>
    <row r="31975" spans="2:12" x14ac:dyDescent="0.2">
      <c r="B31975"/>
      <c r="C31975"/>
      <c r="J31975"/>
      <c r="K31975"/>
      <c r="L31975"/>
    </row>
    <row r="31976" spans="2:12" x14ac:dyDescent="0.2">
      <c r="B31976"/>
      <c r="C31976"/>
      <c r="J31976"/>
      <c r="K31976"/>
      <c r="L31976"/>
    </row>
    <row r="31977" spans="2:12" x14ac:dyDescent="0.2">
      <c r="B31977"/>
      <c r="C31977"/>
      <c r="J31977"/>
      <c r="K31977"/>
      <c r="L31977"/>
    </row>
    <row r="31978" spans="2:12" x14ac:dyDescent="0.2">
      <c r="B31978"/>
      <c r="C31978"/>
      <c r="J31978"/>
      <c r="K31978"/>
      <c r="L31978"/>
    </row>
    <row r="31979" spans="2:12" x14ac:dyDescent="0.2">
      <c r="B31979"/>
      <c r="C31979"/>
      <c r="J31979"/>
      <c r="K31979"/>
      <c r="L31979"/>
    </row>
    <row r="31980" spans="2:12" x14ac:dyDescent="0.2">
      <c r="B31980"/>
      <c r="C31980"/>
      <c r="J31980"/>
      <c r="K31980"/>
      <c r="L31980"/>
    </row>
    <row r="31981" spans="2:12" x14ac:dyDescent="0.2">
      <c r="B31981"/>
      <c r="C31981"/>
      <c r="J31981"/>
      <c r="K31981"/>
      <c r="L31981"/>
    </row>
    <row r="31982" spans="2:12" x14ac:dyDescent="0.2">
      <c r="B31982"/>
      <c r="C31982"/>
      <c r="J31982"/>
      <c r="K31982"/>
      <c r="L31982"/>
    </row>
    <row r="31983" spans="2:12" x14ac:dyDescent="0.2">
      <c r="B31983"/>
      <c r="C31983"/>
      <c r="J31983"/>
      <c r="K31983"/>
      <c r="L31983"/>
    </row>
    <row r="31984" spans="2:12" x14ac:dyDescent="0.2">
      <c r="B31984"/>
      <c r="C31984"/>
      <c r="J31984"/>
      <c r="K31984"/>
      <c r="L31984"/>
    </row>
    <row r="31985" spans="2:12" x14ac:dyDescent="0.2">
      <c r="B31985"/>
      <c r="C31985"/>
      <c r="J31985"/>
      <c r="K31985"/>
      <c r="L31985"/>
    </row>
    <row r="31986" spans="2:12" x14ac:dyDescent="0.2">
      <c r="B31986"/>
      <c r="C31986"/>
      <c r="J31986"/>
      <c r="K31986"/>
      <c r="L31986"/>
    </row>
    <row r="31987" spans="2:12" x14ac:dyDescent="0.2">
      <c r="B31987"/>
      <c r="C31987"/>
      <c r="J31987"/>
      <c r="K31987"/>
      <c r="L31987"/>
    </row>
    <row r="31988" spans="2:12" x14ac:dyDescent="0.2">
      <c r="B31988"/>
      <c r="C31988"/>
      <c r="J31988"/>
      <c r="K31988"/>
      <c r="L31988"/>
    </row>
    <row r="31989" spans="2:12" x14ac:dyDescent="0.2">
      <c r="B31989"/>
      <c r="C31989"/>
      <c r="J31989"/>
      <c r="K31989"/>
      <c r="L31989"/>
    </row>
    <row r="31990" spans="2:12" x14ac:dyDescent="0.2">
      <c r="B31990"/>
      <c r="C31990"/>
      <c r="J31990"/>
      <c r="K31990"/>
      <c r="L31990"/>
    </row>
    <row r="31991" spans="2:12" x14ac:dyDescent="0.2">
      <c r="B31991"/>
      <c r="C31991"/>
      <c r="J31991"/>
      <c r="K31991"/>
      <c r="L31991"/>
    </row>
    <row r="31992" spans="2:12" x14ac:dyDescent="0.2">
      <c r="B31992"/>
      <c r="C31992"/>
      <c r="J31992"/>
      <c r="K31992"/>
      <c r="L31992"/>
    </row>
    <row r="31993" spans="2:12" x14ac:dyDescent="0.2">
      <c r="B31993"/>
      <c r="C31993"/>
      <c r="J31993"/>
      <c r="K31993"/>
      <c r="L31993"/>
    </row>
    <row r="31994" spans="2:12" x14ac:dyDescent="0.2">
      <c r="B31994"/>
      <c r="C31994"/>
      <c r="J31994"/>
      <c r="K31994"/>
      <c r="L31994"/>
    </row>
    <row r="31995" spans="2:12" x14ac:dyDescent="0.2">
      <c r="B31995"/>
      <c r="C31995"/>
      <c r="J31995"/>
      <c r="K31995"/>
      <c r="L31995"/>
    </row>
    <row r="31996" spans="2:12" x14ac:dyDescent="0.2">
      <c r="B31996"/>
      <c r="C31996"/>
      <c r="J31996"/>
      <c r="K31996"/>
      <c r="L31996"/>
    </row>
    <row r="31997" spans="2:12" x14ac:dyDescent="0.2">
      <c r="B31997"/>
      <c r="C31997"/>
      <c r="J31997"/>
      <c r="K31997"/>
      <c r="L31997"/>
    </row>
    <row r="31998" spans="2:12" x14ac:dyDescent="0.2">
      <c r="B31998"/>
      <c r="C31998"/>
      <c r="J31998"/>
      <c r="K31998"/>
      <c r="L31998"/>
    </row>
    <row r="31999" spans="2:12" x14ac:dyDescent="0.2">
      <c r="B31999"/>
      <c r="C31999"/>
      <c r="J31999"/>
      <c r="K31999"/>
      <c r="L31999"/>
    </row>
    <row r="32000" spans="2:12" x14ac:dyDescent="0.2">
      <c r="B32000"/>
      <c r="C32000"/>
      <c r="J32000"/>
      <c r="K32000"/>
      <c r="L32000"/>
    </row>
    <row r="32001" spans="2:12" x14ac:dyDescent="0.2">
      <c r="B32001"/>
      <c r="C32001"/>
      <c r="J32001"/>
      <c r="K32001"/>
      <c r="L32001"/>
    </row>
    <row r="32002" spans="2:12" x14ac:dyDescent="0.2">
      <c r="B32002"/>
      <c r="C32002"/>
      <c r="J32002"/>
      <c r="K32002"/>
      <c r="L32002"/>
    </row>
    <row r="32003" spans="2:12" x14ac:dyDescent="0.2">
      <c r="B32003"/>
      <c r="C32003"/>
      <c r="J32003"/>
      <c r="K32003"/>
      <c r="L32003"/>
    </row>
    <row r="32004" spans="2:12" x14ac:dyDescent="0.2">
      <c r="B32004"/>
      <c r="C32004"/>
      <c r="J32004"/>
      <c r="K32004"/>
      <c r="L32004"/>
    </row>
    <row r="32005" spans="2:12" x14ac:dyDescent="0.2">
      <c r="B32005"/>
      <c r="C32005"/>
      <c r="J32005"/>
      <c r="K32005"/>
      <c r="L32005"/>
    </row>
    <row r="32006" spans="2:12" x14ac:dyDescent="0.2">
      <c r="B32006"/>
      <c r="C32006"/>
      <c r="J32006"/>
      <c r="K32006"/>
      <c r="L32006"/>
    </row>
    <row r="32007" spans="2:12" x14ac:dyDescent="0.2">
      <c r="B32007"/>
      <c r="C32007"/>
      <c r="J32007"/>
      <c r="K32007"/>
      <c r="L32007"/>
    </row>
    <row r="32008" spans="2:12" x14ac:dyDescent="0.2">
      <c r="B32008"/>
      <c r="C32008"/>
      <c r="J32008"/>
      <c r="K32008"/>
      <c r="L32008"/>
    </row>
    <row r="32009" spans="2:12" x14ac:dyDescent="0.2">
      <c r="B32009"/>
      <c r="C32009"/>
      <c r="J32009"/>
      <c r="K32009"/>
      <c r="L32009"/>
    </row>
    <row r="32010" spans="2:12" x14ac:dyDescent="0.2">
      <c r="B32010"/>
      <c r="C32010"/>
      <c r="J32010"/>
      <c r="K32010"/>
      <c r="L32010"/>
    </row>
    <row r="32011" spans="2:12" x14ac:dyDescent="0.2">
      <c r="B32011"/>
      <c r="C32011"/>
      <c r="J32011"/>
      <c r="K32011"/>
      <c r="L32011"/>
    </row>
    <row r="32012" spans="2:12" x14ac:dyDescent="0.2">
      <c r="B32012"/>
      <c r="C32012"/>
      <c r="J32012"/>
      <c r="K32012"/>
      <c r="L32012"/>
    </row>
    <row r="32013" spans="2:12" x14ac:dyDescent="0.2">
      <c r="B32013"/>
      <c r="C32013"/>
      <c r="J32013"/>
      <c r="K32013"/>
      <c r="L32013"/>
    </row>
    <row r="32014" spans="2:12" x14ac:dyDescent="0.2">
      <c r="B32014"/>
      <c r="C32014"/>
      <c r="J32014"/>
      <c r="K32014"/>
      <c r="L32014"/>
    </row>
    <row r="32015" spans="2:12" x14ac:dyDescent="0.2">
      <c r="B32015"/>
      <c r="C32015"/>
      <c r="J32015"/>
      <c r="K32015"/>
      <c r="L32015"/>
    </row>
    <row r="32016" spans="2:12" x14ac:dyDescent="0.2">
      <c r="B32016"/>
      <c r="C32016"/>
      <c r="J32016"/>
      <c r="K32016"/>
      <c r="L32016"/>
    </row>
    <row r="32017" spans="2:12" x14ac:dyDescent="0.2">
      <c r="B32017"/>
      <c r="C32017"/>
      <c r="J32017"/>
      <c r="K32017"/>
      <c r="L32017"/>
    </row>
    <row r="32018" spans="2:12" x14ac:dyDescent="0.2">
      <c r="B32018"/>
      <c r="C32018"/>
      <c r="J32018"/>
      <c r="K32018"/>
      <c r="L32018"/>
    </row>
    <row r="32019" spans="2:12" x14ac:dyDescent="0.2">
      <c r="B32019"/>
      <c r="C32019"/>
      <c r="J32019"/>
      <c r="K32019"/>
      <c r="L32019"/>
    </row>
    <row r="32020" spans="2:12" x14ac:dyDescent="0.2">
      <c r="B32020"/>
      <c r="C32020"/>
      <c r="J32020"/>
      <c r="K32020"/>
      <c r="L32020"/>
    </row>
    <row r="32021" spans="2:12" x14ac:dyDescent="0.2">
      <c r="B32021"/>
      <c r="C32021"/>
      <c r="J32021"/>
      <c r="K32021"/>
      <c r="L32021"/>
    </row>
    <row r="32022" spans="2:12" x14ac:dyDescent="0.2">
      <c r="B32022"/>
      <c r="C32022"/>
      <c r="J32022"/>
      <c r="K32022"/>
      <c r="L32022"/>
    </row>
    <row r="32023" spans="2:12" x14ac:dyDescent="0.2">
      <c r="B32023"/>
      <c r="C32023"/>
      <c r="J32023"/>
      <c r="K32023"/>
      <c r="L32023"/>
    </row>
    <row r="32024" spans="2:12" x14ac:dyDescent="0.2">
      <c r="B32024"/>
      <c r="C32024"/>
      <c r="J32024"/>
      <c r="K32024"/>
      <c r="L32024"/>
    </row>
    <row r="32025" spans="2:12" x14ac:dyDescent="0.2">
      <c r="B32025"/>
      <c r="C32025"/>
      <c r="J32025"/>
      <c r="K32025"/>
      <c r="L32025"/>
    </row>
    <row r="32026" spans="2:12" x14ac:dyDescent="0.2">
      <c r="B32026"/>
      <c r="C32026"/>
      <c r="J32026"/>
      <c r="K32026"/>
      <c r="L32026"/>
    </row>
    <row r="32027" spans="2:12" x14ac:dyDescent="0.2">
      <c r="B32027"/>
      <c r="C32027"/>
      <c r="J32027"/>
      <c r="K32027"/>
      <c r="L32027"/>
    </row>
    <row r="32028" spans="2:12" x14ac:dyDescent="0.2">
      <c r="B32028"/>
      <c r="C32028"/>
      <c r="J32028"/>
      <c r="K32028"/>
      <c r="L32028"/>
    </row>
    <row r="32029" spans="2:12" x14ac:dyDescent="0.2">
      <c r="B32029"/>
      <c r="C32029"/>
      <c r="J32029"/>
      <c r="K32029"/>
      <c r="L32029"/>
    </row>
    <row r="32030" spans="2:12" x14ac:dyDescent="0.2">
      <c r="B32030"/>
      <c r="C32030"/>
      <c r="J32030"/>
      <c r="K32030"/>
      <c r="L32030"/>
    </row>
    <row r="32031" spans="2:12" x14ac:dyDescent="0.2">
      <c r="B32031"/>
      <c r="C32031"/>
      <c r="J32031"/>
      <c r="K32031"/>
      <c r="L32031"/>
    </row>
    <row r="32032" spans="2:12" x14ac:dyDescent="0.2">
      <c r="B32032"/>
      <c r="C32032"/>
      <c r="J32032"/>
      <c r="K32032"/>
      <c r="L32032"/>
    </row>
    <row r="32033" spans="2:12" x14ac:dyDescent="0.2">
      <c r="B32033"/>
      <c r="C32033"/>
      <c r="J32033"/>
      <c r="K32033"/>
      <c r="L32033"/>
    </row>
    <row r="32034" spans="2:12" x14ac:dyDescent="0.2">
      <c r="B32034"/>
      <c r="C32034"/>
      <c r="J32034"/>
      <c r="K32034"/>
      <c r="L32034"/>
    </row>
    <row r="32035" spans="2:12" x14ac:dyDescent="0.2">
      <c r="B32035"/>
      <c r="C32035"/>
      <c r="J32035"/>
      <c r="K32035"/>
      <c r="L32035"/>
    </row>
    <row r="32036" spans="2:12" x14ac:dyDescent="0.2">
      <c r="B32036"/>
      <c r="C32036"/>
      <c r="J32036"/>
      <c r="K32036"/>
      <c r="L32036"/>
    </row>
    <row r="32037" spans="2:12" x14ac:dyDescent="0.2">
      <c r="B32037"/>
      <c r="C32037"/>
      <c r="J32037"/>
      <c r="K32037"/>
      <c r="L32037"/>
    </row>
    <row r="32038" spans="2:12" x14ac:dyDescent="0.2">
      <c r="B32038"/>
      <c r="C32038"/>
      <c r="J32038"/>
      <c r="K32038"/>
      <c r="L32038"/>
    </row>
    <row r="32039" spans="2:12" x14ac:dyDescent="0.2">
      <c r="B32039"/>
      <c r="C32039"/>
      <c r="J32039"/>
      <c r="K32039"/>
      <c r="L32039"/>
    </row>
    <row r="32040" spans="2:12" x14ac:dyDescent="0.2">
      <c r="B32040"/>
      <c r="C32040"/>
      <c r="J32040"/>
      <c r="K32040"/>
      <c r="L32040"/>
    </row>
    <row r="32041" spans="2:12" x14ac:dyDescent="0.2">
      <c r="B32041"/>
      <c r="C32041"/>
      <c r="J32041"/>
      <c r="K32041"/>
      <c r="L32041"/>
    </row>
    <row r="32042" spans="2:12" x14ac:dyDescent="0.2">
      <c r="B32042"/>
      <c r="C32042"/>
      <c r="J32042"/>
      <c r="K32042"/>
      <c r="L32042"/>
    </row>
    <row r="32043" spans="2:12" x14ac:dyDescent="0.2">
      <c r="B32043"/>
      <c r="C32043"/>
      <c r="J32043"/>
      <c r="K32043"/>
      <c r="L32043"/>
    </row>
    <row r="32044" spans="2:12" x14ac:dyDescent="0.2">
      <c r="B32044"/>
      <c r="C32044"/>
      <c r="J32044"/>
      <c r="K32044"/>
      <c r="L32044"/>
    </row>
    <row r="32045" spans="2:12" x14ac:dyDescent="0.2">
      <c r="B32045"/>
      <c r="C32045"/>
      <c r="J32045"/>
      <c r="K32045"/>
      <c r="L32045"/>
    </row>
    <row r="32046" spans="2:12" x14ac:dyDescent="0.2">
      <c r="B32046"/>
      <c r="C32046"/>
      <c r="J32046"/>
      <c r="K32046"/>
      <c r="L32046"/>
    </row>
    <row r="32047" spans="2:12" x14ac:dyDescent="0.2">
      <c r="B32047"/>
      <c r="C32047"/>
      <c r="J32047"/>
      <c r="K32047"/>
      <c r="L32047"/>
    </row>
    <row r="32048" spans="2:12" x14ac:dyDescent="0.2">
      <c r="B32048"/>
      <c r="C32048"/>
      <c r="J32048"/>
      <c r="K32048"/>
      <c r="L32048"/>
    </row>
    <row r="32049" spans="2:12" x14ac:dyDescent="0.2">
      <c r="B32049"/>
      <c r="C32049"/>
      <c r="J32049"/>
      <c r="K32049"/>
      <c r="L32049"/>
    </row>
    <row r="32050" spans="2:12" x14ac:dyDescent="0.2">
      <c r="B32050"/>
      <c r="C32050"/>
      <c r="J32050"/>
      <c r="K32050"/>
      <c r="L32050"/>
    </row>
    <row r="32051" spans="2:12" x14ac:dyDescent="0.2">
      <c r="B32051"/>
      <c r="C32051"/>
      <c r="J32051"/>
      <c r="K32051"/>
      <c r="L32051"/>
    </row>
    <row r="32052" spans="2:12" x14ac:dyDescent="0.2">
      <c r="B32052"/>
      <c r="C32052"/>
      <c r="J32052"/>
      <c r="K32052"/>
      <c r="L32052"/>
    </row>
    <row r="32053" spans="2:12" x14ac:dyDescent="0.2">
      <c r="B32053"/>
      <c r="C32053"/>
      <c r="J32053"/>
      <c r="K32053"/>
      <c r="L32053"/>
    </row>
    <row r="32054" spans="2:12" x14ac:dyDescent="0.2">
      <c r="B32054"/>
      <c r="C32054"/>
      <c r="J32054"/>
      <c r="K32054"/>
      <c r="L32054"/>
    </row>
    <row r="32055" spans="2:12" x14ac:dyDescent="0.2">
      <c r="B32055"/>
      <c r="C32055"/>
      <c r="J32055"/>
      <c r="K32055"/>
      <c r="L32055"/>
    </row>
    <row r="32056" spans="2:12" x14ac:dyDescent="0.2">
      <c r="B32056"/>
      <c r="C32056"/>
      <c r="J32056"/>
      <c r="K32056"/>
      <c r="L32056"/>
    </row>
    <row r="32057" spans="2:12" x14ac:dyDescent="0.2">
      <c r="B32057"/>
      <c r="C32057"/>
      <c r="J32057"/>
      <c r="K32057"/>
      <c r="L32057"/>
    </row>
    <row r="32058" spans="2:12" x14ac:dyDescent="0.2">
      <c r="B32058"/>
      <c r="C32058"/>
      <c r="J32058"/>
      <c r="K32058"/>
      <c r="L32058"/>
    </row>
    <row r="32059" spans="2:12" x14ac:dyDescent="0.2">
      <c r="B32059"/>
      <c r="C32059"/>
      <c r="J32059"/>
      <c r="K32059"/>
      <c r="L32059"/>
    </row>
    <row r="32060" spans="2:12" x14ac:dyDescent="0.2">
      <c r="B32060"/>
      <c r="C32060"/>
      <c r="J32060"/>
      <c r="K32060"/>
      <c r="L32060"/>
    </row>
    <row r="32061" spans="2:12" x14ac:dyDescent="0.2">
      <c r="B32061"/>
      <c r="C32061"/>
      <c r="J32061"/>
      <c r="K32061"/>
      <c r="L32061"/>
    </row>
    <row r="32062" spans="2:12" x14ac:dyDescent="0.2">
      <c r="B32062"/>
      <c r="C32062"/>
      <c r="J32062"/>
      <c r="K32062"/>
      <c r="L32062"/>
    </row>
    <row r="32063" spans="2:12" x14ac:dyDescent="0.2">
      <c r="B32063"/>
      <c r="C32063"/>
      <c r="J32063"/>
      <c r="K32063"/>
      <c r="L32063"/>
    </row>
    <row r="32064" spans="2:12" x14ac:dyDescent="0.2">
      <c r="B32064"/>
      <c r="C32064"/>
      <c r="J32064"/>
      <c r="K32064"/>
      <c r="L32064"/>
    </row>
    <row r="32065" spans="2:12" x14ac:dyDescent="0.2">
      <c r="B32065"/>
      <c r="C32065"/>
      <c r="J32065"/>
      <c r="K32065"/>
      <c r="L32065"/>
    </row>
    <row r="32066" spans="2:12" x14ac:dyDescent="0.2">
      <c r="B32066"/>
      <c r="C32066"/>
      <c r="J32066"/>
      <c r="K32066"/>
      <c r="L32066"/>
    </row>
    <row r="32067" spans="2:12" x14ac:dyDescent="0.2">
      <c r="B32067"/>
      <c r="C32067"/>
      <c r="J32067"/>
      <c r="K32067"/>
      <c r="L32067"/>
    </row>
    <row r="32068" spans="2:12" x14ac:dyDescent="0.2">
      <c r="B32068"/>
      <c r="C32068"/>
      <c r="J32068"/>
      <c r="K32068"/>
      <c r="L32068"/>
    </row>
    <row r="32069" spans="2:12" x14ac:dyDescent="0.2">
      <c r="B32069"/>
      <c r="C32069"/>
      <c r="J32069"/>
      <c r="K32069"/>
      <c r="L32069"/>
    </row>
    <row r="32070" spans="2:12" x14ac:dyDescent="0.2">
      <c r="B32070"/>
      <c r="C32070"/>
      <c r="J32070"/>
      <c r="K32070"/>
      <c r="L32070"/>
    </row>
    <row r="32071" spans="2:12" x14ac:dyDescent="0.2">
      <c r="B32071"/>
      <c r="C32071"/>
      <c r="J32071"/>
      <c r="K32071"/>
      <c r="L32071"/>
    </row>
    <row r="32072" spans="2:12" x14ac:dyDescent="0.2">
      <c r="B32072"/>
      <c r="C32072"/>
      <c r="J32072"/>
      <c r="K32072"/>
      <c r="L32072"/>
    </row>
    <row r="32073" spans="2:12" x14ac:dyDescent="0.2">
      <c r="B32073"/>
      <c r="C32073"/>
      <c r="J32073"/>
      <c r="K32073"/>
      <c r="L32073"/>
    </row>
    <row r="32074" spans="2:12" x14ac:dyDescent="0.2">
      <c r="B32074"/>
      <c r="C32074"/>
      <c r="J32074"/>
      <c r="K32074"/>
      <c r="L32074"/>
    </row>
    <row r="32075" spans="2:12" x14ac:dyDescent="0.2">
      <c r="B32075"/>
      <c r="C32075"/>
      <c r="J32075"/>
      <c r="K32075"/>
      <c r="L32075"/>
    </row>
    <row r="32076" spans="2:12" x14ac:dyDescent="0.2">
      <c r="B32076"/>
      <c r="C32076"/>
      <c r="J32076"/>
      <c r="K32076"/>
      <c r="L32076"/>
    </row>
    <row r="32077" spans="2:12" x14ac:dyDescent="0.2">
      <c r="B32077"/>
      <c r="C32077"/>
      <c r="J32077"/>
      <c r="K32077"/>
      <c r="L32077"/>
    </row>
    <row r="32078" spans="2:12" x14ac:dyDescent="0.2">
      <c r="B32078"/>
      <c r="C32078"/>
      <c r="J32078"/>
      <c r="K32078"/>
      <c r="L32078"/>
    </row>
    <row r="32079" spans="2:12" x14ac:dyDescent="0.2">
      <c r="B32079"/>
      <c r="C32079"/>
      <c r="J32079"/>
      <c r="K32079"/>
      <c r="L32079"/>
    </row>
    <row r="32080" spans="2:12" x14ac:dyDescent="0.2">
      <c r="B32080"/>
      <c r="C32080"/>
      <c r="J32080"/>
      <c r="K32080"/>
      <c r="L32080"/>
    </row>
    <row r="32081" spans="2:12" x14ac:dyDescent="0.2">
      <c r="B32081"/>
      <c r="C32081"/>
      <c r="J32081"/>
      <c r="K32081"/>
      <c r="L32081"/>
    </row>
    <row r="32082" spans="2:12" x14ac:dyDescent="0.2">
      <c r="B32082"/>
      <c r="C32082"/>
      <c r="J32082"/>
      <c r="K32082"/>
      <c r="L32082"/>
    </row>
    <row r="32083" spans="2:12" x14ac:dyDescent="0.2">
      <c r="B32083"/>
      <c r="C32083"/>
      <c r="J32083"/>
      <c r="K32083"/>
      <c r="L32083"/>
    </row>
    <row r="32084" spans="2:12" x14ac:dyDescent="0.2">
      <c r="B32084"/>
      <c r="C32084"/>
      <c r="J32084"/>
      <c r="K32084"/>
      <c r="L32084"/>
    </row>
    <row r="32085" spans="2:12" x14ac:dyDescent="0.2">
      <c r="B32085"/>
      <c r="C32085"/>
      <c r="J32085"/>
      <c r="K32085"/>
      <c r="L32085"/>
    </row>
    <row r="32086" spans="2:12" x14ac:dyDescent="0.2">
      <c r="B32086"/>
      <c r="C32086"/>
      <c r="J32086"/>
      <c r="K32086"/>
      <c r="L32086"/>
    </row>
    <row r="32087" spans="2:12" x14ac:dyDescent="0.2">
      <c r="B32087"/>
      <c r="C32087"/>
      <c r="J32087"/>
      <c r="K32087"/>
      <c r="L32087"/>
    </row>
    <row r="32088" spans="2:12" x14ac:dyDescent="0.2">
      <c r="B32088"/>
      <c r="C32088"/>
      <c r="J32088"/>
      <c r="K32088"/>
      <c r="L32088"/>
    </row>
    <row r="32089" spans="2:12" x14ac:dyDescent="0.2">
      <c r="B32089"/>
      <c r="C32089"/>
      <c r="J32089"/>
      <c r="K32089"/>
      <c r="L32089"/>
    </row>
    <row r="32090" spans="2:12" x14ac:dyDescent="0.2">
      <c r="B32090"/>
      <c r="C32090"/>
      <c r="J32090"/>
      <c r="K32090"/>
      <c r="L32090"/>
    </row>
    <row r="32091" spans="2:12" x14ac:dyDescent="0.2">
      <c r="B32091"/>
      <c r="C32091"/>
      <c r="J32091"/>
      <c r="K32091"/>
      <c r="L32091"/>
    </row>
    <row r="32092" spans="2:12" x14ac:dyDescent="0.2">
      <c r="B32092"/>
      <c r="C32092"/>
      <c r="J32092"/>
      <c r="K32092"/>
      <c r="L32092"/>
    </row>
    <row r="32093" spans="2:12" x14ac:dyDescent="0.2">
      <c r="B32093"/>
      <c r="C32093"/>
      <c r="J32093"/>
      <c r="K32093"/>
      <c r="L32093"/>
    </row>
    <row r="32094" spans="2:12" x14ac:dyDescent="0.2">
      <c r="B32094"/>
      <c r="C32094"/>
      <c r="J32094"/>
      <c r="K32094"/>
      <c r="L32094"/>
    </row>
    <row r="32095" spans="2:12" x14ac:dyDescent="0.2">
      <c r="B32095"/>
      <c r="C32095"/>
      <c r="J32095"/>
      <c r="K32095"/>
      <c r="L32095"/>
    </row>
    <row r="32096" spans="2:12" x14ac:dyDescent="0.2">
      <c r="B32096"/>
      <c r="C32096"/>
      <c r="J32096"/>
      <c r="K32096"/>
      <c r="L32096"/>
    </row>
    <row r="32097" spans="2:12" x14ac:dyDescent="0.2">
      <c r="B32097"/>
      <c r="C32097"/>
      <c r="J32097"/>
      <c r="K32097"/>
      <c r="L32097"/>
    </row>
    <row r="32098" spans="2:12" x14ac:dyDescent="0.2">
      <c r="B32098"/>
      <c r="C32098"/>
      <c r="J32098"/>
      <c r="K32098"/>
      <c r="L32098"/>
    </row>
    <row r="32099" spans="2:12" x14ac:dyDescent="0.2">
      <c r="B32099"/>
      <c r="C32099"/>
      <c r="J32099"/>
      <c r="K32099"/>
      <c r="L32099"/>
    </row>
    <row r="32100" spans="2:12" x14ac:dyDescent="0.2">
      <c r="B32100"/>
      <c r="C32100"/>
      <c r="J32100"/>
      <c r="K32100"/>
      <c r="L32100"/>
    </row>
    <row r="32101" spans="2:12" x14ac:dyDescent="0.2">
      <c r="B32101"/>
      <c r="C32101"/>
      <c r="J32101"/>
      <c r="K32101"/>
      <c r="L32101"/>
    </row>
    <row r="32102" spans="2:12" x14ac:dyDescent="0.2">
      <c r="B32102"/>
      <c r="C32102"/>
      <c r="J32102"/>
      <c r="K32102"/>
      <c r="L32102"/>
    </row>
    <row r="32103" spans="2:12" x14ac:dyDescent="0.2">
      <c r="B32103"/>
      <c r="C32103"/>
      <c r="J32103"/>
      <c r="K32103"/>
      <c r="L32103"/>
    </row>
    <row r="32104" spans="2:12" x14ac:dyDescent="0.2">
      <c r="B32104"/>
      <c r="C32104"/>
      <c r="J32104"/>
      <c r="K32104"/>
      <c r="L32104"/>
    </row>
    <row r="32105" spans="2:12" x14ac:dyDescent="0.2">
      <c r="B32105"/>
      <c r="C32105"/>
      <c r="J32105"/>
      <c r="K32105"/>
      <c r="L32105"/>
    </row>
    <row r="32106" spans="2:12" x14ac:dyDescent="0.2">
      <c r="B32106"/>
      <c r="C32106"/>
      <c r="J32106"/>
      <c r="K32106"/>
      <c r="L32106"/>
    </row>
    <row r="32107" spans="2:12" x14ac:dyDescent="0.2">
      <c r="B32107"/>
      <c r="C32107"/>
      <c r="J32107"/>
      <c r="K32107"/>
      <c r="L32107"/>
    </row>
    <row r="32108" spans="2:12" x14ac:dyDescent="0.2">
      <c r="B32108"/>
      <c r="C32108"/>
      <c r="J32108"/>
      <c r="K32108"/>
      <c r="L32108"/>
    </row>
    <row r="32109" spans="2:12" x14ac:dyDescent="0.2">
      <c r="B32109"/>
      <c r="C32109"/>
      <c r="J32109"/>
      <c r="K32109"/>
      <c r="L32109"/>
    </row>
    <row r="32110" spans="2:12" x14ac:dyDescent="0.2">
      <c r="B32110"/>
      <c r="C32110"/>
      <c r="J32110"/>
      <c r="K32110"/>
      <c r="L32110"/>
    </row>
    <row r="32111" spans="2:12" x14ac:dyDescent="0.2">
      <c r="B32111"/>
      <c r="C32111"/>
      <c r="J32111"/>
      <c r="K32111"/>
      <c r="L32111"/>
    </row>
    <row r="32112" spans="2:12" x14ac:dyDescent="0.2">
      <c r="B32112"/>
      <c r="C32112"/>
      <c r="J32112"/>
      <c r="K32112"/>
      <c r="L32112"/>
    </row>
    <row r="32113" spans="2:12" x14ac:dyDescent="0.2">
      <c r="B32113"/>
      <c r="C32113"/>
      <c r="J32113"/>
      <c r="K32113"/>
      <c r="L32113"/>
    </row>
    <row r="32114" spans="2:12" x14ac:dyDescent="0.2">
      <c r="B32114"/>
      <c r="C32114"/>
      <c r="J32114"/>
      <c r="K32114"/>
      <c r="L32114"/>
    </row>
    <row r="32115" spans="2:12" x14ac:dyDescent="0.2">
      <c r="B32115"/>
      <c r="C32115"/>
      <c r="J32115"/>
      <c r="K32115"/>
      <c r="L32115"/>
    </row>
    <row r="32116" spans="2:12" x14ac:dyDescent="0.2">
      <c r="B32116"/>
      <c r="C32116"/>
      <c r="J32116"/>
      <c r="K32116"/>
      <c r="L32116"/>
    </row>
    <row r="32117" spans="2:12" x14ac:dyDescent="0.2">
      <c r="B32117"/>
      <c r="C32117"/>
      <c r="J32117"/>
      <c r="K32117"/>
      <c r="L32117"/>
    </row>
    <row r="32118" spans="2:12" x14ac:dyDescent="0.2">
      <c r="B32118"/>
      <c r="C32118"/>
      <c r="J32118"/>
      <c r="K32118"/>
      <c r="L32118"/>
    </row>
    <row r="32119" spans="2:12" x14ac:dyDescent="0.2">
      <c r="B32119"/>
      <c r="C32119"/>
      <c r="J32119"/>
      <c r="K32119"/>
      <c r="L32119"/>
    </row>
    <row r="32120" spans="2:12" x14ac:dyDescent="0.2">
      <c r="B32120"/>
      <c r="C32120"/>
      <c r="J32120"/>
      <c r="K32120"/>
      <c r="L32120"/>
    </row>
    <row r="32121" spans="2:12" x14ac:dyDescent="0.2">
      <c r="B32121"/>
      <c r="C32121"/>
      <c r="J32121"/>
      <c r="K32121"/>
      <c r="L32121"/>
    </row>
    <row r="32122" spans="2:12" x14ac:dyDescent="0.2">
      <c r="B32122"/>
      <c r="C32122"/>
      <c r="J32122"/>
      <c r="K32122"/>
      <c r="L32122"/>
    </row>
    <row r="32123" spans="2:12" x14ac:dyDescent="0.2">
      <c r="B32123"/>
      <c r="C32123"/>
      <c r="J32123"/>
      <c r="K32123"/>
      <c r="L32123"/>
    </row>
    <row r="32124" spans="2:12" x14ac:dyDescent="0.2">
      <c r="B32124"/>
      <c r="C32124"/>
      <c r="J32124"/>
      <c r="K32124"/>
      <c r="L32124"/>
    </row>
    <row r="32125" spans="2:12" x14ac:dyDescent="0.2">
      <c r="B32125"/>
      <c r="C32125"/>
      <c r="J32125"/>
      <c r="K32125"/>
      <c r="L32125"/>
    </row>
    <row r="32126" spans="2:12" x14ac:dyDescent="0.2">
      <c r="B32126"/>
      <c r="C32126"/>
      <c r="J32126"/>
      <c r="K32126"/>
      <c r="L32126"/>
    </row>
    <row r="32127" spans="2:12" x14ac:dyDescent="0.2">
      <c r="B32127"/>
      <c r="C32127"/>
      <c r="J32127"/>
      <c r="K32127"/>
      <c r="L32127"/>
    </row>
    <row r="32128" spans="2:12" x14ac:dyDescent="0.2">
      <c r="B32128"/>
      <c r="C32128"/>
      <c r="J32128"/>
      <c r="K32128"/>
      <c r="L32128"/>
    </row>
    <row r="32129" spans="2:12" x14ac:dyDescent="0.2">
      <c r="B32129"/>
      <c r="C32129"/>
      <c r="J32129"/>
      <c r="K32129"/>
      <c r="L32129"/>
    </row>
    <row r="32130" spans="2:12" x14ac:dyDescent="0.2">
      <c r="B32130"/>
      <c r="C32130"/>
      <c r="J32130"/>
      <c r="K32130"/>
      <c r="L32130"/>
    </row>
    <row r="32131" spans="2:12" x14ac:dyDescent="0.2">
      <c r="B32131"/>
      <c r="C32131"/>
      <c r="J32131"/>
      <c r="K32131"/>
      <c r="L32131"/>
    </row>
    <row r="32132" spans="2:12" x14ac:dyDescent="0.2">
      <c r="B32132"/>
      <c r="C32132"/>
      <c r="J32132"/>
      <c r="K32132"/>
      <c r="L32132"/>
    </row>
    <row r="32133" spans="2:12" x14ac:dyDescent="0.2">
      <c r="B32133"/>
      <c r="C32133"/>
      <c r="J32133"/>
      <c r="K32133"/>
      <c r="L32133"/>
    </row>
    <row r="32134" spans="2:12" x14ac:dyDescent="0.2">
      <c r="B32134"/>
      <c r="C32134"/>
      <c r="J32134"/>
      <c r="K32134"/>
      <c r="L32134"/>
    </row>
    <row r="32135" spans="2:12" x14ac:dyDescent="0.2">
      <c r="B32135"/>
      <c r="C32135"/>
      <c r="J32135"/>
      <c r="K32135"/>
      <c r="L32135"/>
    </row>
    <row r="32136" spans="2:12" x14ac:dyDescent="0.2">
      <c r="B32136"/>
      <c r="C32136"/>
      <c r="J32136"/>
      <c r="K32136"/>
      <c r="L32136"/>
    </row>
    <row r="32137" spans="2:12" x14ac:dyDescent="0.2">
      <c r="B32137"/>
      <c r="C32137"/>
      <c r="J32137"/>
      <c r="K32137"/>
      <c r="L32137"/>
    </row>
    <row r="32138" spans="2:12" x14ac:dyDescent="0.2">
      <c r="B32138"/>
      <c r="C32138"/>
      <c r="J32138"/>
      <c r="K32138"/>
      <c r="L32138"/>
    </row>
    <row r="32139" spans="2:12" x14ac:dyDescent="0.2">
      <c r="B32139"/>
      <c r="C32139"/>
      <c r="J32139"/>
      <c r="K32139"/>
      <c r="L32139"/>
    </row>
    <row r="32140" spans="2:12" x14ac:dyDescent="0.2">
      <c r="B32140"/>
      <c r="C32140"/>
      <c r="J32140"/>
      <c r="K32140"/>
      <c r="L32140"/>
    </row>
    <row r="32141" spans="2:12" x14ac:dyDescent="0.2">
      <c r="B32141"/>
      <c r="C32141"/>
      <c r="J32141"/>
      <c r="K32141"/>
      <c r="L32141"/>
    </row>
    <row r="32142" spans="2:12" x14ac:dyDescent="0.2">
      <c r="B32142"/>
      <c r="C32142"/>
      <c r="J32142"/>
      <c r="K32142"/>
      <c r="L32142"/>
    </row>
    <row r="32143" spans="2:12" x14ac:dyDescent="0.2">
      <c r="B32143"/>
      <c r="C32143"/>
      <c r="J32143"/>
      <c r="K32143"/>
      <c r="L32143"/>
    </row>
    <row r="32144" spans="2:12" x14ac:dyDescent="0.2">
      <c r="B32144"/>
      <c r="C32144"/>
      <c r="J32144"/>
      <c r="K32144"/>
      <c r="L32144"/>
    </row>
    <row r="32145" spans="2:12" x14ac:dyDescent="0.2">
      <c r="B32145"/>
      <c r="C32145"/>
      <c r="J32145"/>
      <c r="K32145"/>
      <c r="L32145"/>
    </row>
    <row r="32146" spans="2:12" x14ac:dyDescent="0.2">
      <c r="B32146"/>
      <c r="C32146"/>
      <c r="J32146"/>
      <c r="K32146"/>
      <c r="L32146"/>
    </row>
    <row r="32147" spans="2:12" x14ac:dyDescent="0.2">
      <c r="B32147"/>
      <c r="C32147"/>
      <c r="J32147"/>
      <c r="K32147"/>
      <c r="L32147"/>
    </row>
    <row r="32148" spans="2:12" x14ac:dyDescent="0.2">
      <c r="B32148"/>
      <c r="C32148"/>
      <c r="J32148"/>
      <c r="K32148"/>
      <c r="L32148"/>
    </row>
    <row r="32149" spans="2:12" x14ac:dyDescent="0.2">
      <c r="B32149"/>
      <c r="C32149"/>
      <c r="J32149"/>
      <c r="K32149"/>
      <c r="L32149"/>
    </row>
    <row r="32150" spans="2:12" x14ac:dyDescent="0.2">
      <c r="B32150"/>
      <c r="C32150"/>
      <c r="J32150"/>
      <c r="K32150"/>
      <c r="L32150"/>
    </row>
    <row r="32151" spans="2:12" x14ac:dyDescent="0.2">
      <c r="B32151"/>
      <c r="C32151"/>
      <c r="J32151"/>
      <c r="K32151"/>
      <c r="L32151"/>
    </row>
    <row r="32152" spans="2:12" x14ac:dyDescent="0.2">
      <c r="B32152"/>
      <c r="C32152"/>
      <c r="J32152"/>
      <c r="K32152"/>
      <c r="L32152"/>
    </row>
    <row r="32153" spans="2:12" x14ac:dyDescent="0.2">
      <c r="B32153"/>
      <c r="C32153"/>
      <c r="J32153"/>
      <c r="K32153"/>
      <c r="L32153"/>
    </row>
    <row r="32154" spans="2:12" x14ac:dyDescent="0.2">
      <c r="B32154"/>
      <c r="C32154"/>
      <c r="J32154"/>
      <c r="K32154"/>
      <c r="L32154"/>
    </row>
    <row r="32155" spans="2:12" x14ac:dyDescent="0.2">
      <c r="B32155"/>
      <c r="C32155"/>
      <c r="J32155"/>
      <c r="K32155"/>
      <c r="L32155"/>
    </row>
    <row r="32156" spans="2:12" x14ac:dyDescent="0.2">
      <c r="B32156"/>
      <c r="C32156"/>
      <c r="J32156"/>
      <c r="K32156"/>
      <c r="L32156"/>
    </row>
    <row r="32157" spans="2:12" x14ac:dyDescent="0.2">
      <c r="B32157"/>
      <c r="C32157"/>
      <c r="J32157"/>
      <c r="K32157"/>
      <c r="L32157"/>
    </row>
    <row r="32158" spans="2:12" x14ac:dyDescent="0.2">
      <c r="B32158"/>
      <c r="C32158"/>
      <c r="J32158"/>
      <c r="K32158"/>
      <c r="L32158"/>
    </row>
    <row r="32159" spans="2:12" x14ac:dyDescent="0.2">
      <c r="B32159"/>
      <c r="C32159"/>
      <c r="J32159"/>
      <c r="K32159"/>
      <c r="L32159"/>
    </row>
    <row r="32160" spans="2:12" x14ac:dyDescent="0.2">
      <c r="B32160"/>
      <c r="C32160"/>
      <c r="J32160"/>
      <c r="K32160"/>
      <c r="L32160"/>
    </row>
    <row r="32161" spans="2:12" x14ac:dyDescent="0.2">
      <c r="B32161"/>
      <c r="C32161"/>
      <c r="J32161"/>
      <c r="K32161"/>
      <c r="L32161"/>
    </row>
    <row r="32162" spans="2:12" x14ac:dyDescent="0.2">
      <c r="B32162"/>
      <c r="C32162"/>
      <c r="J32162"/>
      <c r="K32162"/>
      <c r="L32162"/>
    </row>
    <row r="32163" spans="2:12" x14ac:dyDescent="0.2">
      <c r="B32163"/>
      <c r="C32163"/>
      <c r="J32163"/>
      <c r="K32163"/>
      <c r="L32163"/>
    </row>
    <row r="32164" spans="2:12" x14ac:dyDescent="0.2">
      <c r="B32164"/>
      <c r="C32164"/>
      <c r="J32164"/>
      <c r="K32164"/>
      <c r="L32164"/>
    </row>
    <row r="32165" spans="2:12" x14ac:dyDescent="0.2">
      <c r="B32165"/>
      <c r="C32165"/>
      <c r="J32165"/>
      <c r="K32165"/>
      <c r="L32165"/>
    </row>
    <row r="32166" spans="2:12" x14ac:dyDescent="0.2">
      <c r="B32166"/>
      <c r="C32166"/>
      <c r="J32166"/>
      <c r="K32166"/>
      <c r="L32166"/>
    </row>
    <row r="32167" spans="2:12" x14ac:dyDescent="0.2">
      <c r="B32167"/>
      <c r="C32167"/>
      <c r="J32167"/>
      <c r="K32167"/>
      <c r="L32167"/>
    </row>
    <row r="32168" spans="2:12" x14ac:dyDescent="0.2">
      <c r="B32168"/>
      <c r="C32168"/>
      <c r="J32168"/>
      <c r="K32168"/>
      <c r="L32168"/>
    </row>
    <row r="32169" spans="2:12" x14ac:dyDescent="0.2">
      <c r="B32169"/>
      <c r="C32169"/>
      <c r="J32169"/>
      <c r="K32169"/>
      <c r="L32169"/>
    </row>
    <row r="32170" spans="2:12" x14ac:dyDescent="0.2">
      <c r="B32170"/>
      <c r="C32170"/>
      <c r="J32170"/>
      <c r="K32170"/>
      <c r="L32170"/>
    </row>
    <row r="32171" spans="2:12" x14ac:dyDescent="0.2">
      <c r="B32171"/>
      <c r="C32171"/>
      <c r="J32171"/>
      <c r="K32171"/>
      <c r="L32171"/>
    </row>
    <row r="32172" spans="2:12" x14ac:dyDescent="0.2">
      <c r="B32172"/>
      <c r="C32172"/>
      <c r="J32172"/>
      <c r="K32172"/>
      <c r="L32172"/>
    </row>
    <row r="32173" spans="2:12" x14ac:dyDescent="0.2">
      <c r="B32173"/>
      <c r="C32173"/>
      <c r="J32173"/>
      <c r="K32173"/>
      <c r="L32173"/>
    </row>
    <row r="32174" spans="2:12" x14ac:dyDescent="0.2">
      <c r="B32174"/>
      <c r="C32174"/>
      <c r="J32174"/>
      <c r="K32174"/>
      <c r="L32174"/>
    </row>
    <row r="32175" spans="2:12" x14ac:dyDescent="0.2">
      <c r="B32175"/>
      <c r="C32175"/>
      <c r="J32175"/>
      <c r="K32175"/>
      <c r="L32175"/>
    </row>
    <row r="32176" spans="2:12" x14ac:dyDescent="0.2">
      <c r="B32176"/>
      <c r="C32176"/>
      <c r="J32176"/>
      <c r="K32176"/>
      <c r="L32176"/>
    </row>
    <row r="32177" spans="2:12" x14ac:dyDescent="0.2">
      <c r="B32177"/>
      <c r="C32177"/>
      <c r="J32177"/>
      <c r="K32177"/>
      <c r="L32177"/>
    </row>
    <row r="32178" spans="2:12" x14ac:dyDescent="0.2">
      <c r="B32178"/>
      <c r="C32178"/>
      <c r="J32178"/>
      <c r="K32178"/>
      <c r="L32178"/>
    </row>
    <row r="32179" spans="2:12" x14ac:dyDescent="0.2">
      <c r="B32179"/>
      <c r="C32179"/>
      <c r="J32179"/>
      <c r="K32179"/>
      <c r="L32179"/>
    </row>
    <row r="32180" spans="2:12" x14ac:dyDescent="0.2">
      <c r="B32180"/>
      <c r="C32180"/>
      <c r="J32180"/>
      <c r="K32180"/>
      <c r="L32180"/>
    </row>
    <row r="32181" spans="2:12" x14ac:dyDescent="0.2">
      <c r="B32181"/>
      <c r="C32181"/>
      <c r="J32181"/>
      <c r="K32181"/>
      <c r="L32181"/>
    </row>
    <row r="32182" spans="2:12" x14ac:dyDescent="0.2">
      <c r="B32182"/>
      <c r="C32182"/>
      <c r="J32182"/>
      <c r="K32182"/>
      <c r="L32182"/>
    </row>
    <row r="32183" spans="2:12" x14ac:dyDescent="0.2">
      <c r="B32183"/>
      <c r="C32183"/>
      <c r="J32183"/>
      <c r="K32183"/>
      <c r="L32183"/>
    </row>
    <row r="32184" spans="2:12" x14ac:dyDescent="0.2">
      <c r="B32184"/>
      <c r="C32184"/>
      <c r="J32184"/>
      <c r="K32184"/>
      <c r="L32184"/>
    </row>
    <row r="32185" spans="2:12" x14ac:dyDescent="0.2">
      <c r="B32185"/>
      <c r="C32185"/>
      <c r="J32185"/>
      <c r="K32185"/>
      <c r="L32185"/>
    </row>
    <row r="32186" spans="2:12" x14ac:dyDescent="0.2">
      <c r="B32186"/>
      <c r="C32186"/>
      <c r="J32186"/>
      <c r="K32186"/>
      <c r="L32186"/>
    </row>
    <row r="32187" spans="2:12" x14ac:dyDescent="0.2">
      <c r="B32187"/>
      <c r="C32187"/>
      <c r="J32187"/>
      <c r="K32187"/>
      <c r="L32187"/>
    </row>
    <row r="32188" spans="2:12" x14ac:dyDescent="0.2">
      <c r="B32188"/>
      <c r="C32188"/>
      <c r="J32188"/>
      <c r="K32188"/>
      <c r="L32188"/>
    </row>
    <row r="32189" spans="2:12" x14ac:dyDescent="0.2">
      <c r="B32189"/>
      <c r="C32189"/>
      <c r="J32189"/>
      <c r="K32189"/>
      <c r="L32189"/>
    </row>
    <row r="32190" spans="2:12" x14ac:dyDescent="0.2">
      <c r="B32190"/>
      <c r="C32190"/>
      <c r="J32190"/>
      <c r="K32190"/>
      <c r="L32190"/>
    </row>
    <row r="32191" spans="2:12" x14ac:dyDescent="0.2">
      <c r="B32191"/>
      <c r="C32191"/>
      <c r="J32191"/>
      <c r="K32191"/>
      <c r="L32191"/>
    </row>
    <row r="32192" spans="2:12" x14ac:dyDescent="0.2">
      <c r="B32192"/>
      <c r="C32192"/>
      <c r="J32192"/>
      <c r="K32192"/>
      <c r="L32192"/>
    </row>
    <row r="32193" spans="2:12" x14ac:dyDescent="0.2">
      <c r="B32193"/>
      <c r="C32193"/>
      <c r="J32193"/>
      <c r="K32193"/>
      <c r="L32193"/>
    </row>
    <row r="32194" spans="2:12" x14ac:dyDescent="0.2">
      <c r="B32194"/>
      <c r="C32194"/>
      <c r="J32194"/>
      <c r="K32194"/>
      <c r="L32194"/>
    </row>
    <row r="32195" spans="2:12" x14ac:dyDescent="0.2">
      <c r="B32195"/>
      <c r="C32195"/>
      <c r="J32195"/>
      <c r="K32195"/>
      <c r="L32195"/>
    </row>
    <row r="32196" spans="2:12" x14ac:dyDescent="0.2">
      <c r="B32196"/>
      <c r="C32196"/>
      <c r="J32196"/>
      <c r="K32196"/>
      <c r="L32196"/>
    </row>
    <row r="32197" spans="2:12" x14ac:dyDescent="0.2">
      <c r="B32197"/>
      <c r="C32197"/>
      <c r="J32197"/>
      <c r="K32197"/>
      <c r="L32197"/>
    </row>
    <row r="32198" spans="2:12" x14ac:dyDescent="0.2">
      <c r="B32198"/>
      <c r="C32198"/>
      <c r="J32198"/>
      <c r="K32198"/>
      <c r="L32198"/>
    </row>
    <row r="32199" spans="2:12" x14ac:dyDescent="0.2">
      <c r="B32199"/>
      <c r="C32199"/>
      <c r="J32199"/>
      <c r="K32199"/>
      <c r="L32199"/>
    </row>
    <row r="32200" spans="2:12" x14ac:dyDescent="0.2">
      <c r="B32200"/>
      <c r="C32200"/>
      <c r="J32200"/>
      <c r="K32200"/>
      <c r="L32200"/>
    </row>
    <row r="32201" spans="2:12" x14ac:dyDescent="0.2">
      <c r="B32201"/>
      <c r="C32201"/>
      <c r="J32201"/>
      <c r="K32201"/>
      <c r="L32201"/>
    </row>
    <row r="32202" spans="2:12" x14ac:dyDescent="0.2">
      <c r="B32202"/>
      <c r="C32202"/>
      <c r="J32202"/>
      <c r="K32202"/>
      <c r="L32202"/>
    </row>
    <row r="32203" spans="2:12" x14ac:dyDescent="0.2">
      <c r="B32203"/>
      <c r="C32203"/>
      <c r="J32203"/>
      <c r="K32203"/>
      <c r="L32203"/>
    </row>
    <row r="32204" spans="2:12" x14ac:dyDescent="0.2">
      <c r="B32204"/>
      <c r="C32204"/>
      <c r="J32204"/>
      <c r="K32204"/>
      <c r="L32204"/>
    </row>
    <row r="32205" spans="2:12" x14ac:dyDescent="0.2">
      <c r="B32205"/>
      <c r="C32205"/>
      <c r="J32205"/>
      <c r="K32205"/>
      <c r="L32205"/>
    </row>
    <row r="32206" spans="2:12" x14ac:dyDescent="0.2">
      <c r="B32206"/>
      <c r="C32206"/>
      <c r="J32206"/>
      <c r="K32206"/>
      <c r="L32206"/>
    </row>
    <row r="32207" spans="2:12" x14ac:dyDescent="0.2">
      <c r="B32207"/>
      <c r="C32207"/>
      <c r="J32207"/>
      <c r="K32207"/>
      <c r="L32207"/>
    </row>
    <row r="32208" spans="2:12" x14ac:dyDescent="0.2">
      <c r="B32208"/>
      <c r="C32208"/>
      <c r="J32208"/>
      <c r="K32208"/>
      <c r="L32208"/>
    </row>
    <row r="32209" spans="2:12" x14ac:dyDescent="0.2">
      <c r="B32209"/>
      <c r="C32209"/>
      <c r="J32209"/>
      <c r="K32209"/>
      <c r="L32209"/>
    </row>
    <row r="32210" spans="2:12" x14ac:dyDescent="0.2">
      <c r="B32210"/>
      <c r="C32210"/>
      <c r="J32210"/>
      <c r="K32210"/>
      <c r="L32210"/>
    </row>
    <row r="32211" spans="2:12" x14ac:dyDescent="0.2">
      <c r="B32211"/>
      <c r="C32211"/>
      <c r="J32211"/>
      <c r="K32211"/>
      <c r="L32211"/>
    </row>
    <row r="32212" spans="2:12" x14ac:dyDescent="0.2">
      <c r="B32212"/>
      <c r="C32212"/>
      <c r="J32212"/>
      <c r="K32212"/>
      <c r="L32212"/>
    </row>
    <row r="32213" spans="2:12" x14ac:dyDescent="0.2">
      <c r="B32213"/>
      <c r="C32213"/>
      <c r="J32213"/>
      <c r="K32213"/>
      <c r="L32213"/>
    </row>
    <row r="32214" spans="2:12" x14ac:dyDescent="0.2">
      <c r="B32214"/>
      <c r="C32214"/>
      <c r="J32214"/>
      <c r="K32214"/>
      <c r="L32214"/>
    </row>
    <row r="32215" spans="2:12" x14ac:dyDescent="0.2">
      <c r="B32215"/>
      <c r="C32215"/>
      <c r="J32215"/>
      <c r="K32215"/>
      <c r="L32215"/>
    </row>
    <row r="32216" spans="2:12" x14ac:dyDescent="0.2">
      <c r="B32216"/>
      <c r="C32216"/>
      <c r="J32216"/>
      <c r="K32216"/>
      <c r="L32216"/>
    </row>
    <row r="32217" spans="2:12" x14ac:dyDescent="0.2">
      <c r="B32217"/>
      <c r="C32217"/>
      <c r="J32217"/>
      <c r="K32217"/>
      <c r="L32217"/>
    </row>
    <row r="32218" spans="2:12" x14ac:dyDescent="0.2">
      <c r="B32218"/>
      <c r="C32218"/>
      <c r="J32218"/>
      <c r="K32218"/>
      <c r="L32218"/>
    </row>
    <row r="32219" spans="2:12" x14ac:dyDescent="0.2">
      <c r="B32219"/>
      <c r="C32219"/>
      <c r="J32219"/>
      <c r="K32219"/>
      <c r="L32219"/>
    </row>
    <row r="32220" spans="2:12" x14ac:dyDescent="0.2">
      <c r="B32220"/>
      <c r="C32220"/>
      <c r="J32220"/>
      <c r="K32220"/>
      <c r="L32220"/>
    </row>
    <row r="32221" spans="2:12" x14ac:dyDescent="0.2">
      <c r="B32221"/>
      <c r="C32221"/>
      <c r="J32221"/>
      <c r="K32221"/>
      <c r="L32221"/>
    </row>
    <row r="32222" spans="2:12" x14ac:dyDescent="0.2">
      <c r="B32222"/>
      <c r="C32222"/>
      <c r="J32222"/>
      <c r="K32222"/>
      <c r="L32222"/>
    </row>
    <row r="32223" spans="2:12" x14ac:dyDescent="0.2">
      <c r="B32223"/>
      <c r="C32223"/>
      <c r="J32223"/>
      <c r="K32223"/>
      <c r="L32223"/>
    </row>
    <row r="32224" spans="2:12" x14ac:dyDescent="0.2">
      <c r="B32224"/>
      <c r="C32224"/>
      <c r="J32224"/>
      <c r="K32224"/>
      <c r="L32224"/>
    </row>
    <row r="32225" spans="2:12" x14ac:dyDescent="0.2">
      <c r="B32225"/>
      <c r="C32225"/>
      <c r="J32225"/>
      <c r="K32225"/>
      <c r="L32225"/>
    </row>
    <row r="32226" spans="2:12" x14ac:dyDescent="0.2">
      <c r="B32226"/>
      <c r="C32226"/>
      <c r="J32226"/>
      <c r="K32226"/>
      <c r="L32226"/>
    </row>
    <row r="32227" spans="2:12" x14ac:dyDescent="0.2">
      <c r="B32227"/>
      <c r="C32227"/>
      <c r="J32227"/>
      <c r="K32227"/>
      <c r="L32227"/>
    </row>
    <row r="32228" spans="2:12" x14ac:dyDescent="0.2">
      <c r="B32228"/>
      <c r="C32228"/>
      <c r="J32228"/>
      <c r="K32228"/>
      <c r="L32228"/>
    </row>
    <row r="32229" spans="2:12" x14ac:dyDescent="0.2">
      <c r="B32229"/>
      <c r="C32229"/>
      <c r="J32229"/>
      <c r="K32229"/>
      <c r="L32229"/>
    </row>
    <row r="32230" spans="2:12" x14ac:dyDescent="0.2">
      <c r="B32230"/>
      <c r="C32230"/>
      <c r="J32230"/>
      <c r="K32230"/>
      <c r="L32230"/>
    </row>
    <row r="32231" spans="2:12" x14ac:dyDescent="0.2">
      <c r="B32231"/>
      <c r="C32231"/>
      <c r="J32231"/>
      <c r="K32231"/>
      <c r="L32231"/>
    </row>
    <row r="32232" spans="2:12" x14ac:dyDescent="0.2">
      <c r="B32232"/>
      <c r="C32232"/>
      <c r="J32232"/>
      <c r="K32232"/>
      <c r="L32232"/>
    </row>
    <row r="32233" spans="2:12" x14ac:dyDescent="0.2">
      <c r="B32233"/>
      <c r="C32233"/>
      <c r="J32233"/>
      <c r="K32233"/>
      <c r="L32233"/>
    </row>
    <row r="32234" spans="2:12" x14ac:dyDescent="0.2">
      <c r="B32234"/>
      <c r="C32234"/>
      <c r="J32234"/>
      <c r="K32234"/>
      <c r="L32234"/>
    </row>
    <row r="32235" spans="2:12" x14ac:dyDescent="0.2">
      <c r="B32235"/>
      <c r="C32235"/>
      <c r="J32235"/>
      <c r="K32235"/>
      <c r="L32235"/>
    </row>
    <row r="32236" spans="2:12" x14ac:dyDescent="0.2">
      <c r="B32236"/>
      <c r="C32236"/>
      <c r="J32236"/>
      <c r="K32236"/>
      <c r="L32236"/>
    </row>
    <row r="32237" spans="2:12" x14ac:dyDescent="0.2">
      <c r="B32237"/>
      <c r="C32237"/>
      <c r="J32237"/>
      <c r="K32237"/>
      <c r="L32237"/>
    </row>
    <row r="32238" spans="2:12" x14ac:dyDescent="0.2">
      <c r="B32238"/>
      <c r="C32238"/>
      <c r="J32238"/>
      <c r="K32238"/>
      <c r="L32238"/>
    </row>
    <row r="32239" spans="2:12" x14ac:dyDescent="0.2">
      <c r="B32239"/>
      <c r="C32239"/>
      <c r="J32239"/>
      <c r="K32239"/>
      <c r="L32239"/>
    </row>
    <row r="32240" spans="2:12" x14ac:dyDescent="0.2">
      <c r="B32240"/>
      <c r="C32240"/>
      <c r="J32240"/>
      <c r="K32240"/>
      <c r="L32240"/>
    </row>
    <row r="32241" spans="2:12" x14ac:dyDescent="0.2">
      <c r="B32241"/>
      <c r="C32241"/>
      <c r="J32241"/>
      <c r="K32241"/>
      <c r="L32241"/>
    </row>
    <row r="32242" spans="2:12" x14ac:dyDescent="0.2">
      <c r="B32242"/>
      <c r="C32242"/>
      <c r="J32242"/>
      <c r="K32242"/>
      <c r="L32242"/>
    </row>
    <row r="32243" spans="2:12" x14ac:dyDescent="0.2">
      <c r="B32243"/>
      <c r="C32243"/>
      <c r="J32243"/>
      <c r="K32243"/>
      <c r="L32243"/>
    </row>
    <row r="32244" spans="2:12" x14ac:dyDescent="0.2">
      <c r="B32244"/>
      <c r="C32244"/>
      <c r="J32244"/>
      <c r="K32244"/>
      <c r="L32244"/>
    </row>
    <row r="32245" spans="2:12" x14ac:dyDescent="0.2">
      <c r="B32245"/>
      <c r="C32245"/>
      <c r="J32245"/>
      <c r="K32245"/>
      <c r="L32245"/>
    </row>
    <row r="32246" spans="2:12" x14ac:dyDescent="0.2">
      <c r="B32246"/>
      <c r="C32246"/>
      <c r="J32246"/>
      <c r="K32246"/>
      <c r="L32246"/>
    </row>
    <row r="32247" spans="2:12" x14ac:dyDescent="0.2">
      <c r="B32247"/>
      <c r="C32247"/>
      <c r="J32247"/>
      <c r="K32247"/>
      <c r="L32247"/>
    </row>
    <row r="32248" spans="2:12" x14ac:dyDescent="0.2">
      <c r="B32248"/>
      <c r="C32248"/>
      <c r="J32248"/>
      <c r="K32248"/>
      <c r="L32248"/>
    </row>
    <row r="32249" spans="2:12" x14ac:dyDescent="0.2">
      <c r="B32249"/>
      <c r="C32249"/>
      <c r="J32249"/>
      <c r="K32249"/>
      <c r="L32249"/>
    </row>
    <row r="32250" spans="2:12" x14ac:dyDescent="0.2">
      <c r="B32250"/>
      <c r="C32250"/>
      <c r="J32250"/>
      <c r="K32250"/>
      <c r="L32250"/>
    </row>
    <row r="32251" spans="2:12" x14ac:dyDescent="0.2">
      <c r="B32251"/>
      <c r="C32251"/>
      <c r="J32251"/>
      <c r="K32251"/>
      <c r="L32251"/>
    </row>
    <row r="32252" spans="2:12" x14ac:dyDescent="0.2">
      <c r="B32252"/>
      <c r="C32252"/>
      <c r="J32252"/>
      <c r="K32252"/>
      <c r="L32252"/>
    </row>
    <row r="32253" spans="2:12" x14ac:dyDescent="0.2">
      <c r="B32253"/>
      <c r="C32253"/>
      <c r="J32253"/>
      <c r="K32253"/>
      <c r="L32253"/>
    </row>
    <row r="32254" spans="2:12" x14ac:dyDescent="0.2">
      <c r="B32254"/>
      <c r="C32254"/>
      <c r="J32254"/>
      <c r="K32254"/>
      <c r="L32254"/>
    </row>
    <row r="32255" spans="2:12" x14ac:dyDescent="0.2">
      <c r="B32255"/>
      <c r="C32255"/>
      <c r="J32255"/>
      <c r="K32255"/>
      <c r="L32255"/>
    </row>
    <row r="32256" spans="2:12" x14ac:dyDescent="0.2">
      <c r="B32256"/>
      <c r="C32256"/>
      <c r="J32256"/>
      <c r="K32256"/>
      <c r="L32256"/>
    </row>
    <row r="32257" spans="2:12" x14ac:dyDescent="0.2">
      <c r="B32257"/>
      <c r="C32257"/>
      <c r="J32257"/>
      <c r="K32257"/>
      <c r="L32257"/>
    </row>
    <row r="32258" spans="2:12" x14ac:dyDescent="0.2">
      <c r="B32258"/>
      <c r="C32258"/>
      <c r="J32258"/>
      <c r="K32258"/>
      <c r="L32258"/>
    </row>
    <row r="32259" spans="2:12" x14ac:dyDescent="0.2">
      <c r="B32259"/>
      <c r="C32259"/>
      <c r="J32259"/>
      <c r="K32259"/>
      <c r="L32259"/>
    </row>
    <row r="32260" spans="2:12" x14ac:dyDescent="0.2">
      <c r="B32260"/>
      <c r="C32260"/>
      <c r="J32260"/>
      <c r="K32260"/>
      <c r="L32260"/>
    </row>
    <row r="32261" spans="2:12" x14ac:dyDescent="0.2">
      <c r="B32261"/>
      <c r="C32261"/>
      <c r="J32261"/>
      <c r="K32261"/>
      <c r="L32261"/>
    </row>
    <row r="32262" spans="2:12" x14ac:dyDescent="0.2">
      <c r="B32262"/>
      <c r="C32262"/>
      <c r="J32262"/>
      <c r="K32262"/>
      <c r="L32262"/>
    </row>
    <row r="32263" spans="2:12" x14ac:dyDescent="0.2">
      <c r="B32263"/>
      <c r="C32263"/>
      <c r="J32263"/>
      <c r="K32263"/>
      <c r="L32263"/>
    </row>
    <row r="32264" spans="2:12" x14ac:dyDescent="0.2">
      <c r="B32264"/>
      <c r="C32264"/>
      <c r="J32264"/>
      <c r="K32264"/>
      <c r="L32264"/>
    </row>
    <row r="32265" spans="2:12" x14ac:dyDescent="0.2">
      <c r="B32265"/>
      <c r="C32265"/>
      <c r="J32265"/>
      <c r="K32265"/>
      <c r="L32265"/>
    </row>
    <row r="32266" spans="2:12" x14ac:dyDescent="0.2">
      <c r="B32266"/>
      <c r="C32266"/>
      <c r="J32266"/>
      <c r="K32266"/>
      <c r="L32266"/>
    </row>
    <row r="32267" spans="2:12" x14ac:dyDescent="0.2">
      <c r="B32267"/>
      <c r="C32267"/>
      <c r="J32267"/>
      <c r="K32267"/>
      <c r="L32267"/>
    </row>
    <row r="32268" spans="2:12" x14ac:dyDescent="0.2">
      <c r="B32268"/>
      <c r="C32268"/>
      <c r="J32268"/>
      <c r="K32268"/>
      <c r="L32268"/>
    </row>
    <row r="32269" spans="2:12" x14ac:dyDescent="0.2">
      <c r="B32269"/>
      <c r="C32269"/>
      <c r="J32269"/>
      <c r="K32269"/>
      <c r="L32269"/>
    </row>
    <row r="32270" spans="2:12" x14ac:dyDescent="0.2">
      <c r="B32270"/>
      <c r="C32270"/>
      <c r="J32270"/>
      <c r="K32270"/>
      <c r="L32270"/>
    </row>
    <row r="32271" spans="2:12" x14ac:dyDescent="0.2">
      <c r="B32271"/>
      <c r="C32271"/>
      <c r="J32271"/>
      <c r="K32271"/>
      <c r="L32271"/>
    </row>
    <row r="32272" spans="2:12" x14ac:dyDescent="0.2">
      <c r="B32272"/>
      <c r="C32272"/>
      <c r="J32272"/>
      <c r="K32272"/>
      <c r="L32272"/>
    </row>
    <row r="32273" spans="2:12" x14ac:dyDescent="0.2">
      <c r="B32273"/>
      <c r="C32273"/>
      <c r="J32273"/>
      <c r="K32273"/>
      <c r="L32273"/>
    </row>
    <row r="32274" spans="2:12" x14ac:dyDescent="0.2">
      <c r="B32274"/>
      <c r="C32274"/>
      <c r="J32274"/>
      <c r="K32274"/>
      <c r="L32274"/>
    </row>
    <row r="32275" spans="2:12" x14ac:dyDescent="0.2">
      <c r="B32275"/>
      <c r="C32275"/>
      <c r="J32275"/>
      <c r="K32275"/>
      <c r="L32275"/>
    </row>
    <row r="32276" spans="2:12" x14ac:dyDescent="0.2">
      <c r="B32276"/>
      <c r="C32276"/>
      <c r="J32276"/>
      <c r="K32276"/>
      <c r="L32276"/>
    </row>
    <row r="32277" spans="2:12" x14ac:dyDescent="0.2">
      <c r="B32277"/>
      <c r="C32277"/>
      <c r="J32277"/>
      <c r="K32277"/>
      <c r="L32277"/>
    </row>
    <row r="32278" spans="2:12" x14ac:dyDescent="0.2">
      <c r="B32278"/>
      <c r="C32278"/>
      <c r="J32278"/>
      <c r="K32278"/>
      <c r="L32278"/>
    </row>
    <row r="32279" spans="2:12" x14ac:dyDescent="0.2">
      <c r="B32279"/>
      <c r="C32279"/>
      <c r="J32279"/>
      <c r="K32279"/>
      <c r="L32279"/>
    </row>
    <row r="32280" spans="2:12" x14ac:dyDescent="0.2">
      <c r="B32280"/>
      <c r="C32280"/>
      <c r="J32280"/>
      <c r="K32280"/>
      <c r="L32280"/>
    </row>
    <row r="32281" spans="2:12" x14ac:dyDescent="0.2">
      <c r="B32281"/>
      <c r="C32281"/>
      <c r="J32281"/>
      <c r="K32281"/>
      <c r="L32281"/>
    </row>
    <row r="32282" spans="2:12" x14ac:dyDescent="0.2">
      <c r="B32282"/>
      <c r="C32282"/>
      <c r="J32282"/>
      <c r="K32282"/>
      <c r="L32282"/>
    </row>
    <row r="32283" spans="2:12" x14ac:dyDescent="0.2">
      <c r="B32283"/>
      <c r="C32283"/>
      <c r="J32283"/>
      <c r="K32283"/>
      <c r="L32283"/>
    </row>
    <row r="32284" spans="2:12" x14ac:dyDescent="0.2">
      <c r="B32284"/>
      <c r="C32284"/>
      <c r="J32284"/>
      <c r="K32284"/>
      <c r="L32284"/>
    </row>
    <row r="32285" spans="2:12" x14ac:dyDescent="0.2">
      <c r="B32285"/>
      <c r="C32285"/>
      <c r="J32285"/>
      <c r="K32285"/>
      <c r="L32285"/>
    </row>
    <row r="32286" spans="2:12" x14ac:dyDescent="0.2">
      <c r="B32286"/>
      <c r="C32286"/>
      <c r="J32286"/>
      <c r="K32286"/>
      <c r="L32286"/>
    </row>
    <row r="32287" spans="2:12" x14ac:dyDescent="0.2">
      <c r="B32287"/>
      <c r="C32287"/>
      <c r="J32287"/>
      <c r="K32287"/>
      <c r="L32287"/>
    </row>
    <row r="32288" spans="2:12" x14ac:dyDescent="0.2">
      <c r="B32288"/>
      <c r="C32288"/>
      <c r="J32288"/>
      <c r="K32288"/>
      <c r="L32288"/>
    </row>
    <row r="32289" spans="2:12" x14ac:dyDescent="0.2">
      <c r="B32289"/>
      <c r="C32289"/>
      <c r="J32289"/>
      <c r="K32289"/>
      <c r="L32289"/>
    </row>
    <row r="32290" spans="2:12" x14ac:dyDescent="0.2">
      <c r="B32290"/>
      <c r="C32290"/>
      <c r="J32290"/>
      <c r="K32290"/>
      <c r="L32290"/>
    </row>
    <row r="32291" spans="2:12" x14ac:dyDescent="0.2">
      <c r="B32291"/>
      <c r="C32291"/>
      <c r="J32291"/>
      <c r="K32291"/>
      <c r="L32291"/>
    </row>
    <row r="32292" spans="2:12" x14ac:dyDescent="0.2">
      <c r="B32292"/>
      <c r="C32292"/>
      <c r="J32292"/>
      <c r="K32292"/>
      <c r="L32292"/>
    </row>
    <row r="32293" spans="2:12" x14ac:dyDescent="0.2">
      <c r="B32293"/>
      <c r="C32293"/>
      <c r="J32293"/>
      <c r="K32293"/>
      <c r="L32293"/>
    </row>
    <row r="32294" spans="2:12" x14ac:dyDescent="0.2">
      <c r="B32294"/>
      <c r="C32294"/>
      <c r="J32294"/>
      <c r="K32294"/>
      <c r="L32294"/>
    </row>
    <row r="32295" spans="2:12" x14ac:dyDescent="0.2">
      <c r="B32295"/>
      <c r="C32295"/>
      <c r="J32295"/>
      <c r="K32295"/>
      <c r="L32295"/>
    </row>
    <row r="32296" spans="2:12" x14ac:dyDescent="0.2">
      <c r="B32296"/>
      <c r="C32296"/>
      <c r="J32296"/>
      <c r="K32296"/>
      <c r="L32296"/>
    </row>
    <row r="32297" spans="2:12" x14ac:dyDescent="0.2">
      <c r="B32297"/>
      <c r="C32297"/>
      <c r="J32297"/>
      <c r="K32297"/>
      <c r="L32297"/>
    </row>
    <row r="32298" spans="2:12" x14ac:dyDescent="0.2">
      <c r="B32298"/>
      <c r="C32298"/>
      <c r="J32298"/>
      <c r="K32298"/>
      <c r="L32298"/>
    </row>
    <row r="32299" spans="2:12" x14ac:dyDescent="0.2">
      <c r="B32299"/>
      <c r="C32299"/>
      <c r="J32299"/>
      <c r="K32299"/>
      <c r="L32299"/>
    </row>
    <row r="32300" spans="2:12" x14ac:dyDescent="0.2">
      <c r="B32300"/>
      <c r="C32300"/>
      <c r="J32300"/>
      <c r="K32300"/>
      <c r="L32300"/>
    </row>
    <row r="32301" spans="2:12" x14ac:dyDescent="0.2">
      <c r="B32301"/>
      <c r="C32301"/>
      <c r="J32301"/>
      <c r="K32301"/>
      <c r="L32301"/>
    </row>
    <row r="32302" spans="2:12" x14ac:dyDescent="0.2">
      <c r="B32302"/>
      <c r="C32302"/>
      <c r="J32302"/>
      <c r="K32302"/>
      <c r="L32302"/>
    </row>
    <row r="32303" spans="2:12" x14ac:dyDescent="0.2">
      <c r="B32303"/>
      <c r="C32303"/>
      <c r="J32303"/>
      <c r="K32303"/>
      <c r="L32303"/>
    </row>
    <row r="32304" spans="2:12" x14ac:dyDescent="0.2">
      <c r="B32304"/>
      <c r="C32304"/>
      <c r="J32304"/>
      <c r="K32304"/>
      <c r="L32304"/>
    </row>
    <row r="32305" spans="2:12" x14ac:dyDescent="0.2">
      <c r="B32305"/>
      <c r="C32305"/>
      <c r="J32305"/>
      <c r="K32305"/>
      <c r="L32305"/>
    </row>
    <row r="32306" spans="2:12" x14ac:dyDescent="0.2">
      <c r="B32306"/>
      <c r="C32306"/>
      <c r="J32306"/>
      <c r="K32306"/>
      <c r="L32306"/>
    </row>
    <row r="32307" spans="2:12" x14ac:dyDescent="0.2">
      <c r="B32307"/>
      <c r="C32307"/>
      <c r="J32307"/>
      <c r="K32307"/>
      <c r="L32307"/>
    </row>
    <row r="32308" spans="2:12" x14ac:dyDescent="0.2">
      <c r="B32308"/>
      <c r="C32308"/>
      <c r="J32308"/>
      <c r="K32308"/>
      <c r="L32308"/>
    </row>
    <row r="32309" spans="2:12" x14ac:dyDescent="0.2">
      <c r="B32309"/>
      <c r="C32309"/>
      <c r="J32309"/>
      <c r="K32309"/>
      <c r="L32309"/>
    </row>
    <row r="32310" spans="2:12" x14ac:dyDescent="0.2">
      <c r="B32310"/>
      <c r="C32310"/>
      <c r="J32310"/>
      <c r="K32310"/>
      <c r="L32310"/>
    </row>
    <row r="32311" spans="2:12" x14ac:dyDescent="0.2">
      <c r="B32311"/>
      <c r="C32311"/>
      <c r="J32311"/>
      <c r="K32311"/>
      <c r="L32311"/>
    </row>
    <row r="32312" spans="2:12" x14ac:dyDescent="0.2">
      <c r="B32312"/>
      <c r="C32312"/>
      <c r="J32312"/>
      <c r="K32312"/>
      <c r="L32312"/>
    </row>
    <row r="32313" spans="2:12" x14ac:dyDescent="0.2">
      <c r="B32313"/>
      <c r="C32313"/>
      <c r="J32313"/>
      <c r="K32313"/>
      <c r="L32313"/>
    </row>
    <row r="32314" spans="2:12" x14ac:dyDescent="0.2">
      <c r="B32314"/>
      <c r="C32314"/>
      <c r="J32314"/>
      <c r="K32314"/>
      <c r="L32314"/>
    </row>
    <row r="32315" spans="2:12" x14ac:dyDescent="0.2">
      <c r="B32315"/>
      <c r="C32315"/>
      <c r="J32315"/>
      <c r="K32315"/>
      <c r="L32315"/>
    </row>
    <row r="32316" spans="2:12" x14ac:dyDescent="0.2">
      <c r="B32316"/>
      <c r="C32316"/>
      <c r="J32316"/>
      <c r="K32316"/>
      <c r="L32316"/>
    </row>
    <row r="32317" spans="2:12" x14ac:dyDescent="0.2">
      <c r="B32317"/>
      <c r="C32317"/>
      <c r="J32317"/>
      <c r="K32317"/>
      <c r="L32317"/>
    </row>
    <row r="32318" spans="2:12" x14ac:dyDescent="0.2">
      <c r="B32318"/>
      <c r="C32318"/>
      <c r="J32318"/>
      <c r="K32318"/>
      <c r="L32318"/>
    </row>
    <row r="32319" spans="2:12" x14ac:dyDescent="0.2">
      <c r="B32319"/>
      <c r="C32319"/>
      <c r="J32319"/>
      <c r="K32319"/>
      <c r="L32319"/>
    </row>
    <row r="32320" spans="2:12" x14ac:dyDescent="0.2">
      <c r="B32320"/>
      <c r="C32320"/>
      <c r="J32320"/>
      <c r="K32320"/>
      <c r="L32320"/>
    </row>
    <row r="32321" spans="2:12" x14ac:dyDescent="0.2">
      <c r="B32321"/>
      <c r="C32321"/>
      <c r="J32321"/>
      <c r="K32321"/>
      <c r="L32321"/>
    </row>
    <row r="32322" spans="2:12" x14ac:dyDescent="0.2">
      <c r="B32322"/>
      <c r="C32322"/>
      <c r="J32322"/>
      <c r="K32322"/>
      <c r="L32322"/>
    </row>
    <row r="32323" spans="2:12" x14ac:dyDescent="0.2">
      <c r="B32323"/>
      <c r="C32323"/>
      <c r="J32323"/>
      <c r="K32323"/>
      <c r="L32323"/>
    </row>
    <row r="32324" spans="2:12" x14ac:dyDescent="0.2">
      <c r="B32324"/>
      <c r="C32324"/>
      <c r="J32324"/>
      <c r="K32324"/>
      <c r="L32324"/>
    </row>
    <row r="32325" spans="2:12" x14ac:dyDescent="0.2">
      <c r="B32325"/>
      <c r="C32325"/>
      <c r="J32325"/>
      <c r="K32325"/>
      <c r="L32325"/>
    </row>
    <row r="32326" spans="2:12" x14ac:dyDescent="0.2">
      <c r="B32326"/>
      <c r="C32326"/>
      <c r="J32326"/>
      <c r="K32326"/>
      <c r="L32326"/>
    </row>
    <row r="32327" spans="2:12" x14ac:dyDescent="0.2">
      <c r="B32327"/>
      <c r="C32327"/>
      <c r="J32327"/>
      <c r="K32327"/>
      <c r="L32327"/>
    </row>
    <row r="32328" spans="2:12" x14ac:dyDescent="0.2">
      <c r="B32328"/>
      <c r="C32328"/>
      <c r="J32328"/>
      <c r="K32328"/>
      <c r="L32328"/>
    </row>
    <row r="32329" spans="2:12" x14ac:dyDescent="0.2">
      <c r="B32329"/>
      <c r="C32329"/>
      <c r="J32329"/>
      <c r="K32329"/>
      <c r="L32329"/>
    </row>
    <row r="32330" spans="2:12" x14ac:dyDescent="0.2">
      <c r="B32330"/>
      <c r="C32330"/>
      <c r="J32330"/>
      <c r="K32330"/>
      <c r="L32330"/>
    </row>
    <row r="32331" spans="2:12" x14ac:dyDescent="0.2">
      <c r="B32331"/>
      <c r="C32331"/>
      <c r="J32331"/>
      <c r="K32331"/>
      <c r="L32331"/>
    </row>
    <row r="32332" spans="2:12" x14ac:dyDescent="0.2">
      <c r="B32332"/>
      <c r="C32332"/>
      <c r="J32332"/>
      <c r="K32332"/>
      <c r="L32332"/>
    </row>
    <row r="32333" spans="2:12" x14ac:dyDescent="0.2">
      <c r="B32333"/>
      <c r="C32333"/>
      <c r="J32333"/>
      <c r="K32333"/>
      <c r="L32333"/>
    </row>
    <row r="32334" spans="2:12" x14ac:dyDescent="0.2">
      <c r="B32334"/>
      <c r="C32334"/>
      <c r="J32334"/>
      <c r="K32334"/>
      <c r="L32334"/>
    </row>
    <row r="32335" spans="2:12" x14ac:dyDescent="0.2">
      <c r="B32335"/>
      <c r="C32335"/>
      <c r="J32335"/>
      <c r="K32335"/>
      <c r="L32335"/>
    </row>
    <row r="32336" spans="2:12" x14ac:dyDescent="0.2">
      <c r="B32336"/>
      <c r="C32336"/>
      <c r="J32336"/>
      <c r="K32336"/>
      <c r="L32336"/>
    </row>
    <row r="32337" spans="2:12" x14ac:dyDescent="0.2">
      <c r="B32337"/>
      <c r="C32337"/>
      <c r="J32337"/>
      <c r="K32337"/>
      <c r="L32337"/>
    </row>
    <row r="32338" spans="2:12" x14ac:dyDescent="0.2">
      <c r="B32338"/>
      <c r="C32338"/>
      <c r="J32338"/>
      <c r="K32338"/>
      <c r="L32338"/>
    </row>
    <row r="32339" spans="2:12" x14ac:dyDescent="0.2">
      <c r="B32339"/>
      <c r="C32339"/>
      <c r="J32339"/>
      <c r="K32339"/>
      <c r="L32339"/>
    </row>
    <row r="32340" spans="2:12" x14ac:dyDescent="0.2">
      <c r="B32340"/>
      <c r="C32340"/>
      <c r="J32340"/>
      <c r="K32340"/>
      <c r="L32340"/>
    </row>
    <row r="32341" spans="2:12" x14ac:dyDescent="0.2">
      <c r="B32341"/>
      <c r="C32341"/>
      <c r="J32341"/>
      <c r="K32341"/>
      <c r="L32341"/>
    </row>
    <row r="32342" spans="2:12" x14ac:dyDescent="0.2">
      <c r="B32342"/>
      <c r="C32342"/>
      <c r="J32342"/>
      <c r="K32342"/>
      <c r="L32342"/>
    </row>
    <row r="32343" spans="2:12" x14ac:dyDescent="0.2">
      <c r="B32343"/>
      <c r="C32343"/>
      <c r="J32343"/>
      <c r="K32343"/>
      <c r="L32343"/>
    </row>
    <row r="32344" spans="2:12" x14ac:dyDescent="0.2">
      <c r="B32344"/>
      <c r="C32344"/>
      <c r="J32344"/>
      <c r="K32344"/>
      <c r="L32344"/>
    </row>
    <row r="32345" spans="2:12" x14ac:dyDescent="0.2">
      <c r="B32345"/>
      <c r="C32345"/>
      <c r="J32345"/>
      <c r="K32345"/>
      <c r="L32345"/>
    </row>
    <row r="32346" spans="2:12" x14ac:dyDescent="0.2">
      <c r="B32346"/>
      <c r="C32346"/>
      <c r="J32346"/>
      <c r="K32346"/>
      <c r="L32346"/>
    </row>
    <row r="32347" spans="2:12" x14ac:dyDescent="0.2">
      <c r="B32347"/>
      <c r="C32347"/>
      <c r="J32347"/>
      <c r="K32347"/>
      <c r="L32347"/>
    </row>
    <row r="32348" spans="2:12" x14ac:dyDescent="0.2">
      <c r="B32348"/>
      <c r="C32348"/>
      <c r="J32348"/>
      <c r="K32348"/>
      <c r="L32348"/>
    </row>
    <row r="32349" spans="2:12" x14ac:dyDescent="0.2">
      <c r="B32349"/>
      <c r="C32349"/>
      <c r="J32349"/>
      <c r="K32349"/>
      <c r="L32349"/>
    </row>
    <row r="32350" spans="2:12" x14ac:dyDescent="0.2">
      <c r="B32350"/>
      <c r="C32350"/>
      <c r="J32350"/>
      <c r="K32350"/>
      <c r="L32350"/>
    </row>
    <row r="32351" spans="2:12" x14ac:dyDescent="0.2">
      <c r="B32351"/>
      <c r="C32351"/>
      <c r="J32351"/>
      <c r="K32351"/>
      <c r="L32351"/>
    </row>
    <row r="32352" spans="2:12" x14ac:dyDescent="0.2">
      <c r="B32352"/>
      <c r="C32352"/>
      <c r="J32352"/>
      <c r="K32352"/>
      <c r="L32352"/>
    </row>
    <row r="32353" spans="2:12" x14ac:dyDescent="0.2">
      <c r="B32353"/>
      <c r="C32353"/>
      <c r="J32353"/>
      <c r="K32353"/>
      <c r="L32353"/>
    </row>
    <row r="32354" spans="2:12" x14ac:dyDescent="0.2">
      <c r="B32354"/>
      <c r="C32354"/>
      <c r="J32354"/>
      <c r="K32354"/>
      <c r="L32354"/>
    </row>
    <row r="32355" spans="2:12" x14ac:dyDescent="0.2">
      <c r="B32355"/>
      <c r="C32355"/>
      <c r="J32355"/>
      <c r="K32355"/>
      <c r="L32355"/>
    </row>
    <row r="32356" spans="2:12" x14ac:dyDescent="0.2">
      <c r="B32356"/>
      <c r="C32356"/>
      <c r="J32356"/>
      <c r="K32356"/>
      <c r="L32356"/>
    </row>
    <row r="32357" spans="2:12" x14ac:dyDescent="0.2">
      <c r="B32357"/>
      <c r="C32357"/>
      <c r="J32357"/>
      <c r="K32357"/>
      <c r="L32357"/>
    </row>
    <row r="32358" spans="2:12" x14ac:dyDescent="0.2">
      <c r="B32358"/>
      <c r="C32358"/>
      <c r="J32358"/>
      <c r="K32358"/>
      <c r="L32358"/>
    </row>
    <row r="32359" spans="2:12" x14ac:dyDescent="0.2">
      <c r="B32359"/>
      <c r="C32359"/>
      <c r="J32359"/>
      <c r="K32359"/>
      <c r="L32359"/>
    </row>
    <row r="32360" spans="2:12" x14ac:dyDescent="0.2">
      <c r="B32360"/>
      <c r="C32360"/>
      <c r="J32360"/>
      <c r="K32360"/>
      <c r="L32360"/>
    </row>
    <row r="32361" spans="2:12" x14ac:dyDescent="0.2">
      <c r="B32361"/>
      <c r="C32361"/>
      <c r="J32361"/>
      <c r="K32361"/>
      <c r="L32361"/>
    </row>
    <row r="32362" spans="2:12" x14ac:dyDescent="0.2">
      <c r="B32362"/>
      <c r="C32362"/>
      <c r="J32362"/>
      <c r="K32362"/>
      <c r="L32362"/>
    </row>
    <row r="32363" spans="2:12" x14ac:dyDescent="0.2">
      <c r="B32363"/>
      <c r="C32363"/>
      <c r="J32363"/>
      <c r="K32363"/>
      <c r="L32363"/>
    </row>
    <row r="32364" spans="2:12" x14ac:dyDescent="0.2">
      <c r="B32364"/>
      <c r="C32364"/>
      <c r="J32364"/>
      <c r="K32364"/>
      <c r="L32364"/>
    </row>
    <row r="32365" spans="2:12" x14ac:dyDescent="0.2">
      <c r="B32365"/>
      <c r="C32365"/>
      <c r="J32365"/>
      <c r="K32365"/>
      <c r="L32365"/>
    </row>
    <row r="32366" spans="2:12" x14ac:dyDescent="0.2">
      <c r="B32366"/>
      <c r="C32366"/>
      <c r="J32366"/>
      <c r="K32366"/>
      <c r="L32366"/>
    </row>
    <row r="32367" spans="2:12" x14ac:dyDescent="0.2">
      <c r="B32367"/>
      <c r="C32367"/>
      <c r="J32367"/>
      <c r="K32367"/>
      <c r="L32367"/>
    </row>
    <row r="32368" spans="2:12" x14ac:dyDescent="0.2">
      <c r="B32368"/>
      <c r="C32368"/>
      <c r="J32368"/>
      <c r="K32368"/>
      <c r="L32368"/>
    </row>
    <row r="32369" spans="2:12" x14ac:dyDescent="0.2">
      <c r="B32369"/>
      <c r="C32369"/>
      <c r="J32369"/>
      <c r="K32369"/>
      <c r="L32369"/>
    </row>
    <row r="32370" spans="2:12" x14ac:dyDescent="0.2">
      <c r="B32370"/>
      <c r="C32370"/>
      <c r="J32370"/>
      <c r="K32370"/>
      <c r="L32370"/>
    </row>
    <row r="32371" spans="2:12" x14ac:dyDescent="0.2">
      <c r="B32371"/>
      <c r="C32371"/>
      <c r="J32371"/>
      <c r="K32371"/>
      <c r="L32371"/>
    </row>
    <row r="32372" spans="2:12" x14ac:dyDescent="0.2">
      <c r="B32372"/>
      <c r="C32372"/>
      <c r="J32372"/>
      <c r="K32372"/>
      <c r="L32372"/>
    </row>
    <row r="32373" spans="2:12" x14ac:dyDescent="0.2">
      <c r="B32373"/>
      <c r="C32373"/>
      <c r="J32373"/>
      <c r="K32373"/>
      <c r="L32373"/>
    </row>
    <row r="32374" spans="2:12" x14ac:dyDescent="0.2">
      <c r="B32374"/>
      <c r="C32374"/>
      <c r="J32374"/>
      <c r="K32374"/>
      <c r="L32374"/>
    </row>
    <row r="32375" spans="2:12" x14ac:dyDescent="0.2">
      <c r="B32375"/>
      <c r="C32375"/>
      <c r="J32375"/>
      <c r="K32375"/>
      <c r="L32375"/>
    </row>
    <row r="32376" spans="2:12" x14ac:dyDescent="0.2">
      <c r="B32376"/>
      <c r="C32376"/>
      <c r="J32376"/>
      <c r="K32376"/>
      <c r="L32376"/>
    </row>
    <row r="32377" spans="2:12" x14ac:dyDescent="0.2">
      <c r="B32377"/>
      <c r="C32377"/>
      <c r="J32377"/>
      <c r="K32377"/>
      <c r="L32377"/>
    </row>
    <row r="32378" spans="2:12" x14ac:dyDescent="0.2">
      <c r="B32378"/>
      <c r="C32378"/>
      <c r="J32378"/>
      <c r="K32378"/>
      <c r="L32378"/>
    </row>
    <row r="32379" spans="2:12" x14ac:dyDescent="0.2">
      <c r="B32379"/>
      <c r="C32379"/>
      <c r="J32379"/>
      <c r="K32379"/>
      <c r="L32379"/>
    </row>
    <row r="32380" spans="2:12" x14ac:dyDescent="0.2">
      <c r="B32380"/>
      <c r="C32380"/>
      <c r="J32380"/>
      <c r="K32380"/>
      <c r="L32380"/>
    </row>
    <row r="32381" spans="2:12" x14ac:dyDescent="0.2">
      <c r="B32381"/>
      <c r="C32381"/>
      <c r="J32381"/>
      <c r="K32381"/>
      <c r="L32381"/>
    </row>
    <row r="32382" spans="2:12" x14ac:dyDescent="0.2">
      <c r="B32382"/>
      <c r="C32382"/>
      <c r="J32382"/>
      <c r="K32382"/>
      <c r="L32382"/>
    </row>
    <row r="32383" spans="2:12" x14ac:dyDescent="0.2">
      <c r="B32383"/>
      <c r="C32383"/>
      <c r="J32383"/>
      <c r="K32383"/>
      <c r="L32383"/>
    </row>
    <row r="32384" spans="2:12" x14ac:dyDescent="0.2">
      <c r="B32384"/>
      <c r="C32384"/>
      <c r="J32384"/>
      <c r="K32384"/>
      <c r="L32384"/>
    </row>
    <row r="32385" spans="2:12" x14ac:dyDescent="0.2">
      <c r="B32385"/>
      <c r="C32385"/>
      <c r="J32385"/>
      <c r="K32385"/>
      <c r="L32385"/>
    </row>
    <row r="32386" spans="2:12" x14ac:dyDescent="0.2">
      <c r="B32386"/>
      <c r="C32386"/>
      <c r="J32386"/>
      <c r="K32386"/>
      <c r="L32386"/>
    </row>
    <row r="32387" spans="2:12" x14ac:dyDescent="0.2">
      <c r="B32387"/>
      <c r="C32387"/>
      <c r="J32387"/>
      <c r="K32387"/>
      <c r="L32387"/>
    </row>
    <row r="32388" spans="2:12" x14ac:dyDescent="0.2">
      <c r="B32388"/>
      <c r="C32388"/>
      <c r="J32388"/>
      <c r="K32388"/>
      <c r="L32388"/>
    </row>
    <row r="32389" spans="2:12" x14ac:dyDescent="0.2">
      <c r="B32389"/>
      <c r="C32389"/>
      <c r="J32389"/>
      <c r="K32389"/>
      <c r="L32389"/>
    </row>
    <row r="32390" spans="2:12" x14ac:dyDescent="0.2">
      <c r="B32390"/>
      <c r="C32390"/>
      <c r="J32390"/>
      <c r="K32390"/>
      <c r="L32390"/>
    </row>
    <row r="32391" spans="2:12" x14ac:dyDescent="0.2">
      <c r="B32391"/>
      <c r="C32391"/>
      <c r="J32391"/>
      <c r="K32391"/>
      <c r="L32391"/>
    </row>
    <row r="32392" spans="2:12" x14ac:dyDescent="0.2">
      <c r="B32392"/>
      <c r="C32392"/>
      <c r="J32392"/>
      <c r="K32392"/>
      <c r="L32392"/>
    </row>
    <row r="32393" spans="2:12" x14ac:dyDescent="0.2">
      <c r="B32393"/>
      <c r="C32393"/>
      <c r="J32393"/>
      <c r="K32393"/>
      <c r="L32393"/>
    </row>
    <row r="32394" spans="2:12" x14ac:dyDescent="0.2">
      <c r="B32394"/>
      <c r="C32394"/>
      <c r="J32394"/>
      <c r="K32394"/>
      <c r="L32394"/>
    </row>
    <row r="32395" spans="2:12" x14ac:dyDescent="0.2">
      <c r="B32395"/>
      <c r="C32395"/>
      <c r="J32395"/>
      <c r="K32395"/>
      <c r="L32395"/>
    </row>
    <row r="32396" spans="2:12" x14ac:dyDescent="0.2">
      <c r="B32396"/>
      <c r="C32396"/>
      <c r="J32396"/>
      <c r="K32396"/>
      <c r="L32396"/>
    </row>
    <row r="32397" spans="2:12" x14ac:dyDescent="0.2">
      <c r="B32397"/>
      <c r="C32397"/>
      <c r="J32397"/>
      <c r="K32397"/>
      <c r="L32397"/>
    </row>
    <row r="32398" spans="2:12" x14ac:dyDescent="0.2">
      <c r="B32398"/>
      <c r="C32398"/>
      <c r="J32398"/>
      <c r="K32398"/>
      <c r="L32398"/>
    </row>
    <row r="32399" spans="2:12" x14ac:dyDescent="0.2">
      <c r="B32399"/>
      <c r="C32399"/>
      <c r="J32399"/>
      <c r="K32399"/>
      <c r="L32399"/>
    </row>
    <row r="32400" spans="2:12" x14ac:dyDescent="0.2">
      <c r="B32400"/>
      <c r="C32400"/>
      <c r="J32400"/>
      <c r="K32400"/>
      <c r="L32400"/>
    </row>
    <row r="32401" spans="2:12" x14ac:dyDescent="0.2">
      <c r="B32401"/>
      <c r="C32401"/>
      <c r="J32401"/>
      <c r="K32401"/>
      <c r="L32401"/>
    </row>
    <row r="32402" spans="2:12" x14ac:dyDescent="0.2">
      <c r="B32402"/>
      <c r="C32402"/>
      <c r="J32402"/>
      <c r="K32402"/>
      <c r="L32402"/>
    </row>
    <row r="32403" spans="2:12" x14ac:dyDescent="0.2">
      <c r="B32403"/>
      <c r="C32403"/>
      <c r="J32403"/>
      <c r="K32403"/>
      <c r="L32403"/>
    </row>
    <row r="32404" spans="2:12" x14ac:dyDescent="0.2">
      <c r="B32404"/>
      <c r="C32404"/>
      <c r="J32404"/>
      <c r="K32404"/>
      <c r="L32404"/>
    </row>
    <row r="32405" spans="2:12" x14ac:dyDescent="0.2">
      <c r="B32405"/>
      <c r="C32405"/>
      <c r="J32405"/>
      <c r="K32405"/>
      <c r="L32405"/>
    </row>
    <row r="32406" spans="2:12" x14ac:dyDescent="0.2">
      <c r="B32406"/>
      <c r="C32406"/>
      <c r="J32406"/>
      <c r="K32406"/>
      <c r="L32406"/>
    </row>
    <row r="32407" spans="2:12" x14ac:dyDescent="0.2">
      <c r="B32407"/>
      <c r="C32407"/>
      <c r="J32407"/>
      <c r="K32407"/>
      <c r="L32407"/>
    </row>
    <row r="32408" spans="2:12" x14ac:dyDescent="0.2">
      <c r="B32408"/>
      <c r="C32408"/>
      <c r="J32408"/>
      <c r="K32408"/>
      <c r="L32408"/>
    </row>
    <row r="32409" spans="2:12" x14ac:dyDescent="0.2">
      <c r="B32409"/>
      <c r="C32409"/>
      <c r="J32409"/>
      <c r="K32409"/>
      <c r="L32409"/>
    </row>
    <row r="32410" spans="2:12" x14ac:dyDescent="0.2">
      <c r="B32410"/>
      <c r="C32410"/>
      <c r="J32410"/>
      <c r="K32410"/>
      <c r="L32410"/>
    </row>
    <row r="32411" spans="2:12" x14ac:dyDescent="0.2">
      <c r="B32411"/>
      <c r="C32411"/>
      <c r="J32411"/>
      <c r="K32411"/>
      <c r="L32411"/>
    </row>
    <row r="32412" spans="2:12" x14ac:dyDescent="0.2">
      <c r="B32412"/>
      <c r="C32412"/>
      <c r="J32412"/>
      <c r="K32412"/>
      <c r="L32412"/>
    </row>
    <row r="32413" spans="2:12" x14ac:dyDescent="0.2">
      <c r="B32413"/>
      <c r="C32413"/>
      <c r="J32413"/>
      <c r="K32413"/>
      <c r="L32413"/>
    </row>
    <row r="32414" spans="2:12" x14ac:dyDescent="0.2">
      <c r="B32414"/>
      <c r="C32414"/>
      <c r="J32414"/>
      <c r="K32414"/>
      <c r="L32414"/>
    </row>
    <row r="32415" spans="2:12" x14ac:dyDescent="0.2">
      <c r="B32415"/>
      <c r="C32415"/>
      <c r="J32415"/>
      <c r="K32415"/>
      <c r="L32415"/>
    </row>
    <row r="32416" spans="2:12" x14ac:dyDescent="0.2">
      <c r="B32416"/>
      <c r="C32416"/>
      <c r="J32416"/>
      <c r="K32416"/>
      <c r="L32416"/>
    </row>
    <row r="32417" spans="2:12" x14ac:dyDescent="0.2">
      <c r="B32417"/>
      <c r="C32417"/>
      <c r="J32417"/>
      <c r="K32417"/>
      <c r="L32417"/>
    </row>
    <row r="32418" spans="2:12" x14ac:dyDescent="0.2">
      <c r="B32418"/>
      <c r="C32418"/>
      <c r="J32418"/>
      <c r="K32418"/>
      <c r="L32418"/>
    </row>
    <row r="32419" spans="2:12" x14ac:dyDescent="0.2">
      <c r="B32419"/>
      <c r="C32419"/>
      <c r="J32419"/>
      <c r="K32419"/>
      <c r="L32419"/>
    </row>
    <row r="32420" spans="2:12" x14ac:dyDescent="0.2">
      <c r="B32420"/>
      <c r="C32420"/>
      <c r="J32420"/>
      <c r="K32420"/>
      <c r="L32420"/>
    </row>
    <row r="32421" spans="2:12" x14ac:dyDescent="0.2">
      <c r="B32421"/>
      <c r="C32421"/>
      <c r="J32421"/>
      <c r="K32421"/>
      <c r="L32421"/>
    </row>
    <row r="32422" spans="2:12" x14ac:dyDescent="0.2">
      <c r="B32422"/>
      <c r="C32422"/>
      <c r="J32422"/>
      <c r="K32422"/>
      <c r="L32422"/>
    </row>
    <row r="32423" spans="2:12" x14ac:dyDescent="0.2">
      <c r="B32423"/>
      <c r="C32423"/>
      <c r="J32423"/>
      <c r="K32423"/>
      <c r="L32423"/>
    </row>
    <row r="32424" spans="2:12" x14ac:dyDescent="0.2">
      <c r="B32424"/>
      <c r="C32424"/>
      <c r="J32424"/>
      <c r="K32424"/>
      <c r="L32424"/>
    </row>
    <row r="32425" spans="2:12" x14ac:dyDescent="0.2">
      <c r="B32425"/>
      <c r="C32425"/>
      <c r="J32425"/>
      <c r="K32425"/>
      <c r="L32425"/>
    </row>
    <row r="32426" spans="2:12" x14ac:dyDescent="0.2">
      <c r="B32426"/>
      <c r="C32426"/>
      <c r="J32426"/>
      <c r="K32426"/>
      <c r="L32426"/>
    </row>
    <row r="32427" spans="2:12" x14ac:dyDescent="0.2">
      <c r="B32427"/>
      <c r="C32427"/>
      <c r="J32427"/>
      <c r="K32427"/>
      <c r="L32427"/>
    </row>
    <row r="32428" spans="2:12" x14ac:dyDescent="0.2">
      <c r="B32428"/>
      <c r="C32428"/>
      <c r="J32428"/>
      <c r="K32428"/>
      <c r="L32428"/>
    </row>
    <row r="32429" spans="2:12" x14ac:dyDescent="0.2">
      <c r="B32429"/>
      <c r="C32429"/>
      <c r="J32429"/>
      <c r="K32429"/>
      <c r="L32429"/>
    </row>
    <row r="32430" spans="2:12" x14ac:dyDescent="0.2">
      <c r="B32430"/>
      <c r="C32430"/>
      <c r="J32430"/>
      <c r="K32430"/>
      <c r="L32430"/>
    </row>
    <row r="32431" spans="2:12" x14ac:dyDescent="0.2">
      <c r="B32431"/>
      <c r="C32431"/>
      <c r="J32431"/>
      <c r="K32431"/>
      <c r="L32431"/>
    </row>
    <row r="32432" spans="2:12" x14ac:dyDescent="0.2">
      <c r="B32432"/>
      <c r="C32432"/>
      <c r="J32432"/>
      <c r="K32432"/>
      <c r="L32432"/>
    </row>
    <row r="32433" spans="2:12" x14ac:dyDescent="0.2">
      <c r="B32433"/>
      <c r="C32433"/>
      <c r="J32433"/>
      <c r="K32433"/>
      <c r="L32433"/>
    </row>
    <row r="32434" spans="2:12" x14ac:dyDescent="0.2">
      <c r="B32434"/>
      <c r="C32434"/>
      <c r="J32434"/>
      <c r="K32434"/>
      <c r="L32434"/>
    </row>
    <row r="32435" spans="2:12" x14ac:dyDescent="0.2">
      <c r="B32435"/>
      <c r="C32435"/>
      <c r="J32435"/>
      <c r="K32435"/>
      <c r="L32435"/>
    </row>
    <row r="32436" spans="2:12" x14ac:dyDescent="0.2">
      <c r="B32436"/>
      <c r="C32436"/>
      <c r="J32436"/>
      <c r="K32436"/>
      <c r="L32436"/>
    </row>
    <row r="32437" spans="2:12" x14ac:dyDescent="0.2">
      <c r="B32437"/>
      <c r="C32437"/>
      <c r="J32437"/>
      <c r="K32437"/>
      <c r="L32437"/>
    </row>
    <row r="32438" spans="2:12" x14ac:dyDescent="0.2">
      <c r="B32438"/>
      <c r="C32438"/>
      <c r="J32438"/>
      <c r="K32438"/>
      <c r="L32438"/>
    </row>
    <row r="32439" spans="2:12" x14ac:dyDescent="0.2">
      <c r="B32439"/>
      <c r="C32439"/>
      <c r="J32439"/>
      <c r="K32439"/>
      <c r="L32439"/>
    </row>
    <row r="32440" spans="2:12" x14ac:dyDescent="0.2">
      <c r="B32440"/>
      <c r="C32440"/>
      <c r="J32440"/>
      <c r="K32440"/>
      <c r="L32440"/>
    </row>
    <row r="32441" spans="2:12" x14ac:dyDescent="0.2">
      <c r="B32441"/>
      <c r="C32441"/>
      <c r="J32441"/>
      <c r="K32441"/>
      <c r="L32441"/>
    </row>
    <row r="32442" spans="2:12" x14ac:dyDescent="0.2">
      <c r="B32442"/>
      <c r="C32442"/>
      <c r="J32442"/>
      <c r="K32442"/>
      <c r="L32442"/>
    </row>
    <row r="32443" spans="2:12" x14ac:dyDescent="0.2">
      <c r="B32443"/>
      <c r="C32443"/>
      <c r="J32443"/>
      <c r="K32443"/>
      <c r="L32443"/>
    </row>
    <row r="32444" spans="2:12" x14ac:dyDescent="0.2">
      <c r="B32444"/>
      <c r="C32444"/>
      <c r="J32444"/>
      <c r="K32444"/>
      <c r="L32444"/>
    </row>
    <row r="32445" spans="2:12" x14ac:dyDescent="0.2">
      <c r="B32445"/>
      <c r="C32445"/>
      <c r="J32445"/>
      <c r="K32445"/>
      <c r="L32445"/>
    </row>
    <row r="32446" spans="2:12" x14ac:dyDescent="0.2">
      <c r="B32446"/>
      <c r="C32446"/>
      <c r="J32446"/>
      <c r="K32446"/>
      <c r="L32446"/>
    </row>
    <row r="32447" spans="2:12" x14ac:dyDescent="0.2">
      <c r="B32447"/>
      <c r="C32447"/>
      <c r="J32447"/>
      <c r="K32447"/>
      <c r="L32447"/>
    </row>
    <row r="32448" spans="2:12" x14ac:dyDescent="0.2">
      <c r="B32448"/>
      <c r="C32448"/>
      <c r="J32448"/>
      <c r="K32448"/>
      <c r="L32448"/>
    </row>
    <row r="32449" spans="2:12" x14ac:dyDescent="0.2">
      <c r="B32449"/>
      <c r="C32449"/>
      <c r="J32449"/>
      <c r="K32449"/>
      <c r="L32449"/>
    </row>
    <row r="32450" spans="2:12" x14ac:dyDescent="0.2">
      <c r="B32450"/>
      <c r="C32450"/>
      <c r="J32450"/>
      <c r="K32450"/>
      <c r="L32450"/>
    </row>
    <row r="32451" spans="2:12" x14ac:dyDescent="0.2">
      <c r="B32451"/>
      <c r="C32451"/>
      <c r="J32451"/>
      <c r="K32451"/>
      <c r="L32451"/>
    </row>
    <row r="32452" spans="2:12" x14ac:dyDescent="0.2">
      <c r="B32452"/>
      <c r="C32452"/>
      <c r="J32452"/>
      <c r="K32452"/>
      <c r="L32452"/>
    </row>
    <row r="32453" spans="2:12" x14ac:dyDescent="0.2">
      <c r="B32453"/>
      <c r="C32453"/>
      <c r="J32453"/>
      <c r="K32453"/>
      <c r="L32453"/>
    </row>
    <row r="32454" spans="2:12" x14ac:dyDescent="0.2">
      <c r="B32454"/>
      <c r="C32454"/>
      <c r="J32454"/>
      <c r="K32454"/>
      <c r="L32454"/>
    </row>
    <row r="32455" spans="2:12" x14ac:dyDescent="0.2">
      <c r="B32455"/>
      <c r="C32455"/>
      <c r="J32455"/>
      <c r="K32455"/>
      <c r="L32455"/>
    </row>
    <row r="32456" spans="2:12" x14ac:dyDescent="0.2">
      <c r="B32456"/>
      <c r="C32456"/>
      <c r="J32456"/>
      <c r="K32456"/>
      <c r="L32456"/>
    </row>
    <row r="32457" spans="2:12" x14ac:dyDescent="0.2">
      <c r="B32457"/>
      <c r="C32457"/>
      <c r="J32457"/>
      <c r="K32457"/>
      <c r="L32457"/>
    </row>
    <row r="32458" spans="2:12" x14ac:dyDescent="0.2">
      <c r="B32458"/>
      <c r="C32458"/>
      <c r="J32458"/>
      <c r="K32458"/>
      <c r="L32458"/>
    </row>
    <row r="32459" spans="2:12" x14ac:dyDescent="0.2">
      <c r="B32459"/>
      <c r="C32459"/>
      <c r="J32459"/>
      <c r="K32459"/>
      <c r="L32459"/>
    </row>
    <row r="32460" spans="2:12" x14ac:dyDescent="0.2">
      <c r="B32460"/>
      <c r="C32460"/>
      <c r="J32460"/>
      <c r="K32460"/>
      <c r="L32460"/>
    </row>
    <row r="32461" spans="2:12" x14ac:dyDescent="0.2">
      <c r="B32461"/>
      <c r="C32461"/>
      <c r="J32461"/>
      <c r="K32461"/>
      <c r="L32461"/>
    </row>
    <row r="32462" spans="2:12" x14ac:dyDescent="0.2">
      <c r="B32462"/>
      <c r="C32462"/>
      <c r="J32462"/>
      <c r="K32462"/>
      <c r="L32462"/>
    </row>
    <row r="32463" spans="2:12" x14ac:dyDescent="0.2">
      <c r="B32463"/>
      <c r="C32463"/>
      <c r="J32463"/>
      <c r="K32463"/>
      <c r="L32463"/>
    </row>
    <row r="32464" spans="2:12" x14ac:dyDescent="0.2">
      <c r="B32464"/>
      <c r="C32464"/>
      <c r="J32464"/>
      <c r="K32464"/>
      <c r="L32464"/>
    </row>
    <row r="32465" spans="2:12" x14ac:dyDescent="0.2">
      <c r="B32465"/>
      <c r="C32465"/>
      <c r="J32465"/>
      <c r="K32465"/>
      <c r="L32465"/>
    </row>
    <row r="32466" spans="2:12" x14ac:dyDescent="0.2">
      <c r="B32466"/>
      <c r="C32466"/>
      <c r="J32466"/>
      <c r="K32466"/>
      <c r="L32466"/>
    </row>
    <row r="32467" spans="2:12" x14ac:dyDescent="0.2">
      <c r="B32467"/>
      <c r="C32467"/>
      <c r="J32467"/>
      <c r="K32467"/>
      <c r="L32467"/>
    </row>
    <row r="32468" spans="2:12" x14ac:dyDescent="0.2">
      <c r="B32468"/>
      <c r="C32468"/>
      <c r="J32468"/>
      <c r="K32468"/>
      <c r="L32468"/>
    </row>
    <row r="32469" spans="2:12" x14ac:dyDescent="0.2">
      <c r="B32469"/>
      <c r="C32469"/>
      <c r="J32469"/>
      <c r="K32469"/>
      <c r="L32469"/>
    </row>
    <row r="32470" spans="2:12" x14ac:dyDescent="0.2">
      <c r="B32470"/>
      <c r="C32470"/>
      <c r="J32470"/>
      <c r="K32470"/>
      <c r="L32470"/>
    </row>
    <row r="32471" spans="2:12" x14ac:dyDescent="0.2">
      <c r="B32471"/>
      <c r="C32471"/>
      <c r="J32471"/>
      <c r="K32471"/>
      <c r="L32471"/>
    </row>
    <row r="32472" spans="2:12" x14ac:dyDescent="0.2">
      <c r="B32472"/>
      <c r="C32472"/>
      <c r="J32472"/>
      <c r="K32472"/>
      <c r="L32472"/>
    </row>
    <row r="32473" spans="2:12" x14ac:dyDescent="0.2">
      <c r="B32473"/>
      <c r="C32473"/>
      <c r="J32473"/>
      <c r="K32473"/>
      <c r="L32473"/>
    </row>
    <row r="32474" spans="2:12" x14ac:dyDescent="0.2">
      <c r="B32474"/>
      <c r="C32474"/>
      <c r="J32474"/>
      <c r="K32474"/>
      <c r="L32474"/>
    </row>
    <row r="32475" spans="2:12" x14ac:dyDescent="0.2">
      <c r="B32475"/>
      <c r="C32475"/>
      <c r="J32475"/>
      <c r="K32475"/>
      <c r="L32475"/>
    </row>
    <row r="32476" spans="2:12" x14ac:dyDescent="0.2">
      <c r="B32476"/>
      <c r="C32476"/>
      <c r="J32476"/>
      <c r="K32476"/>
      <c r="L32476"/>
    </row>
    <row r="32477" spans="2:12" x14ac:dyDescent="0.2">
      <c r="B32477"/>
      <c r="C32477"/>
      <c r="J32477"/>
      <c r="K32477"/>
      <c r="L32477"/>
    </row>
    <row r="32478" spans="2:12" x14ac:dyDescent="0.2">
      <c r="B32478"/>
      <c r="C32478"/>
      <c r="J32478"/>
      <c r="K32478"/>
      <c r="L32478"/>
    </row>
    <row r="32479" spans="2:12" x14ac:dyDescent="0.2">
      <c r="B32479"/>
      <c r="C32479"/>
      <c r="J32479"/>
      <c r="K32479"/>
      <c r="L32479"/>
    </row>
    <row r="32480" spans="2:12" x14ac:dyDescent="0.2">
      <c r="B32480"/>
      <c r="C32480"/>
      <c r="J32480"/>
      <c r="K32480"/>
      <c r="L32480"/>
    </row>
    <row r="32481" spans="2:12" x14ac:dyDescent="0.2">
      <c r="B32481"/>
      <c r="C32481"/>
      <c r="J32481"/>
      <c r="K32481"/>
      <c r="L32481"/>
    </row>
    <row r="32482" spans="2:12" x14ac:dyDescent="0.2">
      <c r="B32482"/>
      <c r="C32482"/>
      <c r="J32482"/>
      <c r="K32482"/>
      <c r="L32482"/>
    </row>
    <row r="32483" spans="2:12" x14ac:dyDescent="0.2">
      <c r="B32483"/>
      <c r="C32483"/>
      <c r="J32483"/>
      <c r="K32483"/>
      <c r="L32483"/>
    </row>
    <row r="32484" spans="2:12" x14ac:dyDescent="0.2">
      <c r="B32484"/>
      <c r="C32484"/>
      <c r="J32484"/>
      <c r="K32484"/>
      <c r="L32484"/>
    </row>
    <row r="32485" spans="2:12" x14ac:dyDescent="0.2">
      <c r="B32485"/>
      <c r="C32485"/>
      <c r="J32485"/>
      <c r="K32485"/>
      <c r="L32485"/>
    </row>
    <row r="32486" spans="2:12" x14ac:dyDescent="0.2">
      <c r="B32486"/>
      <c r="C32486"/>
      <c r="J32486"/>
      <c r="K32486"/>
      <c r="L32486"/>
    </row>
    <row r="32487" spans="2:12" x14ac:dyDescent="0.2">
      <c r="B32487"/>
      <c r="C32487"/>
      <c r="J32487"/>
      <c r="K32487"/>
      <c r="L32487"/>
    </row>
    <row r="32488" spans="2:12" x14ac:dyDescent="0.2">
      <c r="B32488"/>
      <c r="C32488"/>
      <c r="J32488"/>
      <c r="K32488"/>
      <c r="L32488"/>
    </row>
    <row r="32489" spans="2:12" x14ac:dyDescent="0.2">
      <c r="B32489"/>
      <c r="C32489"/>
      <c r="J32489"/>
      <c r="K32489"/>
      <c r="L32489"/>
    </row>
    <row r="32490" spans="2:12" x14ac:dyDescent="0.2">
      <c r="B32490"/>
      <c r="C32490"/>
      <c r="J32490"/>
      <c r="K32490"/>
      <c r="L32490"/>
    </row>
    <row r="32491" spans="2:12" x14ac:dyDescent="0.2">
      <c r="B32491"/>
      <c r="C32491"/>
      <c r="J32491"/>
      <c r="K32491"/>
      <c r="L32491"/>
    </row>
    <row r="32492" spans="2:12" x14ac:dyDescent="0.2">
      <c r="B32492"/>
      <c r="C32492"/>
      <c r="J32492"/>
      <c r="K32492"/>
      <c r="L32492"/>
    </row>
    <row r="32493" spans="2:12" x14ac:dyDescent="0.2">
      <c r="B32493"/>
      <c r="C32493"/>
      <c r="J32493"/>
      <c r="K32493"/>
      <c r="L32493"/>
    </row>
    <row r="32494" spans="2:12" x14ac:dyDescent="0.2">
      <c r="B32494"/>
      <c r="C32494"/>
      <c r="J32494"/>
      <c r="K32494"/>
      <c r="L32494"/>
    </row>
    <row r="32495" spans="2:12" x14ac:dyDescent="0.2">
      <c r="B32495"/>
      <c r="C32495"/>
      <c r="J32495"/>
      <c r="K32495"/>
      <c r="L32495"/>
    </row>
    <row r="32496" spans="2:12" x14ac:dyDescent="0.2">
      <c r="B32496"/>
      <c r="C32496"/>
      <c r="J32496"/>
      <c r="K32496"/>
      <c r="L32496"/>
    </row>
    <row r="32497" spans="2:12" x14ac:dyDescent="0.2">
      <c r="B32497"/>
      <c r="C32497"/>
      <c r="J32497"/>
      <c r="K32497"/>
      <c r="L32497"/>
    </row>
    <row r="32498" spans="2:12" x14ac:dyDescent="0.2">
      <c r="B32498"/>
      <c r="C32498"/>
      <c r="J32498"/>
      <c r="K32498"/>
      <c r="L32498"/>
    </row>
    <row r="32499" spans="2:12" x14ac:dyDescent="0.2">
      <c r="B32499"/>
      <c r="C32499"/>
      <c r="J32499"/>
      <c r="K32499"/>
      <c r="L32499"/>
    </row>
    <row r="32500" spans="2:12" x14ac:dyDescent="0.2">
      <c r="B32500"/>
      <c r="C32500"/>
      <c r="J32500"/>
      <c r="K32500"/>
      <c r="L32500"/>
    </row>
    <row r="32501" spans="2:12" x14ac:dyDescent="0.2">
      <c r="B32501"/>
      <c r="C32501"/>
      <c r="J32501"/>
      <c r="K32501"/>
      <c r="L32501"/>
    </row>
    <row r="32502" spans="2:12" x14ac:dyDescent="0.2">
      <c r="B32502"/>
      <c r="C32502"/>
      <c r="J32502"/>
      <c r="K32502"/>
      <c r="L32502"/>
    </row>
    <row r="32503" spans="2:12" x14ac:dyDescent="0.2">
      <c r="B32503"/>
      <c r="C32503"/>
      <c r="J32503"/>
      <c r="K32503"/>
      <c r="L32503"/>
    </row>
    <row r="32504" spans="2:12" x14ac:dyDescent="0.2">
      <c r="B32504"/>
      <c r="C32504"/>
      <c r="J32504"/>
      <c r="K32504"/>
      <c r="L32504"/>
    </row>
    <row r="32505" spans="2:12" x14ac:dyDescent="0.2">
      <c r="B32505"/>
      <c r="C32505"/>
      <c r="J32505"/>
      <c r="K32505"/>
      <c r="L32505"/>
    </row>
    <row r="32506" spans="2:12" x14ac:dyDescent="0.2">
      <c r="B32506"/>
      <c r="C32506"/>
      <c r="J32506"/>
      <c r="K32506"/>
      <c r="L32506"/>
    </row>
    <row r="32507" spans="2:12" x14ac:dyDescent="0.2">
      <c r="B32507"/>
      <c r="C32507"/>
      <c r="J32507"/>
      <c r="K32507"/>
      <c r="L32507"/>
    </row>
    <row r="32508" spans="2:12" x14ac:dyDescent="0.2">
      <c r="B32508"/>
      <c r="C32508"/>
      <c r="J32508"/>
      <c r="K32508"/>
      <c r="L32508"/>
    </row>
    <row r="32509" spans="2:12" x14ac:dyDescent="0.2">
      <c r="B32509"/>
      <c r="C32509"/>
      <c r="J32509"/>
      <c r="K32509"/>
      <c r="L32509"/>
    </row>
    <row r="32510" spans="2:12" x14ac:dyDescent="0.2">
      <c r="B32510"/>
      <c r="C32510"/>
      <c r="J32510"/>
      <c r="K32510"/>
      <c r="L32510"/>
    </row>
    <row r="32511" spans="2:12" x14ac:dyDescent="0.2">
      <c r="B32511"/>
      <c r="C32511"/>
      <c r="J32511"/>
      <c r="K32511"/>
      <c r="L32511"/>
    </row>
    <row r="32512" spans="2:12" x14ac:dyDescent="0.2">
      <c r="B32512"/>
      <c r="C32512"/>
      <c r="J32512"/>
      <c r="K32512"/>
      <c r="L32512"/>
    </row>
    <row r="32513" spans="2:12" x14ac:dyDescent="0.2">
      <c r="B32513"/>
      <c r="C32513"/>
      <c r="J32513"/>
      <c r="K32513"/>
      <c r="L32513"/>
    </row>
    <row r="32514" spans="2:12" x14ac:dyDescent="0.2">
      <c r="B32514"/>
      <c r="C32514"/>
      <c r="J32514"/>
      <c r="K32514"/>
      <c r="L32514"/>
    </row>
    <row r="32515" spans="2:12" x14ac:dyDescent="0.2">
      <c r="B32515"/>
      <c r="C32515"/>
      <c r="J32515"/>
      <c r="K32515"/>
      <c r="L32515"/>
    </row>
    <row r="32516" spans="2:12" x14ac:dyDescent="0.2">
      <c r="B32516"/>
      <c r="C32516"/>
      <c r="J32516"/>
      <c r="K32516"/>
      <c r="L32516"/>
    </row>
    <row r="32517" spans="2:12" x14ac:dyDescent="0.2">
      <c r="B32517"/>
      <c r="C32517"/>
      <c r="J32517"/>
      <c r="K32517"/>
      <c r="L32517"/>
    </row>
    <row r="32518" spans="2:12" x14ac:dyDescent="0.2">
      <c r="B32518"/>
      <c r="C32518"/>
      <c r="J32518"/>
      <c r="K32518"/>
      <c r="L32518"/>
    </row>
    <row r="32519" spans="2:12" x14ac:dyDescent="0.2">
      <c r="B32519"/>
      <c r="C32519"/>
      <c r="J32519"/>
      <c r="K32519"/>
      <c r="L32519"/>
    </row>
    <row r="32520" spans="2:12" x14ac:dyDescent="0.2">
      <c r="B32520"/>
      <c r="C32520"/>
      <c r="J32520"/>
      <c r="K32520"/>
      <c r="L32520"/>
    </row>
    <row r="32521" spans="2:12" x14ac:dyDescent="0.2">
      <c r="B32521"/>
      <c r="C32521"/>
      <c r="J32521"/>
      <c r="K32521"/>
      <c r="L32521"/>
    </row>
    <row r="32522" spans="2:12" x14ac:dyDescent="0.2">
      <c r="B32522"/>
      <c r="C32522"/>
      <c r="J32522"/>
      <c r="K32522"/>
      <c r="L32522"/>
    </row>
    <row r="32523" spans="2:12" x14ac:dyDescent="0.2">
      <c r="B32523"/>
      <c r="C32523"/>
      <c r="J32523"/>
      <c r="K32523"/>
      <c r="L32523"/>
    </row>
    <row r="32524" spans="2:12" x14ac:dyDescent="0.2">
      <c r="B32524"/>
      <c r="C32524"/>
      <c r="J32524"/>
      <c r="K32524"/>
      <c r="L32524"/>
    </row>
    <row r="32525" spans="2:12" x14ac:dyDescent="0.2">
      <c r="B32525"/>
      <c r="C32525"/>
      <c r="J32525"/>
      <c r="K32525"/>
      <c r="L32525"/>
    </row>
    <row r="32526" spans="2:12" x14ac:dyDescent="0.2">
      <c r="B32526"/>
      <c r="C32526"/>
      <c r="J32526"/>
      <c r="K32526"/>
      <c r="L32526"/>
    </row>
    <row r="32527" spans="2:12" x14ac:dyDescent="0.2">
      <c r="B32527"/>
      <c r="C32527"/>
      <c r="J32527"/>
      <c r="K32527"/>
      <c r="L32527"/>
    </row>
    <row r="32528" spans="2:12" x14ac:dyDescent="0.2">
      <c r="B32528"/>
      <c r="C32528"/>
      <c r="J32528"/>
      <c r="K32528"/>
      <c r="L32528"/>
    </row>
    <row r="32529" spans="2:12" x14ac:dyDescent="0.2">
      <c r="B32529"/>
      <c r="C32529"/>
      <c r="J32529"/>
      <c r="K32529"/>
      <c r="L32529"/>
    </row>
    <row r="32530" spans="2:12" x14ac:dyDescent="0.2">
      <c r="B32530"/>
      <c r="C32530"/>
      <c r="J32530"/>
      <c r="K32530"/>
      <c r="L32530"/>
    </row>
    <row r="32531" spans="2:12" x14ac:dyDescent="0.2">
      <c r="B32531"/>
      <c r="C32531"/>
      <c r="J32531"/>
      <c r="K32531"/>
      <c r="L32531"/>
    </row>
    <row r="32532" spans="2:12" x14ac:dyDescent="0.2">
      <c r="B32532"/>
      <c r="C32532"/>
      <c r="J32532"/>
      <c r="K32532"/>
      <c r="L32532"/>
    </row>
    <row r="32533" spans="2:12" x14ac:dyDescent="0.2">
      <c r="B32533"/>
      <c r="C32533"/>
      <c r="J32533"/>
      <c r="K32533"/>
      <c r="L32533"/>
    </row>
    <row r="32534" spans="2:12" x14ac:dyDescent="0.2">
      <c r="B32534"/>
      <c r="C32534"/>
      <c r="J32534"/>
      <c r="K32534"/>
      <c r="L32534"/>
    </row>
    <row r="32535" spans="2:12" x14ac:dyDescent="0.2">
      <c r="B32535"/>
      <c r="C32535"/>
      <c r="J32535"/>
      <c r="K32535"/>
      <c r="L32535"/>
    </row>
    <row r="32536" spans="2:12" x14ac:dyDescent="0.2">
      <c r="B32536"/>
      <c r="C32536"/>
      <c r="J32536"/>
      <c r="K32536"/>
      <c r="L32536"/>
    </row>
    <row r="32537" spans="2:12" x14ac:dyDescent="0.2">
      <c r="B32537"/>
      <c r="C32537"/>
      <c r="J32537"/>
      <c r="K32537"/>
      <c r="L32537"/>
    </row>
    <row r="32538" spans="2:12" x14ac:dyDescent="0.2">
      <c r="B32538"/>
      <c r="C32538"/>
      <c r="J32538"/>
      <c r="K32538"/>
      <c r="L32538"/>
    </row>
    <row r="32539" spans="2:12" x14ac:dyDescent="0.2">
      <c r="B32539"/>
      <c r="C32539"/>
      <c r="J32539"/>
      <c r="K32539"/>
      <c r="L32539"/>
    </row>
    <row r="32540" spans="2:12" x14ac:dyDescent="0.2">
      <c r="B32540"/>
      <c r="C32540"/>
      <c r="J32540"/>
      <c r="K32540"/>
      <c r="L32540"/>
    </row>
    <row r="32541" spans="2:12" x14ac:dyDescent="0.2">
      <c r="B32541"/>
      <c r="C32541"/>
      <c r="J32541"/>
      <c r="K32541"/>
      <c r="L32541"/>
    </row>
    <row r="32542" spans="2:12" x14ac:dyDescent="0.2">
      <c r="B32542"/>
      <c r="C32542"/>
      <c r="J32542"/>
      <c r="K32542"/>
      <c r="L32542"/>
    </row>
    <row r="32543" spans="2:12" x14ac:dyDescent="0.2">
      <c r="B32543"/>
      <c r="C32543"/>
      <c r="J32543"/>
      <c r="K32543"/>
      <c r="L32543"/>
    </row>
    <row r="32544" spans="2:12" x14ac:dyDescent="0.2">
      <c r="B32544"/>
      <c r="C32544"/>
      <c r="J32544"/>
      <c r="K32544"/>
      <c r="L32544"/>
    </row>
    <row r="32545" spans="2:12" x14ac:dyDescent="0.2">
      <c r="B32545"/>
      <c r="C32545"/>
      <c r="J32545"/>
      <c r="K32545"/>
      <c r="L32545"/>
    </row>
    <row r="32546" spans="2:12" x14ac:dyDescent="0.2">
      <c r="B32546"/>
      <c r="C32546"/>
      <c r="J32546"/>
      <c r="K32546"/>
      <c r="L32546"/>
    </row>
    <row r="32547" spans="2:12" x14ac:dyDescent="0.2">
      <c r="B32547"/>
      <c r="C32547"/>
      <c r="J32547"/>
      <c r="K32547"/>
      <c r="L32547"/>
    </row>
    <row r="32548" spans="2:12" x14ac:dyDescent="0.2">
      <c r="B32548"/>
      <c r="C32548"/>
      <c r="J32548"/>
      <c r="K32548"/>
      <c r="L32548"/>
    </row>
    <row r="32549" spans="2:12" x14ac:dyDescent="0.2">
      <c r="B32549"/>
      <c r="C32549"/>
      <c r="J32549"/>
      <c r="K32549"/>
      <c r="L32549"/>
    </row>
    <row r="32550" spans="2:12" x14ac:dyDescent="0.2">
      <c r="B32550"/>
      <c r="C32550"/>
      <c r="J32550"/>
      <c r="K32550"/>
      <c r="L32550"/>
    </row>
    <row r="32551" spans="2:12" x14ac:dyDescent="0.2">
      <c r="B32551"/>
      <c r="C32551"/>
      <c r="J32551"/>
      <c r="K32551"/>
      <c r="L32551"/>
    </row>
    <row r="32552" spans="2:12" x14ac:dyDescent="0.2">
      <c r="B32552"/>
      <c r="C32552"/>
      <c r="J32552"/>
      <c r="K32552"/>
      <c r="L32552"/>
    </row>
    <row r="32553" spans="2:12" x14ac:dyDescent="0.2">
      <c r="B32553"/>
      <c r="C32553"/>
      <c r="J32553"/>
      <c r="K32553"/>
      <c r="L32553"/>
    </row>
    <row r="32554" spans="2:12" x14ac:dyDescent="0.2">
      <c r="B32554"/>
      <c r="C32554"/>
      <c r="J32554"/>
      <c r="K32554"/>
      <c r="L32554"/>
    </row>
    <row r="32555" spans="2:12" x14ac:dyDescent="0.2">
      <c r="B32555"/>
      <c r="C32555"/>
      <c r="J32555"/>
      <c r="K32555"/>
      <c r="L32555"/>
    </row>
    <row r="32556" spans="2:12" x14ac:dyDescent="0.2">
      <c r="B32556"/>
      <c r="C32556"/>
      <c r="J32556"/>
      <c r="K32556"/>
      <c r="L32556"/>
    </row>
    <row r="32557" spans="2:12" x14ac:dyDescent="0.2">
      <c r="B32557"/>
      <c r="C32557"/>
      <c r="J32557"/>
      <c r="K32557"/>
      <c r="L32557"/>
    </row>
    <row r="32558" spans="2:12" x14ac:dyDescent="0.2">
      <c r="B32558"/>
      <c r="C32558"/>
      <c r="J32558"/>
      <c r="K32558"/>
      <c r="L32558"/>
    </row>
    <row r="32559" spans="2:12" x14ac:dyDescent="0.2">
      <c r="B32559"/>
      <c r="C32559"/>
      <c r="J32559"/>
      <c r="K32559"/>
      <c r="L32559"/>
    </row>
    <row r="32560" spans="2:12" x14ac:dyDescent="0.2">
      <c r="B32560"/>
      <c r="C32560"/>
      <c r="J32560"/>
      <c r="K32560"/>
      <c r="L32560"/>
    </row>
    <row r="32561" spans="2:12" x14ac:dyDescent="0.2">
      <c r="B32561"/>
      <c r="C32561"/>
      <c r="J32561"/>
      <c r="K32561"/>
      <c r="L32561"/>
    </row>
    <row r="32562" spans="2:12" x14ac:dyDescent="0.2">
      <c r="B32562"/>
      <c r="C32562"/>
      <c r="J32562"/>
      <c r="K32562"/>
      <c r="L32562"/>
    </row>
    <row r="32563" spans="2:12" x14ac:dyDescent="0.2">
      <c r="B32563"/>
      <c r="C32563"/>
      <c r="J32563"/>
      <c r="K32563"/>
      <c r="L32563"/>
    </row>
    <row r="32564" spans="2:12" x14ac:dyDescent="0.2">
      <c r="B32564"/>
      <c r="C32564"/>
      <c r="J32564"/>
      <c r="K32564"/>
      <c r="L32564"/>
    </row>
    <row r="32565" spans="2:12" x14ac:dyDescent="0.2">
      <c r="B32565"/>
      <c r="C32565"/>
      <c r="J32565"/>
      <c r="K32565"/>
      <c r="L32565"/>
    </row>
    <row r="32566" spans="2:12" x14ac:dyDescent="0.2">
      <c r="B32566"/>
      <c r="C32566"/>
      <c r="J32566"/>
      <c r="K32566"/>
      <c r="L32566"/>
    </row>
    <row r="32567" spans="2:12" x14ac:dyDescent="0.2">
      <c r="B32567"/>
      <c r="C32567"/>
      <c r="J32567"/>
      <c r="K32567"/>
      <c r="L32567"/>
    </row>
    <row r="32568" spans="2:12" x14ac:dyDescent="0.2">
      <c r="B32568"/>
      <c r="C32568"/>
      <c r="J32568"/>
      <c r="K32568"/>
      <c r="L32568"/>
    </row>
    <row r="32569" spans="2:12" x14ac:dyDescent="0.2">
      <c r="B32569"/>
      <c r="C32569"/>
      <c r="J32569"/>
      <c r="K32569"/>
      <c r="L32569"/>
    </row>
    <row r="32570" spans="2:12" x14ac:dyDescent="0.2">
      <c r="B32570"/>
      <c r="C32570"/>
      <c r="J32570"/>
      <c r="K32570"/>
      <c r="L32570"/>
    </row>
    <row r="32571" spans="2:12" x14ac:dyDescent="0.2">
      <c r="B32571"/>
      <c r="C32571"/>
      <c r="J32571"/>
      <c r="K32571"/>
      <c r="L32571"/>
    </row>
    <row r="32572" spans="2:12" x14ac:dyDescent="0.2">
      <c r="B32572"/>
      <c r="C32572"/>
      <c r="J32572"/>
      <c r="K32572"/>
      <c r="L32572"/>
    </row>
    <row r="32573" spans="2:12" x14ac:dyDescent="0.2">
      <c r="B32573"/>
      <c r="C32573"/>
      <c r="J32573"/>
      <c r="K32573"/>
      <c r="L32573"/>
    </row>
    <row r="32574" spans="2:12" x14ac:dyDescent="0.2">
      <c r="B32574"/>
      <c r="C32574"/>
      <c r="J32574"/>
      <c r="K32574"/>
      <c r="L32574"/>
    </row>
    <row r="32575" spans="2:12" x14ac:dyDescent="0.2">
      <c r="B32575"/>
      <c r="C32575"/>
      <c r="J32575"/>
      <c r="K32575"/>
      <c r="L32575"/>
    </row>
    <row r="32576" spans="2:12" x14ac:dyDescent="0.2">
      <c r="B32576"/>
      <c r="C32576"/>
      <c r="J32576"/>
      <c r="K32576"/>
      <c r="L32576"/>
    </row>
    <row r="32577" spans="2:12" x14ac:dyDescent="0.2">
      <c r="B32577"/>
      <c r="C32577"/>
      <c r="J32577"/>
      <c r="K32577"/>
      <c r="L32577"/>
    </row>
    <row r="32578" spans="2:12" x14ac:dyDescent="0.2">
      <c r="B32578"/>
      <c r="C32578"/>
      <c r="J32578"/>
      <c r="K32578"/>
      <c r="L32578"/>
    </row>
    <row r="32579" spans="2:12" x14ac:dyDescent="0.2">
      <c r="B32579"/>
      <c r="C32579"/>
      <c r="J32579"/>
      <c r="K32579"/>
      <c r="L32579"/>
    </row>
    <row r="32580" spans="2:12" x14ac:dyDescent="0.2">
      <c r="B32580"/>
      <c r="C32580"/>
      <c r="J32580"/>
      <c r="K32580"/>
      <c r="L32580"/>
    </row>
    <row r="32581" spans="2:12" x14ac:dyDescent="0.2">
      <c r="B32581"/>
      <c r="C32581"/>
      <c r="J32581"/>
      <c r="K32581"/>
      <c r="L32581"/>
    </row>
    <row r="32582" spans="2:12" x14ac:dyDescent="0.2">
      <c r="B32582"/>
      <c r="C32582"/>
      <c r="J32582"/>
      <c r="K32582"/>
      <c r="L32582"/>
    </row>
    <row r="32583" spans="2:12" x14ac:dyDescent="0.2">
      <c r="B32583"/>
      <c r="C32583"/>
      <c r="J32583"/>
      <c r="K32583"/>
      <c r="L32583"/>
    </row>
    <row r="32584" spans="2:12" x14ac:dyDescent="0.2">
      <c r="B32584"/>
      <c r="C32584"/>
      <c r="J32584"/>
      <c r="K32584"/>
      <c r="L32584"/>
    </row>
    <row r="32585" spans="2:12" x14ac:dyDescent="0.2">
      <c r="B32585"/>
      <c r="C32585"/>
      <c r="J32585"/>
      <c r="K32585"/>
      <c r="L32585"/>
    </row>
    <row r="32586" spans="2:12" x14ac:dyDescent="0.2">
      <c r="B32586"/>
      <c r="C32586"/>
      <c r="J32586"/>
      <c r="K32586"/>
      <c r="L32586"/>
    </row>
    <row r="32587" spans="2:12" x14ac:dyDescent="0.2">
      <c r="B32587"/>
      <c r="C32587"/>
      <c r="J32587"/>
      <c r="K32587"/>
      <c r="L32587"/>
    </row>
    <row r="32588" spans="2:12" x14ac:dyDescent="0.2">
      <c r="B32588"/>
      <c r="C32588"/>
      <c r="J32588"/>
      <c r="K32588"/>
      <c r="L32588"/>
    </row>
    <row r="32589" spans="2:12" x14ac:dyDescent="0.2">
      <c r="B32589"/>
      <c r="C32589"/>
      <c r="J32589"/>
      <c r="K32589"/>
      <c r="L32589"/>
    </row>
    <row r="32590" spans="2:12" x14ac:dyDescent="0.2">
      <c r="B32590"/>
      <c r="C32590"/>
      <c r="J32590"/>
      <c r="K32590"/>
      <c r="L32590"/>
    </row>
    <row r="32591" spans="2:12" x14ac:dyDescent="0.2">
      <c r="B32591"/>
      <c r="C32591"/>
      <c r="J32591"/>
      <c r="K32591"/>
      <c r="L32591"/>
    </row>
    <row r="32592" spans="2:12" x14ac:dyDescent="0.2">
      <c r="B32592"/>
      <c r="C32592"/>
      <c r="J32592"/>
      <c r="K32592"/>
      <c r="L32592"/>
    </row>
    <row r="32593" spans="2:12" x14ac:dyDescent="0.2">
      <c r="B32593"/>
      <c r="C32593"/>
      <c r="J32593"/>
      <c r="K32593"/>
      <c r="L32593"/>
    </row>
    <row r="32594" spans="2:12" x14ac:dyDescent="0.2">
      <c r="B32594"/>
      <c r="C32594"/>
      <c r="J32594"/>
      <c r="K32594"/>
      <c r="L32594"/>
    </row>
    <row r="32595" spans="2:12" x14ac:dyDescent="0.2">
      <c r="B32595"/>
      <c r="C32595"/>
      <c r="J32595"/>
      <c r="K32595"/>
      <c r="L32595"/>
    </row>
    <row r="32596" spans="2:12" x14ac:dyDescent="0.2">
      <c r="B32596"/>
      <c r="C32596"/>
      <c r="J32596"/>
      <c r="K32596"/>
      <c r="L32596"/>
    </row>
    <row r="32597" spans="2:12" x14ac:dyDescent="0.2">
      <c r="B32597"/>
      <c r="C32597"/>
      <c r="J32597"/>
      <c r="K32597"/>
      <c r="L32597"/>
    </row>
    <row r="32598" spans="2:12" x14ac:dyDescent="0.2">
      <c r="B32598"/>
      <c r="C32598"/>
      <c r="J32598"/>
      <c r="K32598"/>
      <c r="L32598"/>
    </row>
    <row r="32599" spans="2:12" x14ac:dyDescent="0.2">
      <c r="B32599"/>
      <c r="C32599"/>
      <c r="J32599"/>
      <c r="K32599"/>
      <c r="L32599"/>
    </row>
    <row r="32600" spans="2:12" x14ac:dyDescent="0.2">
      <c r="B32600"/>
      <c r="C32600"/>
      <c r="J32600"/>
      <c r="K32600"/>
      <c r="L32600"/>
    </row>
    <row r="32601" spans="2:12" x14ac:dyDescent="0.2">
      <c r="B32601"/>
      <c r="C32601"/>
      <c r="J32601"/>
      <c r="K32601"/>
      <c r="L32601"/>
    </row>
    <row r="32602" spans="2:12" x14ac:dyDescent="0.2">
      <c r="B32602"/>
      <c r="C32602"/>
      <c r="J32602"/>
      <c r="K32602"/>
      <c r="L32602"/>
    </row>
    <row r="32603" spans="2:12" x14ac:dyDescent="0.2">
      <c r="B32603"/>
      <c r="C32603"/>
      <c r="J32603"/>
      <c r="K32603"/>
      <c r="L32603"/>
    </row>
    <row r="32604" spans="2:12" x14ac:dyDescent="0.2">
      <c r="B32604"/>
      <c r="C32604"/>
      <c r="J32604"/>
      <c r="K32604"/>
      <c r="L32604"/>
    </row>
    <row r="32605" spans="2:12" x14ac:dyDescent="0.2">
      <c r="B32605"/>
      <c r="C32605"/>
      <c r="J32605"/>
      <c r="K32605"/>
      <c r="L32605"/>
    </row>
    <row r="32606" spans="2:12" x14ac:dyDescent="0.2">
      <c r="B32606"/>
      <c r="C32606"/>
      <c r="J32606"/>
      <c r="K32606"/>
      <c r="L32606"/>
    </row>
    <row r="32607" spans="2:12" x14ac:dyDescent="0.2">
      <c r="B32607"/>
      <c r="C32607"/>
      <c r="J32607"/>
      <c r="K32607"/>
      <c r="L32607"/>
    </row>
    <row r="32608" spans="2:12" x14ac:dyDescent="0.2">
      <c r="B32608"/>
      <c r="C32608"/>
      <c r="J32608"/>
      <c r="K32608"/>
      <c r="L32608"/>
    </row>
    <row r="32609" spans="2:12" x14ac:dyDescent="0.2">
      <c r="B32609"/>
      <c r="C32609"/>
      <c r="J32609"/>
      <c r="K32609"/>
      <c r="L32609"/>
    </row>
    <row r="32610" spans="2:12" x14ac:dyDescent="0.2">
      <c r="B32610"/>
      <c r="C32610"/>
      <c r="J32610"/>
      <c r="K32610"/>
      <c r="L32610"/>
    </row>
    <row r="32611" spans="2:12" x14ac:dyDescent="0.2">
      <c r="B32611"/>
      <c r="C32611"/>
      <c r="J32611"/>
      <c r="K32611"/>
      <c r="L32611"/>
    </row>
    <row r="32612" spans="2:12" x14ac:dyDescent="0.2">
      <c r="B32612"/>
      <c r="C32612"/>
      <c r="J32612"/>
      <c r="K32612"/>
      <c r="L32612"/>
    </row>
    <row r="32613" spans="2:12" x14ac:dyDescent="0.2">
      <c r="B32613"/>
      <c r="C32613"/>
      <c r="J32613"/>
      <c r="K32613"/>
      <c r="L32613"/>
    </row>
    <row r="32614" spans="2:12" x14ac:dyDescent="0.2">
      <c r="B32614"/>
      <c r="C32614"/>
      <c r="J32614"/>
      <c r="K32614"/>
      <c r="L32614"/>
    </row>
    <row r="32615" spans="2:12" x14ac:dyDescent="0.2">
      <c r="B32615"/>
      <c r="C32615"/>
      <c r="J32615"/>
      <c r="K32615"/>
      <c r="L32615"/>
    </row>
    <row r="32616" spans="2:12" x14ac:dyDescent="0.2">
      <c r="B32616"/>
      <c r="C32616"/>
      <c r="J32616"/>
      <c r="K32616"/>
      <c r="L32616"/>
    </row>
    <row r="32617" spans="2:12" x14ac:dyDescent="0.2">
      <c r="B32617"/>
      <c r="C32617"/>
      <c r="J32617"/>
      <c r="K32617"/>
      <c r="L32617"/>
    </row>
    <row r="32618" spans="2:12" x14ac:dyDescent="0.2">
      <c r="B32618"/>
      <c r="C32618"/>
      <c r="J32618"/>
      <c r="K32618"/>
      <c r="L32618"/>
    </row>
    <row r="32619" spans="2:12" x14ac:dyDescent="0.2">
      <c r="B32619"/>
      <c r="C32619"/>
      <c r="J32619"/>
      <c r="K32619"/>
      <c r="L32619"/>
    </row>
    <row r="32620" spans="2:12" x14ac:dyDescent="0.2">
      <c r="B32620"/>
      <c r="C32620"/>
      <c r="J32620"/>
      <c r="K32620"/>
      <c r="L32620"/>
    </row>
    <row r="32621" spans="2:12" x14ac:dyDescent="0.2">
      <c r="B32621"/>
      <c r="C32621"/>
      <c r="J32621"/>
      <c r="K32621"/>
      <c r="L32621"/>
    </row>
    <row r="32622" spans="2:12" x14ac:dyDescent="0.2">
      <c r="B32622"/>
      <c r="C32622"/>
      <c r="J32622"/>
      <c r="K32622"/>
      <c r="L32622"/>
    </row>
    <row r="32623" spans="2:12" x14ac:dyDescent="0.2">
      <c r="B32623"/>
      <c r="C32623"/>
      <c r="J32623"/>
      <c r="K32623"/>
      <c r="L32623"/>
    </row>
    <row r="32624" spans="2:12" x14ac:dyDescent="0.2">
      <c r="B32624"/>
      <c r="C32624"/>
      <c r="J32624"/>
      <c r="K32624"/>
      <c r="L32624"/>
    </row>
    <row r="32625" spans="2:12" x14ac:dyDescent="0.2">
      <c r="B32625"/>
      <c r="C32625"/>
      <c r="J32625"/>
      <c r="K32625"/>
      <c r="L32625"/>
    </row>
    <row r="32626" spans="2:12" x14ac:dyDescent="0.2">
      <c r="B32626"/>
      <c r="C32626"/>
      <c r="J32626"/>
      <c r="K32626"/>
      <c r="L32626"/>
    </row>
    <row r="32627" spans="2:12" x14ac:dyDescent="0.2">
      <c r="B32627"/>
      <c r="C32627"/>
      <c r="J32627"/>
      <c r="K32627"/>
      <c r="L32627"/>
    </row>
    <row r="32628" spans="2:12" x14ac:dyDescent="0.2">
      <c r="B32628"/>
      <c r="C32628"/>
      <c r="J32628"/>
      <c r="K32628"/>
      <c r="L32628"/>
    </row>
    <row r="32629" spans="2:12" x14ac:dyDescent="0.2">
      <c r="B32629"/>
      <c r="C32629"/>
      <c r="J32629"/>
      <c r="K32629"/>
      <c r="L32629"/>
    </row>
    <row r="32630" spans="2:12" x14ac:dyDescent="0.2">
      <c r="B32630"/>
      <c r="C32630"/>
      <c r="J32630"/>
      <c r="K32630"/>
      <c r="L32630"/>
    </row>
    <row r="32631" spans="2:12" x14ac:dyDescent="0.2">
      <c r="B32631"/>
      <c r="C32631"/>
      <c r="J32631"/>
      <c r="K32631"/>
      <c r="L32631"/>
    </row>
    <row r="32632" spans="2:12" x14ac:dyDescent="0.2">
      <c r="B32632"/>
      <c r="C32632"/>
      <c r="J32632"/>
      <c r="K32632"/>
      <c r="L32632"/>
    </row>
    <row r="32633" spans="2:12" x14ac:dyDescent="0.2">
      <c r="B32633"/>
      <c r="C32633"/>
      <c r="J32633"/>
      <c r="K32633"/>
      <c r="L32633"/>
    </row>
    <row r="32634" spans="2:12" x14ac:dyDescent="0.2">
      <c r="B32634"/>
      <c r="C32634"/>
      <c r="J32634"/>
      <c r="K32634"/>
      <c r="L32634"/>
    </row>
    <row r="32635" spans="2:12" x14ac:dyDescent="0.2">
      <c r="B32635"/>
      <c r="C32635"/>
      <c r="J32635"/>
      <c r="K32635"/>
      <c r="L32635"/>
    </row>
    <row r="32636" spans="2:12" x14ac:dyDescent="0.2">
      <c r="B32636"/>
      <c r="C32636"/>
      <c r="J32636"/>
      <c r="K32636"/>
      <c r="L32636"/>
    </row>
    <row r="32637" spans="2:12" x14ac:dyDescent="0.2">
      <c r="B32637"/>
      <c r="C32637"/>
      <c r="J32637"/>
      <c r="K32637"/>
      <c r="L32637"/>
    </row>
    <row r="32638" spans="2:12" x14ac:dyDescent="0.2">
      <c r="B32638"/>
      <c r="C32638"/>
      <c r="J32638"/>
      <c r="K32638"/>
      <c r="L32638"/>
    </row>
    <row r="32639" spans="2:12" x14ac:dyDescent="0.2">
      <c r="B32639"/>
      <c r="C32639"/>
      <c r="J32639"/>
      <c r="K32639"/>
      <c r="L32639"/>
    </row>
    <row r="32640" spans="2:12" x14ac:dyDescent="0.2">
      <c r="B32640"/>
      <c r="C32640"/>
      <c r="J32640"/>
      <c r="K32640"/>
      <c r="L32640"/>
    </row>
    <row r="32641" spans="2:12" x14ac:dyDescent="0.2">
      <c r="B32641"/>
      <c r="C32641"/>
      <c r="J32641"/>
      <c r="K32641"/>
      <c r="L32641"/>
    </row>
    <row r="32642" spans="2:12" x14ac:dyDescent="0.2">
      <c r="B32642"/>
      <c r="C32642"/>
      <c r="J32642"/>
      <c r="K32642"/>
      <c r="L32642"/>
    </row>
    <row r="32643" spans="2:12" x14ac:dyDescent="0.2">
      <c r="B32643"/>
      <c r="C32643"/>
      <c r="J32643"/>
      <c r="K32643"/>
      <c r="L32643"/>
    </row>
    <row r="32644" spans="2:12" x14ac:dyDescent="0.2">
      <c r="B32644"/>
      <c r="C32644"/>
      <c r="J32644"/>
      <c r="K32644"/>
      <c r="L32644"/>
    </row>
    <row r="32645" spans="2:12" x14ac:dyDescent="0.2">
      <c r="B32645"/>
      <c r="C32645"/>
      <c r="J32645"/>
      <c r="K32645"/>
      <c r="L32645"/>
    </row>
    <row r="32646" spans="2:12" x14ac:dyDescent="0.2">
      <c r="B32646"/>
      <c r="C32646"/>
      <c r="J32646"/>
      <c r="K32646"/>
      <c r="L32646"/>
    </row>
    <row r="32647" spans="2:12" x14ac:dyDescent="0.2">
      <c r="B32647"/>
      <c r="C32647"/>
      <c r="J32647"/>
      <c r="K32647"/>
      <c r="L32647"/>
    </row>
    <row r="32648" spans="2:12" x14ac:dyDescent="0.2">
      <c r="B32648"/>
      <c r="C32648"/>
      <c r="J32648"/>
      <c r="K32648"/>
      <c r="L32648"/>
    </row>
    <row r="32649" spans="2:12" x14ac:dyDescent="0.2">
      <c r="B32649"/>
      <c r="C32649"/>
      <c r="J32649"/>
      <c r="K32649"/>
      <c r="L32649"/>
    </row>
    <row r="32650" spans="2:12" x14ac:dyDescent="0.2">
      <c r="B32650"/>
      <c r="C32650"/>
      <c r="J32650"/>
      <c r="K32650"/>
      <c r="L32650"/>
    </row>
    <row r="32651" spans="2:12" x14ac:dyDescent="0.2">
      <c r="B32651"/>
      <c r="C32651"/>
      <c r="J32651"/>
      <c r="K32651"/>
      <c r="L32651"/>
    </row>
    <row r="32652" spans="2:12" x14ac:dyDescent="0.2">
      <c r="B32652"/>
      <c r="C32652"/>
      <c r="J32652"/>
      <c r="K32652"/>
      <c r="L32652"/>
    </row>
    <row r="32653" spans="2:12" x14ac:dyDescent="0.2">
      <c r="B32653"/>
      <c r="C32653"/>
      <c r="J32653"/>
      <c r="K32653"/>
      <c r="L32653"/>
    </row>
    <row r="32654" spans="2:12" x14ac:dyDescent="0.2">
      <c r="B32654"/>
      <c r="C32654"/>
      <c r="J32654"/>
      <c r="K32654"/>
      <c r="L32654"/>
    </row>
    <row r="32655" spans="2:12" x14ac:dyDescent="0.2">
      <c r="B32655"/>
      <c r="C32655"/>
      <c r="J32655"/>
      <c r="K32655"/>
      <c r="L32655"/>
    </row>
    <row r="32656" spans="2:12" x14ac:dyDescent="0.2">
      <c r="B32656"/>
      <c r="C32656"/>
      <c r="J32656"/>
      <c r="K32656"/>
      <c r="L32656"/>
    </row>
    <row r="32657" spans="2:12" x14ac:dyDescent="0.2">
      <c r="B32657"/>
      <c r="C32657"/>
      <c r="J32657"/>
      <c r="K32657"/>
      <c r="L32657"/>
    </row>
    <row r="32658" spans="2:12" x14ac:dyDescent="0.2">
      <c r="B32658"/>
      <c r="C32658"/>
      <c r="J32658"/>
      <c r="K32658"/>
      <c r="L32658"/>
    </row>
    <row r="32659" spans="2:12" x14ac:dyDescent="0.2">
      <c r="B32659"/>
      <c r="C32659"/>
      <c r="J32659"/>
      <c r="K32659"/>
      <c r="L32659"/>
    </row>
    <row r="32660" spans="2:12" x14ac:dyDescent="0.2">
      <c r="B32660"/>
      <c r="C32660"/>
      <c r="J32660"/>
      <c r="K32660"/>
      <c r="L32660"/>
    </row>
    <row r="32661" spans="2:12" x14ac:dyDescent="0.2">
      <c r="B32661"/>
      <c r="C32661"/>
      <c r="J32661"/>
      <c r="K32661"/>
      <c r="L32661"/>
    </row>
    <row r="32662" spans="2:12" x14ac:dyDescent="0.2">
      <c r="B32662"/>
      <c r="C32662"/>
      <c r="J32662"/>
      <c r="K32662"/>
      <c r="L32662"/>
    </row>
    <row r="32663" spans="2:12" x14ac:dyDescent="0.2">
      <c r="B32663"/>
      <c r="C32663"/>
      <c r="J32663"/>
      <c r="K32663"/>
      <c r="L32663"/>
    </row>
    <row r="32664" spans="2:12" x14ac:dyDescent="0.2">
      <c r="B32664"/>
      <c r="C32664"/>
      <c r="J32664"/>
      <c r="K32664"/>
      <c r="L32664"/>
    </row>
    <row r="32665" spans="2:12" x14ac:dyDescent="0.2">
      <c r="B32665"/>
      <c r="C32665"/>
      <c r="J32665"/>
      <c r="K32665"/>
      <c r="L32665"/>
    </row>
    <row r="32666" spans="2:12" x14ac:dyDescent="0.2">
      <c r="B32666"/>
      <c r="C32666"/>
      <c r="J32666"/>
      <c r="K32666"/>
      <c r="L32666"/>
    </row>
    <row r="32667" spans="2:12" x14ac:dyDescent="0.2">
      <c r="B32667"/>
      <c r="C32667"/>
      <c r="J32667"/>
      <c r="K32667"/>
      <c r="L32667"/>
    </row>
    <row r="32668" spans="2:12" x14ac:dyDescent="0.2">
      <c r="B32668"/>
      <c r="C32668"/>
      <c r="J32668"/>
      <c r="K32668"/>
      <c r="L32668"/>
    </row>
    <row r="32669" spans="2:12" x14ac:dyDescent="0.2">
      <c r="B32669"/>
      <c r="C32669"/>
      <c r="J32669"/>
      <c r="K32669"/>
      <c r="L32669"/>
    </row>
    <row r="32670" spans="2:12" x14ac:dyDescent="0.2">
      <c r="B32670"/>
      <c r="C32670"/>
      <c r="J32670"/>
      <c r="K32670"/>
      <c r="L32670"/>
    </row>
    <row r="32671" spans="2:12" x14ac:dyDescent="0.2">
      <c r="B32671"/>
      <c r="C32671"/>
      <c r="J32671"/>
      <c r="K32671"/>
      <c r="L32671"/>
    </row>
    <row r="32672" spans="2:12" x14ac:dyDescent="0.2">
      <c r="B32672"/>
      <c r="C32672"/>
      <c r="J32672"/>
      <c r="K32672"/>
      <c r="L32672"/>
    </row>
    <row r="32673" spans="2:12" x14ac:dyDescent="0.2">
      <c r="B32673"/>
      <c r="C32673"/>
      <c r="J32673"/>
      <c r="K32673"/>
      <c r="L32673"/>
    </row>
    <row r="32674" spans="2:12" x14ac:dyDescent="0.2">
      <c r="B32674"/>
      <c r="C32674"/>
      <c r="J32674"/>
      <c r="K32674"/>
      <c r="L32674"/>
    </row>
    <row r="32675" spans="2:12" x14ac:dyDescent="0.2">
      <c r="B32675"/>
      <c r="C32675"/>
      <c r="J32675"/>
      <c r="K32675"/>
      <c r="L32675"/>
    </row>
    <row r="32676" spans="2:12" x14ac:dyDescent="0.2">
      <c r="B32676"/>
      <c r="C32676"/>
      <c r="J32676"/>
      <c r="K32676"/>
      <c r="L32676"/>
    </row>
    <row r="32677" spans="2:12" x14ac:dyDescent="0.2">
      <c r="B32677"/>
      <c r="C32677"/>
      <c r="J32677"/>
      <c r="K32677"/>
      <c r="L32677"/>
    </row>
    <row r="32678" spans="2:12" x14ac:dyDescent="0.2">
      <c r="B32678"/>
      <c r="C32678"/>
      <c r="J32678"/>
      <c r="K32678"/>
      <c r="L32678"/>
    </row>
    <row r="32679" spans="2:12" x14ac:dyDescent="0.2">
      <c r="B32679"/>
      <c r="C32679"/>
      <c r="J32679"/>
      <c r="K32679"/>
      <c r="L32679"/>
    </row>
    <row r="32680" spans="2:12" x14ac:dyDescent="0.2">
      <c r="B32680"/>
      <c r="C32680"/>
      <c r="J32680"/>
      <c r="K32680"/>
      <c r="L32680"/>
    </row>
    <row r="32681" spans="2:12" x14ac:dyDescent="0.2">
      <c r="B32681"/>
      <c r="C32681"/>
      <c r="J32681"/>
      <c r="K32681"/>
      <c r="L32681"/>
    </row>
    <row r="32682" spans="2:12" x14ac:dyDescent="0.2">
      <c r="B32682"/>
      <c r="C32682"/>
      <c r="J32682"/>
      <c r="K32682"/>
      <c r="L32682"/>
    </row>
    <row r="32683" spans="2:12" x14ac:dyDescent="0.2">
      <c r="B32683"/>
      <c r="C32683"/>
      <c r="J32683"/>
      <c r="K32683"/>
      <c r="L32683"/>
    </row>
    <row r="32684" spans="2:12" x14ac:dyDescent="0.2">
      <c r="B32684"/>
      <c r="C32684"/>
      <c r="J32684"/>
      <c r="K32684"/>
      <c r="L32684"/>
    </row>
    <row r="32685" spans="2:12" x14ac:dyDescent="0.2">
      <c r="B32685"/>
      <c r="C32685"/>
      <c r="J32685"/>
      <c r="K32685"/>
      <c r="L32685"/>
    </row>
    <row r="32686" spans="2:12" x14ac:dyDescent="0.2">
      <c r="B32686"/>
      <c r="C32686"/>
      <c r="J32686"/>
      <c r="K32686"/>
      <c r="L32686"/>
    </row>
    <row r="32687" spans="2:12" x14ac:dyDescent="0.2">
      <c r="B32687"/>
      <c r="C32687"/>
      <c r="J32687"/>
      <c r="K32687"/>
      <c r="L32687"/>
    </row>
    <row r="32688" spans="2:12" x14ac:dyDescent="0.2">
      <c r="B32688"/>
      <c r="C32688"/>
      <c r="J32688"/>
      <c r="K32688"/>
      <c r="L32688"/>
    </row>
    <row r="32689" spans="2:12" x14ac:dyDescent="0.2">
      <c r="B32689"/>
      <c r="C32689"/>
      <c r="J32689"/>
      <c r="K32689"/>
      <c r="L32689"/>
    </row>
    <row r="32690" spans="2:12" x14ac:dyDescent="0.2">
      <c r="B32690"/>
      <c r="C32690"/>
      <c r="J32690"/>
      <c r="K32690"/>
      <c r="L32690"/>
    </row>
    <row r="32691" spans="2:12" x14ac:dyDescent="0.2">
      <c r="B32691"/>
      <c r="C32691"/>
      <c r="J32691"/>
      <c r="K32691"/>
      <c r="L32691"/>
    </row>
    <row r="32692" spans="2:12" x14ac:dyDescent="0.2">
      <c r="B32692"/>
      <c r="C32692"/>
      <c r="J32692"/>
      <c r="K32692"/>
      <c r="L32692"/>
    </row>
    <row r="32693" spans="2:12" x14ac:dyDescent="0.2">
      <c r="B32693"/>
      <c r="C32693"/>
      <c r="J32693"/>
      <c r="K32693"/>
      <c r="L32693"/>
    </row>
    <row r="32694" spans="2:12" x14ac:dyDescent="0.2">
      <c r="B32694"/>
      <c r="C32694"/>
      <c r="J32694"/>
      <c r="K32694"/>
      <c r="L32694"/>
    </row>
    <row r="32695" spans="2:12" x14ac:dyDescent="0.2">
      <c r="B32695"/>
      <c r="C32695"/>
      <c r="J32695"/>
      <c r="K32695"/>
      <c r="L32695"/>
    </row>
    <row r="32696" spans="2:12" x14ac:dyDescent="0.2">
      <c r="B32696"/>
      <c r="C32696"/>
      <c r="J32696"/>
      <c r="K32696"/>
      <c r="L32696"/>
    </row>
    <row r="32697" spans="2:12" x14ac:dyDescent="0.2">
      <c r="B32697"/>
      <c r="C32697"/>
      <c r="J32697"/>
      <c r="K32697"/>
      <c r="L32697"/>
    </row>
    <row r="32698" spans="2:12" x14ac:dyDescent="0.2">
      <c r="B32698"/>
      <c r="C32698"/>
      <c r="J32698"/>
      <c r="K32698"/>
      <c r="L32698"/>
    </row>
    <row r="32699" spans="2:12" x14ac:dyDescent="0.2">
      <c r="B32699"/>
      <c r="C32699"/>
      <c r="J32699"/>
      <c r="K32699"/>
      <c r="L32699"/>
    </row>
    <row r="32700" spans="2:12" x14ac:dyDescent="0.2">
      <c r="B32700"/>
      <c r="C32700"/>
      <c r="J32700"/>
      <c r="K32700"/>
      <c r="L32700"/>
    </row>
    <row r="32701" spans="2:12" x14ac:dyDescent="0.2">
      <c r="B32701"/>
      <c r="C32701"/>
      <c r="J32701"/>
      <c r="K32701"/>
      <c r="L32701"/>
    </row>
    <row r="32702" spans="2:12" x14ac:dyDescent="0.2">
      <c r="B32702"/>
      <c r="C32702"/>
      <c r="J32702"/>
      <c r="K32702"/>
      <c r="L32702"/>
    </row>
    <row r="32703" spans="2:12" x14ac:dyDescent="0.2">
      <c r="B32703"/>
      <c r="C32703"/>
      <c r="J32703"/>
      <c r="K32703"/>
      <c r="L32703"/>
    </row>
    <row r="32704" spans="2:12" x14ac:dyDescent="0.2">
      <c r="B32704"/>
      <c r="C32704"/>
      <c r="J32704"/>
      <c r="K32704"/>
      <c r="L32704"/>
    </row>
    <row r="32705" spans="2:12" x14ac:dyDescent="0.2">
      <c r="B32705"/>
      <c r="C32705"/>
      <c r="J32705"/>
      <c r="K32705"/>
      <c r="L32705"/>
    </row>
    <row r="32706" spans="2:12" x14ac:dyDescent="0.2">
      <c r="B32706"/>
      <c r="C32706"/>
      <c r="J32706"/>
      <c r="K32706"/>
      <c r="L32706"/>
    </row>
    <row r="32707" spans="2:12" x14ac:dyDescent="0.2">
      <c r="B32707"/>
      <c r="C32707"/>
      <c r="J32707"/>
      <c r="K32707"/>
      <c r="L32707"/>
    </row>
    <row r="32708" spans="2:12" x14ac:dyDescent="0.2">
      <c r="B32708"/>
      <c r="C32708"/>
      <c r="J32708"/>
      <c r="K32708"/>
      <c r="L32708"/>
    </row>
    <row r="32709" spans="2:12" x14ac:dyDescent="0.2">
      <c r="B32709"/>
      <c r="C32709"/>
      <c r="J32709"/>
      <c r="K32709"/>
      <c r="L32709"/>
    </row>
    <row r="32710" spans="2:12" x14ac:dyDescent="0.2">
      <c r="B32710"/>
      <c r="C32710"/>
      <c r="J32710"/>
      <c r="K32710"/>
      <c r="L32710"/>
    </row>
    <row r="32711" spans="2:12" x14ac:dyDescent="0.2">
      <c r="B32711"/>
      <c r="C32711"/>
      <c r="J32711"/>
      <c r="K32711"/>
      <c r="L32711"/>
    </row>
    <row r="32712" spans="2:12" x14ac:dyDescent="0.2">
      <c r="B32712"/>
      <c r="C32712"/>
      <c r="J32712"/>
      <c r="K32712"/>
      <c r="L32712"/>
    </row>
    <row r="32713" spans="2:12" x14ac:dyDescent="0.2">
      <c r="B32713"/>
      <c r="C32713"/>
      <c r="J32713"/>
      <c r="K32713"/>
      <c r="L32713"/>
    </row>
    <row r="32714" spans="2:12" x14ac:dyDescent="0.2">
      <c r="B32714"/>
      <c r="C32714"/>
      <c r="J32714"/>
      <c r="K32714"/>
      <c r="L32714"/>
    </row>
    <row r="32715" spans="2:12" x14ac:dyDescent="0.2">
      <c r="B32715"/>
      <c r="C32715"/>
      <c r="J32715"/>
      <c r="K32715"/>
      <c r="L32715"/>
    </row>
    <row r="32716" spans="2:12" x14ac:dyDescent="0.2">
      <c r="B32716"/>
      <c r="C32716"/>
      <c r="J32716"/>
      <c r="K32716"/>
      <c r="L32716"/>
    </row>
    <row r="32717" spans="2:12" x14ac:dyDescent="0.2">
      <c r="B32717"/>
      <c r="C32717"/>
      <c r="J32717"/>
      <c r="K32717"/>
      <c r="L32717"/>
    </row>
    <row r="32718" spans="2:12" x14ac:dyDescent="0.2">
      <c r="B32718"/>
      <c r="C32718"/>
      <c r="J32718"/>
      <c r="K32718"/>
      <c r="L32718"/>
    </row>
    <row r="32719" spans="2:12" x14ac:dyDescent="0.2">
      <c r="B32719"/>
      <c r="C32719"/>
      <c r="J32719"/>
      <c r="K32719"/>
      <c r="L32719"/>
    </row>
    <row r="32720" spans="2:12" x14ac:dyDescent="0.2">
      <c r="B32720"/>
      <c r="C32720"/>
      <c r="J32720"/>
      <c r="K32720"/>
      <c r="L32720"/>
    </row>
    <row r="32721" spans="2:12" x14ac:dyDescent="0.2">
      <c r="B32721"/>
      <c r="C32721"/>
      <c r="J32721"/>
      <c r="K32721"/>
      <c r="L32721"/>
    </row>
    <row r="32722" spans="2:12" x14ac:dyDescent="0.2">
      <c r="B32722"/>
      <c r="C32722"/>
      <c r="J32722"/>
      <c r="K32722"/>
      <c r="L32722"/>
    </row>
    <row r="32723" spans="2:12" x14ac:dyDescent="0.2">
      <c r="B32723"/>
      <c r="C32723"/>
      <c r="J32723"/>
      <c r="K32723"/>
      <c r="L32723"/>
    </row>
    <row r="32724" spans="2:12" x14ac:dyDescent="0.2">
      <c r="B32724"/>
      <c r="C32724"/>
      <c r="J32724"/>
      <c r="K32724"/>
      <c r="L32724"/>
    </row>
    <row r="32725" spans="2:12" x14ac:dyDescent="0.2">
      <c r="B32725"/>
      <c r="C32725"/>
      <c r="J32725"/>
      <c r="K32725"/>
      <c r="L32725"/>
    </row>
    <row r="32726" spans="2:12" x14ac:dyDescent="0.2">
      <c r="B32726"/>
      <c r="C32726"/>
      <c r="J32726"/>
      <c r="K32726"/>
      <c r="L32726"/>
    </row>
    <row r="32727" spans="2:12" x14ac:dyDescent="0.2">
      <c r="B32727"/>
      <c r="C32727"/>
      <c r="J32727"/>
      <c r="K32727"/>
      <c r="L32727"/>
    </row>
    <row r="32728" spans="2:12" x14ac:dyDescent="0.2">
      <c r="B32728"/>
      <c r="C32728"/>
      <c r="J32728"/>
      <c r="K32728"/>
      <c r="L32728"/>
    </row>
    <row r="32729" spans="2:12" x14ac:dyDescent="0.2">
      <c r="B32729"/>
      <c r="C32729"/>
      <c r="J32729"/>
      <c r="K32729"/>
      <c r="L32729"/>
    </row>
    <row r="32730" spans="2:12" x14ac:dyDescent="0.2">
      <c r="B32730"/>
      <c r="C32730"/>
      <c r="J32730"/>
      <c r="K32730"/>
      <c r="L32730"/>
    </row>
    <row r="32731" spans="2:12" x14ac:dyDescent="0.2">
      <c r="B32731"/>
      <c r="C32731"/>
      <c r="J32731"/>
      <c r="K32731"/>
      <c r="L32731"/>
    </row>
    <row r="32732" spans="2:12" x14ac:dyDescent="0.2">
      <c r="B32732"/>
      <c r="C32732"/>
      <c r="J32732"/>
      <c r="K32732"/>
      <c r="L32732"/>
    </row>
    <row r="32733" spans="2:12" x14ac:dyDescent="0.2">
      <c r="B32733"/>
      <c r="C32733"/>
      <c r="J32733"/>
      <c r="K32733"/>
      <c r="L32733"/>
    </row>
    <row r="32734" spans="2:12" x14ac:dyDescent="0.2">
      <c r="B32734"/>
      <c r="C32734"/>
      <c r="J32734"/>
      <c r="K32734"/>
      <c r="L32734"/>
    </row>
    <row r="32735" spans="2:12" x14ac:dyDescent="0.2">
      <c r="B32735"/>
      <c r="C32735"/>
      <c r="J32735"/>
      <c r="K32735"/>
      <c r="L32735"/>
    </row>
    <row r="32736" spans="2:12" x14ac:dyDescent="0.2">
      <c r="B32736"/>
      <c r="C32736"/>
      <c r="J32736"/>
      <c r="K32736"/>
      <c r="L32736"/>
    </row>
    <row r="32737" spans="2:12" x14ac:dyDescent="0.2">
      <c r="B32737"/>
      <c r="C32737"/>
      <c r="J32737"/>
      <c r="K32737"/>
      <c r="L32737"/>
    </row>
    <row r="32738" spans="2:12" x14ac:dyDescent="0.2">
      <c r="B32738"/>
      <c r="C32738"/>
      <c r="J32738"/>
      <c r="K32738"/>
      <c r="L32738"/>
    </row>
    <row r="32739" spans="2:12" x14ac:dyDescent="0.2">
      <c r="B32739"/>
      <c r="C32739"/>
      <c r="J32739"/>
      <c r="K32739"/>
      <c r="L32739"/>
    </row>
    <row r="32740" spans="2:12" x14ac:dyDescent="0.2">
      <c r="B32740"/>
      <c r="C32740"/>
      <c r="J32740"/>
      <c r="K32740"/>
      <c r="L32740"/>
    </row>
    <row r="32741" spans="2:12" x14ac:dyDescent="0.2">
      <c r="B32741"/>
      <c r="C32741"/>
      <c r="J32741"/>
      <c r="K32741"/>
      <c r="L32741"/>
    </row>
    <row r="32742" spans="2:12" x14ac:dyDescent="0.2">
      <c r="B32742"/>
      <c r="C32742"/>
      <c r="J32742"/>
      <c r="K32742"/>
      <c r="L32742"/>
    </row>
    <row r="32743" spans="2:12" x14ac:dyDescent="0.2">
      <c r="B32743"/>
      <c r="C32743"/>
      <c r="J32743"/>
      <c r="K32743"/>
      <c r="L32743"/>
    </row>
    <row r="32744" spans="2:12" x14ac:dyDescent="0.2">
      <c r="B32744"/>
      <c r="C32744"/>
      <c r="J32744"/>
      <c r="K32744"/>
      <c r="L32744"/>
    </row>
    <row r="32745" spans="2:12" x14ac:dyDescent="0.2">
      <c r="B32745"/>
      <c r="C32745"/>
      <c r="J32745"/>
      <c r="K32745"/>
      <c r="L32745"/>
    </row>
    <row r="32746" spans="2:12" x14ac:dyDescent="0.2">
      <c r="B32746"/>
      <c r="C32746"/>
      <c r="J32746"/>
      <c r="K32746"/>
      <c r="L32746"/>
    </row>
    <row r="32747" spans="2:12" x14ac:dyDescent="0.2">
      <c r="B32747"/>
      <c r="C32747"/>
      <c r="J32747"/>
      <c r="K32747"/>
      <c r="L32747"/>
    </row>
    <row r="32748" spans="2:12" x14ac:dyDescent="0.2">
      <c r="B32748"/>
      <c r="C32748"/>
      <c r="J32748"/>
      <c r="K32748"/>
      <c r="L32748"/>
    </row>
    <row r="32749" spans="2:12" x14ac:dyDescent="0.2">
      <c r="B32749"/>
      <c r="C32749"/>
      <c r="J32749"/>
      <c r="K32749"/>
      <c r="L32749"/>
    </row>
    <row r="32750" spans="2:12" x14ac:dyDescent="0.2">
      <c r="B32750"/>
      <c r="C32750"/>
      <c r="J32750"/>
      <c r="K32750"/>
      <c r="L32750"/>
    </row>
    <row r="32751" spans="2:12" x14ac:dyDescent="0.2">
      <c r="B32751"/>
      <c r="C32751"/>
      <c r="J32751"/>
      <c r="K32751"/>
      <c r="L32751"/>
    </row>
    <row r="32752" spans="2:12" x14ac:dyDescent="0.2">
      <c r="B32752"/>
      <c r="C32752"/>
      <c r="J32752"/>
      <c r="K32752"/>
      <c r="L32752"/>
    </row>
    <row r="32753" spans="2:12" x14ac:dyDescent="0.2">
      <c r="B32753"/>
      <c r="C32753"/>
      <c r="J32753"/>
      <c r="K32753"/>
      <c r="L32753"/>
    </row>
    <row r="32754" spans="2:12" x14ac:dyDescent="0.2">
      <c r="B32754"/>
      <c r="C32754"/>
      <c r="J32754"/>
      <c r="K32754"/>
      <c r="L32754"/>
    </row>
    <row r="32755" spans="2:12" x14ac:dyDescent="0.2">
      <c r="B32755"/>
      <c r="C32755"/>
      <c r="J32755"/>
      <c r="K32755"/>
      <c r="L32755"/>
    </row>
    <row r="32756" spans="2:12" x14ac:dyDescent="0.2">
      <c r="B32756"/>
      <c r="C32756"/>
      <c r="J32756"/>
      <c r="K32756"/>
      <c r="L32756"/>
    </row>
    <row r="32757" spans="2:12" x14ac:dyDescent="0.2">
      <c r="B32757"/>
      <c r="C32757"/>
      <c r="J32757"/>
      <c r="K32757"/>
      <c r="L32757"/>
    </row>
    <row r="32758" spans="2:12" x14ac:dyDescent="0.2">
      <c r="B32758"/>
      <c r="C32758"/>
      <c r="J32758"/>
      <c r="K32758"/>
      <c r="L32758"/>
    </row>
    <row r="32759" spans="2:12" x14ac:dyDescent="0.2">
      <c r="B32759"/>
      <c r="C32759"/>
      <c r="J32759"/>
      <c r="K32759"/>
      <c r="L32759"/>
    </row>
    <row r="32760" spans="2:12" x14ac:dyDescent="0.2">
      <c r="B32760"/>
      <c r="C32760"/>
      <c r="J32760"/>
      <c r="K32760"/>
      <c r="L32760"/>
    </row>
    <row r="32761" spans="2:12" x14ac:dyDescent="0.2">
      <c r="B32761"/>
      <c r="C32761"/>
      <c r="J32761"/>
      <c r="K32761"/>
      <c r="L32761"/>
    </row>
    <row r="32762" spans="2:12" x14ac:dyDescent="0.2">
      <c r="B32762"/>
      <c r="C32762"/>
      <c r="J32762"/>
      <c r="K32762"/>
      <c r="L32762"/>
    </row>
    <row r="32763" spans="2:12" x14ac:dyDescent="0.2">
      <c r="B32763"/>
      <c r="C32763"/>
      <c r="J32763"/>
      <c r="K32763"/>
      <c r="L32763"/>
    </row>
    <row r="32764" spans="2:12" x14ac:dyDescent="0.2">
      <c r="B32764"/>
      <c r="C32764"/>
      <c r="J32764"/>
      <c r="K32764"/>
      <c r="L32764"/>
    </row>
    <row r="32765" spans="2:12" x14ac:dyDescent="0.2">
      <c r="B32765"/>
      <c r="C32765"/>
      <c r="J32765"/>
      <c r="K32765"/>
      <c r="L32765"/>
    </row>
    <row r="32766" spans="2:12" x14ac:dyDescent="0.2">
      <c r="B32766"/>
      <c r="C32766"/>
      <c r="J32766"/>
      <c r="K32766"/>
      <c r="L32766"/>
    </row>
    <row r="32767" spans="2:12" x14ac:dyDescent="0.2">
      <c r="B32767"/>
      <c r="C32767"/>
      <c r="J32767"/>
      <c r="K32767"/>
      <c r="L32767"/>
    </row>
    <row r="32768" spans="2:12" x14ac:dyDescent="0.2">
      <c r="B32768"/>
      <c r="C32768"/>
      <c r="J32768"/>
      <c r="K32768"/>
      <c r="L32768"/>
    </row>
    <row r="32769" spans="2:12" x14ac:dyDescent="0.2">
      <c r="B32769"/>
      <c r="C32769"/>
      <c r="J32769"/>
      <c r="K32769"/>
      <c r="L32769"/>
    </row>
    <row r="32770" spans="2:12" x14ac:dyDescent="0.2">
      <c r="B32770"/>
      <c r="C32770"/>
      <c r="J32770"/>
      <c r="K32770"/>
      <c r="L32770"/>
    </row>
    <row r="32771" spans="2:12" x14ac:dyDescent="0.2">
      <c r="B32771"/>
      <c r="C32771"/>
      <c r="J32771"/>
      <c r="K32771"/>
      <c r="L32771"/>
    </row>
    <row r="32772" spans="2:12" x14ac:dyDescent="0.2">
      <c r="B32772"/>
      <c r="C32772"/>
      <c r="J32772"/>
      <c r="K32772"/>
      <c r="L32772"/>
    </row>
    <row r="32773" spans="2:12" x14ac:dyDescent="0.2">
      <c r="B32773"/>
      <c r="C32773"/>
      <c r="J32773"/>
      <c r="K32773"/>
      <c r="L32773"/>
    </row>
    <row r="32774" spans="2:12" x14ac:dyDescent="0.2">
      <c r="B32774"/>
      <c r="C32774"/>
      <c r="J32774"/>
      <c r="K32774"/>
      <c r="L32774"/>
    </row>
    <row r="32775" spans="2:12" x14ac:dyDescent="0.2">
      <c r="B32775"/>
      <c r="C32775"/>
      <c r="J32775"/>
      <c r="K32775"/>
      <c r="L32775"/>
    </row>
    <row r="32776" spans="2:12" x14ac:dyDescent="0.2">
      <c r="B32776"/>
      <c r="C32776"/>
      <c r="J32776"/>
      <c r="K32776"/>
      <c r="L32776"/>
    </row>
    <row r="32777" spans="2:12" x14ac:dyDescent="0.2">
      <c r="B32777"/>
      <c r="C32777"/>
      <c r="J32777"/>
      <c r="K32777"/>
      <c r="L32777"/>
    </row>
    <row r="32778" spans="2:12" x14ac:dyDescent="0.2">
      <c r="B32778"/>
      <c r="C32778"/>
      <c r="J32778"/>
      <c r="K32778"/>
      <c r="L32778"/>
    </row>
    <row r="32779" spans="2:12" x14ac:dyDescent="0.2">
      <c r="B32779"/>
      <c r="C32779"/>
      <c r="J32779"/>
      <c r="K32779"/>
      <c r="L32779"/>
    </row>
    <row r="32780" spans="2:12" x14ac:dyDescent="0.2">
      <c r="B32780"/>
      <c r="C32780"/>
      <c r="J32780"/>
      <c r="K32780"/>
      <c r="L32780"/>
    </row>
    <row r="32781" spans="2:12" x14ac:dyDescent="0.2">
      <c r="B32781"/>
      <c r="C32781"/>
      <c r="J32781"/>
      <c r="K32781"/>
      <c r="L32781"/>
    </row>
    <row r="32782" spans="2:12" x14ac:dyDescent="0.2">
      <c r="B32782"/>
      <c r="C32782"/>
      <c r="J32782"/>
      <c r="K32782"/>
      <c r="L32782"/>
    </row>
    <row r="32783" spans="2:12" x14ac:dyDescent="0.2">
      <c r="B32783"/>
      <c r="C32783"/>
      <c r="J32783"/>
      <c r="K32783"/>
      <c r="L32783"/>
    </row>
    <row r="32784" spans="2:12" x14ac:dyDescent="0.2">
      <c r="B32784"/>
      <c r="C32784"/>
      <c r="J32784"/>
      <c r="K32784"/>
      <c r="L32784"/>
    </row>
    <row r="32785" spans="2:12" x14ac:dyDescent="0.2">
      <c r="B32785"/>
      <c r="C32785"/>
      <c r="J32785"/>
      <c r="K32785"/>
      <c r="L32785"/>
    </row>
    <row r="32786" spans="2:12" x14ac:dyDescent="0.2">
      <c r="B32786"/>
      <c r="C32786"/>
      <c r="J32786"/>
      <c r="K32786"/>
      <c r="L32786"/>
    </row>
    <row r="32787" spans="2:12" x14ac:dyDescent="0.2">
      <c r="B32787"/>
      <c r="C32787"/>
      <c r="J32787"/>
      <c r="K32787"/>
      <c r="L32787"/>
    </row>
    <row r="32788" spans="2:12" x14ac:dyDescent="0.2">
      <c r="B32788"/>
      <c r="C32788"/>
      <c r="J32788"/>
      <c r="K32788"/>
      <c r="L32788"/>
    </row>
    <row r="32789" spans="2:12" x14ac:dyDescent="0.2">
      <c r="B32789"/>
      <c r="C32789"/>
      <c r="J32789"/>
      <c r="K32789"/>
      <c r="L32789"/>
    </row>
    <row r="32790" spans="2:12" x14ac:dyDescent="0.2">
      <c r="B32790"/>
      <c r="C32790"/>
      <c r="J32790"/>
      <c r="K32790"/>
      <c r="L32790"/>
    </row>
    <row r="32791" spans="2:12" x14ac:dyDescent="0.2">
      <c r="B32791"/>
      <c r="C32791"/>
      <c r="J32791"/>
      <c r="K32791"/>
      <c r="L32791"/>
    </row>
    <row r="32792" spans="2:12" x14ac:dyDescent="0.2">
      <c r="B32792"/>
      <c r="C32792"/>
      <c r="J32792"/>
      <c r="K32792"/>
      <c r="L32792"/>
    </row>
    <row r="32793" spans="2:12" x14ac:dyDescent="0.2">
      <c r="B32793"/>
      <c r="C32793"/>
      <c r="J32793"/>
      <c r="K32793"/>
      <c r="L32793"/>
    </row>
    <row r="32794" spans="2:12" x14ac:dyDescent="0.2">
      <c r="B32794"/>
      <c r="C32794"/>
      <c r="J32794"/>
      <c r="K32794"/>
      <c r="L32794"/>
    </row>
    <row r="32795" spans="2:12" x14ac:dyDescent="0.2">
      <c r="B32795"/>
      <c r="C32795"/>
      <c r="J32795"/>
      <c r="K32795"/>
      <c r="L32795"/>
    </row>
    <row r="32796" spans="2:12" x14ac:dyDescent="0.2">
      <c r="B32796"/>
      <c r="C32796"/>
      <c r="J32796"/>
      <c r="K32796"/>
      <c r="L32796"/>
    </row>
    <row r="32797" spans="2:12" x14ac:dyDescent="0.2">
      <c r="B32797"/>
      <c r="C32797"/>
      <c r="J32797"/>
      <c r="K32797"/>
      <c r="L32797"/>
    </row>
    <row r="32798" spans="2:12" x14ac:dyDescent="0.2">
      <c r="B32798"/>
      <c r="C32798"/>
      <c r="J32798"/>
      <c r="K32798"/>
      <c r="L32798"/>
    </row>
    <row r="32799" spans="2:12" x14ac:dyDescent="0.2">
      <c r="B32799"/>
      <c r="C32799"/>
      <c r="J32799"/>
      <c r="K32799"/>
      <c r="L32799"/>
    </row>
    <row r="32800" spans="2:12" x14ac:dyDescent="0.2">
      <c r="B32800"/>
      <c r="C32800"/>
      <c r="J32800"/>
      <c r="K32800"/>
      <c r="L32800"/>
    </row>
    <row r="32801" spans="2:12" x14ac:dyDescent="0.2">
      <c r="B32801"/>
      <c r="C32801"/>
      <c r="J32801"/>
      <c r="K32801"/>
      <c r="L32801"/>
    </row>
    <row r="32802" spans="2:12" x14ac:dyDescent="0.2">
      <c r="B32802"/>
      <c r="C32802"/>
      <c r="J32802"/>
      <c r="K32802"/>
      <c r="L32802"/>
    </row>
    <row r="32803" spans="2:12" x14ac:dyDescent="0.2">
      <c r="B32803"/>
      <c r="C32803"/>
      <c r="J32803"/>
      <c r="K32803"/>
      <c r="L32803"/>
    </row>
    <row r="32804" spans="2:12" x14ac:dyDescent="0.2">
      <c r="B32804"/>
      <c r="C32804"/>
      <c r="J32804"/>
      <c r="K32804"/>
      <c r="L32804"/>
    </row>
    <row r="32805" spans="2:12" x14ac:dyDescent="0.2">
      <c r="B32805"/>
      <c r="C32805"/>
      <c r="J32805"/>
      <c r="K32805"/>
      <c r="L32805"/>
    </row>
    <row r="32806" spans="2:12" x14ac:dyDescent="0.2">
      <c r="B32806"/>
      <c r="C32806"/>
      <c r="J32806"/>
      <c r="K32806"/>
      <c r="L32806"/>
    </row>
    <row r="32807" spans="2:12" x14ac:dyDescent="0.2">
      <c r="B32807"/>
      <c r="C32807"/>
      <c r="J32807"/>
      <c r="K32807"/>
      <c r="L32807"/>
    </row>
    <row r="32808" spans="2:12" x14ac:dyDescent="0.2">
      <c r="B32808"/>
      <c r="C32808"/>
      <c r="J32808"/>
      <c r="K32808"/>
      <c r="L32808"/>
    </row>
    <row r="32809" spans="2:12" x14ac:dyDescent="0.2">
      <c r="B32809"/>
      <c r="C32809"/>
      <c r="J32809"/>
      <c r="K32809"/>
      <c r="L32809"/>
    </row>
    <row r="32810" spans="2:12" x14ac:dyDescent="0.2">
      <c r="B32810"/>
      <c r="C32810"/>
      <c r="J32810"/>
      <c r="K32810"/>
      <c r="L32810"/>
    </row>
    <row r="32811" spans="2:12" x14ac:dyDescent="0.2">
      <c r="B32811"/>
      <c r="C32811"/>
      <c r="J32811"/>
      <c r="K32811"/>
      <c r="L32811"/>
    </row>
    <row r="32812" spans="2:12" x14ac:dyDescent="0.2">
      <c r="B32812"/>
      <c r="C32812"/>
      <c r="J32812"/>
      <c r="K32812"/>
      <c r="L32812"/>
    </row>
    <row r="32813" spans="2:12" x14ac:dyDescent="0.2">
      <c r="B32813"/>
      <c r="C32813"/>
      <c r="J32813"/>
      <c r="K32813"/>
      <c r="L32813"/>
    </row>
    <row r="32814" spans="2:12" x14ac:dyDescent="0.2">
      <c r="B32814"/>
      <c r="C32814"/>
      <c r="J32814"/>
      <c r="K32814"/>
      <c r="L32814"/>
    </row>
    <row r="32815" spans="2:12" x14ac:dyDescent="0.2">
      <c r="B32815"/>
      <c r="C32815"/>
      <c r="J32815"/>
      <c r="K32815"/>
      <c r="L32815"/>
    </row>
    <row r="32816" spans="2:12" x14ac:dyDescent="0.2">
      <c r="B32816"/>
      <c r="C32816"/>
      <c r="J32816"/>
      <c r="K32816"/>
      <c r="L32816"/>
    </row>
    <row r="32817" spans="2:12" x14ac:dyDescent="0.2">
      <c r="B32817"/>
      <c r="C32817"/>
      <c r="J32817"/>
      <c r="K32817"/>
      <c r="L32817"/>
    </row>
    <row r="32818" spans="2:12" x14ac:dyDescent="0.2">
      <c r="B32818"/>
      <c r="C32818"/>
      <c r="J32818"/>
      <c r="K32818"/>
      <c r="L32818"/>
    </row>
    <row r="32819" spans="2:12" x14ac:dyDescent="0.2">
      <c r="B32819"/>
      <c r="C32819"/>
      <c r="J32819"/>
      <c r="K32819"/>
      <c r="L32819"/>
    </row>
    <row r="32820" spans="2:12" x14ac:dyDescent="0.2">
      <c r="B32820"/>
      <c r="C32820"/>
      <c r="J32820"/>
      <c r="K32820"/>
      <c r="L32820"/>
    </row>
    <row r="32821" spans="2:12" x14ac:dyDescent="0.2">
      <c r="B32821"/>
      <c r="C32821"/>
      <c r="J32821"/>
      <c r="K32821"/>
      <c r="L32821"/>
    </row>
    <row r="32822" spans="2:12" x14ac:dyDescent="0.2">
      <c r="B32822"/>
      <c r="C32822"/>
      <c r="J32822"/>
      <c r="K32822"/>
      <c r="L32822"/>
    </row>
    <row r="32823" spans="2:12" x14ac:dyDescent="0.2">
      <c r="B32823"/>
      <c r="C32823"/>
      <c r="J32823"/>
      <c r="K32823"/>
      <c r="L32823"/>
    </row>
    <row r="32824" spans="2:12" x14ac:dyDescent="0.2">
      <c r="B32824"/>
      <c r="C32824"/>
      <c r="J32824"/>
      <c r="K32824"/>
      <c r="L32824"/>
    </row>
    <row r="32825" spans="2:12" x14ac:dyDescent="0.2">
      <c r="B32825"/>
      <c r="C32825"/>
      <c r="J32825"/>
      <c r="K32825"/>
      <c r="L32825"/>
    </row>
    <row r="32826" spans="2:12" x14ac:dyDescent="0.2">
      <c r="B32826"/>
      <c r="C32826"/>
      <c r="J32826"/>
      <c r="K32826"/>
      <c r="L32826"/>
    </row>
    <row r="32827" spans="2:12" x14ac:dyDescent="0.2">
      <c r="B32827"/>
      <c r="C32827"/>
      <c r="J32827"/>
      <c r="K32827"/>
      <c r="L32827"/>
    </row>
    <row r="32828" spans="2:12" x14ac:dyDescent="0.2">
      <c r="B32828"/>
      <c r="C32828"/>
      <c r="J32828"/>
      <c r="K32828"/>
      <c r="L32828"/>
    </row>
    <row r="32829" spans="2:12" x14ac:dyDescent="0.2">
      <c r="B32829"/>
      <c r="C32829"/>
      <c r="J32829"/>
      <c r="K32829"/>
      <c r="L32829"/>
    </row>
    <row r="32830" spans="2:12" x14ac:dyDescent="0.2">
      <c r="B32830"/>
      <c r="C32830"/>
      <c r="J32830"/>
      <c r="K32830"/>
      <c r="L32830"/>
    </row>
    <row r="32831" spans="2:12" x14ac:dyDescent="0.2">
      <c r="B32831"/>
      <c r="C32831"/>
      <c r="J32831"/>
      <c r="K32831"/>
      <c r="L32831"/>
    </row>
    <row r="32832" spans="2:12" x14ac:dyDescent="0.2">
      <c r="B32832"/>
      <c r="C32832"/>
      <c r="J32832"/>
      <c r="K32832"/>
      <c r="L32832"/>
    </row>
    <row r="32833" spans="2:12" x14ac:dyDescent="0.2">
      <c r="B32833"/>
      <c r="C32833"/>
      <c r="J32833"/>
      <c r="K32833"/>
      <c r="L32833"/>
    </row>
    <row r="32834" spans="2:12" x14ac:dyDescent="0.2">
      <c r="B32834"/>
      <c r="C32834"/>
      <c r="J32834"/>
      <c r="K32834"/>
      <c r="L32834"/>
    </row>
    <row r="32835" spans="2:12" x14ac:dyDescent="0.2">
      <c r="B32835"/>
      <c r="C32835"/>
      <c r="J32835"/>
      <c r="K32835"/>
      <c r="L32835"/>
    </row>
    <row r="32836" spans="2:12" x14ac:dyDescent="0.2">
      <c r="B32836"/>
      <c r="C32836"/>
      <c r="J32836"/>
      <c r="K32836"/>
      <c r="L32836"/>
    </row>
    <row r="32837" spans="2:12" x14ac:dyDescent="0.2">
      <c r="B32837"/>
      <c r="C32837"/>
      <c r="J32837"/>
      <c r="K32837"/>
      <c r="L32837"/>
    </row>
    <row r="32838" spans="2:12" x14ac:dyDescent="0.2">
      <c r="B32838"/>
      <c r="C32838"/>
      <c r="J32838"/>
      <c r="K32838"/>
      <c r="L32838"/>
    </row>
    <row r="32839" spans="2:12" x14ac:dyDescent="0.2">
      <c r="B32839"/>
      <c r="C32839"/>
      <c r="J32839"/>
      <c r="K32839"/>
      <c r="L32839"/>
    </row>
    <row r="32840" spans="2:12" x14ac:dyDescent="0.2">
      <c r="B32840"/>
      <c r="C32840"/>
      <c r="J32840"/>
      <c r="K32840"/>
      <c r="L32840"/>
    </row>
    <row r="32841" spans="2:12" x14ac:dyDescent="0.2">
      <c r="B32841"/>
      <c r="C32841"/>
      <c r="J32841"/>
      <c r="K32841"/>
      <c r="L32841"/>
    </row>
    <row r="32842" spans="2:12" x14ac:dyDescent="0.2">
      <c r="B32842"/>
      <c r="C32842"/>
      <c r="J32842"/>
      <c r="K32842"/>
      <c r="L32842"/>
    </row>
    <row r="32843" spans="2:12" x14ac:dyDescent="0.2">
      <c r="B32843"/>
      <c r="C32843"/>
      <c r="J32843"/>
      <c r="K32843"/>
      <c r="L32843"/>
    </row>
    <row r="32844" spans="2:12" x14ac:dyDescent="0.2">
      <c r="B32844"/>
      <c r="C32844"/>
      <c r="J32844"/>
      <c r="K32844"/>
      <c r="L32844"/>
    </row>
    <row r="32845" spans="2:12" x14ac:dyDescent="0.2">
      <c r="B32845"/>
      <c r="C32845"/>
      <c r="J32845"/>
      <c r="K32845"/>
      <c r="L32845"/>
    </row>
    <row r="32846" spans="2:12" x14ac:dyDescent="0.2">
      <c r="B32846"/>
      <c r="C32846"/>
      <c r="J32846"/>
      <c r="K32846"/>
      <c r="L32846"/>
    </row>
    <row r="32847" spans="2:12" x14ac:dyDescent="0.2">
      <c r="B32847"/>
      <c r="C32847"/>
      <c r="J32847"/>
      <c r="K32847"/>
      <c r="L32847"/>
    </row>
    <row r="32848" spans="2:12" x14ac:dyDescent="0.2">
      <c r="B32848"/>
      <c r="C32848"/>
      <c r="J32848"/>
      <c r="K32848"/>
      <c r="L32848"/>
    </row>
    <row r="32849" spans="2:12" x14ac:dyDescent="0.2">
      <c r="B32849"/>
      <c r="C32849"/>
      <c r="J32849"/>
      <c r="K32849"/>
      <c r="L32849"/>
    </row>
    <row r="32850" spans="2:12" x14ac:dyDescent="0.2">
      <c r="B32850"/>
      <c r="C32850"/>
      <c r="J32850"/>
      <c r="K32850"/>
      <c r="L32850"/>
    </row>
    <row r="32851" spans="2:12" x14ac:dyDescent="0.2">
      <c r="B32851"/>
      <c r="C32851"/>
      <c r="J32851"/>
      <c r="K32851"/>
      <c r="L32851"/>
    </row>
    <row r="32852" spans="2:12" x14ac:dyDescent="0.2">
      <c r="B32852"/>
      <c r="C32852"/>
      <c r="J32852"/>
      <c r="K32852"/>
      <c r="L32852"/>
    </row>
    <row r="32853" spans="2:12" x14ac:dyDescent="0.2">
      <c r="B32853"/>
      <c r="C32853"/>
      <c r="J32853"/>
      <c r="K32853"/>
      <c r="L32853"/>
    </row>
    <row r="32854" spans="2:12" x14ac:dyDescent="0.2">
      <c r="B32854"/>
      <c r="C32854"/>
      <c r="J32854"/>
      <c r="K32854"/>
      <c r="L32854"/>
    </row>
    <row r="32855" spans="2:12" x14ac:dyDescent="0.2">
      <c r="B32855"/>
      <c r="C32855"/>
      <c r="J32855"/>
      <c r="K32855"/>
      <c r="L32855"/>
    </row>
    <row r="32856" spans="2:12" x14ac:dyDescent="0.2">
      <c r="B32856"/>
      <c r="C32856"/>
      <c r="J32856"/>
      <c r="K32856"/>
      <c r="L32856"/>
    </row>
    <row r="32857" spans="2:12" x14ac:dyDescent="0.2">
      <c r="B32857"/>
      <c r="C32857"/>
      <c r="J32857"/>
      <c r="K32857"/>
      <c r="L32857"/>
    </row>
    <row r="32858" spans="2:12" x14ac:dyDescent="0.2">
      <c r="B32858"/>
      <c r="C32858"/>
      <c r="J32858"/>
      <c r="K32858"/>
      <c r="L32858"/>
    </row>
    <row r="32859" spans="2:12" x14ac:dyDescent="0.2">
      <c r="B32859"/>
      <c r="C32859"/>
      <c r="J32859"/>
      <c r="K32859"/>
      <c r="L32859"/>
    </row>
    <row r="32860" spans="2:12" x14ac:dyDescent="0.2">
      <c r="B32860"/>
      <c r="C32860"/>
      <c r="J32860"/>
      <c r="K32860"/>
      <c r="L32860"/>
    </row>
    <row r="32861" spans="2:12" x14ac:dyDescent="0.2">
      <c r="B32861"/>
      <c r="C32861"/>
      <c r="J32861"/>
      <c r="K32861"/>
      <c r="L32861"/>
    </row>
    <row r="32862" spans="2:12" x14ac:dyDescent="0.2">
      <c r="B32862"/>
      <c r="C32862"/>
      <c r="J32862"/>
      <c r="K32862"/>
      <c r="L32862"/>
    </row>
    <row r="32863" spans="2:12" x14ac:dyDescent="0.2">
      <c r="B32863"/>
      <c r="C32863"/>
      <c r="J32863"/>
      <c r="K32863"/>
      <c r="L32863"/>
    </row>
    <row r="32864" spans="2:12" x14ac:dyDescent="0.2">
      <c r="B32864"/>
      <c r="C32864"/>
      <c r="J32864"/>
      <c r="K32864"/>
      <c r="L32864"/>
    </row>
    <row r="32865" spans="2:12" x14ac:dyDescent="0.2">
      <c r="B32865"/>
      <c r="C32865"/>
      <c r="J32865"/>
      <c r="K32865"/>
      <c r="L32865"/>
    </row>
    <row r="32866" spans="2:12" x14ac:dyDescent="0.2">
      <c r="B32866"/>
      <c r="C32866"/>
      <c r="J32866"/>
      <c r="K32866"/>
      <c r="L32866"/>
    </row>
    <row r="32867" spans="2:12" x14ac:dyDescent="0.2">
      <c r="B32867"/>
      <c r="C32867"/>
      <c r="J32867"/>
      <c r="K32867"/>
      <c r="L32867"/>
    </row>
    <row r="32868" spans="2:12" x14ac:dyDescent="0.2">
      <c r="B32868"/>
      <c r="C32868"/>
      <c r="J32868"/>
      <c r="K32868"/>
      <c r="L32868"/>
    </row>
    <row r="32869" spans="2:12" x14ac:dyDescent="0.2">
      <c r="B32869"/>
      <c r="C32869"/>
      <c r="J32869"/>
      <c r="K32869"/>
      <c r="L32869"/>
    </row>
    <row r="32870" spans="2:12" x14ac:dyDescent="0.2">
      <c r="B32870"/>
      <c r="C32870"/>
      <c r="J32870"/>
      <c r="K32870"/>
      <c r="L32870"/>
    </row>
    <row r="32871" spans="2:12" x14ac:dyDescent="0.2">
      <c r="B32871"/>
      <c r="C32871"/>
      <c r="J32871"/>
      <c r="K32871"/>
      <c r="L32871"/>
    </row>
    <row r="32872" spans="2:12" x14ac:dyDescent="0.2">
      <c r="B32872"/>
      <c r="C32872"/>
      <c r="J32872"/>
      <c r="K32872"/>
      <c r="L32872"/>
    </row>
    <row r="32873" spans="2:12" x14ac:dyDescent="0.2">
      <c r="B32873"/>
      <c r="C32873"/>
      <c r="J32873"/>
      <c r="K32873"/>
      <c r="L32873"/>
    </row>
    <row r="32874" spans="2:12" x14ac:dyDescent="0.2">
      <c r="B32874"/>
      <c r="C32874"/>
      <c r="J32874"/>
      <c r="K32874"/>
      <c r="L32874"/>
    </row>
    <row r="32875" spans="2:12" x14ac:dyDescent="0.2">
      <c r="B32875"/>
      <c r="C32875"/>
      <c r="J32875"/>
      <c r="K32875"/>
      <c r="L32875"/>
    </row>
    <row r="32876" spans="2:12" x14ac:dyDescent="0.2">
      <c r="B32876"/>
      <c r="C32876"/>
      <c r="J32876"/>
      <c r="K32876"/>
      <c r="L32876"/>
    </row>
    <row r="32877" spans="2:12" x14ac:dyDescent="0.2">
      <c r="B32877"/>
      <c r="C32877"/>
      <c r="J32877"/>
      <c r="K32877"/>
      <c r="L32877"/>
    </row>
    <row r="32878" spans="2:12" x14ac:dyDescent="0.2">
      <c r="B32878"/>
      <c r="C32878"/>
      <c r="J32878"/>
      <c r="K32878"/>
      <c r="L32878"/>
    </row>
    <row r="32879" spans="2:12" x14ac:dyDescent="0.2">
      <c r="B32879"/>
      <c r="C32879"/>
      <c r="J32879"/>
      <c r="K32879"/>
      <c r="L32879"/>
    </row>
    <row r="32880" spans="2:12" x14ac:dyDescent="0.2">
      <c r="B32880"/>
      <c r="C32880"/>
      <c r="J32880"/>
      <c r="K32880"/>
      <c r="L32880"/>
    </row>
    <row r="32881" spans="2:12" x14ac:dyDescent="0.2">
      <c r="B32881"/>
      <c r="C32881"/>
      <c r="J32881"/>
      <c r="K32881"/>
      <c r="L32881"/>
    </row>
    <row r="32882" spans="2:12" x14ac:dyDescent="0.2">
      <c r="B32882"/>
      <c r="C32882"/>
      <c r="J32882"/>
      <c r="K32882"/>
      <c r="L32882"/>
    </row>
    <row r="32883" spans="2:12" x14ac:dyDescent="0.2">
      <c r="B32883"/>
      <c r="C32883"/>
      <c r="J32883"/>
      <c r="K32883"/>
      <c r="L32883"/>
    </row>
    <row r="32884" spans="2:12" x14ac:dyDescent="0.2">
      <c r="B32884"/>
      <c r="C32884"/>
      <c r="J32884"/>
      <c r="K32884"/>
      <c r="L32884"/>
    </row>
    <row r="32885" spans="2:12" x14ac:dyDescent="0.2">
      <c r="B32885"/>
      <c r="C32885"/>
      <c r="J32885"/>
      <c r="K32885"/>
      <c r="L32885"/>
    </row>
    <row r="32886" spans="2:12" x14ac:dyDescent="0.2">
      <c r="B32886"/>
      <c r="C32886"/>
      <c r="J32886"/>
      <c r="K32886"/>
      <c r="L32886"/>
    </row>
    <row r="32887" spans="2:12" x14ac:dyDescent="0.2">
      <c r="B32887"/>
      <c r="C32887"/>
      <c r="J32887"/>
      <c r="K32887"/>
      <c r="L32887"/>
    </row>
    <row r="32888" spans="2:12" x14ac:dyDescent="0.2">
      <c r="B32888"/>
      <c r="C32888"/>
      <c r="J32888"/>
      <c r="K32888"/>
      <c r="L32888"/>
    </row>
    <row r="32889" spans="2:12" x14ac:dyDescent="0.2">
      <c r="B32889"/>
      <c r="C32889"/>
      <c r="J32889"/>
      <c r="K32889"/>
      <c r="L32889"/>
    </row>
    <row r="32890" spans="2:12" x14ac:dyDescent="0.2">
      <c r="B32890"/>
      <c r="C32890"/>
      <c r="J32890"/>
      <c r="K32890"/>
      <c r="L32890"/>
    </row>
    <row r="32891" spans="2:12" x14ac:dyDescent="0.2">
      <c r="B32891"/>
      <c r="C32891"/>
      <c r="J32891"/>
      <c r="K32891"/>
      <c r="L32891"/>
    </row>
    <row r="32892" spans="2:12" x14ac:dyDescent="0.2">
      <c r="B32892"/>
      <c r="C32892"/>
      <c r="J32892"/>
      <c r="K32892"/>
      <c r="L32892"/>
    </row>
    <row r="32893" spans="2:12" x14ac:dyDescent="0.2">
      <c r="B32893"/>
      <c r="C32893"/>
      <c r="J32893"/>
      <c r="K32893"/>
      <c r="L32893"/>
    </row>
    <row r="32894" spans="2:12" x14ac:dyDescent="0.2">
      <c r="B32894"/>
      <c r="C32894"/>
      <c r="J32894"/>
      <c r="K32894"/>
      <c r="L32894"/>
    </row>
    <row r="32895" spans="2:12" x14ac:dyDescent="0.2">
      <c r="B32895"/>
      <c r="C32895"/>
      <c r="J32895"/>
      <c r="K32895"/>
      <c r="L32895"/>
    </row>
    <row r="32896" spans="2:12" x14ac:dyDescent="0.2">
      <c r="B32896"/>
      <c r="C32896"/>
      <c r="J32896"/>
      <c r="K32896"/>
      <c r="L32896"/>
    </row>
    <row r="32897" spans="2:12" x14ac:dyDescent="0.2">
      <c r="B32897"/>
      <c r="C32897"/>
      <c r="J32897"/>
      <c r="K32897"/>
      <c r="L32897"/>
    </row>
    <row r="32898" spans="2:12" x14ac:dyDescent="0.2">
      <c r="B32898"/>
      <c r="C32898"/>
      <c r="J32898"/>
      <c r="K32898"/>
      <c r="L32898"/>
    </row>
    <row r="32899" spans="2:12" x14ac:dyDescent="0.2">
      <c r="B32899"/>
      <c r="C32899"/>
      <c r="J32899"/>
      <c r="K32899"/>
      <c r="L32899"/>
    </row>
    <row r="32900" spans="2:12" x14ac:dyDescent="0.2">
      <c r="B32900"/>
      <c r="C32900"/>
      <c r="J32900"/>
      <c r="K32900"/>
      <c r="L32900"/>
    </row>
    <row r="32901" spans="2:12" x14ac:dyDescent="0.2">
      <c r="B32901"/>
      <c r="C32901"/>
      <c r="J32901"/>
      <c r="K32901"/>
      <c r="L32901"/>
    </row>
    <row r="32902" spans="2:12" x14ac:dyDescent="0.2">
      <c r="B32902"/>
      <c r="C32902"/>
      <c r="J32902"/>
      <c r="K32902"/>
      <c r="L32902"/>
    </row>
    <row r="32903" spans="2:12" x14ac:dyDescent="0.2">
      <c r="B32903"/>
      <c r="C32903"/>
      <c r="J32903"/>
      <c r="K32903"/>
      <c r="L32903"/>
    </row>
    <row r="32904" spans="2:12" x14ac:dyDescent="0.2">
      <c r="B32904"/>
      <c r="C32904"/>
      <c r="J32904"/>
      <c r="K32904"/>
      <c r="L32904"/>
    </row>
    <row r="32905" spans="2:12" x14ac:dyDescent="0.2">
      <c r="B32905"/>
      <c r="C32905"/>
      <c r="J32905"/>
      <c r="K32905"/>
      <c r="L32905"/>
    </row>
    <row r="32906" spans="2:12" x14ac:dyDescent="0.2">
      <c r="B32906"/>
      <c r="C32906"/>
      <c r="J32906"/>
      <c r="K32906"/>
      <c r="L32906"/>
    </row>
    <row r="32907" spans="2:12" x14ac:dyDescent="0.2">
      <c r="B32907"/>
      <c r="C32907"/>
      <c r="J32907"/>
      <c r="K32907"/>
      <c r="L32907"/>
    </row>
    <row r="32908" spans="2:12" x14ac:dyDescent="0.2">
      <c r="B32908"/>
      <c r="C32908"/>
      <c r="J32908"/>
      <c r="K32908"/>
      <c r="L32908"/>
    </row>
    <row r="32909" spans="2:12" x14ac:dyDescent="0.2">
      <c r="B32909"/>
      <c r="C32909"/>
      <c r="J32909"/>
      <c r="K32909"/>
      <c r="L32909"/>
    </row>
    <row r="32910" spans="2:12" x14ac:dyDescent="0.2">
      <c r="B32910"/>
      <c r="C32910"/>
      <c r="J32910"/>
      <c r="K32910"/>
      <c r="L32910"/>
    </row>
    <row r="32911" spans="2:12" x14ac:dyDescent="0.2">
      <c r="B32911"/>
      <c r="C32911"/>
      <c r="J32911"/>
      <c r="K32911"/>
      <c r="L32911"/>
    </row>
    <row r="32912" spans="2:12" x14ac:dyDescent="0.2">
      <c r="B32912"/>
      <c r="C32912"/>
      <c r="J32912"/>
      <c r="K32912"/>
      <c r="L32912"/>
    </row>
    <row r="32913" spans="2:12" x14ac:dyDescent="0.2">
      <c r="B32913"/>
      <c r="C32913"/>
      <c r="J32913"/>
      <c r="K32913"/>
      <c r="L32913"/>
    </row>
    <row r="32914" spans="2:12" x14ac:dyDescent="0.2">
      <c r="B32914"/>
      <c r="C32914"/>
      <c r="J32914"/>
      <c r="K32914"/>
      <c r="L32914"/>
    </row>
    <row r="32915" spans="2:12" x14ac:dyDescent="0.2">
      <c r="B32915"/>
      <c r="C32915"/>
      <c r="J32915"/>
      <c r="K32915"/>
      <c r="L32915"/>
    </row>
    <row r="32916" spans="2:12" x14ac:dyDescent="0.2">
      <c r="B32916"/>
      <c r="C32916"/>
      <c r="J32916"/>
      <c r="K32916"/>
      <c r="L32916"/>
    </row>
    <row r="32917" spans="2:12" x14ac:dyDescent="0.2">
      <c r="B32917"/>
      <c r="C32917"/>
      <c r="J32917"/>
      <c r="K32917"/>
      <c r="L32917"/>
    </row>
    <row r="32918" spans="2:12" x14ac:dyDescent="0.2">
      <c r="B32918"/>
      <c r="C32918"/>
      <c r="J32918"/>
      <c r="K32918"/>
      <c r="L32918"/>
    </row>
    <row r="32919" spans="2:12" x14ac:dyDescent="0.2">
      <c r="B32919"/>
      <c r="C32919"/>
      <c r="J32919"/>
      <c r="K32919"/>
      <c r="L32919"/>
    </row>
    <row r="32920" spans="2:12" x14ac:dyDescent="0.2">
      <c r="B32920"/>
      <c r="C32920"/>
      <c r="J32920"/>
      <c r="K32920"/>
      <c r="L32920"/>
    </row>
    <row r="32921" spans="2:12" x14ac:dyDescent="0.2">
      <c r="B32921"/>
      <c r="C32921"/>
      <c r="J32921"/>
      <c r="K32921"/>
      <c r="L32921"/>
    </row>
    <row r="32922" spans="2:12" x14ac:dyDescent="0.2">
      <c r="B32922"/>
      <c r="C32922"/>
      <c r="J32922"/>
      <c r="K32922"/>
      <c r="L32922"/>
    </row>
    <row r="32923" spans="2:12" x14ac:dyDescent="0.2">
      <c r="B32923"/>
      <c r="C32923"/>
      <c r="J32923"/>
      <c r="K32923"/>
      <c r="L32923"/>
    </row>
    <row r="32924" spans="2:12" x14ac:dyDescent="0.2">
      <c r="B32924"/>
      <c r="C32924"/>
      <c r="J32924"/>
      <c r="K32924"/>
      <c r="L32924"/>
    </row>
    <row r="32925" spans="2:12" x14ac:dyDescent="0.2">
      <c r="B32925"/>
      <c r="C32925"/>
      <c r="J32925"/>
      <c r="K32925"/>
      <c r="L32925"/>
    </row>
    <row r="32926" spans="2:12" x14ac:dyDescent="0.2">
      <c r="B32926"/>
      <c r="C32926"/>
      <c r="J32926"/>
      <c r="K32926"/>
      <c r="L32926"/>
    </row>
    <row r="32927" spans="2:12" x14ac:dyDescent="0.2">
      <c r="B32927"/>
      <c r="C32927"/>
      <c r="J32927"/>
      <c r="K32927"/>
      <c r="L32927"/>
    </row>
    <row r="32928" spans="2:12" x14ac:dyDescent="0.2">
      <c r="B32928"/>
      <c r="C32928"/>
      <c r="J32928"/>
      <c r="K32928"/>
      <c r="L32928"/>
    </row>
    <row r="32929" spans="2:12" x14ac:dyDescent="0.2">
      <c r="B32929"/>
      <c r="C32929"/>
      <c r="J32929"/>
      <c r="K32929"/>
      <c r="L32929"/>
    </row>
    <row r="32930" spans="2:12" x14ac:dyDescent="0.2">
      <c r="B32930"/>
      <c r="C32930"/>
      <c r="J32930"/>
      <c r="K32930"/>
      <c r="L32930"/>
    </row>
    <row r="32931" spans="2:12" x14ac:dyDescent="0.2">
      <c r="B32931"/>
      <c r="C32931"/>
      <c r="J32931"/>
      <c r="K32931"/>
      <c r="L32931"/>
    </row>
    <row r="32932" spans="2:12" x14ac:dyDescent="0.2">
      <c r="B32932"/>
      <c r="C32932"/>
      <c r="J32932"/>
      <c r="K32932"/>
      <c r="L32932"/>
    </row>
    <row r="32933" spans="2:12" x14ac:dyDescent="0.2">
      <c r="B32933"/>
      <c r="C32933"/>
      <c r="J32933"/>
      <c r="K32933"/>
      <c r="L32933"/>
    </row>
    <row r="32934" spans="2:12" x14ac:dyDescent="0.2">
      <c r="B32934"/>
      <c r="C32934"/>
      <c r="J32934"/>
      <c r="K32934"/>
      <c r="L32934"/>
    </row>
    <row r="32935" spans="2:12" x14ac:dyDescent="0.2">
      <c r="B32935"/>
      <c r="C32935"/>
      <c r="J32935"/>
      <c r="K32935"/>
      <c r="L32935"/>
    </row>
    <row r="32936" spans="2:12" x14ac:dyDescent="0.2">
      <c r="B32936"/>
      <c r="C32936"/>
      <c r="J32936"/>
      <c r="K32936"/>
      <c r="L32936"/>
    </row>
    <row r="32937" spans="2:12" x14ac:dyDescent="0.2">
      <c r="B32937"/>
      <c r="C32937"/>
      <c r="J32937"/>
      <c r="K32937"/>
      <c r="L32937"/>
    </row>
    <row r="32938" spans="2:12" x14ac:dyDescent="0.2">
      <c r="B32938"/>
      <c r="C32938"/>
      <c r="J32938"/>
      <c r="K32938"/>
      <c r="L32938"/>
    </row>
    <row r="32939" spans="2:12" x14ac:dyDescent="0.2">
      <c r="B32939"/>
      <c r="C32939"/>
      <c r="J32939"/>
      <c r="K32939"/>
      <c r="L32939"/>
    </row>
    <row r="32940" spans="2:12" x14ac:dyDescent="0.2">
      <c r="B32940"/>
      <c r="C32940"/>
      <c r="J32940"/>
      <c r="K32940"/>
      <c r="L32940"/>
    </row>
    <row r="32941" spans="2:12" x14ac:dyDescent="0.2">
      <c r="B32941"/>
      <c r="C32941"/>
      <c r="J32941"/>
      <c r="K32941"/>
      <c r="L32941"/>
    </row>
    <row r="32942" spans="2:12" x14ac:dyDescent="0.2">
      <c r="B32942"/>
      <c r="C32942"/>
      <c r="J32942"/>
      <c r="K32942"/>
      <c r="L32942"/>
    </row>
    <row r="32943" spans="2:12" x14ac:dyDescent="0.2">
      <c r="B32943"/>
      <c r="C32943"/>
      <c r="J32943"/>
      <c r="K32943"/>
      <c r="L32943"/>
    </row>
    <row r="32944" spans="2:12" x14ac:dyDescent="0.2">
      <c r="B32944"/>
      <c r="C32944"/>
      <c r="J32944"/>
      <c r="K32944"/>
      <c r="L32944"/>
    </row>
    <row r="32945" spans="2:12" x14ac:dyDescent="0.2">
      <c r="B32945"/>
      <c r="C32945"/>
      <c r="J32945"/>
      <c r="K32945"/>
      <c r="L32945"/>
    </row>
    <row r="32946" spans="2:12" x14ac:dyDescent="0.2">
      <c r="B32946"/>
      <c r="C32946"/>
      <c r="J32946"/>
      <c r="K32946"/>
      <c r="L32946"/>
    </row>
    <row r="32947" spans="2:12" x14ac:dyDescent="0.2">
      <c r="B32947"/>
      <c r="C32947"/>
      <c r="J32947"/>
      <c r="K32947"/>
      <c r="L32947"/>
    </row>
    <row r="32948" spans="2:12" x14ac:dyDescent="0.2">
      <c r="B32948"/>
      <c r="C32948"/>
      <c r="J32948"/>
      <c r="K32948"/>
      <c r="L32948"/>
    </row>
    <row r="32949" spans="2:12" x14ac:dyDescent="0.2">
      <c r="B32949"/>
      <c r="C32949"/>
      <c r="J32949"/>
      <c r="K32949"/>
      <c r="L32949"/>
    </row>
    <row r="32950" spans="2:12" x14ac:dyDescent="0.2">
      <c r="B32950"/>
      <c r="C32950"/>
      <c r="J32950"/>
      <c r="K32950"/>
      <c r="L32950"/>
    </row>
    <row r="32951" spans="2:12" x14ac:dyDescent="0.2">
      <c r="B32951"/>
      <c r="C32951"/>
      <c r="J32951"/>
      <c r="K32951"/>
      <c r="L32951"/>
    </row>
    <row r="32952" spans="2:12" x14ac:dyDescent="0.2">
      <c r="B32952"/>
      <c r="C32952"/>
      <c r="J32952"/>
      <c r="K32952"/>
      <c r="L32952"/>
    </row>
    <row r="32953" spans="2:12" x14ac:dyDescent="0.2">
      <c r="B32953"/>
      <c r="C32953"/>
      <c r="J32953"/>
      <c r="K32953"/>
      <c r="L32953"/>
    </row>
    <row r="32954" spans="2:12" x14ac:dyDescent="0.2">
      <c r="B32954"/>
      <c r="C32954"/>
      <c r="J32954"/>
      <c r="K32954"/>
      <c r="L32954"/>
    </row>
    <row r="32955" spans="2:12" x14ac:dyDescent="0.2">
      <c r="B32955"/>
      <c r="C32955"/>
      <c r="J32955"/>
      <c r="K32955"/>
      <c r="L32955"/>
    </row>
    <row r="32956" spans="2:12" x14ac:dyDescent="0.2">
      <c r="B32956"/>
      <c r="C32956"/>
      <c r="J32956"/>
      <c r="K32956"/>
      <c r="L32956"/>
    </row>
    <row r="32957" spans="2:12" x14ac:dyDescent="0.2">
      <c r="B32957"/>
      <c r="C32957"/>
      <c r="J32957"/>
      <c r="K32957"/>
      <c r="L32957"/>
    </row>
    <row r="32958" spans="2:12" x14ac:dyDescent="0.2">
      <c r="B32958"/>
      <c r="C32958"/>
      <c r="J32958"/>
      <c r="K32958"/>
      <c r="L32958"/>
    </row>
    <row r="32959" spans="2:12" x14ac:dyDescent="0.2">
      <c r="B32959"/>
      <c r="C32959"/>
      <c r="J32959"/>
      <c r="K32959"/>
      <c r="L32959"/>
    </row>
    <row r="32960" spans="2:12" x14ac:dyDescent="0.2">
      <c r="B32960"/>
      <c r="C32960"/>
      <c r="J32960"/>
      <c r="K32960"/>
      <c r="L32960"/>
    </row>
    <row r="32961" spans="2:12" x14ac:dyDescent="0.2">
      <c r="B32961"/>
      <c r="C32961"/>
      <c r="J32961"/>
      <c r="K32961"/>
      <c r="L32961"/>
    </row>
    <row r="32962" spans="2:12" x14ac:dyDescent="0.2">
      <c r="B32962"/>
      <c r="C32962"/>
      <c r="J32962"/>
      <c r="K32962"/>
      <c r="L32962"/>
    </row>
    <row r="32963" spans="2:12" x14ac:dyDescent="0.2">
      <c r="B32963"/>
      <c r="C32963"/>
      <c r="J32963"/>
      <c r="K32963"/>
      <c r="L32963"/>
    </row>
    <row r="32964" spans="2:12" x14ac:dyDescent="0.2">
      <c r="B32964"/>
      <c r="C32964"/>
      <c r="J32964"/>
      <c r="K32964"/>
      <c r="L32964"/>
    </row>
    <row r="32965" spans="2:12" x14ac:dyDescent="0.2">
      <c r="B32965"/>
      <c r="C32965"/>
      <c r="J32965"/>
      <c r="K32965"/>
      <c r="L32965"/>
    </row>
    <row r="32966" spans="2:12" x14ac:dyDescent="0.2">
      <c r="B32966"/>
      <c r="C32966"/>
      <c r="J32966"/>
      <c r="K32966"/>
      <c r="L32966"/>
    </row>
    <row r="32967" spans="2:12" x14ac:dyDescent="0.2">
      <c r="B32967"/>
      <c r="C32967"/>
      <c r="J32967"/>
      <c r="K32967"/>
      <c r="L32967"/>
    </row>
    <row r="32968" spans="2:12" x14ac:dyDescent="0.2">
      <c r="B32968"/>
      <c r="C32968"/>
      <c r="J32968"/>
      <c r="K32968"/>
      <c r="L32968"/>
    </row>
    <row r="32969" spans="2:12" x14ac:dyDescent="0.2">
      <c r="B32969"/>
      <c r="C32969"/>
      <c r="J32969"/>
      <c r="K32969"/>
      <c r="L32969"/>
    </row>
    <row r="32970" spans="2:12" x14ac:dyDescent="0.2">
      <c r="B32970"/>
      <c r="C32970"/>
      <c r="J32970"/>
      <c r="K32970"/>
      <c r="L32970"/>
    </row>
    <row r="32971" spans="2:12" x14ac:dyDescent="0.2">
      <c r="B32971"/>
      <c r="C32971"/>
      <c r="J32971"/>
      <c r="K32971"/>
      <c r="L32971"/>
    </row>
    <row r="32972" spans="2:12" x14ac:dyDescent="0.2">
      <c r="B32972"/>
      <c r="C32972"/>
      <c r="J32972"/>
      <c r="K32972"/>
      <c r="L32972"/>
    </row>
    <row r="32973" spans="2:12" x14ac:dyDescent="0.2">
      <c r="B32973"/>
      <c r="C32973"/>
      <c r="J32973"/>
      <c r="K32973"/>
      <c r="L32973"/>
    </row>
    <row r="32974" spans="2:12" x14ac:dyDescent="0.2">
      <c r="B32974"/>
      <c r="C32974"/>
      <c r="J32974"/>
      <c r="K32974"/>
      <c r="L32974"/>
    </row>
    <row r="32975" spans="2:12" x14ac:dyDescent="0.2">
      <c r="B32975"/>
      <c r="C32975"/>
      <c r="J32975"/>
      <c r="K32975"/>
      <c r="L32975"/>
    </row>
    <row r="32976" spans="2:12" x14ac:dyDescent="0.2">
      <c r="B32976"/>
      <c r="C32976"/>
      <c r="J32976"/>
      <c r="K32976"/>
      <c r="L32976"/>
    </row>
    <row r="32977" spans="2:12" x14ac:dyDescent="0.2">
      <c r="B32977"/>
      <c r="C32977"/>
      <c r="J32977"/>
      <c r="K32977"/>
      <c r="L32977"/>
    </row>
    <row r="32978" spans="2:12" x14ac:dyDescent="0.2">
      <c r="B32978"/>
      <c r="C32978"/>
      <c r="J32978"/>
      <c r="K32978"/>
      <c r="L32978"/>
    </row>
    <row r="32979" spans="2:12" x14ac:dyDescent="0.2">
      <c r="B32979"/>
      <c r="C32979"/>
      <c r="J32979"/>
      <c r="K32979"/>
      <c r="L32979"/>
    </row>
    <row r="32980" spans="2:12" x14ac:dyDescent="0.2">
      <c r="B32980"/>
      <c r="C32980"/>
      <c r="J32980"/>
      <c r="K32980"/>
      <c r="L32980"/>
    </row>
    <row r="32981" spans="2:12" x14ac:dyDescent="0.2">
      <c r="B32981"/>
      <c r="C32981"/>
      <c r="J32981"/>
      <c r="K32981"/>
      <c r="L32981"/>
    </row>
    <row r="32982" spans="2:12" x14ac:dyDescent="0.2">
      <c r="B32982"/>
      <c r="C32982"/>
      <c r="J32982"/>
      <c r="K32982"/>
      <c r="L32982"/>
    </row>
    <row r="32983" spans="2:12" x14ac:dyDescent="0.2">
      <c r="B32983"/>
      <c r="C32983"/>
      <c r="J32983"/>
      <c r="K32983"/>
      <c r="L32983"/>
    </row>
    <row r="32984" spans="2:12" x14ac:dyDescent="0.2">
      <c r="B32984"/>
      <c r="C32984"/>
      <c r="J32984"/>
      <c r="K32984"/>
      <c r="L32984"/>
    </row>
    <row r="32985" spans="2:12" x14ac:dyDescent="0.2">
      <c r="B32985"/>
      <c r="C32985"/>
      <c r="J32985"/>
      <c r="K32985"/>
      <c r="L32985"/>
    </row>
    <row r="32986" spans="2:12" x14ac:dyDescent="0.2">
      <c r="B32986"/>
      <c r="C32986"/>
      <c r="J32986"/>
      <c r="K32986"/>
      <c r="L32986"/>
    </row>
    <row r="32987" spans="2:12" x14ac:dyDescent="0.2">
      <c r="B32987"/>
      <c r="C32987"/>
      <c r="J32987"/>
      <c r="K32987"/>
      <c r="L32987"/>
    </row>
    <row r="32988" spans="2:12" x14ac:dyDescent="0.2">
      <c r="B32988"/>
      <c r="C32988"/>
      <c r="J32988"/>
      <c r="K32988"/>
      <c r="L32988"/>
    </row>
    <row r="32989" spans="2:12" x14ac:dyDescent="0.2">
      <c r="B32989"/>
      <c r="C32989"/>
      <c r="J32989"/>
      <c r="K32989"/>
      <c r="L32989"/>
    </row>
    <row r="32990" spans="2:12" x14ac:dyDescent="0.2">
      <c r="B32990"/>
      <c r="C32990"/>
      <c r="J32990"/>
      <c r="K32990"/>
      <c r="L32990"/>
    </row>
    <row r="32991" spans="2:12" x14ac:dyDescent="0.2">
      <c r="B32991"/>
      <c r="C32991"/>
      <c r="J32991"/>
      <c r="K32991"/>
      <c r="L32991"/>
    </row>
    <row r="32992" spans="2:12" x14ac:dyDescent="0.2">
      <c r="B32992"/>
      <c r="C32992"/>
      <c r="J32992"/>
      <c r="K32992"/>
      <c r="L32992"/>
    </row>
    <row r="32993" spans="2:12" x14ac:dyDescent="0.2">
      <c r="B32993"/>
      <c r="C32993"/>
      <c r="J32993"/>
      <c r="K32993"/>
      <c r="L32993"/>
    </row>
    <row r="32994" spans="2:12" x14ac:dyDescent="0.2">
      <c r="B32994"/>
      <c r="C32994"/>
      <c r="J32994"/>
      <c r="K32994"/>
      <c r="L32994"/>
    </row>
    <row r="32995" spans="2:12" x14ac:dyDescent="0.2">
      <c r="B32995"/>
      <c r="C32995"/>
      <c r="J32995"/>
      <c r="K32995"/>
      <c r="L32995"/>
    </row>
    <row r="32996" spans="2:12" x14ac:dyDescent="0.2">
      <c r="B32996"/>
      <c r="C32996"/>
      <c r="J32996"/>
      <c r="K32996"/>
      <c r="L32996"/>
    </row>
    <row r="32997" spans="2:12" x14ac:dyDescent="0.2">
      <c r="B32997"/>
      <c r="C32997"/>
      <c r="J32997"/>
      <c r="K32997"/>
      <c r="L32997"/>
    </row>
    <row r="32998" spans="2:12" x14ac:dyDescent="0.2">
      <c r="B32998"/>
      <c r="C32998"/>
      <c r="J32998"/>
      <c r="K32998"/>
      <c r="L32998"/>
    </row>
    <row r="32999" spans="2:12" x14ac:dyDescent="0.2">
      <c r="B32999"/>
      <c r="C32999"/>
      <c r="J32999"/>
      <c r="K32999"/>
      <c r="L32999"/>
    </row>
    <row r="33000" spans="2:12" x14ac:dyDescent="0.2">
      <c r="B33000"/>
      <c r="C33000"/>
      <c r="J33000"/>
      <c r="K33000"/>
      <c r="L33000"/>
    </row>
    <row r="33001" spans="2:12" x14ac:dyDescent="0.2">
      <c r="B33001"/>
      <c r="C33001"/>
      <c r="J33001"/>
      <c r="K33001"/>
      <c r="L3300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45"/>
  <sheetViews>
    <sheetView topLeftCell="A20" zoomScale="99" workbookViewId="0">
      <selection activeCell="A20" sqref="A20"/>
    </sheetView>
  </sheetViews>
  <sheetFormatPr baseColWidth="10" defaultRowHeight="16" x14ac:dyDescent="0.2"/>
  <cols>
    <col min="1" max="1" width="42" bestFit="1" customWidth="1"/>
  </cols>
  <sheetData>
    <row r="2" spans="1:3" x14ac:dyDescent="0.2">
      <c r="A2" s="2" t="s">
        <v>9</v>
      </c>
      <c r="B2" s="3" t="s">
        <v>3</v>
      </c>
      <c r="C2" t="s">
        <v>4</v>
      </c>
    </row>
    <row r="3" spans="1:3" x14ac:dyDescent="0.2">
      <c r="A3" t="s">
        <v>1</v>
      </c>
      <c r="B3">
        <v>7</v>
      </c>
      <c r="C3">
        <v>1</v>
      </c>
    </row>
    <row r="4" spans="1:3" x14ac:dyDescent="0.2">
      <c r="A4" t="s">
        <v>2</v>
      </c>
      <c r="B4">
        <v>10</v>
      </c>
      <c r="C4">
        <v>1.7</v>
      </c>
    </row>
    <row r="5" spans="1:3" x14ac:dyDescent="0.2">
      <c r="A5" t="s">
        <v>35</v>
      </c>
      <c r="B5">
        <v>14</v>
      </c>
      <c r="C5">
        <v>2.2999999999999998</v>
      </c>
    </row>
    <row r="7" spans="1:3" x14ac:dyDescent="0.2">
      <c r="A7" t="s">
        <v>28</v>
      </c>
      <c r="B7">
        <v>6</v>
      </c>
    </row>
    <row r="8" spans="1:3" x14ac:dyDescent="0.2">
      <c r="A8" t="s">
        <v>31</v>
      </c>
      <c r="B8" s="14"/>
    </row>
    <row r="9" spans="1:3" x14ac:dyDescent="0.2">
      <c r="A9" t="s">
        <v>30</v>
      </c>
      <c r="B9" s="14"/>
    </row>
    <row r="10" spans="1:3" x14ac:dyDescent="0.2">
      <c r="A10" t="s">
        <v>24</v>
      </c>
      <c r="B10">
        <v>3</v>
      </c>
    </row>
    <row r="13" spans="1:3" x14ac:dyDescent="0.2">
      <c r="A13" s="2" t="s">
        <v>15</v>
      </c>
      <c r="B13" t="s">
        <v>16</v>
      </c>
    </row>
    <row r="14" spans="1:3" x14ac:dyDescent="0.2">
      <c r="A14" t="s">
        <v>10</v>
      </c>
      <c r="B14" s="4">
        <f>7+1</f>
        <v>8</v>
      </c>
    </row>
    <row r="15" spans="1:3" x14ac:dyDescent="0.2">
      <c r="A15" t="s">
        <v>11</v>
      </c>
      <c r="B15" s="4">
        <v>0.5</v>
      </c>
    </row>
    <row r="16" spans="1:3" x14ac:dyDescent="0.2">
      <c r="A16" t="s">
        <v>23</v>
      </c>
      <c r="B16" s="4">
        <v>2</v>
      </c>
    </row>
    <row r="17" spans="1:8" x14ac:dyDescent="0.2">
      <c r="A17" t="s">
        <v>27</v>
      </c>
      <c r="B17" s="4">
        <f>(B14+B15)/60</f>
        <v>0.14166666666666666</v>
      </c>
    </row>
    <row r="18" spans="1:8" x14ac:dyDescent="0.2">
      <c r="B18" s="4"/>
    </row>
    <row r="20" spans="1:8" x14ac:dyDescent="0.2">
      <c r="A20" s="2" t="s">
        <v>13</v>
      </c>
      <c r="B20" t="s">
        <v>14</v>
      </c>
      <c r="H20" t="s">
        <v>18</v>
      </c>
    </row>
    <row r="21" spans="1:8" x14ac:dyDescent="0.2">
      <c r="A21" t="s">
        <v>8</v>
      </c>
      <c r="B21">
        <v>3.2</v>
      </c>
    </row>
    <row r="22" spans="1:8" x14ac:dyDescent="0.2">
      <c r="A22" t="s">
        <v>12</v>
      </c>
      <c r="B22">
        <v>32</v>
      </c>
    </row>
    <row r="23" spans="1:8" x14ac:dyDescent="0.2">
      <c r="A23" t="s">
        <v>6</v>
      </c>
      <c r="B23">
        <v>13.23</v>
      </c>
    </row>
    <row r="24" spans="1:8" x14ac:dyDescent="0.2">
      <c r="A24" t="s">
        <v>7</v>
      </c>
      <c r="B24">
        <v>38</v>
      </c>
    </row>
    <row r="25" spans="1:8" x14ac:dyDescent="0.2">
      <c r="A25" t="s">
        <v>26</v>
      </c>
      <c r="B25">
        <v>30</v>
      </c>
    </row>
    <row r="26" spans="1:8" x14ac:dyDescent="0.2">
      <c r="A26" t="s">
        <v>5</v>
      </c>
      <c r="B26" s="5">
        <v>5000</v>
      </c>
    </row>
    <row r="27" spans="1:8" x14ac:dyDescent="0.2">
      <c r="A27" t="s">
        <v>22</v>
      </c>
      <c r="B27" s="5">
        <v>500</v>
      </c>
    </row>
    <row r="28" spans="1:8" x14ac:dyDescent="0.2">
      <c r="B28" s="5"/>
    </row>
    <row r="29" spans="1:8" x14ac:dyDescent="0.2">
      <c r="A29" t="s">
        <v>17</v>
      </c>
      <c r="B29" s="6">
        <f>(B8*2)/B25</f>
        <v>0</v>
      </c>
    </row>
    <row r="30" spans="1:8" x14ac:dyDescent="0.2">
      <c r="A30" t="s">
        <v>25</v>
      </c>
      <c r="B30" s="8" t="e">
        <f>1/B29</f>
        <v>#DIV/0!</v>
      </c>
    </row>
    <row r="33" spans="1:2" x14ac:dyDescent="0.2">
      <c r="A33" s="2" t="s">
        <v>19</v>
      </c>
    </row>
    <row r="34" spans="1:2" x14ac:dyDescent="0.2">
      <c r="A34" t="s">
        <v>20</v>
      </c>
      <c r="B34" s="4">
        <v>10</v>
      </c>
    </row>
    <row r="35" spans="1:2" x14ac:dyDescent="0.2">
      <c r="A35" t="s">
        <v>21</v>
      </c>
      <c r="B35">
        <v>12</v>
      </c>
    </row>
    <row r="36" spans="1:2" x14ac:dyDescent="0.2">
      <c r="A36" t="s">
        <v>29</v>
      </c>
      <c r="B36" s="11">
        <f>0.05/60</f>
        <v>8.3333333333333339E-4</v>
      </c>
    </row>
    <row r="38" spans="1:2" x14ac:dyDescent="0.2">
      <c r="A38" t="s">
        <v>32</v>
      </c>
      <c r="B38" s="12">
        <f>((B34/B35)/60)+B36</f>
        <v>1.4722222222222223E-2</v>
      </c>
    </row>
    <row r="39" spans="1:2" x14ac:dyDescent="0.2">
      <c r="A39" t="s">
        <v>33</v>
      </c>
      <c r="B39" s="13">
        <f>((B26/3)+B27)/365/B7/60</f>
        <v>1.6489091831557588E-2</v>
      </c>
    </row>
    <row r="40" spans="1:2" x14ac:dyDescent="0.2">
      <c r="A40" t="s">
        <v>34</v>
      </c>
      <c r="B40" s="13">
        <f>B38+B39</f>
        <v>3.1211314053779811E-2</v>
      </c>
    </row>
    <row r="42" spans="1:2" x14ac:dyDescent="0.2">
      <c r="A42" s="9" t="s">
        <v>36</v>
      </c>
      <c r="B42">
        <v>100</v>
      </c>
    </row>
    <row r="43" spans="1:2" x14ac:dyDescent="0.2">
      <c r="A43" t="s">
        <v>37</v>
      </c>
      <c r="B43" s="15"/>
    </row>
    <row r="44" spans="1:2" x14ac:dyDescent="0.2">
      <c r="A44" t="s">
        <v>62</v>
      </c>
      <c r="B44" s="16"/>
    </row>
    <row r="45" spans="1:2" x14ac:dyDescent="0.2">
      <c r="A45" t="s">
        <v>38</v>
      </c>
      <c r="B4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Pizza Sales Calculations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2017-03-24T14:42:09Z</dcterms:created>
  <dcterms:modified xsi:type="dcterms:W3CDTF">2019-10-18T20:25:28Z</dcterms:modified>
</cp:coreProperties>
</file>