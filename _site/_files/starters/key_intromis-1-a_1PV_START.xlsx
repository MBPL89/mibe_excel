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01ed0f4ecfdbb64/Working/Teaching/Business analytcis with Excel/Quarto/reimage2/_files/starters/"/>
    </mc:Choice>
  </mc:AlternateContent>
  <xr:revisionPtr revIDLastSave="0" documentId="8_{C847AE03-A25C-458B-B58D-E14172A1155A}" xr6:coauthVersionLast="47" xr6:coauthVersionMax="47" xr10:uidLastSave="{00000000-0000-0000-0000-000000000000}"/>
  <workbookProtection workbookAlgorithmName="SHA-512" workbookHashValue="uzmM1oAFpoyekor1ZI1HU++Pkxwo0E2rhC7P3ZpqwHjPHRkvAiVK0TSUAS5VHAlYgCWUm4BT6Cpx3luPbZYK/Q==" workbookSaltValue="NkQ+ffahBv65jKIhP5AAZg==" workbookSpinCount="100000" lockStructure="1"/>
  <bookViews>
    <workbookView xWindow="-120" yWindow="-120" windowWidth="29040" windowHeight="15720" firstSheet="2" activeTab="2" xr2:uid="{59B33BBD-C97B-46A5-B44E-AD91D481EEFF}"/>
  </bookViews>
  <sheets>
    <sheet name="FormatCodesSFX" sheetId="2" state="veryHidden" r:id="rId1"/>
    <sheet name="FeedbackSFX" sheetId="3" state="hidden" r:id="rId2"/>
    <sheet name="Scoreboard" sheetId="4" r:id="rId3"/>
    <sheet name="Sheet1PT" sheetId="6" state="veryHidden" r:id="rId4"/>
    <sheet name="Sheet1SC" sheetId="7" state="veryHidden" r:id="rId5"/>
    <sheet name="Sheet1" sheetId="5" r:id="rId6"/>
    <sheet name="#_Sheet1" sheetId="1" state="very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4" l="1" a="1"/>
  <c r="F21" i="4" s="1"/>
  <c r="I1" i="5" s="1" a="1"/>
  <c r="I1" i="5" s="1"/>
  <c r="AF1" i="5" s="1"/>
  <c r="B2" i="7"/>
  <c r="B2" i="5" s="1"/>
  <c r="Y2" i="5" s="1"/>
  <c r="B1" i="3"/>
  <c r="Z1" i="5"/>
  <c r="Y1" i="5"/>
  <c r="X1" i="5"/>
  <c r="I1" i="1"/>
  <c r="AF1" i="1" s="1"/>
  <c r="Z1" i="1"/>
  <c r="Y1" i="1"/>
  <c r="X1" i="1"/>
  <c r="F4" i="4" a="1"/>
  <c r="F4" i="4" s="1"/>
  <c r="E4" i="4"/>
  <c r="P2" i="5" s="1"/>
  <c r="H28" i="1"/>
  <c r="G28" i="1"/>
  <c r="F28" i="1"/>
  <c r="E28" i="1"/>
  <c r="D28" i="1"/>
  <c r="C28" i="1"/>
  <c r="B28" i="1"/>
  <c r="A28" i="1"/>
  <c r="H27" i="1"/>
  <c r="G27" i="1"/>
  <c r="F27" i="1"/>
  <c r="E27" i="1"/>
  <c r="D27" i="1"/>
  <c r="C27" i="1"/>
  <c r="B27" i="1"/>
  <c r="A27" i="1"/>
  <c r="H26" i="1"/>
  <c r="G26" i="1"/>
  <c r="F26" i="1"/>
  <c r="E26" i="1"/>
  <c r="D26" i="1"/>
  <c r="C26" i="1"/>
  <c r="B26" i="1"/>
  <c r="A26" i="1"/>
  <c r="H25" i="1"/>
  <c r="G25" i="1"/>
  <c r="F25" i="1"/>
  <c r="E25" i="1"/>
  <c r="D25" i="1"/>
  <c r="C25" i="1"/>
  <c r="B25" i="1"/>
  <c r="A25" i="1"/>
  <c r="H24" i="1"/>
  <c r="G24" i="1"/>
  <c r="F24" i="1"/>
  <c r="E24" i="1"/>
  <c r="D24" i="1"/>
  <c r="C24" i="1"/>
  <c r="B24" i="1"/>
  <c r="A24" i="1"/>
  <c r="H23" i="1"/>
  <c r="G23" i="1"/>
  <c r="F23" i="1"/>
  <c r="E23" i="1"/>
  <c r="D23" i="1"/>
  <c r="C23" i="1"/>
  <c r="B23" i="1"/>
  <c r="A23" i="1"/>
  <c r="H22" i="1"/>
  <c r="G22" i="1"/>
  <c r="F22" i="1"/>
  <c r="E22" i="1"/>
  <c r="D22" i="1"/>
  <c r="C22" i="1"/>
  <c r="B22" i="1"/>
  <c r="A22" i="1"/>
  <c r="H21" i="1"/>
  <c r="G21" i="1"/>
  <c r="F21" i="1"/>
  <c r="E21" i="1"/>
  <c r="D21" i="1"/>
  <c r="C21" i="1"/>
  <c r="B21" i="1"/>
  <c r="A21" i="1"/>
  <c r="H20" i="1"/>
  <c r="G20" i="1"/>
  <c r="F20" i="1"/>
  <c r="E20" i="1"/>
  <c r="D20" i="1"/>
  <c r="C20" i="1"/>
  <c r="B20" i="1"/>
  <c r="A20" i="1"/>
  <c r="H19" i="1"/>
  <c r="G19" i="1"/>
  <c r="F19" i="1"/>
  <c r="E19" i="1"/>
  <c r="D19" i="1"/>
  <c r="C19" i="1"/>
  <c r="B19" i="1"/>
  <c r="A19" i="1"/>
  <c r="H18" i="1"/>
  <c r="G18" i="1"/>
  <c r="F18" i="1"/>
  <c r="E18" i="1"/>
  <c r="D18" i="1"/>
  <c r="C18" i="1"/>
  <c r="B18" i="1"/>
  <c r="A18" i="1"/>
  <c r="H17" i="1"/>
  <c r="G17" i="1"/>
  <c r="F17" i="1"/>
  <c r="E17" i="1"/>
  <c r="D17" i="1"/>
  <c r="C17" i="1"/>
  <c r="B17" i="1"/>
  <c r="A17" i="1"/>
  <c r="H16" i="1"/>
  <c r="G16" i="1"/>
  <c r="F16" i="1"/>
  <c r="E16" i="1"/>
  <c r="D16" i="1"/>
  <c r="C16" i="1"/>
  <c r="B16" i="1"/>
  <c r="A16" i="1"/>
  <c r="H15" i="1"/>
  <c r="G15" i="1"/>
  <c r="F15" i="1"/>
  <c r="E15" i="1"/>
  <c r="D15" i="1"/>
  <c r="C15" i="1"/>
  <c r="B15" i="1"/>
  <c r="A15" i="1"/>
  <c r="H14" i="1"/>
  <c r="G14" i="1"/>
  <c r="F14" i="1"/>
  <c r="E14" i="1"/>
  <c r="D14" i="1"/>
  <c r="C14" i="1"/>
  <c r="B14" i="1"/>
  <c r="A14" i="1"/>
  <c r="H13" i="1"/>
  <c r="G13" i="1"/>
  <c r="F13" i="1"/>
  <c r="E13" i="1"/>
  <c r="D13" i="1"/>
  <c r="C13" i="1"/>
  <c r="B13" i="1"/>
  <c r="A13" i="1"/>
  <c r="H12" i="1"/>
  <c r="G12" i="1"/>
  <c r="F12" i="1"/>
  <c r="E12" i="1"/>
  <c r="D12" i="1"/>
  <c r="C12" i="1"/>
  <c r="B12" i="1"/>
  <c r="A12" i="1"/>
  <c r="H11" i="1"/>
  <c r="G11" i="1"/>
  <c r="F11" i="1"/>
  <c r="E11" i="1"/>
  <c r="D11" i="1"/>
  <c r="C11" i="1"/>
  <c r="B11" i="1"/>
  <c r="A11" i="1"/>
  <c r="H10" i="1"/>
  <c r="G10" i="1"/>
  <c r="F10" i="1"/>
  <c r="E10" i="1"/>
  <c r="D10" i="1"/>
  <c r="C10" i="1"/>
  <c r="B10" i="1"/>
  <c r="A10" i="1"/>
  <c r="H9" i="1"/>
  <c r="G9" i="1"/>
  <c r="F9" i="1"/>
  <c r="E9" i="1"/>
  <c r="D9" i="1"/>
  <c r="C9" i="1"/>
  <c r="B9" i="1"/>
  <c r="A9" i="1"/>
  <c r="H8" i="1"/>
  <c r="G8" i="1"/>
  <c r="F8" i="1"/>
  <c r="E8" i="1"/>
  <c r="D8" i="1"/>
  <c r="C8" i="1"/>
  <c r="B8" i="1"/>
  <c r="A8" i="1"/>
  <c r="H7" i="1"/>
  <c r="G7" i="1"/>
  <c r="F7" i="1"/>
  <c r="E7" i="1"/>
  <c r="D7" i="1"/>
  <c r="C7" i="1"/>
  <c r="B7" i="1"/>
  <c r="A7" i="1"/>
  <c r="H6" i="1"/>
  <c r="G6" i="1"/>
  <c r="F6" i="1"/>
  <c r="E6" i="1"/>
  <c r="D6" i="1"/>
  <c r="C6" i="1"/>
  <c r="B6" i="1"/>
  <c r="A6" i="1"/>
  <c r="H5" i="1"/>
  <c r="G5" i="1"/>
  <c r="F5" i="1"/>
  <c r="E5" i="1"/>
  <c r="D5" i="1"/>
  <c r="C5" i="1"/>
  <c r="B5" i="1"/>
  <c r="A5" i="1"/>
  <c r="H4" i="1"/>
  <c r="G4" i="1"/>
  <c r="F4" i="1"/>
  <c r="E4" i="1"/>
  <c r="D4" i="1"/>
  <c r="C4" i="1"/>
  <c r="B4" i="1"/>
  <c r="A4" i="1"/>
  <c r="H3" i="1"/>
  <c r="G3" i="1"/>
  <c r="F3" i="1"/>
  <c r="E3" i="1"/>
  <c r="D3" i="1"/>
  <c r="C3" i="1"/>
  <c r="B3" i="1"/>
  <c r="A3" i="1"/>
  <c r="B16" i="7"/>
  <c r="C7" i="7"/>
  <c r="C25" i="7"/>
  <c r="D7" i="7"/>
  <c r="F25" i="7"/>
  <c r="E13" i="7"/>
  <c r="A13" i="7"/>
  <c r="F19" i="7"/>
  <c r="C9" i="7"/>
  <c r="C27" i="7"/>
  <c r="D15" i="7"/>
  <c r="G24" i="7"/>
  <c r="A17" i="7"/>
  <c r="B5" i="7"/>
  <c r="B23" i="7"/>
  <c r="D11" i="7"/>
  <c r="A4" i="7"/>
  <c r="A5" i="7"/>
  <c r="H18" i="7"/>
  <c r="A27" i="7"/>
  <c r="H24" i="7"/>
  <c r="G25" i="7"/>
  <c r="F17" i="7"/>
  <c r="G8" i="7"/>
  <c r="G26" i="7"/>
  <c r="H8" i="7"/>
  <c r="G3" i="7"/>
  <c r="A15" i="7"/>
  <c r="B3" i="7"/>
  <c r="B21" i="7"/>
  <c r="G10" i="7"/>
  <c r="G12" i="7"/>
  <c r="H16" i="7"/>
  <c r="E8" i="7"/>
  <c r="E18" i="7"/>
  <c r="F6" i="7"/>
  <c r="F24" i="7"/>
  <c r="H12" i="7"/>
  <c r="E14" i="7"/>
  <c r="B26" i="7"/>
  <c r="D14" i="7"/>
  <c r="H15" i="7"/>
  <c r="D17" i="7"/>
  <c r="C2" i="1" a="1"/>
  <c r="B15" i="7"/>
  <c r="H6" i="7"/>
  <c r="C20" i="7"/>
  <c r="F3" i="7"/>
  <c r="B19" i="7"/>
  <c r="C10" i="7"/>
  <c r="H23" i="7"/>
  <c r="D10" i="7"/>
  <c r="C17" i="7"/>
  <c r="E16" i="7"/>
  <c r="F4" i="7"/>
  <c r="F22" i="7"/>
  <c r="C12" i="7"/>
  <c r="C26" i="7"/>
  <c r="D18" i="7"/>
  <c r="E20" i="7"/>
  <c r="A20" i="7"/>
  <c r="B8" i="7"/>
  <c r="F9" i="7"/>
  <c r="A23" i="7"/>
  <c r="A22" i="7"/>
  <c r="E12" i="7"/>
  <c r="G7" i="7"/>
  <c r="F20" i="7"/>
  <c r="G11" i="7"/>
  <c r="H26" i="7"/>
  <c r="H11" i="7"/>
  <c r="A7" i="7"/>
  <c r="A18" i="7"/>
  <c r="B6" i="7"/>
  <c r="B24" i="7"/>
  <c r="G13" i="7"/>
  <c r="E17" i="7"/>
  <c r="H19" i="7"/>
  <c r="E3" i="7"/>
  <c r="E21" i="7"/>
  <c r="C8" i="7"/>
  <c r="G18" i="7"/>
  <c r="H20" i="7"/>
  <c r="F18" i="7"/>
  <c r="B18" i="7"/>
  <c r="H27" i="7"/>
  <c r="B4" i="7"/>
  <c r="B22" i="7"/>
  <c r="C13" i="7"/>
  <c r="F27" i="7"/>
  <c r="D13" i="7"/>
  <c r="A25" i="7"/>
  <c r="E19" i="7"/>
  <c r="F7" i="7"/>
  <c r="G9" i="7"/>
  <c r="C15" i="7"/>
  <c r="D3" i="7"/>
  <c r="D21" i="7"/>
  <c r="B11" i="7"/>
  <c r="H21" i="7"/>
  <c r="G22" i="7"/>
  <c r="G23" i="7"/>
  <c r="C14" i="7"/>
  <c r="F5" i="7"/>
  <c r="F23" i="7"/>
  <c r="G14" i="7"/>
  <c r="C11" i="7"/>
  <c r="H14" i="7"/>
  <c r="A3" i="7"/>
  <c r="A21" i="7"/>
  <c r="B9" i="7"/>
  <c r="C23" i="7"/>
  <c r="G16" i="7"/>
  <c r="H4" i="7"/>
  <c r="H22" i="7"/>
  <c r="E6" i="7"/>
  <c r="E24" i="7"/>
  <c r="F12" i="7"/>
  <c r="E11" i="7"/>
  <c r="H3" i="7"/>
  <c r="G4" i="7"/>
  <c r="H5" i="7"/>
  <c r="H9" i="7"/>
  <c r="B7" i="7"/>
  <c r="B25" i="7"/>
  <c r="C16" i="7"/>
  <c r="G21" i="7"/>
  <c r="D16" i="7"/>
  <c r="E4" i="7"/>
  <c r="E22" i="7"/>
  <c r="F10" i="7"/>
  <c r="A16" i="7"/>
  <c r="C18" i="7"/>
  <c r="D6" i="7"/>
  <c r="D24" i="7"/>
  <c r="A8" i="7"/>
  <c r="A26" i="7"/>
  <c r="B14" i="7"/>
  <c r="E26" i="7"/>
  <c r="D20" i="7"/>
  <c r="H7" i="7"/>
  <c r="E9" i="7"/>
  <c r="C5" i="7"/>
  <c r="G20" i="7"/>
  <c r="E27" i="7"/>
  <c r="F14" i="7"/>
  <c r="H13" i="7"/>
  <c r="F8" i="7"/>
  <c r="F26" i="7"/>
  <c r="G17" i="7"/>
  <c r="A10" i="7"/>
  <c r="H17" i="7"/>
  <c r="A6" i="7"/>
  <c r="A24" i="7"/>
  <c r="B12" i="7"/>
  <c r="C2" i="5" a="1"/>
  <c r="G19" i="7"/>
  <c r="H25" i="7"/>
  <c r="F15" i="7"/>
  <c r="A9" i="7"/>
  <c r="G27" i="7"/>
  <c r="A12" i="7"/>
  <c r="B10" i="7"/>
  <c r="E5" i="7"/>
  <c r="C19" i="7"/>
  <c r="E23" i="7"/>
  <c r="D19" i="7"/>
  <c r="E7" i="7"/>
  <c r="E25" i="7"/>
  <c r="F13" i="7"/>
  <c r="C3" i="7"/>
  <c r="C21" i="7"/>
  <c r="D9" i="7"/>
  <c r="D27" i="7"/>
  <c r="A11" i="7"/>
  <c r="G15" i="7"/>
  <c r="B17" i="7"/>
  <c r="D5" i="7"/>
  <c r="D23" i="7"/>
  <c r="F11" i="7"/>
  <c r="H10" i="7"/>
  <c r="G5" i="7"/>
  <c r="E15" i="7"/>
  <c r="B13" i="7"/>
  <c r="C4" i="7"/>
  <c r="C22" i="7"/>
  <c r="D4" i="7"/>
  <c r="D22" i="7"/>
  <c r="E10" i="7"/>
  <c r="B27" i="7"/>
  <c r="F16" i="7"/>
  <c r="C6" i="7"/>
  <c r="C24" i="7"/>
  <c r="D12" i="7"/>
  <c r="G6" i="7"/>
  <c r="A14" i="7"/>
  <c r="A19" i="7"/>
  <c r="B20" i="7"/>
  <c r="D8" i="7"/>
  <c r="D26" i="7"/>
  <c r="D25" i="7"/>
  <c r="F21" i="7"/>
  <c r="C2" i="5" l="1"/>
  <c r="C2" i="7"/>
  <c r="C2" i="1"/>
  <c r="C21" i="4"/>
  <c r="C23" i="4" s="1"/>
  <c r="B2" i="1"/>
  <c r="Y2" i="1" s="1"/>
  <c r="C8" i="4"/>
  <c r="Z2" i="1" l="1"/>
  <c r="Z2" i="5"/>
  <c r="D2" i="5" a="1"/>
  <c r="D1" i="1" a="1"/>
  <c r="D1" i="5" a="1"/>
  <c r="D2" i="1" a="1"/>
  <c r="D2" i="1" l="1"/>
  <c r="AA2" i="1" s="1"/>
  <c r="D1" i="1"/>
  <c r="AA1" i="1" s="1"/>
  <c r="D1" i="5"/>
  <c r="AA1" i="5" s="1"/>
  <c r="D2" i="5"/>
  <c r="AA2" i="5" l="1"/>
  <c r="A2" i="7"/>
  <c r="B21" i="4" l="1"/>
  <c r="B23" i="4" s="1"/>
  <c r="A2" i="5"/>
  <c r="X2" i="5" s="1"/>
  <c r="A2" i="1"/>
  <c r="X2" i="1" s="1"/>
  <c r="I2" i="4" l="1"/>
  <c r="D23" i="4"/>
  <c r="I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S1" authorId="0" shapeId="0" xr:uid="{442B1F00-578F-4295-BA40-4201BC7AC675}">
      <text>
        <r>
          <rPr>
            <sz val="9"/>
            <color indexed="81"/>
            <rFont val="Tahoma"/>
            <family val="2"/>
          </rPr>
          <t>There are those who work all day. Those who dream all day. And those who spend an hour dreaming before setting to work to fulfill those dreams. Go into the third category because there’s virtually no competition. – Steven J. Ross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<sst xmlns="http://schemas.openxmlformats.org/spreadsheetml/2006/main" count="256" uniqueCount="244">
  <si>
    <t>The CELL function returns</t>
  </si>
  <si>
    <t>Display</t>
  </si>
  <si>
    <t>,0</t>
  </si>
  <si>
    <t>comma format with 0 decimal places</t>
  </si>
  <si>
    <t>,0-</t>
  </si>
  <si>
    <t>comma format with 0 decimal places, negative numbers in red</t>
  </si>
  <si>
    <t>,1</t>
  </si>
  <si>
    <t>comma format with 1 decimal places</t>
  </si>
  <si>
    <t>,1-</t>
  </si>
  <si>
    <t>comma format with 1 decimal places, negative numbers in red</t>
  </si>
  <si>
    <t>,2</t>
  </si>
  <si>
    <t>comma format with 2 decimal places</t>
  </si>
  <si>
    <t>,2-</t>
  </si>
  <si>
    <t>comma format with 2 decimal places, negative numbers in red</t>
  </si>
  <si>
    <t>,3</t>
  </si>
  <si>
    <t>comma format with 3 decimal places</t>
  </si>
  <si>
    <t>,3-</t>
  </si>
  <si>
    <t>comma format with 3 decimal places, negative numbers in red</t>
  </si>
  <si>
    <t>,4</t>
  </si>
  <si>
    <t>comma format with 4 decimal places</t>
  </si>
  <si>
    <t>,4-</t>
  </si>
  <si>
    <t>comma format with 4 decimal places, negative numbers in red</t>
  </si>
  <si>
    <t>C0</t>
  </si>
  <si>
    <t>currency/accounting with 0 decimal places</t>
  </si>
  <si>
    <t>C0-</t>
  </si>
  <si>
    <t>currency/accounting with 0 decimal places, negative numbers in red</t>
  </si>
  <si>
    <t>C1</t>
  </si>
  <si>
    <t>currency/accounting with 1 decimal places</t>
  </si>
  <si>
    <t>C1-</t>
  </si>
  <si>
    <t>currency/accounting with 1 decimal places, negative numbers in red</t>
  </si>
  <si>
    <t>C2</t>
  </si>
  <si>
    <t>currency/accounting with 2 decimal places</t>
  </si>
  <si>
    <t>C2-</t>
  </si>
  <si>
    <t>currency/accounting with 2 decimal places, negative numbers in red</t>
  </si>
  <si>
    <t>C3</t>
  </si>
  <si>
    <t>currency/accounting with 3 decimal places</t>
  </si>
  <si>
    <t>C3-</t>
  </si>
  <si>
    <t>currency/accounting with 3 decimal places, negative numbers in red</t>
  </si>
  <si>
    <t>C4</t>
  </si>
  <si>
    <t>currency/accounting with 4 decimal places</t>
  </si>
  <si>
    <t>C4-</t>
  </si>
  <si>
    <t>currency/accounting with 4 decimal places, negative numbers in red</t>
  </si>
  <si>
    <t>D1</t>
  </si>
  <si>
    <t>long date</t>
  </si>
  <si>
    <t>D2</t>
  </si>
  <si>
    <t>day and month</t>
  </si>
  <si>
    <t>D3</t>
  </si>
  <si>
    <t>mmm-yy</t>
  </si>
  <si>
    <t>D4</t>
  </si>
  <si>
    <t>short date</t>
  </si>
  <si>
    <t>D5</t>
  </si>
  <si>
    <t>mm/dd</t>
  </si>
  <si>
    <t>D6</t>
  </si>
  <si>
    <t>h:mm:ss AM/PM</t>
  </si>
  <si>
    <t>D7</t>
  </si>
  <si>
    <t>h:mm AM/PM</t>
  </si>
  <si>
    <t>D8</t>
  </si>
  <si>
    <t>h:mm:ss</t>
  </si>
  <si>
    <t>D9</t>
  </si>
  <si>
    <t>h:mm</t>
  </si>
  <si>
    <t>F0</t>
  </si>
  <si>
    <t>number with 0 decimal places, do not use comma separator (,)</t>
  </si>
  <si>
    <t>F0-</t>
  </si>
  <si>
    <t>number with 0 decimal places, negative numbers in red, do not use comma separator (,)</t>
  </si>
  <si>
    <t>F1</t>
  </si>
  <si>
    <t>number with 1 decimal place, do not use comma separator (,)</t>
  </si>
  <si>
    <t>F1-</t>
  </si>
  <si>
    <t>number with 1 decimal place, negative numbers in red, do not use comma separator (,)</t>
  </si>
  <si>
    <t>F2</t>
  </si>
  <si>
    <t>number with 2 decimal places, do not use comma separator (,)</t>
  </si>
  <si>
    <t>F2-</t>
  </si>
  <si>
    <t>number with 2 decimal places, negative numbers in red, do not use comma separator (,)</t>
  </si>
  <si>
    <t>F3</t>
  </si>
  <si>
    <t>number with 3 decimal places, do not use comma separator (,)</t>
  </si>
  <si>
    <t>F3-</t>
  </si>
  <si>
    <t>number with 3 decimal places, negative numbers in red, do not use comma separator (,)</t>
  </si>
  <si>
    <t>F4</t>
  </si>
  <si>
    <t>number with 4 decimal places, do not use comma separator (,)</t>
  </si>
  <si>
    <t>F4-</t>
  </si>
  <si>
    <t>number with 4 decimal places, negative numbers in red, do not use comma separator (,)</t>
  </si>
  <si>
    <t>G</t>
  </si>
  <si>
    <t>general</t>
  </si>
  <si>
    <t>P0</t>
  </si>
  <si>
    <t>percent with 0 decimal places</t>
  </si>
  <si>
    <t>P1</t>
  </si>
  <si>
    <t>percent with 1 decimal place</t>
  </si>
  <si>
    <t>P2</t>
  </si>
  <si>
    <t>percent with 2 decimal places</t>
  </si>
  <si>
    <t>P3</t>
  </si>
  <si>
    <t>percent with 3 decimal places</t>
  </si>
  <si>
    <t>P4</t>
  </si>
  <si>
    <t>percent with 4 decimal places</t>
  </si>
  <si>
    <t>S0</t>
  </si>
  <si>
    <t>scientific with 0 decimal places</t>
  </si>
  <si>
    <t>S1</t>
  </si>
  <si>
    <t>scientific with 1 decimal places</t>
  </si>
  <si>
    <t>S2</t>
  </si>
  <si>
    <t>scientific with 2 decimal places</t>
  </si>
  <si>
    <t>S3</t>
  </si>
  <si>
    <t>scientific with 3 decimal places</t>
  </si>
  <si>
    <t>S4</t>
  </si>
  <si>
    <t>scientific with 4 decimal places</t>
  </si>
  <si>
    <t>Rand</t>
  </si>
  <si>
    <t>Code</t>
  </si>
  <si>
    <t>StuNAMsg</t>
  </si>
  <si>
    <t>PerfectMsg</t>
  </si>
  <si>
    <t>StuErrorMsg</t>
  </si>
  <si>
    <t>WrongTypeMsg</t>
  </si>
  <si>
    <t>MissingFormulaMsg</t>
  </si>
  <si>
    <t>ExternalRefsMsg</t>
  </si>
  <si>
    <t>HardCodeMsg</t>
  </si>
  <si>
    <t>HardQuoteMsg</t>
  </si>
  <si>
    <t>MissingAbsMsg</t>
  </si>
  <si>
    <t>FormatMsg</t>
  </si>
  <si>
    <t>TooLow</t>
  </si>
  <si>
    <t>TooHigh</t>
  </si>
  <si>
    <t>WrongAnswer</t>
  </si>
  <si>
    <t>Standard Message</t>
  </si>
  <si>
    <t>ERROR--#N/A means that no value was found, but there should be one. Please correct.</t>
  </si>
  <si>
    <t>PERFECT!</t>
  </si>
  <si>
    <t xml:space="preserve">ERROR--Please change the formula or function to eliminate the error. </t>
  </si>
  <si>
    <t>WRONG DATATYPE--Please change your answer to match the datatype listed above.</t>
  </si>
  <si>
    <t>MISSING FORMULA or FUNCTION--Please avoid typing an answer that can be calculated. Typed answers are error-prone, hard to audit, and hard to update.</t>
  </si>
  <si>
    <t>ERROR--Formula copied from another workbook.</t>
  </si>
  <si>
    <t>MISSING CELL REFERENCE--Right answer but please avoid typing numbers inside a formula or function.</t>
  </si>
  <si>
    <t>MISSING CELL REFERENCE--Right answer but please avoid typing text inside a formula or function.</t>
  </si>
  <si>
    <t>MISSING LOCK--Please add $ as appropriate so the formula will copy correctly.</t>
  </si>
  <si>
    <t>WRONG FORMAT--Please format as directed, then press F9 (or fn + F9) to regrade.</t>
  </si>
  <si>
    <t>Value too low, please try again.</t>
  </si>
  <si>
    <t>Value too high, please try again.</t>
  </si>
  <si>
    <t>Wrong answer, please try again.</t>
  </si>
  <si>
    <t>Funny Messages</t>
  </si>
  <si>
    <t>Oops! N/A found – formula missing its mark! 🎯❌</t>
  </si>
  <si>
    <t>AWESOME! 🤓</t>
  </si>
  <si>
    <t>Cell adrift in Error Sea. 🌊 Chart a formula fix! 🧭</t>
  </si>
  <si>
    <t>Love Island error! Set up your data with the right datatype match. 💔🔄</t>
  </si>
  <si>
    <t>Houston, formula required for this mission! 🚀🧩</t>
  </si>
  <si>
    <t>Ouch! Cell caught referencing the workbook next door! 😣📚</t>
  </si>
  <si>
    <t>Missed cell refs? Swap those numbers for proper invites! 📲➡️🎯</t>
  </si>
  <si>
    <t>Missed cell refs? Swap that text for proper invites! _xD83D_➡️🎯</t>
  </si>
  <si>
    <t>Unlocked cells? Add $ to ensure they copy correctly! 🔒➡️📄</t>
  </si>
  <si>
    <t>Wrong number attire? Reformat, then F9 (or fn + F9)!⚙️</t>
  </si>
  <si>
    <t>Too low, boost that number! 🔼</t>
  </si>
  <si>
    <t>Too high, lower that number! 🔽</t>
  </si>
  <si>
    <t>Seriously? Nope. Try again! 🙄🔄</t>
  </si>
  <si>
    <t>N/A signal! Did your formula forget something? 🤔🚦</t>
  </si>
  <si>
    <t>EXCELLENT! 🤑</t>
  </si>
  <si>
    <t>Formula Error Monster! 👾 Cast a fix-it spell. 🪄</t>
  </si>
  <si>
    <t>Identity crisis in cell! Guide it to its true datatype. 🆔➡️🔧</t>
  </si>
  <si>
    <t>Formula MIA? Let's launch a search! 🔍🛰</t>
  </si>
  <si>
    <t>Cell's got a roving eye for other workbooks! Commitment time? 💍📁</t>
  </si>
  <si>
    <t>Cell FOMO? Time to party with the right references! 🥳🔗</t>
  </si>
  <si>
    <t>Cells escaping when copied? $ is the key to containment! 🗝️🔐</t>
  </si>
  <si>
    <t>Unkempt number? Reformat, then F9 (or fn + F9)! 🎩✨</t>
  </si>
  <si>
    <t>Valley too deep? Raise the number! ⬆️🏞️</t>
  </si>
  <si>
    <t>Sky-high value? Bring it down! ⬇️🌤️</t>
  </si>
  <si>
    <t>Nope, that ain’t it. What’s next? ❌🤨</t>
  </si>
  <si>
    <t>#N/A in hideout, send formula back to search! 🔍🏹</t>
  </si>
  <si>
    <t>YOU'RE CRUSHING IT! Keep that greatness coming! 💪✨</t>
  </si>
  <si>
    <t>Formula fail! 🚨 Call the math-mobile for a recalc! 🚗</t>
  </si>
  <si>
    <t>Mismatch alert! This isn't a mix-and-match. Align your datatypes. 🚫❌</t>
  </si>
  <si>
    <t>Cell's bare! Quick, clothe it with a formula! 👚✨</t>
  </si>
  <si>
    <t>Workbook envy? This cell's a one-book wonder! 😒🔒</t>
  </si>
  <si>
    <t>Friends &gt; numbers. Replace typed digits with cell pals! 🤝📊</t>
  </si>
  <si>
    <t>Friends &gt; text. Replace text with cell pals! 🤝📊</t>
  </si>
  <si>
    <t>Spreadsheet anarchy? Use $ to copy cells without mayhem! 🔄🚫</t>
  </si>
  <si>
    <t>Number's style off? Reformat, then F9 (or fn + F9) to fix! 👗🔄</t>
  </si>
  <si>
    <t>Bottom feeder? Not this time—larger number needed. 📈</t>
  </si>
  <si>
    <t>Top-shelf number? Time for a lower shelf. 📉</t>
  </si>
  <si>
    <t>Wrong. Take another stab. 🎯👀</t>
  </si>
  <si>
    <t>N/A detected! Command your formula to find the value! 🎮🕹</t>
  </si>
  <si>
    <t>STELLAR PERFORMANCE! The stars have nothing on you! 🌟🚀</t>
  </si>
  <si>
    <t>Game on! 🎮 Hunt for the error-busting formula. 🔍</t>
  </si>
  <si>
    <t>Data type mismatch! Swipe right on the correct datatype. 👈👉📲</t>
  </si>
  <si>
    <t>Formula's gone poof! Time for a magic formula fix! 🪄📈</t>
  </si>
  <si>
    <t>Cell fidelity: It's exclusive with our workbook! 🚫📖💕</t>
  </si>
  <si>
    <t>Lonely numbers? Unite them with cell reference friends! 👯‍♂️🔢</t>
  </si>
  <si>
    <t>Lonely text? Unite it with cell reference friends! 👯‍♂️🔢</t>
  </si>
  <si>
    <t>Cells drifting during copy? $ will pin them in place! 📌📋</t>
  </si>
  <si>
    <t>Make the number pretty! Reformat, then F9 (or fn + F9) for shine! 💅🔁</t>
  </si>
  <si>
    <t>Limbo number? Go higher, please. 🏋️‍♂️</t>
  </si>
  <si>
    <t>Number too tall? Bend it down a notch. _xD83D_⬇️</t>
  </si>
  <si>
    <t>Uh-oh, swing and a miss! Focus and retry. ⚾️🧐</t>
  </si>
  <si>
    <t>N/A – a lonely cell where your formula lost its way! 🧭💔</t>
  </si>
  <si>
    <t>A ROUND OF APPLAUSE! Your work deserves an encore! 👏👏🎉</t>
  </si>
  <si>
    <t>Your formula's flipping out! 🤸‍♂️ Coach it to stick the landing. 🎖️</t>
  </si>
  <si>
    <t>Costume mix-up! Your data needs to change into the correct datatype. 🎭✅</t>
  </si>
  <si>
    <t>This cell's single, introduce it to a formula? 💔🧮</t>
  </si>
  <si>
    <t>Forbidden cross-book cell mingling detected! 🙅‍♂️🚷</t>
  </si>
  <si>
    <t>Formulas thrive on connections! Link up those cells! 🌐🤲</t>
  </si>
  <si>
    <t>Copy chaos? Freeze cells with $, no more moves! ✋🔄</t>
  </si>
  <si>
    <t>Number outfit mix-up? Reformat, hit F9 (or fn + F9)! 🧳🔄</t>
  </si>
  <si>
    <t>Digging too deep? The correct value's higher up! 🚧⬆️</t>
  </si>
  <si>
    <t>Climbing too high? The correct value's down below! 🧗‍♂️⬇️</t>
  </si>
  <si>
    <t>That’s a negative. Try again! 🚫🔄</t>
  </si>
  <si>
    <t>N/A: Value's playing hard to get, or formula faux pas? 🎩🐰</t>
  </si>
  <si>
    <t>HOME RUN! You've hit it out of the park!  ⚾🏟️</t>
  </si>
  <si>
    <t>Jittery cell? 📱 Prescribe a calming formula. 💊</t>
  </si>
  <si>
    <t>Wrong type alert! Time for a datatype switcheroo. 🔄🔀</t>
  </si>
  <si>
    <t>Forbidden formula zone? Summon the formula wizard! 🧙‍♂️📐</t>
  </si>
  <si>
    <t>This cell's heart belongs to its home workbook! 🏠💔📉</t>
  </si>
  <si>
    <t>Ditch the DIY. Cells crave references, not solitude! 🧩🔍</t>
  </si>
  <si>
    <t>Cells changing on copy? Anchor with $ for consistency! ⚓👌</t>
  </si>
  <si>
    <t>Last season's cell? Format, then F9 (or fn + F9)! 🍂🆕</t>
  </si>
  <si>
    <t>Basement value? Uplift the value! 🏠⤴️</t>
  </si>
  <si>
    <t>Penthouse value? Downsize the digits! 🏢🔻</t>
  </si>
  <si>
    <t>Not correct! Try again! 💡🔙</t>
  </si>
  <si>
    <t>N/A blank... Formula hiccup! Time for a fix-up! 🛠️😅</t>
  </si>
  <si>
    <t>Bravo! That's some next-level excellence! 🎭🏆</t>
  </si>
  <si>
    <t>Magic mirror says: This formula's not the fairest! 🪞</t>
  </si>
  <si>
    <t>Data's two left feet? Find the right datatype dance partner. 💃🕺🎶</t>
  </si>
  <si>
    <t>Cell playing hooky? Detention with a formula tutor! 🍎📖</t>
  </si>
  <si>
    <t>Cell wanderlust? No, keep its formulas in this workbook's embrace! 🌍✋🔐</t>
  </si>
  <si>
    <t>Solo formula? Add some cell reference company! 🎉📑</t>
  </si>
  <si>
    <t>Copying cells gone rogue? Reinforce with $ for precision! 🎯💲</t>
  </si>
  <si>
    <t>Format violation? Reformat, then F9 (or fn + F9)! 🚦👔</t>
  </si>
  <si>
    <t>Number's too deep? Bring it up for air! 🌊🆙</t>
  </si>
  <si>
    <t>Number's in the clouds? Land it gently! ☁️🛬</t>
  </si>
  <si>
    <t>Incorrect! You can do better, redo! 🔄💪</t>
  </si>
  <si>
    <t>ScoreBoard for Excel</t>
  </si>
  <si>
    <t>Have fun. Don't Fail.</t>
  </si>
  <si>
    <t>Automated grading and feedback copyright ScoreboardExcel.com ©2025</t>
  </si>
  <si>
    <t>Earn points by completing shaded cells; higher value cells have distinct borders</t>
  </si>
  <si>
    <t>Answer blocks are all or nothing; correctly complete all contributing cells to earn points:</t>
  </si>
  <si>
    <t>If you accidentally drag a cell out of position, then undo. Do NOT try to drag it back.</t>
  </si>
  <si>
    <t>Detailed Feedback:</t>
  </si>
  <si>
    <t>Earned</t>
  </si>
  <si>
    <t>Possible</t>
  </si>
  <si>
    <t>Sheet</t>
  </si>
  <si>
    <t>Comment</t>
  </si>
  <si>
    <t>earned</t>
  </si>
  <si>
    <t>possible</t>
  </si>
  <si>
    <t>cell</t>
  </si>
  <si>
    <t>Press F9 to grade</t>
  </si>
  <si>
    <t>Feedback ON</t>
  </si>
  <si>
    <t xml:space="preserve"> </t>
  </si>
  <si>
    <t>Sheet1</t>
  </si>
  <si>
    <t>Cheer</t>
  </si>
  <si>
    <t/>
  </si>
  <si>
    <t>Prof. Bartosiak</t>
  </si>
  <si>
    <t>University of Pavia</t>
  </si>
  <si>
    <t>Business Analytics with Excel</t>
  </si>
  <si>
    <t>This assignment was created by Scoreboard Excel 13.54.</t>
  </si>
  <si>
    <t>key_intromis-1-a_1PV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</si>
</sst>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F800]dddd\,\ mmmm\ dd\,\ yyyy"/>
    <numFmt numFmtId="165" formatCode="0.0000E+00"/>
    <numFmt numFmtId="166" formatCode="0.0%"/>
  </numFmts>
  <fonts count="24" x14ac:knownFonts="1">
    <font>
      <sz val="12"/>
      <color theme="1"/>
      <name val="Calibri"/>
      <family val="2"/>
      <scheme val="minor"/>
    </font>
    <font>
      <sz val="20"/>
      <color theme="1"/>
      <name val="Calibri"/>
      <family val="2"/>
      <scheme val="minor"/>
    </font>
    <font>
      <sz val="20"/>
      <color theme="1"/>
      <name val="Calibri"/>
      <family val="2"/>
      <scheme val="minor"/>
    </font>
    <font>
      <b/>
      <sz val="20"/>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b/>
      <sz val="14"/>
      <color rgb="FF000000"/>
      <name val="Calibri"/>
      <family val="2"/>
      <scheme val="minor"/>
    </font>
    <font>
      <sz val="12"/>
      <color theme="0"/>
      <name val="Calibri"/>
      <family val="2"/>
      <scheme val="minor"/>
    </font>
    <font>
      <b/>
      <sz val="14"/>
      <color theme="1"/>
      <name val="Calibri"/>
      <family val="2"/>
      <scheme val="minor"/>
    </font>
    <font>
      <sz val="14"/>
      <color theme="1"/>
      <name val="Calibri"/>
      <family val="2"/>
      <scheme val="minor"/>
    </font>
    <font>
      <sz val="14"/>
      <color rgb="FF000000"/>
      <name val="Calibri"/>
      <family val="2"/>
      <scheme val="minor"/>
    </font>
    <font>
      <sz val="16"/>
      <color theme="1"/>
      <name val="Calibri"/>
      <family val="2"/>
      <scheme val="minor"/>
    </font>
    <font>
      <i/>
      <sz val="16"/>
      <color theme="1"/>
      <name val="Calibri"/>
      <family val="2"/>
      <scheme val="minor"/>
    </font>
    <font>
      <sz val="26"/>
      <color theme="1"/>
      <name val="Calibri"/>
      <family val="2"/>
      <scheme val="minor"/>
    </font>
    <font>
      <sz val="22"/>
      <color theme="1"/>
      <name val="Calibri"/>
      <family val="2"/>
      <scheme val="minor"/>
    </font>
    <font>
      <b/>
      <sz val="11"/>
      <color indexed="8"/>
      <name val="Calibri"/>
      <family val="2"/>
      <scheme val="minor"/>
    </font>
    <font>
      <sz val="11"/>
      <color indexed="8"/>
      <name val="Calibri"/>
      <family val="2"/>
      <scheme val="minor"/>
    </font>
    <font>
      <sz val="11"/>
      <color rgb="FF000000"/>
      <name val="Calibri"/>
      <family val="2"/>
      <scheme val="minor"/>
    </font>
    <font>
      <sz val="14"/>
      <color rgb="FFFF0000"/>
      <name val="Calibri"/>
      <family val="2"/>
      <scheme val="minor"/>
    </font>
    <font>
      <b/>
      <sz val="24"/>
      <color theme="1"/>
      <name val="Calibri"/>
      <family val="2"/>
      <scheme val="minor"/>
    </font>
    <font>
      <sz val="5"/>
      <color theme="0"/>
      <name val="Wingdings"/>
      <charset val="2"/>
    </font>
    <font>
      <b/>
      <sz val="5"/>
      <color theme="0"/>
      <name val="Wingdings"/>
      <charset val="2"/>
    </font>
    <font>
      <sz val="9"/>
      <color indexed="81"/>
      <name val="Tahoma"/>
      <family val="2"/>
    </font>
  </fonts>
  <fills count="8">
    <fill>
      <patternFill patternType="none"/>
    </fill>
    <fill>
      <patternFill patternType="gray125"/>
    </fill>
    <fill>
      <patternFill patternType="solid">
        <fgColor rgb="FFD9D9D9"/>
        <bgColor indexed="64"/>
      </patternFill>
    </fill>
    <fill>
      <patternFill patternType="solid">
        <fgColor rgb="FFD8BE91"/>
        <bgColor indexed="64"/>
      </patternFill>
    </fill>
    <fill>
      <patternFill patternType="solid">
        <fgColor rgb="FFFE99CB"/>
        <bgColor indexed="64"/>
      </patternFill>
    </fill>
    <fill>
      <patternFill patternType="solid">
        <fgColor rgb="FF98EFF9"/>
        <bgColor indexed="64"/>
      </patternFill>
    </fill>
    <fill>
      <patternFill patternType="lightGrid">
        <fgColor theme="0" tint="-0.34998626667073579"/>
        <bgColor theme="0"/>
      </patternFill>
    </fill>
    <fill>
      <patternFill patternType="solid">
        <fgColor rgb="FFFFFFFF"/>
        <bgColor rgb="FFFFFFFF"/>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medium">
        <color indexed="64"/>
      </bottom>
      <diagonal/>
    </border>
    <border>
      <left style="double">
        <color indexed="40"/>
      </left>
      <right style="double">
        <color indexed="40"/>
      </right>
      <top style="double">
        <color indexed="40"/>
      </top>
      <bottom style="double">
        <color indexed="40"/>
      </bottom>
      <diagonal/>
    </border>
    <border>
      <left style="dashDot">
        <color indexed="8"/>
      </left>
      <right style="dashDot">
        <color indexed="8"/>
      </right>
      <top style="dashDot">
        <color indexed="8"/>
      </top>
      <bottom style="dashDot">
        <color indexed="8"/>
      </bottom>
      <diagonal/>
    </border>
  </borders>
  <cellStyleXfs count="7">
    <xf numFmtId="0" fontId="0" fillId="0" borderId="0"/>
    <xf numFmtId="43" fontId="2" fillId="0" borderId="0" applyFont="0" applyFill="0" applyBorder="0" applyAlignment="0" applyProtection="0"/>
    <xf numFmtId="0" fontId="5" fillId="0" borderId="0"/>
    <xf numFmtId="44" fontId="5" fillId="0" borderId="0" applyFont="0" applyFill="0" applyBorder="0" applyAlignment="0" applyProtection="0"/>
    <xf numFmtId="0" fontId="4" fillId="0" borderId="0"/>
    <xf numFmtId="0" fontId="4" fillId="0" borderId="0"/>
    <xf numFmtId="9" fontId="5" fillId="0" borderId="0" applyFont="0" applyFill="0" applyBorder="0" applyAlignment="0" applyProtection="0"/>
  </cellStyleXfs>
  <cellXfs count="94">
    <xf numFmtId="0" fontId="0" fillId="0" borderId="0" xfId="0"/>
    <xf numFmtId="0" fontId="0" fillId="2" borderId="1" xfId="0" applyFill="1" applyBorder="1"/>
    <xf numFmtId="6" fontId="0" fillId="2" borderId="1" xfId="0" applyNumberFormat="1" applyFill="1" applyBorder="1"/>
    <xf numFmtId="164" fontId="0" fillId="2" borderId="1" xfId="0" applyNumberFormat="1" applyFill="1" applyBorder="1"/>
    <xf numFmtId="3" fontId="0" fillId="0" borderId="0" xfId="0" applyNumberFormat="1"/>
    <xf numFmtId="0" fontId="5" fillId="0" borderId="0" xfId="2"/>
    <xf numFmtId="0" fontId="6" fillId="0" borderId="0" xfId="2" applyFont="1" applyAlignment="1">
      <alignment wrapText="1"/>
    </xf>
    <xf numFmtId="165" fontId="0" fillId="0" borderId="0" xfId="3" applyNumberFormat="1" applyFont="1"/>
    <xf numFmtId="0" fontId="5" fillId="0" borderId="0" xfId="2" quotePrefix="1"/>
    <xf numFmtId="44" fontId="0" fillId="0" borderId="0" xfId="3" applyFont="1"/>
    <xf numFmtId="0" fontId="7" fillId="0" borderId="0" xfId="2" applyFont="1" applyAlignment="1">
      <alignment vertical="center" wrapText="1"/>
    </xf>
    <xf numFmtId="0" fontId="8" fillId="0" borderId="0" xfId="4" quotePrefix="1" applyFont="1"/>
    <xf numFmtId="0" fontId="4" fillId="0" borderId="0" xfId="4"/>
    <xf numFmtId="0" fontId="9" fillId="0" borderId="0" xfId="4" applyFont="1" applyAlignment="1">
      <alignment vertical="center" wrapText="1"/>
    </xf>
    <xf numFmtId="0" fontId="10" fillId="0" borderId="0" xfId="4" applyFont="1" applyAlignment="1">
      <alignment vertical="center" wrapText="1"/>
    </xf>
    <xf numFmtId="0" fontId="11" fillId="0" borderId="0" xfId="2" applyFont="1" applyAlignment="1">
      <alignment vertical="center" wrapText="1"/>
    </xf>
    <xf numFmtId="0" fontId="10" fillId="0" borderId="0" xfId="2" applyFont="1" applyAlignment="1">
      <alignment vertical="center" wrapText="1"/>
    </xf>
    <xf numFmtId="0" fontId="16" fillId="2" borderId="1" xfId="0" applyFont="1" applyFill="1" applyBorder="1" applyAlignment="1">
      <alignment horizontal="left"/>
    </xf>
    <xf numFmtId="0" fontId="17" fillId="2" borderId="1" xfId="0" applyFont="1" applyFill="1" applyBorder="1" applyAlignment="1">
      <alignment horizontal="left"/>
    </xf>
    <xf numFmtId="0" fontId="0" fillId="5" borderId="3" xfId="0" applyFill="1" applyBorder="1" applyAlignment="1">
      <alignment horizontal="center"/>
    </xf>
    <xf numFmtId="0" fontId="0" fillId="5" borderId="3" xfId="0" applyFill="1" applyBorder="1" applyAlignment="1">
      <alignment horizontal="left"/>
    </xf>
    <xf numFmtId="0" fontId="0" fillId="5" borderId="1" xfId="0" applyFill="1" applyBorder="1" applyAlignment="1">
      <alignment horizontal="left"/>
    </xf>
    <xf numFmtId="0" fontId="0" fillId="6" borderId="0" xfId="0" applyFill="1"/>
    <xf numFmtId="0" fontId="18" fillId="7" borderId="0" xfId="0" applyFont="1" applyFill="1"/>
    <xf numFmtId="0" fontId="0" fillId="5" borderId="3" xfId="0" applyFill="1" applyBorder="1"/>
    <xf numFmtId="0" fontId="12" fillId="5" borderId="10" xfId="0" applyFont="1" applyFill="1" applyBorder="1" applyAlignment="1">
      <alignment horizontal="center"/>
    </xf>
    <xf numFmtId="0" fontId="12" fillId="5" borderId="10" xfId="1" applyNumberFormat="1" applyFont="1" applyFill="1" applyBorder="1" applyAlignment="1">
      <alignment horizontal="center"/>
    </xf>
    <xf numFmtId="0" fontId="19" fillId="5" borderId="10" xfId="0" applyFont="1" applyFill="1" applyBorder="1" applyAlignment="1">
      <alignment horizontal="left"/>
    </xf>
    <xf numFmtId="0" fontId="0" fillId="5" borderId="10" xfId="0" applyFill="1" applyBorder="1" applyAlignment="1">
      <alignment horizontal="center"/>
    </xf>
    <xf numFmtId="0" fontId="20" fillId="5" borderId="10" xfId="0" applyFont="1" applyFill="1" applyBorder="1" applyAlignment="1">
      <alignment horizontal="center"/>
    </xf>
    <xf numFmtId="0" fontId="0" fillId="0" borderId="10" xfId="0" applyBorder="1"/>
    <xf numFmtId="0" fontId="0" fillId="6" borderId="10" xfId="0" applyFill="1" applyBorder="1"/>
    <xf numFmtId="0" fontId="18" fillId="7" borderId="10" xfId="0" applyFont="1" applyFill="1" applyBorder="1"/>
    <xf numFmtId="1" fontId="12" fillId="5" borderId="10" xfId="0" applyNumberFormat="1" applyFont="1" applyFill="1" applyBorder="1" applyAlignment="1">
      <alignment horizontal="center"/>
    </xf>
    <xf numFmtId="0" fontId="0" fillId="5" borderId="10" xfId="0" applyFill="1" applyBorder="1"/>
    <xf numFmtId="0" fontId="3" fillId="5" borderId="10" xfId="0" applyFont="1" applyFill="1" applyBorder="1" applyAlignment="1">
      <alignment horizontal="left"/>
    </xf>
    <xf numFmtId="0" fontId="21" fillId="0" borderId="0" xfId="0" applyFont="1"/>
    <xf numFmtId="3" fontId="21" fillId="0" borderId="0" xfId="0" applyNumberFormat="1" applyFont="1"/>
    <xf numFmtId="0" fontId="21" fillId="0" borderId="0" xfId="0" applyFont="1" applyAlignment="1">
      <alignment horizontal="center"/>
    </xf>
    <xf numFmtId="0" fontId="21" fillId="0" borderId="0" xfId="0" applyFont="1" applyAlignment="1">
      <alignment horizontal="left"/>
    </xf>
    <xf numFmtId="0" fontId="21" fillId="0" borderId="0" xfId="1" applyNumberFormat="1" applyFont="1" applyFill="1" applyBorder="1" applyAlignment="1">
      <alignment horizontal="center"/>
    </xf>
    <xf numFmtId="0" fontId="22" fillId="0" borderId="0" xfId="0" applyFont="1" applyAlignment="1">
      <alignment horizontal="center"/>
    </xf>
    <xf numFmtId="1" fontId="21" fillId="0" borderId="0" xfId="0" applyNumberFormat="1" applyFont="1" applyAlignment="1">
      <alignment horizontal="center"/>
    </xf>
    <xf numFmtId="0" fontId="22" fillId="0" borderId="0" xfId="0" applyFont="1"/>
    <xf numFmtId="6" fontId="21" fillId="0" borderId="0" xfId="0" applyNumberFormat="1" applyFont="1"/>
    <xf numFmtId="164" fontId="21" fillId="0" borderId="0" xfId="0" applyNumberFormat="1" applyFont="1"/>
    <xf numFmtId="0" fontId="5" fillId="6" borderId="0" xfId="0" applyFont="1" applyFill="1" applyAlignment="1">
      <alignment horizontal="center" vertical="center"/>
    </xf>
    <xf numFmtId="0" fontId="12" fillId="0" borderId="0" xfId="5" applyFont="1" applyAlignment="1" applyProtection="1">
      <alignment horizontal="left" indent="3"/>
      <protection locked="0"/>
    </xf>
    <xf numFmtId="0" fontId="12" fillId="0" borderId="0" xfId="5" applyFont="1" applyProtection="1">
      <protection locked="0"/>
    </xf>
    <xf numFmtId="0" fontId="4" fillId="0" borderId="0" xfId="5" applyAlignment="1" applyProtection="1">
      <alignment horizontal="left" indent="3"/>
      <protection locked="0"/>
    </xf>
    <xf numFmtId="0" fontId="4" fillId="0" borderId="0" xfId="5" applyProtection="1">
      <protection locked="0"/>
    </xf>
    <xf numFmtId="9" fontId="4" fillId="0" borderId="0" xfId="6" applyFont="1" applyAlignment="1" applyProtection="1">
      <protection locked="0"/>
    </xf>
    <xf numFmtId="0" fontId="12" fillId="0" borderId="0" xfId="5" applyFont="1"/>
    <xf numFmtId="0" fontId="12" fillId="0" borderId="0" xfId="5" applyFont="1" applyAlignment="1">
      <alignment horizontal="left" indent="3"/>
    </xf>
    <xf numFmtId="0" fontId="1" fillId="3" borderId="2" xfId="5" applyFont="1" applyFill="1" applyBorder="1" applyAlignment="1">
      <alignment horizontal="left" indent="3"/>
    </xf>
    <xf numFmtId="0" fontId="12" fillId="3" borderId="3" xfId="5" applyFont="1" applyFill="1" applyBorder="1" applyAlignment="1">
      <alignment horizontal="left"/>
    </xf>
    <xf numFmtId="0" fontId="6" fillId="3" borderId="3" xfId="2" applyFont="1" applyFill="1" applyBorder="1" applyAlignment="1">
      <alignment horizontal="right"/>
    </xf>
    <xf numFmtId="0" fontId="4" fillId="3" borderId="3" xfId="2" applyFont="1" applyFill="1" applyBorder="1" applyAlignment="1">
      <alignment horizontal="left"/>
    </xf>
    <xf numFmtId="0" fontId="1" fillId="3" borderId="4" xfId="5" applyFont="1" applyFill="1" applyBorder="1" applyAlignment="1">
      <alignment horizontal="center"/>
    </xf>
    <xf numFmtId="0" fontId="13" fillId="3" borderId="5" xfId="5" applyFont="1" applyFill="1" applyBorder="1" applyAlignment="1">
      <alignment horizontal="left" indent="3"/>
    </xf>
    <xf numFmtId="0" fontId="12" fillId="3" borderId="6" xfId="5" applyFont="1" applyFill="1" applyBorder="1" applyAlignment="1">
      <alignment horizontal="left"/>
    </xf>
    <xf numFmtId="0" fontId="6" fillId="3" borderId="6" xfId="2" applyFont="1" applyFill="1" applyBorder="1" applyAlignment="1">
      <alignment horizontal="right"/>
    </xf>
    <xf numFmtId="0" fontId="4" fillId="3" borderId="6" xfId="2" applyFont="1" applyFill="1" applyBorder="1"/>
    <xf numFmtId="166" fontId="12" fillId="3" borderId="7" xfId="5" applyNumberFormat="1" applyFont="1" applyFill="1" applyBorder="1" applyAlignment="1">
      <alignment horizontal="center"/>
    </xf>
    <xf numFmtId="0" fontId="4" fillId="0" borderId="0" xfId="5" applyAlignment="1">
      <alignment horizontal="left" indent="3"/>
    </xf>
    <xf numFmtId="0" fontId="12" fillId="0" borderId="0" xfId="5" applyFont="1" applyAlignment="1">
      <alignment horizontal="left"/>
    </xf>
    <xf numFmtId="0" fontId="4" fillId="0" borderId="3" xfId="2" applyFont="1" applyBorder="1" applyAlignment="1">
      <alignment horizontal="center"/>
    </xf>
    <xf numFmtId="0" fontId="4" fillId="0" borderId="3" xfId="2" applyFont="1" applyBorder="1" applyAlignment="1">
      <alignment horizontal="left"/>
    </xf>
    <xf numFmtId="0" fontId="6" fillId="0" borderId="0" xfId="2" applyFont="1" applyAlignment="1">
      <alignment horizontal="right"/>
    </xf>
    <xf numFmtId="0" fontId="4" fillId="0" borderId="0" xfId="2" applyFont="1"/>
    <xf numFmtId="0" fontId="12" fillId="0" borderId="0" xfId="5" applyFont="1" applyAlignment="1">
      <alignment horizontal="center"/>
    </xf>
    <xf numFmtId="14" fontId="12" fillId="0" borderId="0" xfId="5" quotePrefix="1" applyNumberFormat="1" applyFont="1" applyAlignment="1">
      <alignment horizontal="center"/>
    </xf>
    <xf numFmtId="0" fontId="14" fillId="0" borderId="0" xfId="5" applyFont="1" applyAlignment="1">
      <alignment horizontal="left" indent="15"/>
    </xf>
    <xf numFmtId="0" fontId="15" fillId="0" borderId="0" xfId="5" applyFont="1" applyAlignment="1">
      <alignment horizontal="left"/>
    </xf>
    <xf numFmtId="14" fontId="12" fillId="0" borderId="0" xfId="5" applyNumberFormat="1" applyFont="1" applyAlignment="1">
      <alignment horizontal="center"/>
    </xf>
    <xf numFmtId="0" fontId="12" fillId="0" borderId="2" xfId="5" applyFont="1" applyBorder="1" applyAlignment="1">
      <alignment horizontal="left" indent="3"/>
    </xf>
    <xf numFmtId="0" fontId="12" fillId="0" borderId="3" xfId="5" applyFont="1" applyBorder="1"/>
    <xf numFmtId="9" fontId="12" fillId="0" borderId="4" xfId="5" applyNumberFormat="1" applyFont="1" applyBorder="1"/>
    <xf numFmtId="0" fontId="12" fillId="0" borderId="8" xfId="5" applyFont="1" applyBorder="1" applyAlignment="1">
      <alignment horizontal="left" indent="3"/>
    </xf>
    <xf numFmtId="0" fontId="12" fillId="2" borderId="1" xfId="5" applyFont="1" applyFill="1" applyBorder="1" applyAlignment="1">
      <alignment horizontal="center"/>
    </xf>
    <xf numFmtId="0" fontId="12" fillId="2" borderId="11" xfId="5" applyFont="1" applyFill="1" applyBorder="1" applyAlignment="1">
      <alignment horizontal="center"/>
    </xf>
    <xf numFmtId="0" fontId="12" fillId="0" borderId="9" xfId="5" applyFont="1" applyBorder="1"/>
    <xf numFmtId="0" fontId="12" fillId="2" borderId="12" xfId="5" applyFont="1" applyFill="1" applyBorder="1" applyAlignment="1">
      <alignment horizontal="center"/>
    </xf>
    <xf numFmtId="0" fontId="12" fillId="4" borderId="12" xfId="5" applyFont="1" applyFill="1" applyBorder="1" applyAlignment="1">
      <alignment horizontal="center"/>
    </xf>
    <xf numFmtId="0" fontId="12" fillId="0" borderId="5" xfId="5" applyFont="1" applyBorder="1" applyAlignment="1">
      <alignment horizontal="left" indent="3"/>
    </xf>
    <xf numFmtId="0" fontId="12" fillId="0" borderId="6" xfId="5" applyFont="1" applyBorder="1"/>
    <xf numFmtId="0" fontId="12" fillId="0" borderId="7" xfId="5" applyFont="1" applyBorder="1"/>
    <xf numFmtId="0" fontId="6" fillId="5" borderId="1" xfId="4" applyFont="1" applyFill="1" applyBorder="1" applyAlignment="1">
      <alignment horizontal="center"/>
    </xf>
    <xf numFmtId="0" fontId="4" fillId="0" borderId="1" xfId="2" applyFont="1" applyBorder="1" applyAlignment="1">
      <alignment horizontal="center"/>
    </xf>
    <xf numFmtId="0" fontId="6" fillId="5" borderId="1" xfId="2" applyFont="1" applyFill="1" applyBorder="1" applyAlignment="1">
      <alignment horizontal="center"/>
    </xf>
    <xf numFmtId="166" fontId="6" fillId="5" borderId="1" xfId="2" applyNumberFormat="1" applyFont="1" applyFill="1" applyBorder="1" applyAlignment="1">
      <alignment horizontal="center"/>
    </xf>
    <xf numFmtId="0" fontId="4" fillId="0" borderId="0" xfId="5"/>
    <xf numFmtId="9" fontId="4" fillId="0" borderId="0" xfId="6" applyFont="1" applyAlignment="1" applyProtection="1">
      <alignment horizontal="center"/>
      <protection locked="0"/>
    </xf>
    <xf numFmtId="9" fontId="4" fillId="0" borderId="0" xfId="6" applyFont="1" applyAlignment="1" applyProtection="1">
      <alignment horizontal="center"/>
    </xf>
  </cellXfs>
  <cellStyles count="7">
    <cellStyle name="Comma" xfId="1" builtinId="3"/>
    <cellStyle name="Currency 2" xfId="3" xr:uid="{1F4EB6CB-92E3-45A6-8BF1-49B9EAEF7085}"/>
    <cellStyle name="Normal" xfId="0" builtinId="0"/>
    <cellStyle name="Normal 2" xfId="2" xr:uid="{1F5D6246-2617-4E26-8876-345E4F849EA7}"/>
    <cellStyle name="Normal 2 2" xfId="4" xr:uid="{3FE2B4A9-2A3B-42C2-805B-7A48F671CB42}"/>
    <cellStyle name="Normal 4" xfId="5" xr:uid="{9DF1605A-2651-466B-AB8B-D27B4F0003C2}"/>
    <cellStyle name="Percent 2" xfId="6" xr:uid="{14EE0A86-FBFA-48FB-8311-6321D588FF1F}"/>
  </cellStyles>
  <dxfs count="50">
    <dxf>
      <fill>
        <patternFill>
          <bgColor rgb="FFD7BE91"/>
        </patternFill>
      </fill>
    </dxf>
    <dxf>
      <fill>
        <patternFill>
          <bgColor theme="0"/>
        </patternFill>
      </fill>
    </dxf>
    <dxf>
      <fill>
        <patternFill>
          <bgColor rgb="FFD7BE91"/>
        </patternFill>
      </fill>
    </dxf>
    <dxf>
      <fill>
        <patternFill>
          <bgColor rgb="FFD7BE91"/>
        </patternFill>
      </fill>
    </dxf>
    <dxf>
      <fill>
        <patternFill>
          <bgColor rgb="FFD8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8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ont>
        <color rgb="FF9C0006"/>
      </font>
      <fill>
        <patternFill>
          <fgColor indexed="64"/>
          <bgColor rgb="FFFFC7CE"/>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D7BE91"/>
        </patternFill>
      </fill>
    </dxf>
    <dxf>
      <fill>
        <patternFill>
          <bgColor rgb="FFFF99CC"/>
        </patternFill>
      </fill>
    </dxf>
    <dxf>
      <fill>
        <patternFill>
          <bgColor rgb="FFFFFF64"/>
        </patternFill>
      </fill>
    </dxf>
    <dxf>
      <fill>
        <patternFill>
          <bgColor rgb="FFCEEED0"/>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ill>
        <patternFill>
          <bgColor theme="0"/>
        </patternFill>
      </fill>
    </dxf>
    <dxf>
      <fill>
        <patternFill>
          <bgColor rgb="FFD7BE91"/>
        </patternFill>
      </fill>
    </dxf>
    <dxf>
      <font>
        <color rgb="FF9C0006"/>
      </font>
      <fill>
        <patternFill>
          <fgColor indexed="64"/>
          <bgColor rgb="FFFFC7CE"/>
        </patternFill>
      </fill>
    </dxf>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FE8C-C754-43B2-8B60-1894C7B14C84}">
  <sheetPr codeName="Sheet91">
    <tabColor rgb="FFFFFF00"/>
  </sheetPr>
  <dimension ref="A1:G53"/>
  <sheetViews>
    <sheetView topLeftCell="A25" zoomScale="160" zoomScaleNormal="160" workbookViewId="0">
      <selection activeCell="B40" sqref="B40"/>
    </sheetView>
  </sheetViews>
  <sheetFormatPr defaultColWidth="7.75" defaultRowHeight="15" x14ac:dyDescent="0.25"/>
  <cols>
    <col min="1" max="1" width="26.875" style="5" customWidth="1"/>
    <col min="2" max="2" width="47.125" style="5" customWidth="1"/>
    <col min="3" max="3" width="7.75" style="5"/>
    <col min="4" max="4" width="9.125" style="5" customWidth="1"/>
    <col min="5" max="16384" width="7.75" style="5"/>
  </cols>
  <sheetData>
    <row r="1" spans="1:7" ht="27" customHeight="1" x14ac:dyDescent="0.25"/>
    <row r="2" spans="1:7" ht="27" customHeight="1" x14ac:dyDescent="0.25"/>
    <row r="3" spans="1:7" ht="15.75" x14ac:dyDescent="0.25">
      <c r="A3" s="6" t="s">
        <v>0</v>
      </c>
      <c r="B3" s="6" t="s">
        <v>1</v>
      </c>
      <c r="D3" s="7"/>
    </row>
    <row r="4" spans="1:7" x14ac:dyDescent="0.25">
      <c r="A4" s="8" t="s">
        <v>2</v>
      </c>
      <c r="B4" s="5" t="s">
        <v>3</v>
      </c>
    </row>
    <row r="5" spans="1:7" x14ac:dyDescent="0.25">
      <c r="A5" s="8" t="s">
        <v>4</v>
      </c>
      <c r="B5" s="5" t="s">
        <v>5</v>
      </c>
    </row>
    <row r="6" spans="1:7" x14ac:dyDescent="0.25">
      <c r="A6" s="8" t="s">
        <v>6</v>
      </c>
      <c r="B6" s="5" t="s">
        <v>7</v>
      </c>
    </row>
    <row r="7" spans="1:7" x14ac:dyDescent="0.25">
      <c r="A7" s="8" t="s">
        <v>8</v>
      </c>
      <c r="B7" s="5" t="s">
        <v>9</v>
      </c>
    </row>
    <row r="8" spans="1:7" x14ac:dyDescent="0.25">
      <c r="A8" s="8" t="s">
        <v>10</v>
      </c>
      <c r="B8" s="5" t="s">
        <v>11</v>
      </c>
    </row>
    <row r="9" spans="1:7" ht="15.75" x14ac:dyDescent="0.25">
      <c r="A9" s="8" t="s">
        <v>12</v>
      </c>
      <c r="B9" s="5" t="s">
        <v>13</v>
      </c>
      <c r="G9" s="9"/>
    </row>
    <row r="10" spans="1:7" x14ac:dyDescent="0.25">
      <c r="A10" s="8" t="s">
        <v>14</v>
      </c>
      <c r="B10" s="5" t="s">
        <v>15</v>
      </c>
    </row>
    <row r="11" spans="1:7" x14ac:dyDescent="0.25">
      <c r="A11" s="8" t="s">
        <v>16</v>
      </c>
      <c r="B11" s="5" t="s">
        <v>17</v>
      </c>
    </row>
    <row r="12" spans="1:7" x14ac:dyDescent="0.25">
      <c r="A12" s="8" t="s">
        <v>18</v>
      </c>
      <c r="B12" s="5" t="s">
        <v>19</v>
      </c>
    </row>
    <row r="13" spans="1:7" x14ac:dyDescent="0.25">
      <c r="A13" s="8" t="s">
        <v>20</v>
      </c>
      <c r="B13" s="5" t="s">
        <v>21</v>
      </c>
    </row>
    <row r="14" spans="1:7" x14ac:dyDescent="0.25">
      <c r="A14" s="5" t="s">
        <v>22</v>
      </c>
      <c r="B14" s="5" t="s">
        <v>23</v>
      </c>
    </row>
    <row r="15" spans="1:7" x14ac:dyDescent="0.25">
      <c r="A15" s="5" t="s">
        <v>24</v>
      </c>
      <c r="B15" s="5" t="s">
        <v>25</v>
      </c>
    </row>
    <row r="16" spans="1:7" x14ac:dyDescent="0.25">
      <c r="A16" s="5" t="s">
        <v>26</v>
      </c>
      <c r="B16" s="5" t="s">
        <v>27</v>
      </c>
    </row>
    <row r="17" spans="1:2" x14ac:dyDescent="0.25">
      <c r="A17" s="5" t="s">
        <v>28</v>
      </c>
      <c r="B17" s="5" t="s">
        <v>29</v>
      </c>
    </row>
    <row r="18" spans="1:2" x14ac:dyDescent="0.25">
      <c r="A18" s="5" t="s">
        <v>30</v>
      </c>
      <c r="B18" s="5" t="s">
        <v>31</v>
      </c>
    </row>
    <row r="19" spans="1:2" x14ac:dyDescent="0.25">
      <c r="A19" s="5" t="s">
        <v>32</v>
      </c>
      <c r="B19" s="5" t="s">
        <v>33</v>
      </c>
    </row>
    <row r="20" spans="1:2" x14ac:dyDescent="0.25">
      <c r="A20" s="5" t="s">
        <v>34</v>
      </c>
      <c r="B20" s="5" t="s">
        <v>35</v>
      </c>
    </row>
    <row r="21" spans="1:2" x14ac:dyDescent="0.25">
      <c r="A21" s="5" t="s">
        <v>36</v>
      </c>
      <c r="B21" s="5" t="s">
        <v>37</v>
      </c>
    </row>
    <row r="22" spans="1:2" x14ac:dyDescent="0.25">
      <c r="A22" s="5" t="s">
        <v>38</v>
      </c>
      <c r="B22" s="5" t="s">
        <v>39</v>
      </c>
    </row>
    <row r="23" spans="1:2" x14ac:dyDescent="0.25">
      <c r="A23" s="5" t="s">
        <v>40</v>
      </c>
      <c r="B23" s="5" t="s">
        <v>41</v>
      </c>
    </row>
    <row r="24" spans="1:2" x14ac:dyDescent="0.25">
      <c r="A24" s="5" t="s">
        <v>42</v>
      </c>
      <c r="B24" s="5" t="s">
        <v>43</v>
      </c>
    </row>
    <row r="25" spans="1:2" x14ac:dyDescent="0.25">
      <c r="A25" s="5" t="s">
        <v>44</v>
      </c>
      <c r="B25" s="5" t="s">
        <v>45</v>
      </c>
    </row>
    <row r="26" spans="1:2" x14ac:dyDescent="0.25">
      <c r="A26" s="5" t="s">
        <v>46</v>
      </c>
      <c r="B26" s="5" t="s">
        <v>47</v>
      </c>
    </row>
    <row r="27" spans="1:2" x14ac:dyDescent="0.25">
      <c r="A27" s="5" t="s">
        <v>48</v>
      </c>
      <c r="B27" s="5" t="s">
        <v>49</v>
      </c>
    </row>
    <row r="28" spans="1:2" x14ac:dyDescent="0.25">
      <c r="A28" s="5" t="s">
        <v>50</v>
      </c>
      <c r="B28" s="5" t="s">
        <v>51</v>
      </c>
    </row>
    <row r="29" spans="1:2" x14ac:dyDescent="0.25">
      <c r="A29" s="5" t="s">
        <v>52</v>
      </c>
      <c r="B29" s="5" t="s">
        <v>53</v>
      </c>
    </row>
    <row r="30" spans="1:2" x14ac:dyDescent="0.25">
      <c r="A30" s="5" t="s">
        <v>54</v>
      </c>
      <c r="B30" s="5" t="s">
        <v>55</v>
      </c>
    </row>
    <row r="31" spans="1:2" x14ac:dyDescent="0.25">
      <c r="A31" s="5" t="s">
        <v>56</v>
      </c>
      <c r="B31" s="5" t="s">
        <v>57</v>
      </c>
    </row>
    <row r="32" spans="1:2" x14ac:dyDescent="0.25">
      <c r="A32" s="5" t="s">
        <v>58</v>
      </c>
      <c r="B32" s="5" t="s">
        <v>59</v>
      </c>
    </row>
    <row r="33" spans="1:2" x14ac:dyDescent="0.25">
      <c r="A33" s="8" t="s">
        <v>60</v>
      </c>
      <c r="B33" s="5" t="s">
        <v>61</v>
      </c>
    </row>
    <row r="34" spans="1:2" x14ac:dyDescent="0.25">
      <c r="A34" s="8" t="s">
        <v>62</v>
      </c>
      <c r="B34" s="5" t="s">
        <v>63</v>
      </c>
    </row>
    <row r="35" spans="1:2" x14ac:dyDescent="0.25">
      <c r="A35" s="5" t="s">
        <v>64</v>
      </c>
      <c r="B35" s="5" t="s">
        <v>65</v>
      </c>
    </row>
    <row r="36" spans="1:2" x14ac:dyDescent="0.25">
      <c r="A36" s="5" t="s">
        <v>66</v>
      </c>
      <c r="B36" s="5" t="s">
        <v>67</v>
      </c>
    </row>
    <row r="37" spans="1:2" x14ac:dyDescent="0.25">
      <c r="A37" s="5" t="s">
        <v>68</v>
      </c>
      <c r="B37" s="5" t="s">
        <v>69</v>
      </c>
    </row>
    <row r="38" spans="1:2" x14ac:dyDescent="0.25">
      <c r="A38" s="5" t="s">
        <v>70</v>
      </c>
      <c r="B38" s="5" t="s">
        <v>71</v>
      </c>
    </row>
    <row r="39" spans="1:2" x14ac:dyDescent="0.25">
      <c r="A39" s="5" t="s">
        <v>72</v>
      </c>
      <c r="B39" s="5" t="s">
        <v>73</v>
      </c>
    </row>
    <row r="40" spans="1:2" x14ac:dyDescent="0.25">
      <c r="A40" s="5" t="s">
        <v>74</v>
      </c>
      <c r="B40" s="5" t="s">
        <v>75</v>
      </c>
    </row>
    <row r="41" spans="1:2" x14ac:dyDescent="0.25">
      <c r="A41" s="5" t="s">
        <v>76</v>
      </c>
      <c r="B41" s="5" t="s">
        <v>77</v>
      </c>
    </row>
    <row r="42" spans="1:2" x14ac:dyDescent="0.25">
      <c r="A42" s="5" t="s">
        <v>78</v>
      </c>
      <c r="B42" s="5" t="s">
        <v>79</v>
      </c>
    </row>
    <row r="43" spans="1:2" x14ac:dyDescent="0.25">
      <c r="A43" s="8" t="s">
        <v>80</v>
      </c>
      <c r="B43" s="5" t="s">
        <v>81</v>
      </c>
    </row>
    <row r="44" spans="1:2" x14ac:dyDescent="0.25">
      <c r="A44" s="5" t="s">
        <v>82</v>
      </c>
      <c r="B44" s="5" t="s">
        <v>83</v>
      </c>
    </row>
    <row r="45" spans="1:2" x14ac:dyDescent="0.25">
      <c r="A45" s="5" t="s">
        <v>84</v>
      </c>
      <c r="B45" s="5" t="s">
        <v>85</v>
      </c>
    </row>
    <row r="46" spans="1:2" x14ac:dyDescent="0.25">
      <c r="A46" s="5" t="s">
        <v>86</v>
      </c>
      <c r="B46" s="5" t="s">
        <v>87</v>
      </c>
    </row>
    <row r="47" spans="1:2" x14ac:dyDescent="0.25">
      <c r="A47" s="5" t="s">
        <v>88</v>
      </c>
      <c r="B47" s="5" t="s">
        <v>89</v>
      </c>
    </row>
    <row r="48" spans="1:2" x14ac:dyDescent="0.25">
      <c r="A48" s="5" t="s">
        <v>90</v>
      </c>
      <c r="B48" s="5" t="s">
        <v>91</v>
      </c>
    </row>
    <row r="49" spans="1:2" x14ac:dyDescent="0.25">
      <c r="A49" s="5" t="s">
        <v>92</v>
      </c>
      <c r="B49" s="5" t="s">
        <v>93</v>
      </c>
    </row>
    <row r="50" spans="1:2" x14ac:dyDescent="0.25">
      <c r="A50" s="5" t="s">
        <v>94</v>
      </c>
      <c r="B50" s="5" t="s">
        <v>95</v>
      </c>
    </row>
    <row r="51" spans="1:2" x14ac:dyDescent="0.25">
      <c r="A51" s="5" t="s">
        <v>96</v>
      </c>
      <c r="B51" s="5" t="s">
        <v>97</v>
      </c>
    </row>
    <row r="52" spans="1:2" x14ac:dyDescent="0.25">
      <c r="A52" s="5" t="s">
        <v>98</v>
      </c>
      <c r="B52" s="5" t="s">
        <v>99</v>
      </c>
    </row>
    <row r="53" spans="1:2" x14ac:dyDescent="0.25">
      <c r="A53" s="5" t="s">
        <v>100</v>
      </c>
      <c r="B53" s="5"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E059-1784-4F83-BF3A-AB6AFD945FD2}">
  <sheetPr codeName="Sheet11">
    <tabColor rgb="FFFFC000"/>
  </sheetPr>
  <dimension ref="A1:N44"/>
  <sheetViews>
    <sheetView zoomScale="103" workbookViewId="0">
      <selection activeCell="C5" sqref="C5"/>
    </sheetView>
  </sheetViews>
  <sheetFormatPr defaultColWidth="9.5" defaultRowHeight="18.75" x14ac:dyDescent="0.25"/>
  <cols>
    <col min="1" max="1" width="8.875" style="14" customWidth="1"/>
    <col min="2" max="14" width="63" style="14" customWidth="1"/>
    <col min="15" max="16384" width="9.5" style="14"/>
  </cols>
  <sheetData>
    <row r="1" spans="1:14" s="12" customFormat="1" ht="33.950000000000003" customHeight="1" x14ac:dyDescent="0.25">
      <c r="A1" s="10" t="s">
        <v>102</v>
      </c>
      <c r="B1" s="11">
        <f ca="1">RANDBETWEEN(3,9)</f>
        <v>6</v>
      </c>
    </row>
    <row r="2" spans="1:14" s="13" customFormat="1" ht="42.95" customHeight="1" x14ac:dyDescent="0.25">
      <c r="A2" s="13" t="s">
        <v>103</v>
      </c>
      <c r="B2" s="10" t="s">
        <v>104</v>
      </c>
      <c r="C2" s="10" t="s">
        <v>105</v>
      </c>
      <c r="D2" s="10" t="s">
        <v>106</v>
      </c>
      <c r="E2" s="10" t="s">
        <v>107</v>
      </c>
      <c r="F2" s="10" t="s">
        <v>108</v>
      </c>
      <c r="G2" s="10" t="s">
        <v>109</v>
      </c>
      <c r="H2" s="10" t="s">
        <v>110</v>
      </c>
      <c r="I2" s="10" t="s">
        <v>111</v>
      </c>
      <c r="J2" s="10" t="s">
        <v>112</v>
      </c>
      <c r="K2" s="10" t="s">
        <v>113</v>
      </c>
      <c r="L2" s="10" t="s">
        <v>114</v>
      </c>
      <c r="M2" s="10" t="s">
        <v>115</v>
      </c>
      <c r="N2" s="10" t="s">
        <v>116</v>
      </c>
    </row>
    <row r="3" spans="1:14" ht="75" customHeight="1" x14ac:dyDescent="0.25">
      <c r="A3" s="13" t="s">
        <v>117</v>
      </c>
      <c r="B3" s="14" t="s">
        <v>118</v>
      </c>
      <c r="C3" s="15" t="s">
        <v>119</v>
      </c>
      <c r="D3" s="15" t="s">
        <v>120</v>
      </c>
      <c r="E3" s="15" t="s">
        <v>121</v>
      </c>
      <c r="F3" s="15" t="s">
        <v>122</v>
      </c>
      <c r="G3" s="15" t="s">
        <v>123</v>
      </c>
      <c r="H3" s="15" t="s">
        <v>124</v>
      </c>
      <c r="I3" s="15" t="s">
        <v>125</v>
      </c>
      <c r="J3" s="15" t="s">
        <v>126</v>
      </c>
      <c r="K3" s="14" t="s">
        <v>127</v>
      </c>
      <c r="L3" s="14" t="s">
        <v>128</v>
      </c>
      <c r="M3" s="14" t="s">
        <v>129</v>
      </c>
      <c r="N3" s="14" t="s">
        <v>130</v>
      </c>
    </row>
    <row r="4" spans="1:14" ht="75" customHeight="1" x14ac:dyDescent="0.25">
      <c r="A4" s="13" t="s">
        <v>131</v>
      </c>
      <c r="B4" s="14" t="s">
        <v>132</v>
      </c>
      <c r="C4" s="15" t="s">
        <v>133</v>
      </c>
      <c r="D4" s="15" t="s">
        <v>134</v>
      </c>
      <c r="E4" s="15" t="s">
        <v>135</v>
      </c>
      <c r="F4" s="16" t="s">
        <v>136</v>
      </c>
      <c r="G4" s="16" t="s">
        <v>137</v>
      </c>
      <c r="H4" s="16" t="s">
        <v>138</v>
      </c>
      <c r="I4" s="16" t="s">
        <v>139</v>
      </c>
      <c r="J4" s="16" t="s">
        <v>140</v>
      </c>
      <c r="K4" s="14" t="s">
        <v>141</v>
      </c>
      <c r="L4" s="14" t="s">
        <v>142</v>
      </c>
      <c r="M4" s="14" t="s">
        <v>143</v>
      </c>
      <c r="N4" s="14" t="s">
        <v>144</v>
      </c>
    </row>
    <row r="5" spans="1:14" ht="75" customHeight="1" x14ac:dyDescent="0.25">
      <c r="B5" s="14" t="s">
        <v>145</v>
      </c>
      <c r="C5" s="15" t="s">
        <v>146</v>
      </c>
      <c r="D5" s="15" t="s">
        <v>147</v>
      </c>
      <c r="E5" s="15" t="s">
        <v>148</v>
      </c>
      <c r="F5" s="16" t="s">
        <v>149</v>
      </c>
      <c r="G5" s="16" t="s">
        <v>150</v>
      </c>
      <c r="H5" s="16" t="s">
        <v>151</v>
      </c>
      <c r="I5" s="16" t="s">
        <v>151</v>
      </c>
      <c r="J5" s="16" t="s">
        <v>152</v>
      </c>
      <c r="K5" s="14" t="s">
        <v>153</v>
      </c>
      <c r="L5" s="14" t="s">
        <v>154</v>
      </c>
      <c r="M5" s="14" t="s">
        <v>155</v>
      </c>
      <c r="N5" s="14" t="s">
        <v>156</v>
      </c>
    </row>
    <row r="6" spans="1:14" ht="75" customHeight="1" x14ac:dyDescent="0.25">
      <c r="B6" s="14" t="s">
        <v>157</v>
      </c>
      <c r="C6" s="15" t="s">
        <v>158</v>
      </c>
      <c r="D6" s="15" t="s">
        <v>159</v>
      </c>
      <c r="E6" s="15" t="s">
        <v>160</v>
      </c>
      <c r="F6" s="16" t="s">
        <v>161</v>
      </c>
      <c r="G6" s="16" t="s">
        <v>162</v>
      </c>
      <c r="H6" s="16" t="s">
        <v>163</v>
      </c>
      <c r="I6" s="16" t="s">
        <v>164</v>
      </c>
      <c r="J6" s="16" t="s">
        <v>165</v>
      </c>
      <c r="K6" s="14" t="s">
        <v>166</v>
      </c>
      <c r="L6" s="14" t="s">
        <v>167</v>
      </c>
      <c r="M6" s="14" t="s">
        <v>168</v>
      </c>
      <c r="N6" s="14" t="s">
        <v>169</v>
      </c>
    </row>
    <row r="7" spans="1:14" ht="75" customHeight="1" x14ac:dyDescent="0.25">
      <c r="B7" s="14" t="s">
        <v>170</v>
      </c>
      <c r="C7" s="15" t="s">
        <v>171</v>
      </c>
      <c r="D7" s="15" t="s">
        <v>172</v>
      </c>
      <c r="E7" s="15" t="s">
        <v>173</v>
      </c>
      <c r="F7" s="16" t="s">
        <v>174</v>
      </c>
      <c r="G7" s="16" t="s">
        <v>175</v>
      </c>
      <c r="H7" s="16" t="s">
        <v>176</v>
      </c>
      <c r="I7" s="16" t="s">
        <v>177</v>
      </c>
      <c r="J7" s="16" t="s">
        <v>178</v>
      </c>
      <c r="K7" s="14" t="s">
        <v>179</v>
      </c>
      <c r="L7" s="14" t="s">
        <v>180</v>
      </c>
      <c r="M7" s="14" t="s">
        <v>181</v>
      </c>
      <c r="N7" s="14" t="s">
        <v>182</v>
      </c>
    </row>
    <row r="8" spans="1:14" ht="75" customHeight="1" x14ac:dyDescent="0.25">
      <c r="B8" s="14" t="s">
        <v>183</v>
      </c>
      <c r="C8" s="15" t="s">
        <v>184</v>
      </c>
      <c r="D8" s="15" t="s">
        <v>185</v>
      </c>
      <c r="E8" s="15" t="s">
        <v>186</v>
      </c>
      <c r="F8" s="16" t="s">
        <v>187</v>
      </c>
      <c r="G8" s="16" t="s">
        <v>188</v>
      </c>
      <c r="H8" s="16" t="s">
        <v>189</v>
      </c>
      <c r="I8" s="16" t="s">
        <v>189</v>
      </c>
      <c r="J8" s="16" t="s">
        <v>190</v>
      </c>
      <c r="K8" s="14" t="s">
        <v>191</v>
      </c>
      <c r="L8" s="14" t="s">
        <v>192</v>
      </c>
      <c r="M8" s="14" t="s">
        <v>193</v>
      </c>
      <c r="N8" s="14" t="s">
        <v>194</v>
      </c>
    </row>
    <row r="9" spans="1:14" ht="75" customHeight="1" x14ac:dyDescent="0.25">
      <c r="B9" s="14" t="s">
        <v>195</v>
      </c>
      <c r="C9" s="15" t="s">
        <v>196</v>
      </c>
      <c r="D9" s="15" t="s">
        <v>197</v>
      </c>
      <c r="E9" s="15" t="s">
        <v>198</v>
      </c>
      <c r="F9" s="15" t="s">
        <v>199</v>
      </c>
      <c r="G9" s="15" t="s">
        <v>200</v>
      </c>
      <c r="H9" s="15" t="s">
        <v>201</v>
      </c>
      <c r="I9" s="15" t="s">
        <v>201</v>
      </c>
      <c r="J9" s="15" t="s">
        <v>202</v>
      </c>
      <c r="K9" s="14" t="s">
        <v>203</v>
      </c>
      <c r="L9" s="14" t="s">
        <v>204</v>
      </c>
      <c r="M9" s="14" t="s">
        <v>205</v>
      </c>
      <c r="N9" s="14" t="s">
        <v>206</v>
      </c>
    </row>
    <row r="10" spans="1:14" ht="75" customHeight="1" x14ac:dyDescent="0.25">
      <c r="B10" s="14" t="s">
        <v>207</v>
      </c>
      <c r="C10" s="15" t="s">
        <v>208</v>
      </c>
      <c r="D10" s="15" t="s">
        <v>209</v>
      </c>
      <c r="E10" s="15" t="s">
        <v>210</v>
      </c>
      <c r="F10" s="16" t="s">
        <v>211</v>
      </c>
      <c r="G10" s="16" t="s">
        <v>212</v>
      </c>
      <c r="H10" s="16" t="s">
        <v>213</v>
      </c>
      <c r="I10" s="16" t="s">
        <v>213</v>
      </c>
      <c r="J10" s="16" t="s">
        <v>214</v>
      </c>
      <c r="K10" s="14" t="s">
        <v>215</v>
      </c>
      <c r="L10" s="14" t="s">
        <v>216</v>
      </c>
      <c r="M10" s="14" t="s">
        <v>217</v>
      </c>
      <c r="N10" s="14" t="s">
        <v>218</v>
      </c>
    </row>
    <row r="11" spans="1:14" ht="75" customHeight="1" x14ac:dyDescent="0.25">
      <c r="C11" s="15"/>
      <c r="D11" s="15"/>
      <c r="E11" s="15"/>
      <c r="F11" s="16"/>
      <c r="G11" s="16"/>
      <c r="H11" s="16"/>
      <c r="I11" s="16"/>
      <c r="J11" s="16"/>
      <c r="K11" s="16"/>
    </row>
    <row r="12" spans="1:14" ht="75" customHeight="1" x14ac:dyDescent="0.25">
      <c r="C12" s="15"/>
      <c r="D12" s="15"/>
      <c r="E12" s="15"/>
      <c r="F12" s="16"/>
      <c r="G12" s="16"/>
      <c r="H12" s="16"/>
      <c r="I12" s="16"/>
      <c r="J12" s="16"/>
    </row>
    <row r="13" spans="1:14" ht="75" customHeight="1" x14ac:dyDescent="0.25">
      <c r="C13" s="15"/>
      <c r="D13" s="15"/>
      <c r="E13" s="15"/>
      <c r="F13" s="16"/>
      <c r="G13" s="16"/>
      <c r="H13" s="16"/>
      <c r="I13" s="16"/>
      <c r="J13" s="16"/>
    </row>
    <row r="14" spans="1:14" ht="75" customHeight="1" x14ac:dyDescent="0.25">
      <c r="C14" s="15"/>
      <c r="D14" s="15"/>
      <c r="E14" s="15"/>
      <c r="F14" s="16"/>
      <c r="G14" s="16"/>
      <c r="H14" s="16"/>
      <c r="I14" s="16"/>
      <c r="J14" s="16"/>
    </row>
    <row r="15" spans="1:14" ht="75" customHeight="1" x14ac:dyDescent="0.25">
      <c r="C15" s="15"/>
      <c r="D15" s="15"/>
      <c r="E15" s="15"/>
      <c r="F15" s="16"/>
      <c r="G15" s="16"/>
      <c r="H15" s="16"/>
      <c r="I15" s="16"/>
      <c r="J15" s="16"/>
    </row>
    <row r="16" spans="1:14" x14ac:dyDescent="0.25">
      <c r="A16" s="15"/>
      <c r="B16" s="15"/>
      <c r="C16" s="15"/>
      <c r="D16" s="15"/>
      <c r="E16" s="15"/>
      <c r="F16" s="16"/>
      <c r="G16" s="16"/>
      <c r="H16" s="16"/>
      <c r="I16" s="16"/>
      <c r="J16" s="16"/>
    </row>
    <row r="17" spans="1:5" x14ac:dyDescent="0.25">
      <c r="A17" s="15"/>
      <c r="B17" s="15"/>
      <c r="C17" s="15"/>
      <c r="D17" s="15"/>
      <c r="E17" s="15"/>
    </row>
    <row r="18" spans="1:5" x14ac:dyDescent="0.25">
      <c r="A18" s="15"/>
      <c r="B18" s="15"/>
      <c r="C18" s="15"/>
      <c r="D18" s="15"/>
      <c r="E18" s="15"/>
    </row>
    <row r="19" spans="1:5" x14ac:dyDescent="0.25">
      <c r="A19" s="15"/>
      <c r="B19" s="15"/>
      <c r="C19" s="15"/>
      <c r="D19" s="15"/>
      <c r="E19" s="15"/>
    </row>
    <row r="20" spans="1:5" x14ac:dyDescent="0.25">
      <c r="A20" s="15"/>
      <c r="B20" s="15"/>
      <c r="C20" s="15"/>
      <c r="D20" s="15"/>
      <c r="E20" s="15"/>
    </row>
    <row r="21" spans="1:5" x14ac:dyDescent="0.25">
      <c r="A21" s="15"/>
      <c r="B21" s="15"/>
      <c r="C21" s="15"/>
      <c r="D21" s="15"/>
      <c r="E21" s="15"/>
    </row>
    <row r="22" spans="1:5" x14ac:dyDescent="0.25">
      <c r="A22" s="15"/>
      <c r="B22" s="15"/>
      <c r="C22" s="15"/>
      <c r="D22" s="15"/>
      <c r="E22" s="15"/>
    </row>
    <row r="23" spans="1:5" x14ac:dyDescent="0.25">
      <c r="A23" s="15"/>
      <c r="B23" s="15"/>
      <c r="C23" s="15"/>
      <c r="D23" s="15"/>
      <c r="E23" s="15"/>
    </row>
    <row r="24" spans="1:5" x14ac:dyDescent="0.25">
      <c r="A24" s="15"/>
      <c r="B24" s="15"/>
      <c r="C24" s="15"/>
      <c r="D24" s="15"/>
      <c r="E24" s="15"/>
    </row>
    <row r="25" spans="1:5" x14ac:dyDescent="0.25">
      <c r="A25" s="15"/>
      <c r="B25" s="15"/>
      <c r="C25" s="15"/>
      <c r="D25" s="15"/>
      <c r="E25" s="15"/>
    </row>
    <row r="26" spans="1:5" x14ac:dyDescent="0.25">
      <c r="A26" s="15"/>
      <c r="B26" s="15"/>
      <c r="C26" s="15"/>
      <c r="D26" s="15"/>
      <c r="E26" s="15"/>
    </row>
    <row r="27" spans="1:5" x14ac:dyDescent="0.25">
      <c r="A27" s="15"/>
      <c r="B27" s="15"/>
      <c r="C27" s="15"/>
      <c r="D27" s="15"/>
      <c r="E27" s="15"/>
    </row>
    <row r="28" spans="1:5" x14ac:dyDescent="0.25">
      <c r="A28" s="15"/>
      <c r="B28" s="15"/>
      <c r="C28" s="15"/>
      <c r="D28" s="15"/>
      <c r="E28" s="15"/>
    </row>
    <row r="29" spans="1:5" x14ac:dyDescent="0.25">
      <c r="A29" s="15"/>
      <c r="B29" s="15"/>
      <c r="C29" s="15"/>
      <c r="D29" s="15"/>
      <c r="E29" s="15"/>
    </row>
    <row r="30" spans="1:5" x14ac:dyDescent="0.25">
      <c r="A30" s="15"/>
      <c r="B30" s="15"/>
      <c r="C30" s="15"/>
      <c r="D30" s="15"/>
      <c r="E30" s="15"/>
    </row>
    <row r="31" spans="1:5" x14ac:dyDescent="0.25">
      <c r="A31" s="15"/>
      <c r="B31" s="15"/>
      <c r="C31" s="15"/>
      <c r="D31" s="15"/>
      <c r="E31" s="15"/>
    </row>
    <row r="32" spans="1:5" x14ac:dyDescent="0.25">
      <c r="A32" s="15"/>
      <c r="B32" s="15"/>
      <c r="C32" s="15"/>
      <c r="D32" s="15"/>
      <c r="E32" s="15"/>
    </row>
    <row r="33" spans="1:5" x14ac:dyDescent="0.25">
      <c r="A33" s="15"/>
      <c r="B33" s="15"/>
      <c r="C33" s="15"/>
      <c r="D33" s="15"/>
      <c r="E33" s="15"/>
    </row>
    <row r="34" spans="1:5" x14ac:dyDescent="0.25">
      <c r="A34" s="15"/>
      <c r="B34" s="15"/>
      <c r="C34" s="15"/>
      <c r="D34" s="15"/>
      <c r="E34" s="15"/>
    </row>
    <row r="35" spans="1:5" x14ac:dyDescent="0.25">
      <c r="A35" s="15"/>
      <c r="B35" s="15"/>
      <c r="C35" s="15"/>
      <c r="D35" s="15"/>
      <c r="E35" s="15"/>
    </row>
    <row r="36" spans="1:5" x14ac:dyDescent="0.25">
      <c r="A36" s="15"/>
      <c r="B36" s="15"/>
      <c r="C36" s="15"/>
      <c r="D36" s="15"/>
      <c r="E36" s="15"/>
    </row>
    <row r="37" spans="1:5" x14ac:dyDescent="0.25">
      <c r="A37" s="15"/>
      <c r="B37" s="15"/>
      <c r="C37" s="15"/>
      <c r="D37" s="15"/>
      <c r="E37" s="15"/>
    </row>
    <row r="38" spans="1:5" x14ac:dyDescent="0.25">
      <c r="A38" s="15"/>
      <c r="B38" s="15"/>
      <c r="C38" s="15"/>
      <c r="D38" s="15"/>
      <c r="E38" s="15"/>
    </row>
    <row r="39" spans="1:5" x14ac:dyDescent="0.25">
      <c r="A39" s="15"/>
      <c r="B39" s="15"/>
      <c r="C39" s="15"/>
      <c r="D39" s="15"/>
      <c r="E39" s="15"/>
    </row>
    <row r="40" spans="1:5" x14ac:dyDescent="0.25">
      <c r="A40" s="15"/>
      <c r="B40" s="15"/>
      <c r="C40" s="15"/>
      <c r="D40" s="15"/>
      <c r="E40" s="15"/>
    </row>
    <row r="41" spans="1:5" x14ac:dyDescent="0.25">
      <c r="A41" s="15"/>
      <c r="B41" s="15"/>
      <c r="C41" s="15"/>
      <c r="D41" s="15"/>
      <c r="E41" s="15"/>
    </row>
    <row r="42" spans="1:5" x14ac:dyDescent="0.25">
      <c r="A42" s="15"/>
      <c r="B42" s="15"/>
      <c r="C42" s="15"/>
      <c r="D42" s="15"/>
      <c r="E42" s="15"/>
    </row>
    <row r="43" spans="1:5" x14ac:dyDescent="0.25">
      <c r="A43" s="15"/>
      <c r="B43" s="15"/>
      <c r="C43" s="15"/>
      <c r="D43" s="15"/>
      <c r="E43" s="15"/>
    </row>
    <row r="44" spans="1:5" x14ac:dyDescent="0.25">
      <c r="C44" s="15"/>
      <c r="D44" s="15"/>
      <c r="E44"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49EE2-D657-4D85-8977-04A2897FEAF2}">
  <sheetPr codeName="Sheet6">
    <tabColor rgb="FFD9BF91"/>
  </sheetPr>
  <dimension ref="A1:Z133"/>
  <sheetViews>
    <sheetView showGridLines="0" tabSelected="1" zoomScale="120" zoomScaleNormal="120" workbookViewId="0">
      <selection activeCell="AA3" sqref="AA3"/>
    </sheetView>
  </sheetViews>
  <sheetFormatPr defaultColWidth="9.5" defaultRowHeight="21" x14ac:dyDescent="0.35"/>
  <cols>
    <col min="1" max="1" width="3.625" style="48" customWidth="1"/>
    <col min="2" max="2" width="23.875" style="47" customWidth="1"/>
    <col min="3" max="3" width="23.875" style="48" customWidth="1"/>
    <col min="4" max="4" width="31.375" style="48" customWidth="1"/>
    <col min="5" max="5" width="39.125" style="48" customWidth="1"/>
    <col min="6" max="6" width="8.75" style="51" customWidth="1"/>
    <col min="7" max="7" width="9.5" style="51"/>
    <col min="8" max="8" width="9.5" style="48" customWidth="1"/>
    <col min="9" max="9" width="21.125" style="48" customWidth="1"/>
    <col min="10" max="16384" width="9.5" style="48"/>
  </cols>
  <sheetData>
    <row r="1" spans="1:26" x14ac:dyDescent="0.35">
      <c r="A1" s="52"/>
      <c r="B1" s="53"/>
      <c r="C1" s="52"/>
      <c r="D1" s="52"/>
      <c r="E1" s="52"/>
      <c r="F1" s="52"/>
      <c r="G1" s="52"/>
      <c r="H1" s="52"/>
      <c r="I1" s="52"/>
      <c r="J1" s="52"/>
      <c r="K1" s="52"/>
      <c r="L1" s="52"/>
      <c r="M1" s="52"/>
      <c r="N1" s="52"/>
      <c r="O1" s="52"/>
      <c r="P1" s="52"/>
      <c r="Q1" s="52"/>
      <c r="R1" s="52"/>
      <c r="S1" s="52"/>
      <c r="T1" s="52"/>
      <c r="U1" s="52"/>
      <c r="V1" s="52"/>
      <c r="W1" s="52"/>
      <c r="X1" s="52"/>
      <c r="Y1" s="52"/>
      <c r="Z1" s="52"/>
    </row>
    <row r="2" spans="1:26" ht="26.25" x14ac:dyDescent="0.4">
      <c r="A2" s="52"/>
      <c r="B2" s="54" t="s">
        <v>219</v>
      </c>
      <c r="C2" s="55"/>
      <c r="D2" s="56"/>
      <c r="E2" s="57"/>
      <c r="F2" s="57"/>
      <c r="G2" s="55"/>
      <c r="H2" s="55"/>
      <c r="I2" s="58" t="str">
        <f ca="1">$B$23&amp;"/"&amp;$C$23</f>
        <v>0/176</v>
      </c>
      <c r="J2" s="52"/>
      <c r="K2" s="52"/>
      <c r="L2" s="52"/>
      <c r="M2" s="52"/>
      <c r="N2" s="52"/>
      <c r="O2" s="52"/>
      <c r="P2" s="52"/>
      <c r="Q2" s="52"/>
      <c r="R2" s="52"/>
      <c r="S2" s="52"/>
      <c r="T2" s="52"/>
      <c r="U2" s="52"/>
      <c r="V2" s="52"/>
      <c r="W2" s="52"/>
      <c r="X2" s="52"/>
      <c r="Y2" s="52"/>
      <c r="Z2" s="52"/>
    </row>
    <row r="3" spans="1:26" x14ac:dyDescent="0.35">
      <c r="A3" s="52"/>
      <c r="B3" s="59" t="s">
        <v>220</v>
      </c>
      <c r="C3" s="60"/>
      <c r="D3" s="61"/>
      <c r="E3" s="62"/>
      <c r="F3" s="62"/>
      <c r="G3" s="60"/>
      <c r="H3" s="60"/>
      <c r="I3" s="63">
        <f ca="1">$D$23</f>
        <v>0</v>
      </c>
      <c r="J3" s="52"/>
      <c r="K3" s="52"/>
      <c r="L3" s="52"/>
      <c r="M3" s="52"/>
      <c r="N3" s="52"/>
      <c r="O3" s="52"/>
      <c r="P3" s="52"/>
      <c r="Q3" s="52"/>
      <c r="R3" s="52"/>
      <c r="S3" s="52"/>
      <c r="T3" s="52"/>
      <c r="U3" s="52"/>
      <c r="V3" s="52"/>
      <c r="W3" s="52"/>
      <c r="X3" s="52"/>
      <c r="Y3" s="52"/>
      <c r="Z3" s="52"/>
    </row>
    <row r="4" spans="1:26" x14ac:dyDescent="0.35">
      <c r="A4" s="52"/>
      <c r="B4" s="64" t="s">
        <v>221</v>
      </c>
      <c r="C4" s="65"/>
      <c r="D4" s="65"/>
      <c r="E4" s="66" t="str">
        <f ca="1">IFERROR(_xlfn.CONCAT("Excel version: ",INFO("release")),"Excel version: Invalid")</f>
        <v>Excel version: 16.0</v>
      </c>
      <c r="F4" s="67" t="str" cm="1">
        <f t="array" aca="1" ref="F4" ca="1">IFERROR(IF(OR(ISERROR(_xlfn.RANDARRAY()), ISERROR(INFO("osversion"))), "Error: Please use Office 2021 desktop version or newer", _xlfn.CONCAT("Operating system: ", INFO("osversion"))),"Error: Please use Office 2021 desktop version or newer")</f>
        <v>Operating system: Windows (32-bit) NT 10.00</v>
      </c>
      <c r="G4" s="67"/>
      <c r="H4" s="65"/>
      <c r="I4" s="52"/>
      <c r="J4" s="52"/>
      <c r="K4" s="52"/>
      <c r="L4" s="52"/>
      <c r="M4" s="52"/>
      <c r="N4" s="52"/>
      <c r="O4" s="52"/>
      <c r="P4" s="52"/>
      <c r="Q4" s="52"/>
      <c r="R4" s="52"/>
      <c r="S4" s="52"/>
      <c r="T4" s="52"/>
      <c r="U4" s="52"/>
      <c r="V4" s="52"/>
      <c r="W4" s="52"/>
      <c r="X4" s="52"/>
      <c r="Y4" s="52"/>
      <c r="Z4" s="52"/>
    </row>
    <row r="5" spans="1:26" ht="24" customHeight="1" x14ac:dyDescent="0.35">
      <c r="A5" s="52"/>
      <c r="B5" s="64"/>
      <c r="C5" s="65"/>
      <c r="D5" s="65"/>
      <c r="E5" s="68"/>
      <c r="F5" s="68"/>
      <c r="G5" s="69"/>
      <c r="H5" s="65"/>
      <c r="I5" s="52"/>
      <c r="J5" s="52"/>
      <c r="K5" s="52"/>
      <c r="L5" s="52"/>
      <c r="M5" s="52"/>
      <c r="N5" s="52"/>
      <c r="O5" s="52"/>
      <c r="P5" s="52"/>
      <c r="Q5" s="52"/>
      <c r="R5" s="52"/>
      <c r="S5" s="52"/>
      <c r="T5" s="52"/>
      <c r="U5" s="52"/>
      <c r="V5" s="52"/>
      <c r="W5" s="52"/>
      <c r="X5" s="52"/>
      <c r="Y5" s="52"/>
      <c r="Z5" s="52"/>
    </row>
    <row r="6" spans="1:26" ht="26.1" customHeight="1" x14ac:dyDescent="0.35">
      <c r="A6" s="52"/>
      <c r="B6" s="53" t="s">
        <v>243</v>
      </c>
      <c r="C6" s="52"/>
      <c r="D6" s="52"/>
      <c r="E6" s="52"/>
      <c r="F6" s="52"/>
      <c r="G6" s="52"/>
      <c r="H6" s="52"/>
      <c r="I6" s="70" t="s">
        <v>235</v>
      </c>
      <c r="J6" s="52"/>
      <c r="K6" s="52"/>
      <c r="L6" s="52"/>
      <c r="M6" s="52"/>
      <c r="N6" s="52"/>
      <c r="O6" s="52"/>
      <c r="P6" s="52"/>
      <c r="Q6" s="52"/>
      <c r="R6" s="52"/>
      <c r="S6" s="52"/>
      <c r="T6" s="52"/>
      <c r="U6" s="52"/>
      <c r="V6" s="52"/>
      <c r="W6" s="52"/>
      <c r="X6" s="52"/>
      <c r="Y6" s="52"/>
      <c r="Z6" s="52"/>
    </row>
    <row r="7" spans="1:26" ht="24" customHeight="1" x14ac:dyDescent="0.35">
      <c r="A7" s="52"/>
      <c r="B7" s="53" t="s">
        <v>241</v>
      </c>
      <c r="C7" s="52"/>
      <c r="D7" s="52"/>
      <c r="E7" s="52"/>
      <c r="F7" s="52"/>
      <c r="G7" s="52"/>
      <c r="H7" s="52"/>
      <c r="I7" s="71" t="s">
        <v>238</v>
      </c>
      <c r="J7" s="52"/>
      <c r="K7" s="52"/>
      <c r="L7" s="52"/>
      <c r="M7" s="52"/>
      <c r="N7" s="52"/>
      <c r="O7" s="52"/>
      <c r="P7" s="52"/>
      <c r="Q7" s="52"/>
      <c r="R7" s="52"/>
      <c r="S7" s="52"/>
      <c r="T7" s="52"/>
      <c r="U7" s="52"/>
      <c r="V7" s="52"/>
      <c r="W7" s="52"/>
      <c r="X7" s="52"/>
      <c r="Y7" s="52"/>
      <c r="Z7" s="52"/>
    </row>
    <row r="8" spans="1:26" ht="29.1" customHeight="1" x14ac:dyDescent="0.5">
      <c r="A8" s="52"/>
      <c r="B8" s="53" t="s">
        <v>239</v>
      </c>
      <c r="C8" s="72" t="str">
        <f ca="1">IF(OR($E$4="Excel version: Invalid", $F$4="Error: Please use Office 2021 desktop version or newer"), "****Error: Please use Office 2021 desktop version or newer****", "")</f>
        <v/>
      </c>
      <c r="D8" s="73"/>
      <c r="E8" s="52"/>
      <c r="F8" s="52"/>
      <c r="G8" s="52"/>
      <c r="H8" s="52"/>
      <c r="I8" s="74">
        <v>45986</v>
      </c>
      <c r="J8" s="52"/>
      <c r="K8" s="52"/>
      <c r="L8" s="52"/>
      <c r="M8" s="52"/>
      <c r="N8" s="52"/>
      <c r="O8" s="52"/>
      <c r="P8" s="52"/>
      <c r="Q8" s="52"/>
      <c r="R8" s="52"/>
      <c r="S8" s="52"/>
      <c r="T8" s="52"/>
      <c r="U8" s="52"/>
      <c r="V8" s="52"/>
      <c r="W8" s="52"/>
      <c r="X8" s="52"/>
      <c r="Y8" s="52"/>
      <c r="Z8" s="52"/>
    </row>
    <row r="9" spans="1:26" ht="21.95" customHeight="1" x14ac:dyDescent="0.35">
      <c r="A9" s="52"/>
      <c r="B9" s="53" t="s">
        <v>240</v>
      </c>
      <c r="C9" s="52"/>
      <c r="D9" s="52"/>
      <c r="E9" s="52"/>
      <c r="F9" s="52"/>
      <c r="G9" s="52"/>
      <c r="H9" s="52"/>
      <c r="I9" s="52"/>
      <c r="J9" s="52"/>
      <c r="K9" s="52"/>
      <c r="L9" s="52"/>
      <c r="M9" s="52"/>
      <c r="N9" s="52"/>
      <c r="O9" s="52"/>
      <c r="P9" s="52"/>
      <c r="Q9" s="52"/>
      <c r="R9" s="52"/>
      <c r="S9" s="52"/>
      <c r="T9" s="52"/>
      <c r="U9" s="52"/>
      <c r="V9" s="52"/>
      <c r="W9" s="52"/>
      <c r="X9" s="52"/>
      <c r="Y9" s="52"/>
      <c r="Z9" s="52"/>
    </row>
    <row r="10" spans="1:26" x14ac:dyDescent="0.35">
      <c r="A10" s="52"/>
      <c r="B10" s="53"/>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ht="23.1" customHeight="1" thickBot="1" x14ac:dyDescent="0.4">
      <c r="A11" s="52"/>
      <c r="B11" s="75"/>
      <c r="C11" s="76"/>
      <c r="D11" s="76"/>
      <c r="E11" s="76"/>
      <c r="F11" s="76"/>
      <c r="G11" s="76"/>
      <c r="H11" s="76"/>
      <c r="I11" s="77"/>
      <c r="J11" s="52"/>
      <c r="K11" s="52"/>
      <c r="L11" s="52"/>
      <c r="M11" s="52"/>
      <c r="N11" s="52"/>
      <c r="O11" s="52"/>
      <c r="P11" s="52"/>
      <c r="Q11" s="52"/>
      <c r="R11" s="52"/>
      <c r="S11" s="52"/>
      <c r="T11" s="52"/>
      <c r="U11" s="52"/>
      <c r="V11" s="52"/>
      <c r="W11" s="52"/>
      <c r="X11" s="52"/>
      <c r="Y11" s="52"/>
      <c r="Z11" s="52"/>
    </row>
    <row r="12" spans="1:26" ht="22.5" thickTop="1" thickBot="1" x14ac:dyDescent="0.4">
      <c r="A12" s="52"/>
      <c r="B12" s="78" t="s">
        <v>222</v>
      </c>
      <c r="C12" s="52"/>
      <c r="D12" s="52"/>
      <c r="E12" s="52"/>
      <c r="F12" s="79">
        <v>1</v>
      </c>
      <c r="G12" s="79">
        <v>0.5</v>
      </c>
      <c r="H12" s="80">
        <v>1</v>
      </c>
      <c r="I12" s="81"/>
      <c r="J12" s="52"/>
      <c r="K12" s="52"/>
      <c r="L12" s="52"/>
      <c r="M12" s="52"/>
      <c r="N12" s="52"/>
      <c r="O12" s="52"/>
      <c r="P12" s="52"/>
      <c r="Q12" s="52"/>
      <c r="R12" s="52"/>
      <c r="S12" s="52"/>
      <c r="T12" s="52"/>
      <c r="U12" s="52"/>
      <c r="V12" s="52"/>
      <c r="W12" s="52"/>
      <c r="X12" s="52"/>
      <c r="Y12" s="52"/>
      <c r="Z12" s="52"/>
    </row>
    <row r="13" spans="1:26" ht="21.75" thickTop="1" x14ac:dyDescent="0.35">
      <c r="A13" s="52"/>
      <c r="B13" s="78"/>
      <c r="C13" s="52"/>
      <c r="D13" s="52"/>
      <c r="E13" s="52"/>
      <c r="F13" s="52"/>
      <c r="G13" s="52"/>
      <c r="H13" s="52"/>
      <c r="I13" s="81"/>
      <c r="J13" s="52"/>
      <c r="K13" s="52"/>
      <c r="L13" s="52"/>
      <c r="M13" s="52"/>
      <c r="N13" s="52"/>
      <c r="O13" s="52"/>
      <c r="P13" s="52"/>
      <c r="Q13" s="52"/>
      <c r="R13" s="52"/>
      <c r="S13" s="52"/>
      <c r="T13" s="52"/>
      <c r="U13" s="52"/>
      <c r="V13" s="52"/>
      <c r="W13" s="52"/>
      <c r="X13" s="52"/>
      <c r="Y13" s="52"/>
      <c r="Z13" s="52"/>
    </row>
    <row r="14" spans="1:26" x14ac:dyDescent="0.35">
      <c r="A14" s="52"/>
      <c r="B14" s="78" t="s">
        <v>223</v>
      </c>
      <c r="C14" s="52"/>
      <c r="D14" s="52"/>
      <c r="E14" s="52"/>
      <c r="F14" s="82"/>
      <c r="G14" s="52"/>
      <c r="H14" s="52"/>
      <c r="I14" s="81"/>
      <c r="J14" s="52"/>
      <c r="K14" s="52"/>
      <c r="L14" s="52"/>
      <c r="M14" s="52"/>
      <c r="N14" s="52"/>
      <c r="O14" s="52"/>
      <c r="P14" s="52"/>
      <c r="Q14" s="52"/>
      <c r="R14" s="52"/>
      <c r="S14" s="52"/>
      <c r="T14" s="52"/>
      <c r="U14" s="52"/>
      <c r="V14" s="52"/>
      <c r="W14" s="52"/>
      <c r="X14" s="52"/>
      <c r="Y14" s="52"/>
      <c r="Z14" s="52"/>
    </row>
    <row r="15" spans="1:26" x14ac:dyDescent="0.35">
      <c r="A15" s="52"/>
      <c r="B15" s="78"/>
      <c r="C15" s="52"/>
      <c r="D15" s="52"/>
      <c r="E15" s="52"/>
      <c r="F15" s="82"/>
      <c r="G15" s="52"/>
      <c r="H15" s="52"/>
      <c r="I15" s="81"/>
      <c r="J15" s="52"/>
      <c r="K15" s="52"/>
      <c r="L15" s="52"/>
      <c r="M15" s="52"/>
      <c r="N15" s="52"/>
      <c r="O15" s="52"/>
      <c r="P15" s="52"/>
      <c r="Q15" s="52"/>
      <c r="R15" s="52"/>
      <c r="S15" s="52"/>
      <c r="T15" s="52"/>
      <c r="U15" s="52"/>
      <c r="V15" s="52"/>
      <c r="W15" s="52"/>
      <c r="X15" s="52"/>
      <c r="Y15" s="52"/>
      <c r="Z15" s="52"/>
    </row>
    <row r="16" spans="1:26" x14ac:dyDescent="0.35">
      <c r="A16" s="52"/>
      <c r="B16" s="78" t="s">
        <v>224</v>
      </c>
      <c r="C16" s="52"/>
      <c r="D16" s="52"/>
      <c r="E16" s="65"/>
      <c r="F16" s="83">
        <v>5</v>
      </c>
      <c r="G16" s="52"/>
      <c r="H16" s="52"/>
      <c r="I16" s="81"/>
      <c r="J16" s="52"/>
      <c r="K16" s="52"/>
      <c r="L16" s="52"/>
      <c r="M16" s="52"/>
      <c r="N16" s="52"/>
      <c r="O16" s="52"/>
      <c r="P16" s="52"/>
      <c r="Q16" s="52"/>
      <c r="R16" s="52"/>
      <c r="S16" s="52"/>
      <c r="T16" s="52"/>
      <c r="U16" s="52"/>
      <c r="V16" s="52"/>
      <c r="W16" s="52"/>
      <c r="X16" s="52"/>
      <c r="Y16" s="52"/>
      <c r="Z16" s="52"/>
    </row>
    <row r="17" spans="1:26" ht="23.1" customHeight="1" x14ac:dyDescent="0.35">
      <c r="A17" s="52"/>
      <c r="B17" s="84"/>
      <c r="C17" s="85"/>
      <c r="D17" s="85"/>
      <c r="E17" s="85"/>
      <c r="F17" s="85"/>
      <c r="G17" s="85"/>
      <c r="H17" s="85"/>
      <c r="I17" s="86"/>
      <c r="J17" s="52"/>
      <c r="K17" s="52"/>
      <c r="L17" s="52"/>
      <c r="M17" s="52"/>
      <c r="N17" s="52"/>
      <c r="O17" s="52"/>
      <c r="P17" s="52"/>
      <c r="Q17" s="52"/>
      <c r="R17" s="52"/>
      <c r="S17" s="52"/>
      <c r="T17" s="52"/>
      <c r="U17" s="52"/>
      <c r="V17" s="52"/>
      <c r="W17" s="52"/>
      <c r="X17" s="52"/>
      <c r="Y17" s="52"/>
      <c r="Z17" s="52"/>
    </row>
    <row r="18" spans="1:26" x14ac:dyDescent="0.35">
      <c r="A18" s="52"/>
      <c r="B18" s="53"/>
      <c r="C18" s="52"/>
      <c r="D18" s="52"/>
      <c r="E18" s="5"/>
      <c r="F18" s="52"/>
      <c r="G18" s="52"/>
      <c r="H18" s="52"/>
      <c r="I18" s="52"/>
      <c r="J18" s="52"/>
      <c r="K18" s="52"/>
      <c r="L18" s="52"/>
      <c r="M18" s="52"/>
      <c r="N18" s="52"/>
      <c r="O18" s="52"/>
      <c r="P18" s="52"/>
      <c r="Q18" s="52"/>
      <c r="R18" s="52"/>
      <c r="S18" s="52"/>
      <c r="T18" s="52"/>
      <c r="U18" s="52"/>
      <c r="V18" s="52"/>
      <c r="W18" s="52"/>
      <c r="X18" s="52"/>
      <c r="Y18" s="52"/>
      <c r="Z18" s="52"/>
    </row>
    <row r="19" spans="1:26" x14ac:dyDescent="0.35">
      <c r="A19" s="52"/>
      <c r="B19" s="53" t="s">
        <v>225</v>
      </c>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x14ac:dyDescent="0.35">
      <c r="A20" s="52"/>
      <c r="B20" s="87" t="s">
        <v>226</v>
      </c>
      <c r="C20" s="87" t="s">
        <v>227</v>
      </c>
      <c r="D20" s="87" t="s">
        <v>228</v>
      </c>
      <c r="E20" s="87" t="s">
        <v>229</v>
      </c>
      <c r="F20" s="5"/>
      <c r="G20" s="52"/>
      <c r="H20" s="52"/>
      <c r="I20" s="52"/>
      <c r="J20" s="52"/>
      <c r="K20" s="52"/>
      <c r="L20" s="52"/>
      <c r="M20" s="52"/>
      <c r="N20" s="52"/>
      <c r="O20" s="52"/>
      <c r="P20" s="52"/>
      <c r="Q20" s="52"/>
      <c r="R20" s="52"/>
      <c r="S20" s="52"/>
      <c r="T20" s="52"/>
      <c r="U20" s="52"/>
      <c r="V20" s="52"/>
      <c r="W20" s="52"/>
      <c r="X20" s="52"/>
      <c r="Y20" s="52"/>
      <c r="Z20" s="52"/>
    </row>
    <row r="21" spans="1:26" x14ac:dyDescent="0.35">
      <c r="A21" s="52"/>
      <c r="B21" s="88">
        <f ca="1">IF(Sheet1SC!$A$2="","locked",Sheet1SC!$A$2)</f>
        <v>0</v>
      </c>
      <c r="C21" s="88">
        <f>Sheet1SC!$B$2</f>
        <v>176</v>
      </c>
      <c r="D21" s="88" t="s">
        <v>236</v>
      </c>
      <c r="E21" s="88"/>
      <c r="F21" s="93" t="str" cm="1">
        <f t="array" ref="F21">_xlfn.IFS(ROW(Sheet1!A100)&lt;100,"A row has been deleted",COLUMN(Sheet1!BB1)&lt;54,"A column has been deleted",ROW(Sheet1!A100)&gt;100,"A row has been inserted",COLUMN(Sheet1!BB1)&gt;54,"A column has been inserted",TRUE=TRUE,"")</f>
        <v/>
      </c>
      <c r="G21" s="93"/>
      <c r="H21" s="93"/>
      <c r="I21" s="52"/>
      <c r="J21" s="52"/>
      <c r="K21" s="52"/>
      <c r="L21" s="52"/>
      <c r="M21" s="52"/>
      <c r="N21" s="52"/>
      <c r="O21" s="52"/>
      <c r="P21" s="52"/>
      <c r="Q21" s="52"/>
      <c r="R21" s="52"/>
      <c r="S21" s="52"/>
      <c r="T21" s="52"/>
      <c r="U21" s="52"/>
      <c r="V21" s="52"/>
      <c r="W21" s="52"/>
      <c r="X21" s="52"/>
      <c r="Y21" s="52"/>
      <c r="Z21" s="52"/>
    </row>
    <row r="22" spans="1:26" x14ac:dyDescent="0.35">
      <c r="A22" s="52"/>
      <c r="B22" s="69"/>
      <c r="C22" s="69"/>
      <c r="D22" s="69"/>
      <c r="E22" s="69"/>
      <c r="F22" s="93"/>
      <c r="G22" s="93"/>
      <c r="H22" s="93"/>
      <c r="I22" s="52"/>
      <c r="J22" s="52"/>
      <c r="K22" s="52"/>
      <c r="L22" s="52"/>
      <c r="M22" s="52"/>
      <c r="N22" s="52"/>
      <c r="O22" s="52"/>
      <c r="P22" s="52"/>
      <c r="Q22" s="52"/>
      <c r="R22" s="52"/>
      <c r="S22" s="52"/>
      <c r="T22" s="52"/>
      <c r="U22" s="52"/>
      <c r="V22" s="52"/>
      <c r="W22" s="52"/>
      <c r="X22" s="52"/>
      <c r="Y22" s="52"/>
      <c r="Z22" s="52"/>
    </row>
    <row r="23" spans="1:26" x14ac:dyDescent="0.35">
      <c r="A23" s="52"/>
      <c r="B23" s="89">
        <f ca="1">SUM(B21:B21)</f>
        <v>0</v>
      </c>
      <c r="C23" s="89">
        <f>SUM(C21:C21)</f>
        <v>176</v>
      </c>
      <c r="D23" s="90">
        <f ca="1">IFERROR(ROUNDUP($B$23/$C$23,3),0)</f>
        <v>0</v>
      </c>
      <c r="E23" s="69"/>
      <c r="F23" s="93"/>
      <c r="G23" s="93"/>
      <c r="H23" s="93"/>
      <c r="I23" s="52"/>
      <c r="J23" s="52"/>
      <c r="K23" s="52"/>
      <c r="L23" s="52"/>
      <c r="M23" s="52"/>
      <c r="N23" s="52"/>
      <c r="O23" s="52"/>
      <c r="P23" s="52"/>
      <c r="Q23" s="52"/>
      <c r="R23" s="52"/>
      <c r="S23" s="52"/>
      <c r="T23" s="52"/>
      <c r="U23" s="52"/>
      <c r="V23" s="52"/>
      <c r="W23" s="52"/>
      <c r="X23" s="52"/>
      <c r="Y23" s="52"/>
      <c r="Z23" s="52"/>
    </row>
    <row r="24" spans="1:26" x14ac:dyDescent="0.35">
      <c r="A24" s="52"/>
      <c r="B24" s="69"/>
      <c r="C24" s="69"/>
      <c r="D24" s="69"/>
      <c r="E24" s="69"/>
      <c r="F24" s="93"/>
      <c r="G24" s="93"/>
      <c r="H24" s="93"/>
      <c r="I24" s="52"/>
      <c r="J24" s="52"/>
      <c r="K24" s="52"/>
      <c r="L24" s="52"/>
      <c r="M24" s="52"/>
      <c r="N24" s="52"/>
      <c r="O24" s="52"/>
      <c r="P24" s="52"/>
      <c r="Q24" s="52"/>
      <c r="R24" s="52"/>
      <c r="S24" s="52"/>
      <c r="T24" s="52"/>
      <c r="U24" s="52"/>
      <c r="V24" s="52"/>
      <c r="W24" s="52"/>
      <c r="X24" s="52"/>
      <c r="Y24" s="52"/>
      <c r="Z24" s="52"/>
    </row>
    <row r="25" spans="1:26" x14ac:dyDescent="0.35">
      <c r="A25" s="52"/>
      <c r="B25" s="69"/>
      <c r="C25" s="69"/>
      <c r="D25" s="69"/>
      <c r="E25" s="69"/>
      <c r="F25" s="93"/>
      <c r="G25" s="93"/>
      <c r="H25" s="93"/>
      <c r="I25" s="52"/>
      <c r="J25" s="52"/>
      <c r="K25" s="52"/>
      <c r="L25" s="52"/>
      <c r="M25" s="52"/>
      <c r="N25" s="52"/>
      <c r="O25" s="52"/>
      <c r="P25" s="52"/>
      <c r="Q25" s="52"/>
      <c r="R25" s="52"/>
      <c r="S25" s="52"/>
      <c r="T25" s="52"/>
      <c r="U25" s="52"/>
      <c r="V25" s="52"/>
      <c r="W25" s="52"/>
      <c r="X25" s="52"/>
      <c r="Y25" s="52"/>
      <c r="Z25" s="52"/>
    </row>
    <row r="26" spans="1:26" x14ac:dyDescent="0.35">
      <c r="A26" s="52"/>
      <c r="B26" s="69"/>
      <c r="C26" s="69"/>
      <c r="D26" s="69"/>
      <c r="E26" s="69"/>
      <c r="F26" s="93"/>
      <c r="G26" s="93"/>
      <c r="H26" s="93"/>
      <c r="I26" s="52"/>
      <c r="J26" s="52"/>
      <c r="K26" s="52"/>
      <c r="L26" s="52"/>
      <c r="M26" s="52"/>
      <c r="N26" s="52"/>
      <c r="O26" s="52"/>
      <c r="P26" s="52"/>
      <c r="Q26" s="52"/>
      <c r="R26" s="52"/>
      <c r="S26" s="52"/>
      <c r="T26" s="52"/>
      <c r="U26" s="52"/>
      <c r="V26" s="52"/>
      <c r="W26" s="52"/>
      <c r="X26" s="52"/>
      <c r="Y26" s="52"/>
      <c r="Z26" s="52"/>
    </row>
    <row r="27" spans="1:26" x14ac:dyDescent="0.35">
      <c r="A27" s="52"/>
      <c r="B27" s="64"/>
      <c r="C27" s="91"/>
      <c r="D27" s="91"/>
      <c r="E27" s="91"/>
      <c r="F27" s="93"/>
      <c r="G27" s="93"/>
      <c r="H27" s="93"/>
      <c r="I27" s="52"/>
      <c r="J27" s="52"/>
      <c r="K27" s="52"/>
      <c r="L27" s="52"/>
      <c r="M27" s="52"/>
      <c r="N27" s="52"/>
      <c r="O27" s="52"/>
      <c r="P27" s="52"/>
      <c r="Q27" s="52"/>
      <c r="R27" s="52"/>
      <c r="S27" s="52"/>
      <c r="T27" s="52"/>
      <c r="U27" s="52"/>
      <c r="V27" s="52"/>
      <c r="W27" s="52"/>
      <c r="X27" s="52"/>
      <c r="Y27" s="52"/>
      <c r="Z27" s="52"/>
    </row>
    <row r="28" spans="1:26" x14ac:dyDescent="0.35">
      <c r="A28" s="52"/>
      <c r="B28" s="64"/>
      <c r="C28" s="91"/>
      <c r="D28" s="91"/>
      <c r="E28" s="91"/>
      <c r="F28" s="93"/>
      <c r="G28" s="93"/>
      <c r="H28" s="93"/>
      <c r="I28" s="52"/>
      <c r="J28" s="52"/>
      <c r="K28" s="52"/>
      <c r="L28" s="52"/>
      <c r="M28" s="52"/>
      <c r="N28" s="52"/>
      <c r="O28" s="52"/>
      <c r="P28" s="52"/>
      <c r="Q28" s="52"/>
      <c r="R28" s="52"/>
      <c r="S28" s="52"/>
      <c r="T28" s="52"/>
      <c r="U28" s="52"/>
      <c r="V28" s="52"/>
      <c r="W28" s="52"/>
      <c r="X28" s="52"/>
      <c r="Y28" s="52"/>
      <c r="Z28" s="52"/>
    </row>
    <row r="29" spans="1:26" x14ac:dyDescent="0.35">
      <c r="A29" s="52"/>
      <c r="B29" s="64"/>
      <c r="C29" s="91"/>
      <c r="D29" s="91"/>
      <c r="E29" s="91"/>
      <c r="F29" s="93"/>
      <c r="G29" s="93"/>
      <c r="H29" s="93"/>
      <c r="I29" s="52"/>
      <c r="J29" s="52"/>
      <c r="K29" s="52"/>
      <c r="L29" s="52"/>
      <c r="M29" s="52"/>
      <c r="N29" s="52"/>
      <c r="O29" s="52"/>
      <c r="P29" s="52"/>
      <c r="Q29" s="52"/>
      <c r="R29" s="52"/>
      <c r="S29" s="52"/>
      <c r="T29" s="52"/>
      <c r="U29" s="52"/>
      <c r="V29" s="52"/>
      <c r="W29" s="52"/>
      <c r="X29" s="52"/>
      <c r="Y29" s="52"/>
      <c r="Z29" s="52"/>
    </row>
    <row r="30" spans="1:26" x14ac:dyDescent="0.35">
      <c r="A30" s="52"/>
      <c r="B30" s="64"/>
      <c r="C30" s="91"/>
      <c r="D30" s="91"/>
      <c r="E30" s="91"/>
      <c r="F30" s="93"/>
      <c r="G30" s="93"/>
      <c r="H30" s="93"/>
      <c r="I30" s="52"/>
      <c r="J30" s="52"/>
      <c r="K30" s="52"/>
      <c r="L30" s="52"/>
      <c r="M30" s="52"/>
      <c r="N30" s="52"/>
      <c r="O30" s="52"/>
      <c r="P30" s="52"/>
      <c r="Q30" s="52"/>
      <c r="R30" s="52"/>
      <c r="S30" s="52"/>
      <c r="T30" s="52"/>
      <c r="U30" s="52"/>
      <c r="V30" s="52"/>
      <c r="W30" s="52"/>
      <c r="X30" s="52"/>
      <c r="Y30" s="52"/>
      <c r="Z30" s="52"/>
    </row>
    <row r="31" spans="1:26" x14ac:dyDescent="0.35">
      <c r="A31" s="52"/>
      <c r="B31" s="64"/>
      <c r="C31" s="91"/>
      <c r="D31" s="91"/>
      <c r="E31" s="91"/>
      <c r="F31" s="93"/>
      <c r="G31" s="93"/>
      <c r="H31" s="93"/>
      <c r="I31" s="52"/>
      <c r="J31" s="52"/>
      <c r="K31" s="52"/>
      <c r="L31" s="52"/>
      <c r="M31" s="52"/>
      <c r="N31" s="52"/>
      <c r="O31" s="52"/>
      <c r="P31" s="52"/>
      <c r="Q31" s="52"/>
      <c r="R31" s="52"/>
      <c r="S31" s="52"/>
      <c r="T31" s="52"/>
      <c r="U31" s="52"/>
      <c r="V31" s="52"/>
      <c r="W31" s="52"/>
      <c r="X31" s="52"/>
      <c r="Y31" s="52"/>
      <c r="Z31" s="52"/>
    </row>
    <row r="32" spans="1:26" x14ac:dyDescent="0.35">
      <c r="A32" s="52"/>
      <c r="B32" s="64"/>
      <c r="C32" s="91"/>
      <c r="D32" s="91"/>
      <c r="E32" s="91"/>
      <c r="F32" s="93"/>
      <c r="G32" s="93"/>
      <c r="H32" s="93"/>
      <c r="I32" s="52"/>
      <c r="J32" s="52"/>
      <c r="K32" s="52"/>
      <c r="L32" s="52"/>
      <c r="M32" s="52"/>
      <c r="N32" s="52"/>
      <c r="O32" s="52"/>
      <c r="P32" s="52"/>
      <c r="Q32" s="52"/>
      <c r="R32" s="52"/>
      <c r="S32" s="52"/>
      <c r="T32" s="52"/>
      <c r="U32" s="52"/>
      <c r="V32" s="52"/>
      <c r="W32" s="52"/>
      <c r="X32" s="52"/>
      <c r="Y32" s="52"/>
      <c r="Z32" s="52"/>
    </row>
    <row r="33" spans="1:26" x14ac:dyDescent="0.35">
      <c r="A33" s="52"/>
      <c r="B33" s="64"/>
      <c r="C33" s="91"/>
      <c r="D33" s="91"/>
      <c r="E33" s="91"/>
      <c r="F33" s="93"/>
      <c r="G33" s="93"/>
      <c r="H33" s="93"/>
      <c r="I33" s="52"/>
      <c r="J33" s="52"/>
      <c r="K33" s="52"/>
      <c r="L33" s="52"/>
      <c r="M33" s="52"/>
      <c r="N33" s="52"/>
      <c r="O33" s="52"/>
      <c r="P33" s="52"/>
      <c r="Q33" s="52"/>
      <c r="R33" s="52"/>
      <c r="S33" s="52"/>
      <c r="T33" s="52"/>
      <c r="U33" s="52"/>
      <c r="V33" s="52"/>
      <c r="W33" s="52"/>
      <c r="X33" s="52"/>
      <c r="Y33" s="52"/>
      <c r="Z33" s="52"/>
    </row>
    <row r="34" spans="1:26" x14ac:dyDescent="0.35">
      <c r="A34" s="52"/>
      <c r="B34" s="64"/>
      <c r="C34" s="91"/>
      <c r="D34" s="91"/>
      <c r="E34" s="91"/>
      <c r="F34" s="93"/>
      <c r="G34" s="93"/>
      <c r="H34" s="93"/>
      <c r="I34" s="52"/>
      <c r="J34" s="52"/>
      <c r="K34" s="52"/>
      <c r="L34" s="52"/>
      <c r="M34" s="52"/>
      <c r="N34" s="52"/>
      <c r="O34" s="52"/>
      <c r="P34" s="52"/>
      <c r="Q34" s="52"/>
      <c r="R34" s="52"/>
      <c r="S34" s="52"/>
      <c r="T34" s="52"/>
      <c r="U34" s="52"/>
      <c r="V34" s="52"/>
      <c r="W34" s="52"/>
      <c r="X34" s="52"/>
      <c r="Y34" s="52"/>
      <c r="Z34" s="52"/>
    </row>
    <row r="35" spans="1:26" x14ac:dyDescent="0.35">
      <c r="A35" s="52"/>
      <c r="B35" s="64" t="s">
        <v>242</v>
      </c>
      <c r="C35" s="91"/>
      <c r="D35" s="91"/>
      <c r="E35" s="91"/>
      <c r="F35" s="93"/>
      <c r="G35" s="93"/>
      <c r="H35" s="93"/>
      <c r="I35" s="52"/>
      <c r="J35" s="52"/>
      <c r="K35" s="52"/>
      <c r="L35" s="52"/>
      <c r="M35" s="52"/>
      <c r="N35" s="52"/>
      <c r="O35" s="52"/>
      <c r="P35" s="52"/>
      <c r="Q35" s="52"/>
      <c r="R35" s="52"/>
      <c r="S35" s="52"/>
      <c r="T35" s="52"/>
      <c r="U35" s="52"/>
      <c r="V35" s="52"/>
      <c r="W35" s="52"/>
      <c r="X35" s="52"/>
      <c r="Y35" s="52"/>
      <c r="Z35" s="52"/>
    </row>
    <row r="36" spans="1:26" x14ac:dyDescent="0.35">
      <c r="A36" s="52"/>
      <c r="B36" s="64"/>
      <c r="C36" s="91"/>
      <c r="D36" s="91"/>
      <c r="E36" s="91"/>
      <c r="F36" s="93"/>
      <c r="G36" s="93"/>
      <c r="H36" s="93"/>
      <c r="I36" s="52"/>
      <c r="J36" s="52"/>
      <c r="K36" s="52"/>
      <c r="L36" s="52"/>
      <c r="M36" s="52"/>
      <c r="N36" s="52"/>
      <c r="O36" s="52"/>
      <c r="P36" s="52"/>
      <c r="Q36" s="52"/>
      <c r="R36" s="52"/>
      <c r="S36" s="52"/>
      <c r="T36" s="52"/>
      <c r="U36" s="52"/>
      <c r="V36" s="52"/>
      <c r="W36" s="52"/>
      <c r="X36" s="52"/>
      <c r="Y36" s="52"/>
      <c r="Z36" s="52"/>
    </row>
    <row r="37" spans="1:26" x14ac:dyDescent="0.35">
      <c r="A37" s="52"/>
      <c r="B37" s="64"/>
      <c r="C37" s="91"/>
      <c r="D37" s="91"/>
      <c r="E37" s="91"/>
      <c r="F37" s="93"/>
      <c r="G37" s="93"/>
      <c r="H37" s="93"/>
      <c r="I37" s="52"/>
      <c r="J37" s="52"/>
      <c r="K37" s="52"/>
      <c r="L37" s="52"/>
      <c r="M37" s="52"/>
      <c r="N37" s="52"/>
      <c r="O37" s="52"/>
      <c r="P37" s="52"/>
      <c r="Q37" s="52"/>
      <c r="R37" s="52"/>
      <c r="S37" s="52"/>
      <c r="T37" s="52"/>
      <c r="U37" s="52"/>
      <c r="V37" s="52"/>
      <c r="W37" s="52"/>
      <c r="X37" s="52"/>
      <c r="Y37" s="52"/>
      <c r="Z37" s="52"/>
    </row>
    <row r="38" spans="1:26" x14ac:dyDescent="0.35">
      <c r="A38" s="52"/>
      <c r="B38" s="64"/>
      <c r="C38" s="91"/>
      <c r="D38" s="91"/>
      <c r="E38" s="91"/>
      <c r="F38" s="93"/>
      <c r="G38" s="93"/>
      <c r="H38" s="93"/>
      <c r="I38" s="52"/>
      <c r="J38" s="52"/>
      <c r="K38" s="52"/>
      <c r="L38" s="52"/>
      <c r="M38" s="52"/>
      <c r="N38" s="52"/>
      <c r="O38" s="52"/>
      <c r="P38" s="52"/>
      <c r="Q38" s="52"/>
      <c r="R38" s="52"/>
      <c r="S38" s="52"/>
      <c r="T38" s="52"/>
      <c r="U38" s="52"/>
      <c r="V38" s="52"/>
      <c r="W38" s="52"/>
      <c r="X38" s="52"/>
      <c r="Y38" s="52"/>
      <c r="Z38" s="52"/>
    </row>
    <row r="39" spans="1:26" x14ac:dyDescent="0.35">
      <c r="A39" s="52"/>
      <c r="B39" s="64"/>
      <c r="C39" s="91"/>
      <c r="D39" s="91"/>
      <c r="E39" s="91"/>
      <c r="F39" s="93"/>
      <c r="G39" s="93"/>
      <c r="H39" s="93"/>
      <c r="I39" s="52"/>
      <c r="J39" s="52"/>
      <c r="K39" s="52"/>
      <c r="L39" s="52"/>
      <c r="M39" s="52"/>
      <c r="N39" s="52"/>
      <c r="O39" s="52"/>
      <c r="P39" s="52"/>
      <c r="Q39" s="52"/>
      <c r="R39" s="52"/>
      <c r="S39" s="52"/>
      <c r="T39" s="52"/>
      <c r="U39" s="52"/>
      <c r="V39" s="52"/>
      <c r="W39" s="52"/>
      <c r="X39" s="52"/>
      <c r="Y39" s="52"/>
      <c r="Z39" s="52"/>
    </row>
    <row r="40" spans="1:26" x14ac:dyDescent="0.35">
      <c r="A40" s="52"/>
      <c r="B40" s="64"/>
      <c r="C40" s="91"/>
      <c r="D40" s="91"/>
      <c r="E40" s="91"/>
      <c r="F40" s="93"/>
      <c r="G40" s="93"/>
      <c r="H40" s="93"/>
      <c r="I40" s="52"/>
      <c r="J40" s="52"/>
      <c r="K40" s="52"/>
      <c r="L40" s="52"/>
      <c r="M40" s="52"/>
      <c r="N40" s="52"/>
      <c r="O40" s="52"/>
      <c r="P40" s="52"/>
      <c r="Q40" s="52"/>
      <c r="R40" s="52"/>
      <c r="S40" s="52"/>
      <c r="T40" s="52"/>
      <c r="U40" s="52"/>
      <c r="V40" s="52"/>
      <c r="W40" s="52"/>
      <c r="X40" s="52"/>
      <c r="Y40" s="52"/>
      <c r="Z40" s="52"/>
    </row>
    <row r="41" spans="1:26" x14ac:dyDescent="0.35">
      <c r="A41" s="52"/>
      <c r="B41" s="64"/>
      <c r="C41" s="91"/>
      <c r="D41" s="91"/>
      <c r="E41" s="91"/>
      <c r="F41" s="93"/>
      <c r="G41" s="93"/>
      <c r="H41" s="93"/>
      <c r="I41" s="52"/>
      <c r="J41" s="52"/>
      <c r="K41" s="52"/>
      <c r="L41" s="52"/>
      <c r="M41" s="52"/>
      <c r="N41" s="52"/>
      <c r="O41" s="52"/>
      <c r="P41" s="52"/>
      <c r="Q41" s="52"/>
      <c r="R41" s="52"/>
      <c r="S41" s="52"/>
      <c r="T41" s="52"/>
      <c r="U41" s="52"/>
      <c r="V41" s="52"/>
      <c r="W41" s="52"/>
      <c r="X41" s="52"/>
      <c r="Y41" s="52"/>
      <c r="Z41" s="52"/>
    </row>
    <row r="42" spans="1:26" x14ac:dyDescent="0.35">
      <c r="A42" s="52"/>
      <c r="B42" s="64"/>
      <c r="C42" s="91"/>
      <c r="D42" s="91"/>
      <c r="E42" s="91"/>
      <c r="F42" s="93"/>
      <c r="G42" s="93"/>
      <c r="H42" s="93"/>
      <c r="I42" s="52"/>
      <c r="J42" s="52"/>
      <c r="K42" s="52"/>
      <c r="L42" s="52"/>
      <c r="M42" s="52"/>
      <c r="N42" s="52"/>
      <c r="O42" s="52"/>
      <c r="P42" s="52"/>
      <c r="Q42" s="52"/>
      <c r="R42" s="52"/>
      <c r="S42" s="52"/>
      <c r="T42" s="52"/>
      <c r="U42" s="52"/>
      <c r="V42" s="52"/>
      <c r="W42" s="52"/>
      <c r="X42" s="52"/>
      <c r="Y42" s="52"/>
      <c r="Z42" s="52"/>
    </row>
    <row r="43" spans="1:26" x14ac:dyDescent="0.35">
      <c r="A43" s="52"/>
      <c r="B43" s="64"/>
      <c r="C43" s="91"/>
      <c r="D43" s="91"/>
      <c r="E43" s="91"/>
      <c r="F43" s="93"/>
      <c r="G43" s="93"/>
      <c r="H43" s="93"/>
      <c r="I43" s="52"/>
      <c r="J43" s="52"/>
      <c r="K43" s="52"/>
      <c r="L43" s="52"/>
      <c r="M43" s="52"/>
      <c r="N43" s="52"/>
      <c r="O43" s="52"/>
      <c r="P43" s="52"/>
      <c r="Q43" s="52"/>
      <c r="R43" s="52"/>
      <c r="S43" s="52"/>
      <c r="T43" s="52"/>
      <c r="U43" s="52"/>
      <c r="V43" s="52"/>
      <c r="W43" s="52"/>
      <c r="X43" s="52"/>
      <c r="Y43" s="52"/>
      <c r="Z43" s="52"/>
    </row>
    <row r="44" spans="1:26" x14ac:dyDescent="0.35">
      <c r="A44" s="52"/>
      <c r="B44" s="64"/>
      <c r="C44" s="91"/>
      <c r="D44" s="91"/>
      <c r="E44" s="91"/>
      <c r="F44" s="93"/>
      <c r="G44" s="93"/>
      <c r="H44" s="93"/>
      <c r="I44" s="52"/>
      <c r="J44" s="52"/>
      <c r="K44" s="52"/>
      <c r="L44" s="52"/>
      <c r="M44" s="52"/>
      <c r="N44" s="52"/>
      <c r="O44" s="52"/>
      <c r="P44" s="52"/>
      <c r="Q44" s="52"/>
      <c r="R44" s="52"/>
      <c r="S44" s="52"/>
      <c r="T44" s="52"/>
      <c r="U44" s="52"/>
      <c r="V44" s="52"/>
      <c r="W44" s="52"/>
      <c r="X44" s="52"/>
      <c r="Y44" s="52"/>
      <c r="Z44" s="52"/>
    </row>
    <row r="45" spans="1:26" x14ac:dyDescent="0.35">
      <c r="A45" s="52"/>
      <c r="B45" s="64"/>
      <c r="C45" s="91"/>
      <c r="D45" s="91"/>
      <c r="E45" s="91"/>
      <c r="F45" s="93"/>
      <c r="G45" s="93"/>
      <c r="H45" s="93"/>
      <c r="I45" s="52"/>
      <c r="J45" s="52"/>
      <c r="K45" s="52"/>
      <c r="L45" s="52"/>
      <c r="M45" s="52"/>
      <c r="N45" s="52"/>
      <c r="O45" s="52"/>
      <c r="P45" s="52"/>
      <c r="Q45" s="52"/>
      <c r="R45" s="52"/>
      <c r="S45" s="52"/>
      <c r="T45" s="52"/>
      <c r="U45" s="52"/>
      <c r="V45" s="52"/>
      <c r="W45" s="52"/>
      <c r="X45" s="52"/>
      <c r="Y45" s="52"/>
      <c r="Z45" s="52"/>
    </row>
    <row r="46" spans="1:26" x14ac:dyDescent="0.35">
      <c r="A46" s="52"/>
      <c r="B46" s="64"/>
      <c r="C46" s="91"/>
      <c r="D46" s="91"/>
      <c r="E46" s="91"/>
      <c r="F46" s="93"/>
      <c r="G46" s="93"/>
      <c r="H46" s="93"/>
      <c r="I46" s="52"/>
      <c r="J46" s="52"/>
      <c r="K46" s="52"/>
      <c r="L46" s="52"/>
      <c r="M46" s="52"/>
      <c r="N46" s="52"/>
      <c r="O46" s="52"/>
      <c r="P46" s="52"/>
      <c r="Q46" s="52"/>
      <c r="R46" s="52"/>
      <c r="S46" s="52"/>
      <c r="T46" s="52"/>
      <c r="U46" s="52"/>
      <c r="V46" s="52"/>
      <c r="W46" s="52"/>
      <c r="X46" s="52"/>
      <c r="Y46" s="52"/>
      <c r="Z46" s="52"/>
    </row>
    <row r="47" spans="1:26" x14ac:dyDescent="0.35">
      <c r="A47" s="52"/>
      <c r="B47" s="64"/>
      <c r="C47" s="91"/>
      <c r="D47" s="91"/>
      <c r="E47" s="91"/>
      <c r="F47" s="93"/>
      <c r="G47" s="93"/>
      <c r="H47" s="93"/>
      <c r="I47" s="52"/>
      <c r="J47" s="52"/>
      <c r="K47" s="52"/>
      <c r="L47" s="52"/>
      <c r="M47" s="52"/>
      <c r="N47" s="52"/>
      <c r="O47" s="52"/>
      <c r="P47" s="52"/>
      <c r="Q47" s="52"/>
      <c r="R47" s="52"/>
      <c r="S47" s="52"/>
      <c r="T47" s="52"/>
      <c r="U47" s="52"/>
      <c r="V47" s="52"/>
      <c r="W47" s="52"/>
      <c r="X47" s="52"/>
      <c r="Y47" s="52"/>
      <c r="Z47" s="52"/>
    </row>
    <row r="48" spans="1:26" x14ac:dyDescent="0.35">
      <c r="A48" s="52"/>
      <c r="B48" s="64"/>
      <c r="C48" s="91"/>
      <c r="D48" s="91"/>
      <c r="E48" s="91"/>
      <c r="F48" s="93"/>
      <c r="G48" s="93"/>
      <c r="H48" s="93"/>
      <c r="I48" s="52"/>
      <c r="J48" s="52"/>
      <c r="K48" s="52"/>
      <c r="L48" s="52"/>
      <c r="M48" s="52"/>
      <c r="N48" s="52"/>
      <c r="O48" s="52"/>
      <c r="P48" s="52"/>
      <c r="Q48" s="52"/>
      <c r="R48" s="52"/>
      <c r="S48" s="52"/>
      <c r="T48" s="52"/>
      <c r="U48" s="52"/>
      <c r="V48" s="52"/>
      <c r="W48" s="52"/>
      <c r="X48" s="52"/>
      <c r="Y48" s="52"/>
      <c r="Z48" s="52"/>
    </row>
    <row r="49" spans="1:26" x14ac:dyDescent="0.35">
      <c r="A49" s="52"/>
      <c r="B49" s="64"/>
      <c r="C49" s="91"/>
      <c r="D49" s="91"/>
      <c r="E49" s="91"/>
      <c r="F49" s="93"/>
      <c r="G49" s="93"/>
      <c r="H49" s="93"/>
      <c r="I49" s="52"/>
      <c r="J49" s="52"/>
      <c r="K49" s="52"/>
      <c r="L49" s="52"/>
      <c r="M49" s="52"/>
      <c r="N49" s="52"/>
      <c r="O49" s="52"/>
      <c r="P49" s="52"/>
      <c r="Q49" s="52"/>
      <c r="R49" s="52"/>
      <c r="S49" s="52"/>
      <c r="T49" s="52"/>
      <c r="U49" s="52"/>
      <c r="V49" s="52"/>
      <c r="W49" s="52"/>
      <c r="X49" s="52"/>
      <c r="Y49" s="52"/>
      <c r="Z49" s="52"/>
    </row>
    <row r="50" spans="1:26" x14ac:dyDescent="0.35">
      <c r="A50" s="52"/>
      <c r="B50" s="64"/>
      <c r="C50" s="91"/>
      <c r="D50" s="91"/>
      <c r="E50" s="91"/>
      <c r="F50" s="93"/>
      <c r="G50" s="93"/>
      <c r="H50" s="93"/>
      <c r="I50" s="52"/>
      <c r="J50" s="52"/>
      <c r="K50" s="52"/>
      <c r="L50" s="52"/>
      <c r="M50" s="52"/>
      <c r="N50" s="52"/>
      <c r="O50" s="52"/>
      <c r="P50" s="52"/>
      <c r="Q50" s="52"/>
      <c r="R50" s="52"/>
      <c r="S50" s="52"/>
      <c r="T50" s="52"/>
      <c r="U50" s="52"/>
      <c r="V50" s="52"/>
      <c r="W50" s="52"/>
      <c r="X50" s="52"/>
      <c r="Y50" s="52"/>
      <c r="Z50" s="52"/>
    </row>
    <row r="51" spans="1:26" x14ac:dyDescent="0.35">
      <c r="B51" s="49"/>
      <c r="C51" s="50"/>
      <c r="D51" s="50"/>
      <c r="E51" s="50"/>
      <c r="F51" s="92"/>
      <c r="G51" s="92"/>
      <c r="H51" s="92"/>
    </row>
    <row r="52" spans="1:26" x14ac:dyDescent="0.35">
      <c r="B52" s="49"/>
      <c r="C52" s="50"/>
      <c r="D52" s="50"/>
      <c r="E52" s="50"/>
      <c r="F52" s="92"/>
      <c r="G52" s="92"/>
      <c r="H52" s="92"/>
    </row>
    <row r="53" spans="1:26" x14ac:dyDescent="0.35">
      <c r="B53" s="49"/>
      <c r="C53" s="50"/>
      <c r="D53" s="50"/>
      <c r="E53" s="50"/>
      <c r="F53" s="92"/>
      <c r="G53" s="92"/>
      <c r="H53" s="92"/>
    </row>
    <row r="54" spans="1:26" x14ac:dyDescent="0.35">
      <c r="B54" s="49"/>
      <c r="C54" s="50"/>
      <c r="D54" s="50"/>
      <c r="E54" s="50"/>
      <c r="F54" s="92"/>
      <c r="G54" s="92"/>
      <c r="H54" s="92"/>
    </row>
    <row r="55" spans="1:26" x14ac:dyDescent="0.35">
      <c r="B55" s="49"/>
      <c r="C55" s="50"/>
      <c r="D55" s="50"/>
      <c r="E55" s="50"/>
      <c r="F55" s="92"/>
      <c r="G55" s="92"/>
      <c r="H55" s="92"/>
    </row>
    <row r="56" spans="1:26" x14ac:dyDescent="0.35">
      <c r="B56" s="49"/>
      <c r="C56" s="50"/>
      <c r="D56" s="50"/>
      <c r="E56" s="50"/>
      <c r="F56" s="92"/>
      <c r="G56" s="92"/>
      <c r="H56" s="92"/>
    </row>
    <row r="57" spans="1:26" x14ac:dyDescent="0.35">
      <c r="B57" s="49"/>
      <c r="C57" s="50"/>
      <c r="D57" s="50"/>
      <c r="E57" s="50"/>
      <c r="F57" s="92"/>
      <c r="G57" s="92"/>
      <c r="H57" s="92"/>
    </row>
    <row r="58" spans="1:26" x14ac:dyDescent="0.35">
      <c r="B58" s="49"/>
      <c r="C58" s="50"/>
      <c r="D58" s="50"/>
      <c r="E58" s="50"/>
      <c r="F58" s="92"/>
      <c r="G58" s="92"/>
      <c r="H58" s="92"/>
    </row>
    <row r="59" spans="1:26" x14ac:dyDescent="0.35">
      <c r="B59" s="49"/>
      <c r="C59" s="50"/>
      <c r="D59" s="50"/>
      <c r="E59" s="50"/>
      <c r="F59" s="92"/>
      <c r="G59" s="92"/>
      <c r="H59" s="92"/>
    </row>
    <row r="60" spans="1:26" x14ac:dyDescent="0.35">
      <c r="B60" s="49"/>
      <c r="C60" s="50"/>
      <c r="D60" s="50"/>
      <c r="E60" s="50"/>
      <c r="F60" s="92"/>
      <c r="G60" s="92"/>
      <c r="H60" s="92"/>
    </row>
    <row r="61" spans="1:26" x14ac:dyDescent="0.35">
      <c r="B61" s="49"/>
      <c r="C61" s="50"/>
      <c r="D61" s="50"/>
      <c r="E61" s="50"/>
      <c r="F61" s="92"/>
      <c r="G61" s="92"/>
      <c r="H61" s="92"/>
    </row>
    <row r="62" spans="1:26" x14ac:dyDescent="0.35">
      <c r="B62" s="49"/>
      <c r="C62" s="50"/>
      <c r="D62" s="50"/>
      <c r="E62" s="50"/>
      <c r="F62" s="92"/>
      <c r="G62" s="92"/>
      <c r="H62" s="92"/>
    </row>
    <row r="63" spans="1:26" x14ac:dyDescent="0.35">
      <c r="B63" s="49"/>
      <c r="C63" s="50"/>
      <c r="D63" s="50"/>
      <c r="E63" s="50"/>
      <c r="F63" s="92"/>
      <c r="G63" s="92"/>
      <c r="H63" s="92"/>
    </row>
    <row r="64" spans="1:26" x14ac:dyDescent="0.35">
      <c r="B64" s="49"/>
      <c r="C64" s="50"/>
      <c r="D64" s="50"/>
      <c r="E64" s="50"/>
      <c r="F64" s="92"/>
      <c r="G64" s="92"/>
      <c r="H64" s="92"/>
    </row>
    <row r="65" spans="2:8" x14ac:dyDescent="0.35">
      <c r="B65" s="49"/>
      <c r="C65" s="50"/>
      <c r="D65" s="50"/>
      <c r="E65" s="50"/>
      <c r="F65" s="92"/>
      <c r="G65" s="92"/>
      <c r="H65" s="92"/>
    </row>
    <row r="66" spans="2:8" x14ac:dyDescent="0.35">
      <c r="B66" s="49"/>
      <c r="C66" s="50"/>
      <c r="D66" s="50"/>
      <c r="E66" s="50"/>
      <c r="F66" s="92"/>
      <c r="G66" s="92"/>
      <c r="H66" s="92"/>
    </row>
    <row r="67" spans="2:8" x14ac:dyDescent="0.35">
      <c r="B67" s="49"/>
      <c r="C67" s="50"/>
      <c r="D67" s="50"/>
      <c r="E67" s="50"/>
      <c r="F67" s="92"/>
      <c r="G67" s="92"/>
      <c r="H67" s="92"/>
    </row>
    <row r="68" spans="2:8" x14ac:dyDescent="0.35">
      <c r="B68" s="49"/>
      <c r="C68" s="50"/>
      <c r="D68" s="50"/>
      <c r="E68" s="50"/>
      <c r="F68" s="92"/>
      <c r="G68" s="92"/>
      <c r="H68" s="92"/>
    </row>
    <row r="69" spans="2:8" x14ac:dyDescent="0.35">
      <c r="B69" s="49"/>
      <c r="C69" s="50"/>
      <c r="D69" s="50"/>
      <c r="E69" s="50"/>
      <c r="F69" s="92"/>
      <c r="G69" s="92"/>
      <c r="H69" s="92"/>
    </row>
    <row r="70" spans="2:8" x14ac:dyDescent="0.35">
      <c r="B70" s="49"/>
      <c r="C70" s="50"/>
      <c r="D70" s="50"/>
      <c r="E70" s="50"/>
      <c r="F70" s="92"/>
      <c r="G70" s="92"/>
      <c r="H70" s="92"/>
    </row>
    <row r="71" spans="2:8" x14ac:dyDescent="0.35">
      <c r="B71" s="49"/>
      <c r="C71" s="50"/>
      <c r="D71" s="50"/>
      <c r="E71" s="50"/>
      <c r="F71" s="92"/>
      <c r="G71" s="92"/>
      <c r="H71" s="92"/>
    </row>
    <row r="72" spans="2:8" x14ac:dyDescent="0.35">
      <c r="B72" s="49"/>
      <c r="C72" s="50"/>
      <c r="D72" s="50"/>
      <c r="E72" s="50"/>
      <c r="F72" s="92"/>
      <c r="G72" s="92"/>
      <c r="H72" s="92"/>
    </row>
    <row r="73" spans="2:8" x14ac:dyDescent="0.35">
      <c r="B73" s="49"/>
      <c r="C73" s="50"/>
      <c r="D73" s="50"/>
      <c r="E73" s="50"/>
      <c r="F73" s="92"/>
      <c r="G73" s="92"/>
      <c r="H73" s="92"/>
    </row>
    <row r="74" spans="2:8" x14ac:dyDescent="0.35">
      <c r="B74" s="49"/>
      <c r="C74" s="50"/>
      <c r="D74" s="50"/>
      <c r="E74" s="50"/>
      <c r="F74" s="92"/>
      <c r="G74" s="92"/>
      <c r="H74" s="92"/>
    </row>
    <row r="75" spans="2:8" x14ac:dyDescent="0.35">
      <c r="B75" s="49"/>
      <c r="C75" s="50"/>
      <c r="D75" s="50"/>
      <c r="E75" s="50"/>
      <c r="F75" s="92"/>
      <c r="G75" s="92"/>
      <c r="H75" s="92"/>
    </row>
    <row r="76" spans="2:8" x14ac:dyDescent="0.35">
      <c r="B76" s="49"/>
      <c r="C76" s="50"/>
      <c r="D76" s="50"/>
      <c r="E76" s="50"/>
      <c r="F76" s="92"/>
      <c r="G76" s="92"/>
      <c r="H76" s="92"/>
    </row>
    <row r="77" spans="2:8" x14ac:dyDescent="0.35">
      <c r="B77" s="49"/>
      <c r="C77" s="50"/>
      <c r="D77" s="50"/>
      <c r="E77" s="50"/>
      <c r="F77" s="92"/>
      <c r="G77" s="92"/>
      <c r="H77" s="92"/>
    </row>
    <row r="78" spans="2:8" x14ac:dyDescent="0.35">
      <c r="B78" s="49"/>
      <c r="C78" s="50"/>
      <c r="D78" s="50"/>
      <c r="E78" s="50"/>
      <c r="F78" s="92"/>
      <c r="G78" s="92"/>
      <c r="H78" s="92"/>
    </row>
    <row r="79" spans="2:8" x14ac:dyDescent="0.35">
      <c r="B79" s="49"/>
      <c r="C79" s="50"/>
      <c r="D79" s="50"/>
      <c r="E79" s="50"/>
      <c r="F79" s="92"/>
      <c r="G79" s="92"/>
      <c r="H79" s="92"/>
    </row>
    <row r="80" spans="2:8" x14ac:dyDescent="0.35">
      <c r="B80" s="49"/>
      <c r="C80" s="50"/>
      <c r="D80" s="50"/>
      <c r="E80" s="50"/>
      <c r="F80" s="92"/>
      <c r="G80" s="92"/>
      <c r="H80" s="92"/>
    </row>
    <row r="81" spans="2:8" x14ac:dyDescent="0.35">
      <c r="B81" s="49"/>
      <c r="C81" s="50"/>
      <c r="D81" s="50"/>
      <c r="E81" s="50"/>
      <c r="F81" s="92"/>
      <c r="G81" s="92"/>
      <c r="H81" s="92"/>
    </row>
    <row r="82" spans="2:8" x14ac:dyDescent="0.35">
      <c r="B82" s="49"/>
      <c r="C82" s="50"/>
      <c r="D82" s="50"/>
      <c r="E82" s="50"/>
      <c r="F82" s="92"/>
      <c r="G82" s="92"/>
      <c r="H82" s="92"/>
    </row>
    <row r="83" spans="2:8" x14ac:dyDescent="0.35">
      <c r="B83" s="49"/>
      <c r="C83" s="50"/>
      <c r="D83" s="50"/>
      <c r="E83" s="50"/>
      <c r="F83" s="92"/>
      <c r="G83" s="92"/>
      <c r="H83" s="92"/>
    </row>
    <row r="84" spans="2:8" x14ac:dyDescent="0.35">
      <c r="B84" s="49"/>
      <c r="C84" s="50"/>
      <c r="D84" s="50"/>
      <c r="E84" s="50"/>
      <c r="F84" s="92"/>
      <c r="G84" s="92"/>
      <c r="H84" s="92"/>
    </row>
    <row r="85" spans="2:8" x14ac:dyDescent="0.35">
      <c r="B85" s="49"/>
      <c r="C85" s="50"/>
      <c r="D85" s="50"/>
      <c r="E85" s="50"/>
      <c r="F85" s="92"/>
      <c r="G85" s="92"/>
      <c r="H85" s="92"/>
    </row>
    <row r="86" spans="2:8" x14ac:dyDescent="0.35">
      <c r="B86" s="49"/>
      <c r="C86" s="50"/>
      <c r="D86" s="50"/>
      <c r="E86" s="50"/>
      <c r="F86" s="92"/>
      <c r="G86" s="92"/>
      <c r="H86" s="92"/>
    </row>
    <row r="87" spans="2:8" x14ac:dyDescent="0.35">
      <c r="B87" s="49"/>
      <c r="C87" s="50"/>
      <c r="D87" s="50"/>
      <c r="E87" s="50"/>
      <c r="F87" s="92"/>
      <c r="G87" s="92"/>
      <c r="H87" s="92"/>
    </row>
    <row r="88" spans="2:8" x14ac:dyDescent="0.35">
      <c r="B88" s="49"/>
      <c r="C88" s="50"/>
      <c r="D88" s="50"/>
      <c r="E88" s="50"/>
      <c r="F88" s="92"/>
      <c r="G88" s="92"/>
      <c r="H88" s="92"/>
    </row>
    <row r="89" spans="2:8" x14ac:dyDescent="0.35">
      <c r="B89" s="49"/>
      <c r="C89" s="50"/>
      <c r="D89" s="50"/>
      <c r="E89" s="50"/>
      <c r="F89" s="92"/>
      <c r="G89" s="92"/>
      <c r="H89" s="92"/>
    </row>
    <row r="90" spans="2:8" x14ac:dyDescent="0.35">
      <c r="B90" s="49"/>
      <c r="C90" s="50"/>
      <c r="D90" s="50"/>
      <c r="E90" s="50"/>
      <c r="F90" s="92"/>
      <c r="G90" s="92"/>
      <c r="H90" s="92"/>
    </row>
    <row r="91" spans="2:8" x14ac:dyDescent="0.35">
      <c r="B91" s="49"/>
      <c r="C91" s="50"/>
      <c r="D91" s="50"/>
      <c r="E91" s="50"/>
      <c r="F91" s="92"/>
      <c r="G91" s="92"/>
      <c r="H91" s="92"/>
    </row>
    <row r="92" spans="2:8" x14ac:dyDescent="0.35">
      <c r="B92" s="49"/>
      <c r="C92" s="50"/>
      <c r="D92" s="50"/>
      <c r="E92" s="50"/>
      <c r="F92" s="92"/>
      <c r="G92" s="92"/>
      <c r="H92" s="92"/>
    </row>
    <row r="93" spans="2:8" x14ac:dyDescent="0.35">
      <c r="B93" s="49"/>
      <c r="C93" s="50"/>
      <c r="D93" s="50"/>
      <c r="E93" s="50"/>
      <c r="F93" s="92"/>
      <c r="G93" s="92"/>
      <c r="H93" s="92"/>
    </row>
    <row r="94" spans="2:8" x14ac:dyDescent="0.35">
      <c r="B94" s="49"/>
      <c r="C94" s="50"/>
      <c r="D94" s="50"/>
      <c r="E94" s="50"/>
      <c r="F94" s="92"/>
      <c r="G94" s="92"/>
      <c r="H94" s="92"/>
    </row>
    <row r="95" spans="2:8" x14ac:dyDescent="0.35">
      <c r="B95" s="49"/>
      <c r="C95" s="50"/>
      <c r="D95" s="50"/>
      <c r="E95" s="50"/>
      <c r="F95" s="92"/>
      <c r="G95" s="92"/>
      <c r="H95" s="92"/>
    </row>
    <row r="96" spans="2:8" x14ac:dyDescent="0.35">
      <c r="B96" s="49"/>
      <c r="C96" s="50"/>
      <c r="D96" s="50"/>
      <c r="E96" s="50"/>
      <c r="F96" s="92"/>
      <c r="G96" s="92"/>
      <c r="H96" s="92"/>
    </row>
    <row r="97" spans="2:8" x14ac:dyDescent="0.35">
      <c r="B97" s="49"/>
      <c r="C97" s="50"/>
      <c r="D97" s="50"/>
      <c r="E97" s="50"/>
      <c r="F97" s="92"/>
      <c r="G97" s="92"/>
      <c r="H97" s="92"/>
    </row>
    <row r="98" spans="2:8" x14ac:dyDescent="0.35">
      <c r="B98" s="49"/>
      <c r="C98" s="50"/>
      <c r="D98" s="50"/>
      <c r="E98" s="50"/>
      <c r="F98" s="92"/>
      <c r="G98" s="92"/>
      <c r="H98" s="92"/>
    </row>
    <row r="99" spans="2:8" x14ac:dyDescent="0.35">
      <c r="B99" s="49"/>
      <c r="C99" s="50"/>
      <c r="D99" s="50"/>
      <c r="E99" s="50"/>
      <c r="F99" s="92"/>
      <c r="G99" s="92"/>
      <c r="H99" s="92"/>
    </row>
    <row r="100" spans="2:8" x14ac:dyDescent="0.35">
      <c r="B100" s="49"/>
      <c r="C100" s="50"/>
      <c r="D100" s="50"/>
      <c r="E100" s="50"/>
      <c r="F100" s="92"/>
      <c r="G100" s="92"/>
      <c r="H100" s="92"/>
    </row>
    <row r="101" spans="2:8" x14ac:dyDescent="0.35">
      <c r="B101" s="49"/>
      <c r="C101" s="50"/>
      <c r="D101" s="50"/>
      <c r="E101" s="50"/>
      <c r="F101" s="92"/>
      <c r="G101" s="92"/>
      <c r="H101" s="92"/>
    </row>
    <row r="102" spans="2:8" x14ac:dyDescent="0.35">
      <c r="B102" s="49"/>
      <c r="C102" s="50"/>
      <c r="D102" s="50"/>
      <c r="E102" s="50"/>
      <c r="F102" s="92"/>
      <c r="G102" s="92"/>
      <c r="H102" s="92"/>
    </row>
    <row r="103" spans="2:8" x14ac:dyDescent="0.35">
      <c r="B103" s="49"/>
      <c r="C103" s="50"/>
      <c r="D103" s="50"/>
      <c r="E103" s="50"/>
      <c r="F103" s="92"/>
      <c r="G103" s="92"/>
      <c r="H103" s="92"/>
    </row>
    <row r="104" spans="2:8" x14ac:dyDescent="0.35">
      <c r="B104" s="49"/>
      <c r="C104" s="50"/>
      <c r="D104" s="50"/>
      <c r="E104" s="50"/>
      <c r="F104" s="92"/>
      <c r="G104" s="92"/>
      <c r="H104" s="92"/>
    </row>
    <row r="105" spans="2:8" x14ac:dyDescent="0.35">
      <c r="B105" s="49"/>
      <c r="C105" s="50"/>
      <c r="D105" s="50"/>
      <c r="E105" s="50"/>
      <c r="F105" s="92"/>
      <c r="G105" s="92"/>
      <c r="H105" s="92"/>
    </row>
    <row r="106" spans="2:8" x14ac:dyDescent="0.35">
      <c r="B106" s="49"/>
      <c r="C106" s="50"/>
      <c r="D106" s="50"/>
      <c r="E106" s="50"/>
      <c r="F106" s="92"/>
      <c r="G106" s="92"/>
      <c r="H106" s="92"/>
    </row>
    <row r="107" spans="2:8" x14ac:dyDescent="0.35">
      <c r="B107" s="49"/>
      <c r="C107" s="50"/>
      <c r="D107" s="50"/>
      <c r="E107" s="50"/>
      <c r="F107" s="92"/>
      <c r="G107" s="92"/>
      <c r="H107" s="92"/>
    </row>
    <row r="108" spans="2:8" x14ac:dyDescent="0.35">
      <c r="B108" s="49"/>
      <c r="C108" s="50"/>
      <c r="D108" s="50"/>
      <c r="E108" s="50"/>
      <c r="F108" s="92"/>
      <c r="G108" s="92"/>
      <c r="H108" s="92"/>
    </row>
    <row r="109" spans="2:8" x14ac:dyDescent="0.35">
      <c r="B109" s="49"/>
      <c r="C109" s="50"/>
      <c r="D109" s="50"/>
      <c r="E109" s="50"/>
      <c r="F109" s="92"/>
      <c r="G109" s="92"/>
      <c r="H109" s="92"/>
    </row>
    <row r="110" spans="2:8" x14ac:dyDescent="0.35">
      <c r="B110" s="49"/>
      <c r="C110" s="50"/>
      <c r="D110" s="50"/>
      <c r="E110" s="50"/>
      <c r="F110" s="92"/>
      <c r="G110" s="92"/>
      <c r="H110" s="92"/>
    </row>
    <row r="111" spans="2:8" x14ac:dyDescent="0.35">
      <c r="B111" s="49"/>
      <c r="C111" s="50"/>
      <c r="D111" s="50"/>
      <c r="E111" s="50"/>
      <c r="F111" s="92"/>
      <c r="G111" s="92"/>
      <c r="H111" s="92"/>
    </row>
    <row r="112" spans="2:8" x14ac:dyDescent="0.35">
      <c r="B112" s="49"/>
      <c r="C112" s="50"/>
      <c r="D112" s="50"/>
      <c r="E112" s="50"/>
      <c r="F112" s="92"/>
      <c r="G112" s="92"/>
      <c r="H112" s="92"/>
    </row>
    <row r="113" spans="2:8" x14ac:dyDescent="0.35">
      <c r="B113" s="49"/>
      <c r="C113" s="50"/>
      <c r="D113" s="50"/>
      <c r="E113" s="50"/>
      <c r="F113" s="92"/>
      <c r="G113" s="92"/>
      <c r="H113" s="92"/>
    </row>
    <row r="114" spans="2:8" x14ac:dyDescent="0.35">
      <c r="B114" s="49"/>
      <c r="C114" s="50"/>
      <c r="D114" s="50"/>
      <c r="E114" s="50"/>
      <c r="F114" s="92"/>
      <c r="G114" s="92"/>
      <c r="H114" s="92"/>
    </row>
    <row r="115" spans="2:8" x14ac:dyDescent="0.35">
      <c r="B115" s="49"/>
      <c r="C115" s="50"/>
      <c r="D115" s="50"/>
      <c r="E115" s="50"/>
      <c r="F115" s="92"/>
      <c r="G115" s="92"/>
      <c r="H115" s="92"/>
    </row>
    <row r="116" spans="2:8" x14ac:dyDescent="0.35">
      <c r="B116" s="49"/>
      <c r="C116" s="50"/>
      <c r="D116" s="50"/>
      <c r="E116" s="50"/>
      <c r="F116" s="92"/>
      <c r="G116" s="92"/>
      <c r="H116" s="92"/>
    </row>
    <row r="117" spans="2:8" x14ac:dyDescent="0.35">
      <c r="B117" s="49"/>
      <c r="C117" s="50"/>
      <c r="D117" s="50"/>
      <c r="E117" s="50"/>
      <c r="F117" s="92"/>
      <c r="G117" s="92"/>
      <c r="H117" s="92"/>
    </row>
    <row r="118" spans="2:8" x14ac:dyDescent="0.35">
      <c r="B118" s="49"/>
      <c r="C118" s="50"/>
      <c r="D118" s="50"/>
      <c r="E118" s="50"/>
      <c r="F118" s="92"/>
      <c r="G118" s="92"/>
      <c r="H118" s="92"/>
    </row>
    <row r="119" spans="2:8" x14ac:dyDescent="0.35">
      <c r="B119" s="49"/>
      <c r="C119" s="50"/>
      <c r="D119" s="50"/>
      <c r="E119" s="50"/>
      <c r="F119" s="92"/>
      <c r="G119" s="92"/>
      <c r="H119" s="92"/>
    </row>
    <row r="120" spans="2:8" x14ac:dyDescent="0.35">
      <c r="B120" s="49"/>
      <c r="C120" s="50"/>
      <c r="D120" s="50"/>
      <c r="E120" s="50"/>
      <c r="F120" s="92"/>
      <c r="G120" s="92"/>
      <c r="H120" s="92"/>
    </row>
    <row r="121" spans="2:8" x14ac:dyDescent="0.35">
      <c r="B121" s="49"/>
      <c r="C121" s="50"/>
      <c r="D121" s="50"/>
      <c r="E121" s="50"/>
      <c r="F121" s="92"/>
      <c r="G121" s="92"/>
      <c r="H121" s="92"/>
    </row>
    <row r="122" spans="2:8" x14ac:dyDescent="0.35">
      <c r="B122" s="49"/>
      <c r="C122" s="50"/>
      <c r="D122" s="50"/>
      <c r="E122" s="50"/>
      <c r="F122" s="92"/>
      <c r="G122" s="92"/>
      <c r="H122" s="92"/>
    </row>
    <row r="123" spans="2:8" x14ac:dyDescent="0.35">
      <c r="B123" s="49"/>
      <c r="C123" s="50"/>
      <c r="D123" s="50"/>
      <c r="E123" s="50"/>
      <c r="F123" s="92"/>
      <c r="G123" s="92"/>
      <c r="H123" s="92"/>
    </row>
    <row r="124" spans="2:8" x14ac:dyDescent="0.35">
      <c r="B124" s="49"/>
      <c r="C124" s="50"/>
      <c r="D124" s="50"/>
      <c r="E124" s="50"/>
      <c r="F124" s="92"/>
      <c r="G124" s="92"/>
      <c r="H124" s="92"/>
    </row>
    <row r="125" spans="2:8" x14ac:dyDescent="0.35">
      <c r="B125" s="49"/>
      <c r="C125" s="50"/>
      <c r="D125" s="50"/>
      <c r="E125" s="50"/>
      <c r="F125" s="92"/>
      <c r="G125" s="92"/>
      <c r="H125" s="92"/>
    </row>
    <row r="126" spans="2:8" x14ac:dyDescent="0.35">
      <c r="B126" s="49"/>
      <c r="C126" s="50"/>
      <c r="D126" s="50"/>
      <c r="E126" s="50"/>
      <c r="F126" s="92"/>
      <c r="G126" s="92"/>
      <c r="H126" s="92"/>
    </row>
    <row r="127" spans="2:8" x14ac:dyDescent="0.35">
      <c r="B127" s="49"/>
      <c r="C127" s="50"/>
      <c r="D127" s="50"/>
      <c r="E127" s="50"/>
      <c r="F127" s="92"/>
      <c r="G127" s="92"/>
      <c r="H127" s="92"/>
    </row>
    <row r="128" spans="2:8" x14ac:dyDescent="0.35">
      <c r="B128" s="49"/>
      <c r="C128" s="50"/>
      <c r="D128" s="50"/>
      <c r="E128" s="50"/>
      <c r="F128" s="92"/>
      <c r="G128" s="92"/>
      <c r="H128" s="92"/>
    </row>
    <row r="129" spans="2:8" x14ac:dyDescent="0.35">
      <c r="B129" s="49"/>
      <c r="C129" s="50"/>
      <c r="D129" s="50"/>
      <c r="E129" s="50"/>
      <c r="F129" s="92"/>
      <c r="G129" s="92"/>
      <c r="H129" s="92"/>
    </row>
    <row r="130" spans="2:8" x14ac:dyDescent="0.35">
      <c r="B130" s="49"/>
      <c r="C130" s="50"/>
      <c r="D130" s="50"/>
      <c r="E130" s="50"/>
      <c r="F130" s="92"/>
      <c r="G130" s="92"/>
      <c r="H130" s="92"/>
    </row>
    <row r="131" spans="2:8" x14ac:dyDescent="0.35">
      <c r="B131" s="49"/>
      <c r="C131" s="50"/>
      <c r="D131" s="50"/>
      <c r="E131" s="50"/>
    </row>
    <row r="132" spans="2:8" x14ac:dyDescent="0.35">
      <c r="B132" s="49"/>
      <c r="C132" s="50"/>
      <c r="D132" s="50"/>
      <c r="E132" s="50"/>
    </row>
    <row r="133" spans="2:8" x14ac:dyDescent="0.35">
      <c r="B133" s="49"/>
      <c r="C133" s="50"/>
      <c r="D133" s="50"/>
      <c r="E133" s="50"/>
    </row>
  </sheetData>
  <sheetProtection algorithmName="SHA-512" hashValue="McZ2mEM3YJnanhmceCw4plgjedBHeElb4CPbIHWXhRquPwNA4Et0R3yjwYxPNFfvKASB34VFhydMelh6qhMZZA==" saltValue="HtjuP7cK98vWlv6iC/JKvA==" spinCount="100000" sheet="1" objects="1" scenarios="1" selectLockedCells="1"/>
  <mergeCells count="110">
    <mergeCell ref="F27:H27"/>
    <mergeCell ref="F28:H28"/>
    <mergeCell ref="F29:H29"/>
    <mergeCell ref="F30:H30"/>
    <mergeCell ref="F31:H31"/>
    <mergeCell ref="F32:H32"/>
    <mergeCell ref="F21:H21"/>
    <mergeCell ref="F22:H22"/>
    <mergeCell ref="F23:H23"/>
    <mergeCell ref="F24:H24"/>
    <mergeCell ref="F25:H25"/>
    <mergeCell ref="F26:H26"/>
    <mergeCell ref="F39:H39"/>
    <mergeCell ref="F40:H40"/>
    <mergeCell ref="F41:H41"/>
    <mergeCell ref="F42:H42"/>
    <mergeCell ref="F43:H43"/>
    <mergeCell ref="F44:H44"/>
    <mergeCell ref="F33:H33"/>
    <mergeCell ref="F34:H34"/>
    <mergeCell ref="F35:H35"/>
    <mergeCell ref="F36:H36"/>
    <mergeCell ref="F37:H37"/>
    <mergeCell ref="F38:H38"/>
    <mergeCell ref="F51:H51"/>
    <mergeCell ref="F52:H52"/>
    <mergeCell ref="F53:H53"/>
    <mergeCell ref="F54:H54"/>
    <mergeCell ref="F55:H55"/>
    <mergeCell ref="F56:H56"/>
    <mergeCell ref="F45:H45"/>
    <mergeCell ref="F46:H46"/>
    <mergeCell ref="F47:H47"/>
    <mergeCell ref="F48:H48"/>
    <mergeCell ref="F49:H49"/>
    <mergeCell ref="F50:H50"/>
    <mergeCell ref="F63:H63"/>
    <mergeCell ref="F64:H64"/>
    <mergeCell ref="F65:H65"/>
    <mergeCell ref="F66:H66"/>
    <mergeCell ref="F67:H67"/>
    <mergeCell ref="F68:H68"/>
    <mergeCell ref="F57:H57"/>
    <mergeCell ref="F58:H58"/>
    <mergeCell ref="F59:H59"/>
    <mergeCell ref="F60:H60"/>
    <mergeCell ref="F61:H61"/>
    <mergeCell ref="F62:H62"/>
    <mergeCell ref="F75:H75"/>
    <mergeCell ref="F76:H76"/>
    <mergeCell ref="F77:H77"/>
    <mergeCell ref="F78:H78"/>
    <mergeCell ref="F79:H79"/>
    <mergeCell ref="F80:H80"/>
    <mergeCell ref="F69:H69"/>
    <mergeCell ref="F70:H70"/>
    <mergeCell ref="F71:H71"/>
    <mergeCell ref="F72:H72"/>
    <mergeCell ref="F73:H73"/>
    <mergeCell ref="F74:H74"/>
    <mergeCell ref="F87:H87"/>
    <mergeCell ref="F88:H88"/>
    <mergeCell ref="F89:H89"/>
    <mergeCell ref="F90:H90"/>
    <mergeCell ref="F91:H91"/>
    <mergeCell ref="F92:H92"/>
    <mergeCell ref="F81:H81"/>
    <mergeCell ref="F82:H82"/>
    <mergeCell ref="F83:H83"/>
    <mergeCell ref="F84:H84"/>
    <mergeCell ref="F85:H85"/>
    <mergeCell ref="F86:H86"/>
    <mergeCell ref="F99:H99"/>
    <mergeCell ref="F100:H100"/>
    <mergeCell ref="F101:H101"/>
    <mergeCell ref="F102:H102"/>
    <mergeCell ref="F103:H103"/>
    <mergeCell ref="F104:H104"/>
    <mergeCell ref="F93:H93"/>
    <mergeCell ref="F94:H94"/>
    <mergeCell ref="F95:H95"/>
    <mergeCell ref="F96:H96"/>
    <mergeCell ref="F97:H97"/>
    <mergeCell ref="F98:H98"/>
    <mergeCell ref="F111:H111"/>
    <mergeCell ref="F112:H112"/>
    <mergeCell ref="F113:H113"/>
    <mergeCell ref="F114:H114"/>
    <mergeCell ref="F115:H115"/>
    <mergeCell ref="F116:H116"/>
    <mergeCell ref="F105:H105"/>
    <mergeCell ref="F106:H106"/>
    <mergeCell ref="F107:H107"/>
    <mergeCell ref="F108:H108"/>
    <mergeCell ref="F109:H109"/>
    <mergeCell ref="F110:H110"/>
    <mergeCell ref="F129:H129"/>
    <mergeCell ref="F130:H130"/>
    <mergeCell ref="F123:H123"/>
    <mergeCell ref="F124:H124"/>
    <mergeCell ref="F125:H125"/>
    <mergeCell ref="F126:H126"/>
    <mergeCell ref="F127:H127"/>
    <mergeCell ref="F128:H128"/>
    <mergeCell ref="F117:H117"/>
    <mergeCell ref="F118:H118"/>
    <mergeCell ref="F119:H119"/>
    <mergeCell ref="F120:H120"/>
    <mergeCell ref="F121:H121"/>
    <mergeCell ref="F122:H122"/>
  </mergeCells>
  <conditionalFormatting sqref="A1:XFD1048576">
    <cfRule type="expression" dxfId="49" priority="2">
      <formula>$E$4="Excel version: Invalid"</formula>
    </cfRule>
    <cfRule type="expression" dxfId="48" priority="3" stopIfTrue="1">
      <formula>$F$4="Error: Please use Office 2021 desktop version or newer"</formula>
    </cfRule>
  </conditionalFormatting>
  <conditionalFormatting sqref="B21:F21">
    <cfRule type="expression" dxfId="47" priority="1" stopIfTrue="1">
      <formula>$F$21&lt;&gt;""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405EF-8D0F-4F0F-A02A-9927E0154A7D}">
  <sheetPr>
    <tabColor rgb="FF4FADEA"/>
  </sheetPr>
  <dimension ref="A3:H29"/>
  <sheetViews>
    <sheetView workbookViewId="0">
      <selection activeCell="C1" sqref="C1"/>
    </sheetView>
  </sheetViews>
  <sheetFormatPr defaultColWidth="11" defaultRowHeight="8.25" x14ac:dyDescent="0.15"/>
  <cols>
    <col min="1" max="1" width="6.625" style="36" bestFit="1" customWidth="1"/>
    <col min="2" max="2" width="32.5" style="36" bestFit="1" customWidth="1"/>
    <col min="3" max="3" width="6.625" style="36" bestFit="1" customWidth="1"/>
    <col min="4" max="4" width="16.75" style="36" bestFit="1" customWidth="1"/>
    <col min="5" max="5" width="18" style="36" bestFit="1" customWidth="1"/>
    <col min="6" max="6" width="6.75" style="36" bestFit="1" customWidth="1"/>
    <col min="7" max="7" width="19.625" style="36" bestFit="1" customWidth="1"/>
    <col min="8" max="8" width="53.625" style="36" bestFit="1" customWidth="1"/>
    <col min="9" max="16384" width="11" style="36"/>
  </cols>
  <sheetData>
    <row r="3" spans="1:8" x14ac:dyDescent="0.15">
      <c r="A3" s="43">
        <v>1</v>
      </c>
      <c r="B3" s="43">
        <v>1</v>
      </c>
      <c r="C3" s="43">
        <v>1</v>
      </c>
      <c r="D3" s="43">
        <v>1</v>
      </c>
      <c r="E3" s="43">
        <v>1</v>
      </c>
      <c r="F3" s="43">
        <v>1</v>
      </c>
      <c r="G3" s="43">
        <v>1</v>
      </c>
      <c r="H3" s="43">
        <v>1</v>
      </c>
    </row>
    <row r="4" spans="1:8" x14ac:dyDescent="0.15">
      <c r="A4" s="36">
        <v>1</v>
      </c>
      <c r="B4" s="36">
        <v>1</v>
      </c>
      <c r="C4" s="36">
        <v>1</v>
      </c>
      <c r="D4" s="36">
        <v>1</v>
      </c>
      <c r="E4" s="36">
        <v>1</v>
      </c>
      <c r="F4" s="37">
        <v>1</v>
      </c>
      <c r="G4" s="44">
        <v>1</v>
      </c>
      <c r="H4" s="45">
        <v>1</v>
      </c>
    </row>
    <row r="5" spans="1:8" x14ac:dyDescent="0.15">
      <c r="A5" s="36">
        <v>1</v>
      </c>
      <c r="B5" s="36">
        <v>1</v>
      </c>
      <c r="C5" s="36">
        <v>1</v>
      </c>
      <c r="D5" s="36">
        <v>1</v>
      </c>
      <c r="E5" s="36">
        <v>1</v>
      </c>
      <c r="F5" s="37">
        <v>1</v>
      </c>
      <c r="G5" s="44">
        <v>1</v>
      </c>
      <c r="H5" s="45">
        <v>0</v>
      </c>
    </row>
    <row r="6" spans="1:8" x14ac:dyDescent="0.15">
      <c r="A6" s="36">
        <v>1</v>
      </c>
      <c r="B6" s="36">
        <v>1</v>
      </c>
      <c r="C6" s="36">
        <v>1</v>
      </c>
      <c r="D6" s="36">
        <v>1</v>
      </c>
      <c r="E6" s="36">
        <v>1</v>
      </c>
      <c r="F6" s="37">
        <v>1</v>
      </c>
      <c r="G6" s="44">
        <v>1</v>
      </c>
      <c r="H6" s="45">
        <v>0</v>
      </c>
    </row>
    <row r="7" spans="1:8" x14ac:dyDescent="0.15">
      <c r="A7" s="36">
        <v>1</v>
      </c>
      <c r="B7" s="36">
        <v>1</v>
      </c>
      <c r="C7" s="36">
        <v>1</v>
      </c>
      <c r="D7" s="36">
        <v>1</v>
      </c>
      <c r="E7" s="36">
        <v>1</v>
      </c>
      <c r="F7" s="36">
        <v>1</v>
      </c>
      <c r="G7" s="44">
        <v>1</v>
      </c>
      <c r="H7" s="45">
        <v>0</v>
      </c>
    </row>
    <row r="8" spans="1:8" x14ac:dyDescent="0.15">
      <c r="A8" s="36">
        <v>1</v>
      </c>
      <c r="B8" s="36">
        <v>1</v>
      </c>
      <c r="C8" s="36">
        <v>1</v>
      </c>
      <c r="D8" s="36">
        <v>1</v>
      </c>
      <c r="E8" s="36">
        <v>1</v>
      </c>
      <c r="F8" s="36">
        <v>1</v>
      </c>
      <c r="G8" s="44">
        <v>1</v>
      </c>
      <c r="H8" s="45">
        <v>0</v>
      </c>
    </row>
    <row r="9" spans="1:8" x14ac:dyDescent="0.15">
      <c r="A9" s="36">
        <v>1</v>
      </c>
      <c r="B9" s="36">
        <v>1</v>
      </c>
      <c r="C9" s="36">
        <v>1</v>
      </c>
      <c r="D9" s="36">
        <v>1</v>
      </c>
      <c r="E9" s="36">
        <v>1</v>
      </c>
      <c r="F9" s="36">
        <v>1</v>
      </c>
      <c r="G9" s="44">
        <v>1</v>
      </c>
      <c r="H9" s="45">
        <v>0</v>
      </c>
    </row>
    <row r="10" spans="1:8" x14ac:dyDescent="0.15">
      <c r="A10" s="36">
        <v>1</v>
      </c>
      <c r="B10" s="36">
        <v>1</v>
      </c>
      <c r="C10" s="36">
        <v>1</v>
      </c>
      <c r="D10" s="36">
        <v>1</v>
      </c>
      <c r="E10" s="36">
        <v>1</v>
      </c>
      <c r="F10" s="36">
        <v>1</v>
      </c>
      <c r="G10" s="44">
        <v>1</v>
      </c>
      <c r="H10" s="45">
        <v>0</v>
      </c>
    </row>
    <row r="11" spans="1:8" x14ac:dyDescent="0.15">
      <c r="A11" s="36">
        <v>1</v>
      </c>
      <c r="B11" s="36">
        <v>1</v>
      </c>
      <c r="C11" s="36">
        <v>1</v>
      </c>
      <c r="D11" s="36">
        <v>1</v>
      </c>
      <c r="E11" s="36">
        <v>1</v>
      </c>
      <c r="F11" s="36">
        <v>1</v>
      </c>
      <c r="G11" s="44">
        <v>1</v>
      </c>
      <c r="H11" s="45">
        <v>0</v>
      </c>
    </row>
    <row r="12" spans="1:8" x14ac:dyDescent="0.15">
      <c r="A12" s="36">
        <v>1</v>
      </c>
      <c r="B12" s="36">
        <v>1</v>
      </c>
      <c r="C12" s="36">
        <v>1</v>
      </c>
      <c r="D12" s="36">
        <v>1</v>
      </c>
      <c r="E12" s="36">
        <v>1</v>
      </c>
      <c r="F12" s="36">
        <v>1</v>
      </c>
      <c r="G12" s="44">
        <v>1</v>
      </c>
      <c r="H12" s="45">
        <v>0</v>
      </c>
    </row>
    <row r="13" spans="1:8" x14ac:dyDescent="0.15">
      <c r="A13" s="36">
        <v>1</v>
      </c>
      <c r="B13" s="36">
        <v>1</v>
      </c>
      <c r="C13" s="36">
        <v>1</v>
      </c>
      <c r="D13" s="36">
        <v>1</v>
      </c>
      <c r="E13" s="36">
        <v>1</v>
      </c>
      <c r="F13" s="36">
        <v>1</v>
      </c>
      <c r="G13" s="44">
        <v>1</v>
      </c>
      <c r="H13" s="45">
        <v>0</v>
      </c>
    </row>
    <row r="14" spans="1:8" x14ac:dyDescent="0.15">
      <c r="A14" s="36">
        <v>1</v>
      </c>
      <c r="B14" s="36">
        <v>1</v>
      </c>
      <c r="C14" s="36">
        <v>1</v>
      </c>
      <c r="D14" s="36">
        <v>1</v>
      </c>
      <c r="E14" s="36">
        <v>1</v>
      </c>
      <c r="F14" s="36">
        <v>1</v>
      </c>
      <c r="G14" s="44">
        <v>1</v>
      </c>
      <c r="H14" s="45">
        <v>0</v>
      </c>
    </row>
    <row r="15" spans="1:8" x14ac:dyDescent="0.15">
      <c r="A15" s="36">
        <v>1</v>
      </c>
      <c r="B15" s="36">
        <v>1</v>
      </c>
      <c r="C15" s="36">
        <v>1</v>
      </c>
      <c r="D15" s="36">
        <v>1</v>
      </c>
      <c r="E15" s="36">
        <v>1</v>
      </c>
      <c r="F15" s="36">
        <v>1</v>
      </c>
      <c r="G15" s="44">
        <v>1</v>
      </c>
      <c r="H15" s="45">
        <v>0</v>
      </c>
    </row>
    <row r="16" spans="1:8" x14ac:dyDescent="0.15">
      <c r="A16" s="36">
        <v>1</v>
      </c>
      <c r="B16" s="36">
        <v>1</v>
      </c>
      <c r="C16" s="36">
        <v>1</v>
      </c>
      <c r="D16" s="36">
        <v>1</v>
      </c>
      <c r="E16" s="36">
        <v>1</v>
      </c>
      <c r="F16" s="36">
        <v>1</v>
      </c>
      <c r="G16" s="44">
        <v>1</v>
      </c>
      <c r="H16" s="45">
        <v>0</v>
      </c>
    </row>
    <row r="17" spans="1:8" x14ac:dyDescent="0.15">
      <c r="A17" s="36">
        <v>1</v>
      </c>
      <c r="B17" s="36">
        <v>1</v>
      </c>
      <c r="C17" s="36">
        <v>1</v>
      </c>
      <c r="D17" s="36">
        <v>1</v>
      </c>
      <c r="E17" s="36">
        <v>1</v>
      </c>
      <c r="F17" s="36">
        <v>1</v>
      </c>
      <c r="G17" s="44">
        <v>1</v>
      </c>
      <c r="H17" s="45">
        <v>0</v>
      </c>
    </row>
    <row r="18" spans="1:8" x14ac:dyDescent="0.15">
      <c r="A18" s="36">
        <v>1</v>
      </c>
      <c r="B18" s="36">
        <v>1</v>
      </c>
      <c r="C18" s="36">
        <v>1</v>
      </c>
      <c r="D18" s="36">
        <v>1</v>
      </c>
      <c r="E18" s="36">
        <v>1</v>
      </c>
      <c r="F18" s="36">
        <v>1</v>
      </c>
      <c r="G18" s="44">
        <v>1</v>
      </c>
      <c r="H18" s="45">
        <v>0</v>
      </c>
    </row>
    <row r="19" spans="1:8" x14ac:dyDescent="0.15">
      <c r="A19" s="36">
        <v>1</v>
      </c>
      <c r="B19" s="36">
        <v>1</v>
      </c>
      <c r="C19" s="36">
        <v>1</v>
      </c>
      <c r="D19" s="36">
        <v>1</v>
      </c>
      <c r="E19" s="36">
        <v>1</v>
      </c>
      <c r="F19" s="36">
        <v>1</v>
      </c>
      <c r="G19" s="44">
        <v>1</v>
      </c>
      <c r="H19" s="45">
        <v>0</v>
      </c>
    </row>
    <row r="20" spans="1:8" x14ac:dyDescent="0.15">
      <c r="A20" s="36">
        <v>1</v>
      </c>
      <c r="B20" s="36">
        <v>1</v>
      </c>
      <c r="C20" s="36">
        <v>1</v>
      </c>
      <c r="D20" s="36">
        <v>1</v>
      </c>
      <c r="E20" s="36">
        <v>1</v>
      </c>
      <c r="F20" s="36">
        <v>1</v>
      </c>
      <c r="G20" s="44">
        <v>1</v>
      </c>
      <c r="H20" s="45">
        <v>0</v>
      </c>
    </row>
    <row r="21" spans="1:8" x14ac:dyDescent="0.15">
      <c r="A21" s="36">
        <v>1</v>
      </c>
      <c r="B21" s="36">
        <v>1</v>
      </c>
      <c r="C21" s="36">
        <v>1</v>
      </c>
      <c r="D21" s="36">
        <v>1</v>
      </c>
      <c r="E21" s="36">
        <v>1</v>
      </c>
      <c r="F21" s="36">
        <v>1</v>
      </c>
      <c r="G21" s="44">
        <v>1</v>
      </c>
      <c r="H21" s="45">
        <v>0</v>
      </c>
    </row>
    <row r="22" spans="1:8" x14ac:dyDescent="0.15">
      <c r="A22" s="36">
        <v>1</v>
      </c>
      <c r="B22" s="36">
        <v>1</v>
      </c>
      <c r="C22" s="36">
        <v>1</v>
      </c>
      <c r="D22" s="36">
        <v>1</v>
      </c>
      <c r="E22" s="36">
        <v>1</v>
      </c>
      <c r="F22" s="36">
        <v>1</v>
      </c>
      <c r="G22" s="44">
        <v>1</v>
      </c>
      <c r="H22" s="45">
        <v>0</v>
      </c>
    </row>
    <row r="23" spans="1:8" x14ac:dyDescent="0.15">
      <c r="A23" s="36">
        <v>1</v>
      </c>
      <c r="B23" s="36">
        <v>1</v>
      </c>
      <c r="C23" s="36">
        <v>1</v>
      </c>
      <c r="D23" s="36">
        <v>1</v>
      </c>
      <c r="E23" s="36">
        <v>1</v>
      </c>
      <c r="F23" s="36">
        <v>1</v>
      </c>
      <c r="G23" s="44">
        <v>1</v>
      </c>
      <c r="H23" s="45">
        <v>0</v>
      </c>
    </row>
    <row r="24" spans="1:8" x14ac:dyDescent="0.15">
      <c r="A24" s="36">
        <v>1</v>
      </c>
      <c r="B24" s="36">
        <v>1</v>
      </c>
      <c r="C24" s="36">
        <v>1</v>
      </c>
      <c r="D24" s="36">
        <v>1</v>
      </c>
      <c r="E24" s="36">
        <v>1</v>
      </c>
      <c r="F24" s="36">
        <v>1</v>
      </c>
      <c r="G24" s="44">
        <v>0</v>
      </c>
      <c r="H24" s="45">
        <v>0</v>
      </c>
    </row>
    <row r="25" spans="1:8" x14ac:dyDescent="0.15">
      <c r="A25" s="36">
        <v>1</v>
      </c>
      <c r="B25" s="36">
        <v>1</v>
      </c>
      <c r="C25" s="36">
        <v>1</v>
      </c>
      <c r="D25" s="36">
        <v>1</v>
      </c>
      <c r="E25" s="36">
        <v>1</v>
      </c>
      <c r="F25" s="36">
        <v>1</v>
      </c>
      <c r="G25" s="44">
        <v>1</v>
      </c>
      <c r="H25" s="45">
        <v>0</v>
      </c>
    </row>
    <row r="26" spans="1:8" x14ac:dyDescent="0.15">
      <c r="A26" s="36">
        <v>1</v>
      </c>
      <c r="B26" s="36">
        <v>1</v>
      </c>
      <c r="C26" s="36">
        <v>1</v>
      </c>
      <c r="D26" s="36">
        <v>1</v>
      </c>
      <c r="E26" s="36">
        <v>1</v>
      </c>
      <c r="F26" s="36">
        <v>1</v>
      </c>
      <c r="G26" s="44">
        <v>1</v>
      </c>
      <c r="H26" s="45">
        <v>0</v>
      </c>
    </row>
    <row r="27" spans="1:8" x14ac:dyDescent="0.15">
      <c r="A27" s="36">
        <v>1</v>
      </c>
      <c r="B27" s="36">
        <v>1</v>
      </c>
      <c r="C27" s="36">
        <v>1</v>
      </c>
      <c r="D27" s="36">
        <v>1</v>
      </c>
      <c r="E27" s="36">
        <v>1</v>
      </c>
      <c r="F27" s="36">
        <v>1</v>
      </c>
      <c r="G27" s="44">
        <v>1</v>
      </c>
      <c r="H27" s="45">
        <v>0</v>
      </c>
    </row>
    <row r="28" spans="1:8" x14ac:dyDescent="0.15">
      <c r="A28" s="36">
        <v>0</v>
      </c>
      <c r="B28" s="36">
        <v>0</v>
      </c>
      <c r="C28" s="36">
        <v>0</v>
      </c>
      <c r="D28" s="36">
        <v>0</v>
      </c>
      <c r="E28" s="36">
        <v>0</v>
      </c>
      <c r="F28" s="36">
        <v>0</v>
      </c>
      <c r="G28" s="44">
        <v>0</v>
      </c>
      <c r="H28" s="45">
        <v>0</v>
      </c>
    </row>
    <row r="29" spans="1:8" x14ac:dyDescent="0.15">
      <c r="F29"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D8ED-0971-4F2F-98FB-97D1996CD9E3}">
  <sheetPr>
    <tabColor rgb="FF4FADEA"/>
  </sheetPr>
  <dimension ref="A1:I29"/>
  <sheetViews>
    <sheetView workbookViewId="0">
      <selection activeCell="A3" sqref="A3"/>
    </sheetView>
  </sheetViews>
  <sheetFormatPr defaultColWidth="11" defaultRowHeight="8.25" x14ac:dyDescent="0.15"/>
  <cols>
    <col min="1" max="1" width="6.5" style="36" bestFit="1" customWidth="1"/>
    <col min="2" max="2" width="32.375" style="36" bestFit="1" customWidth="1"/>
    <col min="3" max="3" width="6.5" style="36" bestFit="1" customWidth="1"/>
    <col min="4" max="4" width="16.625" style="36" bestFit="1" customWidth="1"/>
    <col min="5" max="5" width="17.875" style="36" bestFit="1" customWidth="1"/>
    <col min="6" max="6" width="6.625" style="36" bestFit="1" customWidth="1"/>
    <col min="7" max="7" width="19.5" style="36" bestFit="1" customWidth="1"/>
    <col min="8" max="8" width="25.375" style="36" bestFit="1" customWidth="1"/>
    <col min="9" max="16384" width="11" style="36"/>
  </cols>
  <sheetData>
    <row r="1" spans="1:9" x14ac:dyDescent="0.15">
      <c r="I1" s="36" t="s">
        <v>235</v>
      </c>
    </row>
    <row r="2" spans="1:9" x14ac:dyDescent="0.15">
      <c r="A2" s="36">
        <f ca="1">IF(Sheet1!$D$2="DRAGGING CELLS IS NOT PERMITTED. PLEASE UNDO LAST ACTION!!",0,IF(Sheet1!$P$1&lt;&gt;"Feedback OFF",IF(Scoreboard!$F$21="",IFERROR(IF(B2=0,C2,IF(C2/B2&gt;=Scoreboard!$F$19,C2,"")),""),0),0))</f>
        <v>0</v>
      </c>
      <c r="B2" s="36">
        <f>SUMIF(Sheet1PT!A3:$AL$27,"&gt;0")</f>
        <v>176</v>
      </c>
      <c r="C2" s="36">
        <f ca="1">SUMIFS(Sheet1PT!A3:$AL$27, Sheet1PT!A3:$AL$27, "&gt;0", Sheet1SC!A3:$AL$27, "PerfectMsg")+ABS(SUMIFS(Sheet1PT!A3:$AL$27, Sheet1PT!A3:$AL$27, "&lt;0", Sheet1SC!A3:$AL$27, "PerfectMsg"))</f>
        <v>0</v>
      </c>
    </row>
    <row r="3" spans="1:9" x14ac:dyDescent="0.15">
      <c r="A3" s="43" t="str">
        <f ca="1">_xlfn.IFS(ISBLANK(Sheet1!A3),"",IF(NOT(ISNA('#_Sheet1'!A3)),IF(ISNA(Sheet1!A3),TRUE,FALSE),FALSE),"StuNAMsg",IF(AND(ISNA('#_Sheet1'!A3),ISNA(Sheet1!A3)),TRUE,FALSE),"PerfectMsg",IF(NOT(ISERROR('#_Sheet1'!A3)),IF(ISERROR(Sheet1!A3),TRUE,FALSE),FALSE),"StuErrorMsg",IF(TYPE('#_Sheet1'!A3)&lt;&gt;TYPE(Sheet1!A3),TRUE,FALSE),"WrongTypeMsg",IF(ISNUMBER('#_Sheet1'!A3),IF(ABS('#_Sheet1'!A3-Sheet1!A3)&gt;0.00001,TRUE,FALSE),IF('#_Sheet1'!A3&lt;&gt;Sheet1!A3,TRUE,FALSE)),IF(ISNUMBER('#_Sheet1'!A3),IF('#_Sheet1'!A3&gt;Sheet1!A3,"TooLow","TooHigh"),"WrongAnswer"),NOT(_xlfn.ISFORMULA('#_Sheet1'!A3)),IF(_xlfn.IFS(ISTEXT('#_Sheet1'!A3),FALSE,ISLOGICAL('#_Sheet1'!A3),FALSE,SUBSTITUTE(CELL("format",'#_Sheet1'!A3),"-","")=SUBSTITUTE(CELL("format",Sheet1!A3),"-",""),FALSE,CELL("format",'#_Sheet1'!A3)="G",FALSE,AND(CELL("format",'#_Sheet1'!A3)="F0",CELL("format",Sheet1!A3)="G"),FALSE,TRUE,IFERROR(IF(MATCH(CELL("format",'#_Sheet1'!A3),FormatCodesSFX!$A$4:$A$53,0)&gt;0,TRUE),FALSE),TRUE,TRUE),"FormatMsg","PerfectMsg"),_xlfn.IFS(ISTEXT('#_Sheet1'!A3),FALSE,ISLOGICAL('#_Sheet1'!A3),FALSE,SUBSTITUTE(CELL("format",'#_Sheet1'!A3),"-","")=SUBSTITUTE(CELL("format",Sheet1!A3),"-",""),FALSE,CELL("format",'#_Sheet1'!A3)="G",FALSE,AND(CELL("format",'#_Sheet1'!A3)="F0",CELL("format",Sheet1!A3)="G"),FALSE,TRUE,IFERROR(IF(MATCH(CELL("format",'#_Sheet1'!A3),FormatCodesSFX!$A$4:$A$53,0)&gt;0,TRUE),FALSE),TRUE,TRUE),"FormatMsg",TRUE,"PerfectMsg")</f>
        <v/>
      </c>
      <c r="B3" s="43" t="str">
        <f ca="1">_xlfn.IFS(ISBLANK(Sheet1!B3),"",IF(NOT(ISNA('#_Sheet1'!B3)),IF(ISNA(Sheet1!B3),TRUE,FALSE),FALSE),"StuNAMsg",IF(AND(ISNA('#_Sheet1'!B3),ISNA(Sheet1!B3)),TRUE,FALSE),"PerfectMsg",IF(NOT(ISERROR('#_Sheet1'!B3)),IF(ISERROR(Sheet1!B3),TRUE,FALSE),FALSE),"StuErrorMsg",IF(TYPE('#_Sheet1'!B3)&lt;&gt;TYPE(Sheet1!B3),TRUE,FALSE),"WrongTypeMsg",IF(ISNUMBER('#_Sheet1'!B3),IF(ABS('#_Sheet1'!B3-Sheet1!B3)&gt;0.00001,TRUE,FALSE),IF('#_Sheet1'!B3&lt;&gt;Sheet1!B3,TRUE,FALSE)),IF(ISNUMBER('#_Sheet1'!B3),IF('#_Sheet1'!B3&gt;Sheet1!B3,"TooLow","TooHigh"),"WrongAnswer"),NOT(_xlfn.ISFORMULA('#_Sheet1'!B3)),IF(_xlfn.IFS(ISTEXT('#_Sheet1'!B3),FALSE,ISLOGICAL('#_Sheet1'!B3),FALSE,SUBSTITUTE(CELL("format",'#_Sheet1'!B3),"-","")=SUBSTITUTE(CELL("format",Sheet1!B3),"-",""),FALSE,CELL("format",'#_Sheet1'!B3)="G",FALSE,AND(CELL("format",'#_Sheet1'!B3)="F0",CELL("format",Sheet1!B3)="G"),FALSE,TRUE,IFERROR(IF(MATCH(CELL("format",'#_Sheet1'!B3),FormatCodesSFX!$A$4:$A$53,0)&gt;0,TRUE),FALSE),TRUE,TRUE),"FormatMsg","PerfectMsg"),_xlfn.IFS(ISTEXT('#_Sheet1'!B3),FALSE,ISLOGICAL('#_Sheet1'!B3),FALSE,SUBSTITUTE(CELL("format",'#_Sheet1'!B3),"-","")=SUBSTITUTE(CELL("format",Sheet1!B3),"-",""),FALSE,CELL("format",'#_Sheet1'!B3)="G",FALSE,AND(CELL("format",'#_Sheet1'!B3)="F0",CELL("format",Sheet1!B3)="G"),FALSE,TRUE,IFERROR(IF(MATCH(CELL("format",'#_Sheet1'!B3),FormatCodesSFX!$A$4:$A$53,0)&gt;0,TRUE),FALSE),TRUE,TRUE),"FormatMsg",TRUE,"PerfectMsg")</f>
        <v/>
      </c>
      <c r="C3" s="43" t="str">
        <f ca="1">_xlfn.IFS(ISBLANK(Sheet1!C3),"",IF(NOT(ISNA('#_Sheet1'!C3)),IF(ISNA(Sheet1!C3),TRUE,FALSE),FALSE),"StuNAMsg",IF(AND(ISNA('#_Sheet1'!C3),ISNA(Sheet1!C3)),TRUE,FALSE),"PerfectMsg",IF(NOT(ISERROR('#_Sheet1'!C3)),IF(ISERROR(Sheet1!C3),TRUE,FALSE),FALSE),"StuErrorMsg",IF(TYPE('#_Sheet1'!C3)&lt;&gt;TYPE(Sheet1!C3),TRUE,FALSE),"WrongTypeMsg",IF(ISNUMBER('#_Sheet1'!C3),IF(ABS('#_Sheet1'!C3-Sheet1!C3)&gt;0.00001,TRUE,FALSE),IF('#_Sheet1'!C3&lt;&gt;Sheet1!C3,TRUE,FALSE)),IF(ISNUMBER('#_Sheet1'!C3),IF('#_Sheet1'!C3&gt;Sheet1!C3,"TooLow","TooHigh"),"WrongAnswer"),NOT(_xlfn.ISFORMULA('#_Sheet1'!C3)),IF(_xlfn.IFS(ISTEXT('#_Sheet1'!C3),FALSE,ISLOGICAL('#_Sheet1'!C3),FALSE,SUBSTITUTE(CELL("format",'#_Sheet1'!C3),"-","")=SUBSTITUTE(CELL("format",Sheet1!C3),"-",""),FALSE,CELL("format",'#_Sheet1'!C3)="G",FALSE,AND(CELL("format",'#_Sheet1'!C3)="F0",CELL("format",Sheet1!C3)="G"),FALSE,TRUE,IFERROR(IF(MATCH(CELL("format",'#_Sheet1'!C3),FormatCodesSFX!$A$4:$A$53,0)&gt;0,TRUE),FALSE),TRUE,TRUE),"FormatMsg","PerfectMsg"),_xlfn.IFS(ISTEXT('#_Sheet1'!C3),FALSE,ISLOGICAL('#_Sheet1'!C3),FALSE,SUBSTITUTE(CELL("format",'#_Sheet1'!C3),"-","")=SUBSTITUTE(CELL("format",Sheet1!C3),"-",""),FALSE,CELL("format",'#_Sheet1'!C3)="G",FALSE,AND(CELL("format",'#_Sheet1'!C3)="F0",CELL("format",Sheet1!C3)="G"),FALSE,TRUE,IFERROR(IF(MATCH(CELL("format",'#_Sheet1'!C3),FormatCodesSFX!$A$4:$A$53,0)&gt;0,TRUE),FALSE),TRUE,TRUE),"FormatMsg",TRUE,"PerfectMsg")</f>
        <v/>
      </c>
      <c r="D3" s="43" t="str">
        <f ca="1">_xlfn.IFS(ISBLANK(Sheet1!D3),"",IF(NOT(ISNA('#_Sheet1'!D3)),IF(ISNA(Sheet1!D3),TRUE,FALSE),FALSE),"StuNAMsg",IF(AND(ISNA('#_Sheet1'!D3),ISNA(Sheet1!D3)),TRUE,FALSE),"PerfectMsg",IF(NOT(ISERROR('#_Sheet1'!D3)),IF(ISERROR(Sheet1!D3),TRUE,FALSE),FALSE),"StuErrorMsg",IF(TYPE('#_Sheet1'!D3)&lt;&gt;TYPE(Sheet1!D3),TRUE,FALSE),"WrongTypeMsg",IF(ISNUMBER('#_Sheet1'!D3),IF(ABS('#_Sheet1'!D3-Sheet1!D3)&gt;0.00001,TRUE,FALSE),IF('#_Sheet1'!D3&lt;&gt;Sheet1!D3,TRUE,FALSE)),IF(ISNUMBER('#_Sheet1'!D3),IF('#_Sheet1'!D3&gt;Sheet1!D3,"TooLow","TooHigh"),"WrongAnswer"),NOT(_xlfn.ISFORMULA('#_Sheet1'!D3)),IF(_xlfn.IFS(ISTEXT('#_Sheet1'!D3),FALSE,ISLOGICAL('#_Sheet1'!D3),FALSE,SUBSTITUTE(CELL("format",'#_Sheet1'!D3),"-","")=SUBSTITUTE(CELL("format",Sheet1!D3),"-",""),FALSE,CELL("format",'#_Sheet1'!D3)="G",FALSE,AND(CELL("format",'#_Sheet1'!D3)="F0",CELL("format",Sheet1!D3)="G"),FALSE,TRUE,IFERROR(IF(MATCH(CELL("format",'#_Sheet1'!D3),FormatCodesSFX!$A$4:$A$53,0)&gt;0,TRUE),FALSE),TRUE,TRUE),"FormatMsg","PerfectMsg"),_xlfn.IFS(ISTEXT('#_Sheet1'!D3),FALSE,ISLOGICAL('#_Sheet1'!D3),FALSE,SUBSTITUTE(CELL("format",'#_Sheet1'!D3),"-","")=SUBSTITUTE(CELL("format",Sheet1!D3),"-",""),FALSE,CELL("format",'#_Sheet1'!D3)="G",FALSE,AND(CELL("format",'#_Sheet1'!D3)="F0",CELL("format",Sheet1!D3)="G"),FALSE,TRUE,IFERROR(IF(MATCH(CELL("format",'#_Sheet1'!D3),FormatCodesSFX!$A$4:$A$53,0)&gt;0,TRUE),FALSE),TRUE,TRUE),"FormatMsg",TRUE,"PerfectMsg")</f>
        <v/>
      </c>
      <c r="E3" s="43" t="str">
        <f ca="1">_xlfn.IFS(ISBLANK(Sheet1!E3),"",IF(NOT(ISNA('#_Sheet1'!E3)),IF(ISNA(Sheet1!E3),TRUE,FALSE),FALSE),"StuNAMsg",IF(AND(ISNA('#_Sheet1'!E3),ISNA(Sheet1!E3)),TRUE,FALSE),"PerfectMsg",IF(NOT(ISERROR('#_Sheet1'!E3)),IF(ISERROR(Sheet1!E3),TRUE,FALSE),FALSE),"StuErrorMsg",IF(TYPE('#_Sheet1'!E3)&lt;&gt;TYPE(Sheet1!E3),TRUE,FALSE),"WrongTypeMsg",IF(ISNUMBER('#_Sheet1'!E3),IF(ABS('#_Sheet1'!E3-Sheet1!E3)&gt;0.00001,TRUE,FALSE),IF('#_Sheet1'!E3&lt;&gt;Sheet1!E3,TRUE,FALSE)),IF(ISNUMBER('#_Sheet1'!E3),IF('#_Sheet1'!E3&gt;Sheet1!E3,"TooLow","TooHigh"),"WrongAnswer"),NOT(_xlfn.ISFORMULA('#_Sheet1'!E3)),IF(_xlfn.IFS(ISTEXT('#_Sheet1'!E3),FALSE,ISLOGICAL('#_Sheet1'!E3),FALSE,SUBSTITUTE(CELL("format",'#_Sheet1'!E3),"-","")=SUBSTITUTE(CELL("format",Sheet1!E3),"-",""),FALSE,CELL("format",'#_Sheet1'!E3)="G",FALSE,AND(CELL("format",'#_Sheet1'!E3)="F0",CELL("format",Sheet1!E3)="G"),FALSE,TRUE,IFERROR(IF(MATCH(CELL("format",'#_Sheet1'!E3),FormatCodesSFX!$A$4:$A$53,0)&gt;0,TRUE),FALSE),TRUE,TRUE),"FormatMsg","PerfectMsg"),_xlfn.IFS(ISTEXT('#_Sheet1'!E3),FALSE,ISLOGICAL('#_Sheet1'!E3),FALSE,SUBSTITUTE(CELL("format",'#_Sheet1'!E3),"-","")=SUBSTITUTE(CELL("format",Sheet1!E3),"-",""),FALSE,CELL("format",'#_Sheet1'!E3)="G",FALSE,AND(CELL("format",'#_Sheet1'!E3)="F0",CELL("format",Sheet1!E3)="G"),FALSE,TRUE,IFERROR(IF(MATCH(CELL("format",'#_Sheet1'!E3),FormatCodesSFX!$A$4:$A$53,0)&gt;0,TRUE),FALSE),TRUE,TRUE),"FormatMsg",TRUE,"PerfectMsg")</f>
        <v/>
      </c>
      <c r="F3" s="43" t="str">
        <f ca="1">_xlfn.IFS(ISBLANK(Sheet1!F3),"",IF(NOT(ISNA('#_Sheet1'!F3)),IF(ISNA(Sheet1!F3),TRUE,FALSE),FALSE),"StuNAMsg",IF(AND(ISNA('#_Sheet1'!F3),ISNA(Sheet1!F3)),TRUE,FALSE),"PerfectMsg",IF(NOT(ISERROR('#_Sheet1'!F3)),IF(ISERROR(Sheet1!F3),TRUE,FALSE),FALSE),"StuErrorMsg",IF(TYPE('#_Sheet1'!F3)&lt;&gt;TYPE(Sheet1!F3),TRUE,FALSE),"WrongTypeMsg",IF(ISNUMBER('#_Sheet1'!F3),IF(ABS('#_Sheet1'!F3-Sheet1!F3)&gt;0.00001,TRUE,FALSE),IF('#_Sheet1'!F3&lt;&gt;Sheet1!F3,TRUE,FALSE)),IF(ISNUMBER('#_Sheet1'!F3),IF('#_Sheet1'!F3&gt;Sheet1!F3,"TooLow","TooHigh"),"WrongAnswer"),NOT(_xlfn.ISFORMULA('#_Sheet1'!F3)),IF(_xlfn.IFS(ISTEXT('#_Sheet1'!F3),FALSE,ISLOGICAL('#_Sheet1'!F3),FALSE,SUBSTITUTE(CELL("format",'#_Sheet1'!F3),"-","")=SUBSTITUTE(CELL("format",Sheet1!F3),"-",""),FALSE,CELL("format",'#_Sheet1'!F3)="G",FALSE,AND(CELL("format",'#_Sheet1'!F3)="F0",CELL("format",Sheet1!F3)="G"),FALSE,TRUE,IFERROR(IF(MATCH(CELL("format",'#_Sheet1'!F3),FormatCodesSFX!$A$4:$A$53,0)&gt;0,TRUE),FALSE),TRUE,TRUE),"FormatMsg","PerfectMsg"),_xlfn.IFS(ISTEXT('#_Sheet1'!F3),FALSE,ISLOGICAL('#_Sheet1'!F3),FALSE,SUBSTITUTE(CELL("format",'#_Sheet1'!F3),"-","")=SUBSTITUTE(CELL("format",Sheet1!F3),"-",""),FALSE,CELL("format",'#_Sheet1'!F3)="G",FALSE,AND(CELL("format",'#_Sheet1'!F3)="F0",CELL("format",Sheet1!F3)="G"),FALSE,TRUE,IFERROR(IF(MATCH(CELL("format",'#_Sheet1'!F3),FormatCodesSFX!$A$4:$A$53,0)&gt;0,TRUE),FALSE),TRUE,TRUE),"FormatMsg",TRUE,"PerfectMsg")</f>
        <v/>
      </c>
      <c r="G3" s="43" t="str">
        <f ca="1">_xlfn.IFS(ISBLANK(Sheet1!G3),"",IF(NOT(ISNA('#_Sheet1'!G3)),IF(ISNA(Sheet1!G3),TRUE,FALSE),FALSE),"StuNAMsg",IF(AND(ISNA('#_Sheet1'!G3),ISNA(Sheet1!G3)),TRUE,FALSE),"PerfectMsg",IF(NOT(ISERROR('#_Sheet1'!G3)),IF(ISERROR(Sheet1!G3),TRUE,FALSE),FALSE),"StuErrorMsg",IF(TYPE('#_Sheet1'!G3)&lt;&gt;TYPE(Sheet1!G3),TRUE,FALSE),"WrongTypeMsg",IF(ISNUMBER('#_Sheet1'!G3),IF(ABS('#_Sheet1'!G3-Sheet1!G3)&gt;0.00001,TRUE,FALSE),IF('#_Sheet1'!G3&lt;&gt;Sheet1!G3,TRUE,FALSE)),IF(ISNUMBER('#_Sheet1'!G3),IF('#_Sheet1'!G3&gt;Sheet1!G3,"TooLow","TooHigh"),"WrongAnswer"),NOT(_xlfn.ISFORMULA('#_Sheet1'!G3)),IF(_xlfn.IFS(ISTEXT('#_Sheet1'!G3),FALSE,ISLOGICAL('#_Sheet1'!G3),FALSE,SUBSTITUTE(CELL("format",'#_Sheet1'!G3),"-","")=SUBSTITUTE(CELL("format",Sheet1!G3),"-",""),FALSE,CELL("format",'#_Sheet1'!G3)="G",FALSE,AND(CELL("format",'#_Sheet1'!G3)="F0",CELL("format",Sheet1!G3)="G"),FALSE,TRUE,IFERROR(IF(MATCH(CELL("format",'#_Sheet1'!G3),FormatCodesSFX!$A$4:$A$53,0)&gt;0,TRUE),FALSE),TRUE,TRUE),"FormatMsg","PerfectMsg"),_xlfn.IFS(ISTEXT('#_Sheet1'!G3),FALSE,ISLOGICAL('#_Sheet1'!G3),FALSE,SUBSTITUTE(CELL("format",'#_Sheet1'!G3),"-","")=SUBSTITUTE(CELL("format",Sheet1!G3),"-",""),FALSE,CELL("format",'#_Sheet1'!G3)="G",FALSE,AND(CELL("format",'#_Sheet1'!G3)="F0",CELL("format",Sheet1!G3)="G"),FALSE,TRUE,IFERROR(IF(MATCH(CELL("format",'#_Sheet1'!G3),FormatCodesSFX!$A$4:$A$53,0)&gt;0,TRUE),FALSE),TRUE,TRUE),"FormatMsg",TRUE,"PerfectMsg")</f>
        <v/>
      </c>
      <c r="H3" s="43" t="str">
        <f ca="1">_xlfn.IFS(ISBLANK(Sheet1!H3),"",IF(NOT(ISNA('#_Sheet1'!H3)),IF(ISNA(Sheet1!H3),TRUE,FALSE),FALSE),"StuNAMsg",IF(AND(ISNA('#_Sheet1'!H3),ISNA(Sheet1!H3)),TRUE,FALSE),"PerfectMsg",IF(NOT(ISERROR('#_Sheet1'!H3)),IF(ISERROR(Sheet1!H3),TRUE,FALSE),FALSE),"StuErrorMsg",IF(TYPE('#_Sheet1'!H3)&lt;&gt;TYPE(Sheet1!H3),TRUE,FALSE),"WrongTypeMsg",IF(ISNUMBER('#_Sheet1'!H3),IF(ABS('#_Sheet1'!H3-Sheet1!H3)&gt;0.00001,TRUE,FALSE),IF('#_Sheet1'!H3&lt;&gt;Sheet1!H3,TRUE,FALSE)),IF(ISNUMBER('#_Sheet1'!H3),IF('#_Sheet1'!H3&gt;Sheet1!H3,"TooLow","TooHigh"),"WrongAnswer"),NOT(_xlfn.ISFORMULA('#_Sheet1'!H3)),IF(_xlfn.IFS(ISTEXT('#_Sheet1'!H3),FALSE,ISLOGICAL('#_Sheet1'!H3),FALSE,SUBSTITUTE(CELL("format",'#_Sheet1'!H3),"-","")=SUBSTITUTE(CELL("format",Sheet1!H3),"-",""),FALSE,CELL("format",'#_Sheet1'!H3)="G",FALSE,AND(CELL("format",'#_Sheet1'!H3)="F0",CELL("format",Sheet1!H3)="G"),FALSE,TRUE,IFERROR(IF(MATCH(CELL("format",'#_Sheet1'!H3),FormatCodesSFX!$A$4:$A$53,0)&gt;0,TRUE),FALSE),TRUE,TRUE),"FormatMsg","PerfectMsg"),_xlfn.IFS(ISTEXT('#_Sheet1'!H3),FALSE,ISLOGICAL('#_Sheet1'!H3),FALSE,SUBSTITUTE(CELL("format",'#_Sheet1'!H3),"-","")=SUBSTITUTE(CELL("format",Sheet1!H3),"-",""),FALSE,CELL("format",'#_Sheet1'!H3)="G",FALSE,AND(CELL("format",'#_Sheet1'!H3)="F0",CELL("format",Sheet1!H3)="G"),FALSE,TRUE,IFERROR(IF(MATCH(CELL("format",'#_Sheet1'!H3),FormatCodesSFX!$A$4:$A$53,0)&gt;0,TRUE),FALSE),TRUE,TRUE),"FormatMsg",TRUE,"PerfectMsg")</f>
        <v/>
      </c>
    </row>
    <row r="4" spans="1:9" x14ac:dyDescent="0.15">
      <c r="A4" s="36" t="str">
        <f ca="1">_xlfn.IFS(ISBLANK(Sheet1!A4),"",IF(NOT(ISNA('#_Sheet1'!A4)),IF(ISNA(Sheet1!A4),TRUE,FALSE),FALSE),"StuNAMsg",IF(AND(ISNA('#_Sheet1'!A4),ISNA(Sheet1!A4)),TRUE,FALSE),"PerfectMsg",IF(NOT(ISERROR('#_Sheet1'!A4)),IF(ISERROR(Sheet1!A4),TRUE,FALSE),FALSE),"StuErrorMsg",IF(TYPE('#_Sheet1'!A4)&lt;&gt;TYPE(Sheet1!A4),TRUE,FALSE),"WrongTypeMsg",IF(ISNUMBER('#_Sheet1'!A4),IF(ABS('#_Sheet1'!A4-Sheet1!A4)&gt;0.00001,TRUE,FALSE),IF('#_Sheet1'!A4&lt;&gt;Sheet1!A4,TRUE,FALSE)),IF(ISNUMBER('#_Sheet1'!A4),IF('#_Sheet1'!A4&gt;Sheet1!A4,"TooLow","TooHigh"),"WrongAnswer"),NOT(_xlfn.ISFORMULA('#_Sheet1'!A4)),IF(_xlfn.IFS(ISTEXT('#_Sheet1'!A4),FALSE,ISLOGICAL('#_Sheet1'!A4),FALSE,SUBSTITUTE(CELL("format",'#_Sheet1'!A4),"-","")=SUBSTITUTE(CELL("format",Sheet1!A4),"-",""),FALSE,CELL("format",'#_Sheet1'!A4)="G",FALSE,AND(CELL("format",'#_Sheet1'!A4)="F0",CELL("format",Sheet1!A4)="G"),FALSE,TRUE,IFERROR(IF(MATCH(CELL("format",'#_Sheet1'!A4),FormatCodesSFX!$A$4:$A$53,0)&gt;0,TRUE),FALSE),TRUE,TRUE),"FormatMsg","PerfectMsg"),_xlfn.IFS(ISTEXT('#_Sheet1'!A4),FALSE,ISLOGICAL('#_Sheet1'!A4),FALSE,SUBSTITUTE(CELL("format",'#_Sheet1'!A4),"-","")=SUBSTITUTE(CELL("format",Sheet1!A4),"-",""),FALSE,CELL("format",'#_Sheet1'!A4)="G",FALSE,AND(CELL("format",'#_Sheet1'!A4)="F0",CELL("format",Sheet1!A4)="G"),FALSE,TRUE,IFERROR(IF(MATCH(CELL("format",'#_Sheet1'!A4),FormatCodesSFX!$A$4:$A$53,0)&gt;0,TRUE),FALSE),TRUE,TRUE),"FormatMsg",TRUE,"PerfectMsg")</f>
        <v/>
      </c>
      <c r="B4" s="36" t="str">
        <f ca="1">_xlfn.IFS(ISBLANK(Sheet1!B4),"",IF(NOT(ISNA('#_Sheet1'!B4)),IF(ISNA(Sheet1!B4),TRUE,FALSE),FALSE),"StuNAMsg",IF(AND(ISNA('#_Sheet1'!B4),ISNA(Sheet1!B4)),TRUE,FALSE),"PerfectMsg",IF(NOT(ISERROR('#_Sheet1'!B4)),IF(ISERROR(Sheet1!B4),TRUE,FALSE),FALSE),"StuErrorMsg",IF(TYPE('#_Sheet1'!B4)&lt;&gt;TYPE(Sheet1!B4),TRUE,FALSE),"WrongTypeMsg",IF(ISNUMBER('#_Sheet1'!B4),IF(ABS('#_Sheet1'!B4-Sheet1!B4)&gt;0.00001,TRUE,FALSE),IF('#_Sheet1'!B4&lt;&gt;Sheet1!B4,TRUE,FALSE)),IF(ISNUMBER('#_Sheet1'!B4),IF('#_Sheet1'!B4&gt;Sheet1!B4,"TooLow","TooHigh"),"WrongAnswer"),NOT(_xlfn.ISFORMULA('#_Sheet1'!B4)),IF(_xlfn.IFS(ISTEXT('#_Sheet1'!B4),FALSE,ISLOGICAL('#_Sheet1'!B4),FALSE,SUBSTITUTE(CELL("format",'#_Sheet1'!B4),"-","")=SUBSTITUTE(CELL("format",Sheet1!B4),"-",""),FALSE,CELL("format",'#_Sheet1'!B4)="G",FALSE,AND(CELL("format",'#_Sheet1'!B4)="F0",CELL("format",Sheet1!B4)="G"),FALSE,TRUE,IFERROR(IF(MATCH(CELL("format",'#_Sheet1'!B4),FormatCodesSFX!$A$4:$A$53,0)&gt;0,TRUE),FALSE),TRUE,TRUE),"FormatMsg","PerfectMsg"),_xlfn.IFS(ISTEXT('#_Sheet1'!B4),FALSE,ISLOGICAL('#_Sheet1'!B4),FALSE,SUBSTITUTE(CELL("format",'#_Sheet1'!B4),"-","")=SUBSTITUTE(CELL("format",Sheet1!B4),"-",""),FALSE,CELL("format",'#_Sheet1'!B4)="G",FALSE,AND(CELL("format",'#_Sheet1'!B4)="F0",CELL("format",Sheet1!B4)="G"),FALSE,TRUE,IFERROR(IF(MATCH(CELL("format",'#_Sheet1'!B4),FormatCodesSFX!$A$4:$A$53,0)&gt;0,TRUE),FALSE),TRUE,TRUE),"FormatMsg",TRUE,"PerfectMsg")</f>
        <v/>
      </c>
      <c r="C4" s="36" t="str">
        <f ca="1">_xlfn.IFS(ISBLANK(Sheet1!C4),"",IF(NOT(ISNA('#_Sheet1'!C4)),IF(ISNA(Sheet1!C4),TRUE,FALSE),FALSE),"StuNAMsg",IF(AND(ISNA('#_Sheet1'!C4),ISNA(Sheet1!C4)),TRUE,FALSE),"PerfectMsg",IF(NOT(ISERROR('#_Sheet1'!C4)),IF(ISERROR(Sheet1!C4),TRUE,FALSE),FALSE),"StuErrorMsg",IF(TYPE('#_Sheet1'!C4)&lt;&gt;TYPE(Sheet1!C4),TRUE,FALSE),"WrongTypeMsg",IF(ISNUMBER('#_Sheet1'!C4),IF(ABS('#_Sheet1'!C4-Sheet1!C4)&gt;0.00001,TRUE,FALSE),IF('#_Sheet1'!C4&lt;&gt;Sheet1!C4,TRUE,FALSE)),IF(ISNUMBER('#_Sheet1'!C4),IF('#_Sheet1'!C4&gt;Sheet1!C4,"TooLow","TooHigh"),"WrongAnswer"),NOT(_xlfn.ISFORMULA('#_Sheet1'!C4)),IF(_xlfn.IFS(ISTEXT('#_Sheet1'!C4),FALSE,ISLOGICAL('#_Sheet1'!C4),FALSE,SUBSTITUTE(CELL("format",'#_Sheet1'!C4),"-","")=SUBSTITUTE(CELL("format",Sheet1!C4),"-",""),FALSE,CELL("format",'#_Sheet1'!C4)="G",FALSE,AND(CELL("format",'#_Sheet1'!C4)="F0",CELL("format",Sheet1!C4)="G"),FALSE,TRUE,IFERROR(IF(MATCH(CELL("format",'#_Sheet1'!C4),FormatCodesSFX!$A$4:$A$53,0)&gt;0,TRUE),FALSE),TRUE,TRUE),"FormatMsg","PerfectMsg"),_xlfn.IFS(ISTEXT('#_Sheet1'!C4),FALSE,ISLOGICAL('#_Sheet1'!C4),FALSE,SUBSTITUTE(CELL("format",'#_Sheet1'!C4),"-","")=SUBSTITUTE(CELL("format",Sheet1!C4),"-",""),FALSE,CELL("format",'#_Sheet1'!C4)="G",FALSE,AND(CELL("format",'#_Sheet1'!C4)="F0",CELL("format",Sheet1!C4)="G"),FALSE,TRUE,IFERROR(IF(MATCH(CELL("format",'#_Sheet1'!C4),FormatCodesSFX!$A$4:$A$53,0)&gt;0,TRUE),FALSE),TRUE,TRUE),"FormatMsg",TRUE,"PerfectMsg")</f>
        <v/>
      </c>
      <c r="D4" s="36" t="str">
        <f ca="1">_xlfn.IFS(ISBLANK(Sheet1!D4),"",IF(NOT(ISNA('#_Sheet1'!D4)),IF(ISNA(Sheet1!D4),TRUE,FALSE),FALSE),"StuNAMsg",IF(AND(ISNA('#_Sheet1'!D4),ISNA(Sheet1!D4)),TRUE,FALSE),"PerfectMsg",IF(NOT(ISERROR('#_Sheet1'!D4)),IF(ISERROR(Sheet1!D4),TRUE,FALSE),FALSE),"StuErrorMsg",IF(TYPE('#_Sheet1'!D4)&lt;&gt;TYPE(Sheet1!D4),TRUE,FALSE),"WrongTypeMsg",IF(ISNUMBER('#_Sheet1'!D4),IF(ABS('#_Sheet1'!D4-Sheet1!D4)&gt;0.00001,TRUE,FALSE),IF('#_Sheet1'!D4&lt;&gt;Sheet1!D4,TRUE,FALSE)),IF(ISNUMBER('#_Sheet1'!D4),IF('#_Sheet1'!D4&gt;Sheet1!D4,"TooLow","TooHigh"),"WrongAnswer"),NOT(_xlfn.ISFORMULA('#_Sheet1'!D4)),IF(_xlfn.IFS(ISTEXT('#_Sheet1'!D4),FALSE,ISLOGICAL('#_Sheet1'!D4),FALSE,SUBSTITUTE(CELL("format",'#_Sheet1'!D4),"-","")=SUBSTITUTE(CELL("format",Sheet1!D4),"-",""),FALSE,CELL("format",'#_Sheet1'!D4)="G",FALSE,AND(CELL("format",'#_Sheet1'!D4)="F0",CELL("format",Sheet1!D4)="G"),FALSE,TRUE,IFERROR(IF(MATCH(CELL("format",'#_Sheet1'!D4),FormatCodesSFX!$A$4:$A$53,0)&gt;0,TRUE),FALSE),TRUE,TRUE),"FormatMsg","PerfectMsg"),_xlfn.IFS(ISTEXT('#_Sheet1'!D4),FALSE,ISLOGICAL('#_Sheet1'!D4),FALSE,SUBSTITUTE(CELL("format",'#_Sheet1'!D4),"-","")=SUBSTITUTE(CELL("format",Sheet1!D4),"-",""),FALSE,CELL("format",'#_Sheet1'!D4)="G",FALSE,AND(CELL("format",'#_Sheet1'!D4)="F0",CELL("format",Sheet1!D4)="G"),FALSE,TRUE,IFERROR(IF(MATCH(CELL("format",'#_Sheet1'!D4),FormatCodesSFX!$A$4:$A$53,0)&gt;0,TRUE),FALSE),TRUE,TRUE),"FormatMsg",TRUE,"PerfectMsg")</f>
        <v/>
      </c>
      <c r="E4" s="36" t="str">
        <f ca="1">_xlfn.IFS(ISBLANK(Sheet1!E4),"",IF(NOT(ISNA('#_Sheet1'!E4)),IF(ISNA(Sheet1!E4),TRUE,FALSE),FALSE),"StuNAMsg",IF(AND(ISNA('#_Sheet1'!E4),ISNA(Sheet1!E4)),TRUE,FALSE),"PerfectMsg",IF(NOT(ISERROR('#_Sheet1'!E4)),IF(ISERROR(Sheet1!E4),TRUE,FALSE),FALSE),"StuErrorMsg",IF(TYPE('#_Sheet1'!E4)&lt;&gt;TYPE(Sheet1!E4),TRUE,FALSE),"WrongTypeMsg",IF(ISNUMBER('#_Sheet1'!E4),IF(ABS('#_Sheet1'!E4-Sheet1!E4)&gt;0.00001,TRUE,FALSE),IF('#_Sheet1'!E4&lt;&gt;Sheet1!E4,TRUE,FALSE)),IF(ISNUMBER('#_Sheet1'!E4),IF('#_Sheet1'!E4&gt;Sheet1!E4,"TooLow","TooHigh"),"WrongAnswer"),NOT(_xlfn.ISFORMULA('#_Sheet1'!E4)),IF(_xlfn.IFS(ISTEXT('#_Sheet1'!E4),FALSE,ISLOGICAL('#_Sheet1'!E4),FALSE,SUBSTITUTE(CELL("format",'#_Sheet1'!E4),"-","")=SUBSTITUTE(CELL("format",Sheet1!E4),"-",""),FALSE,CELL("format",'#_Sheet1'!E4)="G",FALSE,AND(CELL("format",'#_Sheet1'!E4)="F0",CELL("format",Sheet1!E4)="G"),FALSE,TRUE,IFERROR(IF(MATCH(CELL("format",'#_Sheet1'!E4),FormatCodesSFX!$A$4:$A$53,0)&gt;0,TRUE),FALSE),TRUE,TRUE),"FormatMsg","PerfectMsg"),_xlfn.IFS(ISTEXT('#_Sheet1'!E4),FALSE,ISLOGICAL('#_Sheet1'!E4),FALSE,SUBSTITUTE(CELL("format",'#_Sheet1'!E4),"-","")=SUBSTITUTE(CELL("format",Sheet1!E4),"-",""),FALSE,CELL("format",'#_Sheet1'!E4)="G",FALSE,AND(CELL("format",'#_Sheet1'!E4)="F0",CELL("format",Sheet1!E4)="G"),FALSE,TRUE,IFERROR(IF(MATCH(CELL("format",'#_Sheet1'!E4),FormatCodesSFX!$A$4:$A$53,0)&gt;0,TRUE),FALSE),TRUE,TRUE),"FormatMsg",TRUE,"PerfectMsg")</f>
        <v/>
      </c>
      <c r="F4" s="37" t="str">
        <f ca="1">_xlfn.IFS(ISBLANK(Sheet1!F4),"",IF(NOT(ISNA('#_Sheet1'!F4)),IF(ISNA(Sheet1!F4),TRUE,FALSE),FALSE),"StuNAMsg",IF(AND(ISNA('#_Sheet1'!F4),ISNA(Sheet1!F4)),TRUE,FALSE),"PerfectMsg",IF(NOT(ISERROR('#_Sheet1'!F4)),IF(ISERROR(Sheet1!F4),TRUE,FALSE),FALSE),"StuErrorMsg",IF(TYPE('#_Sheet1'!F4)&lt;&gt;TYPE(Sheet1!F4),TRUE,FALSE),"WrongTypeMsg",IF(ISNUMBER('#_Sheet1'!F4),IF(ABS('#_Sheet1'!F4-Sheet1!F4)&gt;0.00001,TRUE,FALSE),IF('#_Sheet1'!F4&lt;&gt;Sheet1!F4,TRUE,FALSE)),IF(ISNUMBER('#_Sheet1'!F4),IF('#_Sheet1'!F4&gt;Sheet1!F4,"TooLow","TooHigh"),"WrongAnswer"),NOT(_xlfn.ISFORMULA('#_Sheet1'!F4)),IF(_xlfn.IFS(ISTEXT('#_Sheet1'!F4),FALSE,ISLOGICAL('#_Sheet1'!F4),FALSE,SUBSTITUTE(CELL("format",'#_Sheet1'!F4),"-","")=SUBSTITUTE(CELL("format",Sheet1!F4),"-",""),FALSE,CELL("format",'#_Sheet1'!F4)="G",FALSE,AND(CELL("format",'#_Sheet1'!F4)="F0",CELL("format",Sheet1!F4)="G"),FALSE,TRUE,IFERROR(IF(MATCH(CELL("format",'#_Sheet1'!F4),FormatCodesSFX!$A$4:$A$53,0)&gt;0,TRUE),FALSE),TRUE,TRUE),"FormatMsg","PerfectMsg"),_xlfn.IFS(ISTEXT('#_Sheet1'!F4),FALSE,ISLOGICAL('#_Sheet1'!F4),FALSE,SUBSTITUTE(CELL("format",'#_Sheet1'!F4),"-","")=SUBSTITUTE(CELL("format",Sheet1!F4),"-",""),FALSE,CELL("format",'#_Sheet1'!F4)="G",FALSE,AND(CELL("format",'#_Sheet1'!F4)="F0",CELL("format",Sheet1!F4)="G"),FALSE,TRUE,IFERROR(IF(MATCH(CELL("format",'#_Sheet1'!F4),FormatCodesSFX!$A$4:$A$53,0)&gt;0,TRUE),FALSE),TRUE,TRUE),"FormatMsg",TRUE,"PerfectMsg")</f>
        <v/>
      </c>
      <c r="G4" s="44" t="str">
        <f ca="1">_xlfn.IFS(ISBLANK(Sheet1!G4),"",IF(NOT(ISNA('#_Sheet1'!G4)),IF(ISNA(Sheet1!G4),TRUE,FALSE),FALSE),"StuNAMsg",IF(AND(ISNA('#_Sheet1'!G4),ISNA(Sheet1!G4)),TRUE,FALSE),"PerfectMsg",IF(NOT(ISERROR('#_Sheet1'!G4)),IF(ISERROR(Sheet1!G4),TRUE,FALSE),FALSE),"StuErrorMsg",IF(TYPE('#_Sheet1'!G4)&lt;&gt;TYPE(Sheet1!G4),TRUE,FALSE),"WrongTypeMsg",IF(ISNUMBER('#_Sheet1'!G4),IF(ABS('#_Sheet1'!G4-Sheet1!G4)&gt;0.00001,TRUE,FALSE),IF('#_Sheet1'!G4&lt;&gt;Sheet1!G4,TRUE,FALSE)),IF(ISNUMBER('#_Sheet1'!G4),IF('#_Sheet1'!G4&gt;Sheet1!G4,"TooLow","TooHigh"),"WrongAnswer"),NOT(_xlfn.ISFORMULA('#_Sheet1'!G4)),IF(_xlfn.IFS(ISTEXT('#_Sheet1'!G4),FALSE,ISLOGICAL('#_Sheet1'!G4),FALSE,SUBSTITUTE(CELL("format",'#_Sheet1'!G4),"-","")=SUBSTITUTE(CELL("format",Sheet1!G4),"-",""),FALSE,CELL("format",'#_Sheet1'!G4)="G",FALSE,AND(CELL("format",'#_Sheet1'!G4)="F0",CELL("format",Sheet1!G4)="G"),FALSE,TRUE,IFERROR(IF(MATCH(CELL("format",'#_Sheet1'!G4),FormatCodesSFX!$A$4:$A$53,0)&gt;0,TRUE),FALSE),TRUE,TRUE),"FormatMsg","PerfectMsg"),_xlfn.IFS(ISTEXT('#_Sheet1'!G4),FALSE,ISLOGICAL('#_Sheet1'!G4),FALSE,SUBSTITUTE(CELL("format",'#_Sheet1'!G4),"-","")=SUBSTITUTE(CELL("format",Sheet1!G4),"-",""),FALSE,CELL("format",'#_Sheet1'!G4)="G",FALSE,AND(CELL("format",'#_Sheet1'!G4)="F0",CELL("format",Sheet1!G4)="G"),FALSE,TRUE,IFERROR(IF(MATCH(CELL("format",'#_Sheet1'!G4),FormatCodesSFX!$A$4:$A$53,0)&gt;0,TRUE),FALSE),TRUE,TRUE),"FormatMsg",TRUE,"PerfectMsg")</f>
        <v/>
      </c>
      <c r="H4" s="45" t="str">
        <f ca="1">_xlfn.IFS(ISBLANK(Sheet1!H4),"",IF(NOT(ISNA('#_Sheet1'!H4)),IF(ISNA(Sheet1!H4),TRUE,FALSE),FALSE),"StuNAMsg",IF(AND(ISNA('#_Sheet1'!H4),ISNA(Sheet1!H4)),TRUE,FALSE),"PerfectMsg",IF(NOT(ISERROR('#_Sheet1'!H4)),IF(ISERROR(Sheet1!H4),TRUE,FALSE),FALSE),"StuErrorMsg",IF(TYPE('#_Sheet1'!H4)&lt;&gt;TYPE(Sheet1!H4),TRUE,FALSE),"WrongTypeMsg",IF(ISNUMBER('#_Sheet1'!H4),IF(ABS('#_Sheet1'!H4-Sheet1!H4)&gt;0.00001,TRUE,FALSE),IF('#_Sheet1'!H4&lt;&gt;Sheet1!H4,TRUE,FALSE)),IF(ISNUMBER('#_Sheet1'!H4),IF('#_Sheet1'!H4&gt;Sheet1!H4,"TooLow","TooHigh"),"WrongAnswer"),NOT(_xlfn.ISFORMULA('#_Sheet1'!H4)),IF(_xlfn.IFS(ISTEXT('#_Sheet1'!H4),FALSE,ISLOGICAL('#_Sheet1'!H4),FALSE,SUBSTITUTE(CELL("format",'#_Sheet1'!H4),"-","")=SUBSTITUTE(CELL("format",Sheet1!H4),"-",""),FALSE,CELL("format",'#_Sheet1'!H4)="G",FALSE,AND(CELL("format",'#_Sheet1'!H4)="F0",CELL("format",Sheet1!H4)="G"),FALSE,TRUE,IFERROR(IF(MATCH(CELL("format",'#_Sheet1'!H4),FormatCodesSFX!$A$4:$A$53,0)&gt;0,TRUE),FALSE),TRUE,TRUE),"FormatMsg","PerfectMsg"),_xlfn.IFS(ISTEXT('#_Sheet1'!H4),FALSE,ISLOGICAL('#_Sheet1'!H4),FALSE,SUBSTITUTE(CELL("format",'#_Sheet1'!H4),"-","")=SUBSTITUTE(CELL("format",Sheet1!H4),"-",""),FALSE,CELL("format",'#_Sheet1'!H4)="G",FALSE,AND(CELL("format",'#_Sheet1'!H4)="F0",CELL("format",Sheet1!H4)="G"),FALSE,TRUE,IFERROR(IF(MATCH(CELL("format",'#_Sheet1'!H4),FormatCodesSFX!$A$4:$A$53,0)&gt;0,TRUE),FALSE),TRUE,TRUE),"FormatMsg",TRUE,"PerfectMsg")</f>
        <v/>
      </c>
    </row>
    <row r="5" spans="1:9" x14ac:dyDescent="0.15">
      <c r="A5" s="36" t="str">
        <f ca="1">_xlfn.IFS(ISBLANK(Sheet1!A5),"",IF(NOT(ISNA('#_Sheet1'!A5)),IF(ISNA(Sheet1!A5),TRUE,FALSE),FALSE),"StuNAMsg",IF(AND(ISNA('#_Sheet1'!A5),ISNA(Sheet1!A5)),TRUE,FALSE),"PerfectMsg",IF(NOT(ISERROR('#_Sheet1'!A5)),IF(ISERROR(Sheet1!A5),TRUE,FALSE),FALSE),"StuErrorMsg",IF(TYPE('#_Sheet1'!A5)&lt;&gt;TYPE(Sheet1!A5),TRUE,FALSE),"WrongTypeMsg",IF(ISNUMBER('#_Sheet1'!A5),IF(ABS('#_Sheet1'!A5-Sheet1!A5)&gt;0.00001,TRUE,FALSE),IF('#_Sheet1'!A5&lt;&gt;Sheet1!A5,TRUE,FALSE)),IF(ISNUMBER('#_Sheet1'!A5),IF('#_Sheet1'!A5&gt;Sheet1!A5,"TooLow","TooHigh"),"WrongAnswer"),NOT(_xlfn.ISFORMULA('#_Sheet1'!A5)),IF(_xlfn.IFS(ISTEXT('#_Sheet1'!A5),FALSE,ISLOGICAL('#_Sheet1'!A5),FALSE,SUBSTITUTE(CELL("format",'#_Sheet1'!A5),"-","")=SUBSTITUTE(CELL("format",Sheet1!A5),"-",""),FALSE,CELL("format",'#_Sheet1'!A5)="G",FALSE,AND(CELL("format",'#_Sheet1'!A5)="F0",CELL("format",Sheet1!A5)="G"),FALSE,TRUE,IFERROR(IF(MATCH(CELL("format",'#_Sheet1'!A5),FormatCodesSFX!$A$4:$A$53,0)&gt;0,TRUE),FALSE),TRUE,TRUE),"FormatMsg","PerfectMsg"),_xlfn.IFS(ISTEXT('#_Sheet1'!A5),FALSE,ISLOGICAL('#_Sheet1'!A5),FALSE,SUBSTITUTE(CELL("format",'#_Sheet1'!A5),"-","")=SUBSTITUTE(CELL("format",Sheet1!A5),"-",""),FALSE,CELL("format",'#_Sheet1'!A5)="G",FALSE,AND(CELL("format",'#_Sheet1'!A5)="F0",CELL("format",Sheet1!A5)="G"),FALSE,TRUE,IFERROR(IF(MATCH(CELL("format",'#_Sheet1'!A5),FormatCodesSFX!$A$4:$A$53,0)&gt;0,TRUE),FALSE),TRUE,TRUE),"FormatMsg",TRUE,"PerfectMsg")</f>
        <v/>
      </c>
      <c r="B5" s="36" t="str">
        <f ca="1">_xlfn.IFS(ISBLANK(Sheet1!B5),"",IF(NOT(ISNA('#_Sheet1'!B5)),IF(ISNA(Sheet1!B5),TRUE,FALSE),FALSE),"StuNAMsg",IF(AND(ISNA('#_Sheet1'!B5),ISNA(Sheet1!B5)),TRUE,FALSE),"PerfectMsg",IF(NOT(ISERROR('#_Sheet1'!B5)),IF(ISERROR(Sheet1!B5),TRUE,FALSE),FALSE),"StuErrorMsg",IF(TYPE('#_Sheet1'!B5)&lt;&gt;TYPE(Sheet1!B5),TRUE,FALSE),"WrongTypeMsg",IF(ISNUMBER('#_Sheet1'!B5),IF(ABS('#_Sheet1'!B5-Sheet1!B5)&gt;0.00001,TRUE,FALSE),IF('#_Sheet1'!B5&lt;&gt;Sheet1!B5,TRUE,FALSE)),IF(ISNUMBER('#_Sheet1'!B5),IF('#_Sheet1'!B5&gt;Sheet1!B5,"TooLow","TooHigh"),"WrongAnswer"),NOT(_xlfn.ISFORMULA('#_Sheet1'!B5)),IF(_xlfn.IFS(ISTEXT('#_Sheet1'!B5),FALSE,ISLOGICAL('#_Sheet1'!B5),FALSE,SUBSTITUTE(CELL("format",'#_Sheet1'!B5),"-","")=SUBSTITUTE(CELL("format",Sheet1!B5),"-",""),FALSE,CELL("format",'#_Sheet1'!B5)="G",FALSE,AND(CELL("format",'#_Sheet1'!B5)="F0",CELL("format",Sheet1!B5)="G"),FALSE,TRUE,IFERROR(IF(MATCH(CELL("format",'#_Sheet1'!B5),FormatCodesSFX!$A$4:$A$53,0)&gt;0,TRUE),FALSE),TRUE,TRUE),"FormatMsg","PerfectMsg"),_xlfn.IFS(ISTEXT('#_Sheet1'!B5),FALSE,ISLOGICAL('#_Sheet1'!B5),FALSE,SUBSTITUTE(CELL("format",'#_Sheet1'!B5),"-","")=SUBSTITUTE(CELL("format",Sheet1!B5),"-",""),FALSE,CELL("format",'#_Sheet1'!B5)="G",FALSE,AND(CELL("format",'#_Sheet1'!B5)="F0",CELL("format",Sheet1!B5)="G"),FALSE,TRUE,IFERROR(IF(MATCH(CELL("format",'#_Sheet1'!B5),FormatCodesSFX!$A$4:$A$53,0)&gt;0,TRUE),FALSE),TRUE,TRUE),"FormatMsg",TRUE,"PerfectMsg")</f>
        <v/>
      </c>
      <c r="C5" s="36" t="str">
        <f ca="1">_xlfn.IFS(ISBLANK(Sheet1!C5),"",IF(NOT(ISNA('#_Sheet1'!C5)),IF(ISNA(Sheet1!C5),TRUE,FALSE),FALSE),"StuNAMsg",IF(AND(ISNA('#_Sheet1'!C5),ISNA(Sheet1!C5)),TRUE,FALSE),"PerfectMsg",IF(NOT(ISERROR('#_Sheet1'!C5)),IF(ISERROR(Sheet1!C5),TRUE,FALSE),FALSE),"StuErrorMsg",IF(TYPE('#_Sheet1'!C5)&lt;&gt;TYPE(Sheet1!C5),TRUE,FALSE),"WrongTypeMsg",IF(ISNUMBER('#_Sheet1'!C5),IF(ABS('#_Sheet1'!C5-Sheet1!C5)&gt;0.00001,TRUE,FALSE),IF('#_Sheet1'!C5&lt;&gt;Sheet1!C5,TRUE,FALSE)),IF(ISNUMBER('#_Sheet1'!C5),IF('#_Sheet1'!C5&gt;Sheet1!C5,"TooLow","TooHigh"),"WrongAnswer"),NOT(_xlfn.ISFORMULA('#_Sheet1'!C5)),IF(_xlfn.IFS(ISTEXT('#_Sheet1'!C5),FALSE,ISLOGICAL('#_Sheet1'!C5),FALSE,SUBSTITUTE(CELL("format",'#_Sheet1'!C5),"-","")=SUBSTITUTE(CELL("format",Sheet1!C5),"-",""),FALSE,CELL("format",'#_Sheet1'!C5)="G",FALSE,AND(CELL("format",'#_Sheet1'!C5)="F0",CELL("format",Sheet1!C5)="G"),FALSE,TRUE,IFERROR(IF(MATCH(CELL("format",'#_Sheet1'!C5),FormatCodesSFX!$A$4:$A$53,0)&gt;0,TRUE),FALSE),TRUE,TRUE),"FormatMsg","PerfectMsg"),_xlfn.IFS(ISTEXT('#_Sheet1'!C5),FALSE,ISLOGICAL('#_Sheet1'!C5),FALSE,SUBSTITUTE(CELL("format",'#_Sheet1'!C5),"-","")=SUBSTITUTE(CELL("format",Sheet1!C5),"-",""),FALSE,CELL("format",'#_Sheet1'!C5)="G",FALSE,AND(CELL("format",'#_Sheet1'!C5)="F0",CELL("format",Sheet1!C5)="G"),FALSE,TRUE,IFERROR(IF(MATCH(CELL("format",'#_Sheet1'!C5),FormatCodesSFX!$A$4:$A$53,0)&gt;0,TRUE),FALSE),TRUE,TRUE),"FormatMsg",TRUE,"PerfectMsg")</f>
        <v/>
      </c>
      <c r="D5" s="36" t="str">
        <f ca="1">_xlfn.IFS(ISBLANK(Sheet1!D5),"",IF(NOT(ISNA('#_Sheet1'!D5)),IF(ISNA(Sheet1!D5),TRUE,FALSE),FALSE),"StuNAMsg",IF(AND(ISNA('#_Sheet1'!D5),ISNA(Sheet1!D5)),TRUE,FALSE),"PerfectMsg",IF(NOT(ISERROR('#_Sheet1'!D5)),IF(ISERROR(Sheet1!D5),TRUE,FALSE),FALSE),"StuErrorMsg",IF(TYPE('#_Sheet1'!D5)&lt;&gt;TYPE(Sheet1!D5),TRUE,FALSE),"WrongTypeMsg",IF(ISNUMBER('#_Sheet1'!D5),IF(ABS('#_Sheet1'!D5-Sheet1!D5)&gt;0.00001,TRUE,FALSE),IF('#_Sheet1'!D5&lt;&gt;Sheet1!D5,TRUE,FALSE)),IF(ISNUMBER('#_Sheet1'!D5),IF('#_Sheet1'!D5&gt;Sheet1!D5,"TooLow","TooHigh"),"WrongAnswer"),NOT(_xlfn.ISFORMULA('#_Sheet1'!D5)),IF(_xlfn.IFS(ISTEXT('#_Sheet1'!D5),FALSE,ISLOGICAL('#_Sheet1'!D5),FALSE,SUBSTITUTE(CELL("format",'#_Sheet1'!D5),"-","")=SUBSTITUTE(CELL("format",Sheet1!D5),"-",""),FALSE,CELL("format",'#_Sheet1'!D5)="G",FALSE,AND(CELL("format",'#_Sheet1'!D5)="F0",CELL("format",Sheet1!D5)="G"),FALSE,TRUE,IFERROR(IF(MATCH(CELL("format",'#_Sheet1'!D5),FormatCodesSFX!$A$4:$A$53,0)&gt;0,TRUE),FALSE),TRUE,TRUE),"FormatMsg","PerfectMsg"),_xlfn.IFS(ISTEXT('#_Sheet1'!D5),FALSE,ISLOGICAL('#_Sheet1'!D5),FALSE,SUBSTITUTE(CELL("format",'#_Sheet1'!D5),"-","")=SUBSTITUTE(CELL("format",Sheet1!D5),"-",""),FALSE,CELL("format",'#_Sheet1'!D5)="G",FALSE,AND(CELL("format",'#_Sheet1'!D5)="F0",CELL("format",Sheet1!D5)="G"),FALSE,TRUE,IFERROR(IF(MATCH(CELL("format",'#_Sheet1'!D5),FormatCodesSFX!$A$4:$A$53,0)&gt;0,TRUE),FALSE),TRUE,TRUE),"FormatMsg",TRUE,"PerfectMsg")</f>
        <v/>
      </c>
      <c r="E5" s="36" t="str">
        <f ca="1">_xlfn.IFS(ISBLANK(Sheet1!E5),"",IF(NOT(ISNA('#_Sheet1'!E5)),IF(ISNA(Sheet1!E5),TRUE,FALSE),FALSE),"StuNAMsg",IF(AND(ISNA('#_Sheet1'!E5),ISNA(Sheet1!E5)),TRUE,FALSE),"PerfectMsg",IF(NOT(ISERROR('#_Sheet1'!E5)),IF(ISERROR(Sheet1!E5),TRUE,FALSE),FALSE),"StuErrorMsg",IF(TYPE('#_Sheet1'!E5)&lt;&gt;TYPE(Sheet1!E5),TRUE,FALSE),"WrongTypeMsg",IF(ISNUMBER('#_Sheet1'!E5),IF(ABS('#_Sheet1'!E5-Sheet1!E5)&gt;0.00001,TRUE,FALSE),IF('#_Sheet1'!E5&lt;&gt;Sheet1!E5,TRUE,FALSE)),IF(ISNUMBER('#_Sheet1'!E5),IF('#_Sheet1'!E5&gt;Sheet1!E5,"TooLow","TooHigh"),"WrongAnswer"),NOT(_xlfn.ISFORMULA('#_Sheet1'!E5)),IF(_xlfn.IFS(ISTEXT('#_Sheet1'!E5),FALSE,ISLOGICAL('#_Sheet1'!E5),FALSE,SUBSTITUTE(CELL("format",'#_Sheet1'!E5),"-","")=SUBSTITUTE(CELL("format",Sheet1!E5),"-",""),FALSE,CELL("format",'#_Sheet1'!E5)="G",FALSE,AND(CELL("format",'#_Sheet1'!E5)="F0",CELL("format",Sheet1!E5)="G"),FALSE,TRUE,IFERROR(IF(MATCH(CELL("format",'#_Sheet1'!E5),FormatCodesSFX!$A$4:$A$53,0)&gt;0,TRUE),FALSE),TRUE,TRUE),"FormatMsg","PerfectMsg"),_xlfn.IFS(ISTEXT('#_Sheet1'!E5),FALSE,ISLOGICAL('#_Sheet1'!E5),FALSE,SUBSTITUTE(CELL("format",'#_Sheet1'!E5),"-","")=SUBSTITUTE(CELL("format",Sheet1!E5),"-",""),FALSE,CELL("format",'#_Sheet1'!E5)="G",FALSE,AND(CELL("format",'#_Sheet1'!E5)="F0",CELL("format",Sheet1!E5)="G"),FALSE,TRUE,IFERROR(IF(MATCH(CELL("format",'#_Sheet1'!E5),FormatCodesSFX!$A$4:$A$53,0)&gt;0,TRUE),FALSE),TRUE,TRUE),"FormatMsg",TRUE,"PerfectMsg")</f>
        <v/>
      </c>
      <c r="F5" s="37" t="str">
        <f ca="1">_xlfn.IFS(ISBLANK(Sheet1!F5),"",IF(NOT(ISNA('#_Sheet1'!F5)),IF(ISNA(Sheet1!F5),TRUE,FALSE),FALSE),"StuNAMsg",IF(AND(ISNA('#_Sheet1'!F5),ISNA(Sheet1!F5)),TRUE,FALSE),"PerfectMsg",IF(NOT(ISERROR('#_Sheet1'!F5)),IF(ISERROR(Sheet1!F5),TRUE,FALSE),FALSE),"StuErrorMsg",IF(TYPE('#_Sheet1'!F5)&lt;&gt;TYPE(Sheet1!F5),TRUE,FALSE),"WrongTypeMsg",IF(ISNUMBER('#_Sheet1'!F5),IF(ABS('#_Sheet1'!F5-Sheet1!F5)&gt;0.00001,TRUE,FALSE),IF('#_Sheet1'!F5&lt;&gt;Sheet1!F5,TRUE,FALSE)),IF(ISNUMBER('#_Sheet1'!F5),IF('#_Sheet1'!F5&gt;Sheet1!F5,"TooLow","TooHigh"),"WrongAnswer"),NOT(_xlfn.ISFORMULA('#_Sheet1'!F5)),IF(_xlfn.IFS(ISTEXT('#_Sheet1'!F5),FALSE,ISLOGICAL('#_Sheet1'!F5),FALSE,SUBSTITUTE(CELL("format",'#_Sheet1'!F5),"-","")=SUBSTITUTE(CELL("format",Sheet1!F5),"-",""),FALSE,CELL("format",'#_Sheet1'!F5)="G",FALSE,AND(CELL("format",'#_Sheet1'!F5)="F0",CELL("format",Sheet1!F5)="G"),FALSE,TRUE,IFERROR(IF(MATCH(CELL("format",'#_Sheet1'!F5),FormatCodesSFX!$A$4:$A$53,0)&gt;0,TRUE),FALSE),TRUE,TRUE),"FormatMsg","PerfectMsg"),_xlfn.IFS(ISTEXT('#_Sheet1'!F5),FALSE,ISLOGICAL('#_Sheet1'!F5),FALSE,SUBSTITUTE(CELL("format",'#_Sheet1'!F5),"-","")=SUBSTITUTE(CELL("format",Sheet1!F5),"-",""),FALSE,CELL("format",'#_Sheet1'!F5)="G",FALSE,AND(CELL("format",'#_Sheet1'!F5)="F0",CELL("format",Sheet1!F5)="G"),FALSE,TRUE,IFERROR(IF(MATCH(CELL("format",'#_Sheet1'!F5),FormatCodesSFX!$A$4:$A$53,0)&gt;0,TRUE),FALSE),TRUE,TRUE),"FormatMsg",TRUE,"PerfectMsg")</f>
        <v/>
      </c>
      <c r="G5" s="44" t="str">
        <f ca="1">_xlfn.IFS(ISBLANK(Sheet1!G5),"",IF(NOT(ISNA('#_Sheet1'!G5)),IF(ISNA(Sheet1!G5),TRUE,FALSE),FALSE),"StuNAMsg",IF(AND(ISNA('#_Sheet1'!G5),ISNA(Sheet1!G5)),TRUE,FALSE),"PerfectMsg",IF(NOT(ISERROR('#_Sheet1'!G5)),IF(ISERROR(Sheet1!G5),TRUE,FALSE),FALSE),"StuErrorMsg",IF(TYPE('#_Sheet1'!G5)&lt;&gt;TYPE(Sheet1!G5),TRUE,FALSE),"WrongTypeMsg",IF(ISNUMBER('#_Sheet1'!G5),IF(ABS('#_Sheet1'!G5-Sheet1!G5)&gt;0.00001,TRUE,FALSE),IF('#_Sheet1'!G5&lt;&gt;Sheet1!G5,TRUE,FALSE)),IF(ISNUMBER('#_Sheet1'!G5),IF('#_Sheet1'!G5&gt;Sheet1!G5,"TooLow","TooHigh"),"WrongAnswer"),NOT(_xlfn.ISFORMULA('#_Sheet1'!G5)),IF(_xlfn.IFS(ISTEXT('#_Sheet1'!G5),FALSE,ISLOGICAL('#_Sheet1'!G5),FALSE,SUBSTITUTE(CELL("format",'#_Sheet1'!G5),"-","")=SUBSTITUTE(CELL("format",Sheet1!G5),"-",""),FALSE,CELL("format",'#_Sheet1'!G5)="G",FALSE,AND(CELL("format",'#_Sheet1'!G5)="F0",CELL("format",Sheet1!G5)="G"),FALSE,TRUE,IFERROR(IF(MATCH(CELL("format",'#_Sheet1'!G5),FormatCodesSFX!$A$4:$A$53,0)&gt;0,TRUE),FALSE),TRUE,TRUE),"FormatMsg","PerfectMsg"),_xlfn.IFS(ISTEXT('#_Sheet1'!G5),FALSE,ISLOGICAL('#_Sheet1'!G5),FALSE,SUBSTITUTE(CELL("format",'#_Sheet1'!G5),"-","")=SUBSTITUTE(CELL("format",Sheet1!G5),"-",""),FALSE,CELL("format",'#_Sheet1'!G5)="G",FALSE,AND(CELL("format",'#_Sheet1'!G5)="F0",CELL("format",Sheet1!G5)="G"),FALSE,TRUE,IFERROR(IF(MATCH(CELL("format",'#_Sheet1'!G5),FormatCodesSFX!$A$4:$A$53,0)&gt;0,TRUE),FALSE),TRUE,TRUE),"FormatMsg",TRUE,"PerfectMsg")</f>
        <v/>
      </c>
      <c r="H5" s="45" t="str">
        <f ca="1">_xlfn.IFS(ISBLANK(Sheet1!H5),"",IF(NOT(ISNA('#_Sheet1'!H5)),IF(ISNA(Sheet1!H5),TRUE,FALSE),FALSE),"StuNAMsg",IF(AND(ISNA('#_Sheet1'!H5),ISNA(Sheet1!H5)),TRUE,FALSE),"PerfectMsg",IF(NOT(ISERROR('#_Sheet1'!H5)),IF(ISERROR(Sheet1!H5),TRUE,FALSE),FALSE),"StuErrorMsg",IF(TYPE('#_Sheet1'!H5)&lt;&gt;TYPE(Sheet1!H5),TRUE,FALSE),"WrongTypeMsg",IF(ISNUMBER('#_Sheet1'!H5),IF(ABS('#_Sheet1'!H5-Sheet1!H5)&gt;0.00001,TRUE,FALSE),IF('#_Sheet1'!H5&lt;&gt;Sheet1!H5,TRUE,FALSE)),IF(ISNUMBER('#_Sheet1'!H5),IF('#_Sheet1'!H5&gt;Sheet1!H5,"TooLow","TooHigh"),"WrongAnswer"),NOT(_xlfn.ISFORMULA('#_Sheet1'!H5)),IF(_xlfn.IFS(ISTEXT('#_Sheet1'!H5),FALSE,ISLOGICAL('#_Sheet1'!H5),FALSE,SUBSTITUTE(CELL("format",'#_Sheet1'!H5),"-","")=SUBSTITUTE(CELL("format",Sheet1!H5),"-",""),FALSE,CELL("format",'#_Sheet1'!H5)="G",FALSE,AND(CELL("format",'#_Sheet1'!H5)="F0",CELL("format",Sheet1!H5)="G"),FALSE,TRUE,IFERROR(IF(MATCH(CELL("format",'#_Sheet1'!H5),FormatCodesSFX!$A$4:$A$53,0)&gt;0,TRUE),FALSE),TRUE,TRUE),"FormatMsg","PerfectMsg"),_xlfn.IFS(ISTEXT('#_Sheet1'!H5),FALSE,ISLOGICAL('#_Sheet1'!H5),FALSE,SUBSTITUTE(CELL("format",'#_Sheet1'!H5),"-","")=SUBSTITUTE(CELL("format",Sheet1!H5),"-",""),FALSE,CELL("format",'#_Sheet1'!H5)="G",FALSE,AND(CELL("format",'#_Sheet1'!H5)="F0",CELL("format",Sheet1!H5)="G"),FALSE,TRUE,IFERROR(IF(MATCH(CELL("format",'#_Sheet1'!H5),FormatCodesSFX!$A$4:$A$53,0)&gt;0,TRUE),FALSE),TRUE,TRUE),"FormatMsg",TRUE,"PerfectMsg")</f>
        <v/>
      </c>
    </row>
    <row r="6" spans="1:9" x14ac:dyDescent="0.15">
      <c r="A6" s="36" t="str">
        <f ca="1">_xlfn.IFS(ISBLANK(Sheet1!A6),"",IF(NOT(ISNA('#_Sheet1'!A6)),IF(ISNA(Sheet1!A6),TRUE,FALSE),FALSE),"StuNAMsg",IF(AND(ISNA('#_Sheet1'!A6),ISNA(Sheet1!A6)),TRUE,FALSE),"PerfectMsg",IF(NOT(ISERROR('#_Sheet1'!A6)),IF(ISERROR(Sheet1!A6),TRUE,FALSE),FALSE),"StuErrorMsg",IF(TYPE('#_Sheet1'!A6)&lt;&gt;TYPE(Sheet1!A6),TRUE,FALSE),"WrongTypeMsg",IF(ISNUMBER('#_Sheet1'!A6),IF(ABS('#_Sheet1'!A6-Sheet1!A6)&gt;0.00001,TRUE,FALSE),IF('#_Sheet1'!A6&lt;&gt;Sheet1!A6,TRUE,FALSE)),IF(ISNUMBER('#_Sheet1'!A6),IF('#_Sheet1'!A6&gt;Sheet1!A6,"TooLow","TooHigh"),"WrongAnswer"),NOT(_xlfn.ISFORMULA('#_Sheet1'!A6)),IF(_xlfn.IFS(ISTEXT('#_Sheet1'!A6),FALSE,ISLOGICAL('#_Sheet1'!A6),FALSE,SUBSTITUTE(CELL("format",'#_Sheet1'!A6),"-","")=SUBSTITUTE(CELL("format",Sheet1!A6),"-",""),FALSE,CELL("format",'#_Sheet1'!A6)="G",FALSE,AND(CELL("format",'#_Sheet1'!A6)="F0",CELL("format",Sheet1!A6)="G"),FALSE,TRUE,IFERROR(IF(MATCH(CELL("format",'#_Sheet1'!A6),FormatCodesSFX!$A$4:$A$53,0)&gt;0,TRUE),FALSE),TRUE,TRUE),"FormatMsg","PerfectMsg"),_xlfn.IFS(ISTEXT('#_Sheet1'!A6),FALSE,ISLOGICAL('#_Sheet1'!A6),FALSE,SUBSTITUTE(CELL("format",'#_Sheet1'!A6),"-","")=SUBSTITUTE(CELL("format",Sheet1!A6),"-",""),FALSE,CELL("format",'#_Sheet1'!A6)="G",FALSE,AND(CELL("format",'#_Sheet1'!A6)="F0",CELL("format",Sheet1!A6)="G"),FALSE,TRUE,IFERROR(IF(MATCH(CELL("format",'#_Sheet1'!A6),FormatCodesSFX!$A$4:$A$53,0)&gt;0,TRUE),FALSE),TRUE,TRUE),"FormatMsg",TRUE,"PerfectMsg")</f>
        <v/>
      </c>
      <c r="B6" s="36" t="str">
        <f ca="1">_xlfn.IFS(ISBLANK(Sheet1!B6),"",IF(NOT(ISNA('#_Sheet1'!B6)),IF(ISNA(Sheet1!B6),TRUE,FALSE),FALSE),"StuNAMsg",IF(AND(ISNA('#_Sheet1'!B6),ISNA(Sheet1!B6)),TRUE,FALSE),"PerfectMsg",IF(NOT(ISERROR('#_Sheet1'!B6)),IF(ISERROR(Sheet1!B6),TRUE,FALSE),FALSE),"StuErrorMsg",IF(TYPE('#_Sheet1'!B6)&lt;&gt;TYPE(Sheet1!B6),TRUE,FALSE),"WrongTypeMsg",IF(ISNUMBER('#_Sheet1'!B6),IF(ABS('#_Sheet1'!B6-Sheet1!B6)&gt;0.00001,TRUE,FALSE),IF('#_Sheet1'!B6&lt;&gt;Sheet1!B6,TRUE,FALSE)),IF(ISNUMBER('#_Sheet1'!B6),IF('#_Sheet1'!B6&gt;Sheet1!B6,"TooLow","TooHigh"),"WrongAnswer"),NOT(_xlfn.ISFORMULA('#_Sheet1'!B6)),IF(_xlfn.IFS(ISTEXT('#_Sheet1'!B6),FALSE,ISLOGICAL('#_Sheet1'!B6),FALSE,SUBSTITUTE(CELL("format",'#_Sheet1'!B6),"-","")=SUBSTITUTE(CELL("format",Sheet1!B6),"-",""),FALSE,CELL("format",'#_Sheet1'!B6)="G",FALSE,AND(CELL("format",'#_Sheet1'!B6)="F0",CELL("format",Sheet1!B6)="G"),FALSE,TRUE,IFERROR(IF(MATCH(CELL("format",'#_Sheet1'!B6),FormatCodesSFX!$A$4:$A$53,0)&gt;0,TRUE),FALSE),TRUE,TRUE),"FormatMsg","PerfectMsg"),_xlfn.IFS(ISTEXT('#_Sheet1'!B6),FALSE,ISLOGICAL('#_Sheet1'!B6),FALSE,SUBSTITUTE(CELL("format",'#_Sheet1'!B6),"-","")=SUBSTITUTE(CELL("format",Sheet1!B6),"-",""),FALSE,CELL("format",'#_Sheet1'!B6)="G",FALSE,AND(CELL("format",'#_Sheet1'!B6)="F0",CELL("format",Sheet1!B6)="G"),FALSE,TRUE,IFERROR(IF(MATCH(CELL("format",'#_Sheet1'!B6),FormatCodesSFX!$A$4:$A$53,0)&gt;0,TRUE),FALSE),TRUE,TRUE),"FormatMsg",TRUE,"PerfectMsg")</f>
        <v/>
      </c>
      <c r="C6" s="36" t="str">
        <f ca="1">_xlfn.IFS(ISBLANK(Sheet1!C6),"",IF(NOT(ISNA('#_Sheet1'!C6)),IF(ISNA(Sheet1!C6),TRUE,FALSE),FALSE),"StuNAMsg",IF(AND(ISNA('#_Sheet1'!C6),ISNA(Sheet1!C6)),TRUE,FALSE),"PerfectMsg",IF(NOT(ISERROR('#_Sheet1'!C6)),IF(ISERROR(Sheet1!C6),TRUE,FALSE),FALSE),"StuErrorMsg",IF(TYPE('#_Sheet1'!C6)&lt;&gt;TYPE(Sheet1!C6),TRUE,FALSE),"WrongTypeMsg",IF(ISNUMBER('#_Sheet1'!C6),IF(ABS('#_Sheet1'!C6-Sheet1!C6)&gt;0.00001,TRUE,FALSE),IF('#_Sheet1'!C6&lt;&gt;Sheet1!C6,TRUE,FALSE)),IF(ISNUMBER('#_Sheet1'!C6),IF('#_Sheet1'!C6&gt;Sheet1!C6,"TooLow","TooHigh"),"WrongAnswer"),NOT(_xlfn.ISFORMULA('#_Sheet1'!C6)),IF(_xlfn.IFS(ISTEXT('#_Sheet1'!C6),FALSE,ISLOGICAL('#_Sheet1'!C6),FALSE,SUBSTITUTE(CELL("format",'#_Sheet1'!C6),"-","")=SUBSTITUTE(CELL("format",Sheet1!C6),"-",""),FALSE,CELL("format",'#_Sheet1'!C6)="G",FALSE,AND(CELL("format",'#_Sheet1'!C6)="F0",CELL("format",Sheet1!C6)="G"),FALSE,TRUE,IFERROR(IF(MATCH(CELL("format",'#_Sheet1'!C6),FormatCodesSFX!$A$4:$A$53,0)&gt;0,TRUE),FALSE),TRUE,TRUE),"FormatMsg","PerfectMsg"),_xlfn.IFS(ISTEXT('#_Sheet1'!C6),FALSE,ISLOGICAL('#_Sheet1'!C6),FALSE,SUBSTITUTE(CELL("format",'#_Sheet1'!C6),"-","")=SUBSTITUTE(CELL("format",Sheet1!C6),"-",""),FALSE,CELL("format",'#_Sheet1'!C6)="G",FALSE,AND(CELL("format",'#_Sheet1'!C6)="F0",CELL("format",Sheet1!C6)="G"),FALSE,TRUE,IFERROR(IF(MATCH(CELL("format",'#_Sheet1'!C6),FormatCodesSFX!$A$4:$A$53,0)&gt;0,TRUE),FALSE),TRUE,TRUE),"FormatMsg",TRUE,"PerfectMsg")</f>
        <v/>
      </c>
      <c r="D6" s="36" t="str">
        <f ca="1">_xlfn.IFS(ISBLANK(Sheet1!D6),"",IF(NOT(ISNA('#_Sheet1'!D6)),IF(ISNA(Sheet1!D6),TRUE,FALSE),FALSE),"StuNAMsg",IF(AND(ISNA('#_Sheet1'!D6),ISNA(Sheet1!D6)),TRUE,FALSE),"PerfectMsg",IF(NOT(ISERROR('#_Sheet1'!D6)),IF(ISERROR(Sheet1!D6),TRUE,FALSE),FALSE),"StuErrorMsg",IF(TYPE('#_Sheet1'!D6)&lt;&gt;TYPE(Sheet1!D6),TRUE,FALSE),"WrongTypeMsg",IF(ISNUMBER('#_Sheet1'!D6),IF(ABS('#_Sheet1'!D6-Sheet1!D6)&gt;0.00001,TRUE,FALSE),IF('#_Sheet1'!D6&lt;&gt;Sheet1!D6,TRUE,FALSE)),IF(ISNUMBER('#_Sheet1'!D6),IF('#_Sheet1'!D6&gt;Sheet1!D6,"TooLow","TooHigh"),"WrongAnswer"),NOT(_xlfn.ISFORMULA('#_Sheet1'!D6)),IF(_xlfn.IFS(ISTEXT('#_Sheet1'!D6),FALSE,ISLOGICAL('#_Sheet1'!D6),FALSE,SUBSTITUTE(CELL("format",'#_Sheet1'!D6),"-","")=SUBSTITUTE(CELL("format",Sheet1!D6),"-",""),FALSE,CELL("format",'#_Sheet1'!D6)="G",FALSE,AND(CELL("format",'#_Sheet1'!D6)="F0",CELL("format",Sheet1!D6)="G"),FALSE,TRUE,IFERROR(IF(MATCH(CELL("format",'#_Sheet1'!D6),FormatCodesSFX!$A$4:$A$53,0)&gt;0,TRUE),FALSE),TRUE,TRUE),"FormatMsg","PerfectMsg"),_xlfn.IFS(ISTEXT('#_Sheet1'!D6),FALSE,ISLOGICAL('#_Sheet1'!D6),FALSE,SUBSTITUTE(CELL("format",'#_Sheet1'!D6),"-","")=SUBSTITUTE(CELL("format",Sheet1!D6),"-",""),FALSE,CELL("format",'#_Sheet1'!D6)="G",FALSE,AND(CELL("format",'#_Sheet1'!D6)="F0",CELL("format",Sheet1!D6)="G"),FALSE,TRUE,IFERROR(IF(MATCH(CELL("format",'#_Sheet1'!D6),FormatCodesSFX!$A$4:$A$53,0)&gt;0,TRUE),FALSE),TRUE,TRUE),"FormatMsg",TRUE,"PerfectMsg")</f>
        <v/>
      </c>
      <c r="E6" s="36" t="str">
        <f ca="1">_xlfn.IFS(ISBLANK(Sheet1!E6),"",IF(NOT(ISNA('#_Sheet1'!E6)),IF(ISNA(Sheet1!E6),TRUE,FALSE),FALSE),"StuNAMsg",IF(AND(ISNA('#_Sheet1'!E6),ISNA(Sheet1!E6)),TRUE,FALSE),"PerfectMsg",IF(NOT(ISERROR('#_Sheet1'!E6)),IF(ISERROR(Sheet1!E6),TRUE,FALSE),FALSE),"StuErrorMsg",IF(TYPE('#_Sheet1'!E6)&lt;&gt;TYPE(Sheet1!E6),TRUE,FALSE),"WrongTypeMsg",IF(ISNUMBER('#_Sheet1'!E6),IF(ABS('#_Sheet1'!E6-Sheet1!E6)&gt;0.00001,TRUE,FALSE),IF('#_Sheet1'!E6&lt;&gt;Sheet1!E6,TRUE,FALSE)),IF(ISNUMBER('#_Sheet1'!E6),IF('#_Sheet1'!E6&gt;Sheet1!E6,"TooLow","TooHigh"),"WrongAnswer"),NOT(_xlfn.ISFORMULA('#_Sheet1'!E6)),IF(_xlfn.IFS(ISTEXT('#_Sheet1'!E6),FALSE,ISLOGICAL('#_Sheet1'!E6),FALSE,SUBSTITUTE(CELL("format",'#_Sheet1'!E6),"-","")=SUBSTITUTE(CELL("format",Sheet1!E6),"-",""),FALSE,CELL("format",'#_Sheet1'!E6)="G",FALSE,AND(CELL("format",'#_Sheet1'!E6)="F0",CELL("format",Sheet1!E6)="G"),FALSE,TRUE,IFERROR(IF(MATCH(CELL("format",'#_Sheet1'!E6),FormatCodesSFX!$A$4:$A$53,0)&gt;0,TRUE),FALSE),TRUE,TRUE),"FormatMsg","PerfectMsg"),_xlfn.IFS(ISTEXT('#_Sheet1'!E6),FALSE,ISLOGICAL('#_Sheet1'!E6),FALSE,SUBSTITUTE(CELL("format",'#_Sheet1'!E6),"-","")=SUBSTITUTE(CELL("format",Sheet1!E6),"-",""),FALSE,CELL("format",'#_Sheet1'!E6)="G",FALSE,AND(CELL("format",'#_Sheet1'!E6)="F0",CELL("format",Sheet1!E6)="G"),FALSE,TRUE,IFERROR(IF(MATCH(CELL("format",'#_Sheet1'!E6),FormatCodesSFX!$A$4:$A$53,0)&gt;0,TRUE),FALSE),TRUE,TRUE),"FormatMsg",TRUE,"PerfectMsg")</f>
        <v/>
      </c>
      <c r="F6" s="37" t="str">
        <f ca="1">_xlfn.IFS(ISBLANK(Sheet1!F6),"",IF(NOT(ISNA('#_Sheet1'!F6)),IF(ISNA(Sheet1!F6),TRUE,FALSE),FALSE),"StuNAMsg",IF(AND(ISNA('#_Sheet1'!F6),ISNA(Sheet1!F6)),TRUE,FALSE),"PerfectMsg",IF(NOT(ISERROR('#_Sheet1'!F6)),IF(ISERROR(Sheet1!F6),TRUE,FALSE),FALSE),"StuErrorMsg",IF(TYPE('#_Sheet1'!F6)&lt;&gt;TYPE(Sheet1!F6),TRUE,FALSE),"WrongTypeMsg",IF(ISNUMBER('#_Sheet1'!F6),IF(ABS('#_Sheet1'!F6-Sheet1!F6)&gt;0.00001,TRUE,FALSE),IF('#_Sheet1'!F6&lt;&gt;Sheet1!F6,TRUE,FALSE)),IF(ISNUMBER('#_Sheet1'!F6),IF('#_Sheet1'!F6&gt;Sheet1!F6,"TooLow","TooHigh"),"WrongAnswer"),NOT(_xlfn.ISFORMULA('#_Sheet1'!F6)),IF(_xlfn.IFS(ISTEXT('#_Sheet1'!F6),FALSE,ISLOGICAL('#_Sheet1'!F6),FALSE,SUBSTITUTE(CELL("format",'#_Sheet1'!F6),"-","")=SUBSTITUTE(CELL("format",Sheet1!F6),"-",""),FALSE,CELL("format",'#_Sheet1'!F6)="G",FALSE,AND(CELL("format",'#_Sheet1'!F6)="F0",CELL("format",Sheet1!F6)="G"),FALSE,TRUE,IFERROR(IF(MATCH(CELL("format",'#_Sheet1'!F6),FormatCodesSFX!$A$4:$A$53,0)&gt;0,TRUE),FALSE),TRUE,TRUE),"FormatMsg","PerfectMsg"),_xlfn.IFS(ISTEXT('#_Sheet1'!F6),FALSE,ISLOGICAL('#_Sheet1'!F6),FALSE,SUBSTITUTE(CELL("format",'#_Sheet1'!F6),"-","")=SUBSTITUTE(CELL("format",Sheet1!F6),"-",""),FALSE,CELL("format",'#_Sheet1'!F6)="G",FALSE,AND(CELL("format",'#_Sheet1'!F6)="F0",CELL("format",Sheet1!F6)="G"),FALSE,TRUE,IFERROR(IF(MATCH(CELL("format",'#_Sheet1'!F6),FormatCodesSFX!$A$4:$A$53,0)&gt;0,TRUE),FALSE),TRUE,TRUE),"FormatMsg",TRUE,"PerfectMsg")</f>
        <v/>
      </c>
      <c r="G6" s="44" t="str">
        <f ca="1">_xlfn.IFS(ISBLANK(Sheet1!G6),"",IF(NOT(ISNA('#_Sheet1'!G6)),IF(ISNA(Sheet1!G6),TRUE,FALSE),FALSE),"StuNAMsg",IF(AND(ISNA('#_Sheet1'!G6),ISNA(Sheet1!G6)),TRUE,FALSE),"PerfectMsg",IF(NOT(ISERROR('#_Sheet1'!G6)),IF(ISERROR(Sheet1!G6),TRUE,FALSE),FALSE),"StuErrorMsg",IF(TYPE('#_Sheet1'!G6)&lt;&gt;TYPE(Sheet1!G6),TRUE,FALSE),"WrongTypeMsg",IF(ISNUMBER('#_Sheet1'!G6),IF(ABS('#_Sheet1'!G6-Sheet1!G6)&gt;0.00001,TRUE,FALSE),IF('#_Sheet1'!G6&lt;&gt;Sheet1!G6,TRUE,FALSE)),IF(ISNUMBER('#_Sheet1'!G6),IF('#_Sheet1'!G6&gt;Sheet1!G6,"TooLow","TooHigh"),"WrongAnswer"),NOT(_xlfn.ISFORMULA('#_Sheet1'!G6)),IF(_xlfn.IFS(ISTEXT('#_Sheet1'!G6),FALSE,ISLOGICAL('#_Sheet1'!G6),FALSE,SUBSTITUTE(CELL("format",'#_Sheet1'!G6),"-","")=SUBSTITUTE(CELL("format",Sheet1!G6),"-",""),FALSE,CELL("format",'#_Sheet1'!G6)="G",FALSE,AND(CELL("format",'#_Sheet1'!G6)="F0",CELL("format",Sheet1!G6)="G"),FALSE,TRUE,IFERROR(IF(MATCH(CELL("format",'#_Sheet1'!G6),FormatCodesSFX!$A$4:$A$53,0)&gt;0,TRUE),FALSE),TRUE,TRUE),"FormatMsg","PerfectMsg"),_xlfn.IFS(ISTEXT('#_Sheet1'!G6),FALSE,ISLOGICAL('#_Sheet1'!G6),FALSE,SUBSTITUTE(CELL("format",'#_Sheet1'!G6),"-","")=SUBSTITUTE(CELL("format",Sheet1!G6),"-",""),FALSE,CELL("format",'#_Sheet1'!G6)="G",FALSE,AND(CELL("format",'#_Sheet1'!G6)="F0",CELL("format",Sheet1!G6)="G"),FALSE,TRUE,IFERROR(IF(MATCH(CELL("format",'#_Sheet1'!G6),FormatCodesSFX!$A$4:$A$53,0)&gt;0,TRUE),FALSE),TRUE,TRUE),"FormatMsg",TRUE,"PerfectMsg")</f>
        <v/>
      </c>
      <c r="H6" s="45" t="str">
        <f ca="1">_xlfn.IFS(ISBLANK(Sheet1!H6),"",IF(NOT(ISNA('#_Sheet1'!H6)),IF(ISNA(Sheet1!H6),TRUE,FALSE),FALSE),"StuNAMsg",IF(AND(ISNA('#_Sheet1'!H6),ISNA(Sheet1!H6)),TRUE,FALSE),"PerfectMsg",IF(NOT(ISERROR('#_Sheet1'!H6)),IF(ISERROR(Sheet1!H6),TRUE,FALSE),FALSE),"StuErrorMsg",IF(TYPE('#_Sheet1'!H6)&lt;&gt;TYPE(Sheet1!H6),TRUE,FALSE),"WrongTypeMsg",IF(ISNUMBER('#_Sheet1'!H6),IF(ABS('#_Sheet1'!H6-Sheet1!H6)&gt;0.00001,TRUE,FALSE),IF('#_Sheet1'!H6&lt;&gt;Sheet1!H6,TRUE,FALSE)),IF(ISNUMBER('#_Sheet1'!H6),IF('#_Sheet1'!H6&gt;Sheet1!H6,"TooLow","TooHigh"),"WrongAnswer"),NOT(_xlfn.ISFORMULA('#_Sheet1'!H6)),IF(_xlfn.IFS(ISTEXT('#_Sheet1'!H6),FALSE,ISLOGICAL('#_Sheet1'!H6),FALSE,SUBSTITUTE(CELL("format",'#_Sheet1'!H6),"-","")=SUBSTITUTE(CELL("format",Sheet1!H6),"-",""),FALSE,CELL("format",'#_Sheet1'!H6)="G",FALSE,AND(CELL("format",'#_Sheet1'!H6)="F0",CELL("format",Sheet1!H6)="G"),FALSE,TRUE,IFERROR(IF(MATCH(CELL("format",'#_Sheet1'!H6),FormatCodesSFX!$A$4:$A$53,0)&gt;0,TRUE),FALSE),TRUE,TRUE),"FormatMsg","PerfectMsg"),_xlfn.IFS(ISTEXT('#_Sheet1'!H6),FALSE,ISLOGICAL('#_Sheet1'!H6),FALSE,SUBSTITUTE(CELL("format",'#_Sheet1'!H6),"-","")=SUBSTITUTE(CELL("format",Sheet1!H6),"-",""),FALSE,CELL("format",'#_Sheet1'!H6)="G",FALSE,AND(CELL("format",'#_Sheet1'!H6)="F0",CELL("format",Sheet1!H6)="G"),FALSE,TRUE,IFERROR(IF(MATCH(CELL("format",'#_Sheet1'!H6),FormatCodesSFX!$A$4:$A$53,0)&gt;0,TRUE),FALSE),TRUE,TRUE),"FormatMsg",TRUE,"PerfectMsg")</f>
        <v/>
      </c>
    </row>
    <row r="7" spans="1:9" x14ac:dyDescent="0.15">
      <c r="A7" s="36" t="str">
        <f ca="1">_xlfn.IFS(ISBLANK(Sheet1!A7),"",IF(NOT(ISNA('#_Sheet1'!A7)),IF(ISNA(Sheet1!A7),TRUE,FALSE),FALSE),"StuNAMsg",IF(AND(ISNA('#_Sheet1'!A7),ISNA(Sheet1!A7)),TRUE,FALSE),"PerfectMsg",IF(NOT(ISERROR('#_Sheet1'!A7)),IF(ISERROR(Sheet1!A7),TRUE,FALSE),FALSE),"StuErrorMsg",IF(TYPE('#_Sheet1'!A7)&lt;&gt;TYPE(Sheet1!A7),TRUE,FALSE),"WrongTypeMsg",IF(ISNUMBER('#_Sheet1'!A7),IF(ABS('#_Sheet1'!A7-Sheet1!A7)&gt;0.00001,TRUE,FALSE),IF('#_Sheet1'!A7&lt;&gt;Sheet1!A7,TRUE,FALSE)),IF(ISNUMBER('#_Sheet1'!A7),IF('#_Sheet1'!A7&gt;Sheet1!A7,"TooLow","TooHigh"),"WrongAnswer"),NOT(_xlfn.ISFORMULA('#_Sheet1'!A7)),IF(_xlfn.IFS(ISTEXT('#_Sheet1'!A7),FALSE,ISLOGICAL('#_Sheet1'!A7),FALSE,SUBSTITUTE(CELL("format",'#_Sheet1'!A7),"-","")=SUBSTITUTE(CELL("format",Sheet1!A7),"-",""),FALSE,CELL("format",'#_Sheet1'!A7)="G",FALSE,AND(CELL("format",'#_Sheet1'!A7)="F0",CELL("format",Sheet1!A7)="G"),FALSE,TRUE,IFERROR(IF(MATCH(CELL("format",'#_Sheet1'!A7),FormatCodesSFX!$A$4:$A$53,0)&gt;0,TRUE),FALSE),TRUE,TRUE),"FormatMsg","PerfectMsg"),_xlfn.IFS(ISTEXT('#_Sheet1'!A7),FALSE,ISLOGICAL('#_Sheet1'!A7),FALSE,SUBSTITUTE(CELL("format",'#_Sheet1'!A7),"-","")=SUBSTITUTE(CELL("format",Sheet1!A7),"-",""),FALSE,CELL("format",'#_Sheet1'!A7)="G",FALSE,AND(CELL("format",'#_Sheet1'!A7)="F0",CELL("format",Sheet1!A7)="G"),FALSE,TRUE,IFERROR(IF(MATCH(CELL("format",'#_Sheet1'!A7),FormatCodesSFX!$A$4:$A$53,0)&gt;0,TRUE),FALSE),TRUE,TRUE),"FormatMsg",TRUE,"PerfectMsg")</f>
        <v/>
      </c>
      <c r="B7" s="36" t="str">
        <f ca="1">_xlfn.IFS(ISBLANK(Sheet1!B7),"",IF(NOT(ISNA('#_Sheet1'!B7)),IF(ISNA(Sheet1!B7),TRUE,FALSE),FALSE),"StuNAMsg",IF(AND(ISNA('#_Sheet1'!B7),ISNA(Sheet1!B7)),TRUE,FALSE),"PerfectMsg",IF(NOT(ISERROR('#_Sheet1'!B7)),IF(ISERROR(Sheet1!B7),TRUE,FALSE),FALSE),"StuErrorMsg",IF(TYPE('#_Sheet1'!B7)&lt;&gt;TYPE(Sheet1!B7),TRUE,FALSE),"WrongTypeMsg",IF(ISNUMBER('#_Sheet1'!B7),IF(ABS('#_Sheet1'!B7-Sheet1!B7)&gt;0.00001,TRUE,FALSE),IF('#_Sheet1'!B7&lt;&gt;Sheet1!B7,TRUE,FALSE)),IF(ISNUMBER('#_Sheet1'!B7),IF('#_Sheet1'!B7&gt;Sheet1!B7,"TooLow","TooHigh"),"WrongAnswer"),NOT(_xlfn.ISFORMULA('#_Sheet1'!B7)),IF(_xlfn.IFS(ISTEXT('#_Sheet1'!B7),FALSE,ISLOGICAL('#_Sheet1'!B7),FALSE,SUBSTITUTE(CELL("format",'#_Sheet1'!B7),"-","")=SUBSTITUTE(CELL("format",Sheet1!B7),"-",""),FALSE,CELL("format",'#_Sheet1'!B7)="G",FALSE,AND(CELL("format",'#_Sheet1'!B7)="F0",CELL("format",Sheet1!B7)="G"),FALSE,TRUE,IFERROR(IF(MATCH(CELL("format",'#_Sheet1'!B7),FormatCodesSFX!$A$4:$A$53,0)&gt;0,TRUE),FALSE),TRUE,TRUE),"FormatMsg","PerfectMsg"),_xlfn.IFS(ISTEXT('#_Sheet1'!B7),FALSE,ISLOGICAL('#_Sheet1'!B7),FALSE,SUBSTITUTE(CELL("format",'#_Sheet1'!B7),"-","")=SUBSTITUTE(CELL("format",Sheet1!B7),"-",""),FALSE,CELL("format",'#_Sheet1'!B7)="G",FALSE,AND(CELL("format",'#_Sheet1'!B7)="F0",CELL("format",Sheet1!B7)="G"),FALSE,TRUE,IFERROR(IF(MATCH(CELL("format",'#_Sheet1'!B7),FormatCodesSFX!$A$4:$A$53,0)&gt;0,TRUE),FALSE),TRUE,TRUE),"FormatMsg",TRUE,"PerfectMsg")</f>
        <v/>
      </c>
      <c r="C7" s="36" t="str">
        <f ca="1">_xlfn.IFS(ISBLANK(Sheet1!C7),"",IF(NOT(ISNA('#_Sheet1'!C7)),IF(ISNA(Sheet1!C7),TRUE,FALSE),FALSE),"StuNAMsg",IF(AND(ISNA('#_Sheet1'!C7),ISNA(Sheet1!C7)),TRUE,FALSE),"PerfectMsg",IF(NOT(ISERROR('#_Sheet1'!C7)),IF(ISERROR(Sheet1!C7),TRUE,FALSE),FALSE),"StuErrorMsg",IF(TYPE('#_Sheet1'!C7)&lt;&gt;TYPE(Sheet1!C7),TRUE,FALSE),"WrongTypeMsg",IF(ISNUMBER('#_Sheet1'!C7),IF(ABS('#_Sheet1'!C7-Sheet1!C7)&gt;0.00001,TRUE,FALSE),IF('#_Sheet1'!C7&lt;&gt;Sheet1!C7,TRUE,FALSE)),IF(ISNUMBER('#_Sheet1'!C7),IF('#_Sheet1'!C7&gt;Sheet1!C7,"TooLow","TooHigh"),"WrongAnswer"),NOT(_xlfn.ISFORMULA('#_Sheet1'!C7)),IF(_xlfn.IFS(ISTEXT('#_Sheet1'!C7),FALSE,ISLOGICAL('#_Sheet1'!C7),FALSE,SUBSTITUTE(CELL("format",'#_Sheet1'!C7),"-","")=SUBSTITUTE(CELL("format",Sheet1!C7),"-",""),FALSE,CELL("format",'#_Sheet1'!C7)="G",FALSE,AND(CELL("format",'#_Sheet1'!C7)="F0",CELL("format",Sheet1!C7)="G"),FALSE,TRUE,IFERROR(IF(MATCH(CELL("format",'#_Sheet1'!C7),FormatCodesSFX!$A$4:$A$53,0)&gt;0,TRUE),FALSE),TRUE,TRUE),"FormatMsg","PerfectMsg"),_xlfn.IFS(ISTEXT('#_Sheet1'!C7),FALSE,ISLOGICAL('#_Sheet1'!C7),FALSE,SUBSTITUTE(CELL("format",'#_Sheet1'!C7),"-","")=SUBSTITUTE(CELL("format",Sheet1!C7),"-",""),FALSE,CELL("format",'#_Sheet1'!C7)="G",FALSE,AND(CELL("format",'#_Sheet1'!C7)="F0",CELL("format",Sheet1!C7)="G"),FALSE,TRUE,IFERROR(IF(MATCH(CELL("format",'#_Sheet1'!C7),FormatCodesSFX!$A$4:$A$53,0)&gt;0,TRUE),FALSE),TRUE,TRUE),"FormatMsg",TRUE,"PerfectMsg")</f>
        <v/>
      </c>
      <c r="D7" s="36" t="str">
        <f ca="1">_xlfn.IFS(ISBLANK(Sheet1!D7),"",IF(NOT(ISNA('#_Sheet1'!D7)),IF(ISNA(Sheet1!D7),TRUE,FALSE),FALSE),"StuNAMsg",IF(AND(ISNA('#_Sheet1'!D7),ISNA(Sheet1!D7)),TRUE,FALSE),"PerfectMsg",IF(NOT(ISERROR('#_Sheet1'!D7)),IF(ISERROR(Sheet1!D7),TRUE,FALSE),FALSE),"StuErrorMsg",IF(TYPE('#_Sheet1'!D7)&lt;&gt;TYPE(Sheet1!D7),TRUE,FALSE),"WrongTypeMsg",IF(ISNUMBER('#_Sheet1'!D7),IF(ABS('#_Sheet1'!D7-Sheet1!D7)&gt;0.00001,TRUE,FALSE),IF('#_Sheet1'!D7&lt;&gt;Sheet1!D7,TRUE,FALSE)),IF(ISNUMBER('#_Sheet1'!D7),IF('#_Sheet1'!D7&gt;Sheet1!D7,"TooLow","TooHigh"),"WrongAnswer"),NOT(_xlfn.ISFORMULA('#_Sheet1'!D7)),IF(_xlfn.IFS(ISTEXT('#_Sheet1'!D7),FALSE,ISLOGICAL('#_Sheet1'!D7),FALSE,SUBSTITUTE(CELL("format",'#_Sheet1'!D7),"-","")=SUBSTITUTE(CELL("format",Sheet1!D7),"-",""),FALSE,CELL("format",'#_Sheet1'!D7)="G",FALSE,AND(CELL("format",'#_Sheet1'!D7)="F0",CELL("format",Sheet1!D7)="G"),FALSE,TRUE,IFERROR(IF(MATCH(CELL("format",'#_Sheet1'!D7),FormatCodesSFX!$A$4:$A$53,0)&gt;0,TRUE),FALSE),TRUE,TRUE),"FormatMsg","PerfectMsg"),_xlfn.IFS(ISTEXT('#_Sheet1'!D7),FALSE,ISLOGICAL('#_Sheet1'!D7),FALSE,SUBSTITUTE(CELL("format",'#_Sheet1'!D7),"-","")=SUBSTITUTE(CELL("format",Sheet1!D7),"-",""),FALSE,CELL("format",'#_Sheet1'!D7)="G",FALSE,AND(CELL("format",'#_Sheet1'!D7)="F0",CELL("format",Sheet1!D7)="G"),FALSE,TRUE,IFERROR(IF(MATCH(CELL("format",'#_Sheet1'!D7),FormatCodesSFX!$A$4:$A$53,0)&gt;0,TRUE),FALSE),TRUE,TRUE),"FormatMsg",TRUE,"PerfectMsg")</f>
        <v/>
      </c>
      <c r="E7" s="36" t="str">
        <f ca="1">_xlfn.IFS(ISBLANK(Sheet1!E7),"",IF(NOT(ISNA('#_Sheet1'!E7)),IF(ISNA(Sheet1!E7),TRUE,FALSE),FALSE),"StuNAMsg",IF(AND(ISNA('#_Sheet1'!E7),ISNA(Sheet1!E7)),TRUE,FALSE),"PerfectMsg",IF(NOT(ISERROR('#_Sheet1'!E7)),IF(ISERROR(Sheet1!E7),TRUE,FALSE),FALSE),"StuErrorMsg",IF(TYPE('#_Sheet1'!E7)&lt;&gt;TYPE(Sheet1!E7),TRUE,FALSE),"WrongTypeMsg",IF(ISNUMBER('#_Sheet1'!E7),IF(ABS('#_Sheet1'!E7-Sheet1!E7)&gt;0.00001,TRUE,FALSE),IF('#_Sheet1'!E7&lt;&gt;Sheet1!E7,TRUE,FALSE)),IF(ISNUMBER('#_Sheet1'!E7),IF('#_Sheet1'!E7&gt;Sheet1!E7,"TooLow","TooHigh"),"WrongAnswer"),NOT(_xlfn.ISFORMULA('#_Sheet1'!E7)),IF(_xlfn.IFS(ISTEXT('#_Sheet1'!E7),FALSE,ISLOGICAL('#_Sheet1'!E7),FALSE,SUBSTITUTE(CELL("format",'#_Sheet1'!E7),"-","")=SUBSTITUTE(CELL("format",Sheet1!E7),"-",""),FALSE,CELL("format",'#_Sheet1'!E7)="G",FALSE,AND(CELL("format",'#_Sheet1'!E7)="F0",CELL("format",Sheet1!E7)="G"),FALSE,TRUE,IFERROR(IF(MATCH(CELL("format",'#_Sheet1'!E7),FormatCodesSFX!$A$4:$A$53,0)&gt;0,TRUE),FALSE),TRUE,TRUE),"FormatMsg","PerfectMsg"),_xlfn.IFS(ISTEXT('#_Sheet1'!E7),FALSE,ISLOGICAL('#_Sheet1'!E7),FALSE,SUBSTITUTE(CELL("format",'#_Sheet1'!E7),"-","")=SUBSTITUTE(CELL("format",Sheet1!E7),"-",""),FALSE,CELL("format",'#_Sheet1'!E7)="G",FALSE,AND(CELL("format",'#_Sheet1'!E7)="F0",CELL("format",Sheet1!E7)="G"),FALSE,TRUE,IFERROR(IF(MATCH(CELL("format",'#_Sheet1'!E7),FormatCodesSFX!$A$4:$A$53,0)&gt;0,TRUE),FALSE),TRUE,TRUE),"FormatMsg",TRUE,"PerfectMsg")</f>
        <v/>
      </c>
      <c r="F7" s="36" t="str">
        <f ca="1">_xlfn.IFS(ISBLANK(Sheet1!F7),"",IF(NOT(ISNA('#_Sheet1'!F7)),IF(ISNA(Sheet1!F7),TRUE,FALSE),FALSE),"StuNAMsg",IF(AND(ISNA('#_Sheet1'!F7),ISNA(Sheet1!F7)),TRUE,FALSE),"PerfectMsg",IF(NOT(ISERROR('#_Sheet1'!F7)),IF(ISERROR(Sheet1!F7),TRUE,FALSE),FALSE),"StuErrorMsg",IF(TYPE('#_Sheet1'!F7)&lt;&gt;TYPE(Sheet1!F7),TRUE,FALSE),"WrongTypeMsg",IF(ISNUMBER('#_Sheet1'!F7),IF(ABS('#_Sheet1'!F7-Sheet1!F7)&gt;0.00001,TRUE,FALSE),IF('#_Sheet1'!F7&lt;&gt;Sheet1!F7,TRUE,FALSE)),IF(ISNUMBER('#_Sheet1'!F7),IF('#_Sheet1'!F7&gt;Sheet1!F7,"TooLow","TooHigh"),"WrongAnswer"),NOT(_xlfn.ISFORMULA('#_Sheet1'!F7)),IF(_xlfn.IFS(ISTEXT('#_Sheet1'!F7),FALSE,ISLOGICAL('#_Sheet1'!F7),FALSE,SUBSTITUTE(CELL("format",'#_Sheet1'!F7),"-","")=SUBSTITUTE(CELL("format",Sheet1!F7),"-",""),FALSE,CELL("format",'#_Sheet1'!F7)="G",FALSE,AND(CELL("format",'#_Sheet1'!F7)="F0",CELL("format",Sheet1!F7)="G"),FALSE,TRUE,IFERROR(IF(MATCH(CELL("format",'#_Sheet1'!F7),FormatCodesSFX!$A$4:$A$53,0)&gt;0,TRUE),FALSE),TRUE,TRUE),"FormatMsg","PerfectMsg"),_xlfn.IFS(ISTEXT('#_Sheet1'!F7),FALSE,ISLOGICAL('#_Sheet1'!F7),FALSE,SUBSTITUTE(CELL("format",'#_Sheet1'!F7),"-","")=SUBSTITUTE(CELL("format",Sheet1!F7),"-",""),FALSE,CELL("format",'#_Sheet1'!F7)="G",FALSE,AND(CELL("format",'#_Sheet1'!F7)="F0",CELL("format",Sheet1!F7)="G"),FALSE,TRUE,IFERROR(IF(MATCH(CELL("format",'#_Sheet1'!F7),FormatCodesSFX!$A$4:$A$53,0)&gt;0,TRUE),FALSE),TRUE,TRUE),"FormatMsg",TRUE,"PerfectMsg")</f>
        <v/>
      </c>
      <c r="G7" s="44" t="str">
        <f ca="1">_xlfn.IFS(ISBLANK(Sheet1!G7),"",IF(NOT(ISNA('#_Sheet1'!G7)),IF(ISNA(Sheet1!G7),TRUE,FALSE),FALSE),"StuNAMsg",IF(AND(ISNA('#_Sheet1'!G7),ISNA(Sheet1!G7)),TRUE,FALSE),"PerfectMsg",IF(NOT(ISERROR('#_Sheet1'!G7)),IF(ISERROR(Sheet1!G7),TRUE,FALSE),FALSE),"StuErrorMsg",IF(TYPE('#_Sheet1'!G7)&lt;&gt;TYPE(Sheet1!G7),TRUE,FALSE),"WrongTypeMsg",IF(ISNUMBER('#_Sheet1'!G7),IF(ABS('#_Sheet1'!G7-Sheet1!G7)&gt;0.00001,TRUE,FALSE),IF('#_Sheet1'!G7&lt;&gt;Sheet1!G7,TRUE,FALSE)),IF(ISNUMBER('#_Sheet1'!G7),IF('#_Sheet1'!G7&gt;Sheet1!G7,"TooLow","TooHigh"),"WrongAnswer"),NOT(_xlfn.ISFORMULA('#_Sheet1'!G7)),IF(_xlfn.IFS(ISTEXT('#_Sheet1'!G7),FALSE,ISLOGICAL('#_Sheet1'!G7),FALSE,SUBSTITUTE(CELL("format",'#_Sheet1'!G7),"-","")=SUBSTITUTE(CELL("format",Sheet1!G7),"-",""),FALSE,CELL("format",'#_Sheet1'!G7)="G",FALSE,AND(CELL("format",'#_Sheet1'!G7)="F0",CELL("format",Sheet1!G7)="G"),FALSE,TRUE,IFERROR(IF(MATCH(CELL("format",'#_Sheet1'!G7),FormatCodesSFX!$A$4:$A$53,0)&gt;0,TRUE),FALSE),TRUE,TRUE),"FormatMsg","PerfectMsg"),_xlfn.IFS(ISTEXT('#_Sheet1'!G7),FALSE,ISLOGICAL('#_Sheet1'!G7),FALSE,SUBSTITUTE(CELL("format",'#_Sheet1'!G7),"-","")=SUBSTITUTE(CELL("format",Sheet1!G7),"-",""),FALSE,CELL("format",'#_Sheet1'!G7)="G",FALSE,AND(CELL("format",'#_Sheet1'!G7)="F0",CELL("format",Sheet1!G7)="G"),FALSE,TRUE,IFERROR(IF(MATCH(CELL("format",'#_Sheet1'!G7),FormatCodesSFX!$A$4:$A$53,0)&gt;0,TRUE),FALSE),TRUE,TRUE),"FormatMsg",TRUE,"PerfectMsg")</f>
        <v/>
      </c>
      <c r="H7" s="45" t="str">
        <f ca="1">_xlfn.IFS(ISBLANK(Sheet1!H7),"",IF(NOT(ISNA('#_Sheet1'!H7)),IF(ISNA(Sheet1!H7),TRUE,FALSE),FALSE),"StuNAMsg",IF(AND(ISNA('#_Sheet1'!H7),ISNA(Sheet1!H7)),TRUE,FALSE),"PerfectMsg",IF(NOT(ISERROR('#_Sheet1'!H7)),IF(ISERROR(Sheet1!H7),TRUE,FALSE),FALSE),"StuErrorMsg",IF(TYPE('#_Sheet1'!H7)&lt;&gt;TYPE(Sheet1!H7),TRUE,FALSE),"WrongTypeMsg",IF(ISNUMBER('#_Sheet1'!H7),IF(ABS('#_Sheet1'!H7-Sheet1!H7)&gt;0.00001,TRUE,FALSE),IF('#_Sheet1'!H7&lt;&gt;Sheet1!H7,TRUE,FALSE)),IF(ISNUMBER('#_Sheet1'!H7),IF('#_Sheet1'!H7&gt;Sheet1!H7,"TooLow","TooHigh"),"WrongAnswer"),NOT(_xlfn.ISFORMULA('#_Sheet1'!H7)),IF(_xlfn.IFS(ISTEXT('#_Sheet1'!H7),FALSE,ISLOGICAL('#_Sheet1'!H7),FALSE,SUBSTITUTE(CELL("format",'#_Sheet1'!H7),"-","")=SUBSTITUTE(CELL("format",Sheet1!H7),"-",""),FALSE,CELL("format",'#_Sheet1'!H7)="G",FALSE,AND(CELL("format",'#_Sheet1'!H7)="F0",CELL("format",Sheet1!H7)="G"),FALSE,TRUE,IFERROR(IF(MATCH(CELL("format",'#_Sheet1'!H7),FormatCodesSFX!$A$4:$A$53,0)&gt;0,TRUE),FALSE),TRUE,TRUE),"FormatMsg","PerfectMsg"),_xlfn.IFS(ISTEXT('#_Sheet1'!H7),FALSE,ISLOGICAL('#_Sheet1'!H7),FALSE,SUBSTITUTE(CELL("format",'#_Sheet1'!H7),"-","")=SUBSTITUTE(CELL("format",Sheet1!H7),"-",""),FALSE,CELL("format",'#_Sheet1'!H7)="G",FALSE,AND(CELL("format",'#_Sheet1'!H7)="F0",CELL("format",Sheet1!H7)="G"),FALSE,TRUE,IFERROR(IF(MATCH(CELL("format",'#_Sheet1'!H7),FormatCodesSFX!$A$4:$A$53,0)&gt;0,TRUE),FALSE),TRUE,TRUE),"FormatMsg",TRUE,"PerfectMsg")</f>
        <v/>
      </c>
    </row>
    <row r="8" spans="1:9" x14ac:dyDescent="0.15">
      <c r="A8" s="36" t="str">
        <f ca="1">_xlfn.IFS(ISBLANK(Sheet1!A8),"",IF(NOT(ISNA('#_Sheet1'!A8)),IF(ISNA(Sheet1!A8),TRUE,FALSE),FALSE),"StuNAMsg",IF(AND(ISNA('#_Sheet1'!A8),ISNA(Sheet1!A8)),TRUE,FALSE),"PerfectMsg",IF(NOT(ISERROR('#_Sheet1'!A8)),IF(ISERROR(Sheet1!A8),TRUE,FALSE),FALSE),"StuErrorMsg",IF(TYPE('#_Sheet1'!A8)&lt;&gt;TYPE(Sheet1!A8),TRUE,FALSE),"WrongTypeMsg",IF(ISNUMBER('#_Sheet1'!A8),IF(ABS('#_Sheet1'!A8-Sheet1!A8)&gt;0.00001,TRUE,FALSE),IF('#_Sheet1'!A8&lt;&gt;Sheet1!A8,TRUE,FALSE)),IF(ISNUMBER('#_Sheet1'!A8),IF('#_Sheet1'!A8&gt;Sheet1!A8,"TooLow","TooHigh"),"WrongAnswer"),NOT(_xlfn.ISFORMULA('#_Sheet1'!A8)),IF(_xlfn.IFS(ISTEXT('#_Sheet1'!A8),FALSE,ISLOGICAL('#_Sheet1'!A8),FALSE,SUBSTITUTE(CELL("format",'#_Sheet1'!A8),"-","")=SUBSTITUTE(CELL("format",Sheet1!A8),"-",""),FALSE,CELL("format",'#_Sheet1'!A8)="G",FALSE,AND(CELL("format",'#_Sheet1'!A8)="F0",CELL("format",Sheet1!A8)="G"),FALSE,TRUE,IFERROR(IF(MATCH(CELL("format",'#_Sheet1'!A8),FormatCodesSFX!$A$4:$A$53,0)&gt;0,TRUE),FALSE),TRUE,TRUE),"FormatMsg","PerfectMsg"),_xlfn.IFS(ISTEXT('#_Sheet1'!A8),FALSE,ISLOGICAL('#_Sheet1'!A8),FALSE,SUBSTITUTE(CELL("format",'#_Sheet1'!A8),"-","")=SUBSTITUTE(CELL("format",Sheet1!A8),"-",""),FALSE,CELL("format",'#_Sheet1'!A8)="G",FALSE,AND(CELL("format",'#_Sheet1'!A8)="F0",CELL("format",Sheet1!A8)="G"),FALSE,TRUE,IFERROR(IF(MATCH(CELL("format",'#_Sheet1'!A8),FormatCodesSFX!$A$4:$A$53,0)&gt;0,TRUE),FALSE),TRUE,TRUE),"FormatMsg",TRUE,"PerfectMsg")</f>
        <v/>
      </c>
      <c r="B8" s="36" t="str">
        <f ca="1">_xlfn.IFS(ISBLANK(Sheet1!B8),"",IF(NOT(ISNA('#_Sheet1'!B8)),IF(ISNA(Sheet1!B8),TRUE,FALSE),FALSE),"StuNAMsg",IF(AND(ISNA('#_Sheet1'!B8),ISNA(Sheet1!B8)),TRUE,FALSE),"PerfectMsg",IF(NOT(ISERROR('#_Sheet1'!B8)),IF(ISERROR(Sheet1!B8),TRUE,FALSE),FALSE),"StuErrorMsg",IF(TYPE('#_Sheet1'!B8)&lt;&gt;TYPE(Sheet1!B8),TRUE,FALSE),"WrongTypeMsg",IF(ISNUMBER('#_Sheet1'!B8),IF(ABS('#_Sheet1'!B8-Sheet1!B8)&gt;0.00001,TRUE,FALSE),IF('#_Sheet1'!B8&lt;&gt;Sheet1!B8,TRUE,FALSE)),IF(ISNUMBER('#_Sheet1'!B8),IF('#_Sheet1'!B8&gt;Sheet1!B8,"TooLow","TooHigh"),"WrongAnswer"),NOT(_xlfn.ISFORMULA('#_Sheet1'!B8)),IF(_xlfn.IFS(ISTEXT('#_Sheet1'!B8),FALSE,ISLOGICAL('#_Sheet1'!B8),FALSE,SUBSTITUTE(CELL("format",'#_Sheet1'!B8),"-","")=SUBSTITUTE(CELL("format",Sheet1!B8),"-",""),FALSE,CELL("format",'#_Sheet1'!B8)="G",FALSE,AND(CELL("format",'#_Sheet1'!B8)="F0",CELL("format",Sheet1!B8)="G"),FALSE,TRUE,IFERROR(IF(MATCH(CELL("format",'#_Sheet1'!B8),FormatCodesSFX!$A$4:$A$53,0)&gt;0,TRUE),FALSE),TRUE,TRUE),"FormatMsg","PerfectMsg"),_xlfn.IFS(ISTEXT('#_Sheet1'!B8),FALSE,ISLOGICAL('#_Sheet1'!B8),FALSE,SUBSTITUTE(CELL("format",'#_Sheet1'!B8),"-","")=SUBSTITUTE(CELL("format",Sheet1!B8),"-",""),FALSE,CELL("format",'#_Sheet1'!B8)="G",FALSE,AND(CELL("format",'#_Sheet1'!B8)="F0",CELL("format",Sheet1!B8)="G"),FALSE,TRUE,IFERROR(IF(MATCH(CELL("format",'#_Sheet1'!B8),FormatCodesSFX!$A$4:$A$53,0)&gt;0,TRUE),FALSE),TRUE,TRUE),"FormatMsg",TRUE,"PerfectMsg")</f>
        <v/>
      </c>
      <c r="C8" s="36" t="str">
        <f ca="1">_xlfn.IFS(ISBLANK(Sheet1!C8),"",IF(NOT(ISNA('#_Sheet1'!C8)),IF(ISNA(Sheet1!C8),TRUE,FALSE),FALSE),"StuNAMsg",IF(AND(ISNA('#_Sheet1'!C8),ISNA(Sheet1!C8)),TRUE,FALSE),"PerfectMsg",IF(NOT(ISERROR('#_Sheet1'!C8)),IF(ISERROR(Sheet1!C8),TRUE,FALSE),FALSE),"StuErrorMsg",IF(TYPE('#_Sheet1'!C8)&lt;&gt;TYPE(Sheet1!C8),TRUE,FALSE),"WrongTypeMsg",IF(ISNUMBER('#_Sheet1'!C8),IF(ABS('#_Sheet1'!C8-Sheet1!C8)&gt;0.00001,TRUE,FALSE),IF('#_Sheet1'!C8&lt;&gt;Sheet1!C8,TRUE,FALSE)),IF(ISNUMBER('#_Sheet1'!C8),IF('#_Sheet1'!C8&gt;Sheet1!C8,"TooLow","TooHigh"),"WrongAnswer"),NOT(_xlfn.ISFORMULA('#_Sheet1'!C8)),IF(_xlfn.IFS(ISTEXT('#_Sheet1'!C8),FALSE,ISLOGICAL('#_Sheet1'!C8),FALSE,SUBSTITUTE(CELL("format",'#_Sheet1'!C8),"-","")=SUBSTITUTE(CELL("format",Sheet1!C8),"-",""),FALSE,CELL("format",'#_Sheet1'!C8)="G",FALSE,AND(CELL("format",'#_Sheet1'!C8)="F0",CELL("format",Sheet1!C8)="G"),FALSE,TRUE,IFERROR(IF(MATCH(CELL("format",'#_Sheet1'!C8),FormatCodesSFX!$A$4:$A$53,0)&gt;0,TRUE),FALSE),TRUE,TRUE),"FormatMsg","PerfectMsg"),_xlfn.IFS(ISTEXT('#_Sheet1'!C8),FALSE,ISLOGICAL('#_Sheet1'!C8),FALSE,SUBSTITUTE(CELL("format",'#_Sheet1'!C8),"-","")=SUBSTITUTE(CELL("format",Sheet1!C8),"-",""),FALSE,CELL("format",'#_Sheet1'!C8)="G",FALSE,AND(CELL("format",'#_Sheet1'!C8)="F0",CELL("format",Sheet1!C8)="G"),FALSE,TRUE,IFERROR(IF(MATCH(CELL("format",'#_Sheet1'!C8),FormatCodesSFX!$A$4:$A$53,0)&gt;0,TRUE),FALSE),TRUE,TRUE),"FormatMsg",TRUE,"PerfectMsg")</f>
        <v/>
      </c>
      <c r="D8" s="36" t="str">
        <f ca="1">_xlfn.IFS(ISBLANK(Sheet1!D8),"",IF(NOT(ISNA('#_Sheet1'!D8)),IF(ISNA(Sheet1!D8),TRUE,FALSE),FALSE),"StuNAMsg",IF(AND(ISNA('#_Sheet1'!D8),ISNA(Sheet1!D8)),TRUE,FALSE),"PerfectMsg",IF(NOT(ISERROR('#_Sheet1'!D8)),IF(ISERROR(Sheet1!D8),TRUE,FALSE),FALSE),"StuErrorMsg",IF(TYPE('#_Sheet1'!D8)&lt;&gt;TYPE(Sheet1!D8),TRUE,FALSE),"WrongTypeMsg",IF(ISNUMBER('#_Sheet1'!D8),IF(ABS('#_Sheet1'!D8-Sheet1!D8)&gt;0.00001,TRUE,FALSE),IF('#_Sheet1'!D8&lt;&gt;Sheet1!D8,TRUE,FALSE)),IF(ISNUMBER('#_Sheet1'!D8),IF('#_Sheet1'!D8&gt;Sheet1!D8,"TooLow","TooHigh"),"WrongAnswer"),NOT(_xlfn.ISFORMULA('#_Sheet1'!D8)),IF(_xlfn.IFS(ISTEXT('#_Sheet1'!D8),FALSE,ISLOGICAL('#_Sheet1'!D8),FALSE,SUBSTITUTE(CELL("format",'#_Sheet1'!D8),"-","")=SUBSTITUTE(CELL("format",Sheet1!D8),"-",""),FALSE,CELL("format",'#_Sheet1'!D8)="G",FALSE,AND(CELL("format",'#_Sheet1'!D8)="F0",CELL("format",Sheet1!D8)="G"),FALSE,TRUE,IFERROR(IF(MATCH(CELL("format",'#_Sheet1'!D8),FormatCodesSFX!$A$4:$A$53,0)&gt;0,TRUE),FALSE),TRUE,TRUE),"FormatMsg","PerfectMsg"),_xlfn.IFS(ISTEXT('#_Sheet1'!D8),FALSE,ISLOGICAL('#_Sheet1'!D8),FALSE,SUBSTITUTE(CELL("format",'#_Sheet1'!D8),"-","")=SUBSTITUTE(CELL("format",Sheet1!D8),"-",""),FALSE,CELL("format",'#_Sheet1'!D8)="G",FALSE,AND(CELL("format",'#_Sheet1'!D8)="F0",CELL("format",Sheet1!D8)="G"),FALSE,TRUE,IFERROR(IF(MATCH(CELL("format",'#_Sheet1'!D8),FormatCodesSFX!$A$4:$A$53,0)&gt;0,TRUE),FALSE),TRUE,TRUE),"FormatMsg",TRUE,"PerfectMsg")</f>
        <v/>
      </c>
      <c r="E8" s="36" t="str">
        <f ca="1">_xlfn.IFS(ISBLANK(Sheet1!E8),"",IF(NOT(ISNA('#_Sheet1'!E8)),IF(ISNA(Sheet1!E8),TRUE,FALSE),FALSE),"StuNAMsg",IF(AND(ISNA('#_Sheet1'!E8),ISNA(Sheet1!E8)),TRUE,FALSE),"PerfectMsg",IF(NOT(ISERROR('#_Sheet1'!E8)),IF(ISERROR(Sheet1!E8),TRUE,FALSE),FALSE),"StuErrorMsg",IF(TYPE('#_Sheet1'!E8)&lt;&gt;TYPE(Sheet1!E8),TRUE,FALSE),"WrongTypeMsg",IF(ISNUMBER('#_Sheet1'!E8),IF(ABS('#_Sheet1'!E8-Sheet1!E8)&gt;0.00001,TRUE,FALSE),IF('#_Sheet1'!E8&lt;&gt;Sheet1!E8,TRUE,FALSE)),IF(ISNUMBER('#_Sheet1'!E8),IF('#_Sheet1'!E8&gt;Sheet1!E8,"TooLow","TooHigh"),"WrongAnswer"),NOT(_xlfn.ISFORMULA('#_Sheet1'!E8)),IF(_xlfn.IFS(ISTEXT('#_Sheet1'!E8),FALSE,ISLOGICAL('#_Sheet1'!E8),FALSE,SUBSTITUTE(CELL("format",'#_Sheet1'!E8),"-","")=SUBSTITUTE(CELL("format",Sheet1!E8),"-",""),FALSE,CELL("format",'#_Sheet1'!E8)="G",FALSE,AND(CELL("format",'#_Sheet1'!E8)="F0",CELL("format",Sheet1!E8)="G"),FALSE,TRUE,IFERROR(IF(MATCH(CELL("format",'#_Sheet1'!E8),FormatCodesSFX!$A$4:$A$53,0)&gt;0,TRUE),FALSE),TRUE,TRUE),"FormatMsg","PerfectMsg"),_xlfn.IFS(ISTEXT('#_Sheet1'!E8),FALSE,ISLOGICAL('#_Sheet1'!E8),FALSE,SUBSTITUTE(CELL("format",'#_Sheet1'!E8),"-","")=SUBSTITUTE(CELL("format",Sheet1!E8),"-",""),FALSE,CELL("format",'#_Sheet1'!E8)="G",FALSE,AND(CELL("format",'#_Sheet1'!E8)="F0",CELL("format",Sheet1!E8)="G"),FALSE,TRUE,IFERROR(IF(MATCH(CELL("format",'#_Sheet1'!E8),FormatCodesSFX!$A$4:$A$53,0)&gt;0,TRUE),FALSE),TRUE,TRUE),"FormatMsg",TRUE,"PerfectMsg")</f>
        <v/>
      </c>
      <c r="F8" s="36" t="str">
        <f ca="1">_xlfn.IFS(ISBLANK(Sheet1!F8),"",IF(NOT(ISNA('#_Sheet1'!F8)),IF(ISNA(Sheet1!F8),TRUE,FALSE),FALSE),"StuNAMsg",IF(AND(ISNA('#_Sheet1'!F8),ISNA(Sheet1!F8)),TRUE,FALSE),"PerfectMsg",IF(NOT(ISERROR('#_Sheet1'!F8)),IF(ISERROR(Sheet1!F8),TRUE,FALSE),FALSE),"StuErrorMsg",IF(TYPE('#_Sheet1'!F8)&lt;&gt;TYPE(Sheet1!F8),TRUE,FALSE),"WrongTypeMsg",IF(ISNUMBER('#_Sheet1'!F8),IF(ABS('#_Sheet1'!F8-Sheet1!F8)&gt;0.00001,TRUE,FALSE),IF('#_Sheet1'!F8&lt;&gt;Sheet1!F8,TRUE,FALSE)),IF(ISNUMBER('#_Sheet1'!F8),IF('#_Sheet1'!F8&gt;Sheet1!F8,"TooLow","TooHigh"),"WrongAnswer"),NOT(_xlfn.ISFORMULA('#_Sheet1'!F8)),IF(_xlfn.IFS(ISTEXT('#_Sheet1'!F8),FALSE,ISLOGICAL('#_Sheet1'!F8),FALSE,SUBSTITUTE(CELL("format",'#_Sheet1'!F8),"-","")=SUBSTITUTE(CELL("format",Sheet1!F8),"-",""),FALSE,CELL("format",'#_Sheet1'!F8)="G",FALSE,AND(CELL("format",'#_Sheet1'!F8)="F0",CELL("format",Sheet1!F8)="G"),FALSE,TRUE,IFERROR(IF(MATCH(CELL("format",'#_Sheet1'!F8),FormatCodesSFX!$A$4:$A$53,0)&gt;0,TRUE),FALSE),TRUE,TRUE),"FormatMsg","PerfectMsg"),_xlfn.IFS(ISTEXT('#_Sheet1'!F8),FALSE,ISLOGICAL('#_Sheet1'!F8),FALSE,SUBSTITUTE(CELL("format",'#_Sheet1'!F8),"-","")=SUBSTITUTE(CELL("format",Sheet1!F8),"-",""),FALSE,CELL("format",'#_Sheet1'!F8)="G",FALSE,AND(CELL("format",'#_Sheet1'!F8)="F0",CELL("format",Sheet1!F8)="G"),FALSE,TRUE,IFERROR(IF(MATCH(CELL("format",'#_Sheet1'!F8),FormatCodesSFX!$A$4:$A$53,0)&gt;0,TRUE),FALSE),TRUE,TRUE),"FormatMsg",TRUE,"PerfectMsg")</f>
        <v/>
      </c>
      <c r="G8" s="44" t="str">
        <f ca="1">_xlfn.IFS(ISBLANK(Sheet1!G8),"",IF(NOT(ISNA('#_Sheet1'!G8)),IF(ISNA(Sheet1!G8),TRUE,FALSE),FALSE),"StuNAMsg",IF(AND(ISNA('#_Sheet1'!G8),ISNA(Sheet1!G8)),TRUE,FALSE),"PerfectMsg",IF(NOT(ISERROR('#_Sheet1'!G8)),IF(ISERROR(Sheet1!G8),TRUE,FALSE),FALSE),"StuErrorMsg",IF(TYPE('#_Sheet1'!G8)&lt;&gt;TYPE(Sheet1!G8),TRUE,FALSE),"WrongTypeMsg",IF(ISNUMBER('#_Sheet1'!G8),IF(ABS('#_Sheet1'!G8-Sheet1!G8)&gt;0.00001,TRUE,FALSE),IF('#_Sheet1'!G8&lt;&gt;Sheet1!G8,TRUE,FALSE)),IF(ISNUMBER('#_Sheet1'!G8),IF('#_Sheet1'!G8&gt;Sheet1!G8,"TooLow","TooHigh"),"WrongAnswer"),NOT(_xlfn.ISFORMULA('#_Sheet1'!G8)),IF(_xlfn.IFS(ISTEXT('#_Sheet1'!G8),FALSE,ISLOGICAL('#_Sheet1'!G8),FALSE,SUBSTITUTE(CELL("format",'#_Sheet1'!G8),"-","")=SUBSTITUTE(CELL("format",Sheet1!G8),"-",""),FALSE,CELL("format",'#_Sheet1'!G8)="G",FALSE,AND(CELL("format",'#_Sheet1'!G8)="F0",CELL("format",Sheet1!G8)="G"),FALSE,TRUE,IFERROR(IF(MATCH(CELL("format",'#_Sheet1'!G8),FormatCodesSFX!$A$4:$A$53,0)&gt;0,TRUE),FALSE),TRUE,TRUE),"FormatMsg","PerfectMsg"),_xlfn.IFS(ISTEXT('#_Sheet1'!G8),FALSE,ISLOGICAL('#_Sheet1'!G8),FALSE,SUBSTITUTE(CELL("format",'#_Sheet1'!G8),"-","")=SUBSTITUTE(CELL("format",Sheet1!G8),"-",""),FALSE,CELL("format",'#_Sheet1'!G8)="G",FALSE,AND(CELL("format",'#_Sheet1'!G8)="F0",CELL("format",Sheet1!G8)="G"),FALSE,TRUE,IFERROR(IF(MATCH(CELL("format",'#_Sheet1'!G8),FormatCodesSFX!$A$4:$A$53,0)&gt;0,TRUE),FALSE),TRUE,TRUE),"FormatMsg",TRUE,"PerfectMsg")</f>
        <v/>
      </c>
      <c r="H8" s="45" t="str">
        <f ca="1">_xlfn.IFS(ISBLANK(Sheet1!H8),"",IF(NOT(ISNA('#_Sheet1'!H8)),IF(ISNA(Sheet1!H8),TRUE,FALSE),FALSE),"StuNAMsg",IF(AND(ISNA('#_Sheet1'!H8),ISNA(Sheet1!H8)),TRUE,FALSE),"PerfectMsg",IF(NOT(ISERROR('#_Sheet1'!H8)),IF(ISERROR(Sheet1!H8),TRUE,FALSE),FALSE),"StuErrorMsg",IF(TYPE('#_Sheet1'!H8)&lt;&gt;TYPE(Sheet1!H8),TRUE,FALSE),"WrongTypeMsg",IF(ISNUMBER('#_Sheet1'!H8),IF(ABS('#_Sheet1'!H8-Sheet1!H8)&gt;0.00001,TRUE,FALSE),IF('#_Sheet1'!H8&lt;&gt;Sheet1!H8,TRUE,FALSE)),IF(ISNUMBER('#_Sheet1'!H8),IF('#_Sheet1'!H8&gt;Sheet1!H8,"TooLow","TooHigh"),"WrongAnswer"),NOT(_xlfn.ISFORMULA('#_Sheet1'!H8)),IF(_xlfn.IFS(ISTEXT('#_Sheet1'!H8),FALSE,ISLOGICAL('#_Sheet1'!H8),FALSE,SUBSTITUTE(CELL("format",'#_Sheet1'!H8),"-","")=SUBSTITUTE(CELL("format",Sheet1!H8),"-",""),FALSE,CELL("format",'#_Sheet1'!H8)="G",FALSE,AND(CELL("format",'#_Sheet1'!H8)="F0",CELL("format",Sheet1!H8)="G"),FALSE,TRUE,IFERROR(IF(MATCH(CELL("format",'#_Sheet1'!H8),FormatCodesSFX!$A$4:$A$53,0)&gt;0,TRUE),FALSE),TRUE,TRUE),"FormatMsg","PerfectMsg"),_xlfn.IFS(ISTEXT('#_Sheet1'!H8),FALSE,ISLOGICAL('#_Sheet1'!H8),FALSE,SUBSTITUTE(CELL("format",'#_Sheet1'!H8),"-","")=SUBSTITUTE(CELL("format",Sheet1!H8),"-",""),FALSE,CELL("format",'#_Sheet1'!H8)="G",FALSE,AND(CELL("format",'#_Sheet1'!H8)="F0",CELL("format",Sheet1!H8)="G"),FALSE,TRUE,IFERROR(IF(MATCH(CELL("format",'#_Sheet1'!H8),FormatCodesSFX!$A$4:$A$53,0)&gt;0,TRUE),FALSE),TRUE,TRUE),"FormatMsg",TRUE,"PerfectMsg")</f>
        <v/>
      </c>
    </row>
    <row r="9" spans="1:9" x14ac:dyDescent="0.15">
      <c r="A9" s="36" t="str">
        <f ca="1">_xlfn.IFS(ISBLANK(Sheet1!A9),"",IF(NOT(ISNA('#_Sheet1'!A9)),IF(ISNA(Sheet1!A9),TRUE,FALSE),FALSE),"StuNAMsg",IF(AND(ISNA('#_Sheet1'!A9),ISNA(Sheet1!A9)),TRUE,FALSE),"PerfectMsg",IF(NOT(ISERROR('#_Sheet1'!A9)),IF(ISERROR(Sheet1!A9),TRUE,FALSE),FALSE),"StuErrorMsg",IF(TYPE('#_Sheet1'!A9)&lt;&gt;TYPE(Sheet1!A9),TRUE,FALSE),"WrongTypeMsg",IF(ISNUMBER('#_Sheet1'!A9),IF(ABS('#_Sheet1'!A9-Sheet1!A9)&gt;0.00001,TRUE,FALSE),IF('#_Sheet1'!A9&lt;&gt;Sheet1!A9,TRUE,FALSE)),IF(ISNUMBER('#_Sheet1'!A9),IF('#_Sheet1'!A9&gt;Sheet1!A9,"TooLow","TooHigh"),"WrongAnswer"),NOT(_xlfn.ISFORMULA('#_Sheet1'!A9)),IF(_xlfn.IFS(ISTEXT('#_Sheet1'!A9),FALSE,ISLOGICAL('#_Sheet1'!A9),FALSE,SUBSTITUTE(CELL("format",'#_Sheet1'!A9),"-","")=SUBSTITUTE(CELL("format",Sheet1!A9),"-",""),FALSE,CELL("format",'#_Sheet1'!A9)="G",FALSE,AND(CELL("format",'#_Sheet1'!A9)="F0",CELL("format",Sheet1!A9)="G"),FALSE,TRUE,IFERROR(IF(MATCH(CELL("format",'#_Sheet1'!A9),FormatCodesSFX!$A$4:$A$53,0)&gt;0,TRUE),FALSE),TRUE,TRUE),"FormatMsg","PerfectMsg"),_xlfn.IFS(ISTEXT('#_Sheet1'!A9),FALSE,ISLOGICAL('#_Sheet1'!A9),FALSE,SUBSTITUTE(CELL("format",'#_Sheet1'!A9),"-","")=SUBSTITUTE(CELL("format",Sheet1!A9),"-",""),FALSE,CELL("format",'#_Sheet1'!A9)="G",FALSE,AND(CELL("format",'#_Sheet1'!A9)="F0",CELL("format",Sheet1!A9)="G"),FALSE,TRUE,IFERROR(IF(MATCH(CELL("format",'#_Sheet1'!A9),FormatCodesSFX!$A$4:$A$53,0)&gt;0,TRUE),FALSE),TRUE,TRUE),"FormatMsg",TRUE,"PerfectMsg")</f>
        <v/>
      </c>
      <c r="B9" s="36" t="str">
        <f ca="1">_xlfn.IFS(ISBLANK(Sheet1!B9),"",IF(NOT(ISNA('#_Sheet1'!B9)),IF(ISNA(Sheet1!B9),TRUE,FALSE),FALSE),"StuNAMsg",IF(AND(ISNA('#_Sheet1'!B9),ISNA(Sheet1!B9)),TRUE,FALSE),"PerfectMsg",IF(NOT(ISERROR('#_Sheet1'!B9)),IF(ISERROR(Sheet1!B9),TRUE,FALSE),FALSE),"StuErrorMsg",IF(TYPE('#_Sheet1'!B9)&lt;&gt;TYPE(Sheet1!B9),TRUE,FALSE),"WrongTypeMsg",IF(ISNUMBER('#_Sheet1'!B9),IF(ABS('#_Sheet1'!B9-Sheet1!B9)&gt;0.00001,TRUE,FALSE),IF('#_Sheet1'!B9&lt;&gt;Sheet1!B9,TRUE,FALSE)),IF(ISNUMBER('#_Sheet1'!B9),IF('#_Sheet1'!B9&gt;Sheet1!B9,"TooLow","TooHigh"),"WrongAnswer"),NOT(_xlfn.ISFORMULA('#_Sheet1'!B9)),IF(_xlfn.IFS(ISTEXT('#_Sheet1'!B9),FALSE,ISLOGICAL('#_Sheet1'!B9),FALSE,SUBSTITUTE(CELL("format",'#_Sheet1'!B9),"-","")=SUBSTITUTE(CELL("format",Sheet1!B9),"-",""),FALSE,CELL("format",'#_Sheet1'!B9)="G",FALSE,AND(CELL("format",'#_Sheet1'!B9)="F0",CELL("format",Sheet1!B9)="G"),FALSE,TRUE,IFERROR(IF(MATCH(CELL("format",'#_Sheet1'!B9),FormatCodesSFX!$A$4:$A$53,0)&gt;0,TRUE),FALSE),TRUE,TRUE),"FormatMsg","PerfectMsg"),_xlfn.IFS(ISTEXT('#_Sheet1'!B9),FALSE,ISLOGICAL('#_Sheet1'!B9),FALSE,SUBSTITUTE(CELL("format",'#_Sheet1'!B9),"-","")=SUBSTITUTE(CELL("format",Sheet1!B9),"-",""),FALSE,CELL("format",'#_Sheet1'!B9)="G",FALSE,AND(CELL("format",'#_Sheet1'!B9)="F0",CELL("format",Sheet1!B9)="G"),FALSE,TRUE,IFERROR(IF(MATCH(CELL("format",'#_Sheet1'!B9),FormatCodesSFX!$A$4:$A$53,0)&gt;0,TRUE),FALSE),TRUE,TRUE),"FormatMsg",TRUE,"PerfectMsg")</f>
        <v/>
      </c>
      <c r="C9" s="36" t="str">
        <f ca="1">_xlfn.IFS(ISBLANK(Sheet1!C9),"",IF(NOT(ISNA('#_Sheet1'!C9)),IF(ISNA(Sheet1!C9),TRUE,FALSE),FALSE),"StuNAMsg",IF(AND(ISNA('#_Sheet1'!C9),ISNA(Sheet1!C9)),TRUE,FALSE),"PerfectMsg",IF(NOT(ISERROR('#_Sheet1'!C9)),IF(ISERROR(Sheet1!C9),TRUE,FALSE),FALSE),"StuErrorMsg",IF(TYPE('#_Sheet1'!C9)&lt;&gt;TYPE(Sheet1!C9),TRUE,FALSE),"WrongTypeMsg",IF(ISNUMBER('#_Sheet1'!C9),IF(ABS('#_Sheet1'!C9-Sheet1!C9)&gt;0.00001,TRUE,FALSE),IF('#_Sheet1'!C9&lt;&gt;Sheet1!C9,TRUE,FALSE)),IF(ISNUMBER('#_Sheet1'!C9),IF('#_Sheet1'!C9&gt;Sheet1!C9,"TooLow","TooHigh"),"WrongAnswer"),NOT(_xlfn.ISFORMULA('#_Sheet1'!C9)),IF(_xlfn.IFS(ISTEXT('#_Sheet1'!C9),FALSE,ISLOGICAL('#_Sheet1'!C9),FALSE,SUBSTITUTE(CELL("format",'#_Sheet1'!C9),"-","")=SUBSTITUTE(CELL("format",Sheet1!C9),"-",""),FALSE,CELL("format",'#_Sheet1'!C9)="G",FALSE,AND(CELL("format",'#_Sheet1'!C9)="F0",CELL("format",Sheet1!C9)="G"),FALSE,TRUE,IFERROR(IF(MATCH(CELL("format",'#_Sheet1'!C9),FormatCodesSFX!$A$4:$A$53,0)&gt;0,TRUE),FALSE),TRUE,TRUE),"FormatMsg","PerfectMsg"),_xlfn.IFS(ISTEXT('#_Sheet1'!C9),FALSE,ISLOGICAL('#_Sheet1'!C9),FALSE,SUBSTITUTE(CELL("format",'#_Sheet1'!C9),"-","")=SUBSTITUTE(CELL("format",Sheet1!C9),"-",""),FALSE,CELL("format",'#_Sheet1'!C9)="G",FALSE,AND(CELL("format",'#_Sheet1'!C9)="F0",CELL("format",Sheet1!C9)="G"),FALSE,TRUE,IFERROR(IF(MATCH(CELL("format",'#_Sheet1'!C9),FormatCodesSFX!$A$4:$A$53,0)&gt;0,TRUE),FALSE),TRUE,TRUE),"FormatMsg",TRUE,"PerfectMsg")</f>
        <v/>
      </c>
      <c r="D9" s="36" t="str">
        <f ca="1">_xlfn.IFS(ISBLANK(Sheet1!D9),"",IF(NOT(ISNA('#_Sheet1'!D9)),IF(ISNA(Sheet1!D9),TRUE,FALSE),FALSE),"StuNAMsg",IF(AND(ISNA('#_Sheet1'!D9),ISNA(Sheet1!D9)),TRUE,FALSE),"PerfectMsg",IF(NOT(ISERROR('#_Sheet1'!D9)),IF(ISERROR(Sheet1!D9),TRUE,FALSE),FALSE),"StuErrorMsg",IF(TYPE('#_Sheet1'!D9)&lt;&gt;TYPE(Sheet1!D9),TRUE,FALSE),"WrongTypeMsg",IF(ISNUMBER('#_Sheet1'!D9),IF(ABS('#_Sheet1'!D9-Sheet1!D9)&gt;0.00001,TRUE,FALSE),IF('#_Sheet1'!D9&lt;&gt;Sheet1!D9,TRUE,FALSE)),IF(ISNUMBER('#_Sheet1'!D9),IF('#_Sheet1'!D9&gt;Sheet1!D9,"TooLow","TooHigh"),"WrongAnswer"),NOT(_xlfn.ISFORMULA('#_Sheet1'!D9)),IF(_xlfn.IFS(ISTEXT('#_Sheet1'!D9),FALSE,ISLOGICAL('#_Sheet1'!D9),FALSE,SUBSTITUTE(CELL("format",'#_Sheet1'!D9),"-","")=SUBSTITUTE(CELL("format",Sheet1!D9),"-",""),FALSE,CELL("format",'#_Sheet1'!D9)="G",FALSE,AND(CELL("format",'#_Sheet1'!D9)="F0",CELL("format",Sheet1!D9)="G"),FALSE,TRUE,IFERROR(IF(MATCH(CELL("format",'#_Sheet1'!D9),FormatCodesSFX!$A$4:$A$53,0)&gt;0,TRUE),FALSE),TRUE,TRUE),"FormatMsg","PerfectMsg"),_xlfn.IFS(ISTEXT('#_Sheet1'!D9),FALSE,ISLOGICAL('#_Sheet1'!D9),FALSE,SUBSTITUTE(CELL("format",'#_Sheet1'!D9),"-","")=SUBSTITUTE(CELL("format",Sheet1!D9),"-",""),FALSE,CELL("format",'#_Sheet1'!D9)="G",FALSE,AND(CELL("format",'#_Sheet1'!D9)="F0",CELL("format",Sheet1!D9)="G"),FALSE,TRUE,IFERROR(IF(MATCH(CELL("format",'#_Sheet1'!D9),FormatCodesSFX!$A$4:$A$53,0)&gt;0,TRUE),FALSE),TRUE,TRUE),"FormatMsg",TRUE,"PerfectMsg")</f>
        <v/>
      </c>
      <c r="E9" s="36" t="str">
        <f ca="1">_xlfn.IFS(ISBLANK(Sheet1!E9),"",IF(NOT(ISNA('#_Sheet1'!E9)),IF(ISNA(Sheet1!E9),TRUE,FALSE),FALSE),"StuNAMsg",IF(AND(ISNA('#_Sheet1'!E9),ISNA(Sheet1!E9)),TRUE,FALSE),"PerfectMsg",IF(NOT(ISERROR('#_Sheet1'!E9)),IF(ISERROR(Sheet1!E9),TRUE,FALSE),FALSE),"StuErrorMsg",IF(TYPE('#_Sheet1'!E9)&lt;&gt;TYPE(Sheet1!E9),TRUE,FALSE),"WrongTypeMsg",IF(ISNUMBER('#_Sheet1'!E9),IF(ABS('#_Sheet1'!E9-Sheet1!E9)&gt;0.00001,TRUE,FALSE),IF('#_Sheet1'!E9&lt;&gt;Sheet1!E9,TRUE,FALSE)),IF(ISNUMBER('#_Sheet1'!E9),IF('#_Sheet1'!E9&gt;Sheet1!E9,"TooLow","TooHigh"),"WrongAnswer"),NOT(_xlfn.ISFORMULA('#_Sheet1'!E9)),IF(_xlfn.IFS(ISTEXT('#_Sheet1'!E9),FALSE,ISLOGICAL('#_Sheet1'!E9),FALSE,SUBSTITUTE(CELL("format",'#_Sheet1'!E9),"-","")=SUBSTITUTE(CELL("format",Sheet1!E9),"-",""),FALSE,CELL("format",'#_Sheet1'!E9)="G",FALSE,AND(CELL("format",'#_Sheet1'!E9)="F0",CELL("format",Sheet1!E9)="G"),FALSE,TRUE,IFERROR(IF(MATCH(CELL("format",'#_Sheet1'!E9),FormatCodesSFX!$A$4:$A$53,0)&gt;0,TRUE),FALSE),TRUE,TRUE),"FormatMsg","PerfectMsg"),_xlfn.IFS(ISTEXT('#_Sheet1'!E9),FALSE,ISLOGICAL('#_Sheet1'!E9),FALSE,SUBSTITUTE(CELL("format",'#_Sheet1'!E9),"-","")=SUBSTITUTE(CELL("format",Sheet1!E9),"-",""),FALSE,CELL("format",'#_Sheet1'!E9)="G",FALSE,AND(CELL("format",'#_Sheet1'!E9)="F0",CELL("format",Sheet1!E9)="G"),FALSE,TRUE,IFERROR(IF(MATCH(CELL("format",'#_Sheet1'!E9),FormatCodesSFX!$A$4:$A$53,0)&gt;0,TRUE),FALSE),TRUE,TRUE),"FormatMsg",TRUE,"PerfectMsg")</f>
        <v/>
      </c>
      <c r="F9" s="36" t="str">
        <f ca="1">_xlfn.IFS(ISBLANK(Sheet1!F9),"",IF(NOT(ISNA('#_Sheet1'!F9)),IF(ISNA(Sheet1!F9),TRUE,FALSE),FALSE),"StuNAMsg",IF(AND(ISNA('#_Sheet1'!F9),ISNA(Sheet1!F9)),TRUE,FALSE),"PerfectMsg",IF(NOT(ISERROR('#_Sheet1'!F9)),IF(ISERROR(Sheet1!F9),TRUE,FALSE),FALSE),"StuErrorMsg",IF(TYPE('#_Sheet1'!F9)&lt;&gt;TYPE(Sheet1!F9),TRUE,FALSE),"WrongTypeMsg",IF(ISNUMBER('#_Sheet1'!F9),IF(ABS('#_Sheet1'!F9-Sheet1!F9)&gt;0.00001,TRUE,FALSE),IF('#_Sheet1'!F9&lt;&gt;Sheet1!F9,TRUE,FALSE)),IF(ISNUMBER('#_Sheet1'!F9),IF('#_Sheet1'!F9&gt;Sheet1!F9,"TooLow","TooHigh"),"WrongAnswer"),NOT(_xlfn.ISFORMULA('#_Sheet1'!F9)),IF(_xlfn.IFS(ISTEXT('#_Sheet1'!F9),FALSE,ISLOGICAL('#_Sheet1'!F9),FALSE,SUBSTITUTE(CELL("format",'#_Sheet1'!F9),"-","")=SUBSTITUTE(CELL("format",Sheet1!F9),"-",""),FALSE,CELL("format",'#_Sheet1'!F9)="G",FALSE,AND(CELL("format",'#_Sheet1'!F9)="F0",CELL("format",Sheet1!F9)="G"),FALSE,TRUE,IFERROR(IF(MATCH(CELL("format",'#_Sheet1'!F9),FormatCodesSFX!$A$4:$A$53,0)&gt;0,TRUE),FALSE),TRUE,TRUE),"FormatMsg","PerfectMsg"),_xlfn.IFS(ISTEXT('#_Sheet1'!F9),FALSE,ISLOGICAL('#_Sheet1'!F9),FALSE,SUBSTITUTE(CELL("format",'#_Sheet1'!F9),"-","")=SUBSTITUTE(CELL("format",Sheet1!F9),"-",""),FALSE,CELL("format",'#_Sheet1'!F9)="G",FALSE,AND(CELL("format",'#_Sheet1'!F9)="F0",CELL("format",Sheet1!F9)="G"),FALSE,TRUE,IFERROR(IF(MATCH(CELL("format",'#_Sheet1'!F9),FormatCodesSFX!$A$4:$A$53,0)&gt;0,TRUE),FALSE),TRUE,TRUE),"FormatMsg",TRUE,"PerfectMsg")</f>
        <v/>
      </c>
      <c r="G9" s="44" t="str">
        <f ca="1">_xlfn.IFS(ISBLANK(Sheet1!G9),"",IF(NOT(ISNA('#_Sheet1'!G9)),IF(ISNA(Sheet1!G9),TRUE,FALSE),FALSE),"StuNAMsg",IF(AND(ISNA('#_Sheet1'!G9),ISNA(Sheet1!G9)),TRUE,FALSE),"PerfectMsg",IF(NOT(ISERROR('#_Sheet1'!G9)),IF(ISERROR(Sheet1!G9),TRUE,FALSE),FALSE),"StuErrorMsg",IF(TYPE('#_Sheet1'!G9)&lt;&gt;TYPE(Sheet1!G9),TRUE,FALSE),"WrongTypeMsg",IF(ISNUMBER('#_Sheet1'!G9),IF(ABS('#_Sheet1'!G9-Sheet1!G9)&gt;0.00001,TRUE,FALSE),IF('#_Sheet1'!G9&lt;&gt;Sheet1!G9,TRUE,FALSE)),IF(ISNUMBER('#_Sheet1'!G9),IF('#_Sheet1'!G9&gt;Sheet1!G9,"TooLow","TooHigh"),"WrongAnswer"),NOT(_xlfn.ISFORMULA('#_Sheet1'!G9)),IF(_xlfn.IFS(ISTEXT('#_Sheet1'!G9),FALSE,ISLOGICAL('#_Sheet1'!G9),FALSE,SUBSTITUTE(CELL("format",'#_Sheet1'!G9),"-","")=SUBSTITUTE(CELL("format",Sheet1!G9),"-",""),FALSE,CELL("format",'#_Sheet1'!G9)="G",FALSE,AND(CELL("format",'#_Sheet1'!G9)="F0",CELL("format",Sheet1!G9)="G"),FALSE,TRUE,IFERROR(IF(MATCH(CELL("format",'#_Sheet1'!G9),FormatCodesSFX!$A$4:$A$53,0)&gt;0,TRUE),FALSE),TRUE,TRUE),"FormatMsg","PerfectMsg"),_xlfn.IFS(ISTEXT('#_Sheet1'!G9),FALSE,ISLOGICAL('#_Sheet1'!G9),FALSE,SUBSTITUTE(CELL("format",'#_Sheet1'!G9),"-","")=SUBSTITUTE(CELL("format",Sheet1!G9),"-",""),FALSE,CELL("format",'#_Sheet1'!G9)="G",FALSE,AND(CELL("format",'#_Sheet1'!G9)="F0",CELL("format",Sheet1!G9)="G"),FALSE,TRUE,IFERROR(IF(MATCH(CELL("format",'#_Sheet1'!G9),FormatCodesSFX!$A$4:$A$53,0)&gt;0,TRUE),FALSE),TRUE,TRUE),"FormatMsg",TRUE,"PerfectMsg")</f>
        <v/>
      </c>
      <c r="H9" s="45" t="str">
        <f ca="1">_xlfn.IFS(ISBLANK(Sheet1!H9),"",IF(NOT(ISNA('#_Sheet1'!H9)),IF(ISNA(Sheet1!H9),TRUE,FALSE),FALSE),"StuNAMsg",IF(AND(ISNA('#_Sheet1'!H9),ISNA(Sheet1!H9)),TRUE,FALSE),"PerfectMsg",IF(NOT(ISERROR('#_Sheet1'!H9)),IF(ISERROR(Sheet1!H9),TRUE,FALSE),FALSE),"StuErrorMsg",IF(TYPE('#_Sheet1'!H9)&lt;&gt;TYPE(Sheet1!H9),TRUE,FALSE),"WrongTypeMsg",IF(ISNUMBER('#_Sheet1'!H9),IF(ABS('#_Sheet1'!H9-Sheet1!H9)&gt;0.00001,TRUE,FALSE),IF('#_Sheet1'!H9&lt;&gt;Sheet1!H9,TRUE,FALSE)),IF(ISNUMBER('#_Sheet1'!H9),IF('#_Sheet1'!H9&gt;Sheet1!H9,"TooLow","TooHigh"),"WrongAnswer"),NOT(_xlfn.ISFORMULA('#_Sheet1'!H9)),IF(_xlfn.IFS(ISTEXT('#_Sheet1'!H9),FALSE,ISLOGICAL('#_Sheet1'!H9),FALSE,SUBSTITUTE(CELL("format",'#_Sheet1'!H9),"-","")=SUBSTITUTE(CELL("format",Sheet1!H9),"-",""),FALSE,CELL("format",'#_Sheet1'!H9)="G",FALSE,AND(CELL("format",'#_Sheet1'!H9)="F0",CELL("format",Sheet1!H9)="G"),FALSE,TRUE,IFERROR(IF(MATCH(CELL("format",'#_Sheet1'!H9),FormatCodesSFX!$A$4:$A$53,0)&gt;0,TRUE),FALSE),TRUE,TRUE),"FormatMsg","PerfectMsg"),_xlfn.IFS(ISTEXT('#_Sheet1'!H9),FALSE,ISLOGICAL('#_Sheet1'!H9),FALSE,SUBSTITUTE(CELL("format",'#_Sheet1'!H9),"-","")=SUBSTITUTE(CELL("format",Sheet1!H9),"-",""),FALSE,CELL("format",'#_Sheet1'!H9)="G",FALSE,AND(CELL("format",'#_Sheet1'!H9)="F0",CELL("format",Sheet1!H9)="G"),FALSE,TRUE,IFERROR(IF(MATCH(CELL("format",'#_Sheet1'!H9),FormatCodesSFX!$A$4:$A$53,0)&gt;0,TRUE),FALSE),TRUE,TRUE),"FormatMsg",TRUE,"PerfectMsg")</f>
        <v/>
      </c>
    </row>
    <row r="10" spans="1:9" x14ac:dyDescent="0.15">
      <c r="A10" s="36" t="str">
        <f ca="1">_xlfn.IFS(ISBLANK(Sheet1!A10),"",IF(NOT(ISNA('#_Sheet1'!A10)),IF(ISNA(Sheet1!A10),TRUE,FALSE),FALSE),"StuNAMsg",IF(AND(ISNA('#_Sheet1'!A10),ISNA(Sheet1!A10)),TRUE,FALSE),"PerfectMsg",IF(NOT(ISERROR('#_Sheet1'!A10)),IF(ISERROR(Sheet1!A10),TRUE,FALSE),FALSE),"StuErrorMsg",IF(TYPE('#_Sheet1'!A10)&lt;&gt;TYPE(Sheet1!A10),TRUE,FALSE),"WrongTypeMsg",IF(ISNUMBER('#_Sheet1'!A10),IF(ABS('#_Sheet1'!A10-Sheet1!A10)&gt;0.00001,TRUE,FALSE),IF('#_Sheet1'!A10&lt;&gt;Sheet1!A10,TRUE,FALSE)),IF(ISNUMBER('#_Sheet1'!A10),IF('#_Sheet1'!A10&gt;Sheet1!A10,"TooLow","TooHigh"),"WrongAnswer"),NOT(_xlfn.ISFORMULA('#_Sheet1'!A10)),IF(_xlfn.IFS(ISTEXT('#_Sheet1'!A10),FALSE,ISLOGICAL('#_Sheet1'!A10),FALSE,SUBSTITUTE(CELL("format",'#_Sheet1'!A10),"-","")=SUBSTITUTE(CELL("format",Sheet1!A10),"-",""),FALSE,CELL("format",'#_Sheet1'!A10)="G",FALSE,AND(CELL("format",'#_Sheet1'!A10)="F0",CELL("format",Sheet1!A10)="G"),FALSE,TRUE,IFERROR(IF(MATCH(CELL("format",'#_Sheet1'!A10),FormatCodesSFX!$A$4:$A$53,0)&gt;0,TRUE),FALSE),TRUE,TRUE),"FormatMsg","PerfectMsg"),_xlfn.IFS(ISTEXT('#_Sheet1'!A10),FALSE,ISLOGICAL('#_Sheet1'!A10),FALSE,SUBSTITUTE(CELL("format",'#_Sheet1'!A10),"-","")=SUBSTITUTE(CELL("format",Sheet1!A10),"-",""),FALSE,CELL("format",'#_Sheet1'!A10)="G",FALSE,AND(CELL("format",'#_Sheet1'!A10)="F0",CELL("format",Sheet1!A10)="G"),FALSE,TRUE,IFERROR(IF(MATCH(CELL("format",'#_Sheet1'!A10),FormatCodesSFX!$A$4:$A$53,0)&gt;0,TRUE),FALSE),TRUE,TRUE),"FormatMsg",TRUE,"PerfectMsg")</f>
        <v/>
      </c>
      <c r="B10" s="36" t="str">
        <f ca="1">_xlfn.IFS(ISBLANK(Sheet1!B10),"",IF(NOT(ISNA('#_Sheet1'!B10)),IF(ISNA(Sheet1!B10),TRUE,FALSE),FALSE),"StuNAMsg",IF(AND(ISNA('#_Sheet1'!B10),ISNA(Sheet1!B10)),TRUE,FALSE),"PerfectMsg",IF(NOT(ISERROR('#_Sheet1'!B10)),IF(ISERROR(Sheet1!B10),TRUE,FALSE),FALSE),"StuErrorMsg",IF(TYPE('#_Sheet1'!B10)&lt;&gt;TYPE(Sheet1!B10),TRUE,FALSE),"WrongTypeMsg",IF(ISNUMBER('#_Sheet1'!B10),IF(ABS('#_Sheet1'!B10-Sheet1!B10)&gt;0.00001,TRUE,FALSE),IF('#_Sheet1'!B10&lt;&gt;Sheet1!B10,TRUE,FALSE)),IF(ISNUMBER('#_Sheet1'!B10),IF('#_Sheet1'!B10&gt;Sheet1!B10,"TooLow","TooHigh"),"WrongAnswer"),NOT(_xlfn.ISFORMULA('#_Sheet1'!B10)),IF(_xlfn.IFS(ISTEXT('#_Sheet1'!B10),FALSE,ISLOGICAL('#_Sheet1'!B10),FALSE,SUBSTITUTE(CELL("format",'#_Sheet1'!B10),"-","")=SUBSTITUTE(CELL("format",Sheet1!B10),"-",""),FALSE,CELL("format",'#_Sheet1'!B10)="G",FALSE,AND(CELL("format",'#_Sheet1'!B10)="F0",CELL("format",Sheet1!B10)="G"),FALSE,TRUE,IFERROR(IF(MATCH(CELL("format",'#_Sheet1'!B10),FormatCodesSFX!$A$4:$A$53,0)&gt;0,TRUE),FALSE),TRUE,TRUE),"FormatMsg","PerfectMsg"),_xlfn.IFS(ISTEXT('#_Sheet1'!B10),FALSE,ISLOGICAL('#_Sheet1'!B10),FALSE,SUBSTITUTE(CELL("format",'#_Sheet1'!B10),"-","")=SUBSTITUTE(CELL("format",Sheet1!B10),"-",""),FALSE,CELL("format",'#_Sheet1'!B10)="G",FALSE,AND(CELL("format",'#_Sheet1'!B10)="F0",CELL("format",Sheet1!B10)="G"),FALSE,TRUE,IFERROR(IF(MATCH(CELL("format",'#_Sheet1'!B10),FormatCodesSFX!$A$4:$A$53,0)&gt;0,TRUE),FALSE),TRUE,TRUE),"FormatMsg",TRUE,"PerfectMsg")</f>
        <v/>
      </c>
      <c r="C10" s="36" t="str">
        <f ca="1">_xlfn.IFS(ISBLANK(Sheet1!C10),"",IF(NOT(ISNA('#_Sheet1'!C10)),IF(ISNA(Sheet1!C10),TRUE,FALSE),FALSE),"StuNAMsg",IF(AND(ISNA('#_Sheet1'!C10),ISNA(Sheet1!C10)),TRUE,FALSE),"PerfectMsg",IF(NOT(ISERROR('#_Sheet1'!C10)),IF(ISERROR(Sheet1!C10),TRUE,FALSE),FALSE),"StuErrorMsg",IF(TYPE('#_Sheet1'!C10)&lt;&gt;TYPE(Sheet1!C10),TRUE,FALSE),"WrongTypeMsg",IF(ISNUMBER('#_Sheet1'!C10),IF(ABS('#_Sheet1'!C10-Sheet1!C10)&gt;0.00001,TRUE,FALSE),IF('#_Sheet1'!C10&lt;&gt;Sheet1!C10,TRUE,FALSE)),IF(ISNUMBER('#_Sheet1'!C10),IF('#_Sheet1'!C10&gt;Sheet1!C10,"TooLow","TooHigh"),"WrongAnswer"),NOT(_xlfn.ISFORMULA('#_Sheet1'!C10)),IF(_xlfn.IFS(ISTEXT('#_Sheet1'!C10),FALSE,ISLOGICAL('#_Sheet1'!C10),FALSE,SUBSTITUTE(CELL("format",'#_Sheet1'!C10),"-","")=SUBSTITUTE(CELL("format",Sheet1!C10),"-",""),FALSE,CELL("format",'#_Sheet1'!C10)="G",FALSE,AND(CELL("format",'#_Sheet1'!C10)="F0",CELL("format",Sheet1!C10)="G"),FALSE,TRUE,IFERROR(IF(MATCH(CELL("format",'#_Sheet1'!C10),FormatCodesSFX!$A$4:$A$53,0)&gt;0,TRUE),FALSE),TRUE,TRUE),"FormatMsg","PerfectMsg"),_xlfn.IFS(ISTEXT('#_Sheet1'!C10),FALSE,ISLOGICAL('#_Sheet1'!C10),FALSE,SUBSTITUTE(CELL("format",'#_Sheet1'!C10),"-","")=SUBSTITUTE(CELL("format",Sheet1!C10),"-",""),FALSE,CELL("format",'#_Sheet1'!C10)="G",FALSE,AND(CELL("format",'#_Sheet1'!C10)="F0",CELL("format",Sheet1!C10)="G"),FALSE,TRUE,IFERROR(IF(MATCH(CELL("format",'#_Sheet1'!C10),FormatCodesSFX!$A$4:$A$53,0)&gt;0,TRUE),FALSE),TRUE,TRUE),"FormatMsg",TRUE,"PerfectMsg")</f>
        <v/>
      </c>
      <c r="D10" s="36" t="str">
        <f ca="1">_xlfn.IFS(ISBLANK(Sheet1!D10),"",IF(NOT(ISNA('#_Sheet1'!D10)),IF(ISNA(Sheet1!D10),TRUE,FALSE),FALSE),"StuNAMsg",IF(AND(ISNA('#_Sheet1'!D10),ISNA(Sheet1!D10)),TRUE,FALSE),"PerfectMsg",IF(NOT(ISERROR('#_Sheet1'!D10)),IF(ISERROR(Sheet1!D10),TRUE,FALSE),FALSE),"StuErrorMsg",IF(TYPE('#_Sheet1'!D10)&lt;&gt;TYPE(Sheet1!D10),TRUE,FALSE),"WrongTypeMsg",IF(ISNUMBER('#_Sheet1'!D10),IF(ABS('#_Sheet1'!D10-Sheet1!D10)&gt;0.00001,TRUE,FALSE),IF('#_Sheet1'!D10&lt;&gt;Sheet1!D10,TRUE,FALSE)),IF(ISNUMBER('#_Sheet1'!D10),IF('#_Sheet1'!D10&gt;Sheet1!D10,"TooLow","TooHigh"),"WrongAnswer"),NOT(_xlfn.ISFORMULA('#_Sheet1'!D10)),IF(_xlfn.IFS(ISTEXT('#_Sheet1'!D10),FALSE,ISLOGICAL('#_Sheet1'!D10),FALSE,SUBSTITUTE(CELL("format",'#_Sheet1'!D10),"-","")=SUBSTITUTE(CELL("format",Sheet1!D10),"-",""),FALSE,CELL("format",'#_Sheet1'!D10)="G",FALSE,AND(CELL("format",'#_Sheet1'!D10)="F0",CELL("format",Sheet1!D10)="G"),FALSE,TRUE,IFERROR(IF(MATCH(CELL("format",'#_Sheet1'!D10),FormatCodesSFX!$A$4:$A$53,0)&gt;0,TRUE),FALSE),TRUE,TRUE),"FormatMsg","PerfectMsg"),_xlfn.IFS(ISTEXT('#_Sheet1'!D10),FALSE,ISLOGICAL('#_Sheet1'!D10),FALSE,SUBSTITUTE(CELL("format",'#_Sheet1'!D10),"-","")=SUBSTITUTE(CELL("format",Sheet1!D10),"-",""),FALSE,CELL("format",'#_Sheet1'!D10)="G",FALSE,AND(CELL("format",'#_Sheet1'!D10)="F0",CELL("format",Sheet1!D10)="G"),FALSE,TRUE,IFERROR(IF(MATCH(CELL("format",'#_Sheet1'!D10),FormatCodesSFX!$A$4:$A$53,0)&gt;0,TRUE),FALSE),TRUE,TRUE),"FormatMsg",TRUE,"PerfectMsg")</f>
        <v/>
      </c>
      <c r="E10" s="36" t="str">
        <f ca="1">_xlfn.IFS(ISBLANK(Sheet1!E10),"",IF(NOT(ISNA('#_Sheet1'!E10)),IF(ISNA(Sheet1!E10),TRUE,FALSE),FALSE),"StuNAMsg",IF(AND(ISNA('#_Sheet1'!E10),ISNA(Sheet1!E10)),TRUE,FALSE),"PerfectMsg",IF(NOT(ISERROR('#_Sheet1'!E10)),IF(ISERROR(Sheet1!E10),TRUE,FALSE),FALSE),"StuErrorMsg",IF(TYPE('#_Sheet1'!E10)&lt;&gt;TYPE(Sheet1!E10),TRUE,FALSE),"WrongTypeMsg",IF(ISNUMBER('#_Sheet1'!E10),IF(ABS('#_Sheet1'!E10-Sheet1!E10)&gt;0.00001,TRUE,FALSE),IF('#_Sheet1'!E10&lt;&gt;Sheet1!E10,TRUE,FALSE)),IF(ISNUMBER('#_Sheet1'!E10),IF('#_Sheet1'!E10&gt;Sheet1!E10,"TooLow","TooHigh"),"WrongAnswer"),NOT(_xlfn.ISFORMULA('#_Sheet1'!E10)),IF(_xlfn.IFS(ISTEXT('#_Sheet1'!E10),FALSE,ISLOGICAL('#_Sheet1'!E10),FALSE,SUBSTITUTE(CELL("format",'#_Sheet1'!E10),"-","")=SUBSTITUTE(CELL("format",Sheet1!E10),"-",""),FALSE,CELL("format",'#_Sheet1'!E10)="G",FALSE,AND(CELL("format",'#_Sheet1'!E10)="F0",CELL("format",Sheet1!E10)="G"),FALSE,TRUE,IFERROR(IF(MATCH(CELL("format",'#_Sheet1'!E10),FormatCodesSFX!$A$4:$A$53,0)&gt;0,TRUE),FALSE),TRUE,TRUE),"FormatMsg","PerfectMsg"),_xlfn.IFS(ISTEXT('#_Sheet1'!E10),FALSE,ISLOGICAL('#_Sheet1'!E10),FALSE,SUBSTITUTE(CELL("format",'#_Sheet1'!E10),"-","")=SUBSTITUTE(CELL("format",Sheet1!E10),"-",""),FALSE,CELL("format",'#_Sheet1'!E10)="G",FALSE,AND(CELL("format",'#_Sheet1'!E10)="F0",CELL("format",Sheet1!E10)="G"),FALSE,TRUE,IFERROR(IF(MATCH(CELL("format",'#_Sheet1'!E10),FormatCodesSFX!$A$4:$A$53,0)&gt;0,TRUE),FALSE),TRUE,TRUE),"FormatMsg",TRUE,"PerfectMsg")</f>
        <v/>
      </c>
      <c r="F10" s="36" t="str">
        <f ca="1">_xlfn.IFS(ISBLANK(Sheet1!F10),"",IF(NOT(ISNA('#_Sheet1'!F10)),IF(ISNA(Sheet1!F10),TRUE,FALSE),FALSE),"StuNAMsg",IF(AND(ISNA('#_Sheet1'!F10),ISNA(Sheet1!F10)),TRUE,FALSE),"PerfectMsg",IF(NOT(ISERROR('#_Sheet1'!F10)),IF(ISERROR(Sheet1!F10),TRUE,FALSE),FALSE),"StuErrorMsg",IF(TYPE('#_Sheet1'!F10)&lt;&gt;TYPE(Sheet1!F10),TRUE,FALSE),"WrongTypeMsg",IF(ISNUMBER('#_Sheet1'!F10),IF(ABS('#_Sheet1'!F10-Sheet1!F10)&gt;0.00001,TRUE,FALSE),IF('#_Sheet1'!F10&lt;&gt;Sheet1!F10,TRUE,FALSE)),IF(ISNUMBER('#_Sheet1'!F10),IF('#_Sheet1'!F10&gt;Sheet1!F10,"TooLow","TooHigh"),"WrongAnswer"),NOT(_xlfn.ISFORMULA('#_Sheet1'!F10)),IF(_xlfn.IFS(ISTEXT('#_Sheet1'!F10),FALSE,ISLOGICAL('#_Sheet1'!F10),FALSE,SUBSTITUTE(CELL("format",'#_Sheet1'!F10),"-","")=SUBSTITUTE(CELL("format",Sheet1!F10),"-",""),FALSE,CELL("format",'#_Sheet1'!F10)="G",FALSE,AND(CELL("format",'#_Sheet1'!F10)="F0",CELL("format",Sheet1!F10)="G"),FALSE,TRUE,IFERROR(IF(MATCH(CELL("format",'#_Sheet1'!F10),FormatCodesSFX!$A$4:$A$53,0)&gt;0,TRUE),FALSE),TRUE,TRUE),"FormatMsg","PerfectMsg"),_xlfn.IFS(ISTEXT('#_Sheet1'!F10),FALSE,ISLOGICAL('#_Sheet1'!F10),FALSE,SUBSTITUTE(CELL("format",'#_Sheet1'!F10),"-","")=SUBSTITUTE(CELL("format",Sheet1!F10),"-",""),FALSE,CELL("format",'#_Sheet1'!F10)="G",FALSE,AND(CELL("format",'#_Sheet1'!F10)="F0",CELL("format",Sheet1!F10)="G"),FALSE,TRUE,IFERROR(IF(MATCH(CELL("format",'#_Sheet1'!F10),FormatCodesSFX!$A$4:$A$53,0)&gt;0,TRUE),FALSE),TRUE,TRUE),"FormatMsg",TRUE,"PerfectMsg")</f>
        <v/>
      </c>
      <c r="G10" s="44" t="str">
        <f ca="1">_xlfn.IFS(ISBLANK(Sheet1!G10),"",IF(NOT(ISNA('#_Sheet1'!G10)),IF(ISNA(Sheet1!G10),TRUE,FALSE),FALSE),"StuNAMsg",IF(AND(ISNA('#_Sheet1'!G10),ISNA(Sheet1!G10)),TRUE,FALSE),"PerfectMsg",IF(NOT(ISERROR('#_Sheet1'!G10)),IF(ISERROR(Sheet1!G10),TRUE,FALSE),FALSE),"StuErrorMsg",IF(TYPE('#_Sheet1'!G10)&lt;&gt;TYPE(Sheet1!G10),TRUE,FALSE),"WrongTypeMsg",IF(ISNUMBER('#_Sheet1'!G10),IF(ABS('#_Sheet1'!G10-Sheet1!G10)&gt;0.00001,TRUE,FALSE),IF('#_Sheet1'!G10&lt;&gt;Sheet1!G10,TRUE,FALSE)),IF(ISNUMBER('#_Sheet1'!G10),IF('#_Sheet1'!G10&gt;Sheet1!G10,"TooLow","TooHigh"),"WrongAnswer"),NOT(_xlfn.ISFORMULA('#_Sheet1'!G10)),IF(_xlfn.IFS(ISTEXT('#_Sheet1'!G10),FALSE,ISLOGICAL('#_Sheet1'!G10),FALSE,SUBSTITUTE(CELL("format",'#_Sheet1'!G10),"-","")=SUBSTITUTE(CELL("format",Sheet1!G10),"-",""),FALSE,CELL("format",'#_Sheet1'!G10)="G",FALSE,AND(CELL("format",'#_Sheet1'!G10)="F0",CELL("format",Sheet1!G10)="G"),FALSE,TRUE,IFERROR(IF(MATCH(CELL("format",'#_Sheet1'!G10),FormatCodesSFX!$A$4:$A$53,0)&gt;0,TRUE),FALSE),TRUE,TRUE),"FormatMsg","PerfectMsg"),_xlfn.IFS(ISTEXT('#_Sheet1'!G10),FALSE,ISLOGICAL('#_Sheet1'!G10),FALSE,SUBSTITUTE(CELL("format",'#_Sheet1'!G10),"-","")=SUBSTITUTE(CELL("format",Sheet1!G10),"-",""),FALSE,CELL("format",'#_Sheet1'!G10)="G",FALSE,AND(CELL("format",'#_Sheet1'!G10)="F0",CELL("format",Sheet1!G10)="G"),FALSE,TRUE,IFERROR(IF(MATCH(CELL("format",'#_Sheet1'!G10),FormatCodesSFX!$A$4:$A$53,0)&gt;0,TRUE),FALSE),TRUE,TRUE),"FormatMsg",TRUE,"PerfectMsg")</f>
        <v/>
      </c>
      <c r="H10" s="45" t="str">
        <f ca="1">_xlfn.IFS(ISBLANK(Sheet1!H10),"",IF(NOT(ISNA('#_Sheet1'!H10)),IF(ISNA(Sheet1!H10),TRUE,FALSE),FALSE),"StuNAMsg",IF(AND(ISNA('#_Sheet1'!H10),ISNA(Sheet1!H10)),TRUE,FALSE),"PerfectMsg",IF(NOT(ISERROR('#_Sheet1'!H10)),IF(ISERROR(Sheet1!H10),TRUE,FALSE),FALSE),"StuErrorMsg",IF(TYPE('#_Sheet1'!H10)&lt;&gt;TYPE(Sheet1!H10),TRUE,FALSE),"WrongTypeMsg",IF(ISNUMBER('#_Sheet1'!H10),IF(ABS('#_Sheet1'!H10-Sheet1!H10)&gt;0.00001,TRUE,FALSE),IF('#_Sheet1'!H10&lt;&gt;Sheet1!H10,TRUE,FALSE)),IF(ISNUMBER('#_Sheet1'!H10),IF('#_Sheet1'!H10&gt;Sheet1!H10,"TooLow","TooHigh"),"WrongAnswer"),NOT(_xlfn.ISFORMULA('#_Sheet1'!H10)),IF(_xlfn.IFS(ISTEXT('#_Sheet1'!H10),FALSE,ISLOGICAL('#_Sheet1'!H10),FALSE,SUBSTITUTE(CELL("format",'#_Sheet1'!H10),"-","")=SUBSTITUTE(CELL("format",Sheet1!H10),"-",""),FALSE,CELL("format",'#_Sheet1'!H10)="G",FALSE,AND(CELL("format",'#_Sheet1'!H10)="F0",CELL("format",Sheet1!H10)="G"),FALSE,TRUE,IFERROR(IF(MATCH(CELL("format",'#_Sheet1'!H10),FormatCodesSFX!$A$4:$A$53,0)&gt;0,TRUE),FALSE),TRUE,TRUE),"FormatMsg","PerfectMsg"),_xlfn.IFS(ISTEXT('#_Sheet1'!H10),FALSE,ISLOGICAL('#_Sheet1'!H10),FALSE,SUBSTITUTE(CELL("format",'#_Sheet1'!H10),"-","")=SUBSTITUTE(CELL("format",Sheet1!H10),"-",""),FALSE,CELL("format",'#_Sheet1'!H10)="G",FALSE,AND(CELL("format",'#_Sheet1'!H10)="F0",CELL("format",Sheet1!H10)="G"),FALSE,TRUE,IFERROR(IF(MATCH(CELL("format",'#_Sheet1'!H10),FormatCodesSFX!$A$4:$A$53,0)&gt;0,TRUE),FALSE),TRUE,TRUE),"FormatMsg",TRUE,"PerfectMsg")</f>
        <v/>
      </c>
    </row>
    <row r="11" spans="1:9" x14ac:dyDescent="0.15">
      <c r="A11" s="36" t="str">
        <f ca="1">_xlfn.IFS(ISBLANK(Sheet1!A11),"",IF(NOT(ISNA('#_Sheet1'!A11)),IF(ISNA(Sheet1!A11),TRUE,FALSE),FALSE),"StuNAMsg",IF(AND(ISNA('#_Sheet1'!A11),ISNA(Sheet1!A11)),TRUE,FALSE),"PerfectMsg",IF(NOT(ISERROR('#_Sheet1'!A11)),IF(ISERROR(Sheet1!A11),TRUE,FALSE),FALSE),"StuErrorMsg",IF(TYPE('#_Sheet1'!A11)&lt;&gt;TYPE(Sheet1!A11),TRUE,FALSE),"WrongTypeMsg",IF(ISNUMBER('#_Sheet1'!A11),IF(ABS('#_Sheet1'!A11-Sheet1!A11)&gt;0.00001,TRUE,FALSE),IF('#_Sheet1'!A11&lt;&gt;Sheet1!A11,TRUE,FALSE)),IF(ISNUMBER('#_Sheet1'!A11),IF('#_Sheet1'!A11&gt;Sheet1!A11,"TooLow","TooHigh"),"WrongAnswer"),NOT(_xlfn.ISFORMULA('#_Sheet1'!A11)),IF(_xlfn.IFS(ISTEXT('#_Sheet1'!A11),FALSE,ISLOGICAL('#_Sheet1'!A11),FALSE,SUBSTITUTE(CELL("format",'#_Sheet1'!A11),"-","")=SUBSTITUTE(CELL("format",Sheet1!A11),"-",""),FALSE,CELL("format",'#_Sheet1'!A11)="G",FALSE,AND(CELL("format",'#_Sheet1'!A11)="F0",CELL("format",Sheet1!A11)="G"),FALSE,TRUE,IFERROR(IF(MATCH(CELL("format",'#_Sheet1'!A11),FormatCodesSFX!$A$4:$A$53,0)&gt;0,TRUE),FALSE),TRUE,TRUE),"FormatMsg","PerfectMsg"),_xlfn.IFS(ISTEXT('#_Sheet1'!A11),FALSE,ISLOGICAL('#_Sheet1'!A11),FALSE,SUBSTITUTE(CELL("format",'#_Sheet1'!A11),"-","")=SUBSTITUTE(CELL("format",Sheet1!A11),"-",""),FALSE,CELL("format",'#_Sheet1'!A11)="G",FALSE,AND(CELL("format",'#_Sheet1'!A11)="F0",CELL("format",Sheet1!A11)="G"),FALSE,TRUE,IFERROR(IF(MATCH(CELL("format",'#_Sheet1'!A11),FormatCodesSFX!$A$4:$A$53,0)&gt;0,TRUE),FALSE),TRUE,TRUE),"FormatMsg",TRUE,"PerfectMsg")</f>
        <v/>
      </c>
      <c r="B11" s="36" t="str">
        <f ca="1">_xlfn.IFS(ISBLANK(Sheet1!B11),"",IF(NOT(ISNA('#_Sheet1'!B11)),IF(ISNA(Sheet1!B11),TRUE,FALSE),FALSE),"StuNAMsg",IF(AND(ISNA('#_Sheet1'!B11),ISNA(Sheet1!B11)),TRUE,FALSE),"PerfectMsg",IF(NOT(ISERROR('#_Sheet1'!B11)),IF(ISERROR(Sheet1!B11),TRUE,FALSE),FALSE),"StuErrorMsg",IF(TYPE('#_Sheet1'!B11)&lt;&gt;TYPE(Sheet1!B11),TRUE,FALSE),"WrongTypeMsg",IF(ISNUMBER('#_Sheet1'!B11),IF(ABS('#_Sheet1'!B11-Sheet1!B11)&gt;0.00001,TRUE,FALSE),IF('#_Sheet1'!B11&lt;&gt;Sheet1!B11,TRUE,FALSE)),IF(ISNUMBER('#_Sheet1'!B11),IF('#_Sheet1'!B11&gt;Sheet1!B11,"TooLow","TooHigh"),"WrongAnswer"),NOT(_xlfn.ISFORMULA('#_Sheet1'!B11)),IF(_xlfn.IFS(ISTEXT('#_Sheet1'!B11),FALSE,ISLOGICAL('#_Sheet1'!B11),FALSE,SUBSTITUTE(CELL("format",'#_Sheet1'!B11),"-","")=SUBSTITUTE(CELL("format",Sheet1!B11),"-",""),FALSE,CELL("format",'#_Sheet1'!B11)="G",FALSE,AND(CELL("format",'#_Sheet1'!B11)="F0",CELL("format",Sheet1!B11)="G"),FALSE,TRUE,IFERROR(IF(MATCH(CELL("format",'#_Sheet1'!B11),FormatCodesSFX!$A$4:$A$53,0)&gt;0,TRUE),FALSE),TRUE,TRUE),"FormatMsg","PerfectMsg"),_xlfn.IFS(ISTEXT('#_Sheet1'!B11),FALSE,ISLOGICAL('#_Sheet1'!B11),FALSE,SUBSTITUTE(CELL("format",'#_Sheet1'!B11),"-","")=SUBSTITUTE(CELL("format",Sheet1!B11),"-",""),FALSE,CELL("format",'#_Sheet1'!B11)="G",FALSE,AND(CELL("format",'#_Sheet1'!B11)="F0",CELL("format",Sheet1!B11)="G"),FALSE,TRUE,IFERROR(IF(MATCH(CELL("format",'#_Sheet1'!B11),FormatCodesSFX!$A$4:$A$53,0)&gt;0,TRUE),FALSE),TRUE,TRUE),"FormatMsg",TRUE,"PerfectMsg")</f>
        <v/>
      </c>
      <c r="C11" s="36" t="str">
        <f ca="1">_xlfn.IFS(ISBLANK(Sheet1!C11),"",IF(NOT(ISNA('#_Sheet1'!C11)),IF(ISNA(Sheet1!C11),TRUE,FALSE),FALSE),"StuNAMsg",IF(AND(ISNA('#_Sheet1'!C11),ISNA(Sheet1!C11)),TRUE,FALSE),"PerfectMsg",IF(NOT(ISERROR('#_Sheet1'!C11)),IF(ISERROR(Sheet1!C11),TRUE,FALSE),FALSE),"StuErrorMsg",IF(TYPE('#_Sheet1'!C11)&lt;&gt;TYPE(Sheet1!C11),TRUE,FALSE),"WrongTypeMsg",IF(ISNUMBER('#_Sheet1'!C11),IF(ABS('#_Sheet1'!C11-Sheet1!C11)&gt;0.00001,TRUE,FALSE),IF('#_Sheet1'!C11&lt;&gt;Sheet1!C11,TRUE,FALSE)),IF(ISNUMBER('#_Sheet1'!C11),IF('#_Sheet1'!C11&gt;Sheet1!C11,"TooLow","TooHigh"),"WrongAnswer"),NOT(_xlfn.ISFORMULA('#_Sheet1'!C11)),IF(_xlfn.IFS(ISTEXT('#_Sheet1'!C11),FALSE,ISLOGICAL('#_Sheet1'!C11),FALSE,SUBSTITUTE(CELL("format",'#_Sheet1'!C11),"-","")=SUBSTITUTE(CELL("format",Sheet1!C11),"-",""),FALSE,CELL("format",'#_Sheet1'!C11)="G",FALSE,AND(CELL("format",'#_Sheet1'!C11)="F0",CELL("format",Sheet1!C11)="G"),FALSE,TRUE,IFERROR(IF(MATCH(CELL("format",'#_Sheet1'!C11),FormatCodesSFX!$A$4:$A$53,0)&gt;0,TRUE),FALSE),TRUE,TRUE),"FormatMsg","PerfectMsg"),_xlfn.IFS(ISTEXT('#_Sheet1'!C11),FALSE,ISLOGICAL('#_Sheet1'!C11),FALSE,SUBSTITUTE(CELL("format",'#_Sheet1'!C11),"-","")=SUBSTITUTE(CELL("format",Sheet1!C11),"-",""),FALSE,CELL("format",'#_Sheet1'!C11)="G",FALSE,AND(CELL("format",'#_Sheet1'!C11)="F0",CELL("format",Sheet1!C11)="G"),FALSE,TRUE,IFERROR(IF(MATCH(CELL("format",'#_Sheet1'!C11),FormatCodesSFX!$A$4:$A$53,0)&gt;0,TRUE),FALSE),TRUE,TRUE),"FormatMsg",TRUE,"PerfectMsg")</f>
        <v/>
      </c>
      <c r="D11" s="36" t="str">
        <f ca="1">_xlfn.IFS(ISBLANK(Sheet1!D11),"",IF(NOT(ISNA('#_Sheet1'!D11)),IF(ISNA(Sheet1!D11),TRUE,FALSE),FALSE),"StuNAMsg",IF(AND(ISNA('#_Sheet1'!D11),ISNA(Sheet1!D11)),TRUE,FALSE),"PerfectMsg",IF(NOT(ISERROR('#_Sheet1'!D11)),IF(ISERROR(Sheet1!D11),TRUE,FALSE),FALSE),"StuErrorMsg",IF(TYPE('#_Sheet1'!D11)&lt;&gt;TYPE(Sheet1!D11),TRUE,FALSE),"WrongTypeMsg",IF(ISNUMBER('#_Sheet1'!D11),IF(ABS('#_Sheet1'!D11-Sheet1!D11)&gt;0.00001,TRUE,FALSE),IF('#_Sheet1'!D11&lt;&gt;Sheet1!D11,TRUE,FALSE)),IF(ISNUMBER('#_Sheet1'!D11),IF('#_Sheet1'!D11&gt;Sheet1!D11,"TooLow","TooHigh"),"WrongAnswer"),NOT(_xlfn.ISFORMULA('#_Sheet1'!D11)),IF(_xlfn.IFS(ISTEXT('#_Sheet1'!D11),FALSE,ISLOGICAL('#_Sheet1'!D11),FALSE,SUBSTITUTE(CELL("format",'#_Sheet1'!D11),"-","")=SUBSTITUTE(CELL("format",Sheet1!D11),"-",""),FALSE,CELL("format",'#_Sheet1'!D11)="G",FALSE,AND(CELL("format",'#_Sheet1'!D11)="F0",CELL("format",Sheet1!D11)="G"),FALSE,TRUE,IFERROR(IF(MATCH(CELL("format",'#_Sheet1'!D11),FormatCodesSFX!$A$4:$A$53,0)&gt;0,TRUE),FALSE),TRUE,TRUE),"FormatMsg","PerfectMsg"),_xlfn.IFS(ISTEXT('#_Sheet1'!D11),FALSE,ISLOGICAL('#_Sheet1'!D11),FALSE,SUBSTITUTE(CELL("format",'#_Sheet1'!D11),"-","")=SUBSTITUTE(CELL("format",Sheet1!D11),"-",""),FALSE,CELL("format",'#_Sheet1'!D11)="G",FALSE,AND(CELL("format",'#_Sheet1'!D11)="F0",CELL("format",Sheet1!D11)="G"),FALSE,TRUE,IFERROR(IF(MATCH(CELL("format",'#_Sheet1'!D11),FormatCodesSFX!$A$4:$A$53,0)&gt;0,TRUE),FALSE),TRUE,TRUE),"FormatMsg",TRUE,"PerfectMsg")</f>
        <v/>
      </c>
      <c r="E11" s="36" t="str">
        <f ca="1">_xlfn.IFS(ISBLANK(Sheet1!E11),"",IF(NOT(ISNA('#_Sheet1'!E11)),IF(ISNA(Sheet1!E11),TRUE,FALSE),FALSE),"StuNAMsg",IF(AND(ISNA('#_Sheet1'!E11),ISNA(Sheet1!E11)),TRUE,FALSE),"PerfectMsg",IF(NOT(ISERROR('#_Sheet1'!E11)),IF(ISERROR(Sheet1!E11),TRUE,FALSE),FALSE),"StuErrorMsg",IF(TYPE('#_Sheet1'!E11)&lt;&gt;TYPE(Sheet1!E11),TRUE,FALSE),"WrongTypeMsg",IF(ISNUMBER('#_Sheet1'!E11),IF(ABS('#_Sheet1'!E11-Sheet1!E11)&gt;0.00001,TRUE,FALSE),IF('#_Sheet1'!E11&lt;&gt;Sheet1!E11,TRUE,FALSE)),IF(ISNUMBER('#_Sheet1'!E11),IF('#_Sheet1'!E11&gt;Sheet1!E11,"TooLow","TooHigh"),"WrongAnswer"),NOT(_xlfn.ISFORMULA('#_Sheet1'!E11)),IF(_xlfn.IFS(ISTEXT('#_Sheet1'!E11),FALSE,ISLOGICAL('#_Sheet1'!E11),FALSE,SUBSTITUTE(CELL("format",'#_Sheet1'!E11),"-","")=SUBSTITUTE(CELL("format",Sheet1!E11),"-",""),FALSE,CELL("format",'#_Sheet1'!E11)="G",FALSE,AND(CELL("format",'#_Sheet1'!E11)="F0",CELL("format",Sheet1!E11)="G"),FALSE,TRUE,IFERROR(IF(MATCH(CELL("format",'#_Sheet1'!E11),FormatCodesSFX!$A$4:$A$53,0)&gt;0,TRUE),FALSE),TRUE,TRUE),"FormatMsg","PerfectMsg"),_xlfn.IFS(ISTEXT('#_Sheet1'!E11),FALSE,ISLOGICAL('#_Sheet1'!E11),FALSE,SUBSTITUTE(CELL("format",'#_Sheet1'!E11),"-","")=SUBSTITUTE(CELL("format",Sheet1!E11),"-",""),FALSE,CELL("format",'#_Sheet1'!E11)="G",FALSE,AND(CELL("format",'#_Sheet1'!E11)="F0",CELL("format",Sheet1!E11)="G"),FALSE,TRUE,IFERROR(IF(MATCH(CELL("format",'#_Sheet1'!E11),FormatCodesSFX!$A$4:$A$53,0)&gt;0,TRUE),FALSE),TRUE,TRUE),"FormatMsg",TRUE,"PerfectMsg")</f>
        <v/>
      </c>
      <c r="F11" s="36" t="str">
        <f ca="1">_xlfn.IFS(ISBLANK(Sheet1!F11),"",IF(NOT(ISNA('#_Sheet1'!F11)),IF(ISNA(Sheet1!F11),TRUE,FALSE),FALSE),"StuNAMsg",IF(AND(ISNA('#_Sheet1'!F11),ISNA(Sheet1!F11)),TRUE,FALSE),"PerfectMsg",IF(NOT(ISERROR('#_Sheet1'!F11)),IF(ISERROR(Sheet1!F11),TRUE,FALSE),FALSE),"StuErrorMsg",IF(TYPE('#_Sheet1'!F11)&lt;&gt;TYPE(Sheet1!F11),TRUE,FALSE),"WrongTypeMsg",IF(ISNUMBER('#_Sheet1'!F11),IF(ABS('#_Sheet1'!F11-Sheet1!F11)&gt;0.00001,TRUE,FALSE),IF('#_Sheet1'!F11&lt;&gt;Sheet1!F11,TRUE,FALSE)),IF(ISNUMBER('#_Sheet1'!F11),IF('#_Sheet1'!F11&gt;Sheet1!F11,"TooLow","TooHigh"),"WrongAnswer"),NOT(_xlfn.ISFORMULA('#_Sheet1'!F11)),IF(_xlfn.IFS(ISTEXT('#_Sheet1'!F11),FALSE,ISLOGICAL('#_Sheet1'!F11),FALSE,SUBSTITUTE(CELL("format",'#_Sheet1'!F11),"-","")=SUBSTITUTE(CELL("format",Sheet1!F11),"-",""),FALSE,CELL("format",'#_Sheet1'!F11)="G",FALSE,AND(CELL("format",'#_Sheet1'!F11)="F0",CELL("format",Sheet1!F11)="G"),FALSE,TRUE,IFERROR(IF(MATCH(CELL("format",'#_Sheet1'!F11),FormatCodesSFX!$A$4:$A$53,0)&gt;0,TRUE),FALSE),TRUE,TRUE),"FormatMsg","PerfectMsg"),_xlfn.IFS(ISTEXT('#_Sheet1'!F11),FALSE,ISLOGICAL('#_Sheet1'!F11),FALSE,SUBSTITUTE(CELL("format",'#_Sheet1'!F11),"-","")=SUBSTITUTE(CELL("format",Sheet1!F11),"-",""),FALSE,CELL("format",'#_Sheet1'!F11)="G",FALSE,AND(CELL("format",'#_Sheet1'!F11)="F0",CELL("format",Sheet1!F11)="G"),FALSE,TRUE,IFERROR(IF(MATCH(CELL("format",'#_Sheet1'!F11),FormatCodesSFX!$A$4:$A$53,0)&gt;0,TRUE),FALSE),TRUE,TRUE),"FormatMsg",TRUE,"PerfectMsg")</f>
        <v/>
      </c>
      <c r="G11" s="44" t="str">
        <f ca="1">_xlfn.IFS(ISBLANK(Sheet1!G11),"",IF(NOT(ISNA('#_Sheet1'!G11)),IF(ISNA(Sheet1!G11),TRUE,FALSE),FALSE),"StuNAMsg",IF(AND(ISNA('#_Sheet1'!G11),ISNA(Sheet1!G11)),TRUE,FALSE),"PerfectMsg",IF(NOT(ISERROR('#_Sheet1'!G11)),IF(ISERROR(Sheet1!G11),TRUE,FALSE),FALSE),"StuErrorMsg",IF(TYPE('#_Sheet1'!G11)&lt;&gt;TYPE(Sheet1!G11),TRUE,FALSE),"WrongTypeMsg",IF(ISNUMBER('#_Sheet1'!G11),IF(ABS('#_Sheet1'!G11-Sheet1!G11)&gt;0.00001,TRUE,FALSE),IF('#_Sheet1'!G11&lt;&gt;Sheet1!G11,TRUE,FALSE)),IF(ISNUMBER('#_Sheet1'!G11),IF('#_Sheet1'!G11&gt;Sheet1!G11,"TooLow","TooHigh"),"WrongAnswer"),NOT(_xlfn.ISFORMULA('#_Sheet1'!G11)),IF(_xlfn.IFS(ISTEXT('#_Sheet1'!G11),FALSE,ISLOGICAL('#_Sheet1'!G11),FALSE,SUBSTITUTE(CELL("format",'#_Sheet1'!G11),"-","")=SUBSTITUTE(CELL("format",Sheet1!G11),"-",""),FALSE,CELL("format",'#_Sheet1'!G11)="G",FALSE,AND(CELL("format",'#_Sheet1'!G11)="F0",CELL("format",Sheet1!G11)="G"),FALSE,TRUE,IFERROR(IF(MATCH(CELL("format",'#_Sheet1'!G11),FormatCodesSFX!$A$4:$A$53,0)&gt;0,TRUE),FALSE),TRUE,TRUE),"FormatMsg","PerfectMsg"),_xlfn.IFS(ISTEXT('#_Sheet1'!G11),FALSE,ISLOGICAL('#_Sheet1'!G11),FALSE,SUBSTITUTE(CELL("format",'#_Sheet1'!G11),"-","")=SUBSTITUTE(CELL("format",Sheet1!G11),"-",""),FALSE,CELL("format",'#_Sheet1'!G11)="G",FALSE,AND(CELL("format",'#_Sheet1'!G11)="F0",CELL("format",Sheet1!G11)="G"),FALSE,TRUE,IFERROR(IF(MATCH(CELL("format",'#_Sheet1'!G11),FormatCodesSFX!$A$4:$A$53,0)&gt;0,TRUE),FALSE),TRUE,TRUE),"FormatMsg",TRUE,"PerfectMsg")</f>
        <v/>
      </c>
      <c r="H11" s="45" t="str">
        <f ca="1">_xlfn.IFS(ISBLANK(Sheet1!H11),"",IF(NOT(ISNA('#_Sheet1'!H11)),IF(ISNA(Sheet1!H11),TRUE,FALSE),FALSE),"StuNAMsg",IF(AND(ISNA('#_Sheet1'!H11),ISNA(Sheet1!H11)),TRUE,FALSE),"PerfectMsg",IF(NOT(ISERROR('#_Sheet1'!H11)),IF(ISERROR(Sheet1!H11),TRUE,FALSE),FALSE),"StuErrorMsg",IF(TYPE('#_Sheet1'!H11)&lt;&gt;TYPE(Sheet1!H11),TRUE,FALSE),"WrongTypeMsg",IF(ISNUMBER('#_Sheet1'!H11),IF(ABS('#_Sheet1'!H11-Sheet1!H11)&gt;0.00001,TRUE,FALSE),IF('#_Sheet1'!H11&lt;&gt;Sheet1!H11,TRUE,FALSE)),IF(ISNUMBER('#_Sheet1'!H11),IF('#_Sheet1'!H11&gt;Sheet1!H11,"TooLow","TooHigh"),"WrongAnswer"),NOT(_xlfn.ISFORMULA('#_Sheet1'!H11)),IF(_xlfn.IFS(ISTEXT('#_Sheet1'!H11),FALSE,ISLOGICAL('#_Sheet1'!H11),FALSE,SUBSTITUTE(CELL("format",'#_Sheet1'!H11),"-","")=SUBSTITUTE(CELL("format",Sheet1!H11),"-",""),FALSE,CELL("format",'#_Sheet1'!H11)="G",FALSE,AND(CELL("format",'#_Sheet1'!H11)="F0",CELL("format",Sheet1!H11)="G"),FALSE,TRUE,IFERROR(IF(MATCH(CELL("format",'#_Sheet1'!H11),FormatCodesSFX!$A$4:$A$53,0)&gt;0,TRUE),FALSE),TRUE,TRUE),"FormatMsg","PerfectMsg"),_xlfn.IFS(ISTEXT('#_Sheet1'!H11),FALSE,ISLOGICAL('#_Sheet1'!H11),FALSE,SUBSTITUTE(CELL("format",'#_Sheet1'!H11),"-","")=SUBSTITUTE(CELL("format",Sheet1!H11),"-",""),FALSE,CELL("format",'#_Sheet1'!H11)="G",FALSE,AND(CELL("format",'#_Sheet1'!H11)="F0",CELL("format",Sheet1!H11)="G"),FALSE,TRUE,IFERROR(IF(MATCH(CELL("format",'#_Sheet1'!H11),FormatCodesSFX!$A$4:$A$53,0)&gt;0,TRUE),FALSE),TRUE,TRUE),"FormatMsg",TRUE,"PerfectMsg")</f>
        <v/>
      </c>
    </row>
    <row r="12" spans="1:9" x14ac:dyDescent="0.15">
      <c r="A12" s="36" t="str">
        <f ca="1">_xlfn.IFS(ISBLANK(Sheet1!A12),"",IF(NOT(ISNA('#_Sheet1'!A12)),IF(ISNA(Sheet1!A12),TRUE,FALSE),FALSE),"StuNAMsg",IF(AND(ISNA('#_Sheet1'!A12),ISNA(Sheet1!A12)),TRUE,FALSE),"PerfectMsg",IF(NOT(ISERROR('#_Sheet1'!A12)),IF(ISERROR(Sheet1!A12),TRUE,FALSE),FALSE),"StuErrorMsg",IF(TYPE('#_Sheet1'!A12)&lt;&gt;TYPE(Sheet1!A12),TRUE,FALSE),"WrongTypeMsg",IF(ISNUMBER('#_Sheet1'!A12),IF(ABS('#_Sheet1'!A12-Sheet1!A12)&gt;0.00001,TRUE,FALSE),IF('#_Sheet1'!A12&lt;&gt;Sheet1!A12,TRUE,FALSE)),IF(ISNUMBER('#_Sheet1'!A12),IF('#_Sheet1'!A12&gt;Sheet1!A12,"TooLow","TooHigh"),"WrongAnswer"),NOT(_xlfn.ISFORMULA('#_Sheet1'!A12)),IF(_xlfn.IFS(ISTEXT('#_Sheet1'!A12),FALSE,ISLOGICAL('#_Sheet1'!A12),FALSE,SUBSTITUTE(CELL("format",'#_Sheet1'!A12),"-","")=SUBSTITUTE(CELL("format",Sheet1!A12),"-",""),FALSE,CELL("format",'#_Sheet1'!A12)="G",FALSE,AND(CELL("format",'#_Sheet1'!A12)="F0",CELL("format",Sheet1!A12)="G"),FALSE,TRUE,IFERROR(IF(MATCH(CELL("format",'#_Sheet1'!A12),FormatCodesSFX!$A$4:$A$53,0)&gt;0,TRUE),FALSE),TRUE,TRUE),"FormatMsg","PerfectMsg"),_xlfn.IFS(ISTEXT('#_Sheet1'!A12),FALSE,ISLOGICAL('#_Sheet1'!A12),FALSE,SUBSTITUTE(CELL("format",'#_Sheet1'!A12),"-","")=SUBSTITUTE(CELL("format",Sheet1!A12),"-",""),FALSE,CELL("format",'#_Sheet1'!A12)="G",FALSE,AND(CELL("format",'#_Sheet1'!A12)="F0",CELL("format",Sheet1!A12)="G"),FALSE,TRUE,IFERROR(IF(MATCH(CELL("format",'#_Sheet1'!A12),FormatCodesSFX!$A$4:$A$53,0)&gt;0,TRUE),FALSE),TRUE,TRUE),"FormatMsg",TRUE,"PerfectMsg")</f>
        <v/>
      </c>
      <c r="B12" s="36" t="str">
        <f ca="1">_xlfn.IFS(ISBLANK(Sheet1!B12),"",IF(NOT(ISNA('#_Sheet1'!B12)),IF(ISNA(Sheet1!B12),TRUE,FALSE),FALSE),"StuNAMsg",IF(AND(ISNA('#_Sheet1'!B12),ISNA(Sheet1!B12)),TRUE,FALSE),"PerfectMsg",IF(NOT(ISERROR('#_Sheet1'!B12)),IF(ISERROR(Sheet1!B12),TRUE,FALSE),FALSE),"StuErrorMsg",IF(TYPE('#_Sheet1'!B12)&lt;&gt;TYPE(Sheet1!B12),TRUE,FALSE),"WrongTypeMsg",IF(ISNUMBER('#_Sheet1'!B12),IF(ABS('#_Sheet1'!B12-Sheet1!B12)&gt;0.00001,TRUE,FALSE),IF('#_Sheet1'!B12&lt;&gt;Sheet1!B12,TRUE,FALSE)),IF(ISNUMBER('#_Sheet1'!B12),IF('#_Sheet1'!B12&gt;Sheet1!B12,"TooLow","TooHigh"),"WrongAnswer"),NOT(_xlfn.ISFORMULA('#_Sheet1'!B12)),IF(_xlfn.IFS(ISTEXT('#_Sheet1'!B12),FALSE,ISLOGICAL('#_Sheet1'!B12),FALSE,SUBSTITUTE(CELL("format",'#_Sheet1'!B12),"-","")=SUBSTITUTE(CELL("format",Sheet1!B12),"-",""),FALSE,CELL("format",'#_Sheet1'!B12)="G",FALSE,AND(CELL("format",'#_Sheet1'!B12)="F0",CELL("format",Sheet1!B12)="G"),FALSE,TRUE,IFERROR(IF(MATCH(CELL("format",'#_Sheet1'!B12),FormatCodesSFX!$A$4:$A$53,0)&gt;0,TRUE),FALSE),TRUE,TRUE),"FormatMsg","PerfectMsg"),_xlfn.IFS(ISTEXT('#_Sheet1'!B12),FALSE,ISLOGICAL('#_Sheet1'!B12),FALSE,SUBSTITUTE(CELL("format",'#_Sheet1'!B12),"-","")=SUBSTITUTE(CELL("format",Sheet1!B12),"-",""),FALSE,CELL("format",'#_Sheet1'!B12)="G",FALSE,AND(CELL("format",'#_Sheet1'!B12)="F0",CELL("format",Sheet1!B12)="G"),FALSE,TRUE,IFERROR(IF(MATCH(CELL("format",'#_Sheet1'!B12),FormatCodesSFX!$A$4:$A$53,0)&gt;0,TRUE),FALSE),TRUE,TRUE),"FormatMsg",TRUE,"PerfectMsg")</f>
        <v/>
      </c>
      <c r="C12" s="36" t="str">
        <f ca="1">_xlfn.IFS(ISBLANK(Sheet1!C12),"",IF(NOT(ISNA('#_Sheet1'!C12)),IF(ISNA(Sheet1!C12),TRUE,FALSE),FALSE),"StuNAMsg",IF(AND(ISNA('#_Sheet1'!C12),ISNA(Sheet1!C12)),TRUE,FALSE),"PerfectMsg",IF(NOT(ISERROR('#_Sheet1'!C12)),IF(ISERROR(Sheet1!C12),TRUE,FALSE),FALSE),"StuErrorMsg",IF(TYPE('#_Sheet1'!C12)&lt;&gt;TYPE(Sheet1!C12),TRUE,FALSE),"WrongTypeMsg",IF(ISNUMBER('#_Sheet1'!C12),IF(ABS('#_Sheet1'!C12-Sheet1!C12)&gt;0.00001,TRUE,FALSE),IF('#_Sheet1'!C12&lt;&gt;Sheet1!C12,TRUE,FALSE)),IF(ISNUMBER('#_Sheet1'!C12),IF('#_Sheet1'!C12&gt;Sheet1!C12,"TooLow","TooHigh"),"WrongAnswer"),NOT(_xlfn.ISFORMULA('#_Sheet1'!C12)),IF(_xlfn.IFS(ISTEXT('#_Sheet1'!C12),FALSE,ISLOGICAL('#_Sheet1'!C12),FALSE,SUBSTITUTE(CELL("format",'#_Sheet1'!C12),"-","")=SUBSTITUTE(CELL("format",Sheet1!C12),"-",""),FALSE,CELL("format",'#_Sheet1'!C12)="G",FALSE,AND(CELL("format",'#_Sheet1'!C12)="F0",CELL("format",Sheet1!C12)="G"),FALSE,TRUE,IFERROR(IF(MATCH(CELL("format",'#_Sheet1'!C12),FormatCodesSFX!$A$4:$A$53,0)&gt;0,TRUE),FALSE),TRUE,TRUE),"FormatMsg","PerfectMsg"),_xlfn.IFS(ISTEXT('#_Sheet1'!C12),FALSE,ISLOGICAL('#_Sheet1'!C12),FALSE,SUBSTITUTE(CELL("format",'#_Sheet1'!C12),"-","")=SUBSTITUTE(CELL("format",Sheet1!C12),"-",""),FALSE,CELL("format",'#_Sheet1'!C12)="G",FALSE,AND(CELL("format",'#_Sheet1'!C12)="F0",CELL("format",Sheet1!C12)="G"),FALSE,TRUE,IFERROR(IF(MATCH(CELL("format",'#_Sheet1'!C12),FormatCodesSFX!$A$4:$A$53,0)&gt;0,TRUE),FALSE),TRUE,TRUE),"FormatMsg",TRUE,"PerfectMsg")</f>
        <v/>
      </c>
      <c r="D12" s="36" t="str">
        <f ca="1">_xlfn.IFS(ISBLANK(Sheet1!D12),"",IF(NOT(ISNA('#_Sheet1'!D12)),IF(ISNA(Sheet1!D12),TRUE,FALSE),FALSE),"StuNAMsg",IF(AND(ISNA('#_Sheet1'!D12),ISNA(Sheet1!D12)),TRUE,FALSE),"PerfectMsg",IF(NOT(ISERROR('#_Sheet1'!D12)),IF(ISERROR(Sheet1!D12),TRUE,FALSE),FALSE),"StuErrorMsg",IF(TYPE('#_Sheet1'!D12)&lt;&gt;TYPE(Sheet1!D12),TRUE,FALSE),"WrongTypeMsg",IF(ISNUMBER('#_Sheet1'!D12),IF(ABS('#_Sheet1'!D12-Sheet1!D12)&gt;0.00001,TRUE,FALSE),IF('#_Sheet1'!D12&lt;&gt;Sheet1!D12,TRUE,FALSE)),IF(ISNUMBER('#_Sheet1'!D12),IF('#_Sheet1'!D12&gt;Sheet1!D12,"TooLow","TooHigh"),"WrongAnswer"),NOT(_xlfn.ISFORMULA('#_Sheet1'!D12)),IF(_xlfn.IFS(ISTEXT('#_Sheet1'!D12),FALSE,ISLOGICAL('#_Sheet1'!D12),FALSE,SUBSTITUTE(CELL("format",'#_Sheet1'!D12),"-","")=SUBSTITUTE(CELL("format",Sheet1!D12),"-",""),FALSE,CELL("format",'#_Sheet1'!D12)="G",FALSE,AND(CELL("format",'#_Sheet1'!D12)="F0",CELL("format",Sheet1!D12)="G"),FALSE,TRUE,IFERROR(IF(MATCH(CELL("format",'#_Sheet1'!D12),FormatCodesSFX!$A$4:$A$53,0)&gt;0,TRUE),FALSE),TRUE,TRUE),"FormatMsg","PerfectMsg"),_xlfn.IFS(ISTEXT('#_Sheet1'!D12),FALSE,ISLOGICAL('#_Sheet1'!D12),FALSE,SUBSTITUTE(CELL("format",'#_Sheet1'!D12),"-","")=SUBSTITUTE(CELL("format",Sheet1!D12),"-",""),FALSE,CELL("format",'#_Sheet1'!D12)="G",FALSE,AND(CELL("format",'#_Sheet1'!D12)="F0",CELL("format",Sheet1!D12)="G"),FALSE,TRUE,IFERROR(IF(MATCH(CELL("format",'#_Sheet1'!D12),FormatCodesSFX!$A$4:$A$53,0)&gt;0,TRUE),FALSE),TRUE,TRUE),"FormatMsg",TRUE,"PerfectMsg")</f>
        <v/>
      </c>
      <c r="E12" s="36" t="str">
        <f ca="1">_xlfn.IFS(ISBLANK(Sheet1!E12),"",IF(NOT(ISNA('#_Sheet1'!E12)),IF(ISNA(Sheet1!E12),TRUE,FALSE),FALSE),"StuNAMsg",IF(AND(ISNA('#_Sheet1'!E12),ISNA(Sheet1!E12)),TRUE,FALSE),"PerfectMsg",IF(NOT(ISERROR('#_Sheet1'!E12)),IF(ISERROR(Sheet1!E12),TRUE,FALSE),FALSE),"StuErrorMsg",IF(TYPE('#_Sheet1'!E12)&lt;&gt;TYPE(Sheet1!E12),TRUE,FALSE),"WrongTypeMsg",IF(ISNUMBER('#_Sheet1'!E12),IF(ABS('#_Sheet1'!E12-Sheet1!E12)&gt;0.00001,TRUE,FALSE),IF('#_Sheet1'!E12&lt;&gt;Sheet1!E12,TRUE,FALSE)),IF(ISNUMBER('#_Sheet1'!E12),IF('#_Sheet1'!E12&gt;Sheet1!E12,"TooLow","TooHigh"),"WrongAnswer"),NOT(_xlfn.ISFORMULA('#_Sheet1'!E12)),IF(_xlfn.IFS(ISTEXT('#_Sheet1'!E12),FALSE,ISLOGICAL('#_Sheet1'!E12),FALSE,SUBSTITUTE(CELL("format",'#_Sheet1'!E12),"-","")=SUBSTITUTE(CELL("format",Sheet1!E12),"-",""),FALSE,CELL("format",'#_Sheet1'!E12)="G",FALSE,AND(CELL("format",'#_Sheet1'!E12)="F0",CELL("format",Sheet1!E12)="G"),FALSE,TRUE,IFERROR(IF(MATCH(CELL("format",'#_Sheet1'!E12),FormatCodesSFX!$A$4:$A$53,0)&gt;0,TRUE),FALSE),TRUE,TRUE),"FormatMsg","PerfectMsg"),_xlfn.IFS(ISTEXT('#_Sheet1'!E12),FALSE,ISLOGICAL('#_Sheet1'!E12),FALSE,SUBSTITUTE(CELL("format",'#_Sheet1'!E12),"-","")=SUBSTITUTE(CELL("format",Sheet1!E12),"-",""),FALSE,CELL("format",'#_Sheet1'!E12)="G",FALSE,AND(CELL("format",'#_Sheet1'!E12)="F0",CELL("format",Sheet1!E12)="G"),FALSE,TRUE,IFERROR(IF(MATCH(CELL("format",'#_Sheet1'!E12),FormatCodesSFX!$A$4:$A$53,0)&gt;0,TRUE),FALSE),TRUE,TRUE),"FormatMsg",TRUE,"PerfectMsg")</f>
        <v/>
      </c>
      <c r="F12" s="36" t="str">
        <f ca="1">_xlfn.IFS(ISBLANK(Sheet1!F12),"",IF(NOT(ISNA('#_Sheet1'!F12)),IF(ISNA(Sheet1!F12),TRUE,FALSE),FALSE),"StuNAMsg",IF(AND(ISNA('#_Sheet1'!F12),ISNA(Sheet1!F12)),TRUE,FALSE),"PerfectMsg",IF(NOT(ISERROR('#_Sheet1'!F12)),IF(ISERROR(Sheet1!F12),TRUE,FALSE),FALSE),"StuErrorMsg",IF(TYPE('#_Sheet1'!F12)&lt;&gt;TYPE(Sheet1!F12),TRUE,FALSE),"WrongTypeMsg",IF(ISNUMBER('#_Sheet1'!F12),IF(ABS('#_Sheet1'!F12-Sheet1!F12)&gt;0.00001,TRUE,FALSE),IF('#_Sheet1'!F12&lt;&gt;Sheet1!F12,TRUE,FALSE)),IF(ISNUMBER('#_Sheet1'!F12),IF('#_Sheet1'!F12&gt;Sheet1!F12,"TooLow","TooHigh"),"WrongAnswer"),NOT(_xlfn.ISFORMULA('#_Sheet1'!F12)),IF(_xlfn.IFS(ISTEXT('#_Sheet1'!F12),FALSE,ISLOGICAL('#_Sheet1'!F12),FALSE,SUBSTITUTE(CELL("format",'#_Sheet1'!F12),"-","")=SUBSTITUTE(CELL("format",Sheet1!F12),"-",""),FALSE,CELL("format",'#_Sheet1'!F12)="G",FALSE,AND(CELL("format",'#_Sheet1'!F12)="F0",CELL("format",Sheet1!F12)="G"),FALSE,TRUE,IFERROR(IF(MATCH(CELL("format",'#_Sheet1'!F12),FormatCodesSFX!$A$4:$A$53,0)&gt;0,TRUE),FALSE),TRUE,TRUE),"FormatMsg","PerfectMsg"),_xlfn.IFS(ISTEXT('#_Sheet1'!F12),FALSE,ISLOGICAL('#_Sheet1'!F12),FALSE,SUBSTITUTE(CELL("format",'#_Sheet1'!F12),"-","")=SUBSTITUTE(CELL("format",Sheet1!F12),"-",""),FALSE,CELL("format",'#_Sheet1'!F12)="G",FALSE,AND(CELL("format",'#_Sheet1'!F12)="F0",CELL("format",Sheet1!F12)="G"),FALSE,TRUE,IFERROR(IF(MATCH(CELL("format",'#_Sheet1'!F12),FormatCodesSFX!$A$4:$A$53,0)&gt;0,TRUE),FALSE),TRUE,TRUE),"FormatMsg",TRUE,"PerfectMsg")</f>
        <v/>
      </c>
      <c r="G12" s="44" t="str">
        <f ca="1">_xlfn.IFS(ISBLANK(Sheet1!G12),"",IF(NOT(ISNA('#_Sheet1'!G12)),IF(ISNA(Sheet1!G12),TRUE,FALSE),FALSE),"StuNAMsg",IF(AND(ISNA('#_Sheet1'!G12),ISNA(Sheet1!G12)),TRUE,FALSE),"PerfectMsg",IF(NOT(ISERROR('#_Sheet1'!G12)),IF(ISERROR(Sheet1!G12),TRUE,FALSE),FALSE),"StuErrorMsg",IF(TYPE('#_Sheet1'!G12)&lt;&gt;TYPE(Sheet1!G12),TRUE,FALSE),"WrongTypeMsg",IF(ISNUMBER('#_Sheet1'!G12),IF(ABS('#_Sheet1'!G12-Sheet1!G12)&gt;0.00001,TRUE,FALSE),IF('#_Sheet1'!G12&lt;&gt;Sheet1!G12,TRUE,FALSE)),IF(ISNUMBER('#_Sheet1'!G12),IF('#_Sheet1'!G12&gt;Sheet1!G12,"TooLow","TooHigh"),"WrongAnswer"),NOT(_xlfn.ISFORMULA('#_Sheet1'!G12)),IF(_xlfn.IFS(ISTEXT('#_Sheet1'!G12),FALSE,ISLOGICAL('#_Sheet1'!G12),FALSE,SUBSTITUTE(CELL("format",'#_Sheet1'!G12),"-","")=SUBSTITUTE(CELL("format",Sheet1!G12),"-",""),FALSE,CELL("format",'#_Sheet1'!G12)="G",FALSE,AND(CELL("format",'#_Sheet1'!G12)="F0",CELL("format",Sheet1!G12)="G"),FALSE,TRUE,IFERROR(IF(MATCH(CELL("format",'#_Sheet1'!G12),FormatCodesSFX!$A$4:$A$53,0)&gt;0,TRUE),FALSE),TRUE,TRUE),"FormatMsg","PerfectMsg"),_xlfn.IFS(ISTEXT('#_Sheet1'!G12),FALSE,ISLOGICAL('#_Sheet1'!G12),FALSE,SUBSTITUTE(CELL("format",'#_Sheet1'!G12),"-","")=SUBSTITUTE(CELL("format",Sheet1!G12),"-",""),FALSE,CELL("format",'#_Sheet1'!G12)="G",FALSE,AND(CELL("format",'#_Sheet1'!G12)="F0",CELL("format",Sheet1!G12)="G"),FALSE,TRUE,IFERROR(IF(MATCH(CELL("format",'#_Sheet1'!G12),FormatCodesSFX!$A$4:$A$53,0)&gt;0,TRUE),FALSE),TRUE,TRUE),"FormatMsg",TRUE,"PerfectMsg")</f>
        <v/>
      </c>
      <c r="H12" s="45" t="str">
        <f ca="1">_xlfn.IFS(ISBLANK(Sheet1!H12),"",IF(NOT(ISNA('#_Sheet1'!H12)),IF(ISNA(Sheet1!H12),TRUE,FALSE),FALSE),"StuNAMsg",IF(AND(ISNA('#_Sheet1'!H12),ISNA(Sheet1!H12)),TRUE,FALSE),"PerfectMsg",IF(NOT(ISERROR('#_Sheet1'!H12)),IF(ISERROR(Sheet1!H12),TRUE,FALSE),FALSE),"StuErrorMsg",IF(TYPE('#_Sheet1'!H12)&lt;&gt;TYPE(Sheet1!H12),TRUE,FALSE),"WrongTypeMsg",IF(ISNUMBER('#_Sheet1'!H12),IF(ABS('#_Sheet1'!H12-Sheet1!H12)&gt;0.00001,TRUE,FALSE),IF('#_Sheet1'!H12&lt;&gt;Sheet1!H12,TRUE,FALSE)),IF(ISNUMBER('#_Sheet1'!H12),IF('#_Sheet1'!H12&gt;Sheet1!H12,"TooLow","TooHigh"),"WrongAnswer"),NOT(_xlfn.ISFORMULA('#_Sheet1'!H12)),IF(_xlfn.IFS(ISTEXT('#_Sheet1'!H12),FALSE,ISLOGICAL('#_Sheet1'!H12),FALSE,SUBSTITUTE(CELL("format",'#_Sheet1'!H12),"-","")=SUBSTITUTE(CELL("format",Sheet1!H12),"-",""),FALSE,CELL("format",'#_Sheet1'!H12)="G",FALSE,AND(CELL("format",'#_Sheet1'!H12)="F0",CELL("format",Sheet1!H12)="G"),FALSE,TRUE,IFERROR(IF(MATCH(CELL("format",'#_Sheet1'!H12),FormatCodesSFX!$A$4:$A$53,0)&gt;0,TRUE),FALSE),TRUE,TRUE),"FormatMsg","PerfectMsg"),_xlfn.IFS(ISTEXT('#_Sheet1'!H12),FALSE,ISLOGICAL('#_Sheet1'!H12),FALSE,SUBSTITUTE(CELL("format",'#_Sheet1'!H12),"-","")=SUBSTITUTE(CELL("format",Sheet1!H12),"-",""),FALSE,CELL("format",'#_Sheet1'!H12)="G",FALSE,AND(CELL("format",'#_Sheet1'!H12)="F0",CELL("format",Sheet1!H12)="G"),FALSE,TRUE,IFERROR(IF(MATCH(CELL("format",'#_Sheet1'!H12),FormatCodesSFX!$A$4:$A$53,0)&gt;0,TRUE),FALSE),TRUE,TRUE),"FormatMsg",TRUE,"PerfectMsg")</f>
        <v/>
      </c>
    </row>
    <row r="13" spans="1:9" x14ac:dyDescent="0.15">
      <c r="A13" s="36" t="str">
        <f ca="1">_xlfn.IFS(ISBLANK(Sheet1!A13),"",IF(NOT(ISNA('#_Sheet1'!A13)),IF(ISNA(Sheet1!A13),TRUE,FALSE),FALSE),"StuNAMsg",IF(AND(ISNA('#_Sheet1'!A13),ISNA(Sheet1!A13)),TRUE,FALSE),"PerfectMsg",IF(NOT(ISERROR('#_Sheet1'!A13)),IF(ISERROR(Sheet1!A13),TRUE,FALSE),FALSE),"StuErrorMsg",IF(TYPE('#_Sheet1'!A13)&lt;&gt;TYPE(Sheet1!A13),TRUE,FALSE),"WrongTypeMsg",IF(ISNUMBER('#_Sheet1'!A13),IF(ABS('#_Sheet1'!A13-Sheet1!A13)&gt;0.00001,TRUE,FALSE),IF('#_Sheet1'!A13&lt;&gt;Sheet1!A13,TRUE,FALSE)),IF(ISNUMBER('#_Sheet1'!A13),IF('#_Sheet1'!A13&gt;Sheet1!A13,"TooLow","TooHigh"),"WrongAnswer"),NOT(_xlfn.ISFORMULA('#_Sheet1'!A13)),IF(_xlfn.IFS(ISTEXT('#_Sheet1'!A13),FALSE,ISLOGICAL('#_Sheet1'!A13),FALSE,SUBSTITUTE(CELL("format",'#_Sheet1'!A13),"-","")=SUBSTITUTE(CELL("format",Sheet1!A13),"-",""),FALSE,CELL("format",'#_Sheet1'!A13)="G",FALSE,AND(CELL("format",'#_Sheet1'!A13)="F0",CELL("format",Sheet1!A13)="G"),FALSE,TRUE,IFERROR(IF(MATCH(CELL("format",'#_Sheet1'!A13),FormatCodesSFX!$A$4:$A$53,0)&gt;0,TRUE),FALSE),TRUE,TRUE),"FormatMsg","PerfectMsg"),_xlfn.IFS(ISTEXT('#_Sheet1'!A13),FALSE,ISLOGICAL('#_Sheet1'!A13),FALSE,SUBSTITUTE(CELL("format",'#_Sheet1'!A13),"-","")=SUBSTITUTE(CELL("format",Sheet1!A13),"-",""),FALSE,CELL("format",'#_Sheet1'!A13)="G",FALSE,AND(CELL("format",'#_Sheet1'!A13)="F0",CELL("format",Sheet1!A13)="G"),FALSE,TRUE,IFERROR(IF(MATCH(CELL("format",'#_Sheet1'!A13),FormatCodesSFX!$A$4:$A$53,0)&gt;0,TRUE),FALSE),TRUE,TRUE),"FormatMsg",TRUE,"PerfectMsg")</f>
        <v/>
      </c>
      <c r="B13" s="36" t="str">
        <f ca="1">_xlfn.IFS(ISBLANK(Sheet1!B13),"",IF(NOT(ISNA('#_Sheet1'!B13)),IF(ISNA(Sheet1!B13),TRUE,FALSE),FALSE),"StuNAMsg",IF(AND(ISNA('#_Sheet1'!B13),ISNA(Sheet1!B13)),TRUE,FALSE),"PerfectMsg",IF(NOT(ISERROR('#_Sheet1'!B13)),IF(ISERROR(Sheet1!B13),TRUE,FALSE),FALSE),"StuErrorMsg",IF(TYPE('#_Sheet1'!B13)&lt;&gt;TYPE(Sheet1!B13),TRUE,FALSE),"WrongTypeMsg",IF(ISNUMBER('#_Sheet1'!B13),IF(ABS('#_Sheet1'!B13-Sheet1!B13)&gt;0.00001,TRUE,FALSE),IF('#_Sheet1'!B13&lt;&gt;Sheet1!B13,TRUE,FALSE)),IF(ISNUMBER('#_Sheet1'!B13),IF('#_Sheet1'!B13&gt;Sheet1!B13,"TooLow","TooHigh"),"WrongAnswer"),NOT(_xlfn.ISFORMULA('#_Sheet1'!B13)),IF(_xlfn.IFS(ISTEXT('#_Sheet1'!B13),FALSE,ISLOGICAL('#_Sheet1'!B13),FALSE,SUBSTITUTE(CELL("format",'#_Sheet1'!B13),"-","")=SUBSTITUTE(CELL("format",Sheet1!B13),"-",""),FALSE,CELL("format",'#_Sheet1'!B13)="G",FALSE,AND(CELL("format",'#_Sheet1'!B13)="F0",CELL("format",Sheet1!B13)="G"),FALSE,TRUE,IFERROR(IF(MATCH(CELL("format",'#_Sheet1'!B13),FormatCodesSFX!$A$4:$A$53,0)&gt;0,TRUE),FALSE),TRUE,TRUE),"FormatMsg","PerfectMsg"),_xlfn.IFS(ISTEXT('#_Sheet1'!B13),FALSE,ISLOGICAL('#_Sheet1'!B13),FALSE,SUBSTITUTE(CELL("format",'#_Sheet1'!B13),"-","")=SUBSTITUTE(CELL("format",Sheet1!B13),"-",""),FALSE,CELL("format",'#_Sheet1'!B13)="G",FALSE,AND(CELL("format",'#_Sheet1'!B13)="F0",CELL("format",Sheet1!B13)="G"),FALSE,TRUE,IFERROR(IF(MATCH(CELL("format",'#_Sheet1'!B13),FormatCodesSFX!$A$4:$A$53,0)&gt;0,TRUE),FALSE),TRUE,TRUE),"FormatMsg",TRUE,"PerfectMsg")</f>
        <v/>
      </c>
      <c r="C13" s="36" t="str">
        <f ca="1">_xlfn.IFS(ISBLANK(Sheet1!C13),"",IF(NOT(ISNA('#_Sheet1'!C13)),IF(ISNA(Sheet1!C13),TRUE,FALSE),FALSE),"StuNAMsg",IF(AND(ISNA('#_Sheet1'!C13),ISNA(Sheet1!C13)),TRUE,FALSE),"PerfectMsg",IF(NOT(ISERROR('#_Sheet1'!C13)),IF(ISERROR(Sheet1!C13),TRUE,FALSE),FALSE),"StuErrorMsg",IF(TYPE('#_Sheet1'!C13)&lt;&gt;TYPE(Sheet1!C13),TRUE,FALSE),"WrongTypeMsg",IF(ISNUMBER('#_Sheet1'!C13),IF(ABS('#_Sheet1'!C13-Sheet1!C13)&gt;0.00001,TRUE,FALSE),IF('#_Sheet1'!C13&lt;&gt;Sheet1!C13,TRUE,FALSE)),IF(ISNUMBER('#_Sheet1'!C13),IF('#_Sheet1'!C13&gt;Sheet1!C13,"TooLow","TooHigh"),"WrongAnswer"),NOT(_xlfn.ISFORMULA('#_Sheet1'!C13)),IF(_xlfn.IFS(ISTEXT('#_Sheet1'!C13),FALSE,ISLOGICAL('#_Sheet1'!C13),FALSE,SUBSTITUTE(CELL("format",'#_Sheet1'!C13),"-","")=SUBSTITUTE(CELL("format",Sheet1!C13),"-",""),FALSE,CELL("format",'#_Sheet1'!C13)="G",FALSE,AND(CELL("format",'#_Sheet1'!C13)="F0",CELL("format",Sheet1!C13)="G"),FALSE,TRUE,IFERROR(IF(MATCH(CELL("format",'#_Sheet1'!C13),FormatCodesSFX!$A$4:$A$53,0)&gt;0,TRUE),FALSE),TRUE,TRUE),"FormatMsg","PerfectMsg"),_xlfn.IFS(ISTEXT('#_Sheet1'!C13),FALSE,ISLOGICAL('#_Sheet1'!C13),FALSE,SUBSTITUTE(CELL("format",'#_Sheet1'!C13),"-","")=SUBSTITUTE(CELL("format",Sheet1!C13),"-",""),FALSE,CELL("format",'#_Sheet1'!C13)="G",FALSE,AND(CELL("format",'#_Sheet1'!C13)="F0",CELL("format",Sheet1!C13)="G"),FALSE,TRUE,IFERROR(IF(MATCH(CELL("format",'#_Sheet1'!C13),FormatCodesSFX!$A$4:$A$53,0)&gt;0,TRUE),FALSE),TRUE,TRUE),"FormatMsg",TRUE,"PerfectMsg")</f>
        <v/>
      </c>
      <c r="D13" s="36" t="str">
        <f ca="1">_xlfn.IFS(ISBLANK(Sheet1!D13),"",IF(NOT(ISNA('#_Sheet1'!D13)),IF(ISNA(Sheet1!D13),TRUE,FALSE),FALSE),"StuNAMsg",IF(AND(ISNA('#_Sheet1'!D13),ISNA(Sheet1!D13)),TRUE,FALSE),"PerfectMsg",IF(NOT(ISERROR('#_Sheet1'!D13)),IF(ISERROR(Sheet1!D13),TRUE,FALSE),FALSE),"StuErrorMsg",IF(TYPE('#_Sheet1'!D13)&lt;&gt;TYPE(Sheet1!D13),TRUE,FALSE),"WrongTypeMsg",IF(ISNUMBER('#_Sheet1'!D13),IF(ABS('#_Sheet1'!D13-Sheet1!D13)&gt;0.00001,TRUE,FALSE),IF('#_Sheet1'!D13&lt;&gt;Sheet1!D13,TRUE,FALSE)),IF(ISNUMBER('#_Sheet1'!D13),IF('#_Sheet1'!D13&gt;Sheet1!D13,"TooLow","TooHigh"),"WrongAnswer"),NOT(_xlfn.ISFORMULA('#_Sheet1'!D13)),IF(_xlfn.IFS(ISTEXT('#_Sheet1'!D13),FALSE,ISLOGICAL('#_Sheet1'!D13),FALSE,SUBSTITUTE(CELL("format",'#_Sheet1'!D13),"-","")=SUBSTITUTE(CELL("format",Sheet1!D13),"-",""),FALSE,CELL("format",'#_Sheet1'!D13)="G",FALSE,AND(CELL("format",'#_Sheet1'!D13)="F0",CELL("format",Sheet1!D13)="G"),FALSE,TRUE,IFERROR(IF(MATCH(CELL("format",'#_Sheet1'!D13),FormatCodesSFX!$A$4:$A$53,0)&gt;0,TRUE),FALSE),TRUE,TRUE),"FormatMsg","PerfectMsg"),_xlfn.IFS(ISTEXT('#_Sheet1'!D13),FALSE,ISLOGICAL('#_Sheet1'!D13),FALSE,SUBSTITUTE(CELL("format",'#_Sheet1'!D13),"-","")=SUBSTITUTE(CELL("format",Sheet1!D13),"-",""),FALSE,CELL("format",'#_Sheet1'!D13)="G",FALSE,AND(CELL("format",'#_Sheet1'!D13)="F0",CELL("format",Sheet1!D13)="G"),FALSE,TRUE,IFERROR(IF(MATCH(CELL("format",'#_Sheet1'!D13),FormatCodesSFX!$A$4:$A$53,0)&gt;0,TRUE),FALSE),TRUE,TRUE),"FormatMsg",TRUE,"PerfectMsg")</f>
        <v/>
      </c>
      <c r="E13" s="36" t="str">
        <f ca="1">_xlfn.IFS(ISBLANK(Sheet1!E13),"",IF(NOT(ISNA('#_Sheet1'!E13)),IF(ISNA(Sheet1!E13),TRUE,FALSE),FALSE),"StuNAMsg",IF(AND(ISNA('#_Sheet1'!E13),ISNA(Sheet1!E13)),TRUE,FALSE),"PerfectMsg",IF(NOT(ISERROR('#_Sheet1'!E13)),IF(ISERROR(Sheet1!E13),TRUE,FALSE),FALSE),"StuErrorMsg",IF(TYPE('#_Sheet1'!E13)&lt;&gt;TYPE(Sheet1!E13),TRUE,FALSE),"WrongTypeMsg",IF(ISNUMBER('#_Sheet1'!E13),IF(ABS('#_Sheet1'!E13-Sheet1!E13)&gt;0.00001,TRUE,FALSE),IF('#_Sheet1'!E13&lt;&gt;Sheet1!E13,TRUE,FALSE)),IF(ISNUMBER('#_Sheet1'!E13),IF('#_Sheet1'!E13&gt;Sheet1!E13,"TooLow","TooHigh"),"WrongAnswer"),NOT(_xlfn.ISFORMULA('#_Sheet1'!E13)),IF(_xlfn.IFS(ISTEXT('#_Sheet1'!E13),FALSE,ISLOGICAL('#_Sheet1'!E13),FALSE,SUBSTITUTE(CELL("format",'#_Sheet1'!E13),"-","")=SUBSTITUTE(CELL("format",Sheet1!E13),"-",""),FALSE,CELL("format",'#_Sheet1'!E13)="G",FALSE,AND(CELL("format",'#_Sheet1'!E13)="F0",CELL("format",Sheet1!E13)="G"),FALSE,TRUE,IFERROR(IF(MATCH(CELL("format",'#_Sheet1'!E13),FormatCodesSFX!$A$4:$A$53,0)&gt;0,TRUE),FALSE),TRUE,TRUE),"FormatMsg","PerfectMsg"),_xlfn.IFS(ISTEXT('#_Sheet1'!E13),FALSE,ISLOGICAL('#_Sheet1'!E13),FALSE,SUBSTITUTE(CELL("format",'#_Sheet1'!E13),"-","")=SUBSTITUTE(CELL("format",Sheet1!E13),"-",""),FALSE,CELL("format",'#_Sheet1'!E13)="G",FALSE,AND(CELL("format",'#_Sheet1'!E13)="F0",CELL("format",Sheet1!E13)="G"),FALSE,TRUE,IFERROR(IF(MATCH(CELL("format",'#_Sheet1'!E13),FormatCodesSFX!$A$4:$A$53,0)&gt;0,TRUE),FALSE),TRUE,TRUE),"FormatMsg",TRUE,"PerfectMsg")</f>
        <v/>
      </c>
      <c r="F13" s="36" t="str">
        <f ca="1">_xlfn.IFS(ISBLANK(Sheet1!F13),"",IF(NOT(ISNA('#_Sheet1'!F13)),IF(ISNA(Sheet1!F13),TRUE,FALSE),FALSE),"StuNAMsg",IF(AND(ISNA('#_Sheet1'!F13),ISNA(Sheet1!F13)),TRUE,FALSE),"PerfectMsg",IF(NOT(ISERROR('#_Sheet1'!F13)),IF(ISERROR(Sheet1!F13),TRUE,FALSE),FALSE),"StuErrorMsg",IF(TYPE('#_Sheet1'!F13)&lt;&gt;TYPE(Sheet1!F13),TRUE,FALSE),"WrongTypeMsg",IF(ISNUMBER('#_Sheet1'!F13),IF(ABS('#_Sheet1'!F13-Sheet1!F13)&gt;0.00001,TRUE,FALSE),IF('#_Sheet1'!F13&lt;&gt;Sheet1!F13,TRUE,FALSE)),IF(ISNUMBER('#_Sheet1'!F13),IF('#_Sheet1'!F13&gt;Sheet1!F13,"TooLow","TooHigh"),"WrongAnswer"),NOT(_xlfn.ISFORMULA('#_Sheet1'!F13)),IF(_xlfn.IFS(ISTEXT('#_Sheet1'!F13),FALSE,ISLOGICAL('#_Sheet1'!F13),FALSE,SUBSTITUTE(CELL("format",'#_Sheet1'!F13),"-","")=SUBSTITUTE(CELL("format",Sheet1!F13),"-",""),FALSE,CELL("format",'#_Sheet1'!F13)="G",FALSE,AND(CELL("format",'#_Sheet1'!F13)="F0",CELL("format",Sheet1!F13)="G"),FALSE,TRUE,IFERROR(IF(MATCH(CELL("format",'#_Sheet1'!F13),FormatCodesSFX!$A$4:$A$53,0)&gt;0,TRUE),FALSE),TRUE,TRUE),"FormatMsg","PerfectMsg"),_xlfn.IFS(ISTEXT('#_Sheet1'!F13),FALSE,ISLOGICAL('#_Sheet1'!F13),FALSE,SUBSTITUTE(CELL("format",'#_Sheet1'!F13),"-","")=SUBSTITUTE(CELL("format",Sheet1!F13),"-",""),FALSE,CELL("format",'#_Sheet1'!F13)="G",FALSE,AND(CELL("format",'#_Sheet1'!F13)="F0",CELL("format",Sheet1!F13)="G"),FALSE,TRUE,IFERROR(IF(MATCH(CELL("format",'#_Sheet1'!F13),FormatCodesSFX!$A$4:$A$53,0)&gt;0,TRUE),FALSE),TRUE,TRUE),"FormatMsg",TRUE,"PerfectMsg")</f>
        <v/>
      </c>
      <c r="G13" s="44" t="str">
        <f ca="1">_xlfn.IFS(ISBLANK(Sheet1!G13),"",IF(NOT(ISNA('#_Sheet1'!G13)),IF(ISNA(Sheet1!G13),TRUE,FALSE),FALSE),"StuNAMsg",IF(AND(ISNA('#_Sheet1'!G13),ISNA(Sheet1!G13)),TRUE,FALSE),"PerfectMsg",IF(NOT(ISERROR('#_Sheet1'!G13)),IF(ISERROR(Sheet1!G13),TRUE,FALSE),FALSE),"StuErrorMsg",IF(TYPE('#_Sheet1'!G13)&lt;&gt;TYPE(Sheet1!G13),TRUE,FALSE),"WrongTypeMsg",IF(ISNUMBER('#_Sheet1'!G13),IF(ABS('#_Sheet1'!G13-Sheet1!G13)&gt;0.00001,TRUE,FALSE),IF('#_Sheet1'!G13&lt;&gt;Sheet1!G13,TRUE,FALSE)),IF(ISNUMBER('#_Sheet1'!G13),IF('#_Sheet1'!G13&gt;Sheet1!G13,"TooLow","TooHigh"),"WrongAnswer"),NOT(_xlfn.ISFORMULA('#_Sheet1'!G13)),IF(_xlfn.IFS(ISTEXT('#_Sheet1'!G13),FALSE,ISLOGICAL('#_Sheet1'!G13),FALSE,SUBSTITUTE(CELL("format",'#_Sheet1'!G13),"-","")=SUBSTITUTE(CELL("format",Sheet1!G13),"-",""),FALSE,CELL("format",'#_Sheet1'!G13)="G",FALSE,AND(CELL("format",'#_Sheet1'!G13)="F0",CELL("format",Sheet1!G13)="G"),FALSE,TRUE,IFERROR(IF(MATCH(CELL("format",'#_Sheet1'!G13),FormatCodesSFX!$A$4:$A$53,0)&gt;0,TRUE),FALSE),TRUE,TRUE),"FormatMsg","PerfectMsg"),_xlfn.IFS(ISTEXT('#_Sheet1'!G13),FALSE,ISLOGICAL('#_Sheet1'!G13),FALSE,SUBSTITUTE(CELL("format",'#_Sheet1'!G13),"-","")=SUBSTITUTE(CELL("format",Sheet1!G13),"-",""),FALSE,CELL("format",'#_Sheet1'!G13)="G",FALSE,AND(CELL("format",'#_Sheet1'!G13)="F0",CELL("format",Sheet1!G13)="G"),FALSE,TRUE,IFERROR(IF(MATCH(CELL("format",'#_Sheet1'!G13),FormatCodesSFX!$A$4:$A$53,0)&gt;0,TRUE),FALSE),TRUE,TRUE),"FormatMsg",TRUE,"PerfectMsg")</f>
        <v/>
      </c>
      <c r="H13" s="45" t="str">
        <f ca="1">_xlfn.IFS(ISBLANK(Sheet1!H13),"",IF(NOT(ISNA('#_Sheet1'!H13)),IF(ISNA(Sheet1!H13),TRUE,FALSE),FALSE),"StuNAMsg",IF(AND(ISNA('#_Sheet1'!H13),ISNA(Sheet1!H13)),TRUE,FALSE),"PerfectMsg",IF(NOT(ISERROR('#_Sheet1'!H13)),IF(ISERROR(Sheet1!H13),TRUE,FALSE),FALSE),"StuErrorMsg",IF(TYPE('#_Sheet1'!H13)&lt;&gt;TYPE(Sheet1!H13),TRUE,FALSE),"WrongTypeMsg",IF(ISNUMBER('#_Sheet1'!H13),IF(ABS('#_Sheet1'!H13-Sheet1!H13)&gt;0.00001,TRUE,FALSE),IF('#_Sheet1'!H13&lt;&gt;Sheet1!H13,TRUE,FALSE)),IF(ISNUMBER('#_Sheet1'!H13),IF('#_Sheet1'!H13&gt;Sheet1!H13,"TooLow","TooHigh"),"WrongAnswer"),NOT(_xlfn.ISFORMULA('#_Sheet1'!H13)),IF(_xlfn.IFS(ISTEXT('#_Sheet1'!H13),FALSE,ISLOGICAL('#_Sheet1'!H13),FALSE,SUBSTITUTE(CELL("format",'#_Sheet1'!H13),"-","")=SUBSTITUTE(CELL("format",Sheet1!H13),"-",""),FALSE,CELL("format",'#_Sheet1'!H13)="G",FALSE,AND(CELL("format",'#_Sheet1'!H13)="F0",CELL("format",Sheet1!H13)="G"),FALSE,TRUE,IFERROR(IF(MATCH(CELL("format",'#_Sheet1'!H13),FormatCodesSFX!$A$4:$A$53,0)&gt;0,TRUE),FALSE),TRUE,TRUE),"FormatMsg","PerfectMsg"),_xlfn.IFS(ISTEXT('#_Sheet1'!H13),FALSE,ISLOGICAL('#_Sheet1'!H13),FALSE,SUBSTITUTE(CELL("format",'#_Sheet1'!H13),"-","")=SUBSTITUTE(CELL("format",Sheet1!H13),"-",""),FALSE,CELL("format",'#_Sheet1'!H13)="G",FALSE,AND(CELL("format",'#_Sheet1'!H13)="F0",CELL("format",Sheet1!H13)="G"),FALSE,TRUE,IFERROR(IF(MATCH(CELL("format",'#_Sheet1'!H13),FormatCodesSFX!$A$4:$A$53,0)&gt;0,TRUE),FALSE),TRUE,TRUE),"FormatMsg",TRUE,"PerfectMsg")</f>
        <v/>
      </c>
    </row>
    <row r="14" spans="1:9" x14ac:dyDescent="0.15">
      <c r="A14" s="36" t="str">
        <f ca="1">_xlfn.IFS(ISBLANK(Sheet1!A14),"",IF(NOT(ISNA('#_Sheet1'!A14)),IF(ISNA(Sheet1!A14),TRUE,FALSE),FALSE),"StuNAMsg",IF(AND(ISNA('#_Sheet1'!A14),ISNA(Sheet1!A14)),TRUE,FALSE),"PerfectMsg",IF(NOT(ISERROR('#_Sheet1'!A14)),IF(ISERROR(Sheet1!A14),TRUE,FALSE),FALSE),"StuErrorMsg",IF(TYPE('#_Sheet1'!A14)&lt;&gt;TYPE(Sheet1!A14),TRUE,FALSE),"WrongTypeMsg",IF(ISNUMBER('#_Sheet1'!A14),IF(ABS('#_Sheet1'!A14-Sheet1!A14)&gt;0.00001,TRUE,FALSE),IF('#_Sheet1'!A14&lt;&gt;Sheet1!A14,TRUE,FALSE)),IF(ISNUMBER('#_Sheet1'!A14),IF('#_Sheet1'!A14&gt;Sheet1!A14,"TooLow","TooHigh"),"WrongAnswer"),NOT(_xlfn.ISFORMULA('#_Sheet1'!A14)),IF(_xlfn.IFS(ISTEXT('#_Sheet1'!A14),FALSE,ISLOGICAL('#_Sheet1'!A14),FALSE,SUBSTITUTE(CELL("format",'#_Sheet1'!A14),"-","")=SUBSTITUTE(CELL("format",Sheet1!A14),"-",""),FALSE,CELL("format",'#_Sheet1'!A14)="G",FALSE,AND(CELL("format",'#_Sheet1'!A14)="F0",CELL("format",Sheet1!A14)="G"),FALSE,TRUE,IFERROR(IF(MATCH(CELL("format",'#_Sheet1'!A14),FormatCodesSFX!$A$4:$A$53,0)&gt;0,TRUE),FALSE),TRUE,TRUE),"FormatMsg","PerfectMsg"),_xlfn.IFS(ISTEXT('#_Sheet1'!A14),FALSE,ISLOGICAL('#_Sheet1'!A14),FALSE,SUBSTITUTE(CELL("format",'#_Sheet1'!A14),"-","")=SUBSTITUTE(CELL("format",Sheet1!A14),"-",""),FALSE,CELL("format",'#_Sheet1'!A14)="G",FALSE,AND(CELL("format",'#_Sheet1'!A14)="F0",CELL("format",Sheet1!A14)="G"),FALSE,TRUE,IFERROR(IF(MATCH(CELL("format",'#_Sheet1'!A14),FormatCodesSFX!$A$4:$A$53,0)&gt;0,TRUE),FALSE),TRUE,TRUE),"FormatMsg",TRUE,"PerfectMsg")</f>
        <v/>
      </c>
      <c r="B14" s="36" t="str">
        <f ca="1">_xlfn.IFS(ISBLANK(Sheet1!B14),"",IF(NOT(ISNA('#_Sheet1'!B14)),IF(ISNA(Sheet1!B14),TRUE,FALSE),FALSE),"StuNAMsg",IF(AND(ISNA('#_Sheet1'!B14),ISNA(Sheet1!B14)),TRUE,FALSE),"PerfectMsg",IF(NOT(ISERROR('#_Sheet1'!B14)),IF(ISERROR(Sheet1!B14),TRUE,FALSE),FALSE),"StuErrorMsg",IF(TYPE('#_Sheet1'!B14)&lt;&gt;TYPE(Sheet1!B14),TRUE,FALSE),"WrongTypeMsg",IF(ISNUMBER('#_Sheet1'!B14),IF(ABS('#_Sheet1'!B14-Sheet1!B14)&gt;0.00001,TRUE,FALSE),IF('#_Sheet1'!B14&lt;&gt;Sheet1!B14,TRUE,FALSE)),IF(ISNUMBER('#_Sheet1'!B14),IF('#_Sheet1'!B14&gt;Sheet1!B14,"TooLow","TooHigh"),"WrongAnswer"),NOT(_xlfn.ISFORMULA('#_Sheet1'!B14)),IF(_xlfn.IFS(ISTEXT('#_Sheet1'!B14),FALSE,ISLOGICAL('#_Sheet1'!B14),FALSE,SUBSTITUTE(CELL("format",'#_Sheet1'!B14),"-","")=SUBSTITUTE(CELL("format",Sheet1!B14),"-",""),FALSE,CELL("format",'#_Sheet1'!B14)="G",FALSE,AND(CELL("format",'#_Sheet1'!B14)="F0",CELL("format",Sheet1!B14)="G"),FALSE,TRUE,IFERROR(IF(MATCH(CELL("format",'#_Sheet1'!B14),FormatCodesSFX!$A$4:$A$53,0)&gt;0,TRUE),FALSE),TRUE,TRUE),"FormatMsg","PerfectMsg"),_xlfn.IFS(ISTEXT('#_Sheet1'!B14),FALSE,ISLOGICAL('#_Sheet1'!B14),FALSE,SUBSTITUTE(CELL("format",'#_Sheet1'!B14),"-","")=SUBSTITUTE(CELL("format",Sheet1!B14),"-",""),FALSE,CELL("format",'#_Sheet1'!B14)="G",FALSE,AND(CELL("format",'#_Sheet1'!B14)="F0",CELL("format",Sheet1!B14)="G"),FALSE,TRUE,IFERROR(IF(MATCH(CELL("format",'#_Sheet1'!B14),FormatCodesSFX!$A$4:$A$53,0)&gt;0,TRUE),FALSE),TRUE,TRUE),"FormatMsg",TRUE,"PerfectMsg")</f>
        <v/>
      </c>
      <c r="C14" s="36" t="str">
        <f ca="1">_xlfn.IFS(ISBLANK(Sheet1!C14),"",IF(NOT(ISNA('#_Sheet1'!C14)),IF(ISNA(Sheet1!C14),TRUE,FALSE),FALSE),"StuNAMsg",IF(AND(ISNA('#_Sheet1'!C14),ISNA(Sheet1!C14)),TRUE,FALSE),"PerfectMsg",IF(NOT(ISERROR('#_Sheet1'!C14)),IF(ISERROR(Sheet1!C14),TRUE,FALSE),FALSE),"StuErrorMsg",IF(TYPE('#_Sheet1'!C14)&lt;&gt;TYPE(Sheet1!C14),TRUE,FALSE),"WrongTypeMsg",IF(ISNUMBER('#_Sheet1'!C14),IF(ABS('#_Sheet1'!C14-Sheet1!C14)&gt;0.00001,TRUE,FALSE),IF('#_Sheet1'!C14&lt;&gt;Sheet1!C14,TRUE,FALSE)),IF(ISNUMBER('#_Sheet1'!C14),IF('#_Sheet1'!C14&gt;Sheet1!C14,"TooLow","TooHigh"),"WrongAnswer"),NOT(_xlfn.ISFORMULA('#_Sheet1'!C14)),IF(_xlfn.IFS(ISTEXT('#_Sheet1'!C14),FALSE,ISLOGICAL('#_Sheet1'!C14),FALSE,SUBSTITUTE(CELL("format",'#_Sheet1'!C14),"-","")=SUBSTITUTE(CELL("format",Sheet1!C14),"-",""),FALSE,CELL("format",'#_Sheet1'!C14)="G",FALSE,AND(CELL("format",'#_Sheet1'!C14)="F0",CELL("format",Sheet1!C14)="G"),FALSE,TRUE,IFERROR(IF(MATCH(CELL("format",'#_Sheet1'!C14),FormatCodesSFX!$A$4:$A$53,0)&gt;0,TRUE),FALSE),TRUE,TRUE),"FormatMsg","PerfectMsg"),_xlfn.IFS(ISTEXT('#_Sheet1'!C14),FALSE,ISLOGICAL('#_Sheet1'!C14),FALSE,SUBSTITUTE(CELL("format",'#_Sheet1'!C14),"-","")=SUBSTITUTE(CELL("format",Sheet1!C14),"-",""),FALSE,CELL("format",'#_Sheet1'!C14)="G",FALSE,AND(CELL("format",'#_Sheet1'!C14)="F0",CELL("format",Sheet1!C14)="G"),FALSE,TRUE,IFERROR(IF(MATCH(CELL("format",'#_Sheet1'!C14),FormatCodesSFX!$A$4:$A$53,0)&gt;0,TRUE),FALSE),TRUE,TRUE),"FormatMsg",TRUE,"PerfectMsg")</f>
        <v/>
      </c>
      <c r="D14" s="36" t="str">
        <f ca="1">_xlfn.IFS(ISBLANK(Sheet1!D14),"",IF(NOT(ISNA('#_Sheet1'!D14)),IF(ISNA(Sheet1!D14),TRUE,FALSE),FALSE),"StuNAMsg",IF(AND(ISNA('#_Sheet1'!D14),ISNA(Sheet1!D14)),TRUE,FALSE),"PerfectMsg",IF(NOT(ISERROR('#_Sheet1'!D14)),IF(ISERROR(Sheet1!D14),TRUE,FALSE),FALSE),"StuErrorMsg",IF(TYPE('#_Sheet1'!D14)&lt;&gt;TYPE(Sheet1!D14),TRUE,FALSE),"WrongTypeMsg",IF(ISNUMBER('#_Sheet1'!D14),IF(ABS('#_Sheet1'!D14-Sheet1!D14)&gt;0.00001,TRUE,FALSE),IF('#_Sheet1'!D14&lt;&gt;Sheet1!D14,TRUE,FALSE)),IF(ISNUMBER('#_Sheet1'!D14),IF('#_Sheet1'!D14&gt;Sheet1!D14,"TooLow","TooHigh"),"WrongAnswer"),NOT(_xlfn.ISFORMULA('#_Sheet1'!D14)),IF(_xlfn.IFS(ISTEXT('#_Sheet1'!D14),FALSE,ISLOGICAL('#_Sheet1'!D14),FALSE,SUBSTITUTE(CELL("format",'#_Sheet1'!D14),"-","")=SUBSTITUTE(CELL("format",Sheet1!D14),"-",""),FALSE,CELL("format",'#_Sheet1'!D14)="G",FALSE,AND(CELL("format",'#_Sheet1'!D14)="F0",CELL("format",Sheet1!D14)="G"),FALSE,TRUE,IFERROR(IF(MATCH(CELL("format",'#_Sheet1'!D14),FormatCodesSFX!$A$4:$A$53,0)&gt;0,TRUE),FALSE),TRUE,TRUE),"FormatMsg","PerfectMsg"),_xlfn.IFS(ISTEXT('#_Sheet1'!D14),FALSE,ISLOGICAL('#_Sheet1'!D14),FALSE,SUBSTITUTE(CELL("format",'#_Sheet1'!D14),"-","")=SUBSTITUTE(CELL("format",Sheet1!D14),"-",""),FALSE,CELL("format",'#_Sheet1'!D14)="G",FALSE,AND(CELL("format",'#_Sheet1'!D14)="F0",CELL("format",Sheet1!D14)="G"),FALSE,TRUE,IFERROR(IF(MATCH(CELL("format",'#_Sheet1'!D14),FormatCodesSFX!$A$4:$A$53,0)&gt;0,TRUE),FALSE),TRUE,TRUE),"FormatMsg",TRUE,"PerfectMsg")</f>
        <v/>
      </c>
      <c r="E14" s="36" t="str">
        <f ca="1">_xlfn.IFS(ISBLANK(Sheet1!E14),"",IF(NOT(ISNA('#_Sheet1'!E14)),IF(ISNA(Sheet1!E14),TRUE,FALSE),FALSE),"StuNAMsg",IF(AND(ISNA('#_Sheet1'!E14),ISNA(Sheet1!E14)),TRUE,FALSE),"PerfectMsg",IF(NOT(ISERROR('#_Sheet1'!E14)),IF(ISERROR(Sheet1!E14),TRUE,FALSE),FALSE),"StuErrorMsg",IF(TYPE('#_Sheet1'!E14)&lt;&gt;TYPE(Sheet1!E14),TRUE,FALSE),"WrongTypeMsg",IF(ISNUMBER('#_Sheet1'!E14),IF(ABS('#_Sheet1'!E14-Sheet1!E14)&gt;0.00001,TRUE,FALSE),IF('#_Sheet1'!E14&lt;&gt;Sheet1!E14,TRUE,FALSE)),IF(ISNUMBER('#_Sheet1'!E14),IF('#_Sheet1'!E14&gt;Sheet1!E14,"TooLow","TooHigh"),"WrongAnswer"),NOT(_xlfn.ISFORMULA('#_Sheet1'!E14)),IF(_xlfn.IFS(ISTEXT('#_Sheet1'!E14),FALSE,ISLOGICAL('#_Sheet1'!E14),FALSE,SUBSTITUTE(CELL("format",'#_Sheet1'!E14),"-","")=SUBSTITUTE(CELL("format",Sheet1!E14),"-",""),FALSE,CELL("format",'#_Sheet1'!E14)="G",FALSE,AND(CELL("format",'#_Sheet1'!E14)="F0",CELL("format",Sheet1!E14)="G"),FALSE,TRUE,IFERROR(IF(MATCH(CELL("format",'#_Sheet1'!E14),FormatCodesSFX!$A$4:$A$53,0)&gt;0,TRUE),FALSE),TRUE,TRUE),"FormatMsg","PerfectMsg"),_xlfn.IFS(ISTEXT('#_Sheet1'!E14),FALSE,ISLOGICAL('#_Sheet1'!E14),FALSE,SUBSTITUTE(CELL("format",'#_Sheet1'!E14),"-","")=SUBSTITUTE(CELL("format",Sheet1!E14),"-",""),FALSE,CELL("format",'#_Sheet1'!E14)="G",FALSE,AND(CELL("format",'#_Sheet1'!E14)="F0",CELL("format",Sheet1!E14)="G"),FALSE,TRUE,IFERROR(IF(MATCH(CELL("format",'#_Sheet1'!E14),FormatCodesSFX!$A$4:$A$53,0)&gt;0,TRUE),FALSE),TRUE,TRUE),"FormatMsg",TRUE,"PerfectMsg")</f>
        <v/>
      </c>
      <c r="F14" s="36" t="str">
        <f ca="1">_xlfn.IFS(ISBLANK(Sheet1!F14),"",IF(NOT(ISNA('#_Sheet1'!F14)),IF(ISNA(Sheet1!F14),TRUE,FALSE),FALSE),"StuNAMsg",IF(AND(ISNA('#_Sheet1'!F14),ISNA(Sheet1!F14)),TRUE,FALSE),"PerfectMsg",IF(NOT(ISERROR('#_Sheet1'!F14)),IF(ISERROR(Sheet1!F14),TRUE,FALSE),FALSE),"StuErrorMsg",IF(TYPE('#_Sheet1'!F14)&lt;&gt;TYPE(Sheet1!F14),TRUE,FALSE),"WrongTypeMsg",IF(ISNUMBER('#_Sheet1'!F14),IF(ABS('#_Sheet1'!F14-Sheet1!F14)&gt;0.00001,TRUE,FALSE),IF('#_Sheet1'!F14&lt;&gt;Sheet1!F14,TRUE,FALSE)),IF(ISNUMBER('#_Sheet1'!F14),IF('#_Sheet1'!F14&gt;Sheet1!F14,"TooLow","TooHigh"),"WrongAnswer"),NOT(_xlfn.ISFORMULA('#_Sheet1'!F14)),IF(_xlfn.IFS(ISTEXT('#_Sheet1'!F14),FALSE,ISLOGICAL('#_Sheet1'!F14),FALSE,SUBSTITUTE(CELL("format",'#_Sheet1'!F14),"-","")=SUBSTITUTE(CELL("format",Sheet1!F14),"-",""),FALSE,CELL("format",'#_Sheet1'!F14)="G",FALSE,AND(CELL("format",'#_Sheet1'!F14)="F0",CELL("format",Sheet1!F14)="G"),FALSE,TRUE,IFERROR(IF(MATCH(CELL("format",'#_Sheet1'!F14),FormatCodesSFX!$A$4:$A$53,0)&gt;0,TRUE),FALSE),TRUE,TRUE),"FormatMsg","PerfectMsg"),_xlfn.IFS(ISTEXT('#_Sheet1'!F14),FALSE,ISLOGICAL('#_Sheet1'!F14),FALSE,SUBSTITUTE(CELL("format",'#_Sheet1'!F14),"-","")=SUBSTITUTE(CELL("format",Sheet1!F14),"-",""),FALSE,CELL("format",'#_Sheet1'!F14)="G",FALSE,AND(CELL("format",'#_Sheet1'!F14)="F0",CELL("format",Sheet1!F14)="G"),FALSE,TRUE,IFERROR(IF(MATCH(CELL("format",'#_Sheet1'!F14),FormatCodesSFX!$A$4:$A$53,0)&gt;0,TRUE),FALSE),TRUE,TRUE),"FormatMsg",TRUE,"PerfectMsg")</f>
        <v/>
      </c>
      <c r="G14" s="44" t="str">
        <f ca="1">_xlfn.IFS(ISBLANK(Sheet1!G14),"",IF(NOT(ISNA('#_Sheet1'!G14)),IF(ISNA(Sheet1!G14),TRUE,FALSE),FALSE),"StuNAMsg",IF(AND(ISNA('#_Sheet1'!G14),ISNA(Sheet1!G14)),TRUE,FALSE),"PerfectMsg",IF(NOT(ISERROR('#_Sheet1'!G14)),IF(ISERROR(Sheet1!G14),TRUE,FALSE),FALSE),"StuErrorMsg",IF(TYPE('#_Sheet1'!G14)&lt;&gt;TYPE(Sheet1!G14),TRUE,FALSE),"WrongTypeMsg",IF(ISNUMBER('#_Sheet1'!G14),IF(ABS('#_Sheet1'!G14-Sheet1!G14)&gt;0.00001,TRUE,FALSE),IF('#_Sheet1'!G14&lt;&gt;Sheet1!G14,TRUE,FALSE)),IF(ISNUMBER('#_Sheet1'!G14),IF('#_Sheet1'!G14&gt;Sheet1!G14,"TooLow","TooHigh"),"WrongAnswer"),NOT(_xlfn.ISFORMULA('#_Sheet1'!G14)),IF(_xlfn.IFS(ISTEXT('#_Sheet1'!G14),FALSE,ISLOGICAL('#_Sheet1'!G14),FALSE,SUBSTITUTE(CELL("format",'#_Sheet1'!G14),"-","")=SUBSTITUTE(CELL("format",Sheet1!G14),"-",""),FALSE,CELL("format",'#_Sheet1'!G14)="G",FALSE,AND(CELL("format",'#_Sheet1'!G14)="F0",CELL("format",Sheet1!G14)="G"),FALSE,TRUE,IFERROR(IF(MATCH(CELL("format",'#_Sheet1'!G14),FormatCodesSFX!$A$4:$A$53,0)&gt;0,TRUE),FALSE),TRUE,TRUE),"FormatMsg","PerfectMsg"),_xlfn.IFS(ISTEXT('#_Sheet1'!G14),FALSE,ISLOGICAL('#_Sheet1'!G14),FALSE,SUBSTITUTE(CELL("format",'#_Sheet1'!G14),"-","")=SUBSTITUTE(CELL("format",Sheet1!G14),"-",""),FALSE,CELL("format",'#_Sheet1'!G14)="G",FALSE,AND(CELL("format",'#_Sheet1'!G14)="F0",CELL("format",Sheet1!G14)="G"),FALSE,TRUE,IFERROR(IF(MATCH(CELL("format",'#_Sheet1'!G14),FormatCodesSFX!$A$4:$A$53,0)&gt;0,TRUE),FALSE),TRUE,TRUE),"FormatMsg",TRUE,"PerfectMsg")</f>
        <v/>
      </c>
      <c r="H14" s="45" t="str">
        <f ca="1">_xlfn.IFS(ISBLANK(Sheet1!H14),"",IF(NOT(ISNA('#_Sheet1'!H14)),IF(ISNA(Sheet1!H14),TRUE,FALSE),FALSE),"StuNAMsg",IF(AND(ISNA('#_Sheet1'!H14),ISNA(Sheet1!H14)),TRUE,FALSE),"PerfectMsg",IF(NOT(ISERROR('#_Sheet1'!H14)),IF(ISERROR(Sheet1!H14),TRUE,FALSE),FALSE),"StuErrorMsg",IF(TYPE('#_Sheet1'!H14)&lt;&gt;TYPE(Sheet1!H14),TRUE,FALSE),"WrongTypeMsg",IF(ISNUMBER('#_Sheet1'!H14),IF(ABS('#_Sheet1'!H14-Sheet1!H14)&gt;0.00001,TRUE,FALSE),IF('#_Sheet1'!H14&lt;&gt;Sheet1!H14,TRUE,FALSE)),IF(ISNUMBER('#_Sheet1'!H14),IF('#_Sheet1'!H14&gt;Sheet1!H14,"TooLow","TooHigh"),"WrongAnswer"),NOT(_xlfn.ISFORMULA('#_Sheet1'!H14)),IF(_xlfn.IFS(ISTEXT('#_Sheet1'!H14),FALSE,ISLOGICAL('#_Sheet1'!H14),FALSE,SUBSTITUTE(CELL("format",'#_Sheet1'!H14),"-","")=SUBSTITUTE(CELL("format",Sheet1!H14),"-",""),FALSE,CELL("format",'#_Sheet1'!H14)="G",FALSE,AND(CELL("format",'#_Sheet1'!H14)="F0",CELL("format",Sheet1!H14)="G"),FALSE,TRUE,IFERROR(IF(MATCH(CELL("format",'#_Sheet1'!H14),FormatCodesSFX!$A$4:$A$53,0)&gt;0,TRUE),FALSE),TRUE,TRUE),"FormatMsg","PerfectMsg"),_xlfn.IFS(ISTEXT('#_Sheet1'!H14),FALSE,ISLOGICAL('#_Sheet1'!H14),FALSE,SUBSTITUTE(CELL("format",'#_Sheet1'!H14),"-","")=SUBSTITUTE(CELL("format",Sheet1!H14),"-",""),FALSE,CELL("format",'#_Sheet1'!H14)="G",FALSE,AND(CELL("format",'#_Sheet1'!H14)="F0",CELL("format",Sheet1!H14)="G"),FALSE,TRUE,IFERROR(IF(MATCH(CELL("format",'#_Sheet1'!H14),FormatCodesSFX!$A$4:$A$53,0)&gt;0,TRUE),FALSE),TRUE,TRUE),"FormatMsg",TRUE,"PerfectMsg")</f>
        <v/>
      </c>
    </row>
    <row r="15" spans="1:9" x14ac:dyDescent="0.15">
      <c r="A15" s="36" t="str">
        <f ca="1">_xlfn.IFS(ISBLANK(Sheet1!A15),"",IF(NOT(ISNA('#_Sheet1'!A15)),IF(ISNA(Sheet1!A15),TRUE,FALSE),FALSE),"StuNAMsg",IF(AND(ISNA('#_Sheet1'!A15),ISNA(Sheet1!A15)),TRUE,FALSE),"PerfectMsg",IF(NOT(ISERROR('#_Sheet1'!A15)),IF(ISERROR(Sheet1!A15),TRUE,FALSE),FALSE),"StuErrorMsg",IF(TYPE('#_Sheet1'!A15)&lt;&gt;TYPE(Sheet1!A15),TRUE,FALSE),"WrongTypeMsg",IF(ISNUMBER('#_Sheet1'!A15),IF(ABS('#_Sheet1'!A15-Sheet1!A15)&gt;0.00001,TRUE,FALSE),IF('#_Sheet1'!A15&lt;&gt;Sheet1!A15,TRUE,FALSE)),IF(ISNUMBER('#_Sheet1'!A15),IF('#_Sheet1'!A15&gt;Sheet1!A15,"TooLow","TooHigh"),"WrongAnswer"),NOT(_xlfn.ISFORMULA('#_Sheet1'!A15)),IF(_xlfn.IFS(ISTEXT('#_Sheet1'!A15),FALSE,ISLOGICAL('#_Sheet1'!A15),FALSE,SUBSTITUTE(CELL("format",'#_Sheet1'!A15),"-","")=SUBSTITUTE(CELL("format",Sheet1!A15),"-",""),FALSE,CELL("format",'#_Sheet1'!A15)="G",FALSE,AND(CELL("format",'#_Sheet1'!A15)="F0",CELL("format",Sheet1!A15)="G"),FALSE,TRUE,IFERROR(IF(MATCH(CELL("format",'#_Sheet1'!A15),FormatCodesSFX!$A$4:$A$53,0)&gt;0,TRUE),FALSE),TRUE,TRUE),"FormatMsg","PerfectMsg"),_xlfn.IFS(ISTEXT('#_Sheet1'!A15),FALSE,ISLOGICAL('#_Sheet1'!A15),FALSE,SUBSTITUTE(CELL("format",'#_Sheet1'!A15),"-","")=SUBSTITUTE(CELL("format",Sheet1!A15),"-",""),FALSE,CELL("format",'#_Sheet1'!A15)="G",FALSE,AND(CELL("format",'#_Sheet1'!A15)="F0",CELL("format",Sheet1!A15)="G"),FALSE,TRUE,IFERROR(IF(MATCH(CELL("format",'#_Sheet1'!A15),FormatCodesSFX!$A$4:$A$53,0)&gt;0,TRUE),FALSE),TRUE,TRUE),"FormatMsg",TRUE,"PerfectMsg")</f>
        <v/>
      </c>
      <c r="B15" s="36" t="str">
        <f ca="1">_xlfn.IFS(ISBLANK(Sheet1!B15),"",IF(NOT(ISNA('#_Sheet1'!B15)),IF(ISNA(Sheet1!B15),TRUE,FALSE),FALSE),"StuNAMsg",IF(AND(ISNA('#_Sheet1'!B15),ISNA(Sheet1!B15)),TRUE,FALSE),"PerfectMsg",IF(NOT(ISERROR('#_Sheet1'!B15)),IF(ISERROR(Sheet1!B15),TRUE,FALSE),FALSE),"StuErrorMsg",IF(TYPE('#_Sheet1'!B15)&lt;&gt;TYPE(Sheet1!B15),TRUE,FALSE),"WrongTypeMsg",IF(ISNUMBER('#_Sheet1'!B15),IF(ABS('#_Sheet1'!B15-Sheet1!B15)&gt;0.00001,TRUE,FALSE),IF('#_Sheet1'!B15&lt;&gt;Sheet1!B15,TRUE,FALSE)),IF(ISNUMBER('#_Sheet1'!B15),IF('#_Sheet1'!B15&gt;Sheet1!B15,"TooLow","TooHigh"),"WrongAnswer"),NOT(_xlfn.ISFORMULA('#_Sheet1'!B15)),IF(_xlfn.IFS(ISTEXT('#_Sheet1'!B15),FALSE,ISLOGICAL('#_Sheet1'!B15),FALSE,SUBSTITUTE(CELL("format",'#_Sheet1'!B15),"-","")=SUBSTITUTE(CELL("format",Sheet1!B15),"-",""),FALSE,CELL("format",'#_Sheet1'!B15)="G",FALSE,AND(CELL("format",'#_Sheet1'!B15)="F0",CELL("format",Sheet1!B15)="G"),FALSE,TRUE,IFERROR(IF(MATCH(CELL("format",'#_Sheet1'!B15),FormatCodesSFX!$A$4:$A$53,0)&gt;0,TRUE),FALSE),TRUE,TRUE),"FormatMsg","PerfectMsg"),_xlfn.IFS(ISTEXT('#_Sheet1'!B15),FALSE,ISLOGICAL('#_Sheet1'!B15),FALSE,SUBSTITUTE(CELL("format",'#_Sheet1'!B15),"-","")=SUBSTITUTE(CELL("format",Sheet1!B15),"-",""),FALSE,CELL("format",'#_Sheet1'!B15)="G",FALSE,AND(CELL("format",'#_Sheet1'!B15)="F0",CELL("format",Sheet1!B15)="G"),FALSE,TRUE,IFERROR(IF(MATCH(CELL("format",'#_Sheet1'!B15),FormatCodesSFX!$A$4:$A$53,0)&gt;0,TRUE),FALSE),TRUE,TRUE),"FormatMsg",TRUE,"PerfectMsg")</f>
        <v/>
      </c>
      <c r="C15" s="36" t="str">
        <f ca="1">_xlfn.IFS(ISBLANK(Sheet1!C15),"",IF(NOT(ISNA('#_Sheet1'!C15)),IF(ISNA(Sheet1!C15),TRUE,FALSE),FALSE),"StuNAMsg",IF(AND(ISNA('#_Sheet1'!C15),ISNA(Sheet1!C15)),TRUE,FALSE),"PerfectMsg",IF(NOT(ISERROR('#_Sheet1'!C15)),IF(ISERROR(Sheet1!C15),TRUE,FALSE),FALSE),"StuErrorMsg",IF(TYPE('#_Sheet1'!C15)&lt;&gt;TYPE(Sheet1!C15),TRUE,FALSE),"WrongTypeMsg",IF(ISNUMBER('#_Sheet1'!C15),IF(ABS('#_Sheet1'!C15-Sheet1!C15)&gt;0.00001,TRUE,FALSE),IF('#_Sheet1'!C15&lt;&gt;Sheet1!C15,TRUE,FALSE)),IF(ISNUMBER('#_Sheet1'!C15),IF('#_Sheet1'!C15&gt;Sheet1!C15,"TooLow","TooHigh"),"WrongAnswer"),NOT(_xlfn.ISFORMULA('#_Sheet1'!C15)),IF(_xlfn.IFS(ISTEXT('#_Sheet1'!C15),FALSE,ISLOGICAL('#_Sheet1'!C15),FALSE,SUBSTITUTE(CELL("format",'#_Sheet1'!C15),"-","")=SUBSTITUTE(CELL("format",Sheet1!C15),"-",""),FALSE,CELL("format",'#_Sheet1'!C15)="G",FALSE,AND(CELL("format",'#_Sheet1'!C15)="F0",CELL("format",Sheet1!C15)="G"),FALSE,TRUE,IFERROR(IF(MATCH(CELL("format",'#_Sheet1'!C15),FormatCodesSFX!$A$4:$A$53,0)&gt;0,TRUE),FALSE),TRUE,TRUE),"FormatMsg","PerfectMsg"),_xlfn.IFS(ISTEXT('#_Sheet1'!C15),FALSE,ISLOGICAL('#_Sheet1'!C15),FALSE,SUBSTITUTE(CELL("format",'#_Sheet1'!C15),"-","")=SUBSTITUTE(CELL("format",Sheet1!C15),"-",""),FALSE,CELL("format",'#_Sheet1'!C15)="G",FALSE,AND(CELL("format",'#_Sheet1'!C15)="F0",CELL("format",Sheet1!C15)="G"),FALSE,TRUE,IFERROR(IF(MATCH(CELL("format",'#_Sheet1'!C15),FormatCodesSFX!$A$4:$A$53,0)&gt;0,TRUE),FALSE),TRUE,TRUE),"FormatMsg",TRUE,"PerfectMsg")</f>
        <v/>
      </c>
      <c r="D15" s="36" t="str">
        <f ca="1">_xlfn.IFS(ISBLANK(Sheet1!D15),"",IF(NOT(ISNA('#_Sheet1'!D15)),IF(ISNA(Sheet1!D15),TRUE,FALSE),FALSE),"StuNAMsg",IF(AND(ISNA('#_Sheet1'!D15),ISNA(Sheet1!D15)),TRUE,FALSE),"PerfectMsg",IF(NOT(ISERROR('#_Sheet1'!D15)),IF(ISERROR(Sheet1!D15),TRUE,FALSE),FALSE),"StuErrorMsg",IF(TYPE('#_Sheet1'!D15)&lt;&gt;TYPE(Sheet1!D15),TRUE,FALSE),"WrongTypeMsg",IF(ISNUMBER('#_Sheet1'!D15),IF(ABS('#_Sheet1'!D15-Sheet1!D15)&gt;0.00001,TRUE,FALSE),IF('#_Sheet1'!D15&lt;&gt;Sheet1!D15,TRUE,FALSE)),IF(ISNUMBER('#_Sheet1'!D15),IF('#_Sheet1'!D15&gt;Sheet1!D15,"TooLow","TooHigh"),"WrongAnswer"),NOT(_xlfn.ISFORMULA('#_Sheet1'!D15)),IF(_xlfn.IFS(ISTEXT('#_Sheet1'!D15),FALSE,ISLOGICAL('#_Sheet1'!D15),FALSE,SUBSTITUTE(CELL("format",'#_Sheet1'!D15),"-","")=SUBSTITUTE(CELL("format",Sheet1!D15),"-",""),FALSE,CELL("format",'#_Sheet1'!D15)="G",FALSE,AND(CELL("format",'#_Sheet1'!D15)="F0",CELL("format",Sheet1!D15)="G"),FALSE,TRUE,IFERROR(IF(MATCH(CELL("format",'#_Sheet1'!D15),FormatCodesSFX!$A$4:$A$53,0)&gt;0,TRUE),FALSE),TRUE,TRUE),"FormatMsg","PerfectMsg"),_xlfn.IFS(ISTEXT('#_Sheet1'!D15),FALSE,ISLOGICAL('#_Sheet1'!D15),FALSE,SUBSTITUTE(CELL("format",'#_Sheet1'!D15),"-","")=SUBSTITUTE(CELL("format",Sheet1!D15),"-",""),FALSE,CELL("format",'#_Sheet1'!D15)="G",FALSE,AND(CELL("format",'#_Sheet1'!D15)="F0",CELL("format",Sheet1!D15)="G"),FALSE,TRUE,IFERROR(IF(MATCH(CELL("format",'#_Sheet1'!D15),FormatCodesSFX!$A$4:$A$53,0)&gt;0,TRUE),FALSE),TRUE,TRUE),"FormatMsg",TRUE,"PerfectMsg")</f>
        <v/>
      </c>
      <c r="E15" s="36" t="str">
        <f ca="1">_xlfn.IFS(ISBLANK(Sheet1!E15),"",IF(NOT(ISNA('#_Sheet1'!E15)),IF(ISNA(Sheet1!E15),TRUE,FALSE),FALSE),"StuNAMsg",IF(AND(ISNA('#_Sheet1'!E15),ISNA(Sheet1!E15)),TRUE,FALSE),"PerfectMsg",IF(NOT(ISERROR('#_Sheet1'!E15)),IF(ISERROR(Sheet1!E15),TRUE,FALSE),FALSE),"StuErrorMsg",IF(TYPE('#_Sheet1'!E15)&lt;&gt;TYPE(Sheet1!E15),TRUE,FALSE),"WrongTypeMsg",IF(ISNUMBER('#_Sheet1'!E15),IF(ABS('#_Sheet1'!E15-Sheet1!E15)&gt;0.00001,TRUE,FALSE),IF('#_Sheet1'!E15&lt;&gt;Sheet1!E15,TRUE,FALSE)),IF(ISNUMBER('#_Sheet1'!E15),IF('#_Sheet1'!E15&gt;Sheet1!E15,"TooLow","TooHigh"),"WrongAnswer"),NOT(_xlfn.ISFORMULA('#_Sheet1'!E15)),IF(_xlfn.IFS(ISTEXT('#_Sheet1'!E15),FALSE,ISLOGICAL('#_Sheet1'!E15),FALSE,SUBSTITUTE(CELL("format",'#_Sheet1'!E15),"-","")=SUBSTITUTE(CELL("format",Sheet1!E15),"-",""),FALSE,CELL("format",'#_Sheet1'!E15)="G",FALSE,AND(CELL("format",'#_Sheet1'!E15)="F0",CELL("format",Sheet1!E15)="G"),FALSE,TRUE,IFERROR(IF(MATCH(CELL("format",'#_Sheet1'!E15),FormatCodesSFX!$A$4:$A$53,0)&gt;0,TRUE),FALSE),TRUE,TRUE),"FormatMsg","PerfectMsg"),_xlfn.IFS(ISTEXT('#_Sheet1'!E15),FALSE,ISLOGICAL('#_Sheet1'!E15),FALSE,SUBSTITUTE(CELL("format",'#_Sheet1'!E15),"-","")=SUBSTITUTE(CELL("format",Sheet1!E15),"-",""),FALSE,CELL("format",'#_Sheet1'!E15)="G",FALSE,AND(CELL("format",'#_Sheet1'!E15)="F0",CELL("format",Sheet1!E15)="G"),FALSE,TRUE,IFERROR(IF(MATCH(CELL("format",'#_Sheet1'!E15),FormatCodesSFX!$A$4:$A$53,0)&gt;0,TRUE),FALSE),TRUE,TRUE),"FormatMsg",TRUE,"PerfectMsg")</f>
        <v/>
      </c>
      <c r="F15" s="36" t="str">
        <f ca="1">_xlfn.IFS(ISBLANK(Sheet1!F15),"",IF(NOT(ISNA('#_Sheet1'!F15)),IF(ISNA(Sheet1!F15),TRUE,FALSE),FALSE),"StuNAMsg",IF(AND(ISNA('#_Sheet1'!F15),ISNA(Sheet1!F15)),TRUE,FALSE),"PerfectMsg",IF(NOT(ISERROR('#_Sheet1'!F15)),IF(ISERROR(Sheet1!F15),TRUE,FALSE),FALSE),"StuErrorMsg",IF(TYPE('#_Sheet1'!F15)&lt;&gt;TYPE(Sheet1!F15),TRUE,FALSE),"WrongTypeMsg",IF(ISNUMBER('#_Sheet1'!F15),IF(ABS('#_Sheet1'!F15-Sheet1!F15)&gt;0.00001,TRUE,FALSE),IF('#_Sheet1'!F15&lt;&gt;Sheet1!F15,TRUE,FALSE)),IF(ISNUMBER('#_Sheet1'!F15),IF('#_Sheet1'!F15&gt;Sheet1!F15,"TooLow","TooHigh"),"WrongAnswer"),NOT(_xlfn.ISFORMULA('#_Sheet1'!F15)),IF(_xlfn.IFS(ISTEXT('#_Sheet1'!F15),FALSE,ISLOGICAL('#_Sheet1'!F15),FALSE,SUBSTITUTE(CELL("format",'#_Sheet1'!F15),"-","")=SUBSTITUTE(CELL("format",Sheet1!F15),"-",""),FALSE,CELL("format",'#_Sheet1'!F15)="G",FALSE,AND(CELL("format",'#_Sheet1'!F15)="F0",CELL("format",Sheet1!F15)="G"),FALSE,TRUE,IFERROR(IF(MATCH(CELL("format",'#_Sheet1'!F15),FormatCodesSFX!$A$4:$A$53,0)&gt;0,TRUE),FALSE),TRUE,TRUE),"FormatMsg","PerfectMsg"),_xlfn.IFS(ISTEXT('#_Sheet1'!F15),FALSE,ISLOGICAL('#_Sheet1'!F15),FALSE,SUBSTITUTE(CELL("format",'#_Sheet1'!F15),"-","")=SUBSTITUTE(CELL("format",Sheet1!F15),"-",""),FALSE,CELL("format",'#_Sheet1'!F15)="G",FALSE,AND(CELL("format",'#_Sheet1'!F15)="F0",CELL("format",Sheet1!F15)="G"),FALSE,TRUE,IFERROR(IF(MATCH(CELL("format",'#_Sheet1'!F15),FormatCodesSFX!$A$4:$A$53,0)&gt;0,TRUE),FALSE),TRUE,TRUE),"FormatMsg",TRUE,"PerfectMsg")</f>
        <v/>
      </c>
      <c r="G15" s="44" t="str">
        <f ca="1">_xlfn.IFS(ISBLANK(Sheet1!G15),"",IF(NOT(ISNA('#_Sheet1'!G15)),IF(ISNA(Sheet1!G15),TRUE,FALSE),FALSE),"StuNAMsg",IF(AND(ISNA('#_Sheet1'!G15),ISNA(Sheet1!G15)),TRUE,FALSE),"PerfectMsg",IF(NOT(ISERROR('#_Sheet1'!G15)),IF(ISERROR(Sheet1!G15),TRUE,FALSE),FALSE),"StuErrorMsg",IF(TYPE('#_Sheet1'!G15)&lt;&gt;TYPE(Sheet1!G15),TRUE,FALSE),"WrongTypeMsg",IF(ISNUMBER('#_Sheet1'!G15),IF(ABS('#_Sheet1'!G15-Sheet1!G15)&gt;0.00001,TRUE,FALSE),IF('#_Sheet1'!G15&lt;&gt;Sheet1!G15,TRUE,FALSE)),IF(ISNUMBER('#_Sheet1'!G15),IF('#_Sheet1'!G15&gt;Sheet1!G15,"TooLow","TooHigh"),"WrongAnswer"),NOT(_xlfn.ISFORMULA('#_Sheet1'!G15)),IF(_xlfn.IFS(ISTEXT('#_Sheet1'!G15),FALSE,ISLOGICAL('#_Sheet1'!G15),FALSE,SUBSTITUTE(CELL("format",'#_Sheet1'!G15),"-","")=SUBSTITUTE(CELL("format",Sheet1!G15),"-",""),FALSE,CELL("format",'#_Sheet1'!G15)="G",FALSE,AND(CELL("format",'#_Sheet1'!G15)="F0",CELL("format",Sheet1!G15)="G"),FALSE,TRUE,IFERROR(IF(MATCH(CELL("format",'#_Sheet1'!G15),FormatCodesSFX!$A$4:$A$53,0)&gt;0,TRUE),FALSE),TRUE,TRUE),"FormatMsg","PerfectMsg"),_xlfn.IFS(ISTEXT('#_Sheet1'!G15),FALSE,ISLOGICAL('#_Sheet1'!G15),FALSE,SUBSTITUTE(CELL("format",'#_Sheet1'!G15),"-","")=SUBSTITUTE(CELL("format",Sheet1!G15),"-",""),FALSE,CELL("format",'#_Sheet1'!G15)="G",FALSE,AND(CELL("format",'#_Sheet1'!G15)="F0",CELL("format",Sheet1!G15)="G"),FALSE,TRUE,IFERROR(IF(MATCH(CELL("format",'#_Sheet1'!G15),FormatCodesSFX!$A$4:$A$53,0)&gt;0,TRUE),FALSE),TRUE,TRUE),"FormatMsg",TRUE,"PerfectMsg")</f>
        <v/>
      </c>
      <c r="H15" s="45" t="str">
        <f ca="1">_xlfn.IFS(ISBLANK(Sheet1!H15),"",IF(NOT(ISNA('#_Sheet1'!H15)),IF(ISNA(Sheet1!H15),TRUE,FALSE),FALSE),"StuNAMsg",IF(AND(ISNA('#_Sheet1'!H15),ISNA(Sheet1!H15)),TRUE,FALSE),"PerfectMsg",IF(NOT(ISERROR('#_Sheet1'!H15)),IF(ISERROR(Sheet1!H15),TRUE,FALSE),FALSE),"StuErrorMsg",IF(TYPE('#_Sheet1'!H15)&lt;&gt;TYPE(Sheet1!H15),TRUE,FALSE),"WrongTypeMsg",IF(ISNUMBER('#_Sheet1'!H15),IF(ABS('#_Sheet1'!H15-Sheet1!H15)&gt;0.00001,TRUE,FALSE),IF('#_Sheet1'!H15&lt;&gt;Sheet1!H15,TRUE,FALSE)),IF(ISNUMBER('#_Sheet1'!H15),IF('#_Sheet1'!H15&gt;Sheet1!H15,"TooLow","TooHigh"),"WrongAnswer"),NOT(_xlfn.ISFORMULA('#_Sheet1'!H15)),IF(_xlfn.IFS(ISTEXT('#_Sheet1'!H15),FALSE,ISLOGICAL('#_Sheet1'!H15),FALSE,SUBSTITUTE(CELL("format",'#_Sheet1'!H15),"-","")=SUBSTITUTE(CELL("format",Sheet1!H15),"-",""),FALSE,CELL("format",'#_Sheet1'!H15)="G",FALSE,AND(CELL("format",'#_Sheet1'!H15)="F0",CELL("format",Sheet1!H15)="G"),FALSE,TRUE,IFERROR(IF(MATCH(CELL("format",'#_Sheet1'!H15),FormatCodesSFX!$A$4:$A$53,0)&gt;0,TRUE),FALSE),TRUE,TRUE),"FormatMsg","PerfectMsg"),_xlfn.IFS(ISTEXT('#_Sheet1'!H15),FALSE,ISLOGICAL('#_Sheet1'!H15),FALSE,SUBSTITUTE(CELL("format",'#_Sheet1'!H15),"-","")=SUBSTITUTE(CELL("format",Sheet1!H15),"-",""),FALSE,CELL("format",'#_Sheet1'!H15)="G",FALSE,AND(CELL("format",'#_Sheet1'!H15)="F0",CELL("format",Sheet1!H15)="G"),FALSE,TRUE,IFERROR(IF(MATCH(CELL("format",'#_Sheet1'!H15),FormatCodesSFX!$A$4:$A$53,0)&gt;0,TRUE),FALSE),TRUE,TRUE),"FormatMsg",TRUE,"PerfectMsg")</f>
        <v/>
      </c>
    </row>
    <row r="16" spans="1:9" x14ac:dyDescent="0.15">
      <c r="A16" s="36" t="str">
        <f ca="1">_xlfn.IFS(ISBLANK(Sheet1!A16),"",IF(NOT(ISNA('#_Sheet1'!A16)),IF(ISNA(Sheet1!A16),TRUE,FALSE),FALSE),"StuNAMsg",IF(AND(ISNA('#_Sheet1'!A16),ISNA(Sheet1!A16)),TRUE,FALSE),"PerfectMsg",IF(NOT(ISERROR('#_Sheet1'!A16)),IF(ISERROR(Sheet1!A16),TRUE,FALSE),FALSE),"StuErrorMsg",IF(TYPE('#_Sheet1'!A16)&lt;&gt;TYPE(Sheet1!A16),TRUE,FALSE),"WrongTypeMsg",IF(ISNUMBER('#_Sheet1'!A16),IF(ABS('#_Sheet1'!A16-Sheet1!A16)&gt;0.00001,TRUE,FALSE),IF('#_Sheet1'!A16&lt;&gt;Sheet1!A16,TRUE,FALSE)),IF(ISNUMBER('#_Sheet1'!A16),IF('#_Sheet1'!A16&gt;Sheet1!A16,"TooLow","TooHigh"),"WrongAnswer"),NOT(_xlfn.ISFORMULA('#_Sheet1'!A16)),IF(_xlfn.IFS(ISTEXT('#_Sheet1'!A16),FALSE,ISLOGICAL('#_Sheet1'!A16),FALSE,SUBSTITUTE(CELL("format",'#_Sheet1'!A16),"-","")=SUBSTITUTE(CELL("format",Sheet1!A16),"-",""),FALSE,CELL("format",'#_Sheet1'!A16)="G",FALSE,AND(CELL("format",'#_Sheet1'!A16)="F0",CELL("format",Sheet1!A16)="G"),FALSE,TRUE,IFERROR(IF(MATCH(CELL("format",'#_Sheet1'!A16),FormatCodesSFX!$A$4:$A$53,0)&gt;0,TRUE),FALSE),TRUE,TRUE),"FormatMsg","PerfectMsg"),_xlfn.IFS(ISTEXT('#_Sheet1'!A16),FALSE,ISLOGICAL('#_Sheet1'!A16),FALSE,SUBSTITUTE(CELL("format",'#_Sheet1'!A16),"-","")=SUBSTITUTE(CELL("format",Sheet1!A16),"-",""),FALSE,CELL("format",'#_Sheet1'!A16)="G",FALSE,AND(CELL("format",'#_Sheet1'!A16)="F0",CELL("format",Sheet1!A16)="G"),FALSE,TRUE,IFERROR(IF(MATCH(CELL("format",'#_Sheet1'!A16),FormatCodesSFX!$A$4:$A$53,0)&gt;0,TRUE),FALSE),TRUE,TRUE),"FormatMsg",TRUE,"PerfectMsg")</f>
        <v/>
      </c>
      <c r="B16" s="36" t="str">
        <f ca="1">_xlfn.IFS(ISBLANK(Sheet1!B16),"",IF(NOT(ISNA('#_Sheet1'!B16)),IF(ISNA(Sheet1!B16),TRUE,FALSE),FALSE),"StuNAMsg",IF(AND(ISNA('#_Sheet1'!B16),ISNA(Sheet1!B16)),TRUE,FALSE),"PerfectMsg",IF(NOT(ISERROR('#_Sheet1'!B16)),IF(ISERROR(Sheet1!B16),TRUE,FALSE),FALSE),"StuErrorMsg",IF(TYPE('#_Sheet1'!B16)&lt;&gt;TYPE(Sheet1!B16),TRUE,FALSE),"WrongTypeMsg",IF(ISNUMBER('#_Sheet1'!B16),IF(ABS('#_Sheet1'!B16-Sheet1!B16)&gt;0.00001,TRUE,FALSE),IF('#_Sheet1'!B16&lt;&gt;Sheet1!B16,TRUE,FALSE)),IF(ISNUMBER('#_Sheet1'!B16),IF('#_Sheet1'!B16&gt;Sheet1!B16,"TooLow","TooHigh"),"WrongAnswer"),NOT(_xlfn.ISFORMULA('#_Sheet1'!B16)),IF(_xlfn.IFS(ISTEXT('#_Sheet1'!B16),FALSE,ISLOGICAL('#_Sheet1'!B16),FALSE,SUBSTITUTE(CELL("format",'#_Sheet1'!B16),"-","")=SUBSTITUTE(CELL("format",Sheet1!B16),"-",""),FALSE,CELL("format",'#_Sheet1'!B16)="G",FALSE,AND(CELL("format",'#_Sheet1'!B16)="F0",CELL("format",Sheet1!B16)="G"),FALSE,TRUE,IFERROR(IF(MATCH(CELL("format",'#_Sheet1'!B16),FormatCodesSFX!$A$4:$A$53,0)&gt;0,TRUE),FALSE),TRUE,TRUE),"FormatMsg","PerfectMsg"),_xlfn.IFS(ISTEXT('#_Sheet1'!B16),FALSE,ISLOGICAL('#_Sheet1'!B16),FALSE,SUBSTITUTE(CELL("format",'#_Sheet1'!B16),"-","")=SUBSTITUTE(CELL("format",Sheet1!B16),"-",""),FALSE,CELL("format",'#_Sheet1'!B16)="G",FALSE,AND(CELL("format",'#_Sheet1'!B16)="F0",CELL("format",Sheet1!B16)="G"),FALSE,TRUE,IFERROR(IF(MATCH(CELL("format",'#_Sheet1'!B16),FormatCodesSFX!$A$4:$A$53,0)&gt;0,TRUE),FALSE),TRUE,TRUE),"FormatMsg",TRUE,"PerfectMsg")</f>
        <v/>
      </c>
      <c r="C16" s="36" t="str">
        <f ca="1">_xlfn.IFS(ISBLANK(Sheet1!C16),"",IF(NOT(ISNA('#_Sheet1'!C16)),IF(ISNA(Sheet1!C16),TRUE,FALSE),FALSE),"StuNAMsg",IF(AND(ISNA('#_Sheet1'!C16),ISNA(Sheet1!C16)),TRUE,FALSE),"PerfectMsg",IF(NOT(ISERROR('#_Sheet1'!C16)),IF(ISERROR(Sheet1!C16),TRUE,FALSE),FALSE),"StuErrorMsg",IF(TYPE('#_Sheet1'!C16)&lt;&gt;TYPE(Sheet1!C16),TRUE,FALSE),"WrongTypeMsg",IF(ISNUMBER('#_Sheet1'!C16),IF(ABS('#_Sheet1'!C16-Sheet1!C16)&gt;0.00001,TRUE,FALSE),IF('#_Sheet1'!C16&lt;&gt;Sheet1!C16,TRUE,FALSE)),IF(ISNUMBER('#_Sheet1'!C16),IF('#_Sheet1'!C16&gt;Sheet1!C16,"TooLow","TooHigh"),"WrongAnswer"),NOT(_xlfn.ISFORMULA('#_Sheet1'!C16)),IF(_xlfn.IFS(ISTEXT('#_Sheet1'!C16),FALSE,ISLOGICAL('#_Sheet1'!C16),FALSE,SUBSTITUTE(CELL("format",'#_Sheet1'!C16),"-","")=SUBSTITUTE(CELL("format",Sheet1!C16),"-",""),FALSE,CELL("format",'#_Sheet1'!C16)="G",FALSE,AND(CELL("format",'#_Sheet1'!C16)="F0",CELL("format",Sheet1!C16)="G"),FALSE,TRUE,IFERROR(IF(MATCH(CELL("format",'#_Sheet1'!C16),FormatCodesSFX!$A$4:$A$53,0)&gt;0,TRUE),FALSE),TRUE,TRUE),"FormatMsg","PerfectMsg"),_xlfn.IFS(ISTEXT('#_Sheet1'!C16),FALSE,ISLOGICAL('#_Sheet1'!C16),FALSE,SUBSTITUTE(CELL("format",'#_Sheet1'!C16),"-","")=SUBSTITUTE(CELL("format",Sheet1!C16),"-",""),FALSE,CELL("format",'#_Sheet1'!C16)="G",FALSE,AND(CELL("format",'#_Sheet1'!C16)="F0",CELL("format",Sheet1!C16)="G"),FALSE,TRUE,IFERROR(IF(MATCH(CELL("format",'#_Sheet1'!C16),FormatCodesSFX!$A$4:$A$53,0)&gt;0,TRUE),FALSE),TRUE,TRUE),"FormatMsg",TRUE,"PerfectMsg")</f>
        <v/>
      </c>
      <c r="D16" s="36" t="str">
        <f ca="1">_xlfn.IFS(ISBLANK(Sheet1!D16),"",IF(NOT(ISNA('#_Sheet1'!D16)),IF(ISNA(Sheet1!D16),TRUE,FALSE),FALSE),"StuNAMsg",IF(AND(ISNA('#_Sheet1'!D16),ISNA(Sheet1!D16)),TRUE,FALSE),"PerfectMsg",IF(NOT(ISERROR('#_Sheet1'!D16)),IF(ISERROR(Sheet1!D16),TRUE,FALSE),FALSE),"StuErrorMsg",IF(TYPE('#_Sheet1'!D16)&lt;&gt;TYPE(Sheet1!D16),TRUE,FALSE),"WrongTypeMsg",IF(ISNUMBER('#_Sheet1'!D16),IF(ABS('#_Sheet1'!D16-Sheet1!D16)&gt;0.00001,TRUE,FALSE),IF('#_Sheet1'!D16&lt;&gt;Sheet1!D16,TRUE,FALSE)),IF(ISNUMBER('#_Sheet1'!D16),IF('#_Sheet1'!D16&gt;Sheet1!D16,"TooLow","TooHigh"),"WrongAnswer"),NOT(_xlfn.ISFORMULA('#_Sheet1'!D16)),IF(_xlfn.IFS(ISTEXT('#_Sheet1'!D16),FALSE,ISLOGICAL('#_Sheet1'!D16),FALSE,SUBSTITUTE(CELL("format",'#_Sheet1'!D16),"-","")=SUBSTITUTE(CELL("format",Sheet1!D16),"-",""),FALSE,CELL("format",'#_Sheet1'!D16)="G",FALSE,AND(CELL("format",'#_Sheet1'!D16)="F0",CELL("format",Sheet1!D16)="G"),FALSE,TRUE,IFERROR(IF(MATCH(CELL("format",'#_Sheet1'!D16),FormatCodesSFX!$A$4:$A$53,0)&gt;0,TRUE),FALSE),TRUE,TRUE),"FormatMsg","PerfectMsg"),_xlfn.IFS(ISTEXT('#_Sheet1'!D16),FALSE,ISLOGICAL('#_Sheet1'!D16),FALSE,SUBSTITUTE(CELL("format",'#_Sheet1'!D16),"-","")=SUBSTITUTE(CELL("format",Sheet1!D16),"-",""),FALSE,CELL("format",'#_Sheet1'!D16)="G",FALSE,AND(CELL("format",'#_Sheet1'!D16)="F0",CELL("format",Sheet1!D16)="G"),FALSE,TRUE,IFERROR(IF(MATCH(CELL("format",'#_Sheet1'!D16),FormatCodesSFX!$A$4:$A$53,0)&gt;0,TRUE),FALSE),TRUE,TRUE),"FormatMsg",TRUE,"PerfectMsg")</f>
        <v/>
      </c>
      <c r="E16" s="36" t="str">
        <f ca="1">_xlfn.IFS(ISBLANK(Sheet1!E16),"",IF(NOT(ISNA('#_Sheet1'!E16)),IF(ISNA(Sheet1!E16),TRUE,FALSE),FALSE),"StuNAMsg",IF(AND(ISNA('#_Sheet1'!E16),ISNA(Sheet1!E16)),TRUE,FALSE),"PerfectMsg",IF(NOT(ISERROR('#_Sheet1'!E16)),IF(ISERROR(Sheet1!E16),TRUE,FALSE),FALSE),"StuErrorMsg",IF(TYPE('#_Sheet1'!E16)&lt;&gt;TYPE(Sheet1!E16),TRUE,FALSE),"WrongTypeMsg",IF(ISNUMBER('#_Sheet1'!E16),IF(ABS('#_Sheet1'!E16-Sheet1!E16)&gt;0.00001,TRUE,FALSE),IF('#_Sheet1'!E16&lt;&gt;Sheet1!E16,TRUE,FALSE)),IF(ISNUMBER('#_Sheet1'!E16),IF('#_Sheet1'!E16&gt;Sheet1!E16,"TooLow","TooHigh"),"WrongAnswer"),NOT(_xlfn.ISFORMULA('#_Sheet1'!E16)),IF(_xlfn.IFS(ISTEXT('#_Sheet1'!E16),FALSE,ISLOGICAL('#_Sheet1'!E16),FALSE,SUBSTITUTE(CELL("format",'#_Sheet1'!E16),"-","")=SUBSTITUTE(CELL("format",Sheet1!E16),"-",""),FALSE,CELL("format",'#_Sheet1'!E16)="G",FALSE,AND(CELL("format",'#_Sheet1'!E16)="F0",CELL("format",Sheet1!E16)="G"),FALSE,TRUE,IFERROR(IF(MATCH(CELL("format",'#_Sheet1'!E16),FormatCodesSFX!$A$4:$A$53,0)&gt;0,TRUE),FALSE),TRUE,TRUE),"FormatMsg","PerfectMsg"),_xlfn.IFS(ISTEXT('#_Sheet1'!E16),FALSE,ISLOGICAL('#_Sheet1'!E16),FALSE,SUBSTITUTE(CELL("format",'#_Sheet1'!E16),"-","")=SUBSTITUTE(CELL("format",Sheet1!E16),"-",""),FALSE,CELL("format",'#_Sheet1'!E16)="G",FALSE,AND(CELL("format",'#_Sheet1'!E16)="F0",CELL("format",Sheet1!E16)="G"),FALSE,TRUE,IFERROR(IF(MATCH(CELL("format",'#_Sheet1'!E16),FormatCodesSFX!$A$4:$A$53,0)&gt;0,TRUE),FALSE),TRUE,TRUE),"FormatMsg",TRUE,"PerfectMsg")</f>
        <v/>
      </c>
      <c r="F16" s="36" t="str">
        <f ca="1">_xlfn.IFS(ISBLANK(Sheet1!F16),"",IF(NOT(ISNA('#_Sheet1'!F16)),IF(ISNA(Sheet1!F16),TRUE,FALSE),FALSE),"StuNAMsg",IF(AND(ISNA('#_Sheet1'!F16),ISNA(Sheet1!F16)),TRUE,FALSE),"PerfectMsg",IF(NOT(ISERROR('#_Sheet1'!F16)),IF(ISERROR(Sheet1!F16),TRUE,FALSE),FALSE),"StuErrorMsg",IF(TYPE('#_Sheet1'!F16)&lt;&gt;TYPE(Sheet1!F16),TRUE,FALSE),"WrongTypeMsg",IF(ISNUMBER('#_Sheet1'!F16),IF(ABS('#_Sheet1'!F16-Sheet1!F16)&gt;0.00001,TRUE,FALSE),IF('#_Sheet1'!F16&lt;&gt;Sheet1!F16,TRUE,FALSE)),IF(ISNUMBER('#_Sheet1'!F16),IF('#_Sheet1'!F16&gt;Sheet1!F16,"TooLow","TooHigh"),"WrongAnswer"),NOT(_xlfn.ISFORMULA('#_Sheet1'!F16)),IF(_xlfn.IFS(ISTEXT('#_Sheet1'!F16),FALSE,ISLOGICAL('#_Sheet1'!F16),FALSE,SUBSTITUTE(CELL("format",'#_Sheet1'!F16),"-","")=SUBSTITUTE(CELL("format",Sheet1!F16),"-",""),FALSE,CELL("format",'#_Sheet1'!F16)="G",FALSE,AND(CELL("format",'#_Sheet1'!F16)="F0",CELL("format",Sheet1!F16)="G"),FALSE,TRUE,IFERROR(IF(MATCH(CELL("format",'#_Sheet1'!F16),FormatCodesSFX!$A$4:$A$53,0)&gt;0,TRUE),FALSE),TRUE,TRUE),"FormatMsg","PerfectMsg"),_xlfn.IFS(ISTEXT('#_Sheet1'!F16),FALSE,ISLOGICAL('#_Sheet1'!F16),FALSE,SUBSTITUTE(CELL("format",'#_Sheet1'!F16),"-","")=SUBSTITUTE(CELL("format",Sheet1!F16),"-",""),FALSE,CELL("format",'#_Sheet1'!F16)="G",FALSE,AND(CELL("format",'#_Sheet1'!F16)="F0",CELL("format",Sheet1!F16)="G"),FALSE,TRUE,IFERROR(IF(MATCH(CELL("format",'#_Sheet1'!F16),FormatCodesSFX!$A$4:$A$53,0)&gt;0,TRUE),FALSE),TRUE,TRUE),"FormatMsg",TRUE,"PerfectMsg")</f>
        <v/>
      </c>
      <c r="G16" s="44" t="str">
        <f ca="1">_xlfn.IFS(ISBLANK(Sheet1!G16),"",IF(NOT(ISNA('#_Sheet1'!G16)),IF(ISNA(Sheet1!G16),TRUE,FALSE),FALSE),"StuNAMsg",IF(AND(ISNA('#_Sheet1'!G16),ISNA(Sheet1!G16)),TRUE,FALSE),"PerfectMsg",IF(NOT(ISERROR('#_Sheet1'!G16)),IF(ISERROR(Sheet1!G16),TRUE,FALSE),FALSE),"StuErrorMsg",IF(TYPE('#_Sheet1'!G16)&lt;&gt;TYPE(Sheet1!G16),TRUE,FALSE),"WrongTypeMsg",IF(ISNUMBER('#_Sheet1'!G16),IF(ABS('#_Sheet1'!G16-Sheet1!G16)&gt;0.00001,TRUE,FALSE),IF('#_Sheet1'!G16&lt;&gt;Sheet1!G16,TRUE,FALSE)),IF(ISNUMBER('#_Sheet1'!G16),IF('#_Sheet1'!G16&gt;Sheet1!G16,"TooLow","TooHigh"),"WrongAnswer"),NOT(_xlfn.ISFORMULA('#_Sheet1'!G16)),IF(_xlfn.IFS(ISTEXT('#_Sheet1'!G16),FALSE,ISLOGICAL('#_Sheet1'!G16),FALSE,SUBSTITUTE(CELL("format",'#_Sheet1'!G16),"-","")=SUBSTITUTE(CELL("format",Sheet1!G16),"-",""),FALSE,CELL("format",'#_Sheet1'!G16)="G",FALSE,AND(CELL("format",'#_Sheet1'!G16)="F0",CELL("format",Sheet1!G16)="G"),FALSE,TRUE,IFERROR(IF(MATCH(CELL("format",'#_Sheet1'!G16),FormatCodesSFX!$A$4:$A$53,0)&gt;0,TRUE),FALSE),TRUE,TRUE),"FormatMsg","PerfectMsg"),_xlfn.IFS(ISTEXT('#_Sheet1'!G16),FALSE,ISLOGICAL('#_Sheet1'!G16),FALSE,SUBSTITUTE(CELL("format",'#_Sheet1'!G16),"-","")=SUBSTITUTE(CELL("format",Sheet1!G16),"-",""),FALSE,CELL("format",'#_Sheet1'!G16)="G",FALSE,AND(CELL("format",'#_Sheet1'!G16)="F0",CELL("format",Sheet1!G16)="G"),FALSE,TRUE,IFERROR(IF(MATCH(CELL("format",'#_Sheet1'!G16),FormatCodesSFX!$A$4:$A$53,0)&gt;0,TRUE),FALSE),TRUE,TRUE),"FormatMsg",TRUE,"PerfectMsg")</f>
        <v/>
      </c>
      <c r="H16" s="45" t="str">
        <f ca="1">_xlfn.IFS(ISBLANK(Sheet1!H16),"",IF(NOT(ISNA('#_Sheet1'!H16)),IF(ISNA(Sheet1!H16),TRUE,FALSE),FALSE),"StuNAMsg",IF(AND(ISNA('#_Sheet1'!H16),ISNA(Sheet1!H16)),TRUE,FALSE),"PerfectMsg",IF(NOT(ISERROR('#_Sheet1'!H16)),IF(ISERROR(Sheet1!H16),TRUE,FALSE),FALSE),"StuErrorMsg",IF(TYPE('#_Sheet1'!H16)&lt;&gt;TYPE(Sheet1!H16),TRUE,FALSE),"WrongTypeMsg",IF(ISNUMBER('#_Sheet1'!H16),IF(ABS('#_Sheet1'!H16-Sheet1!H16)&gt;0.00001,TRUE,FALSE),IF('#_Sheet1'!H16&lt;&gt;Sheet1!H16,TRUE,FALSE)),IF(ISNUMBER('#_Sheet1'!H16),IF('#_Sheet1'!H16&gt;Sheet1!H16,"TooLow","TooHigh"),"WrongAnswer"),NOT(_xlfn.ISFORMULA('#_Sheet1'!H16)),IF(_xlfn.IFS(ISTEXT('#_Sheet1'!H16),FALSE,ISLOGICAL('#_Sheet1'!H16),FALSE,SUBSTITUTE(CELL("format",'#_Sheet1'!H16),"-","")=SUBSTITUTE(CELL("format",Sheet1!H16),"-",""),FALSE,CELL("format",'#_Sheet1'!H16)="G",FALSE,AND(CELL("format",'#_Sheet1'!H16)="F0",CELL("format",Sheet1!H16)="G"),FALSE,TRUE,IFERROR(IF(MATCH(CELL("format",'#_Sheet1'!H16),FormatCodesSFX!$A$4:$A$53,0)&gt;0,TRUE),FALSE),TRUE,TRUE),"FormatMsg","PerfectMsg"),_xlfn.IFS(ISTEXT('#_Sheet1'!H16),FALSE,ISLOGICAL('#_Sheet1'!H16),FALSE,SUBSTITUTE(CELL("format",'#_Sheet1'!H16),"-","")=SUBSTITUTE(CELL("format",Sheet1!H16),"-",""),FALSE,CELL("format",'#_Sheet1'!H16)="G",FALSE,AND(CELL("format",'#_Sheet1'!H16)="F0",CELL("format",Sheet1!H16)="G"),FALSE,TRUE,IFERROR(IF(MATCH(CELL("format",'#_Sheet1'!H16),FormatCodesSFX!$A$4:$A$53,0)&gt;0,TRUE),FALSE),TRUE,TRUE),"FormatMsg",TRUE,"PerfectMsg")</f>
        <v/>
      </c>
    </row>
    <row r="17" spans="1:8" x14ac:dyDescent="0.15">
      <c r="A17" s="36" t="str">
        <f ca="1">_xlfn.IFS(ISBLANK(Sheet1!A17),"",IF(NOT(ISNA('#_Sheet1'!A17)),IF(ISNA(Sheet1!A17),TRUE,FALSE),FALSE),"StuNAMsg",IF(AND(ISNA('#_Sheet1'!A17),ISNA(Sheet1!A17)),TRUE,FALSE),"PerfectMsg",IF(NOT(ISERROR('#_Sheet1'!A17)),IF(ISERROR(Sheet1!A17),TRUE,FALSE),FALSE),"StuErrorMsg",IF(TYPE('#_Sheet1'!A17)&lt;&gt;TYPE(Sheet1!A17),TRUE,FALSE),"WrongTypeMsg",IF(ISNUMBER('#_Sheet1'!A17),IF(ABS('#_Sheet1'!A17-Sheet1!A17)&gt;0.00001,TRUE,FALSE),IF('#_Sheet1'!A17&lt;&gt;Sheet1!A17,TRUE,FALSE)),IF(ISNUMBER('#_Sheet1'!A17),IF('#_Sheet1'!A17&gt;Sheet1!A17,"TooLow","TooHigh"),"WrongAnswer"),NOT(_xlfn.ISFORMULA('#_Sheet1'!A17)),IF(_xlfn.IFS(ISTEXT('#_Sheet1'!A17),FALSE,ISLOGICAL('#_Sheet1'!A17),FALSE,SUBSTITUTE(CELL("format",'#_Sheet1'!A17),"-","")=SUBSTITUTE(CELL("format",Sheet1!A17),"-",""),FALSE,CELL("format",'#_Sheet1'!A17)="G",FALSE,AND(CELL("format",'#_Sheet1'!A17)="F0",CELL("format",Sheet1!A17)="G"),FALSE,TRUE,IFERROR(IF(MATCH(CELL("format",'#_Sheet1'!A17),FormatCodesSFX!$A$4:$A$53,0)&gt;0,TRUE),FALSE),TRUE,TRUE),"FormatMsg","PerfectMsg"),_xlfn.IFS(ISTEXT('#_Sheet1'!A17),FALSE,ISLOGICAL('#_Sheet1'!A17),FALSE,SUBSTITUTE(CELL("format",'#_Sheet1'!A17),"-","")=SUBSTITUTE(CELL("format",Sheet1!A17),"-",""),FALSE,CELL("format",'#_Sheet1'!A17)="G",FALSE,AND(CELL("format",'#_Sheet1'!A17)="F0",CELL("format",Sheet1!A17)="G"),FALSE,TRUE,IFERROR(IF(MATCH(CELL("format",'#_Sheet1'!A17),FormatCodesSFX!$A$4:$A$53,0)&gt;0,TRUE),FALSE),TRUE,TRUE),"FormatMsg",TRUE,"PerfectMsg")</f>
        <v/>
      </c>
      <c r="B17" s="36" t="str">
        <f ca="1">_xlfn.IFS(ISBLANK(Sheet1!B17),"",IF(NOT(ISNA('#_Sheet1'!B17)),IF(ISNA(Sheet1!B17),TRUE,FALSE),FALSE),"StuNAMsg",IF(AND(ISNA('#_Sheet1'!B17),ISNA(Sheet1!B17)),TRUE,FALSE),"PerfectMsg",IF(NOT(ISERROR('#_Sheet1'!B17)),IF(ISERROR(Sheet1!B17),TRUE,FALSE),FALSE),"StuErrorMsg",IF(TYPE('#_Sheet1'!B17)&lt;&gt;TYPE(Sheet1!B17),TRUE,FALSE),"WrongTypeMsg",IF(ISNUMBER('#_Sheet1'!B17),IF(ABS('#_Sheet1'!B17-Sheet1!B17)&gt;0.00001,TRUE,FALSE),IF('#_Sheet1'!B17&lt;&gt;Sheet1!B17,TRUE,FALSE)),IF(ISNUMBER('#_Sheet1'!B17),IF('#_Sheet1'!B17&gt;Sheet1!B17,"TooLow","TooHigh"),"WrongAnswer"),NOT(_xlfn.ISFORMULA('#_Sheet1'!B17)),IF(_xlfn.IFS(ISTEXT('#_Sheet1'!B17),FALSE,ISLOGICAL('#_Sheet1'!B17),FALSE,SUBSTITUTE(CELL("format",'#_Sheet1'!B17),"-","")=SUBSTITUTE(CELL("format",Sheet1!B17),"-",""),FALSE,CELL("format",'#_Sheet1'!B17)="G",FALSE,AND(CELL("format",'#_Sheet1'!B17)="F0",CELL("format",Sheet1!B17)="G"),FALSE,TRUE,IFERROR(IF(MATCH(CELL("format",'#_Sheet1'!B17),FormatCodesSFX!$A$4:$A$53,0)&gt;0,TRUE),FALSE),TRUE,TRUE),"FormatMsg","PerfectMsg"),_xlfn.IFS(ISTEXT('#_Sheet1'!B17),FALSE,ISLOGICAL('#_Sheet1'!B17),FALSE,SUBSTITUTE(CELL("format",'#_Sheet1'!B17),"-","")=SUBSTITUTE(CELL("format",Sheet1!B17),"-",""),FALSE,CELL("format",'#_Sheet1'!B17)="G",FALSE,AND(CELL("format",'#_Sheet1'!B17)="F0",CELL("format",Sheet1!B17)="G"),FALSE,TRUE,IFERROR(IF(MATCH(CELL("format",'#_Sheet1'!B17),FormatCodesSFX!$A$4:$A$53,0)&gt;0,TRUE),FALSE),TRUE,TRUE),"FormatMsg",TRUE,"PerfectMsg")</f>
        <v/>
      </c>
      <c r="C17" s="36" t="str">
        <f ca="1">_xlfn.IFS(ISBLANK(Sheet1!C17),"",IF(NOT(ISNA('#_Sheet1'!C17)),IF(ISNA(Sheet1!C17),TRUE,FALSE),FALSE),"StuNAMsg",IF(AND(ISNA('#_Sheet1'!C17),ISNA(Sheet1!C17)),TRUE,FALSE),"PerfectMsg",IF(NOT(ISERROR('#_Sheet1'!C17)),IF(ISERROR(Sheet1!C17),TRUE,FALSE),FALSE),"StuErrorMsg",IF(TYPE('#_Sheet1'!C17)&lt;&gt;TYPE(Sheet1!C17),TRUE,FALSE),"WrongTypeMsg",IF(ISNUMBER('#_Sheet1'!C17),IF(ABS('#_Sheet1'!C17-Sheet1!C17)&gt;0.00001,TRUE,FALSE),IF('#_Sheet1'!C17&lt;&gt;Sheet1!C17,TRUE,FALSE)),IF(ISNUMBER('#_Sheet1'!C17),IF('#_Sheet1'!C17&gt;Sheet1!C17,"TooLow","TooHigh"),"WrongAnswer"),NOT(_xlfn.ISFORMULA('#_Sheet1'!C17)),IF(_xlfn.IFS(ISTEXT('#_Sheet1'!C17),FALSE,ISLOGICAL('#_Sheet1'!C17),FALSE,SUBSTITUTE(CELL("format",'#_Sheet1'!C17),"-","")=SUBSTITUTE(CELL("format",Sheet1!C17),"-",""),FALSE,CELL("format",'#_Sheet1'!C17)="G",FALSE,AND(CELL("format",'#_Sheet1'!C17)="F0",CELL("format",Sheet1!C17)="G"),FALSE,TRUE,IFERROR(IF(MATCH(CELL("format",'#_Sheet1'!C17),FormatCodesSFX!$A$4:$A$53,0)&gt;0,TRUE),FALSE),TRUE,TRUE),"FormatMsg","PerfectMsg"),_xlfn.IFS(ISTEXT('#_Sheet1'!C17),FALSE,ISLOGICAL('#_Sheet1'!C17),FALSE,SUBSTITUTE(CELL("format",'#_Sheet1'!C17),"-","")=SUBSTITUTE(CELL("format",Sheet1!C17),"-",""),FALSE,CELL("format",'#_Sheet1'!C17)="G",FALSE,AND(CELL("format",'#_Sheet1'!C17)="F0",CELL("format",Sheet1!C17)="G"),FALSE,TRUE,IFERROR(IF(MATCH(CELL("format",'#_Sheet1'!C17),FormatCodesSFX!$A$4:$A$53,0)&gt;0,TRUE),FALSE),TRUE,TRUE),"FormatMsg",TRUE,"PerfectMsg")</f>
        <v/>
      </c>
      <c r="D17" s="36" t="str">
        <f ca="1">_xlfn.IFS(ISBLANK(Sheet1!D17),"",IF(NOT(ISNA('#_Sheet1'!D17)),IF(ISNA(Sheet1!D17),TRUE,FALSE),FALSE),"StuNAMsg",IF(AND(ISNA('#_Sheet1'!D17),ISNA(Sheet1!D17)),TRUE,FALSE),"PerfectMsg",IF(NOT(ISERROR('#_Sheet1'!D17)),IF(ISERROR(Sheet1!D17),TRUE,FALSE),FALSE),"StuErrorMsg",IF(TYPE('#_Sheet1'!D17)&lt;&gt;TYPE(Sheet1!D17),TRUE,FALSE),"WrongTypeMsg",IF(ISNUMBER('#_Sheet1'!D17),IF(ABS('#_Sheet1'!D17-Sheet1!D17)&gt;0.00001,TRUE,FALSE),IF('#_Sheet1'!D17&lt;&gt;Sheet1!D17,TRUE,FALSE)),IF(ISNUMBER('#_Sheet1'!D17),IF('#_Sheet1'!D17&gt;Sheet1!D17,"TooLow","TooHigh"),"WrongAnswer"),NOT(_xlfn.ISFORMULA('#_Sheet1'!D17)),IF(_xlfn.IFS(ISTEXT('#_Sheet1'!D17),FALSE,ISLOGICAL('#_Sheet1'!D17),FALSE,SUBSTITUTE(CELL("format",'#_Sheet1'!D17),"-","")=SUBSTITUTE(CELL("format",Sheet1!D17),"-",""),FALSE,CELL("format",'#_Sheet1'!D17)="G",FALSE,AND(CELL("format",'#_Sheet1'!D17)="F0",CELL("format",Sheet1!D17)="G"),FALSE,TRUE,IFERROR(IF(MATCH(CELL("format",'#_Sheet1'!D17),FormatCodesSFX!$A$4:$A$53,0)&gt;0,TRUE),FALSE),TRUE,TRUE),"FormatMsg","PerfectMsg"),_xlfn.IFS(ISTEXT('#_Sheet1'!D17),FALSE,ISLOGICAL('#_Sheet1'!D17),FALSE,SUBSTITUTE(CELL("format",'#_Sheet1'!D17),"-","")=SUBSTITUTE(CELL("format",Sheet1!D17),"-",""),FALSE,CELL("format",'#_Sheet1'!D17)="G",FALSE,AND(CELL("format",'#_Sheet1'!D17)="F0",CELL("format",Sheet1!D17)="G"),FALSE,TRUE,IFERROR(IF(MATCH(CELL("format",'#_Sheet1'!D17),FormatCodesSFX!$A$4:$A$53,0)&gt;0,TRUE),FALSE),TRUE,TRUE),"FormatMsg",TRUE,"PerfectMsg")</f>
        <v/>
      </c>
      <c r="E17" s="36" t="str">
        <f ca="1">_xlfn.IFS(ISBLANK(Sheet1!E17),"",IF(NOT(ISNA('#_Sheet1'!E17)),IF(ISNA(Sheet1!E17),TRUE,FALSE),FALSE),"StuNAMsg",IF(AND(ISNA('#_Sheet1'!E17),ISNA(Sheet1!E17)),TRUE,FALSE),"PerfectMsg",IF(NOT(ISERROR('#_Sheet1'!E17)),IF(ISERROR(Sheet1!E17),TRUE,FALSE),FALSE),"StuErrorMsg",IF(TYPE('#_Sheet1'!E17)&lt;&gt;TYPE(Sheet1!E17),TRUE,FALSE),"WrongTypeMsg",IF(ISNUMBER('#_Sheet1'!E17),IF(ABS('#_Sheet1'!E17-Sheet1!E17)&gt;0.00001,TRUE,FALSE),IF('#_Sheet1'!E17&lt;&gt;Sheet1!E17,TRUE,FALSE)),IF(ISNUMBER('#_Sheet1'!E17),IF('#_Sheet1'!E17&gt;Sheet1!E17,"TooLow","TooHigh"),"WrongAnswer"),NOT(_xlfn.ISFORMULA('#_Sheet1'!E17)),IF(_xlfn.IFS(ISTEXT('#_Sheet1'!E17),FALSE,ISLOGICAL('#_Sheet1'!E17),FALSE,SUBSTITUTE(CELL("format",'#_Sheet1'!E17),"-","")=SUBSTITUTE(CELL("format",Sheet1!E17),"-",""),FALSE,CELL("format",'#_Sheet1'!E17)="G",FALSE,AND(CELL("format",'#_Sheet1'!E17)="F0",CELL("format",Sheet1!E17)="G"),FALSE,TRUE,IFERROR(IF(MATCH(CELL("format",'#_Sheet1'!E17),FormatCodesSFX!$A$4:$A$53,0)&gt;0,TRUE),FALSE),TRUE,TRUE),"FormatMsg","PerfectMsg"),_xlfn.IFS(ISTEXT('#_Sheet1'!E17),FALSE,ISLOGICAL('#_Sheet1'!E17),FALSE,SUBSTITUTE(CELL("format",'#_Sheet1'!E17),"-","")=SUBSTITUTE(CELL("format",Sheet1!E17),"-",""),FALSE,CELL("format",'#_Sheet1'!E17)="G",FALSE,AND(CELL("format",'#_Sheet1'!E17)="F0",CELL("format",Sheet1!E17)="G"),FALSE,TRUE,IFERROR(IF(MATCH(CELL("format",'#_Sheet1'!E17),FormatCodesSFX!$A$4:$A$53,0)&gt;0,TRUE),FALSE),TRUE,TRUE),"FormatMsg",TRUE,"PerfectMsg")</f>
        <v/>
      </c>
      <c r="F17" s="36" t="str">
        <f ca="1">_xlfn.IFS(ISBLANK(Sheet1!F17),"",IF(NOT(ISNA('#_Sheet1'!F17)),IF(ISNA(Sheet1!F17),TRUE,FALSE),FALSE),"StuNAMsg",IF(AND(ISNA('#_Sheet1'!F17),ISNA(Sheet1!F17)),TRUE,FALSE),"PerfectMsg",IF(NOT(ISERROR('#_Sheet1'!F17)),IF(ISERROR(Sheet1!F17),TRUE,FALSE),FALSE),"StuErrorMsg",IF(TYPE('#_Sheet1'!F17)&lt;&gt;TYPE(Sheet1!F17),TRUE,FALSE),"WrongTypeMsg",IF(ISNUMBER('#_Sheet1'!F17),IF(ABS('#_Sheet1'!F17-Sheet1!F17)&gt;0.00001,TRUE,FALSE),IF('#_Sheet1'!F17&lt;&gt;Sheet1!F17,TRUE,FALSE)),IF(ISNUMBER('#_Sheet1'!F17),IF('#_Sheet1'!F17&gt;Sheet1!F17,"TooLow","TooHigh"),"WrongAnswer"),NOT(_xlfn.ISFORMULA('#_Sheet1'!F17)),IF(_xlfn.IFS(ISTEXT('#_Sheet1'!F17),FALSE,ISLOGICAL('#_Sheet1'!F17),FALSE,SUBSTITUTE(CELL("format",'#_Sheet1'!F17),"-","")=SUBSTITUTE(CELL("format",Sheet1!F17),"-",""),FALSE,CELL("format",'#_Sheet1'!F17)="G",FALSE,AND(CELL("format",'#_Sheet1'!F17)="F0",CELL("format",Sheet1!F17)="G"),FALSE,TRUE,IFERROR(IF(MATCH(CELL("format",'#_Sheet1'!F17),FormatCodesSFX!$A$4:$A$53,0)&gt;0,TRUE),FALSE),TRUE,TRUE),"FormatMsg","PerfectMsg"),_xlfn.IFS(ISTEXT('#_Sheet1'!F17),FALSE,ISLOGICAL('#_Sheet1'!F17),FALSE,SUBSTITUTE(CELL("format",'#_Sheet1'!F17),"-","")=SUBSTITUTE(CELL("format",Sheet1!F17),"-",""),FALSE,CELL("format",'#_Sheet1'!F17)="G",FALSE,AND(CELL("format",'#_Sheet1'!F17)="F0",CELL("format",Sheet1!F17)="G"),FALSE,TRUE,IFERROR(IF(MATCH(CELL("format",'#_Sheet1'!F17),FormatCodesSFX!$A$4:$A$53,0)&gt;0,TRUE),FALSE),TRUE,TRUE),"FormatMsg",TRUE,"PerfectMsg")</f>
        <v/>
      </c>
      <c r="G17" s="44" t="str">
        <f ca="1">_xlfn.IFS(ISBLANK(Sheet1!G17),"",IF(NOT(ISNA('#_Sheet1'!G17)),IF(ISNA(Sheet1!G17),TRUE,FALSE),FALSE),"StuNAMsg",IF(AND(ISNA('#_Sheet1'!G17),ISNA(Sheet1!G17)),TRUE,FALSE),"PerfectMsg",IF(NOT(ISERROR('#_Sheet1'!G17)),IF(ISERROR(Sheet1!G17),TRUE,FALSE),FALSE),"StuErrorMsg",IF(TYPE('#_Sheet1'!G17)&lt;&gt;TYPE(Sheet1!G17),TRUE,FALSE),"WrongTypeMsg",IF(ISNUMBER('#_Sheet1'!G17),IF(ABS('#_Sheet1'!G17-Sheet1!G17)&gt;0.00001,TRUE,FALSE),IF('#_Sheet1'!G17&lt;&gt;Sheet1!G17,TRUE,FALSE)),IF(ISNUMBER('#_Sheet1'!G17),IF('#_Sheet1'!G17&gt;Sheet1!G17,"TooLow","TooHigh"),"WrongAnswer"),NOT(_xlfn.ISFORMULA('#_Sheet1'!G17)),IF(_xlfn.IFS(ISTEXT('#_Sheet1'!G17),FALSE,ISLOGICAL('#_Sheet1'!G17),FALSE,SUBSTITUTE(CELL("format",'#_Sheet1'!G17),"-","")=SUBSTITUTE(CELL("format",Sheet1!G17),"-",""),FALSE,CELL("format",'#_Sheet1'!G17)="G",FALSE,AND(CELL("format",'#_Sheet1'!G17)="F0",CELL("format",Sheet1!G17)="G"),FALSE,TRUE,IFERROR(IF(MATCH(CELL("format",'#_Sheet1'!G17),FormatCodesSFX!$A$4:$A$53,0)&gt;0,TRUE),FALSE),TRUE,TRUE),"FormatMsg","PerfectMsg"),_xlfn.IFS(ISTEXT('#_Sheet1'!G17),FALSE,ISLOGICAL('#_Sheet1'!G17),FALSE,SUBSTITUTE(CELL("format",'#_Sheet1'!G17),"-","")=SUBSTITUTE(CELL("format",Sheet1!G17),"-",""),FALSE,CELL("format",'#_Sheet1'!G17)="G",FALSE,AND(CELL("format",'#_Sheet1'!G17)="F0",CELL("format",Sheet1!G17)="G"),FALSE,TRUE,IFERROR(IF(MATCH(CELL("format",'#_Sheet1'!G17),FormatCodesSFX!$A$4:$A$53,0)&gt;0,TRUE),FALSE),TRUE,TRUE),"FormatMsg",TRUE,"PerfectMsg")</f>
        <v/>
      </c>
      <c r="H17" s="45" t="str">
        <f ca="1">_xlfn.IFS(ISBLANK(Sheet1!H17),"",IF(NOT(ISNA('#_Sheet1'!H17)),IF(ISNA(Sheet1!H17),TRUE,FALSE),FALSE),"StuNAMsg",IF(AND(ISNA('#_Sheet1'!H17),ISNA(Sheet1!H17)),TRUE,FALSE),"PerfectMsg",IF(NOT(ISERROR('#_Sheet1'!H17)),IF(ISERROR(Sheet1!H17),TRUE,FALSE),FALSE),"StuErrorMsg",IF(TYPE('#_Sheet1'!H17)&lt;&gt;TYPE(Sheet1!H17),TRUE,FALSE),"WrongTypeMsg",IF(ISNUMBER('#_Sheet1'!H17),IF(ABS('#_Sheet1'!H17-Sheet1!H17)&gt;0.00001,TRUE,FALSE),IF('#_Sheet1'!H17&lt;&gt;Sheet1!H17,TRUE,FALSE)),IF(ISNUMBER('#_Sheet1'!H17),IF('#_Sheet1'!H17&gt;Sheet1!H17,"TooLow","TooHigh"),"WrongAnswer"),NOT(_xlfn.ISFORMULA('#_Sheet1'!H17)),IF(_xlfn.IFS(ISTEXT('#_Sheet1'!H17),FALSE,ISLOGICAL('#_Sheet1'!H17),FALSE,SUBSTITUTE(CELL("format",'#_Sheet1'!H17),"-","")=SUBSTITUTE(CELL("format",Sheet1!H17),"-",""),FALSE,CELL("format",'#_Sheet1'!H17)="G",FALSE,AND(CELL("format",'#_Sheet1'!H17)="F0",CELL("format",Sheet1!H17)="G"),FALSE,TRUE,IFERROR(IF(MATCH(CELL("format",'#_Sheet1'!H17),FormatCodesSFX!$A$4:$A$53,0)&gt;0,TRUE),FALSE),TRUE,TRUE),"FormatMsg","PerfectMsg"),_xlfn.IFS(ISTEXT('#_Sheet1'!H17),FALSE,ISLOGICAL('#_Sheet1'!H17),FALSE,SUBSTITUTE(CELL("format",'#_Sheet1'!H17),"-","")=SUBSTITUTE(CELL("format",Sheet1!H17),"-",""),FALSE,CELL("format",'#_Sheet1'!H17)="G",FALSE,AND(CELL("format",'#_Sheet1'!H17)="F0",CELL("format",Sheet1!H17)="G"),FALSE,TRUE,IFERROR(IF(MATCH(CELL("format",'#_Sheet1'!H17),FormatCodesSFX!$A$4:$A$53,0)&gt;0,TRUE),FALSE),TRUE,TRUE),"FormatMsg",TRUE,"PerfectMsg")</f>
        <v/>
      </c>
    </row>
    <row r="18" spans="1:8" x14ac:dyDescent="0.15">
      <c r="A18" s="36" t="str">
        <f ca="1">_xlfn.IFS(ISBLANK(Sheet1!A18),"",IF(NOT(ISNA('#_Sheet1'!A18)),IF(ISNA(Sheet1!A18),TRUE,FALSE),FALSE),"StuNAMsg",IF(AND(ISNA('#_Sheet1'!A18),ISNA(Sheet1!A18)),TRUE,FALSE),"PerfectMsg",IF(NOT(ISERROR('#_Sheet1'!A18)),IF(ISERROR(Sheet1!A18),TRUE,FALSE),FALSE),"StuErrorMsg",IF(TYPE('#_Sheet1'!A18)&lt;&gt;TYPE(Sheet1!A18),TRUE,FALSE),"WrongTypeMsg",IF(ISNUMBER('#_Sheet1'!A18),IF(ABS('#_Sheet1'!A18-Sheet1!A18)&gt;0.00001,TRUE,FALSE),IF('#_Sheet1'!A18&lt;&gt;Sheet1!A18,TRUE,FALSE)),IF(ISNUMBER('#_Sheet1'!A18),IF('#_Sheet1'!A18&gt;Sheet1!A18,"TooLow","TooHigh"),"WrongAnswer"),NOT(_xlfn.ISFORMULA('#_Sheet1'!A18)),IF(_xlfn.IFS(ISTEXT('#_Sheet1'!A18),FALSE,ISLOGICAL('#_Sheet1'!A18),FALSE,SUBSTITUTE(CELL("format",'#_Sheet1'!A18),"-","")=SUBSTITUTE(CELL("format",Sheet1!A18),"-",""),FALSE,CELL("format",'#_Sheet1'!A18)="G",FALSE,AND(CELL("format",'#_Sheet1'!A18)="F0",CELL("format",Sheet1!A18)="G"),FALSE,TRUE,IFERROR(IF(MATCH(CELL("format",'#_Sheet1'!A18),FormatCodesSFX!$A$4:$A$53,0)&gt;0,TRUE),FALSE),TRUE,TRUE),"FormatMsg","PerfectMsg"),_xlfn.IFS(ISTEXT('#_Sheet1'!A18),FALSE,ISLOGICAL('#_Sheet1'!A18),FALSE,SUBSTITUTE(CELL("format",'#_Sheet1'!A18),"-","")=SUBSTITUTE(CELL("format",Sheet1!A18),"-",""),FALSE,CELL("format",'#_Sheet1'!A18)="G",FALSE,AND(CELL("format",'#_Sheet1'!A18)="F0",CELL("format",Sheet1!A18)="G"),FALSE,TRUE,IFERROR(IF(MATCH(CELL("format",'#_Sheet1'!A18),FormatCodesSFX!$A$4:$A$53,0)&gt;0,TRUE),FALSE),TRUE,TRUE),"FormatMsg",TRUE,"PerfectMsg")</f>
        <v/>
      </c>
      <c r="B18" s="36" t="str">
        <f ca="1">_xlfn.IFS(ISBLANK(Sheet1!B18),"",IF(NOT(ISNA('#_Sheet1'!B18)),IF(ISNA(Sheet1!B18),TRUE,FALSE),FALSE),"StuNAMsg",IF(AND(ISNA('#_Sheet1'!B18),ISNA(Sheet1!B18)),TRUE,FALSE),"PerfectMsg",IF(NOT(ISERROR('#_Sheet1'!B18)),IF(ISERROR(Sheet1!B18),TRUE,FALSE),FALSE),"StuErrorMsg",IF(TYPE('#_Sheet1'!B18)&lt;&gt;TYPE(Sheet1!B18),TRUE,FALSE),"WrongTypeMsg",IF(ISNUMBER('#_Sheet1'!B18),IF(ABS('#_Sheet1'!B18-Sheet1!B18)&gt;0.00001,TRUE,FALSE),IF('#_Sheet1'!B18&lt;&gt;Sheet1!B18,TRUE,FALSE)),IF(ISNUMBER('#_Sheet1'!B18),IF('#_Sheet1'!B18&gt;Sheet1!B18,"TooLow","TooHigh"),"WrongAnswer"),NOT(_xlfn.ISFORMULA('#_Sheet1'!B18)),IF(_xlfn.IFS(ISTEXT('#_Sheet1'!B18),FALSE,ISLOGICAL('#_Sheet1'!B18),FALSE,SUBSTITUTE(CELL("format",'#_Sheet1'!B18),"-","")=SUBSTITUTE(CELL("format",Sheet1!B18),"-",""),FALSE,CELL("format",'#_Sheet1'!B18)="G",FALSE,AND(CELL("format",'#_Sheet1'!B18)="F0",CELL("format",Sheet1!B18)="G"),FALSE,TRUE,IFERROR(IF(MATCH(CELL("format",'#_Sheet1'!B18),FormatCodesSFX!$A$4:$A$53,0)&gt;0,TRUE),FALSE),TRUE,TRUE),"FormatMsg","PerfectMsg"),_xlfn.IFS(ISTEXT('#_Sheet1'!B18),FALSE,ISLOGICAL('#_Sheet1'!B18),FALSE,SUBSTITUTE(CELL("format",'#_Sheet1'!B18),"-","")=SUBSTITUTE(CELL("format",Sheet1!B18),"-",""),FALSE,CELL("format",'#_Sheet1'!B18)="G",FALSE,AND(CELL("format",'#_Sheet1'!B18)="F0",CELL("format",Sheet1!B18)="G"),FALSE,TRUE,IFERROR(IF(MATCH(CELL("format",'#_Sheet1'!B18),FormatCodesSFX!$A$4:$A$53,0)&gt;0,TRUE),FALSE),TRUE,TRUE),"FormatMsg",TRUE,"PerfectMsg")</f>
        <v/>
      </c>
      <c r="C18" s="36" t="str">
        <f ca="1">_xlfn.IFS(ISBLANK(Sheet1!C18),"",IF(NOT(ISNA('#_Sheet1'!C18)),IF(ISNA(Sheet1!C18),TRUE,FALSE),FALSE),"StuNAMsg",IF(AND(ISNA('#_Sheet1'!C18),ISNA(Sheet1!C18)),TRUE,FALSE),"PerfectMsg",IF(NOT(ISERROR('#_Sheet1'!C18)),IF(ISERROR(Sheet1!C18),TRUE,FALSE),FALSE),"StuErrorMsg",IF(TYPE('#_Sheet1'!C18)&lt;&gt;TYPE(Sheet1!C18),TRUE,FALSE),"WrongTypeMsg",IF(ISNUMBER('#_Sheet1'!C18),IF(ABS('#_Sheet1'!C18-Sheet1!C18)&gt;0.00001,TRUE,FALSE),IF('#_Sheet1'!C18&lt;&gt;Sheet1!C18,TRUE,FALSE)),IF(ISNUMBER('#_Sheet1'!C18),IF('#_Sheet1'!C18&gt;Sheet1!C18,"TooLow","TooHigh"),"WrongAnswer"),NOT(_xlfn.ISFORMULA('#_Sheet1'!C18)),IF(_xlfn.IFS(ISTEXT('#_Sheet1'!C18),FALSE,ISLOGICAL('#_Sheet1'!C18),FALSE,SUBSTITUTE(CELL("format",'#_Sheet1'!C18),"-","")=SUBSTITUTE(CELL("format",Sheet1!C18),"-",""),FALSE,CELL("format",'#_Sheet1'!C18)="G",FALSE,AND(CELL("format",'#_Sheet1'!C18)="F0",CELL("format",Sheet1!C18)="G"),FALSE,TRUE,IFERROR(IF(MATCH(CELL("format",'#_Sheet1'!C18),FormatCodesSFX!$A$4:$A$53,0)&gt;0,TRUE),FALSE),TRUE,TRUE),"FormatMsg","PerfectMsg"),_xlfn.IFS(ISTEXT('#_Sheet1'!C18),FALSE,ISLOGICAL('#_Sheet1'!C18),FALSE,SUBSTITUTE(CELL("format",'#_Sheet1'!C18),"-","")=SUBSTITUTE(CELL("format",Sheet1!C18),"-",""),FALSE,CELL("format",'#_Sheet1'!C18)="G",FALSE,AND(CELL("format",'#_Sheet1'!C18)="F0",CELL("format",Sheet1!C18)="G"),FALSE,TRUE,IFERROR(IF(MATCH(CELL("format",'#_Sheet1'!C18),FormatCodesSFX!$A$4:$A$53,0)&gt;0,TRUE),FALSE),TRUE,TRUE),"FormatMsg",TRUE,"PerfectMsg")</f>
        <v/>
      </c>
      <c r="D18" s="36" t="str">
        <f ca="1">_xlfn.IFS(ISBLANK(Sheet1!D18),"",IF(NOT(ISNA('#_Sheet1'!D18)),IF(ISNA(Sheet1!D18),TRUE,FALSE),FALSE),"StuNAMsg",IF(AND(ISNA('#_Sheet1'!D18),ISNA(Sheet1!D18)),TRUE,FALSE),"PerfectMsg",IF(NOT(ISERROR('#_Sheet1'!D18)),IF(ISERROR(Sheet1!D18),TRUE,FALSE),FALSE),"StuErrorMsg",IF(TYPE('#_Sheet1'!D18)&lt;&gt;TYPE(Sheet1!D18),TRUE,FALSE),"WrongTypeMsg",IF(ISNUMBER('#_Sheet1'!D18),IF(ABS('#_Sheet1'!D18-Sheet1!D18)&gt;0.00001,TRUE,FALSE),IF('#_Sheet1'!D18&lt;&gt;Sheet1!D18,TRUE,FALSE)),IF(ISNUMBER('#_Sheet1'!D18),IF('#_Sheet1'!D18&gt;Sheet1!D18,"TooLow","TooHigh"),"WrongAnswer"),NOT(_xlfn.ISFORMULA('#_Sheet1'!D18)),IF(_xlfn.IFS(ISTEXT('#_Sheet1'!D18),FALSE,ISLOGICAL('#_Sheet1'!D18),FALSE,SUBSTITUTE(CELL("format",'#_Sheet1'!D18),"-","")=SUBSTITUTE(CELL("format",Sheet1!D18),"-",""),FALSE,CELL("format",'#_Sheet1'!D18)="G",FALSE,AND(CELL("format",'#_Sheet1'!D18)="F0",CELL("format",Sheet1!D18)="G"),FALSE,TRUE,IFERROR(IF(MATCH(CELL("format",'#_Sheet1'!D18),FormatCodesSFX!$A$4:$A$53,0)&gt;0,TRUE),FALSE),TRUE,TRUE),"FormatMsg","PerfectMsg"),_xlfn.IFS(ISTEXT('#_Sheet1'!D18),FALSE,ISLOGICAL('#_Sheet1'!D18),FALSE,SUBSTITUTE(CELL("format",'#_Sheet1'!D18),"-","")=SUBSTITUTE(CELL("format",Sheet1!D18),"-",""),FALSE,CELL("format",'#_Sheet1'!D18)="G",FALSE,AND(CELL("format",'#_Sheet1'!D18)="F0",CELL("format",Sheet1!D18)="G"),FALSE,TRUE,IFERROR(IF(MATCH(CELL("format",'#_Sheet1'!D18),FormatCodesSFX!$A$4:$A$53,0)&gt;0,TRUE),FALSE),TRUE,TRUE),"FormatMsg",TRUE,"PerfectMsg")</f>
        <v/>
      </c>
      <c r="E18" s="36" t="str">
        <f ca="1">_xlfn.IFS(ISBLANK(Sheet1!E18),"",IF(NOT(ISNA('#_Sheet1'!E18)),IF(ISNA(Sheet1!E18),TRUE,FALSE),FALSE),"StuNAMsg",IF(AND(ISNA('#_Sheet1'!E18),ISNA(Sheet1!E18)),TRUE,FALSE),"PerfectMsg",IF(NOT(ISERROR('#_Sheet1'!E18)),IF(ISERROR(Sheet1!E18),TRUE,FALSE),FALSE),"StuErrorMsg",IF(TYPE('#_Sheet1'!E18)&lt;&gt;TYPE(Sheet1!E18),TRUE,FALSE),"WrongTypeMsg",IF(ISNUMBER('#_Sheet1'!E18),IF(ABS('#_Sheet1'!E18-Sheet1!E18)&gt;0.00001,TRUE,FALSE),IF('#_Sheet1'!E18&lt;&gt;Sheet1!E18,TRUE,FALSE)),IF(ISNUMBER('#_Sheet1'!E18),IF('#_Sheet1'!E18&gt;Sheet1!E18,"TooLow","TooHigh"),"WrongAnswer"),NOT(_xlfn.ISFORMULA('#_Sheet1'!E18)),IF(_xlfn.IFS(ISTEXT('#_Sheet1'!E18),FALSE,ISLOGICAL('#_Sheet1'!E18),FALSE,SUBSTITUTE(CELL("format",'#_Sheet1'!E18),"-","")=SUBSTITUTE(CELL("format",Sheet1!E18),"-",""),FALSE,CELL("format",'#_Sheet1'!E18)="G",FALSE,AND(CELL("format",'#_Sheet1'!E18)="F0",CELL("format",Sheet1!E18)="G"),FALSE,TRUE,IFERROR(IF(MATCH(CELL("format",'#_Sheet1'!E18),FormatCodesSFX!$A$4:$A$53,0)&gt;0,TRUE),FALSE),TRUE,TRUE),"FormatMsg","PerfectMsg"),_xlfn.IFS(ISTEXT('#_Sheet1'!E18),FALSE,ISLOGICAL('#_Sheet1'!E18),FALSE,SUBSTITUTE(CELL("format",'#_Sheet1'!E18),"-","")=SUBSTITUTE(CELL("format",Sheet1!E18),"-",""),FALSE,CELL("format",'#_Sheet1'!E18)="G",FALSE,AND(CELL("format",'#_Sheet1'!E18)="F0",CELL("format",Sheet1!E18)="G"),FALSE,TRUE,IFERROR(IF(MATCH(CELL("format",'#_Sheet1'!E18),FormatCodesSFX!$A$4:$A$53,0)&gt;0,TRUE),FALSE),TRUE,TRUE),"FormatMsg",TRUE,"PerfectMsg")</f>
        <v/>
      </c>
      <c r="F18" s="36" t="str">
        <f ca="1">_xlfn.IFS(ISBLANK(Sheet1!F18),"",IF(NOT(ISNA('#_Sheet1'!F18)),IF(ISNA(Sheet1!F18),TRUE,FALSE),FALSE),"StuNAMsg",IF(AND(ISNA('#_Sheet1'!F18),ISNA(Sheet1!F18)),TRUE,FALSE),"PerfectMsg",IF(NOT(ISERROR('#_Sheet1'!F18)),IF(ISERROR(Sheet1!F18),TRUE,FALSE),FALSE),"StuErrorMsg",IF(TYPE('#_Sheet1'!F18)&lt;&gt;TYPE(Sheet1!F18),TRUE,FALSE),"WrongTypeMsg",IF(ISNUMBER('#_Sheet1'!F18),IF(ABS('#_Sheet1'!F18-Sheet1!F18)&gt;0.00001,TRUE,FALSE),IF('#_Sheet1'!F18&lt;&gt;Sheet1!F18,TRUE,FALSE)),IF(ISNUMBER('#_Sheet1'!F18),IF('#_Sheet1'!F18&gt;Sheet1!F18,"TooLow","TooHigh"),"WrongAnswer"),NOT(_xlfn.ISFORMULA('#_Sheet1'!F18)),IF(_xlfn.IFS(ISTEXT('#_Sheet1'!F18),FALSE,ISLOGICAL('#_Sheet1'!F18),FALSE,SUBSTITUTE(CELL("format",'#_Sheet1'!F18),"-","")=SUBSTITUTE(CELL("format",Sheet1!F18),"-",""),FALSE,CELL("format",'#_Sheet1'!F18)="G",FALSE,AND(CELL("format",'#_Sheet1'!F18)="F0",CELL("format",Sheet1!F18)="G"),FALSE,TRUE,IFERROR(IF(MATCH(CELL("format",'#_Sheet1'!F18),FormatCodesSFX!$A$4:$A$53,0)&gt;0,TRUE),FALSE),TRUE,TRUE),"FormatMsg","PerfectMsg"),_xlfn.IFS(ISTEXT('#_Sheet1'!F18),FALSE,ISLOGICAL('#_Sheet1'!F18),FALSE,SUBSTITUTE(CELL("format",'#_Sheet1'!F18),"-","")=SUBSTITUTE(CELL("format",Sheet1!F18),"-",""),FALSE,CELL("format",'#_Sheet1'!F18)="G",FALSE,AND(CELL("format",'#_Sheet1'!F18)="F0",CELL("format",Sheet1!F18)="G"),FALSE,TRUE,IFERROR(IF(MATCH(CELL("format",'#_Sheet1'!F18),FormatCodesSFX!$A$4:$A$53,0)&gt;0,TRUE),FALSE),TRUE,TRUE),"FormatMsg",TRUE,"PerfectMsg")</f>
        <v/>
      </c>
      <c r="G18" s="44" t="str">
        <f ca="1">_xlfn.IFS(ISBLANK(Sheet1!G18),"",IF(NOT(ISNA('#_Sheet1'!G18)),IF(ISNA(Sheet1!G18),TRUE,FALSE),FALSE),"StuNAMsg",IF(AND(ISNA('#_Sheet1'!G18),ISNA(Sheet1!G18)),TRUE,FALSE),"PerfectMsg",IF(NOT(ISERROR('#_Sheet1'!G18)),IF(ISERROR(Sheet1!G18),TRUE,FALSE),FALSE),"StuErrorMsg",IF(TYPE('#_Sheet1'!G18)&lt;&gt;TYPE(Sheet1!G18),TRUE,FALSE),"WrongTypeMsg",IF(ISNUMBER('#_Sheet1'!G18),IF(ABS('#_Sheet1'!G18-Sheet1!G18)&gt;0.00001,TRUE,FALSE),IF('#_Sheet1'!G18&lt;&gt;Sheet1!G18,TRUE,FALSE)),IF(ISNUMBER('#_Sheet1'!G18),IF('#_Sheet1'!G18&gt;Sheet1!G18,"TooLow","TooHigh"),"WrongAnswer"),NOT(_xlfn.ISFORMULA('#_Sheet1'!G18)),IF(_xlfn.IFS(ISTEXT('#_Sheet1'!G18),FALSE,ISLOGICAL('#_Sheet1'!G18),FALSE,SUBSTITUTE(CELL("format",'#_Sheet1'!G18),"-","")=SUBSTITUTE(CELL("format",Sheet1!G18),"-",""),FALSE,CELL("format",'#_Sheet1'!G18)="G",FALSE,AND(CELL("format",'#_Sheet1'!G18)="F0",CELL("format",Sheet1!G18)="G"),FALSE,TRUE,IFERROR(IF(MATCH(CELL("format",'#_Sheet1'!G18),FormatCodesSFX!$A$4:$A$53,0)&gt;0,TRUE),FALSE),TRUE,TRUE),"FormatMsg","PerfectMsg"),_xlfn.IFS(ISTEXT('#_Sheet1'!G18),FALSE,ISLOGICAL('#_Sheet1'!G18),FALSE,SUBSTITUTE(CELL("format",'#_Sheet1'!G18),"-","")=SUBSTITUTE(CELL("format",Sheet1!G18),"-",""),FALSE,CELL("format",'#_Sheet1'!G18)="G",FALSE,AND(CELL("format",'#_Sheet1'!G18)="F0",CELL("format",Sheet1!G18)="G"),FALSE,TRUE,IFERROR(IF(MATCH(CELL("format",'#_Sheet1'!G18),FormatCodesSFX!$A$4:$A$53,0)&gt;0,TRUE),FALSE),TRUE,TRUE),"FormatMsg",TRUE,"PerfectMsg")</f>
        <v/>
      </c>
      <c r="H18" s="45" t="str">
        <f ca="1">_xlfn.IFS(ISBLANK(Sheet1!H18),"",IF(NOT(ISNA('#_Sheet1'!H18)),IF(ISNA(Sheet1!H18),TRUE,FALSE),FALSE),"StuNAMsg",IF(AND(ISNA('#_Sheet1'!H18),ISNA(Sheet1!H18)),TRUE,FALSE),"PerfectMsg",IF(NOT(ISERROR('#_Sheet1'!H18)),IF(ISERROR(Sheet1!H18),TRUE,FALSE),FALSE),"StuErrorMsg",IF(TYPE('#_Sheet1'!H18)&lt;&gt;TYPE(Sheet1!H18),TRUE,FALSE),"WrongTypeMsg",IF(ISNUMBER('#_Sheet1'!H18),IF(ABS('#_Sheet1'!H18-Sheet1!H18)&gt;0.00001,TRUE,FALSE),IF('#_Sheet1'!H18&lt;&gt;Sheet1!H18,TRUE,FALSE)),IF(ISNUMBER('#_Sheet1'!H18),IF('#_Sheet1'!H18&gt;Sheet1!H18,"TooLow","TooHigh"),"WrongAnswer"),NOT(_xlfn.ISFORMULA('#_Sheet1'!H18)),IF(_xlfn.IFS(ISTEXT('#_Sheet1'!H18),FALSE,ISLOGICAL('#_Sheet1'!H18),FALSE,SUBSTITUTE(CELL("format",'#_Sheet1'!H18),"-","")=SUBSTITUTE(CELL("format",Sheet1!H18),"-",""),FALSE,CELL("format",'#_Sheet1'!H18)="G",FALSE,AND(CELL("format",'#_Sheet1'!H18)="F0",CELL("format",Sheet1!H18)="G"),FALSE,TRUE,IFERROR(IF(MATCH(CELL("format",'#_Sheet1'!H18),FormatCodesSFX!$A$4:$A$53,0)&gt;0,TRUE),FALSE),TRUE,TRUE),"FormatMsg","PerfectMsg"),_xlfn.IFS(ISTEXT('#_Sheet1'!H18),FALSE,ISLOGICAL('#_Sheet1'!H18),FALSE,SUBSTITUTE(CELL("format",'#_Sheet1'!H18),"-","")=SUBSTITUTE(CELL("format",Sheet1!H18),"-",""),FALSE,CELL("format",'#_Sheet1'!H18)="G",FALSE,AND(CELL("format",'#_Sheet1'!H18)="F0",CELL("format",Sheet1!H18)="G"),FALSE,TRUE,IFERROR(IF(MATCH(CELL("format",'#_Sheet1'!H18),FormatCodesSFX!$A$4:$A$53,0)&gt;0,TRUE),FALSE),TRUE,TRUE),"FormatMsg",TRUE,"PerfectMsg")</f>
        <v/>
      </c>
    </row>
    <row r="19" spans="1:8" x14ac:dyDescent="0.15">
      <c r="A19" s="36" t="str">
        <f ca="1">_xlfn.IFS(ISBLANK(Sheet1!A19),"",IF(NOT(ISNA('#_Sheet1'!A19)),IF(ISNA(Sheet1!A19),TRUE,FALSE),FALSE),"StuNAMsg",IF(AND(ISNA('#_Sheet1'!A19),ISNA(Sheet1!A19)),TRUE,FALSE),"PerfectMsg",IF(NOT(ISERROR('#_Sheet1'!A19)),IF(ISERROR(Sheet1!A19),TRUE,FALSE),FALSE),"StuErrorMsg",IF(TYPE('#_Sheet1'!A19)&lt;&gt;TYPE(Sheet1!A19),TRUE,FALSE),"WrongTypeMsg",IF(ISNUMBER('#_Sheet1'!A19),IF(ABS('#_Sheet1'!A19-Sheet1!A19)&gt;0.00001,TRUE,FALSE),IF('#_Sheet1'!A19&lt;&gt;Sheet1!A19,TRUE,FALSE)),IF(ISNUMBER('#_Sheet1'!A19),IF('#_Sheet1'!A19&gt;Sheet1!A19,"TooLow","TooHigh"),"WrongAnswer"),NOT(_xlfn.ISFORMULA('#_Sheet1'!A19)),IF(_xlfn.IFS(ISTEXT('#_Sheet1'!A19),FALSE,ISLOGICAL('#_Sheet1'!A19),FALSE,SUBSTITUTE(CELL("format",'#_Sheet1'!A19),"-","")=SUBSTITUTE(CELL("format",Sheet1!A19),"-",""),FALSE,CELL("format",'#_Sheet1'!A19)="G",FALSE,AND(CELL("format",'#_Sheet1'!A19)="F0",CELL("format",Sheet1!A19)="G"),FALSE,TRUE,IFERROR(IF(MATCH(CELL("format",'#_Sheet1'!A19),FormatCodesSFX!$A$4:$A$53,0)&gt;0,TRUE),FALSE),TRUE,TRUE),"FormatMsg","PerfectMsg"),_xlfn.IFS(ISTEXT('#_Sheet1'!A19),FALSE,ISLOGICAL('#_Sheet1'!A19),FALSE,SUBSTITUTE(CELL("format",'#_Sheet1'!A19),"-","")=SUBSTITUTE(CELL("format",Sheet1!A19),"-",""),FALSE,CELL("format",'#_Sheet1'!A19)="G",FALSE,AND(CELL("format",'#_Sheet1'!A19)="F0",CELL("format",Sheet1!A19)="G"),FALSE,TRUE,IFERROR(IF(MATCH(CELL("format",'#_Sheet1'!A19),FormatCodesSFX!$A$4:$A$53,0)&gt;0,TRUE),FALSE),TRUE,TRUE),"FormatMsg",TRUE,"PerfectMsg")</f>
        <v/>
      </c>
      <c r="B19" s="36" t="str">
        <f ca="1">_xlfn.IFS(ISBLANK(Sheet1!B19),"",IF(NOT(ISNA('#_Sheet1'!B19)),IF(ISNA(Sheet1!B19),TRUE,FALSE),FALSE),"StuNAMsg",IF(AND(ISNA('#_Sheet1'!B19),ISNA(Sheet1!B19)),TRUE,FALSE),"PerfectMsg",IF(NOT(ISERROR('#_Sheet1'!B19)),IF(ISERROR(Sheet1!B19),TRUE,FALSE),FALSE),"StuErrorMsg",IF(TYPE('#_Sheet1'!B19)&lt;&gt;TYPE(Sheet1!B19),TRUE,FALSE),"WrongTypeMsg",IF(ISNUMBER('#_Sheet1'!B19),IF(ABS('#_Sheet1'!B19-Sheet1!B19)&gt;0.00001,TRUE,FALSE),IF('#_Sheet1'!B19&lt;&gt;Sheet1!B19,TRUE,FALSE)),IF(ISNUMBER('#_Sheet1'!B19),IF('#_Sheet1'!B19&gt;Sheet1!B19,"TooLow","TooHigh"),"WrongAnswer"),NOT(_xlfn.ISFORMULA('#_Sheet1'!B19)),IF(_xlfn.IFS(ISTEXT('#_Sheet1'!B19),FALSE,ISLOGICAL('#_Sheet1'!B19),FALSE,SUBSTITUTE(CELL("format",'#_Sheet1'!B19),"-","")=SUBSTITUTE(CELL("format",Sheet1!B19),"-",""),FALSE,CELL("format",'#_Sheet1'!B19)="G",FALSE,AND(CELL("format",'#_Sheet1'!B19)="F0",CELL("format",Sheet1!B19)="G"),FALSE,TRUE,IFERROR(IF(MATCH(CELL("format",'#_Sheet1'!B19),FormatCodesSFX!$A$4:$A$53,0)&gt;0,TRUE),FALSE),TRUE,TRUE),"FormatMsg","PerfectMsg"),_xlfn.IFS(ISTEXT('#_Sheet1'!B19),FALSE,ISLOGICAL('#_Sheet1'!B19),FALSE,SUBSTITUTE(CELL("format",'#_Sheet1'!B19),"-","")=SUBSTITUTE(CELL("format",Sheet1!B19),"-",""),FALSE,CELL("format",'#_Sheet1'!B19)="G",FALSE,AND(CELL("format",'#_Sheet1'!B19)="F0",CELL("format",Sheet1!B19)="G"),FALSE,TRUE,IFERROR(IF(MATCH(CELL("format",'#_Sheet1'!B19),FormatCodesSFX!$A$4:$A$53,0)&gt;0,TRUE),FALSE),TRUE,TRUE),"FormatMsg",TRUE,"PerfectMsg")</f>
        <v/>
      </c>
      <c r="C19" s="36" t="str">
        <f ca="1">_xlfn.IFS(ISBLANK(Sheet1!C19),"",IF(NOT(ISNA('#_Sheet1'!C19)),IF(ISNA(Sheet1!C19),TRUE,FALSE),FALSE),"StuNAMsg",IF(AND(ISNA('#_Sheet1'!C19),ISNA(Sheet1!C19)),TRUE,FALSE),"PerfectMsg",IF(NOT(ISERROR('#_Sheet1'!C19)),IF(ISERROR(Sheet1!C19),TRUE,FALSE),FALSE),"StuErrorMsg",IF(TYPE('#_Sheet1'!C19)&lt;&gt;TYPE(Sheet1!C19),TRUE,FALSE),"WrongTypeMsg",IF(ISNUMBER('#_Sheet1'!C19),IF(ABS('#_Sheet1'!C19-Sheet1!C19)&gt;0.00001,TRUE,FALSE),IF('#_Sheet1'!C19&lt;&gt;Sheet1!C19,TRUE,FALSE)),IF(ISNUMBER('#_Sheet1'!C19),IF('#_Sheet1'!C19&gt;Sheet1!C19,"TooLow","TooHigh"),"WrongAnswer"),NOT(_xlfn.ISFORMULA('#_Sheet1'!C19)),IF(_xlfn.IFS(ISTEXT('#_Sheet1'!C19),FALSE,ISLOGICAL('#_Sheet1'!C19),FALSE,SUBSTITUTE(CELL("format",'#_Sheet1'!C19),"-","")=SUBSTITUTE(CELL("format",Sheet1!C19),"-",""),FALSE,CELL("format",'#_Sheet1'!C19)="G",FALSE,AND(CELL("format",'#_Sheet1'!C19)="F0",CELL("format",Sheet1!C19)="G"),FALSE,TRUE,IFERROR(IF(MATCH(CELL("format",'#_Sheet1'!C19),FormatCodesSFX!$A$4:$A$53,0)&gt;0,TRUE),FALSE),TRUE,TRUE),"FormatMsg","PerfectMsg"),_xlfn.IFS(ISTEXT('#_Sheet1'!C19),FALSE,ISLOGICAL('#_Sheet1'!C19),FALSE,SUBSTITUTE(CELL("format",'#_Sheet1'!C19),"-","")=SUBSTITUTE(CELL("format",Sheet1!C19),"-",""),FALSE,CELL("format",'#_Sheet1'!C19)="G",FALSE,AND(CELL("format",'#_Sheet1'!C19)="F0",CELL("format",Sheet1!C19)="G"),FALSE,TRUE,IFERROR(IF(MATCH(CELL("format",'#_Sheet1'!C19),FormatCodesSFX!$A$4:$A$53,0)&gt;0,TRUE),FALSE),TRUE,TRUE),"FormatMsg",TRUE,"PerfectMsg")</f>
        <v/>
      </c>
      <c r="D19" s="36" t="str">
        <f ca="1">_xlfn.IFS(ISBLANK(Sheet1!D19),"",IF(NOT(ISNA('#_Sheet1'!D19)),IF(ISNA(Sheet1!D19),TRUE,FALSE),FALSE),"StuNAMsg",IF(AND(ISNA('#_Sheet1'!D19),ISNA(Sheet1!D19)),TRUE,FALSE),"PerfectMsg",IF(NOT(ISERROR('#_Sheet1'!D19)),IF(ISERROR(Sheet1!D19),TRUE,FALSE),FALSE),"StuErrorMsg",IF(TYPE('#_Sheet1'!D19)&lt;&gt;TYPE(Sheet1!D19),TRUE,FALSE),"WrongTypeMsg",IF(ISNUMBER('#_Sheet1'!D19),IF(ABS('#_Sheet1'!D19-Sheet1!D19)&gt;0.00001,TRUE,FALSE),IF('#_Sheet1'!D19&lt;&gt;Sheet1!D19,TRUE,FALSE)),IF(ISNUMBER('#_Sheet1'!D19),IF('#_Sheet1'!D19&gt;Sheet1!D19,"TooLow","TooHigh"),"WrongAnswer"),NOT(_xlfn.ISFORMULA('#_Sheet1'!D19)),IF(_xlfn.IFS(ISTEXT('#_Sheet1'!D19),FALSE,ISLOGICAL('#_Sheet1'!D19),FALSE,SUBSTITUTE(CELL("format",'#_Sheet1'!D19),"-","")=SUBSTITUTE(CELL("format",Sheet1!D19),"-",""),FALSE,CELL("format",'#_Sheet1'!D19)="G",FALSE,AND(CELL("format",'#_Sheet1'!D19)="F0",CELL("format",Sheet1!D19)="G"),FALSE,TRUE,IFERROR(IF(MATCH(CELL("format",'#_Sheet1'!D19),FormatCodesSFX!$A$4:$A$53,0)&gt;0,TRUE),FALSE),TRUE,TRUE),"FormatMsg","PerfectMsg"),_xlfn.IFS(ISTEXT('#_Sheet1'!D19),FALSE,ISLOGICAL('#_Sheet1'!D19),FALSE,SUBSTITUTE(CELL("format",'#_Sheet1'!D19),"-","")=SUBSTITUTE(CELL("format",Sheet1!D19),"-",""),FALSE,CELL("format",'#_Sheet1'!D19)="G",FALSE,AND(CELL("format",'#_Sheet1'!D19)="F0",CELL("format",Sheet1!D19)="G"),FALSE,TRUE,IFERROR(IF(MATCH(CELL("format",'#_Sheet1'!D19),FormatCodesSFX!$A$4:$A$53,0)&gt;0,TRUE),FALSE),TRUE,TRUE),"FormatMsg",TRUE,"PerfectMsg")</f>
        <v/>
      </c>
      <c r="E19" s="36" t="str">
        <f ca="1">_xlfn.IFS(ISBLANK(Sheet1!E19),"",IF(NOT(ISNA('#_Sheet1'!E19)),IF(ISNA(Sheet1!E19),TRUE,FALSE),FALSE),"StuNAMsg",IF(AND(ISNA('#_Sheet1'!E19),ISNA(Sheet1!E19)),TRUE,FALSE),"PerfectMsg",IF(NOT(ISERROR('#_Sheet1'!E19)),IF(ISERROR(Sheet1!E19),TRUE,FALSE),FALSE),"StuErrorMsg",IF(TYPE('#_Sheet1'!E19)&lt;&gt;TYPE(Sheet1!E19),TRUE,FALSE),"WrongTypeMsg",IF(ISNUMBER('#_Sheet1'!E19),IF(ABS('#_Sheet1'!E19-Sheet1!E19)&gt;0.00001,TRUE,FALSE),IF('#_Sheet1'!E19&lt;&gt;Sheet1!E19,TRUE,FALSE)),IF(ISNUMBER('#_Sheet1'!E19),IF('#_Sheet1'!E19&gt;Sheet1!E19,"TooLow","TooHigh"),"WrongAnswer"),NOT(_xlfn.ISFORMULA('#_Sheet1'!E19)),IF(_xlfn.IFS(ISTEXT('#_Sheet1'!E19),FALSE,ISLOGICAL('#_Sheet1'!E19),FALSE,SUBSTITUTE(CELL("format",'#_Sheet1'!E19),"-","")=SUBSTITUTE(CELL("format",Sheet1!E19),"-",""),FALSE,CELL("format",'#_Sheet1'!E19)="G",FALSE,AND(CELL("format",'#_Sheet1'!E19)="F0",CELL("format",Sheet1!E19)="G"),FALSE,TRUE,IFERROR(IF(MATCH(CELL("format",'#_Sheet1'!E19),FormatCodesSFX!$A$4:$A$53,0)&gt;0,TRUE),FALSE),TRUE,TRUE),"FormatMsg","PerfectMsg"),_xlfn.IFS(ISTEXT('#_Sheet1'!E19),FALSE,ISLOGICAL('#_Sheet1'!E19),FALSE,SUBSTITUTE(CELL("format",'#_Sheet1'!E19),"-","")=SUBSTITUTE(CELL("format",Sheet1!E19),"-",""),FALSE,CELL("format",'#_Sheet1'!E19)="G",FALSE,AND(CELL("format",'#_Sheet1'!E19)="F0",CELL("format",Sheet1!E19)="G"),FALSE,TRUE,IFERROR(IF(MATCH(CELL("format",'#_Sheet1'!E19),FormatCodesSFX!$A$4:$A$53,0)&gt;0,TRUE),FALSE),TRUE,TRUE),"FormatMsg",TRUE,"PerfectMsg")</f>
        <v/>
      </c>
      <c r="F19" s="36" t="str">
        <f ca="1">_xlfn.IFS(ISBLANK(Sheet1!F19),"",IF(NOT(ISNA('#_Sheet1'!F19)),IF(ISNA(Sheet1!F19),TRUE,FALSE),FALSE),"StuNAMsg",IF(AND(ISNA('#_Sheet1'!F19),ISNA(Sheet1!F19)),TRUE,FALSE),"PerfectMsg",IF(NOT(ISERROR('#_Sheet1'!F19)),IF(ISERROR(Sheet1!F19),TRUE,FALSE),FALSE),"StuErrorMsg",IF(TYPE('#_Sheet1'!F19)&lt;&gt;TYPE(Sheet1!F19),TRUE,FALSE),"WrongTypeMsg",IF(ISNUMBER('#_Sheet1'!F19),IF(ABS('#_Sheet1'!F19-Sheet1!F19)&gt;0.00001,TRUE,FALSE),IF('#_Sheet1'!F19&lt;&gt;Sheet1!F19,TRUE,FALSE)),IF(ISNUMBER('#_Sheet1'!F19),IF('#_Sheet1'!F19&gt;Sheet1!F19,"TooLow","TooHigh"),"WrongAnswer"),NOT(_xlfn.ISFORMULA('#_Sheet1'!F19)),IF(_xlfn.IFS(ISTEXT('#_Sheet1'!F19),FALSE,ISLOGICAL('#_Sheet1'!F19),FALSE,SUBSTITUTE(CELL("format",'#_Sheet1'!F19),"-","")=SUBSTITUTE(CELL("format",Sheet1!F19),"-",""),FALSE,CELL("format",'#_Sheet1'!F19)="G",FALSE,AND(CELL("format",'#_Sheet1'!F19)="F0",CELL("format",Sheet1!F19)="G"),FALSE,TRUE,IFERROR(IF(MATCH(CELL("format",'#_Sheet1'!F19),FormatCodesSFX!$A$4:$A$53,0)&gt;0,TRUE),FALSE),TRUE,TRUE),"FormatMsg","PerfectMsg"),_xlfn.IFS(ISTEXT('#_Sheet1'!F19),FALSE,ISLOGICAL('#_Sheet1'!F19),FALSE,SUBSTITUTE(CELL("format",'#_Sheet1'!F19),"-","")=SUBSTITUTE(CELL("format",Sheet1!F19),"-",""),FALSE,CELL("format",'#_Sheet1'!F19)="G",FALSE,AND(CELL("format",'#_Sheet1'!F19)="F0",CELL("format",Sheet1!F19)="G"),FALSE,TRUE,IFERROR(IF(MATCH(CELL("format",'#_Sheet1'!F19),FormatCodesSFX!$A$4:$A$53,0)&gt;0,TRUE),FALSE),TRUE,TRUE),"FormatMsg",TRUE,"PerfectMsg")</f>
        <v/>
      </c>
      <c r="G19" s="44" t="str">
        <f ca="1">_xlfn.IFS(ISBLANK(Sheet1!G19),"",IF(NOT(ISNA('#_Sheet1'!G19)),IF(ISNA(Sheet1!G19),TRUE,FALSE),FALSE),"StuNAMsg",IF(AND(ISNA('#_Sheet1'!G19),ISNA(Sheet1!G19)),TRUE,FALSE),"PerfectMsg",IF(NOT(ISERROR('#_Sheet1'!G19)),IF(ISERROR(Sheet1!G19),TRUE,FALSE),FALSE),"StuErrorMsg",IF(TYPE('#_Sheet1'!G19)&lt;&gt;TYPE(Sheet1!G19),TRUE,FALSE),"WrongTypeMsg",IF(ISNUMBER('#_Sheet1'!G19),IF(ABS('#_Sheet1'!G19-Sheet1!G19)&gt;0.00001,TRUE,FALSE),IF('#_Sheet1'!G19&lt;&gt;Sheet1!G19,TRUE,FALSE)),IF(ISNUMBER('#_Sheet1'!G19),IF('#_Sheet1'!G19&gt;Sheet1!G19,"TooLow","TooHigh"),"WrongAnswer"),NOT(_xlfn.ISFORMULA('#_Sheet1'!G19)),IF(_xlfn.IFS(ISTEXT('#_Sheet1'!G19),FALSE,ISLOGICAL('#_Sheet1'!G19),FALSE,SUBSTITUTE(CELL("format",'#_Sheet1'!G19),"-","")=SUBSTITUTE(CELL("format",Sheet1!G19),"-",""),FALSE,CELL("format",'#_Sheet1'!G19)="G",FALSE,AND(CELL("format",'#_Sheet1'!G19)="F0",CELL("format",Sheet1!G19)="G"),FALSE,TRUE,IFERROR(IF(MATCH(CELL("format",'#_Sheet1'!G19),FormatCodesSFX!$A$4:$A$53,0)&gt;0,TRUE),FALSE),TRUE,TRUE),"FormatMsg","PerfectMsg"),_xlfn.IFS(ISTEXT('#_Sheet1'!G19),FALSE,ISLOGICAL('#_Sheet1'!G19),FALSE,SUBSTITUTE(CELL("format",'#_Sheet1'!G19),"-","")=SUBSTITUTE(CELL("format",Sheet1!G19),"-",""),FALSE,CELL("format",'#_Sheet1'!G19)="G",FALSE,AND(CELL("format",'#_Sheet1'!G19)="F0",CELL("format",Sheet1!G19)="G"),FALSE,TRUE,IFERROR(IF(MATCH(CELL("format",'#_Sheet1'!G19),FormatCodesSFX!$A$4:$A$53,0)&gt;0,TRUE),FALSE),TRUE,TRUE),"FormatMsg",TRUE,"PerfectMsg")</f>
        <v/>
      </c>
      <c r="H19" s="45" t="str">
        <f ca="1">_xlfn.IFS(ISBLANK(Sheet1!H19),"",IF(NOT(ISNA('#_Sheet1'!H19)),IF(ISNA(Sheet1!H19),TRUE,FALSE),FALSE),"StuNAMsg",IF(AND(ISNA('#_Sheet1'!H19),ISNA(Sheet1!H19)),TRUE,FALSE),"PerfectMsg",IF(NOT(ISERROR('#_Sheet1'!H19)),IF(ISERROR(Sheet1!H19),TRUE,FALSE),FALSE),"StuErrorMsg",IF(TYPE('#_Sheet1'!H19)&lt;&gt;TYPE(Sheet1!H19),TRUE,FALSE),"WrongTypeMsg",IF(ISNUMBER('#_Sheet1'!H19),IF(ABS('#_Sheet1'!H19-Sheet1!H19)&gt;0.00001,TRUE,FALSE),IF('#_Sheet1'!H19&lt;&gt;Sheet1!H19,TRUE,FALSE)),IF(ISNUMBER('#_Sheet1'!H19),IF('#_Sheet1'!H19&gt;Sheet1!H19,"TooLow","TooHigh"),"WrongAnswer"),NOT(_xlfn.ISFORMULA('#_Sheet1'!H19)),IF(_xlfn.IFS(ISTEXT('#_Sheet1'!H19),FALSE,ISLOGICAL('#_Sheet1'!H19),FALSE,SUBSTITUTE(CELL("format",'#_Sheet1'!H19),"-","")=SUBSTITUTE(CELL("format",Sheet1!H19),"-",""),FALSE,CELL("format",'#_Sheet1'!H19)="G",FALSE,AND(CELL("format",'#_Sheet1'!H19)="F0",CELL("format",Sheet1!H19)="G"),FALSE,TRUE,IFERROR(IF(MATCH(CELL("format",'#_Sheet1'!H19),FormatCodesSFX!$A$4:$A$53,0)&gt;0,TRUE),FALSE),TRUE,TRUE),"FormatMsg","PerfectMsg"),_xlfn.IFS(ISTEXT('#_Sheet1'!H19),FALSE,ISLOGICAL('#_Sheet1'!H19),FALSE,SUBSTITUTE(CELL("format",'#_Sheet1'!H19),"-","")=SUBSTITUTE(CELL("format",Sheet1!H19),"-",""),FALSE,CELL("format",'#_Sheet1'!H19)="G",FALSE,AND(CELL("format",'#_Sheet1'!H19)="F0",CELL("format",Sheet1!H19)="G"),FALSE,TRUE,IFERROR(IF(MATCH(CELL("format",'#_Sheet1'!H19),FormatCodesSFX!$A$4:$A$53,0)&gt;0,TRUE),FALSE),TRUE,TRUE),"FormatMsg",TRUE,"PerfectMsg")</f>
        <v/>
      </c>
    </row>
    <row r="20" spans="1:8" x14ac:dyDescent="0.15">
      <c r="A20" s="36" t="str">
        <f ca="1">_xlfn.IFS(ISBLANK(Sheet1!A20),"",IF(NOT(ISNA('#_Sheet1'!A20)),IF(ISNA(Sheet1!A20),TRUE,FALSE),FALSE),"StuNAMsg",IF(AND(ISNA('#_Sheet1'!A20),ISNA(Sheet1!A20)),TRUE,FALSE),"PerfectMsg",IF(NOT(ISERROR('#_Sheet1'!A20)),IF(ISERROR(Sheet1!A20),TRUE,FALSE),FALSE),"StuErrorMsg",IF(TYPE('#_Sheet1'!A20)&lt;&gt;TYPE(Sheet1!A20),TRUE,FALSE),"WrongTypeMsg",IF(ISNUMBER('#_Sheet1'!A20),IF(ABS('#_Sheet1'!A20-Sheet1!A20)&gt;0.00001,TRUE,FALSE),IF('#_Sheet1'!A20&lt;&gt;Sheet1!A20,TRUE,FALSE)),IF(ISNUMBER('#_Sheet1'!A20),IF('#_Sheet1'!A20&gt;Sheet1!A20,"TooLow","TooHigh"),"WrongAnswer"),NOT(_xlfn.ISFORMULA('#_Sheet1'!A20)),IF(_xlfn.IFS(ISTEXT('#_Sheet1'!A20),FALSE,ISLOGICAL('#_Sheet1'!A20),FALSE,SUBSTITUTE(CELL("format",'#_Sheet1'!A20),"-","")=SUBSTITUTE(CELL("format",Sheet1!A20),"-",""),FALSE,CELL("format",'#_Sheet1'!A20)="G",FALSE,AND(CELL("format",'#_Sheet1'!A20)="F0",CELL("format",Sheet1!A20)="G"),FALSE,TRUE,IFERROR(IF(MATCH(CELL("format",'#_Sheet1'!A20),FormatCodesSFX!$A$4:$A$53,0)&gt;0,TRUE),FALSE),TRUE,TRUE),"FormatMsg","PerfectMsg"),_xlfn.IFS(ISTEXT('#_Sheet1'!A20),FALSE,ISLOGICAL('#_Sheet1'!A20),FALSE,SUBSTITUTE(CELL("format",'#_Sheet1'!A20),"-","")=SUBSTITUTE(CELL("format",Sheet1!A20),"-",""),FALSE,CELL("format",'#_Sheet1'!A20)="G",FALSE,AND(CELL("format",'#_Sheet1'!A20)="F0",CELL("format",Sheet1!A20)="G"),FALSE,TRUE,IFERROR(IF(MATCH(CELL("format",'#_Sheet1'!A20),FormatCodesSFX!$A$4:$A$53,0)&gt;0,TRUE),FALSE),TRUE,TRUE),"FormatMsg",TRUE,"PerfectMsg")</f>
        <v/>
      </c>
      <c r="B20" s="36" t="str">
        <f ca="1">_xlfn.IFS(ISBLANK(Sheet1!B20),"",IF(NOT(ISNA('#_Sheet1'!B20)),IF(ISNA(Sheet1!B20),TRUE,FALSE),FALSE),"StuNAMsg",IF(AND(ISNA('#_Sheet1'!B20),ISNA(Sheet1!B20)),TRUE,FALSE),"PerfectMsg",IF(NOT(ISERROR('#_Sheet1'!B20)),IF(ISERROR(Sheet1!B20),TRUE,FALSE),FALSE),"StuErrorMsg",IF(TYPE('#_Sheet1'!B20)&lt;&gt;TYPE(Sheet1!B20),TRUE,FALSE),"WrongTypeMsg",IF(ISNUMBER('#_Sheet1'!B20),IF(ABS('#_Sheet1'!B20-Sheet1!B20)&gt;0.00001,TRUE,FALSE),IF('#_Sheet1'!B20&lt;&gt;Sheet1!B20,TRUE,FALSE)),IF(ISNUMBER('#_Sheet1'!B20),IF('#_Sheet1'!B20&gt;Sheet1!B20,"TooLow","TooHigh"),"WrongAnswer"),NOT(_xlfn.ISFORMULA('#_Sheet1'!B20)),IF(_xlfn.IFS(ISTEXT('#_Sheet1'!B20),FALSE,ISLOGICAL('#_Sheet1'!B20),FALSE,SUBSTITUTE(CELL("format",'#_Sheet1'!B20),"-","")=SUBSTITUTE(CELL("format",Sheet1!B20),"-",""),FALSE,CELL("format",'#_Sheet1'!B20)="G",FALSE,AND(CELL("format",'#_Sheet1'!B20)="F0",CELL("format",Sheet1!B20)="G"),FALSE,TRUE,IFERROR(IF(MATCH(CELL("format",'#_Sheet1'!B20),FormatCodesSFX!$A$4:$A$53,0)&gt;0,TRUE),FALSE),TRUE,TRUE),"FormatMsg","PerfectMsg"),_xlfn.IFS(ISTEXT('#_Sheet1'!B20),FALSE,ISLOGICAL('#_Sheet1'!B20),FALSE,SUBSTITUTE(CELL("format",'#_Sheet1'!B20),"-","")=SUBSTITUTE(CELL("format",Sheet1!B20),"-",""),FALSE,CELL("format",'#_Sheet1'!B20)="G",FALSE,AND(CELL("format",'#_Sheet1'!B20)="F0",CELL("format",Sheet1!B20)="G"),FALSE,TRUE,IFERROR(IF(MATCH(CELL("format",'#_Sheet1'!B20),FormatCodesSFX!$A$4:$A$53,0)&gt;0,TRUE),FALSE),TRUE,TRUE),"FormatMsg",TRUE,"PerfectMsg")</f>
        <v/>
      </c>
      <c r="C20" s="36" t="str">
        <f ca="1">_xlfn.IFS(ISBLANK(Sheet1!C20),"",IF(NOT(ISNA('#_Sheet1'!C20)),IF(ISNA(Sheet1!C20),TRUE,FALSE),FALSE),"StuNAMsg",IF(AND(ISNA('#_Sheet1'!C20),ISNA(Sheet1!C20)),TRUE,FALSE),"PerfectMsg",IF(NOT(ISERROR('#_Sheet1'!C20)),IF(ISERROR(Sheet1!C20),TRUE,FALSE),FALSE),"StuErrorMsg",IF(TYPE('#_Sheet1'!C20)&lt;&gt;TYPE(Sheet1!C20),TRUE,FALSE),"WrongTypeMsg",IF(ISNUMBER('#_Sheet1'!C20),IF(ABS('#_Sheet1'!C20-Sheet1!C20)&gt;0.00001,TRUE,FALSE),IF('#_Sheet1'!C20&lt;&gt;Sheet1!C20,TRUE,FALSE)),IF(ISNUMBER('#_Sheet1'!C20),IF('#_Sheet1'!C20&gt;Sheet1!C20,"TooLow","TooHigh"),"WrongAnswer"),NOT(_xlfn.ISFORMULA('#_Sheet1'!C20)),IF(_xlfn.IFS(ISTEXT('#_Sheet1'!C20),FALSE,ISLOGICAL('#_Sheet1'!C20),FALSE,SUBSTITUTE(CELL("format",'#_Sheet1'!C20),"-","")=SUBSTITUTE(CELL("format",Sheet1!C20),"-",""),FALSE,CELL("format",'#_Sheet1'!C20)="G",FALSE,AND(CELL("format",'#_Sheet1'!C20)="F0",CELL("format",Sheet1!C20)="G"),FALSE,TRUE,IFERROR(IF(MATCH(CELL("format",'#_Sheet1'!C20),FormatCodesSFX!$A$4:$A$53,0)&gt;0,TRUE),FALSE),TRUE,TRUE),"FormatMsg","PerfectMsg"),_xlfn.IFS(ISTEXT('#_Sheet1'!C20),FALSE,ISLOGICAL('#_Sheet1'!C20),FALSE,SUBSTITUTE(CELL("format",'#_Sheet1'!C20),"-","")=SUBSTITUTE(CELL("format",Sheet1!C20),"-",""),FALSE,CELL("format",'#_Sheet1'!C20)="G",FALSE,AND(CELL("format",'#_Sheet1'!C20)="F0",CELL("format",Sheet1!C20)="G"),FALSE,TRUE,IFERROR(IF(MATCH(CELL("format",'#_Sheet1'!C20),FormatCodesSFX!$A$4:$A$53,0)&gt;0,TRUE),FALSE),TRUE,TRUE),"FormatMsg",TRUE,"PerfectMsg")</f>
        <v/>
      </c>
      <c r="D20" s="36" t="str">
        <f ca="1">_xlfn.IFS(ISBLANK(Sheet1!D20),"",IF(NOT(ISNA('#_Sheet1'!D20)),IF(ISNA(Sheet1!D20),TRUE,FALSE),FALSE),"StuNAMsg",IF(AND(ISNA('#_Sheet1'!D20),ISNA(Sheet1!D20)),TRUE,FALSE),"PerfectMsg",IF(NOT(ISERROR('#_Sheet1'!D20)),IF(ISERROR(Sheet1!D20),TRUE,FALSE),FALSE),"StuErrorMsg",IF(TYPE('#_Sheet1'!D20)&lt;&gt;TYPE(Sheet1!D20),TRUE,FALSE),"WrongTypeMsg",IF(ISNUMBER('#_Sheet1'!D20),IF(ABS('#_Sheet1'!D20-Sheet1!D20)&gt;0.00001,TRUE,FALSE),IF('#_Sheet1'!D20&lt;&gt;Sheet1!D20,TRUE,FALSE)),IF(ISNUMBER('#_Sheet1'!D20),IF('#_Sheet1'!D20&gt;Sheet1!D20,"TooLow","TooHigh"),"WrongAnswer"),NOT(_xlfn.ISFORMULA('#_Sheet1'!D20)),IF(_xlfn.IFS(ISTEXT('#_Sheet1'!D20),FALSE,ISLOGICAL('#_Sheet1'!D20),FALSE,SUBSTITUTE(CELL("format",'#_Sheet1'!D20),"-","")=SUBSTITUTE(CELL("format",Sheet1!D20),"-",""),FALSE,CELL("format",'#_Sheet1'!D20)="G",FALSE,AND(CELL("format",'#_Sheet1'!D20)="F0",CELL("format",Sheet1!D20)="G"),FALSE,TRUE,IFERROR(IF(MATCH(CELL("format",'#_Sheet1'!D20),FormatCodesSFX!$A$4:$A$53,0)&gt;0,TRUE),FALSE),TRUE,TRUE),"FormatMsg","PerfectMsg"),_xlfn.IFS(ISTEXT('#_Sheet1'!D20),FALSE,ISLOGICAL('#_Sheet1'!D20),FALSE,SUBSTITUTE(CELL("format",'#_Sheet1'!D20),"-","")=SUBSTITUTE(CELL("format",Sheet1!D20),"-",""),FALSE,CELL("format",'#_Sheet1'!D20)="G",FALSE,AND(CELL("format",'#_Sheet1'!D20)="F0",CELL("format",Sheet1!D20)="G"),FALSE,TRUE,IFERROR(IF(MATCH(CELL("format",'#_Sheet1'!D20),FormatCodesSFX!$A$4:$A$53,0)&gt;0,TRUE),FALSE),TRUE,TRUE),"FormatMsg",TRUE,"PerfectMsg")</f>
        <v/>
      </c>
      <c r="E20" s="36" t="str">
        <f ca="1">_xlfn.IFS(ISBLANK(Sheet1!E20),"",IF(NOT(ISNA('#_Sheet1'!E20)),IF(ISNA(Sheet1!E20),TRUE,FALSE),FALSE),"StuNAMsg",IF(AND(ISNA('#_Sheet1'!E20),ISNA(Sheet1!E20)),TRUE,FALSE),"PerfectMsg",IF(NOT(ISERROR('#_Sheet1'!E20)),IF(ISERROR(Sheet1!E20),TRUE,FALSE),FALSE),"StuErrorMsg",IF(TYPE('#_Sheet1'!E20)&lt;&gt;TYPE(Sheet1!E20),TRUE,FALSE),"WrongTypeMsg",IF(ISNUMBER('#_Sheet1'!E20),IF(ABS('#_Sheet1'!E20-Sheet1!E20)&gt;0.00001,TRUE,FALSE),IF('#_Sheet1'!E20&lt;&gt;Sheet1!E20,TRUE,FALSE)),IF(ISNUMBER('#_Sheet1'!E20),IF('#_Sheet1'!E20&gt;Sheet1!E20,"TooLow","TooHigh"),"WrongAnswer"),NOT(_xlfn.ISFORMULA('#_Sheet1'!E20)),IF(_xlfn.IFS(ISTEXT('#_Sheet1'!E20),FALSE,ISLOGICAL('#_Sheet1'!E20),FALSE,SUBSTITUTE(CELL("format",'#_Sheet1'!E20),"-","")=SUBSTITUTE(CELL("format",Sheet1!E20),"-",""),FALSE,CELL("format",'#_Sheet1'!E20)="G",FALSE,AND(CELL("format",'#_Sheet1'!E20)="F0",CELL("format",Sheet1!E20)="G"),FALSE,TRUE,IFERROR(IF(MATCH(CELL("format",'#_Sheet1'!E20),FormatCodesSFX!$A$4:$A$53,0)&gt;0,TRUE),FALSE),TRUE,TRUE),"FormatMsg","PerfectMsg"),_xlfn.IFS(ISTEXT('#_Sheet1'!E20),FALSE,ISLOGICAL('#_Sheet1'!E20),FALSE,SUBSTITUTE(CELL("format",'#_Sheet1'!E20),"-","")=SUBSTITUTE(CELL("format",Sheet1!E20),"-",""),FALSE,CELL("format",'#_Sheet1'!E20)="G",FALSE,AND(CELL("format",'#_Sheet1'!E20)="F0",CELL("format",Sheet1!E20)="G"),FALSE,TRUE,IFERROR(IF(MATCH(CELL("format",'#_Sheet1'!E20),FormatCodesSFX!$A$4:$A$53,0)&gt;0,TRUE),FALSE),TRUE,TRUE),"FormatMsg",TRUE,"PerfectMsg")</f>
        <v/>
      </c>
      <c r="F20" s="36" t="str">
        <f ca="1">_xlfn.IFS(ISBLANK(Sheet1!F20),"",IF(NOT(ISNA('#_Sheet1'!F20)),IF(ISNA(Sheet1!F20),TRUE,FALSE),FALSE),"StuNAMsg",IF(AND(ISNA('#_Sheet1'!F20),ISNA(Sheet1!F20)),TRUE,FALSE),"PerfectMsg",IF(NOT(ISERROR('#_Sheet1'!F20)),IF(ISERROR(Sheet1!F20),TRUE,FALSE),FALSE),"StuErrorMsg",IF(TYPE('#_Sheet1'!F20)&lt;&gt;TYPE(Sheet1!F20),TRUE,FALSE),"WrongTypeMsg",IF(ISNUMBER('#_Sheet1'!F20),IF(ABS('#_Sheet1'!F20-Sheet1!F20)&gt;0.00001,TRUE,FALSE),IF('#_Sheet1'!F20&lt;&gt;Sheet1!F20,TRUE,FALSE)),IF(ISNUMBER('#_Sheet1'!F20),IF('#_Sheet1'!F20&gt;Sheet1!F20,"TooLow","TooHigh"),"WrongAnswer"),NOT(_xlfn.ISFORMULA('#_Sheet1'!F20)),IF(_xlfn.IFS(ISTEXT('#_Sheet1'!F20),FALSE,ISLOGICAL('#_Sheet1'!F20),FALSE,SUBSTITUTE(CELL("format",'#_Sheet1'!F20),"-","")=SUBSTITUTE(CELL("format",Sheet1!F20),"-",""),FALSE,CELL("format",'#_Sheet1'!F20)="G",FALSE,AND(CELL("format",'#_Sheet1'!F20)="F0",CELL("format",Sheet1!F20)="G"),FALSE,TRUE,IFERROR(IF(MATCH(CELL("format",'#_Sheet1'!F20),FormatCodesSFX!$A$4:$A$53,0)&gt;0,TRUE),FALSE),TRUE,TRUE),"FormatMsg","PerfectMsg"),_xlfn.IFS(ISTEXT('#_Sheet1'!F20),FALSE,ISLOGICAL('#_Sheet1'!F20),FALSE,SUBSTITUTE(CELL("format",'#_Sheet1'!F20),"-","")=SUBSTITUTE(CELL("format",Sheet1!F20),"-",""),FALSE,CELL("format",'#_Sheet1'!F20)="G",FALSE,AND(CELL("format",'#_Sheet1'!F20)="F0",CELL("format",Sheet1!F20)="G"),FALSE,TRUE,IFERROR(IF(MATCH(CELL("format",'#_Sheet1'!F20),FormatCodesSFX!$A$4:$A$53,0)&gt;0,TRUE),FALSE),TRUE,TRUE),"FormatMsg",TRUE,"PerfectMsg")</f>
        <v/>
      </c>
      <c r="G20" s="44" t="str">
        <f ca="1">_xlfn.IFS(ISBLANK(Sheet1!G20),"",IF(NOT(ISNA('#_Sheet1'!G20)),IF(ISNA(Sheet1!G20),TRUE,FALSE),FALSE),"StuNAMsg",IF(AND(ISNA('#_Sheet1'!G20),ISNA(Sheet1!G20)),TRUE,FALSE),"PerfectMsg",IF(NOT(ISERROR('#_Sheet1'!G20)),IF(ISERROR(Sheet1!G20),TRUE,FALSE),FALSE),"StuErrorMsg",IF(TYPE('#_Sheet1'!G20)&lt;&gt;TYPE(Sheet1!G20),TRUE,FALSE),"WrongTypeMsg",IF(ISNUMBER('#_Sheet1'!G20),IF(ABS('#_Sheet1'!G20-Sheet1!G20)&gt;0.00001,TRUE,FALSE),IF('#_Sheet1'!G20&lt;&gt;Sheet1!G20,TRUE,FALSE)),IF(ISNUMBER('#_Sheet1'!G20),IF('#_Sheet1'!G20&gt;Sheet1!G20,"TooLow","TooHigh"),"WrongAnswer"),NOT(_xlfn.ISFORMULA('#_Sheet1'!G20)),IF(_xlfn.IFS(ISTEXT('#_Sheet1'!G20),FALSE,ISLOGICAL('#_Sheet1'!G20),FALSE,SUBSTITUTE(CELL("format",'#_Sheet1'!G20),"-","")=SUBSTITUTE(CELL("format",Sheet1!G20),"-",""),FALSE,CELL("format",'#_Sheet1'!G20)="G",FALSE,AND(CELL("format",'#_Sheet1'!G20)="F0",CELL("format",Sheet1!G20)="G"),FALSE,TRUE,IFERROR(IF(MATCH(CELL("format",'#_Sheet1'!G20),FormatCodesSFX!$A$4:$A$53,0)&gt;0,TRUE),FALSE),TRUE,TRUE),"FormatMsg","PerfectMsg"),_xlfn.IFS(ISTEXT('#_Sheet1'!G20),FALSE,ISLOGICAL('#_Sheet1'!G20),FALSE,SUBSTITUTE(CELL("format",'#_Sheet1'!G20),"-","")=SUBSTITUTE(CELL("format",Sheet1!G20),"-",""),FALSE,CELL("format",'#_Sheet1'!G20)="G",FALSE,AND(CELL("format",'#_Sheet1'!G20)="F0",CELL("format",Sheet1!G20)="G"),FALSE,TRUE,IFERROR(IF(MATCH(CELL("format",'#_Sheet1'!G20),FormatCodesSFX!$A$4:$A$53,0)&gt;0,TRUE),FALSE),TRUE,TRUE),"FormatMsg",TRUE,"PerfectMsg")</f>
        <v/>
      </c>
      <c r="H20" s="45" t="str">
        <f ca="1">_xlfn.IFS(ISBLANK(Sheet1!H20),"",IF(NOT(ISNA('#_Sheet1'!H20)),IF(ISNA(Sheet1!H20),TRUE,FALSE),FALSE),"StuNAMsg",IF(AND(ISNA('#_Sheet1'!H20),ISNA(Sheet1!H20)),TRUE,FALSE),"PerfectMsg",IF(NOT(ISERROR('#_Sheet1'!H20)),IF(ISERROR(Sheet1!H20),TRUE,FALSE),FALSE),"StuErrorMsg",IF(TYPE('#_Sheet1'!H20)&lt;&gt;TYPE(Sheet1!H20),TRUE,FALSE),"WrongTypeMsg",IF(ISNUMBER('#_Sheet1'!H20),IF(ABS('#_Sheet1'!H20-Sheet1!H20)&gt;0.00001,TRUE,FALSE),IF('#_Sheet1'!H20&lt;&gt;Sheet1!H20,TRUE,FALSE)),IF(ISNUMBER('#_Sheet1'!H20),IF('#_Sheet1'!H20&gt;Sheet1!H20,"TooLow","TooHigh"),"WrongAnswer"),NOT(_xlfn.ISFORMULA('#_Sheet1'!H20)),IF(_xlfn.IFS(ISTEXT('#_Sheet1'!H20),FALSE,ISLOGICAL('#_Sheet1'!H20),FALSE,SUBSTITUTE(CELL("format",'#_Sheet1'!H20),"-","")=SUBSTITUTE(CELL("format",Sheet1!H20),"-",""),FALSE,CELL("format",'#_Sheet1'!H20)="G",FALSE,AND(CELL("format",'#_Sheet1'!H20)="F0",CELL("format",Sheet1!H20)="G"),FALSE,TRUE,IFERROR(IF(MATCH(CELL("format",'#_Sheet1'!H20),FormatCodesSFX!$A$4:$A$53,0)&gt;0,TRUE),FALSE),TRUE,TRUE),"FormatMsg","PerfectMsg"),_xlfn.IFS(ISTEXT('#_Sheet1'!H20),FALSE,ISLOGICAL('#_Sheet1'!H20),FALSE,SUBSTITUTE(CELL("format",'#_Sheet1'!H20),"-","")=SUBSTITUTE(CELL("format",Sheet1!H20),"-",""),FALSE,CELL("format",'#_Sheet1'!H20)="G",FALSE,AND(CELL("format",'#_Sheet1'!H20)="F0",CELL("format",Sheet1!H20)="G"),FALSE,TRUE,IFERROR(IF(MATCH(CELL("format",'#_Sheet1'!H20),FormatCodesSFX!$A$4:$A$53,0)&gt;0,TRUE),FALSE),TRUE,TRUE),"FormatMsg",TRUE,"PerfectMsg")</f>
        <v/>
      </c>
    </row>
    <row r="21" spans="1:8" x14ac:dyDescent="0.15">
      <c r="A21" s="36" t="str">
        <f ca="1">_xlfn.IFS(ISBLANK(Sheet1!A21),"",IF(NOT(ISNA('#_Sheet1'!A21)),IF(ISNA(Sheet1!A21),TRUE,FALSE),FALSE),"StuNAMsg",IF(AND(ISNA('#_Sheet1'!A21),ISNA(Sheet1!A21)),TRUE,FALSE),"PerfectMsg",IF(NOT(ISERROR('#_Sheet1'!A21)),IF(ISERROR(Sheet1!A21),TRUE,FALSE),FALSE),"StuErrorMsg",IF(TYPE('#_Sheet1'!A21)&lt;&gt;TYPE(Sheet1!A21),TRUE,FALSE),"WrongTypeMsg",IF(ISNUMBER('#_Sheet1'!A21),IF(ABS('#_Sheet1'!A21-Sheet1!A21)&gt;0.00001,TRUE,FALSE),IF('#_Sheet1'!A21&lt;&gt;Sheet1!A21,TRUE,FALSE)),IF(ISNUMBER('#_Sheet1'!A21),IF('#_Sheet1'!A21&gt;Sheet1!A21,"TooLow","TooHigh"),"WrongAnswer"),NOT(_xlfn.ISFORMULA('#_Sheet1'!A21)),IF(_xlfn.IFS(ISTEXT('#_Sheet1'!A21),FALSE,ISLOGICAL('#_Sheet1'!A21),FALSE,SUBSTITUTE(CELL("format",'#_Sheet1'!A21),"-","")=SUBSTITUTE(CELL("format",Sheet1!A21),"-",""),FALSE,CELL("format",'#_Sheet1'!A21)="G",FALSE,AND(CELL("format",'#_Sheet1'!A21)="F0",CELL("format",Sheet1!A21)="G"),FALSE,TRUE,IFERROR(IF(MATCH(CELL("format",'#_Sheet1'!A21),FormatCodesSFX!$A$4:$A$53,0)&gt;0,TRUE),FALSE),TRUE,TRUE),"FormatMsg","PerfectMsg"),_xlfn.IFS(ISTEXT('#_Sheet1'!A21),FALSE,ISLOGICAL('#_Sheet1'!A21),FALSE,SUBSTITUTE(CELL("format",'#_Sheet1'!A21),"-","")=SUBSTITUTE(CELL("format",Sheet1!A21),"-",""),FALSE,CELL("format",'#_Sheet1'!A21)="G",FALSE,AND(CELL("format",'#_Sheet1'!A21)="F0",CELL("format",Sheet1!A21)="G"),FALSE,TRUE,IFERROR(IF(MATCH(CELL("format",'#_Sheet1'!A21),FormatCodesSFX!$A$4:$A$53,0)&gt;0,TRUE),FALSE),TRUE,TRUE),"FormatMsg",TRUE,"PerfectMsg")</f>
        <v/>
      </c>
      <c r="B21" s="36" t="str">
        <f ca="1">_xlfn.IFS(ISBLANK(Sheet1!B21),"",IF(NOT(ISNA('#_Sheet1'!B21)),IF(ISNA(Sheet1!B21),TRUE,FALSE),FALSE),"StuNAMsg",IF(AND(ISNA('#_Sheet1'!B21),ISNA(Sheet1!B21)),TRUE,FALSE),"PerfectMsg",IF(NOT(ISERROR('#_Sheet1'!B21)),IF(ISERROR(Sheet1!B21),TRUE,FALSE),FALSE),"StuErrorMsg",IF(TYPE('#_Sheet1'!B21)&lt;&gt;TYPE(Sheet1!B21),TRUE,FALSE),"WrongTypeMsg",IF(ISNUMBER('#_Sheet1'!B21),IF(ABS('#_Sheet1'!B21-Sheet1!B21)&gt;0.00001,TRUE,FALSE),IF('#_Sheet1'!B21&lt;&gt;Sheet1!B21,TRUE,FALSE)),IF(ISNUMBER('#_Sheet1'!B21),IF('#_Sheet1'!B21&gt;Sheet1!B21,"TooLow","TooHigh"),"WrongAnswer"),NOT(_xlfn.ISFORMULA('#_Sheet1'!B21)),IF(_xlfn.IFS(ISTEXT('#_Sheet1'!B21),FALSE,ISLOGICAL('#_Sheet1'!B21),FALSE,SUBSTITUTE(CELL("format",'#_Sheet1'!B21),"-","")=SUBSTITUTE(CELL("format",Sheet1!B21),"-",""),FALSE,CELL("format",'#_Sheet1'!B21)="G",FALSE,AND(CELL("format",'#_Sheet1'!B21)="F0",CELL("format",Sheet1!B21)="G"),FALSE,TRUE,IFERROR(IF(MATCH(CELL("format",'#_Sheet1'!B21),FormatCodesSFX!$A$4:$A$53,0)&gt;0,TRUE),FALSE),TRUE,TRUE),"FormatMsg","PerfectMsg"),_xlfn.IFS(ISTEXT('#_Sheet1'!B21),FALSE,ISLOGICAL('#_Sheet1'!B21),FALSE,SUBSTITUTE(CELL("format",'#_Sheet1'!B21),"-","")=SUBSTITUTE(CELL("format",Sheet1!B21),"-",""),FALSE,CELL("format",'#_Sheet1'!B21)="G",FALSE,AND(CELL("format",'#_Sheet1'!B21)="F0",CELL("format",Sheet1!B21)="G"),FALSE,TRUE,IFERROR(IF(MATCH(CELL("format",'#_Sheet1'!B21),FormatCodesSFX!$A$4:$A$53,0)&gt;0,TRUE),FALSE),TRUE,TRUE),"FormatMsg",TRUE,"PerfectMsg")</f>
        <v/>
      </c>
      <c r="C21" s="36" t="str">
        <f ca="1">_xlfn.IFS(ISBLANK(Sheet1!C21),"",IF(NOT(ISNA('#_Sheet1'!C21)),IF(ISNA(Sheet1!C21),TRUE,FALSE),FALSE),"StuNAMsg",IF(AND(ISNA('#_Sheet1'!C21),ISNA(Sheet1!C21)),TRUE,FALSE),"PerfectMsg",IF(NOT(ISERROR('#_Sheet1'!C21)),IF(ISERROR(Sheet1!C21),TRUE,FALSE),FALSE),"StuErrorMsg",IF(TYPE('#_Sheet1'!C21)&lt;&gt;TYPE(Sheet1!C21),TRUE,FALSE),"WrongTypeMsg",IF(ISNUMBER('#_Sheet1'!C21),IF(ABS('#_Sheet1'!C21-Sheet1!C21)&gt;0.00001,TRUE,FALSE),IF('#_Sheet1'!C21&lt;&gt;Sheet1!C21,TRUE,FALSE)),IF(ISNUMBER('#_Sheet1'!C21),IF('#_Sheet1'!C21&gt;Sheet1!C21,"TooLow","TooHigh"),"WrongAnswer"),NOT(_xlfn.ISFORMULA('#_Sheet1'!C21)),IF(_xlfn.IFS(ISTEXT('#_Sheet1'!C21),FALSE,ISLOGICAL('#_Sheet1'!C21),FALSE,SUBSTITUTE(CELL("format",'#_Sheet1'!C21),"-","")=SUBSTITUTE(CELL("format",Sheet1!C21),"-",""),FALSE,CELL("format",'#_Sheet1'!C21)="G",FALSE,AND(CELL("format",'#_Sheet1'!C21)="F0",CELL("format",Sheet1!C21)="G"),FALSE,TRUE,IFERROR(IF(MATCH(CELL("format",'#_Sheet1'!C21),FormatCodesSFX!$A$4:$A$53,0)&gt;0,TRUE),FALSE),TRUE,TRUE),"FormatMsg","PerfectMsg"),_xlfn.IFS(ISTEXT('#_Sheet1'!C21),FALSE,ISLOGICAL('#_Sheet1'!C21),FALSE,SUBSTITUTE(CELL("format",'#_Sheet1'!C21),"-","")=SUBSTITUTE(CELL("format",Sheet1!C21),"-",""),FALSE,CELL("format",'#_Sheet1'!C21)="G",FALSE,AND(CELL("format",'#_Sheet1'!C21)="F0",CELL("format",Sheet1!C21)="G"),FALSE,TRUE,IFERROR(IF(MATCH(CELL("format",'#_Sheet1'!C21),FormatCodesSFX!$A$4:$A$53,0)&gt;0,TRUE),FALSE),TRUE,TRUE),"FormatMsg",TRUE,"PerfectMsg")</f>
        <v/>
      </c>
      <c r="D21" s="36" t="str">
        <f ca="1">_xlfn.IFS(ISBLANK(Sheet1!D21),"",IF(NOT(ISNA('#_Sheet1'!D21)),IF(ISNA(Sheet1!D21),TRUE,FALSE),FALSE),"StuNAMsg",IF(AND(ISNA('#_Sheet1'!D21),ISNA(Sheet1!D21)),TRUE,FALSE),"PerfectMsg",IF(NOT(ISERROR('#_Sheet1'!D21)),IF(ISERROR(Sheet1!D21),TRUE,FALSE),FALSE),"StuErrorMsg",IF(TYPE('#_Sheet1'!D21)&lt;&gt;TYPE(Sheet1!D21),TRUE,FALSE),"WrongTypeMsg",IF(ISNUMBER('#_Sheet1'!D21),IF(ABS('#_Sheet1'!D21-Sheet1!D21)&gt;0.00001,TRUE,FALSE),IF('#_Sheet1'!D21&lt;&gt;Sheet1!D21,TRUE,FALSE)),IF(ISNUMBER('#_Sheet1'!D21),IF('#_Sheet1'!D21&gt;Sheet1!D21,"TooLow","TooHigh"),"WrongAnswer"),NOT(_xlfn.ISFORMULA('#_Sheet1'!D21)),IF(_xlfn.IFS(ISTEXT('#_Sheet1'!D21),FALSE,ISLOGICAL('#_Sheet1'!D21),FALSE,SUBSTITUTE(CELL("format",'#_Sheet1'!D21),"-","")=SUBSTITUTE(CELL("format",Sheet1!D21),"-",""),FALSE,CELL("format",'#_Sheet1'!D21)="G",FALSE,AND(CELL("format",'#_Sheet1'!D21)="F0",CELL("format",Sheet1!D21)="G"),FALSE,TRUE,IFERROR(IF(MATCH(CELL("format",'#_Sheet1'!D21),FormatCodesSFX!$A$4:$A$53,0)&gt;0,TRUE),FALSE),TRUE,TRUE),"FormatMsg","PerfectMsg"),_xlfn.IFS(ISTEXT('#_Sheet1'!D21),FALSE,ISLOGICAL('#_Sheet1'!D21),FALSE,SUBSTITUTE(CELL("format",'#_Sheet1'!D21),"-","")=SUBSTITUTE(CELL("format",Sheet1!D21),"-",""),FALSE,CELL("format",'#_Sheet1'!D21)="G",FALSE,AND(CELL("format",'#_Sheet1'!D21)="F0",CELL("format",Sheet1!D21)="G"),FALSE,TRUE,IFERROR(IF(MATCH(CELL("format",'#_Sheet1'!D21),FormatCodesSFX!$A$4:$A$53,0)&gt;0,TRUE),FALSE),TRUE,TRUE),"FormatMsg",TRUE,"PerfectMsg")</f>
        <v/>
      </c>
      <c r="E21" s="36" t="str">
        <f ca="1">_xlfn.IFS(ISBLANK(Sheet1!E21),"",IF(NOT(ISNA('#_Sheet1'!E21)),IF(ISNA(Sheet1!E21),TRUE,FALSE),FALSE),"StuNAMsg",IF(AND(ISNA('#_Sheet1'!E21),ISNA(Sheet1!E21)),TRUE,FALSE),"PerfectMsg",IF(NOT(ISERROR('#_Sheet1'!E21)),IF(ISERROR(Sheet1!E21),TRUE,FALSE),FALSE),"StuErrorMsg",IF(TYPE('#_Sheet1'!E21)&lt;&gt;TYPE(Sheet1!E21),TRUE,FALSE),"WrongTypeMsg",IF(ISNUMBER('#_Sheet1'!E21),IF(ABS('#_Sheet1'!E21-Sheet1!E21)&gt;0.00001,TRUE,FALSE),IF('#_Sheet1'!E21&lt;&gt;Sheet1!E21,TRUE,FALSE)),IF(ISNUMBER('#_Sheet1'!E21),IF('#_Sheet1'!E21&gt;Sheet1!E21,"TooLow","TooHigh"),"WrongAnswer"),NOT(_xlfn.ISFORMULA('#_Sheet1'!E21)),IF(_xlfn.IFS(ISTEXT('#_Sheet1'!E21),FALSE,ISLOGICAL('#_Sheet1'!E21),FALSE,SUBSTITUTE(CELL("format",'#_Sheet1'!E21),"-","")=SUBSTITUTE(CELL("format",Sheet1!E21),"-",""),FALSE,CELL("format",'#_Sheet1'!E21)="G",FALSE,AND(CELL("format",'#_Sheet1'!E21)="F0",CELL("format",Sheet1!E21)="G"),FALSE,TRUE,IFERROR(IF(MATCH(CELL("format",'#_Sheet1'!E21),FormatCodesSFX!$A$4:$A$53,0)&gt;0,TRUE),FALSE),TRUE,TRUE),"FormatMsg","PerfectMsg"),_xlfn.IFS(ISTEXT('#_Sheet1'!E21),FALSE,ISLOGICAL('#_Sheet1'!E21),FALSE,SUBSTITUTE(CELL("format",'#_Sheet1'!E21),"-","")=SUBSTITUTE(CELL("format",Sheet1!E21),"-",""),FALSE,CELL("format",'#_Sheet1'!E21)="G",FALSE,AND(CELL("format",'#_Sheet1'!E21)="F0",CELL("format",Sheet1!E21)="G"),FALSE,TRUE,IFERROR(IF(MATCH(CELL("format",'#_Sheet1'!E21),FormatCodesSFX!$A$4:$A$53,0)&gt;0,TRUE),FALSE),TRUE,TRUE),"FormatMsg",TRUE,"PerfectMsg")</f>
        <v/>
      </c>
      <c r="F21" s="36" t="str">
        <f ca="1">_xlfn.IFS(ISBLANK(Sheet1!F21),"",IF(NOT(ISNA('#_Sheet1'!F21)),IF(ISNA(Sheet1!F21),TRUE,FALSE),FALSE),"StuNAMsg",IF(AND(ISNA('#_Sheet1'!F21),ISNA(Sheet1!F21)),TRUE,FALSE),"PerfectMsg",IF(NOT(ISERROR('#_Sheet1'!F21)),IF(ISERROR(Sheet1!F21),TRUE,FALSE),FALSE),"StuErrorMsg",IF(TYPE('#_Sheet1'!F21)&lt;&gt;TYPE(Sheet1!F21),TRUE,FALSE),"WrongTypeMsg",IF(ISNUMBER('#_Sheet1'!F21),IF(ABS('#_Sheet1'!F21-Sheet1!F21)&gt;0.00001,TRUE,FALSE),IF('#_Sheet1'!F21&lt;&gt;Sheet1!F21,TRUE,FALSE)),IF(ISNUMBER('#_Sheet1'!F21),IF('#_Sheet1'!F21&gt;Sheet1!F21,"TooLow","TooHigh"),"WrongAnswer"),NOT(_xlfn.ISFORMULA('#_Sheet1'!F21)),IF(_xlfn.IFS(ISTEXT('#_Sheet1'!F21),FALSE,ISLOGICAL('#_Sheet1'!F21),FALSE,SUBSTITUTE(CELL("format",'#_Sheet1'!F21),"-","")=SUBSTITUTE(CELL("format",Sheet1!F21),"-",""),FALSE,CELL("format",'#_Sheet1'!F21)="G",FALSE,AND(CELL("format",'#_Sheet1'!F21)="F0",CELL("format",Sheet1!F21)="G"),FALSE,TRUE,IFERROR(IF(MATCH(CELL("format",'#_Sheet1'!F21),FormatCodesSFX!$A$4:$A$53,0)&gt;0,TRUE),FALSE),TRUE,TRUE),"FormatMsg","PerfectMsg"),_xlfn.IFS(ISTEXT('#_Sheet1'!F21),FALSE,ISLOGICAL('#_Sheet1'!F21),FALSE,SUBSTITUTE(CELL("format",'#_Sheet1'!F21),"-","")=SUBSTITUTE(CELL("format",Sheet1!F21),"-",""),FALSE,CELL("format",'#_Sheet1'!F21)="G",FALSE,AND(CELL("format",'#_Sheet1'!F21)="F0",CELL("format",Sheet1!F21)="G"),FALSE,TRUE,IFERROR(IF(MATCH(CELL("format",'#_Sheet1'!F21),FormatCodesSFX!$A$4:$A$53,0)&gt;0,TRUE),FALSE),TRUE,TRUE),"FormatMsg",TRUE,"PerfectMsg")</f>
        <v/>
      </c>
      <c r="G21" s="44" t="str">
        <f ca="1">_xlfn.IFS(ISBLANK(Sheet1!G21),"",IF(NOT(ISNA('#_Sheet1'!G21)),IF(ISNA(Sheet1!G21),TRUE,FALSE),FALSE),"StuNAMsg",IF(AND(ISNA('#_Sheet1'!G21),ISNA(Sheet1!G21)),TRUE,FALSE),"PerfectMsg",IF(NOT(ISERROR('#_Sheet1'!G21)),IF(ISERROR(Sheet1!G21),TRUE,FALSE),FALSE),"StuErrorMsg",IF(TYPE('#_Sheet1'!G21)&lt;&gt;TYPE(Sheet1!G21),TRUE,FALSE),"WrongTypeMsg",IF(ISNUMBER('#_Sheet1'!G21),IF(ABS('#_Sheet1'!G21-Sheet1!G21)&gt;0.00001,TRUE,FALSE),IF('#_Sheet1'!G21&lt;&gt;Sheet1!G21,TRUE,FALSE)),IF(ISNUMBER('#_Sheet1'!G21),IF('#_Sheet1'!G21&gt;Sheet1!G21,"TooLow","TooHigh"),"WrongAnswer"),NOT(_xlfn.ISFORMULA('#_Sheet1'!G21)),IF(_xlfn.IFS(ISTEXT('#_Sheet1'!G21),FALSE,ISLOGICAL('#_Sheet1'!G21),FALSE,SUBSTITUTE(CELL("format",'#_Sheet1'!G21),"-","")=SUBSTITUTE(CELL("format",Sheet1!G21),"-",""),FALSE,CELL("format",'#_Sheet1'!G21)="G",FALSE,AND(CELL("format",'#_Sheet1'!G21)="F0",CELL("format",Sheet1!G21)="G"),FALSE,TRUE,IFERROR(IF(MATCH(CELL("format",'#_Sheet1'!G21),FormatCodesSFX!$A$4:$A$53,0)&gt;0,TRUE),FALSE),TRUE,TRUE),"FormatMsg","PerfectMsg"),_xlfn.IFS(ISTEXT('#_Sheet1'!G21),FALSE,ISLOGICAL('#_Sheet1'!G21),FALSE,SUBSTITUTE(CELL("format",'#_Sheet1'!G21),"-","")=SUBSTITUTE(CELL("format",Sheet1!G21),"-",""),FALSE,CELL("format",'#_Sheet1'!G21)="G",FALSE,AND(CELL("format",'#_Sheet1'!G21)="F0",CELL("format",Sheet1!G21)="G"),FALSE,TRUE,IFERROR(IF(MATCH(CELL("format",'#_Sheet1'!G21),FormatCodesSFX!$A$4:$A$53,0)&gt;0,TRUE),FALSE),TRUE,TRUE),"FormatMsg",TRUE,"PerfectMsg")</f>
        <v/>
      </c>
      <c r="H21" s="45" t="str">
        <f ca="1">_xlfn.IFS(ISBLANK(Sheet1!H21),"",IF(NOT(ISNA('#_Sheet1'!H21)),IF(ISNA(Sheet1!H21),TRUE,FALSE),FALSE),"StuNAMsg",IF(AND(ISNA('#_Sheet1'!H21),ISNA(Sheet1!H21)),TRUE,FALSE),"PerfectMsg",IF(NOT(ISERROR('#_Sheet1'!H21)),IF(ISERROR(Sheet1!H21),TRUE,FALSE),FALSE),"StuErrorMsg",IF(TYPE('#_Sheet1'!H21)&lt;&gt;TYPE(Sheet1!H21),TRUE,FALSE),"WrongTypeMsg",IF(ISNUMBER('#_Sheet1'!H21),IF(ABS('#_Sheet1'!H21-Sheet1!H21)&gt;0.00001,TRUE,FALSE),IF('#_Sheet1'!H21&lt;&gt;Sheet1!H21,TRUE,FALSE)),IF(ISNUMBER('#_Sheet1'!H21),IF('#_Sheet1'!H21&gt;Sheet1!H21,"TooLow","TooHigh"),"WrongAnswer"),NOT(_xlfn.ISFORMULA('#_Sheet1'!H21)),IF(_xlfn.IFS(ISTEXT('#_Sheet1'!H21),FALSE,ISLOGICAL('#_Sheet1'!H21),FALSE,SUBSTITUTE(CELL("format",'#_Sheet1'!H21),"-","")=SUBSTITUTE(CELL("format",Sheet1!H21),"-",""),FALSE,CELL("format",'#_Sheet1'!H21)="G",FALSE,AND(CELL("format",'#_Sheet1'!H21)="F0",CELL("format",Sheet1!H21)="G"),FALSE,TRUE,IFERROR(IF(MATCH(CELL("format",'#_Sheet1'!H21),FormatCodesSFX!$A$4:$A$53,0)&gt;0,TRUE),FALSE),TRUE,TRUE),"FormatMsg","PerfectMsg"),_xlfn.IFS(ISTEXT('#_Sheet1'!H21),FALSE,ISLOGICAL('#_Sheet1'!H21),FALSE,SUBSTITUTE(CELL("format",'#_Sheet1'!H21),"-","")=SUBSTITUTE(CELL("format",Sheet1!H21),"-",""),FALSE,CELL("format",'#_Sheet1'!H21)="G",FALSE,AND(CELL("format",'#_Sheet1'!H21)="F0",CELL("format",Sheet1!H21)="G"),FALSE,TRUE,IFERROR(IF(MATCH(CELL("format",'#_Sheet1'!H21),FormatCodesSFX!$A$4:$A$53,0)&gt;0,TRUE),FALSE),TRUE,TRUE),"FormatMsg",TRUE,"PerfectMsg")</f>
        <v/>
      </c>
    </row>
    <row r="22" spans="1:8" x14ac:dyDescent="0.15">
      <c r="A22" s="36" t="str">
        <f ca="1">_xlfn.IFS(ISBLANK(Sheet1!A22),"",IF(NOT(ISNA('#_Sheet1'!A22)),IF(ISNA(Sheet1!A22),TRUE,FALSE),FALSE),"StuNAMsg",IF(AND(ISNA('#_Sheet1'!A22),ISNA(Sheet1!A22)),TRUE,FALSE),"PerfectMsg",IF(NOT(ISERROR('#_Sheet1'!A22)),IF(ISERROR(Sheet1!A22),TRUE,FALSE),FALSE),"StuErrorMsg",IF(TYPE('#_Sheet1'!A22)&lt;&gt;TYPE(Sheet1!A22),TRUE,FALSE),"WrongTypeMsg",IF(ISNUMBER('#_Sheet1'!A22),IF(ABS('#_Sheet1'!A22-Sheet1!A22)&gt;0.00001,TRUE,FALSE),IF('#_Sheet1'!A22&lt;&gt;Sheet1!A22,TRUE,FALSE)),IF(ISNUMBER('#_Sheet1'!A22),IF('#_Sheet1'!A22&gt;Sheet1!A22,"TooLow","TooHigh"),"WrongAnswer"),NOT(_xlfn.ISFORMULA('#_Sheet1'!A22)),IF(_xlfn.IFS(ISTEXT('#_Sheet1'!A22),FALSE,ISLOGICAL('#_Sheet1'!A22),FALSE,SUBSTITUTE(CELL("format",'#_Sheet1'!A22),"-","")=SUBSTITUTE(CELL("format",Sheet1!A22),"-",""),FALSE,CELL("format",'#_Sheet1'!A22)="G",FALSE,AND(CELL("format",'#_Sheet1'!A22)="F0",CELL("format",Sheet1!A22)="G"),FALSE,TRUE,IFERROR(IF(MATCH(CELL("format",'#_Sheet1'!A22),FormatCodesSFX!$A$4:$A$53,0)&gt;0,TRUE),FALSE),TRUE,TRUE),"FormatMsg","PerfectMsg"),_xlfn.IFS(ISTEXT('#_Sheet1'!A22),FALSE,ISLOGICAL('#_Sheet1'!A22),FALSE,SUBSTITUTE(CELL("format",'#_Sheet1'!A22),"-","")=SUBSTITUTE(CELL("format",Sheet1!A22),"-",""),FALSE,CELL("format",'#_Sheet1'!A22)="G",FALSE,AND(CELL("format",'#_Sheet1'!A22)="F0",CELL("format",Sheet1!A22)="G"),FALSE,TRUE,IFERROR(IF(MATCH(CELL("format",'#_Sheet1'!A22),FormatCodesSFX!$A$4:$A$53,0)&gt;0,TRUE),FALSE),TRUE,TRUE),"FormatMsg",TRUE,"PerfectMsg")</f>
        <v/>
      </c>
      <c r="B22" s="36" t="str">
        <f ca="1">_xlfn.IFS(ISBLANK(Sheet1!B22),"",IF(NOT(ISNA('#_Sheet1'!B22)),IF(ISNA(Sheet1!B22),TRUE,FALSE),FALSE),"StuNAMsg",IF(AND(ISNA('#_Sheet1'!B22),ISNA(Sheet1!B22)),TRUE,FALSE),"PerfectMsg",IF(NOT(ISERROR('#_Sheet1'!B22)),IF(ISERROR(Sheet1!B22),TRUE,FALSE),FALSE),"StuErrorMsg",IF(TYPE('#_Sheet1'!B22)&lt;&gt;TYPE(Sheet1!B22),TRUE,FALSE),"WrongTypeMsg",IF(ISNUMBER('#_Sheet1'!B22),IF(ABS('#_Sheet1'!B22-Sheet1!B22)&gt;0.00001,TRUE,FALSE),IF('#_Sheet1'!B22&lt;&gt;Sheet1!B22,TRUE,FALSE)),IF(ISNUMBER('#_Sheet1'!B22),IF('#_Sheet1'!B22&gt;Sheet1!B22,"TooLow","TooHigh"),"WrongAnswer"),NOT(_xlfn.ISFORMULA('#_Sheet1'!B22)),IF(_xlfn.IFS(ISTEXT('#_Sheet1'!B22),FALSE,ISLOGICAL('#_Sheet1'!B22),FALSE,SUBSTITUTE(CELL("format",'#_Sheet1'!B22),"-","")=SUBSTITUTE(CELL("format",Sheet1!B22),"-",""),FALSE,CELL("format",'#_Sheet1'!B22)="G",FALSE,AND(CELL("format",'#_Sheet1'!B22)="F0",CELL("format",Sheet1!B22)="G"),FALSE,TRUE,IFERROR(IF(MATCH(CELL("format",'#_Sheet1'!B22),FormatCodesSFX!$A$4:$A$53,0)&gt;0,TRUE),FALSE),TRUE,TRUE),"FormatMsg","PerfectMsg"),_xlfn.IFS(ISTEXT('#_Sheet1'!B22),FALSE,ISLOGICAL('#_Sheet1'!B22),FALSE,SUBSTITUTE(CELL("format",'#_Sheet1'!B22),"-","")=SUBSTITUTE(CELL("format",Sheet1!B22),"-",""),FALSE,CELL("format",'#_Sheet1'!B22)="G",FALSE,AND(CELL("format",'#_Sheet1'!B22)="F0",CELL("format",Sheet1!B22)="G"),FALSE,TRUE,IFERROR(IF(MATCH(CELL("format",'#_Sheet1'!B22),FormatCodesSFX!$A$4:$A$53,0)&gt;0,TRUE),FALSE),TRUE,TRUE),"FormatMsg",TRUE,"PerfectMsg")</f>
        <v/>
      </c>
      <c r="C22" s="36" t="str">
        <f ca="1">_xlfn.IFS(ISBLANK(Sheet1!C22),"",IF(NOT(ISNA('#_Sheet1'!C22)),IF(ISNA(Sheet1!C22),TRUE,FALSE),FALSE),"StuNAMsg",IF(AND(ISNA('#_Sheet1'!C22),ISNA(Sheet1!C22)),TRUE,FALSE),"PerfectMsg",IF(NOT(ISERROR('#_Sheet1'!C22)),IF(ISERROR(Sheet1!C22),TRUE,FALSE),FALSE),"StuErrorMsg",IF(TYPE('#_Sheet1'!C22)&lt;&gt;TYPE(Sheet1!C22),TRUE,FALSE),"WrongTypeMsg",IF(ISNUMBER('#_Sheet1'!C22),IF(ABS('#_Sheet1'!C22-Sheet1!C22)&gt;0.00001,TRUE,FALSE),IF('#_Sheet1'!C22&lt;&gt;Sheet1!C22,TRUE,FALSE)),IF(ISNUMBER('#_Sheet1'!C22),IF('#_Sheet1'!C22&gt;Sheet1!C22,"TooLow","TooHigh"),"WrongAnswer"),NOT(_xlfn.ISFORMULA('#_Sheet1'!C22)),IF(_xlfn.IFS(ISTEXT('#_Sheet1'!C22),FALSE,ISLOGICAL('#_Sheet1'!C22),FALSE,SUBSTITUTE(CELL("format",'#_Sheet1'!C22),"-","")=SUBSTITUTE(CELL("format",Sheet1!C22),"-",""),FALSE,CELL("format",'#_Sheet1'!C22)="G",FALSE,AND(CELL("format",'#_Sheet1'!C22)="F0",CELL("format",Sheet1!C22)="G"),FALSE,TRUE,IFERROR(IF(MATCH(CELL("format",'#_Sheet1'!C22),FormatCodesSFX!$A$4:$A$53,0)&gt;0,TRUE),FALSE),TRUE,TRUE),"FormatMsg","PerfectMsg"),_xlfn.IFS(ISTEXT('#_Sheet1'!C22),FALSE,ISLOGICAL('#_Sheet1'!C22),FALSE,SUBSTITUTE(CELL("format",'#_Sheet1'!C22),"-","")=SUBSTITUTE(CELL("format",Sheet1!C22),"-",""),FALSE,CELL("format",'#_Sheet1'!C22)="G",FALSE,AND(CELL("format",'#_Sheet1'!C22)="F0",CELL("format",Sheet1!C22)="G"),FALSE,TRUE,IFERROR(IF(MATCH(CELL("format",'#_Sheet1'!C22),FormatCodesSFX!$A$4:$A$53,0)&gt;0,TRUE),FALSE),TRUE,TRUE),"FormatMsg",TRUE,"PerfectMsg")</f>
        <v/>
      </c>
      <c r="D22" s="36" t="str">
        <f ca="1">_xlfn.IFS(ISBLANK(Sheet1!D22),"",IF(NOT(ISNA('#_Sheet1'!D22)),IF(ISNA(Sheet1!D22),TRUE,FALSE),FALSE),"StuNAMsg",IF(AND(ISNA('#_Sheet1'!D22),ISNA(Sheet1!D22)),TRUE,FALSE),"PerfectMsg",IF(NOT(ISERROR('#_Sheet1'!D22)),IF(ISERROR(Sheet1!D22),TRUE,FALSE),FALSE),"StuErrorMsg",IF(TYPE('#_Sheet1'!D22)&lt;&gt;TYPE(Sheet1!D22),TRUE,FALSE),"WrongTypeMsg",IF(ISNUMBER('#_Sheet1'!D22),IF(ABS('#_Sheet1'!D22-Sheet1!D22)&gt;0.00001,TRUE,FALSE),IF('#_Sheet1'!D22&lt;&gt;Sheet1!D22,TRUE,FALSE)),IF(ISNUMBER('#_Sheet1'!D22),IF('#_Sheet1'!D22&gt;Sheet1!D22,"TooLow","TooHigh"),"WrongAnswer"),NOT(_xlfn.ISFORMULA('#_Sheet1'!D22)),IF(_xlfn.IFS(ISTEXT('#_Sheet1'!D22),FALSE,ISLOGICAL('#_Sheet1'!D22),FALSE,SUBSTITUTE(CELL("format",'#_Sheet1'!D22),"-","")=SUBSTITUTE(CELL("format",Sheet1!D22),"-",""),FALSE,CELL("format",'#_Sheet1'!D22)="G",FALSE,AND(CELL("format",'#_Sheet1'!D22)="F0",CELL("format",Sheet1!D22)="G"),FALSE,TRUE,IFERROR(IF(MATCH(CELL("format",'#_Sheet1'!D22),FormatCodesSFX!$A$4:$A$53,0)&gt;0,TRUE),FALSE),TRUE,TRUE),"FormatMsg","PerfectMsg"),_xlfn.IFS(ISTEXT('#_Sheet1'!D22),FALSE,ISLOGICAL('#_Sheet1'!D22),FALSE,SUBSTITUTE(CELL("format",'#_Sheet1'!D22),"-","")=SUBSTITUTE(CELL("format",Sheet1!D22),"-",""),FALSE,CELL("format",'#_Sheet1'!D22)="G",FALSE,AND(CELL("format",'#_Sheet1'!D22)="F0",CELL("format",Sheet1!D22)="G"),FALSE,TRUE,IFERROR(IF(MATCH(CELL("format",'#_Sheet1'!D22),FormatCodesSFX!$A$4:$A$53,0)&gt;0,TRUE),FALSE),TRUE,TRUE),"FormatMsg",TRUE,"PerfectMsg")</f>
        <v/>
      </c>
      <c r="E22" s="36" t="str">
        <f ca="1">_xlfn.IFS(ISBLANK(Sheet1!E22),"",IF(NOT(ISNA('#_Sheet1'!E22)),IF(ISNA(Sheet1!E22),TRUE,FALSE),FALSE),"StuNAMsg",IF(AND(ISNA('#_Sheet1'!E22),ISNA(Sheet1!E22)),TRUE,FALSE),"PerfectMsg",IF(NOT(ISERROR('#_Sheet1'!E22)),IF(ISERROR(Sheet1!E22),TRUE,FALSE),FALSE),"StuErrorMsg",IF(TYPE('#_Sheet1'!E22)&lt;&gt;TYPE(Sheet1!E22),TRUE,FALSE),"WrongTypeMsg",IF(ISNUMBER('#_Sheet1'!E22),IF(ABS('#_Sheet1'!E22-Sheet1!E22)&gt;0.00001,TRUE,FALSE),IF('#_Sheet1'!E22&lt;&gt;Sheet1!E22,TRUE,FALSE)),IF(ISNUMBER('#_Sheet1'!E22),IF('#_Sheet1'!E22&gt;Sheet1!E22,"TooLow","TooHigh"),"WrongAnswer"),NOT(_xlfn.ISFORMULA('#_Sheet1'!E22)),IF(_xlfn.IFS(ISTEXT('#_Sheet1'!E22),FALSE,ISLOGICAL('#_Sheet1'!E22),FALSE,SUBSTITUTE(CELL("format",'#_Sheet1'!E22),"-","")=SUBSTITUTE(CELL("format",Sheet1!E22),"-",""),FALSE,CELL("format",'#_Sheet1'!E22)="G",FALSE,AND(CELL("format",'#_Sheet1'!E22)="F0",CELL("format",Sheet1!E22)="G"),FALSE,TRUE,IFERROR(IF(MATCH(CELL("format",'#_Sheet1'!E22),FormatCodesSFX!$A$4:$A$53,0)&gt;0,TRUE),FALSE),TRUE,TRUE),"FormatMsg","PerfectMsg"),_xlfn.IFS(ISTEXT('#_Sheet1'!E22),FALSE,ISLOGICAL('#_Sheet1'!E22),FALSE,SUBSTITUTE(CELL("format",'#_Sheet1'!E22),"-","")=SUBSTITUTE(CELL("format",Sheet1!E22),"-",""),FALSE,CELL("format",'#_Sheet1'!E22)="G",FALSE,AND(CELL("format",'#_Sheet1'!E22)="F0",CELL("format",Sheet1!E22)="G"),FALSE,TRUE,IFERROR(IF(MATCH(CELL("format",'#_Sheet1'!E22),FormatCodesSFX!$A$4:$A$53,0)&gt;0,TRUE),FALSE),TRUE,TRUE),"FormatMsg",TRUE,"PerfectMsg")</f>
        <v/>
      </c>
      <c r="F22" s="36" t="str">
        <f ca="1">_xlfn.IFS(ISBLANK(Sheet1!F22),"",IF(NOT(ISNA('#_Sheet1'!F22)),IF(ISNA(Sheet1!F22),TRUE,FALSE),FALSE),"StuNAMsg",IF(AND(ISNA('#_Sheet1'!F22),ISNA(Sheet1!F22)),TRUE,FALSE),"PerfectMsg",IF(NOT(ISERROR('#_Sheet1'!F22)),IF(ISERROR(Sheet1!F22),TRUE,FALSE),FALSE),"StuErrorMsg",IF(TYPE('#_Sheet1'!F22)&lt;&gt;TYPE(Sheet1!F22),TRUE,FALSE),"WrongTypeMsg",IF(ISNUMBER('#_Sheet1'!F22),IF(ABS('#_Sheet1'!F22-Sheet1!F22)&gt;0.00001,TRUE,FALSE),IF('#_Sheet1'!F22&lt;&gt;Sheet1!F22,TRUE,FALSE)),IF(ISNUMBER('#_Sheet1'!F22),IF('#_Sheet1'!F22&gt;Sheet1!F22,"TooLow","TooHigh"),"WrongAnswer"),NOT(_xlfn.ISFORMULA('#_Sheet1'!F22)),IF(_xlfn.IFS(ISTEXT('#_Sheet1'!F22),FALSE,ISLOGICAL('#_Sheet1'!F22),FALSE,SUBSTITUTE(CELL("format",'#_Sheet1'!F22),"-","")=SUBSTITUTE(CELL("format",Sheet1!F22),"-",""),FALSE,CELL("format",'#_Sheet1'!F22)="G",FALSE,AND(CELL("format",'#_Sheet1'!F22)="F0",CELL("format",Sheet1!F22)="G"),FALSE,TRUE,IFERROR(IF(MATCH(CELL("format",'#_Sheet1'!F22),FormatCodesSFX!$A$4:$A$53,0)&gt;0,TRUE),FALSE),TRUE,TRUE),"FormatMsg","PerfectMsg"),_xlfn.IFS(ISTEXT('#_Sheet1'!F22),FALSE,ISLOGICAL('#_Sheet1'!F22),FALSE,SUBSTITUTE(CELL("format",'#_Sheet1'!F22),"-","")=SUBSTITUTE(CELL("format",Sheet1!F22),"-",""),FALSE,CELL("format",'#_Sheet1'!F22)="G",FALSE,AND(CELL("format",'#_Sheet1'!F22)="F0",CELL("format",Sheet1!F22)="G"),FALSE,TRUE,IFERROR(IF(MATCH(CELL("format",'#_Sheet1'!F22),FormatCodesSFX!$A$4:$A$53,0)&gt;0,TRUE),FALSE),TRUE,TRUE),"FormatMsg",TRUE,"PerfectMsg")</f>
        <v/>
      </c>
      <c r="G22" s="44" t="str">
        <f ca="1">_xlfn.IFS(ISBLANK(Sheet1!G22),"",IF(NOT(ISNA('#_Sheet1'!G22)),IF(ISNA(Sheet1!G22),TRUE,FALSE),FALSE),"StuNAMsg",IF(AND(ISNA('#_Sheet1'!G22),ISNA(Sheet1!G22)),TRUE,FALSE),"PerfectMsg",IF(NOT(ISERROR('#_Sheet1'!G22)),IF(ISERROR(Sheet1!G22),TRUE,FALSE),FALSE),"StuErrorMsg",IF(TYPE('#_Sheet1'!G22)&lt;&gt;TYPE(Sheet1!G22),TRUE,FALSE),"WrongTypeMsg",IF(ISNUMBER('#_Sheet1'!G22),IF(ABS('#_Sheet1'!G22-Sheet1!G22)&gt;0.00001,TRUE,FALSE),IF('#_Sheet1'!G22&lt;&gt;Sheet1!G22,TRUE,FALSE)),IF(ISNUMBER('#_Sheet1'!G22),IF('#_Sheet1'!G22&gt;Sheet1!G22,"TooLow","TooHigh"),"WrongAnswer"),NOT(_xlfn.ISFORMULA('#_Sheet1'!G22)),IF(_xlfn.IFS(ISTEXT('#_Sheet1'!G22),FALSE,ISLOGICAL('#_Sheet1'!G22),FALSE,SUBSTITUTE(CELL("format",'#_Sheet1'!G22),"-","")=SUBSTITUTE(CELL("format",Sheet1!G22),"-",""),FALSE,CELL("format",'#_Sheet1'!G22)="G",FALSE,AND(CELL("format",'#_Sheet1'!G22)="F0",CELL("format",Sheet1!G22)="G"),FALSE,TRUE,IFERROR(IF(MATCH(CELL("format",'#_Sheet1'!G22),FormatCodesSFX!$A$4:$A$53,0)&gt;0,TRUE),FALSE),TRUE,TRUE),"FormatMsg","PerfectMsg"),_xlfn.IFS(ISTEXT('#_Sheet1'!G22),FALSE,ISLOGICAL('#_Sheet1'!G22),FALSE,SUBSTITUTE(CELL("format",'#_Sheet1'!G22),"-","")=SUBSTITUTE(CELL("format",Sheet1!G22),"-",""),FALSE,CELL("format",'#_Sheet1'!G22)="G",FALSE,AND(CELL("format",'#_Sheet1'!G22)="F0",CELL("format",Sheet1!G22)="G"),FALSE,TRUE,IFERROR(IF(MATCH(CELL("format",'#_Sheet1'!G22),FormatCodesSFX!$A$4:$A$53,0)&gt;0,TRUE),FALSE),TRUE,TRUE),"FormatMsg",TRUE,"PerfectMsg")</f>
        <v/>
      </c>
      <c r="H22" s="45" t="str">
        <f ca="1">_xlfn.IFS(ISBLANK(Sheet1!H22),"",IF(NOT(ISNA('#_Sheet1'!H22)),IF(ISNA(Sheet1!H22),TRUE,FALSE),FALSE),"StuNAMsg",IF(AND(ISNA('#_Sheet1'!H22),ISNA(Sheet1!H22)),TRUE,FALSE),"PerfectMsg",IF(NOT(ISERROR('#_Sheet1'!H22)),IF(ISERROR(Sheet1!H22),TRUE,FALSE),FALSE),"StuErrorMsg",IF(TYPE('#_Sheet1'!H22)&lt;&gt;TYPE(Sheet1!H22),TRUE,FALSE),"WrongTypeMsg",IF(ISNUMBER('#_Sheet1'!H22),IF(ABS('#_Sheet1'!H22-Sheet1!H22)&gt;0.00001,TRUE,FALSE),IF('#_Sheet1'!H22&lt;&gt;Sheet1!H22,TRUE,FALSE)),IF(ISNUMBER('#_Sheet1'!H22),IF('#_Sheet1'!H22&gt;Sheet1!H22,"TooLow","TooHigh"),"WrongAnswer"),NOT(_xlfn.ISFORMULA('#_Sheet1'!H22)),IF(_xlfn.IFS(ISTEXT('#_Sheet1'!H22),FALSE,ISLOGICAL('#_Sheet1'!H22),FALSE,SUBSTITUTE(CELL("format",'#_Sheet1'!H22),"-","")=SUBSTITUTE(CELL("format",Sheet1!H22),"-",""),FALSE,CELL("format",'#_Sheet1'!H22)="G",FALSE,AND(CELL("format",'#_Sheet1'!H22)="F0",CELL("format",Sheet1!H22)="G"),FALSE,TRUE,IFERROR(IF(MATCH(CELL("format",'#_Sheet1'!H22),FormatCodesSFX!$A$4:$A$53,0)&gt;0,TRUE),FALSE),TRUE,TRUE),"FormatMsg","PerfectMsg"),_xlfn.IFS(ISTEXT('#_Sheet1'!H22),FALSE,ISLOGICAL('#_Sheet1'!H22),FALSE,SUBSTITUTE(CELL("format",'#_Sheet1'!H22),"-","")=SUBSTITUTE(CELL("format",Sheet1!H22),"-",""),FALSE,CELL("format",'#_Sheet1'!H22)="G",FALSE,AND(CELL("format",'#_Sheet1'!H22)="F0",CELL("format",Sheet1!H22)="G"),FALSE,TRUE,IFERROR(IF(MATCH(CELL("format",'#_Sheet1'!H22),FormatCodesSFX!$A$4:$A$53,0)&gt;0,TRUE),FALSE),TRUE,TRUE),"FormatMsg",TRUE,"PerfectMsg")</f>
        <v/>
      </c>
    </row>
    <row r="23" spans="1:8" x14ac:dyDescent="0.15">
      <c r="A23" s="36" t="str">
        <f ca="1">_xlfn.IFS(ISBLANK(Sheet1!A23),"",IF(NOT(ISNA('#_Sheet1'!A23)),IF(ISNA(Sheet1!A23),TRUE,FALSE),FALSE),"StuNAMsg",IF(AND(ISNA('#_Sheet1'!A23),ISNA(Sheet1!A23)),TRUE,FALSE),"PerfectMsg",IF(NOT(ISERROR('#_Sheet1'!A23)),IF(ISERROR(Sheet1!A23),TRUE,FALSE),FALSE),"StuErrorMsg",IF(TYPE('#_Sheet1'!A23)&lt;&gt;TYPE(Sheet1!A23),TRUE,FALSE),"WrongTypeMsg",IF(ISNUMBER('#_Sheet1'!A23),IF(ABS('#_Sheet1'!A23-Sheet1!A23)&gt;0.00001,TRUE,FALSE),IF('#_Sheet1'!A23&lt;&gt;Sheet1!A23,TRUE,FALSE)),IF(ISNUMBER('#_Sheet1'!A23),IF('#_Sheet1'!A23&gt;Sheet1!A23,"TooLow","TooHigh"),"WrongAnswer"),NOT(_xlfn.ISFORMULA('#_Sheet1'!A23)),IF(_xlfn.IFS(ISTEXT('#_Sheet1'!A23),FALSE,ISLOGICAL('#_Sheet1'!A23),FALSE,SUBSTITUTE(CELL("format",'#_Sheet1'!A23),"-","")=SUBSTITUTE(CELL("format",Sheet1!A23),"-",""),FALSE,CELL("format",'#_Sheet1'!A23)="G",FALSE,AND(CELL("format",'#_Sheet1'!A23)="F0",CELL("format",Sheet1!A23)="G"),FALSE,TRUE,IFERROR(IF(MATCH(CELL("format",'#_Sheet1'!A23),FormatCodesSFX!$A$4:$A$53,0)&gt;0,TRUE),FALSE),TRUE,TRUE),"FormatMsg","PerfectMsg"),_xlfn.IFS(ISTEXT('#_Sheet1'!A23),FALSE,ISLOGICAL('#_Sheet1'!A23),FALSE,SUBSTITUTE(CELL("format",'#_Sheet1'!A23),"-","")=SUBSTITUTE(CELL("format",Sheet1!A23),"-",""),FALSE,CELL("format",'#_Sheet1'!A23)="G",FALSE,AND(CELL("format",'#_Sheet1'!A23)="F0",CELL("format",Sheet1!A23)="G"),FALSE,TRUE,IFERROR(IF(MATCH(CELL("format",'#_Sheet1'!A23),FormatCodesSFX!$A$4:$A$53,0)&gt;0,TRUE),FALSE),TRUE,TRUE),"FormatMsg",TRUE,"PerfectMsg")</f>
        <v/>
      </c>
      <c r="B23" s="36" t="str">
        <f ca="1">_xlfn.IFS(ISBLANK(Sheet1!B23),"",IF(NOT(ISNA('#_Sheet1'!B23)),IF(ISNA(Sheet1!B23),TRUE,FALSE),FALSE),"StuNAMsg",IF(AND(ISNA('#_Sheet1'!B23),ISNA(Sheet1!B23)),TRUE,FALSE),"PerfectMsg",IF(NOT(ISERROR('#_Sheet1'!B23)),IF(ISERROR(Sheet1!B23),TRUE,FALSE),FALSE),"StuErrorMsg",IF(TYPE('#_Sheet1'!B23)&lt;&gt;TYPE(Sheet1!B23),TRUE,FALSE),"WrongTypeMsg",IF(ISNUMBER('#_Sheet1'!B23),IF(ABS('#_Sheet1'!B23-Sheet1!B23)&gt;0.00001,TRUE,FALSE),IF('#_Sheet1'!B23&lt;&gt;Sheet1!B23,TRUE,FALSE)),IF(ISNUMBER('#_Sheet1'!B23),IF('#_Sheet1'!B23&gt;Sheet1!B23,"TooLow","TooHigh"),"WrongAnswer"),NOT(_xlfn.ISFORMULA('#_Sheet1'!B23)),IF(_xlfn.IFS(ISTEXT('#_Sheet1'!B23),FALSE,ISLOGICAL('#_Sheet1'!B23),FALSE,SUBSTITUTE(CELL("format",'#_Sheet1'!B23),"-","")=SUBSTITUTE(CELL("format",Sheet1!B23),"-",""),FALSE,CELL("format",'#_Sheet1'!B23)="G",FALSE,AND(CELL("format",'#_Sheet1'!B23)="F0",CELL("format",Sheet1!B23)="G"),FALSE,TRUE,IFERROR(IF(MATCH(CELL("format",'#_Sheet1'!B23),FormatCodesSFX!$A$4:$A$53,0)&gt;0,TRUE),FALSE),TRUE,TRUE),"FormatMsg","PerfectMsg"),_xlfn.IFS(ISTEXT('#_Sheet1'!B23),FALSE,ISLOGICAL('#_Sheet1'!B23),FALSE,SUBSTITUTE(CELL("format",'#_Sheet1'!B23),"-","")=SUBSTITUTE(CELL("format",Sheet1!B23),"-",""),FALSE,CELL("format",'#_Sheet1'!B23)="G",FALSE,AND(CELL("format",'#_Sheet1'!B23)="F0",CELL("format",Sheet1!B23)="G"),FALSE,TRUE,IFERROR(IF(MATCH(CELL("format",'#_Sheet1'!B23),FormatCodesSFX!$A$4:$A$53,0)&gt;0,TRUE),FALSE),TRUE,TRUE),"FormatMsg",TRUE,"PerfectMsg")</f>
        <v/>
      </c>
      <c r="C23" s="36" t="str">
        <f ca="1">_xlfn.IFS(ISBLANK(Sheet1!C23),"",IF(NOT(ISNA('#_Sheet1'!C23)),IF(ISNA(Sheet1!C23),TRUE,FALSE),FALSE),"StuNAMsg",IF(AND(ISNA('#_Sheet1'!C23),ISNA(Sheet1!C23)),TRUE,FALSE),"PerfectMsg",IF(NOT(ISERROR('#_Sheet1'!C23)),IF(ISERROR(Sheet1!C23),TRUE,FALSE),FALSE),"StuErrorMsg",IF(TYPE('#_Sheet1'!C23)&lt;&gt;TYPE(Sheet1!C23),TRUE,FALSE),"WrongTypeMsg",IF(ISNUMBER('#_Sheet1'!C23),IF(ABS('#_Sheet1'!C23-Sheet1!C23)&gt;0.00001,TRUE,FALSE),IF('#_Sheet1'!C23&lt;&gt;Sheet1!C23,TRUE,FALSE)),IF(ISNUMBER('#_Sheet1'!C23),IF('#_Sheet1'!C23&gt;Sheet1!C23,"TooLow","TooHigh"),"WrongAnswer"),NOT(_xlfn.ISFORMULA('#_Sheet1'!C23)),IF(_xlfn.IFS(ISTEXT('#_Sheet1'!C23),FALSE,ISLOGICAL('#_Sheet1'!C23),FALSE,SUBSTITUTE(CELL("format",'#_Sheet1'!C23),"-","")=SUBSTITUTE(CELL("format",Sheet1!C23),"-",""),FALSE,CELL("format",'#_Sheet1'!C23)="G",FALSE,AND(CELL("format",'#_Sheet1'!C23)="F0",CELL("format",Sheet1!C23)="G"),FALSE,TRUE,IFERROR(IF(MATCH(CELL("format",'#_Sheet1'!C23),FormatCodesSFX!$A$4:$A$53,0)&gt;0,TRUE),FALSE),TRUE,TRUE),"FormatMsg","PerfectMsg"),_xlfn.IFS(ISTEXT('#_Sheet1'!C23),FALSE,ISLOGICAL('#_Sheet1'!C23),FALSE,SUBSTITUTE(CELL("format",'#_Sheet1'!C23),"-","")=SUBSTITUTE(CELL("format",Sheet1!C23),"-",""),FALSE,CELL("format",'#_Sheet1'!C23)="G",FALSE,AND(CELL("format",'#_Sheet1'!C23)="F0",CELL("format",Sheet1!C23)="G"),FALSE,TRUE,IFERROR(IF(MATCH(CELL("format",'#_Sheet1'!C23),FormatCodesSFX!$A$4:$A$53,0)&gt;0,TRUE),FALSE),TRUE,TRUE),"FormatMsg",TRUE,"PerfectMsg")</f>
        <v/>
      </c>
      <c r="D23" s="36" t="str">
        <f ca="1">_xlfn.IFS(ISBLANK(Sheet1!D23),"",IF(NOT(ISNA('#_Sheet1'!D23)),IF(ISNA(Sheet1!D23),TRUE,FALSE),FALSE),"StuNAMsg",IF(AND(ISNA('#_Sheet1'!D23),ISNA(Sheet1!D23)),TRUE,FALSE),"PerfectMsg",IF(NOT(ISERROR('#_Sheet1'!D23)),IF(ISERROR(Sheet1!D23),TRUE,FALSE),FALSE),"StuErrorMsg",IF(TYPE('#_Sheet1'!D23)&lt;&gt;TYPE(Sheet1!D23),TRUE,FALSE),"WrongTypeMsg",IF(ISNUMBER('#_Sheet1'!D23),IF(ABS('#_Sheet1'!D23-Sheet1!D23)&gt;0.00001,TRUE,FALSE),IF('#_Sheet1'!D23&lt;&gt;Sheet1!D23,TRUE,FALSE)),IF(ISNUMBER('#_Sheet1'!D23),IF('#_Sheet1'!D23&gt;Sheet1!D23,"TooLow","TooHigh"),"WrongAnswer"),NOT(_xlfn.ISFORMULA('#_Sheet1'!D23)),IF(_xlfn.IFS(ISTEXT('#_Sheet1'!D23),FALSE,ISLOGICAL('#_Sheet1'!D23),FALSE,SUBSTITUTE(CELL("format",'#_Sheet1'!D23),"-","")=SUBSTITUTE(CELL("format",Sheet1!D23),"-",""),FALSE,CELL("format",'#_Sheet1'!D23)="G",FALSE,AND(CELL("format",'#_Sheet1'!D23)="F0",CELL("format",Sheet1!D23)="G"),FALSE,TRUE,IFERROR(IF(MATCH(CELL("format",'#_Sheet1'!D23),FormatCodesSFX!$A$4:$A$53,0)&gt;0,TRUE),FALSE),TRUE,TRUE),"FormatMsg","PerfectMsg"),_xlfn.IFS(ISTEXT('#_Sheet1'!D23),FALSE,ISLOGICAL('#_Sheet1'!D23),FALSE,SUBSTITUTE(CELL("format",'#_Sheet1'!D23),"-","")=SUBSTITUTE(CELL("format",Sheet1!D23),"-",""),FALSE,CELL("format",'#_Sheet1'!D23)="G",FALSE,AND(CELL("format",'#_Sheet1'!D23)="F0",CELL("format",Sheet1!D23)="G"),FALSE,TRUE,IFERROR(IF(MATCH(CELL("format",'#_Sheet1'!D23),FormatCodesSFX!$A$4:$A$53,0)&gt;0,TRUE),FALSE),TRUE,TRUE),"FormatMsg",TRUE,"PerfectMsg")</f>
        <v/>
      </c>
      <c r="E23" s="36" t="str">
        <f ca="1">_xlfn.IFS(ISBLANK(Sheet1!E23),"",IF(NOT(ISNA('#_Sheet1'!E23)),IF(ISNA(Sheet1!E23),TRUE,FALSE),FALSE),"StuNAMsg",IF(AND(ISNA('#_Sheet1'!E23),ISNA(Sheet1!E23)),TRUE,FALSE),"PerfectMsg",IF(NOT(ISERROR('#_Sheet1'!E23)),IF(ISERROR(Sheet1!E23),TRUE,FALSE),FALSE),"StuErrorMsg",IF(TYPE('#_Sheet1'!E23)&lt;&gt;TYPE(Sheet1!E23),TRUE,FALSE),"WrongTypeMsg",IF(ISNUMBER('#_Sheet1'!E23),IF(ABS('#_Sheet1'!E23-Sheet1!E23)&gt;0.00001,TRUE,FALSE),IF('#_Sheet1'!E23&lt;&gt;Sheet1!E23,TRUE,FALSE)),IF(ISNUMBER('#_Sheet1'!E23),IF('#_Sheet1'!E23&gt;Sheet1!E23,"TooLow","TooHigh"),"WrongAnswer"),NOT(_xlfn.ISFORMULA('#_Sheet1'!E23)),IF(_xlfn.IFS(ISTEXT('#_Sheet1'!E23),FALSE,ISLOGICAL('#_Sheet1'!E23),FALSE,SUBSTITUTE(CELL("format",'#_Sheet1'!E23),"-","")=SUBSTITUTE(CELL("format",Sheet1!E23),"-",""),FALSE,CELL("format",'#_Sheet1'!E23)="G",FALSE,AND(CELL("format",'#_Sheet1'!E23)="F0",CELL("format",Sheet1!E23)="G"),FALSE,TRUE,IFERROR(IF(MATCH(CELL("format",'#_Sheet1'!E23),FormatCodesSFX!$A$4:$A$53,0)&gt;0,TRUE),FALSE),TRUE,TRUE),"FormatMsg","PerfectMsg"),_xlfn.IFS(ISTEXT('#_Sheet1'!E23),FALSE,ISLOGICAL('#_Sheet1'!E23),FALSE,SUBSTITUTE(CELL("format",'#_Sheet1'!E23),"-","")=SUBSTITUTE(CELL("format",Sheet1!E23),"-",""),FALSE,CELL("format",'#_Sheet1'!E23)="G",FALSE,AND(CELL("format",'#_Sheet1'!E23)="F0",CELL("format",Sheet1!E23)="G"),FALSE,TRUE,IFERROR(IF(MATCH(CELL("format",'#_Sheet1'!E23),FormatCodesSFX!$A$4:$A$53,0)&gt;0,TRUE),FALSE),TRUE,TRUE),"FormatMsg",TRUE,"PerfectMsg")</f>
        <v/>
      </c>
      <c r="F23" s="36" t="str">
        <f ca="1">_xlfn.IFS(ISBLANK(Sheet1!F23),"",IF(NOT(ISNA('#_Sheet1'!F23)),IF(ISNA(Sheet1!F23),TRUE,FALSE),FALSE),"StuNAMsg",IF(AND(ISNA('#_Sheet1'!F23),ISNA(Sheet1!F23)),TRUE,FALSE),"PerfectMsg",IF(NOT(ISERROR('#_Sheet1'!F23)),IF(ISERROR(Sheet1!F23),TRUE,FALSE),FALSE),"StuErrorMsg",IF(TYPE('#_Sheet1'!F23)&lt;&gt;TYPE(Sheet1!F23),TRUE,FALSE),"WrongTypeMsg",IF(ISNUMBER('#_Sheet1'!F23),IF(ABS('#_Sheet1'!F23-Sheet1!F23)&gt;0.00001,TRUE,FALSE),IF('#_Sheet1'!F23&lt;&gt;Sheet1!F23,TRUE,FALSE)),IF(ISNUMBER('#_Sheet1'!F23),IF('#_Sheet1'!F23&gt;Sheet1!F23,"TooLow","TooHigh"),"WrongAnswer"),NOT(_xlfn.ISFORMULA('#_Sheet1'!F23)),IF(_xlfn.IFS(ISTEXT('#_Sheet1'!F23),FALSE,ISLOGICAL('#_Sheet1'!F23),FALSE,SUBSTITUTE(CELL("format",'#_Sheet1'!F23),"-","")=SUBSTITUTE(CELL("format",Sheet1!F23),"-",""),FALSE,CELL("format",'#_Sheet1'!F23)="G",FALSE,AND(CELL("format",'#_Sheet1'!F23)="F0",CELL("format",Sheet1!F23)="G"),FALSE,TRUE,IFERROR(IF(MATCH(CELL("format",'#_Sheet1'!F23),FormatCodesSFX!$A$4:$A$53,0)&gt;0,TRUE),FALSE),TRUE,TRUE),"FormatMsg","PerfectMsg"),_xlfn.IFS(ISTEXT('#_Sheet1'!F23),FALSE,ISLOGICAL('#_Sheet1'!F23),FALSE,SUBSTITUTE(CELL("format",'#_Sheet1'!F23),"-","")=SUBSTITUTE(CELL("format",Sheet1!F23),"-",""),FALSE,CELL("format",'#_Sheet1'!F23)="G",FALSE,AND(CELL("format",'#_Sheet1'!F23)="F0",CELL("format",Sheet1!F23)="G"),FALSE,TRUE,IFERROR(IF(MATCH(CELL("format",'#_Sheet1'!F23),FormatCodesSFX!$A$4:$A$53,0)&gt;0,TRUE),FALSE),TRUE,TRUE),"FormatMsg",TRUE,"PerfectMsg")</f>
        <v/>
      </c>
      <c r="G23" s="44" t="str">
        <f ca="1">_xlfn.IFS(ISBLANK(Sheet1!G23),"",IF(NOT(ISNA('#_Sheet1'!G23)),IF(ISNA(Sheet1!G23),TRUE,FALSE),FALSE),"StuNAMsg",IF(AND(ISNA('#_Sheet1'!G23),ISNA(Sheet1!G23)),TRUE,FALSE),"PerfectMsg",IF(NOT(ISERROR('#_Sheet1'!G23)),IF(ISERROR(Sheet1!G23),TRUE,FALSE),FALSE),"StuErrorMsg",IF(TYPE('#_Sheet1'!G23)&lt;&gt;TYPE(Sheet1!G23),TRUE,FALSE),"WrongTypeMsg",IF(ISNUMBER('#_Sheet1'!G23),IF(ABS('#_Sheet1'!G23-Sheet1!G23)&gt;0.00001,TRUE,FALSE),IF('#_Sheet1'!G23&lt;&gt;Sheet1!G23,TRUE,FALSE)),IF(ISNUMBER('#_Sheet1'!G23),IF('#_Sheet1'!G23&gt;Sheet1!G23,"TooLow","TooHigh"),"WrongAnswer"),NOT(_xlfn.ISFORMULA('#_Sheet1'!G23)),IF(_xlfn.IFS(ISTEXT('#_Sheet1'!G23),FALSE,ISLOGICAL('#_Sheet1'!G23),FALSE,SUBSTITUTE(CELL("format",'#_Sheet1'!G23),"-","")=SUBSTITUTE(CELL("format",Sheet1!G23),"-",""),FALSE,CELL("format",'#_Sheet1'!G23)="G",FALSE,AND(CELL("format",'#_Sheet1'!G23)="F0",CELL("format",Sheet1!G23)="G"),FALSE,TRUE,IFERROR(IF(MATCH(CELL("format",'#_Sheet1'!G23),FormatCodesSFX!$A$4:$A$53,0)&gt;0,TRUE),FALSE),TRUE,TRUE),"FormatMsg","PerfectMsg"),_xlfn.IFS(ISTEXT('#_Sheet1'!G23),FALSE,ISLOGICAL('#_Sheet1'!G23),FALSE,SUBSTITUTE(CELL("format",'#_Sheet1'!G23),"-","")=SUBSTITUTE(CELL("format",Sheet1!G23),"-",""),FALSE,CELL("format",'#_Sheet1'!G23)="G",FALSE,AND(CELL("format",'#_Sheet1'!G23)="F0",CELL("format",Sheet1!G23)="G"),FALSE,TRUE,IFERROR(IF(MATCH(CELL("format",'#_Sheet1'!G23),FormatCodesSFX!$A$4:$A$53,0)&gt;0,TRUE),FALSE),TRUE,TRUE),"FormatMsg",TRUE,"PerfectMsg")</f>
        <v/>
      </c>
      <c r="H23" s="45" t="str">
        <f ca="1">_xlfn.IFS(ISBLANK(Sheet1!H23),"",IF(NOT(ISNA('#_Sheet1'!H23)),IF(ISNA(Sheet1!H23),TRUE,FALSE),FALSE),"StuNAMsg",IF(AND(ISNA('#_Sheet1'!H23),ISNA(Sheet1!H23)),TRUE,FALSE),"PerfectMsg",IF(NOT(ISERROR('#_Sheet1'!H23)),IF(ISERROR(Sheet1!H23),TRUE,FALSE),FALSE),"StuErrorMsg",IF(TYPE('#_Sheet1'!H23)&lt;&gt;TYPE(Sheet1!H23),TRUE,FALSE),"WrongTypeMsg",IF(ISNUMBER('#_Sheet1'!H23),IF(ABS('#_Sheet1'!H23-Sheet1!H23)&gt;0.00001,TRUE,FALSE),IF('#_Sheet1'!H23&lt;&gt;Sheet1!H23,TRUE,FALSE)),IF(ISNUMBER('#_Sheet1'!H23),IF('#_Sheet1'!H23&gt;Sheet1!H23,"TooLow","TooHigh"),"WrongAnswer"),NOT(_xlfn.ISFORMULA('#_Sheet1'!H23)),IF(_xlfn.IFS(ISTEXT('#_Sheet1'!H23),FALSE,ISLOGICAL('#_Sheet1'!H23),FALSE,SUBSTITUTE(CELL("format",'#_Sheet1'!H23),"-","")=SUBSTITUTE(CELL("format",Sheet1!H23),"-",""),FALSE,CELL("format",'#_Sheet1'!H23)="G",FALSE,AND(CELL("format",'#_Sheet1'!H23)="F0",CELL("format",Sheet1!H23)="G"),FALSE,TRUE,IFERROR(IF(MATCH(CELL("format",'#_Sheet1'!H23),FormatCodesSFX!$A$4:$A$53,0)&gt;0,TRUE),FALSE),TRUE,TRUE),"FormatMsg","PerfectMsg"),_xlfn.IFS(ISTEXT('#_Sheet1'!H23),FALSE,ISLOGICAL('#_Sheet1'!H23),FALSE,SUBSTITUTE(CELL("format",'#_Sheet1'!H23),"-","")=SUBSTITUTE(CELL("format",Sheet1!H23),"-",""),FALSE,CELL("format",'#_Sheet1'!H23)="G",FALSE,AND(CELL("format",'#_Sheet1'!H23)="F0",CELL("format",Sheet1!H23)="G"),FALSE,TRUE,IFERROR(IF(MATCH(CELL("format",'#_Sheet1'!H23),FormatCodesSFX!$A$4:$A$53,0)&gt;0,TRUE),FALSE),TRUE,TRUE),"FormatMsg",TRUE,"PerfectMsg")</f>
        <v/>
      </c>
    </row>
    <row r="24" spans="1:8" x14ac:dyDescent="0.15">
      <c r="A24" s="36" t="str">
        <f ca="1">_xlfn.IFS(ISBLANK(Sheet1!A24),"",IF(NOT(ISNA('#_Sheet1'!A24)),IF(ISNA(Sheet1!A24),TRUE,FALSE),FALSE),"StuNAMsg",IF(AND(ISNA('#_Sheet1'!A24),ISNA(Sheet1!A24)),TRUE,FALSE),"PerfectMsg",IF(NOT(ISERROR('#_Sheet1'!A24)),IF(ISERROR(Sheet1!A24),TRUE,FALSE),FALSE),"StuErrorMsg",IF(TYPE('#_Sheet1'!A24)&lt;&gt;TYPE(Sheet1!A24),TRUE,FALSE),"WrongTypeMsg",IF(ISNUMBER('#_Sheet1'!A24),IF(ABS('#_Sheet1'!A24-Sheet1!A24)&gt;0.00001,TRUE,FALSE),IF('#_Sheet1'!A24&lt;&gt;Sheet1!A24,TRUE,FALSE)),IF(ISNUMBER('#_Sheet1'!A24),IF('#_Sheet1'!A24&gt;Sheet1!A24,"TooLow","TooHigh"),"WrongAnswer"),NOT(_xlfn.ISFORMULA('#_Sheet1'!A24)),IF(_xlfn.IFS(ISTEXT('#_Sheet1'!A24),FALSE,ISLOGICAL('#_Sheet1'!A24),FALSE,SUBSTITUTE(CELL("format",'#_Sheet1'!A24),"-","")=SUBSTITUTE(CELL("format",Sheet1!A24),"-",""),FALSE,CELL("format",'#_Sheet1'!A24)="G",FALSE,AND(CELL("format",'#_Sheet1'!A24)="F0",CELL("format",Sheet1!A24)="G"),FALSE,TRUE,IFERROR(IF(MATCH(CELL("format",'#_Sheet1'!A24),FormatCodesSFX!$A$4:$A$53,0)&gt;0,TRUE),FALSE),TRUE,TRUE),"FormatMsg","PerfectMsg"),_xlfn.IFS(ISTEXT('#_Sheet1'!A24),FALSE,ISLOGICAL('#_Sheet1'!A24),FALSE,SUBSTITUTE(CELL("format",'#_Sheet1'!A24),"-","")=SUBSTITUTE(CELL("format",Sheet1!A24),"-",""),FALSE,CELL("format",'#_Sheet1'!A24)="G",FALSE,AND(CELL("format",'#_Sheet1'!A24)="F0",CELL("format",Sheet1!A24)="G"),FALSE,TRUE,IFERROR(IF(MATCH(CELL("format",'#_Sheet1'!A24),FormatCodesSFX!$A$4:$A$53,0)&gt;0,TRUE),FALSE),TRUE,TRUE),"FormatMsg",TRUE,"PerfectMsg")</f>
        <v/>
      </c>
      <c r="B24" s="36" t="str">
        <f ca="1">_xlfn.IFS(ISBLANK(Sheet1!B24),"",IF(NOT(ISNA('#_Sheet1'!B24)),IF(ISNA(Sheet1!B24),TRUE,FALSE),FALSE),"StuNAMsg",IF(AND(ISNA('#_Sheet1'!B24),ISNA(Sheet1!B24)),TRUE,FALSE),"PerfectMsg",IF(NOT(ISERROR('#_Sheet1'!B24)),IF(ISERROR(Sheet1!B24),TRUE,FALSE),FALSE),"StuErrorMsg",IF(TYPE('#_Sheet1'!B24)&lt;&gt;TYPE(Sheet1!B24),TRUE,FALSE),"WrongTypeMsg",IF(ISNUMBER('#_Sheet1'!B24),IF(ABS('#_Sheet1'!B24-Sheet1!B24)&gt;0.00001,TRUE,FALSE),IF('#_Sheet1'!B24&lt;&gt;Sheet1!B24,TRUE,FALSE)),IF(ISNUMBER('#_Sheet1'!B24),IF('#_Sheet1'!B24&gt;Sheet1!B24,"TooLow","TooHigh"),"WrongAnswer"),NOT(_xlfn.ISFORMULA('#_Sheet1'!B24)),IF(_xlfn.IFS(ISTEXT('#_Sheet1'!B24),FALSE,ISLOGICAL('#_Sheet1'!B24),FALSE,SUBSTITUTE(CELL("format",'#_Sheet1'!B24),"-","")=SUBSTITUTE(CELL("format",Sheet1!B24),"-",""),FALSE,CELL("format",'#_Sheet1'!B24)="G",FALSE,AND(CELL("format",'#_Sheet1'!B24)="F0",CELL("format",Sheet1!B24)="G"),FALSE,TRUE,IFERROR(IF(MATCH(CELL("format",'#_Sheet1'!B24),FormatCodesSFX!$A$4:$A$53,0)&gt;0,TRUE),FALSE),TRUE,TRUE),"FormatMsg","PerfectMsg"),_xlfn.IFS(ISTEXT('#_Sheet1'!B24),FALSE,ISLOGICAL('#_Sheet1'!B24),FALSE,SUBSTITUTE(CELL("format",'#_Sheet1'!B24),"-","")=SUBSTITUTE(CELL("format",Sheet1!B24),"-",""),FALSE,CELL("format",'#_Sheet1'!B24)="G",FALSE,AND(CELL("format",'#_Sheet1'!B24)="F0",CELL("format",Sheet1!B24)="G"),FALSE,TRUE,IFERROR(IF(MATCH(CELL("format",'#_Sheet1'!B24),FormatCodesSFX!$A$4:$A$53,0)&gt;0,TRUE),FALSE),TRUE,TRUE),"FormatMsg",TRUE,"PerfectMsg")</f>
        <v/>
      </c>
      <c r="C24" s="36" t="str">
        <f ca="1">_xlfn.IFS(ISBLANK(Sheet1!C24),"",IF(NOT(ISNA('#_Sheet1'!C24)),IF(ISNA(Sheet1!C24),TRUE,FALSE),FALSE),"StuNAMsg",IF(AND(ISNA('#_Sheet1'!C24),ISNA(Sheet1!C24)),TRUE,FALSE),"PerfectMsg",IF(NOT(ISERROR('#_Sheet1'!C24)),IF(ISERROR(Sheet1!C24),TRUE,FALSE),FALSE),"StuErrorMsg",IF(TYPE('#_Sheet1'!C24)&lt;&gt;TYPE(Sheet1!C24),TRUE,FALSE),"WrongTypeMsg",IF(ISNUMBER('#_Sheet1'!C24),IF(ABS('#_Sheet1'!C24-Sheet1!C24)&gt;0.00001,TRUE,FALSE),IF('#_Sheet1'!C24&lt;&gt;Sheet1!C24,TRUE,FALSE)),IF(ISNUMBER('#_Sheet1'!C24),IF('#_Sheet1'!C24&gt;Sheet1!C24,"TooLow","TooHigh"),"WrongAnswer"),NOT(_xlfn.ISFORMULA('#_Sheet1'!C24)),IF(_xlfn.IFS(ISTEXT('#_Sheet1'!C24),FALSE,ISLOGICAL('#_Sheet1'!C24),FALSE,SUBSTITUTE(CELL("format",'#_Sheet1'!C24),"-","")=SUBSTITUTE(CELL("format",Sheet1!C24),"-",""),FALSE,CELL("format",'#_Sheet1'!C24)="G",FALSE,AND(CELL("format",'#_Sheet1'!C24)="F0",CELL("format",Sheet1!C24)="G"),FALSE,TRUE,IFERROR(IF(MATCH(CELL("format",'#_Sheet1'!C24),FormatCodesSFX!$A$4:$A$53,0)&gt;0,TRUE),FALSE),TRUE,TRUE),"FormatMsg","PerfectMsg"),_xlfn.IFS(ISTEXT('#_Sheet1'!C24),FALSE,ISLOGICAL('#_Sheet1'!C24),FALSE,SUBSTITUTE(CELL("format",'#_Sheet1'!C24),"-","")=SUBSTITUTE(CELL("format",Sheet1!C24),"-",""),FALSE,CELL("format",'#_Sheet1'!C24)="G",FALSE,AND(CELL("format",'#_Sheet1'!C24)="F0",CELL("format",Sheet1!C24)="G"),FALSE,TRUE,IFERROR(IF(MATCH(CELL("format",'#_Sheet1'!C24),FormatCodesSFX!$A$4:$A$53,0)&gt;0,TRUE),FALSE),TRUE,TRUE),"FormatMsg",TRUE,"PerfectMsg")</f>
        <v/>
      </c>
      <c r="D24" s="36" t="str">
        <f ca="1">_xlfn.IFS(ISBLANK(Sheet1!D24),"",IF(NOT(ISNA('#_Sheet1'!D24)),IF(ISNA(Sheet1!D24),TRUE,FALSE),FALSE),"StuNAMsg",IF(AND(ISNA('#_Sheet1'!D24),ISNA(Sheet1!D24)),TRUE,FALSE),"PerfectMsg",IF(NOT(ISERROR('#_Sheet1'!D24)),IF(ISERROR(Sheet1!D24),TRUE,FALSE),FALSE),"StuErrorMsg",IF(TYPE('#_Sheet1'!D24)&lt;&gt;TYPE(Sheet1!D24),TRUE,FALSE),"WrongTypeMsg",IF(ISNUMBER('#_Sheet1'!D24),IF(ABS('#_Sheet1'!D24-Sheet1!D24)&gt;0.00001,TRUE,FALSE),IF('#_Sheet1'!D24&lt;&gt;Sheet1!D24,TRUE,FALSE)),IF(ISNUMBER('#_Sheet1'!D24),IF('#_Sheet1'!D24&gt;Sheet1!D24,"TooLow","TooHigh"),"WrongAnswer"),NOT(_xlfn.ISFORMULA('#_Sheet1'!D24)),IF(_xlfn.IFS(ISTEXT('#_Sheet1'!D24),FALSE,ISLOGICAL('#_Sheet1'!D24),FALSE,SUBSTITUTE(CELL("format",'#_Sheet1'!D24),"-","")=SUBSTITUTE(CELL("format",Sheet1!D24),"-",""),FALSE,CELL("format",'#_Sheet1'!D24)="G",FALSE,AND(CELL("format",'#_Sheet1'!D24)="F0",CELL("format",Sheet1!D24)="G"),FALSE,TRUE,IFERROR(IF(MATCH(CELL("format",'#_Sheet1'!D24),FormatCodesSFX!$A$4:$A$53,0)&gt;0,TRUE),FALSE),TRUE,TRUE),"FormatMsg","PerfectMsg"),_xlfn.IFS(ISTEXT('#_Sheet1'!D24),FALSE,ISLOGICAL('#_Sheet1'!D24),FALSE,SUBSTITUTE(CELL("format",'#_Sheet1'!D24),"-","")=SUBSTITUTE(CELL("format",Sheet1!D24),"-",""),FALSE,CELL("format",'#_Sheet1'!D24)="G",FALSE,AND(CELL("format",'#_Sheet1'!D24)="F0",CELL("format",Sheet1!D24)="G"),FALSE,TRUE,IFERROR(IF(MATCH(CELL("format",'#_Sheet1'!D24),FormatCodesSFX!$A$4:$A$53,0)&gt;0,TRUE),FALSE),TRUE,TRUE),"FormatMsg",TRUE,"PerfectMsg")</f>
        <v/>
      </c>
      <c r="E24" s="36" t="str">
        <f ca="1">_xlfn.IFS(ISBLANK(Sheet1!E24),"",IF(NOT(ISNA('#_Sheet1'!E24)),IF(ISNA(Sheet1!E24),TRUE,FALSE),FALSE),"StuNAMsg",IF(AND(ISNA('#_Sheet1'!E24),ISNA(Sheet1!E24)),TRUE,FALSE),"PerfectMsg",IF(NOT(ISERROR('#_Sheet1'!E24)),IF(ISERROR(Sheet1!E24),TRUE,FALSE),FALSE),"StuErrorMsg",IF(TYPE('#_Sheet1'!E24)&lt;&gt;TYPE(Sheet1!E24),TRUE,FALSE),"WrongTypeMsg",IF(ISNUMBER('#_Sheet1'!E24),IF(ABS('#_Sheet1'!E24-Sheet1!E24)&gt;0.00001,TRUE,FALSE),IF('#_Sheet1'!E24&lt;&gt;Sheet1!E24,TRUE,FALSE)),IF(ISNUMBER('#_Sheet1'!E24),IF('#_Sheet1'!E24&gt;Sheet1!E24,"TooLow","TooHigh"),"WrongAnswer"),NOT(_xlfn.ISFORMULA('#_Sheet1'!E24)),IF(_xlfn.IFS(ISTEXT('#_Sheet1'!E24),FALSE,ISLOGICAL('#_Sheet1'!E24),FALSE,SUBSTITUTE(CELL("format",'#_Sheet1'!E24),"-","")=SUBSTITUTE(CELL("format",Sheet1!E24),"-",""),FALSE,CELL("format",'#_Sheet1'!E24)="G",FALSE,AND(CELL("format",'#_Sheet1'!E24)="F0",CELL("format",Sheet1!E24)="G"),FALSE,TRUE,IFERROR(IF(MATCH(CELL("format",'#_Sheet1'!E24),FormatCodesSFX!$A$4:$A$53,0)&gt;0,TRUE),FALSE),TRUE,TRUE),"FormatMsg","PerfectMsg"),_xlfn.IFS(ISTEXT('#_Sheet1'!E24),FALSE,ISLOGICAL('#_Sheet1'!E24),FALSE,SUBSTITUTE(CELL("format",'#_Sheet1'!E24),"-","")=SUBSTITUTE(CELL("format",Sheet1!E24),"-",""),FALSE,CELL("format",'#_Sheet1'!E24)="G",FALSE,AND(CELL("format",'#_Sheet1'!E24)="F0",CELL("format",Sheet1!E24)="G"),FALSE,TRUE,IFERROR(IF(MATCH(CELL("format",'#_Sheet1'!E24),FormatCodesSFX!$A$4:$A$53,0)&gt;0,TRUE),FALSE),TRUE,TRUE),"FormatMsg",TRUE,"PerfectMsg")</f>
        <v/>
      </c>
      <c r="F24" s="36" t="str">
        <f ca="1">_xlfn.IFS(ISBLANK(Sheet1!F24),"",IF(NOT(ISNA('#_Sheet1'!F24)),IF(ISNA(Sheet1!F24),TRUE,FALSE),FALSE),"StuNAMsg",IF(AND(ISNA('#_Sheet1'!F24),ISNA(Sheet1!F24)),TRUE,FALSE),"PerfectMsg",IF(NOT(ISERROR('#_Sheet1'!F24)),IF(ISERROR(Sheet1!F24),TRUE,FALSE),FALSE),"StuErrorMsg",IF(TYPE('#_Sheet1'!F24)&lt;&gt;TYPE(Sheet1!F24),TRUE,FALSE),"WrongTypeMsg",IF(ISNUMBER('#_Sheet1'!F24),IF(ABS('#_Sheet1'!F24-Sheet1!F24)&gt;0.00001,TRUE,FALSE),IF('#_Sheet1'!F24&lt;&gt;Sheet1!F24,TRUE,FALSE)),IF(ISNUMBER('#_Sheet1'!F24),IF('#_Sheet1'!F24&gt;Sheet1!F24,"TooLow","TooHigh"),"WrongAnswer"),NOT(_xlfn.ISFORMULA('#_Sheet1'!F24)),IF(_xlfn.IFS(ISTEXT('#_Sheet1'!F24),FALSE,ISLOGICAL('#_Sheet1'!F24),FALSE,SUBSTITUTE(CELL("format",'#_Sheet1'!F24),"-","")=SUBSTITUTE(CELL("format",Sheet1!F24),"-",""),FALSE,CELL("format",'#_Sheet1'!F24)="G",FALSE,AND(CELL("format",'#_Sheet1'!F24)="F0",CELL("format",Sheet1!F24)="G"),FALSE,TRUE,IFERROR(IF(MATCH(CELL("format",'#_Sheet1'!F24),FormatCodesSFX!$A$4:$A$53,0)&gt;0,TRUE),FALSE),TRUE,TRUE),"FormatMsg","PerfectMsg"),_xlfn.IFS(ISTEXT('#_Sheet1'!F24),FALSE,ISLOGICAL('#_Sheet1'!F24),FALSE,SUBSTITUTE(CELL("format",'#_Sheet1'!F24),"-","")=SUBSTITUTE(CELL("format",Sheet1!F24),"-",""),FALSE,CELL("format",'#_Sheet1'!F24)="G",FALSE,AND(CELL("format",'#_Sheet1'!F24)="F0",CELL("format",Sheet1!F24)="G"),FALSE,TRUE,IFERROR(IF(MATCH(CELL("format",'#_Sheet1'!F24),FormatCodesSFX!$A$4:$A$53,0)&gt;0,TRUE),FALSE),TRUE,TRUE),"FormatMsg",TRUE,"PerfectMsg")</f>
        <v/>
      </c>
      <c r="G24" s="44" t="str">
        <f ca="1">_xlfn.IFS(ISBLANK(Sheet1!G24),"",IF(NOT(ISNA('#_Sheet1'!G24)),IF(ISNA(Sheet1!G24),TRUE,FALSE),FALSE),"StuNAMsg",IF(AND(ISNA('#_Sheet1'!G24),ISNA(Sheet1!G24)),TRUE,FALSE),"PerfectMsg",IF(NOT(ISERROR('#_Sheet1'!G24)),IF(ISERROR(Sheet1!G24),TRUE,FALSE),FALSE),"StuErrorMsg",IF(TYPE('#_Sheet1'!G24)&lt;&gt;TYPE(Sheet1!G24),TRUE,FALSE),"WrongTypeMsg",IF(ISNUMBER('#_Sheet1'!G24),IF(ABS('#_Sheet1'!G24-Sheet1!G24)&gt;0.00001,TRUE,FALSE),IF('#_Sheet1'!G24&lt;&gt;Sheet1!G24,TRUE,FALSE)),IF(ISNUMBER('#_Sheet1'!G24),IF('#_Sheet1'!G24&gt;Sheet1!G24,"TooLow","TooHigh"),"WrongAnswer"),NOT(_xlfn.ISFORMULA('#_Sheet1'!G24)),IF(_xlfn.IFS(ISTEXT('#_Sheet1'!G24),FALSE,ISLOGICAL('#_Sheet1'!G24),FALSE,SUBSTITUTE(CELL("format",'#_Sheet1'!G24),"-","")=SUBSTITUTE(CELL("format",Sheet1!G24),"-",""),FALSE,CELL("format",'#_Sheet1'!G24)="G",FALSE,AND(CELL("format",'#_Sheet1'!G24)="F0",CELL("format",Sheet1!G24)="G"),FALSE,TRUE,IFERROR(IF(MATCH(CELL("format",'#_Sheet1'!G24),FormatCodesSFX!$A$4:$A$53,0)&gt;0,TRUE),FALSE),TRUE,TRUE),"FormatMsg","PerfectMsg"),_xlfn.IFS(ISTEXT('#_Sheet1'!G24),FALSE,ISLOGICAL('#_Sheet1'!G24),FALSE,SUBSTITUTE(CELL("format",'#_Sheet1'!G24),"-","")=SUBSTITUTE(CELL("format",Sheet1!G24),"-",""),FALSE,CELL("format",'#_Sheet1'!G24)="G",FALSE,AND(CELL("format",'#_Sheet1'!G24)="F0",CELL("format",Sheet1!G24)="G"),FALSE,TRUE,IFERROR(IF(MATCH(CELL("format",'#_Sheet1'!G24),FormatCodesSFX!$A$4:$A$53,0)&gt;0,TRUE),FALSE),TRUE,TRUE),"FormatMsg",TRUE,"PerfectMsg")</f>
        <v/>
      </c>
      <c r="H24" s="45" t="str">
        <f ca="1">_xlfn.IFS(ISBLANK(Sheet1!H24),"",IF(NOT(ISNA('#_Sheet1'!H24)),IF(ISNA(Sheet1!H24),TRUE,FALSE),FALSE),"StuNAMsg",IF(AND(ISNA('#_Sheet1'!H24),ISNA(Sheet1!H24)),TRUE,FALSE),"PerfectMsg",IF(NOT(ISERROR('#_Sheet1'!H24)),IF(ISERROR(Sheet1!H24),TRUE,FALSE),FALSE),"StuErrorMsg",IF(TYPE('#_Sheet1'!H24)&lt;&gt;TYPE(Sheet1!H24),TRUE,FALSE),"WrongTypeMsg",IF(ISNUMBER('#_Sheet1'!H24),IF(ABS('#_Sheet1'!H24-Sheet1!H24)&gt;0.00001,TRUE,FALSE),IF('#_Sheet1'!H24&lt;&gt;Sheet1!H24,TRUE,FALSE)),IF(ISNUMBER('#_Sheet1'!H24),IF('#_Sheet1'!H24&gt;Sheet1!H24,"TooLow","TooHigh"),"WrongAnswer"),NOT(_xlfn.ISFORMULA('#_Sheet1'!H24)),IF(_xlfn.IFS(ISTEXT('#_Sheet1'!H24),FALSE,ISLOGICAL('#_Sheet1'!H24),FALSE,SUBSTITUTE(CELL("format",'#_Sheet1'!H24),"-","")=SUBSTITUTE(CELL("format",Sheet1!H24),"-",""),FALSE,CELL("format",'#_Sheet1'!H24)="G",FALSE,AND(CELL("format",'#_Sheet1'!H24)="F0",CELL("format",Sheet1!H24)="G"),FALSE,TRUE,IFERROR(IF(MATCH(CELL("format",'#_Sheet1'!H24),FormatCodesSFX!$A$4:$A$53,0)&gt;0,TRUE),FALSE),TRUE,TRUE),"FormatMsg","PerfectMsg"),_xlfn.IFS(ISTEXT('#_Sheet1'!H24),FALSE,ISLOGICAL('#_Sheet1'!H24),FALSE,SUBSTITUTE(CELL("format",'#_Sheet1'!H24),"-","")=SUBSTITUTE(CELL("format",Sheet1!H24),"-",""),FALSE,CELL("format",'#_Sheet1'!H24)="G",FALSE,AND(CELL("format",'#_Sheet1'!H24)="F0",CELL("format",Sheet1!H24)="G"),FALSE,TRUE,IFERROR(IF(MATCH(CELL("format",'#_Sheet1'!H24),FormatCodesSFX!$A$4:$A$53,0)&gt;0,TRUE),FALSE),TRUE,TRUE),"FormatMsg",TRUE,"PerfectMsg")</f>
        <v/>
      </c>
    </row>
    <row r="25" spans="1:8" x14ac:dyDescent="0.15">
      <c r="A25" s="36" t="str">
        <f ca="1">_xlfn.IFS(ISBLANK(Sheet1!A25),"",IF(NOT(ISNA('#_Sheet1'!A25)),IF(ISNA(Sheet1!A25),TRUE,FALSE),FALSE),"StuNAMsg",IF(AND(ISNA('#_Sheet1'!A25),ISNA(Sheet1!A25)),TRUE,FALSE),"PerfectMsg",IF(NOT(ISERROR('#_Sheet1'!A25)),IF(ISERROR(Sheet1!A25),TRUE,FALSE),FALSE),"StuErrorMsg",IF(TYPE('#_Sheet1'!A25)&lt;&gt;TYPE(Sheet1!A25),TRUE,FALSE),"WrongTypeMsg",IF(ISNUMBER('#_Sheet1'!A25),IF(ABS('#_Sheet1'!A25-Sheet1!A25)&gt;0.00001,TRUE,FALSE),IF('#_Sheet1'!A25&lt;&gt;Sheet1!A25,TRUE,FALSE)),IF(ISNUMBER('#_Sheet1'!A25),IF('#_Sheet1'!A25&gt;Sheet1!A25,"TooLow","TooHigh"),"WrongAnswer"),NOT(_xlfn.ISFORMULA('#_Sheet1'!A25)),IF(_xlfn.IFS(ISTEXT('#_Sheet1'!A25),FALSE,ISLOGICAL('#_Sheet1'!A25),FALSE,SUBSTITUTE(CELL("format",'#_Sheet1'!A25),"-","")=SUBSTITUTE(CELL("format",Sheet1!A25),"-",""),FALSE,CELL("format",'#_Sheet1'!A25)="G",FALSE,AND(CELL("format",'#_Sheet1'!A25)="F0",CELL("format",Sheet1!A25)="G"),FALSE,TRUE,IFERROR(IF(MATCH(CELL("format",'#_Sheet1'!A25),FormatCodesSFX!$A$4:$A$53,0)&gt;0,TRUE),FALSE),TRUE,TRUE),"FormatMsg","PerfectMsg"),_xlfn.IFS(ISTEXT('#_Sheet1'!A25),FALSE,ISLOGICAL('#_Sheet1'!A25),FALSE,SUBSTITUTE(CELL("format",'#_Sheet1'!A25),"-","")=SUBSTITUTE(CELL("format",Sheet1!A25),"-",""),FALSE,CELL("format",'#_Sheet1'!A25)="G",FALSE,AND(CELL("format",'#_Sheet1'!A25)="F0",CELL("format",Sheet1!A25)="G"),FALSE,TRUE,IFERROR(IF(MATCH(CELL("format",'#_Sheet1'!A25),FormatCodesSFX!$A$4:$A$53,0)&gt;0,TRUE),FALSE),TRUE,TRUE),"FormatMsg",TRUE,"PerfectMsg")</f>
        <v/>
      </c>
      <c r="B25" s="36" t="str">
        <f ca="1">_xlfn.IFS(ISBLANK(Sheet1!B25),"",IF(NOT(ISNA('#_Sheet1'!B25)),IF(ISNA(Sheet1!B25),TRUE,FALSE),FALSE),"StuNAMsg",IF(AND(ISNA('#_Sheet1'!B25),ISNA(Sheet1!B25)),TRUE,FALSE),"PerfectMsg",IF(NOT(ISERROR('#_Sheet1'!B25)),IF(ISERROR(Sheet1!B25),TRUE,FALSE),FALSE),"StuErrorMsg",IF(TYPE('#_Sheet1'!B25)&lt;&gt;TYPE(Sheet1!B25),TRUE,FALSE),"WrongTypeMsg",IF(ISNUMBER('#_Sheet1'!B25),IF(ABS('#_Sheet1'!B25-Sheet1!B25)&gt;0.00001,TRUE,FALSE),IF('#_Sheet1'!B25&lt;&gt;Sheet1!B25,TRUE,FALSE)),IF(ISNUMBER('#_Sheet1'!B25),IF('#_Sheet1'!B25&gt;Sheet1!B25,"TooLow","TooHigh"),"WrongAnswer"),NOT(_xlfn.ISFORMULA('#_Sheet1'!B25)),IF(_xlfn.IFS(ISTEXT('#_Sheet1'!B25),FALSE,ISLOGICAL('#_Sheet1'!B25),FALSE,SUBSTITUTE(CELL("format",'#_Sheet1'!B25),"-","")=SUBSTITUTE(CELL("format",Sheet1!B25),"-",""),FALSE,CELL("format",'#_Sheet1'!B25)="G",FALSE,AND(CELL("format",'#_Sheet1'!B25)="F0",CELL("format",Sheet1!B25)="G"),FALSE,TRUE,IFERROR(IF(MATCH(CELL("format",'#_Sheet1'!B25),FormatCodesSFX!$A$4:$A$53,0)&gt;0,TRUE),FALSE),TRUE,TRUE),"FormatMsg","PerfectMsg"),_xlfn.IFS(ISTEXT('#_Sheet1'!B25),FALSE,ISLOGICAL('#_Sheet1'!B25),FALSE,SUBSTITUTE(CELL("format",'#_Sheet1'!B25),"-","")=SUBSTITUTE(CELL("format",Sheet1!B25),"-",""),FALSE,CELL("format",'#_Sheet1'!B25)="G",FALSE,AND(CELL("format",'#_Sheet1'!B25)="F0",CELL("format",Sheet1!B25)="G"),FALSE,TRUE,IFERROR(IF(MATCH(CELL("format",'#_Sheet1'!B25),FormatCodesSFX!$A$4:$A$53,0)&gt;0,TRUE),FALSE),TRUE,TRUE),"FormatMsg",TRUE,"PerfectMsg")</f>
        <v/>
      </c>
      <c r="C25" s="36" t="str">
        <f ca="1">_xlfn.IFS(ISBLANK(Sheet1!C25),"",IF(NOT(ISNA('#_Sheet1'!C25)),IF(ISNA(Sheet1!C25),TRUE,FALSE),FALSE),"StuNAMsg",IF(AND(ISNA('#_Sheet1'!C25),ISNA(Sheet1!C25)),TRUE,FALSE),"PerfectMsg",IF(NOT(ISERROR('#_Sheet1'!C25)),IF(ISERROR(Sheet1!C25),TRUE,FALSE),FALSE),"StuErrorMsg",IF(TYPE('#_Sheet1'!C25)&lt;&gt;TYPE(Sheet1!C25),TRUE,FALSE),"WrongTypeMsg",IF(ISNUMBER('#_Sheet1'!C25),IF(ABS('#_Sheet1'!C25-Sheet1!C25)&gt;0.00001,TRUE,FALSE),IF('#_Sheet1'!C25&lt;&gt;Sheet1!C25,TRUE,FALSE)),IF(ISNUMBER('#_Sheet1'!C25),IF('#_Sheet1'!C25&gt;Sheet1!C25,"TooLow","TooHigh"),"WrongAnswer"),NOT(_xlfn.ISFORMULA('#_Sheet1'!C25)),IF(_xlfn.IFS(ISTEXT('#_Sheet1'!C25),FALSE,ISLOGICAL('#_Sheet1'!C25),FALSE,SUBSTITUTE(CELL("format",'#_Sheet1'!C25),"-","")=SUBSTITUTE(CELL("format",Sheet1!C25),"-",""),FALSE,CELL("format",'#_Sheet1'!C25)="G",FALSE,AND(CELL("format",'#_Sheet1'!C25)="F0",CELL("format",Sheet1!C25)="G"),FALSE,TRUE,IFERROR(IF(MATCH(CELL("format",'#_Sheet1'!C25),FormatCodesSFX!$A$4:$A$53,0)&gt;0,TRUE),FALSE),TRUE,TRUE),"FormatMsg","PerfectMsg"),_xlfn.IFS(ISTEXT('#_Sheet1'!C25),FALSE,ISLOGICAL('#_Sheet1'!C25),FALSE,SUBSTITUTE(CELL("format",'#_Sheet1'!C25),"-","")=SUBSTITUTE(CELL("format",Sheet1!C25),"-",""),FALSE,CELL("format",'#_Sheet1'!C25)="G",FALSE,AND(CELL("format",'#_Sheet1'!C25)="F0",CELL("format",Sheet1!C25)="G"),FALSE,TRUE,IFERROR(IF(MATCH(CELL("format",'#_Sheet1'!C25),FormatCodesSFX!$A$4:$A$53,0)&gt;0,TRUE),FALSE),TRUE,TRUE),"FormatMsg",TRUE,"PerfectMsg")</f>
        <v/>
      </c>
      <c r="D25" s="36" t="str">
        <f ca="1">_xlfn.IFS(ISBLANK(Sheet1!D25),"",IF(NOT(ISNA('#_Sheet1'!D25)),IF(ISNA(Sheet1!D25),TRUE,FALSE),FALSE),"StuNAMsg",IF(AND(ISNA('#_Sheet1'!D25),ISNA(Sheet1!D25)),TRUE,FALSE),"PerfectMsg",IF(NOT(ISERROR('#_Sheet1'!D25)),IF(ISERROR(Sheet1!D25),TRUE,FALSE),FALSE),"StuErrorMsg",IF(TYPE('#_Sheet1'!D25)&lt;&gt;TYPE(Sheet1!D25),TRUE,FALSE),"WrongTypeMsg",IF(ISNUMBER('#_Sheet1'!D25),IF(ABS('#_Sheet1'!D25-Sheet1!D25)&gt;0.00001,TRUE,FALSE),IF('#_Sheet1'!D25&lt;&gt;Sheet1!D25,TRUE,FALSE)),IF(ISNUMBER('#_Sheet1'!D25),IF('#_Sheet1'!D25&gt;Sheet1!D25,"TooLow","TooHigh"),"WrongAnswer"),NOT(_xlfn.ISFORMULA('#_Sheet1'!D25)),IF(_xlfn.IFS(ISTEXT('#_Sheet1'!D25),FALSE,ISLOGICAL('#_Sheet1'!D25),FALSE,SUBSTITUTE(CELL("format",'#_Sheet1'!D25),"-","")=SUBSTITUTE(CELL("format",Sheet1!D25),"-",""),FALSE,CELL("format",'#_Sheet1'!D25)="G",FALSE,AND(CELL("format",'#_Sheet1'!D25)="F0",CELL("format",Sheet1!D25)="G"),FALSE,TRUE,IFERROR(IF(MATCH(CELL("format",'#_Sheet1'!D25),FormatCodesSFX!$A$4:$A$53,0)&gt;0,TRUE),FALSE),TRUE,TRUE),"FormatMsg","PerfectMsg"),_xlfn.IFS(ISTEXT('#_Sheet1'!D25),FALSE,ISLOGICAL('#_Sheet1'!D25),FALSE,SUBSTITUTE(CELL("format",'#_Sheet1'!D25),"-","")=SUBSTITUTE(CELL("format",Sheet1!D25),"-",""),FALSE,CELL("format",'#_Sheet1'!D25)="G",FALSE,AND(CELL("format",'#_Sheet1'!D25)="F0",CELL("format",Sheet1!D25)="G"),FALSE,TRUE,IFERROR(IF(MATCH(CELL("format",'#_Sheet1'!D25),FormatCodesSFX!$A$4:$A$53,0)&gt;0,TRUE),FALSE),TRUE,TRUE),"FormatMsg",TRUE,"PerfectMsg")</f>
        <v/>
      </c>
      <c r="E25" s="36" t="str">
        <f ca="1">_xlfn.IFS(ISBLANK(Sheet1!E25),"",IF(NOT(ISNA('#_Sheet1'!E25)),IF(ISNA(Sheet1!E25),TRUE,FALSE),FALSE),"StuNAMsg",IF(AND(ISNA('#_Sheet1'!E25),ISNA(Sheet1!E25)),TRUE,FALSE),"PerfectMsg",IF(NOT(ISERROR('#_Sheet1'!E25)),IF(ISERROR(Sheet1!E25),TRUE,FALSE),FALSE),"StuErrorMsg",IF(TYPE('#_Sheet1'!E25)&lt;&gt;TYPE(Sheet1!E25),TRUE,FALSE),"WrongTypeMsg",IF(ISNUMBER('#_Sheet1'!E25),IF(ABS('#_Sheet1'!E25-Sheet1!E25)&gt;0.00001,TRUE,FALSE),IF('#_Sheet1'!E25&lt;&gt;Sheet1!E25,TRUE,FALSE)),IF(ISNUMBER('#_Sheet1'!E25),IF('#_Sheet1'!E25&gt;Sheet1!E25,"TooLow","TooHigh"),"WrongAnswer"),NOT(_xlfn.ISFORMULA('#_Sheet1'!E25)),IF(_xlfn.IFS(ISTEXT('#_Sheet1'!E25),FALSE,ISLOGICAL('#_Sheet1'!E25),FALSE,SUBSTITUTE(CELL("format",'#_Sheet1'!E25),"-","")=SUBSTITUTE(CELL("format",Sheet1!E25),"-",""),FALSE,CELL("format",'#_Sheet1'!E25)="G",FALSE,AND(CELL("format",'#_Sheet1'!E25)="F0",CELL("format",Sheet1!E25)="G"),FALSE,TRUE,IFERROR(IF(MATCH(CELL("format",'#_Sheet1'!E25),FormatCodesSFX!$A$4:$A$53,0)&gt;0,TRUE),FALSE),TRUE,TRUE),"FormatMsg","PerfectMsg"),_xlfn.IFS(ISTEXT('#_Sheet1'!E25),FALSE,ISLOGICAL('#_Sheet1'!E25),FALSE,SUBSTITUTE(CELL("format",'#_Sheet1'!E25),"-","")=SUBSTITUTE(CELL("format",Sheet1!E25),"-",""),FALSE,CELL("format",'#_Sheet1'!E25)="G",FALSE,AND(CELL("format",'#_Sheet1'!E25)="F0",CELL("format",Sheet1!E25)="G"),FALSE,TRUE,IFERROR(IF(MATCH(CELL("format",'#_Sheet1'!E25),FormatCodesSFX!$A$4:$A$53,0)&gt;0,TRUE),FALSE),TRUE,TRUE),"FormatMsg",TRUE,"PerfectMsg")</f>
        <v/>
      </c>
      <c r="F25" s="36" t="str">
        <f ca="1">_xlfn.IFS(ISBLANK(Sheet1!F25),"",IF(NOT(ISNA('#_Sheet1'!F25)),IF(ISNA(Sheet1!F25),TRUE,FALSE),FALSE),"StuNAMsg",IF(AND(ISNA('#_Sheet1'!F25),ISNA(Sheet1!F25)),TRUE,FALSE),"PerfectMsg",IF(NOT(ISERROR('#_Sheet1'!F25)),IF(ISERROR(Sheet1!F25),TRUE,FALSE),FALSE),"StuErrorMsg",IF(TYPE('#_Sheet1'!F25)&lt;&gt;TYPE(Sheet1!F25),TRUE,FALSE),"WrongTypeMsg",IF(ISNUMBER('#_Sheet1'!F25),IF(ABS('#_Sheet1'!F25-Sheet1!F25)&gt;0.00001,TRUE,FALSE),IF('#_Sheet1'!F25&lt;&gt;Sheet1!F25,TRUE,FALSE)),IF(ISNUMBER('#_Sheet1'!F25),IF('#_Sheet1'!F25&gt;Sheet1!F25,"TooLow","TooHigh"),"WrongAnswer"),NOT(_xlfn.ISFORMULA('#_Sheet1'!F25)),IF(_xlfn.IFS(ISTEXT('#_Sheet1'!F25),FALSE,ISLOGICAL('#_Sheet1'!F25),FALSE,SUBSTITUTE(CELL("format",'#_Sheet1'!F25),"-","")=SUBSTITUTE(CELL("format",Sheet1!F25),"-",""),FALSE,CELL("format",'#_Sheet1'!F25)="G",FALSE,AND(CELL("format",'#_Sheet1'!F25)="F0",CELL("format",Sheet1!F25)="G"),FALSE,TRUE,IFERROR(IF(MATCH(CELL("format",'#_Sheet1'!F25),FormatCodesSFX!$A$4:$A$53,0)&gt;0,TRUE),FALSE),TRUE,TRUE),"FormatMsg","PerfectMsg"),_xlfn.IFS(ISTEXT('#_Sheet1'!F25),FALSE,ISLOGICAL('#_Sheet1'!F25),FALSE,SUBSTITUTE(CELL("format",'#_Sheet1'!F25),"-","")=SUBSTITUTE(CELL("format",Sheet1!F25),"-",""),FALSE,CELL("format",'#_Sheet1'!F25)="G",FALSE,AND(CELL("format",'#_Sheet1'!F25)="F0",CELL("format",Sheet1!F25)="G"),FALSE,TRUE,IFERROR(IF(MATCH(CELL("format",'#_Sheet1'!F25),FormatCodesSFX!$A$4:$A$53,0)&gt;0,TRUE),FALSE),TRUE,TRUE),"FormatMsg",TRUE,"PerfectMsg")</f>
        <v/>
      </c>
      <c r="G25" s="44" t="str">
        <f ca="1">_xlfn.IFS(ISBLANK(Sheet1!G25),"",IF(NOT(ISNA('#_Sheet1'!G25)),IF(ISNA(Sheet1!G25),TRUE,FALSE),FALSE),"StuNAMsg",IF(AND(ISNA('#_Sheet1'!G25),ISNA(Sheet1!G25)),TRUE,FALSE),"PerfectMsg",IF(NOT(ISERROR('#_Sheet1'!G25)),IF(ISERROR(Sheet1!G25),TRUE,FALSE),FALSE),"StuErrorMsg",IF(TYPE('#_Sheet1'!G25)&lt;&gt;TYPE(Sheet1!G25),TRUE,FALSE),"WrongTypeMsg",IF(ISNUMBER('#_Sheet1'!G25),IF(ABS('#_Sheet1'!G25-Sheet1!G25)&gt;0.00001,TRUE,FALSE),IF('#_Sheet1'!G25&lt;&gt;Sheet1!G25,TRUE,FALSE)),IF(ISNUMBER('#_Sheet1'!G25),IF('#_Sheet1'!G25&gt;Sheet1!G25,"TooLow","TooHigh"),"WrongAnswer"),NOT(_xlfn.ISFORMULA('#_Sheet1'!G25)),IF(_xlfn.IFS(ISTEXT('#_Sheet1'!G25),FALSE,ISLOGICAL('#_Sheet1'!G25),FALSE,SUBSTITUTE(CELL("format",'#_Sheet1'!G25),"-","")=SUBSTITUTE(CELL("format",Sheet1!G25),"-",""),FALSE,CELL("format",'#_Sheet1'!G25)="G",FALSE,AND(CELL("format",'#_Sheet1'!G25)="F0",CELL("format",Sheet1!G25)="G"),FALSE,TRUE,IFERROR(IF(MATCH(CELL("format",'#_Sheet1'!G25),FormatCodesSFX!$A$4:$A$53,0)&gt;0,TRUE),FALSE),TRUE,TRUE),"FormatMsg","PerfectMsg"),_xlfn.IFS(ISTEXT('#_Sheet1'!G25),FALSE,ISLOGICAL('#_Sheet1'!G25),FALSE,SUBSTITUTE(CELL("format",'#_Sheet1'!G25),"-","")=SUBSTITUTE(CELL("format",Sheet1!G25),"-",""),FALSE,CELL("format",'#_Sheet1'!G25)="G",FALSE,AND(CELL("format",'#_Sheet1'!G25)="F0",CELL("format",Sheet1!G25)="G"),FALSE,TRUE,IFERROR(IF(MATCH(CELL("format",'#_Sheet1'!G25),FormatCodesSFX!$A$4:$A$53,0)&gt;0,TRUE),FALSE),TRUE,TRUE),"FormatMsg",TRUE,"PerfectMsg")</f>
        <v/>
      </c>
      <c r="H25" s="45" t="str">
        <f ca="1">_xlfn.IFS(ISBLANK(Sheet1!H25),"",IF(NOT(ISNA('#_Sheet1'!H25)),IF(ISNA(Sheet1!H25),TRUE,FALSE),FALSE),"StuNAMsg",IF(AND(ISNA('#_Sheet1'!H25),ISNA(Sheet1!H25)),TRUE,FALSE),"PerfectMsg",IF(NOT(ISERROR('#_Sheet1'!H25)),IF(ISERROR(Sheet1!H25),TRUE,FALSE),FALSE),"StuErrorMsg",IF(TYPE('#_Sheet1'!H25)&lt;&gt;TYPE(Sheet1!H25),TRUE,FALSE),"WrongTypeMsg",IF(ISNUMBER('#_Sheet1'!H25),IF(ABS('#_Sheet1'!H25-Sheet1!H25)&gt;0.00001,TRUE,FALSE),IF('#_Sheet1'!H25&lt;&gt;Sheet1!H25,TRUE,FALSE)),IF(ISNUMBER('#_Sheet1'!H25),IF('#_Sheet1'!H25&gt;Sheet1!H25,"TooLow","TooHigh"),"WrongAnswer"),NOT(_xlfn.ISFORMULA('#_Sheet1'!H25)),IF(_xlfn.IFS(ISTEXT('#_Sheet1'!H25),FALSE,ISLOGICAL('#_Sheet1'!H25),FALSE,SUBSTITUTE(CELL("format",'#_Sheet1'!H25),"-","")=SUBSTITUTE(CELL("format",Sheet1!H25),"-",""),FALSE,CELL("format",'#_Sheet1'!H25)="G",FALSE,AND(CELL("format",'#_Sheet1'!H25)="F0",CELL("format",Sheet1!H25)="G"),FALSE,TRUE,IFERROR(IF(MATCH(CELL("format",'#_Sheet1'!H25),FormatCodesSFX!$A$4:$A$53,0)&gt;0,TRUE),FALSE),TRUE,TRUE),"FormatMsg","PerfectMsg"),_xlfn.IFS(ISTEXT('#_Sheet1'!H25),FALSE,ISLOGICAL('#_Sheet1'!H25),FALSE,SUBSTITUTE(CELL("format",'#_Sheet1'!H25),"-","")=SUBSTITUTE(CELL("format",Sheet1!H25),"-",""),FALSE,CELL("format",'#_Sheet1'!H25)="G",FALSE,AND(CELL("format",'#_Sheet1'!H25)="F0",CELL("format",Sheet1!H25)="G"),FALSE,TRUE,IFERROR(IF(MATCH(CELL("format",'#_Sheet1'!H25),FormatCodesSFX!$A$4:$A$53,0)&gt;0,TRUE),FALSE),TRUE,TRUE),"FormatMsg",TRUE,"PerfectMsg")</f>
        <v/>
      </c>
    </row>
    <row r="26" spans="1:8" x14ac:dyDescent="0.15">
      <c r="A26" s="36" t="str">
        <f ca="1">_xlfn.IFS(ISBLANK(Sheet1!A26),"",IF(NOT(ISNA('#_Sheet1'!A26)),IF(ISNA(Sheet1!A26),TRUE,FALSE),FALSE),"StuNAMsg",IF(AND(ISNA('#_Sheet1'!A26),ISNA(Sheet1!A26)),TRUE,FALSE),"PerfectMsg",IF(NOT(ISERROR('#_Sheet1'!A26)),IF(ISERROR(Sheet1!A26),TRUE,FALSE),FALSE),"StuErrorMsg",IF(TYPE('#_Sheet1'!A26)&lt;&gt;TYPE(Sheet1!A26),TRUE,FALSE),"WrongTypeMsg",IF(ISNUMBER('#_Sheet1'!A26),IF(ABS('#_Sheet1'!A26-Sheet1!A26)&gt;0.00001,TRUE,FALSE),IF('#_Sheet1'!A26&lt;&gt;Sheet1!A26,TRUE,FALSE)),IF(ISNUMBER('#_Sheet1'!A26),IF('#_Sheet1'!A26&gt;Sheet1!A26,"TooLow","TooHigh"),"WrongAnswer"),NOT(_xlfn.ISFORMULA('#_Sheet1'!A26)),IF(_xlfn.IFS(ISTEXT('#_Sheet1'!A26),FALSE,ISLOGICAL('#_Sheet1'!A26),FALSE,SUBSTITUTE(CELL("format",'#_Sheet1'!A26),"-","")=SUBSTITUTE(CELL("format",Sheet1!A26),"-",""),FALSE,CELL("format",'#_Sheet1'!A26)="G",FALSE,AND(CELL("format",'#_Sheet1'!A26)="F0",CELL("format",Sheet1!A26)="G"),FALSE,TRUE,IFERROR(IF(MATCH(CELL("format",'#_Sheet1'!A26),FormatCodesSFX!$A$4:$A$53,0)&gt;0,TRUE),FALSE),TRUE,TRUE),"FormatMsg","PerfectMsg"),_xlfn.IFS(ISTEXT('#_Sheet1'!A26),FALSE,ISLOGICAL('#_Sheet1'!A26),FALSE,SUBSTITUTE(CELL("format",'#_Sheet1'!A26),"-","")=SUBSTITUTE(CELL("format",Sheet1!A26),"-",""),FALSE,CELL("format",'#_Sheet1'!A26)="G",FALSE,AND(CELL("format",'#_Sheet1'!A26)="F0",CELL("format",Sheet1!A26)="G"),FALSE,TRUE,IFERROR(IF(MATCH(CELL("format",'#_Sheet1'!A26),FormatCodesSFX!$A$4:$A$53,0)&gt;0,TRUE),FALSE),TRUE,TRUE),"FormatMsg",TRUE,"PerfectMsg")</f>
        <v/>
      </c>
      <c r="B26" s="36" t="str">
        <f ca="1">_xlfn.IFS(ISBLANK(Sheet1!B26),"",IF(NOT(ISNA('#_Sheet1'!B26)),IF(ISNA(Sheet1!B26),TRUE,FALSE),FALSE),"StuNAMsg",IF(AND(ISNA('#_Sheet1'!B26),ISNA(Sheet1!B26)),TRUE,FALSE),"PerfectMsg",IF(NOT(ISERROR('#_Sheet1'!B26)),IF(ISERROR(Sheet1!B26),TRUE,FALSE),FALSE),"StuErrorMsg",IF(TYPE('#_Sheet1'!B26)&lt;&gt;TYPE(Sheet1!B26),TRUE,FALSE),"WrongTypeMsg",IF(ISNUMBER('#_Sheet1'!B26),IF(ABS('#_Sheet1'!B26-Sheet1!B26)&gt;0.00001,TRUE,FALSE),IF('#_Sheet1'!B26&lt;&gt;Sheet1!B26,TRUE,FALSE)),IF(ISNUMBER('#_Sheet1'!B26),IF('#_Sheet1'!B26&gt;Sheet1!B26,"TooLow","TooHigh"),"WrongAnswer"),NOT(_xlfn.ISFORMULA('#_Sheet1'!B26)),IF(_xlfn.IFS(ISTEXT('#_Sheet1'!B26),FALSE,ISLOGICAL('#_Sheet1'!B26),FALSE,SUBSTITUTE(CELL("format",'#_Sheet1'!B26),"-","")=SUBSTITUTE(CELL("format",Sheet1!B26),"-",""),FALSE,CELL("format",'#_Sheet1'!B26)="G",FALSE,AND(CELL("format",'#_Sheet1'!B26)="F0",CELL("format",Sheet1!B26)="G"),FALSE,TRUE,IFERROR(IF(MATCH(CELL("format",'#_Sheet1'!B26),FormatCodesSFX!$A$4:$A$53,0)&gt;0,TRUE),FALSE),TRUE,TRUE),"FormatMsg","PerfectMsg"),_xlfn.IFS(ISTEXT('#_Sheet1'!B26),FALSE,ISLOGICAL('#_Sheet1'!B26),FALSE,SUBSTITUTE(CELL("format",'#_Sheet1'!B26),"-","")=SUBSTITUTE(CELL("format",Sheet1!B26),"-",""),FALSE,CELL("format",'#_Sheet1'!B26)="G",FALSE,AND(CELL("format",'#_Sheet1'!B26)="F0",CELL("format",Sheet1!B26)="G"),FALSE,TRUE,IFERROR(IF(MATCH(CELL("format",'#_Sheet1'!B26),FormatCodesSFX!$A$4:$A$53,0)&gt;0,TRUE),FALSE),TRUE,TRUE),"FormatMsg",TRUE,"PerfectMsg")</f>
        <v/>
      </c>
      <c r="C26" s="36" t="str">
        <f ca="1">_xlfn.IFS(ISBLANK(Sheet1!C26),"",IF(NOT(ISNA('#_Sheet1'!C26)),IF(ISNA(Sheet1!C26),TRUE,FALSE),FALSE),"StuNAMsg",IF(AND(ISNA('#_Sheet1'!C26),ISNA(Sheet1!C26)),TRUE,FALSE),"PerfectMsg",IF(NOT(ISERROR('#_Sheet1'!C26)),IF(ISERROR(Sheet1!C26),TRUE,FALSE),FALSE),"StuErrorMsg",IF(TYPE('#_Sheet1'!C26)&lt;&gt;TYPE(Sheet1!C26),TRUE,FALSE),"WrongTypeMsg",IF(ISNUMBER('#_Sheet1'!C26),IF(ABS('#_Sheet1'!C26-Sheet1!C26)&gt;0.00001,TRUE,FALSE),IF('#_Sheet1'!C26&lt;&gt;Sheet1!C26,TRUE,FALSE)),IF(ISNUMBER('#_Sheet1'!C26),IF('#_Sheet1'!C26&gt;Sheet1!C26,"TooLow","TooHigh"),"WrongAnswer"),NOT(_xlfn.ISFORMULA('#_Sheet1'!C26)),IF(_xlfn.IFS(ISTEXT('#_Sheet1'!C26),FALSE,ISLOGICAL('#_Sheet1'!C26),FALSE,SUBSTITUTE(CELL("format",'#_Sheet1'!C26),"-","")=SUBSTITUTE(CELL("format",Sheet1!C26),"-",""),FALSE,CELL("format",'#_Sheet1'!C26)="G",FALSE,AND(CELL("format",'#_Sheet1'!C26)="F0",CELL("format",Sheet1!C26)="G"),FALSE,TRUE,IFERROR(IF(MATCH(CELL("format",'#_Sheet1'!C26),FormatCodesSFX!$A$4:$A$53,0)&gt;0,TRUE),FALSE),TRUE,TRUE),"FormatMsg","PerfectMsg"),_xlfn.IFS(ISTEXT('#_Sheet1'!C26),FALSE,ISLOGICAL('#_Sheet1'!C26),FALSE,SUBSTITUTE(CELL("format",'#_Sheet1'!C26),"-","")=SUBSTITUTE(CELL("format",Sheet1!C26),"-",""),FALSE,CELL("format",'#_Sheet1'!C26)="G",FALSE,AND(CELL("format",'#_Sheet1'!C26)="F0",CELL("format",Sheet1!C26)="G"),FALSE,TRUE,IFERROR(IF(MATCH(CELL("format",'#_Sheet1'!C26),FormatCodesSFX!$A$4:$A$53,0)&gt;0,TRUE),FALSE),TRUE,TRUE),"FormatMsg",TRUE,"PerfectMsg")</f>
        <v/>
      </c>
      <c r="D26" s="36" t="str">
        <f ca="1">_xlfn.IFS(ISBLANK(Sheet1!D26),"",IF(NOT(ISNA('#_Sheet1'!D26)),IF(ISNA(Sheet1!D26),TRUE,FALSE),FALSE),"StuNAMsg",IF(AND(ISNA('#_Sheet1'!D26),ISNA(Sheet1!D26)),TRUE,FALSE),"PerfectMsg",IF(NOT(ISERROR('#_Sheet1'!D26)),IF(ISERROR(Sheet1!D26),TRUE,FALSE),FALSE),"StuErrorMsg",IF(TYPE('#_Sheet1'!D26)&lt;&gt;TYPE(Sheet1!D26),TRUE,FALSE),"WrongTypeMsg",IF(ISNUMBER('#_Sheet1'!D26),IF(ABS('#_Sheet1'!D26-Sheet1!D26)&gt;0.00001,TRUE,FALSE),IF('#_Sheet1'!D26&lt;&gt;Sheet1!D26,TRUE,FALSE)),IF(ISNUMBER('#_Sheet1'!D26),IF('#_Sheet1'!D26&gt;Sheet1!D26,"TooLow","TooHigh"),"WrongAnswer"),NOT(_xlfn.ISFORMULA('#_Sheet1'!D26)),IF(_xlfn.IFS(ISTEXT('#_Sheet1'!D26),FALSE,ISLOGICAL('#_Sheet1'!D26),FALSE,SUBSTITUTE(CELL("format",'#_Sheet1'!D26),"-","")=SUBSTITUTE(CELL("format",Sheet1!D26),"-",""),FALSE,CELL("format",'#_Sheet1'!D26)="G",FALSE,AND(CELL("format",'#_Sheet1'!D26)="F0",CELL("format",Sheet1!D26)="G"),FALSE,TRUE,IFERROR(IF(MATCH(CELL("format",'#_Sheet1'!D26),FormatCodesSFX!$A$4:$A$53,0)&gt;0,TRUE),FALSE),TRUE,TRUE),"FormatMsg","PerfectMsg"),_xlfn.IFS(ISTEXT('#_Sheet1'!D26),FALSE,ISLOGICAL('#_Sheet1'!D26),FALSE,SUBSTITUTE(CELL("format",'#_Sheet1'!D26),"-","")=SUBSTITUTE(CELL("format",Sheet1!D26),"-",""),FALSE,CELL("format",'#_Sheet1'!D26)="G",FALSE,AND(CELL("format",'#_Sheet1'!D26)="F0",CELL("format",Sheet1!D26)="G"),FALSE,TRUE,IFERROR(IF(MATCH(CELL("format",'#_Sheet1'!D26),FormatCodesSFX!$A$4:$A$53,0)&gt;0,TRUE),FALSE),TRUE,TRUE),"FormatMsg",TRUE,"PerfectMsg")</f>
        <v/>
      </c>
      <c r="E26" s="36" t="str">
        <f ca="1">_xlfn.IFS(ISBLANK(Sheet1!E26),"",IF(NOT(ISNA('#_Sheet1'!E26)),IF(ISNA(Sheet1!E26),TRUE,FALSE),FALSE),"StuNAMsg",IF(AND(ISNA('#_Sheet1'!E26),ISNA(Sheet1!E26)),TRUE,FALSE),"PerfectMsg",IF(NOT(ISERROR('#_Sheet1'!E26)),IF(ISERROR(Sheet1!E26),TRUE,FALSE),FALSE),"StuErrorMsg",IF(TYPE('#_Sheet1'!E26)&lt;&gt;TYPE(Sheet1!E26),TRUE,FALSE),"WrongTypeMsg",IF(ISNUMBER('#_Sheet1'!E26),IF(ABS('#_Sheet1'!E26-Sheet1!E26)&gt;0.00001,TRUE,FALSE),IF('#_Sheet1'!E26&lt;&gt;Sheet1!E26,TRUE,FALSE)),IF(ISNUMBER('#_Sheet1'!E26),IF('#_Sheet1'!E26&gt;Sheet1!E26,"TooLow","TooHigh"),"WrongAnswer"),NOT(_xlfn.ISFORMULA('#_Sheet1'!E26)),IF(_xlfn.IFS(ISTEXT('#_Sheet1'!E26),FALSE,ISLOGICAL('#_Sheet1'!E26),FALSE,SUBSTITUTE(CELL("format",'#_Sheet1'!E26),"-","")=SUBSTITUTE(CELL("format",Sheet1!E26),"-",""),FALSE,CELL("format",'#_Sheet1'!E26)="G",FALSE,AND(CELL("format",'#_Sheet1'!E26)="F0",CELL("format",Sheet1!E26)="G"),FALSE,TRUE,IFERROR(IF(MATCH(CELL("format",'#_Sheet1'!E26),FormatCodesSFX!$A$4:$A$53,0)&gt;0,TRUE),FALSE),TRUE,TRUE),"FormatMsg","PerfectMsg"),_xlfn.IFS(ISTEXT('#_Sheet1'!E26),FALSE,ISLOGICAL('#_Sheet1'!E26),FALSE,SUBSTITUTE(CELL("format",'#_Sheet1'!E26),"-","")=SUBSTITUTE(CELL("format",Sheet1!E26),"-",""),FALSE,CELL("format",'#_Sheet1'!E26)="G",FALSE,AND(CELL("format",'#_Sheet1'!E26)="F0",CELL("format",Sheet1!E26)="G"),FALSE,TRUE,IFERROR(IF(MATCH(CELL("format",'#_Sheet1'!E26),FormatCodesSFX!$A$4:$A$53,0)&gt;0,TRUE),FALSE),TRUE,TRUE),"FormatMsg",TRUE,"PerfectMsg")</f>
        <v/>
      </c>
      <c r="F26" s="36" t="str">
        <f ca="1">_xlfn.IFS(ISBLANK(Sheet1!F26),"",IF(NOT(ISNA('#_Sheet1'!F26)),IF(ISNA(Sheet1!F26),TRUE,FALSE),FALSE),"StuNAMsg",IF(AND(ISNA('#_Sheet1'!F26),ISNA(Sheet1!F26)),TRUE,FALSE),"PerfectMsg",IF(NOT(ISERROR('#_Sheet1'!F26)),IF(ISERROR(Sheet1!F26),TRUE,FALSE),FALSE),"StuErrorMsg",IF(TYPE('#_Sheet1'!F26)&lt;&gt;TYPE(Sheet1!F26),TRUE,FALSE),"WrongTypeMsg",IF(ISNUMBER('#_Sheet1'!F26),IF(ABS('#_Sheet1'!F26-Sheet1!F26)&gt;0.00001,TRUE,FALSE),IF('#_Sheet1'!F26&lt;&gt;Sheet1!F26,TRUE,FALSE)),IF(ISNUMBER('#_Sheet1'!F26),IF('#_Sheet1'!F26&gt;Sheet1!F26,"TooLow","TooHigh"),"WrongAnswer"),NOT(_xlfn.ISFORMULA('#_Sheet1'!F26)),IF(_xlfn.IFS(ISTEXT('#_Sheet1'!F26),FALSE,ISLOGICAL('#_Sheet1'!F26),FALSE,SUBSTITUTE(CELL("format",'#_Sheet1'!F26),"-","")=SUBSTITUTE(CELL("format",Sheet1!F26),"-",""),FALSE,CELL("format",'#_Sheet1'!F26)="G",FALSE,AND(CELL("format",'#_Sheet1'!F26)="F0",CELL("format",Sheet1!F26)="G"),FALSE,TRUE,IFERROR(IF(MATCH(CELL("format",'#_Sheet1'!F26),FormatCodesSFX!$A$4:$A$53,0)&gt;0,TRUE),FALSE),TRUE,TRUE),"FormatMsg","PerfectMsg"),_xlfn.IFS(ISTEXT('#_Sheet1'!F26),FALSE,ISLOGICAL('#_Sheet1'!F26),FALSE,SUBSTITUTE(CELL("format",'#_Sheet1'!F26),"-","")=SUBSTITUTE(CELL("format",Sheet1!F26),"-",""),FALSE,CELL("format",'#_Sheet1'!F26)="G",FALSE,AND(CELL("format",'#_Sheet1'!F26)="F0",CELL("format",Sheet1!F26)="G"),FALSE,TRUE,IFERROR(IF(MATCH(CELL("format",'#_Sheet1'!F26),FormatCodesSFX!$A$4:$A$53,0)&gt;0,TRUE),FALSE),TRUE,TRUE),"FormatMsg",TRUE,"PerfectMsg")</f>
        <v/>
      </c>
      <c r="G26" s="44" t="str">
        <f ca="1">_xlfn.IFS(ISBLANK(Sheet1!G26),"",IF(NOT(ISNA('#_Sheet1'!G26)),IF(ISNA(Sheet1!G26),TRUE,FALSE),FALSE),"StuNAMsg",IF(AND(ISNA('#_Sheet1'!G26),ISNA(Sheet1!G26)),TRUE,FALSE),"PerfectMsg",IF(NOT(ISERROR('#_Sheet1'!G26)),IF(ISERROR(Sheet1!G26),TRUE,FALSE),FALSE),"StuErrorMsg",IF(TYPE('#_Sheet1'!G26)&lt;&gt;TYPE(Sheet1!G26),TRUE,FALSE),"WrongTypeMsg",IF(ISNUMBER('#_Sheet1'!G26),IF(ABS('#_Sheet1'!G26-Sheet1!G26)&gt;0.00001,TRUE,FALSE),IF('#_Sheet1'!G26&lt;&gt;Sheet1!G26,TRUE,FALSE)),IF(ISNUMBER('#_Sheet1'!G26),IF('#_Sheet1'!G26&gt;Sheet1!G26,"TooLow","TooHigh"),"WrongAnswer"),NOT(_xlfn.ISFORMULA('#_Sheet1'!G26)),IF(_xlfn.IFS(ISTEXT('#_Sheet1'!G26),FALSE,ISLOGICAL('#_Sheet1'!G26),FALSE,SUBSTITUTE(CELL("format",'#_Sheet1'!G26),"-","")=SUBSTITUTE(CELL("format",Sheet1!G26),"-",""),FALSE,CELL("format",'#_Sheet1'!G26)="G",FALSE,AND(CELL("format",'#_Sheet1'!G26)="F0",CELL("format",Sheet1!G26)="G"),FALSE,TRUE,IFERROR(IF(MATCH(CELL("format",'#_Sheet1'!G26),FormatCodesSFX!$A$4:$A$53,0)&gt;0,TRUE),FALSE),TRUE,TRUE),"FormatMsg","PerfectMsg"),_xlfn.IFS(ISTEXT('#_Sheet1'!G26),FALSE,ISLOGICAL('#_Sheet1'!G26),FALSE,SUBSTITUTE(CELL("format",'#_Sheet1'!G26),"-","")=SUBSTITUTE(CELL("format",Sheet1!G26),"-",""),FALSE,CELL("format",'#_Sheet1'!G26)="G",FALSE,AND(CELL("format",'#_Sheet1'!G26)="F0",CELL("format",Sheet1!G26)="G"),FALSE,TRUE,IFERROR(IF(MATCH(CELL("format",'#_Sheet1'!G26),FormatCodesSFX!$A$4:$A$53,0)&gt;0,TRUE),FALSE),TRUE,TRUE),"FormatMsg",TRUE,"PerfectMsg")</f>
        <v/>
      </c>
      <c r="H26" s="45" t="str">
        <f ca="1">_xlfn.IFS(ISBLANK(Sheet1!H26),"",IF(NOT(ISNA('#_Sheet1'!H26)),IF(ISNA(Sheet1!H26),TRUE,FALSE),FALSE),"StuNAMsg",IF(AND(ISNA('#_Sheet1'!H26),ISNA(Sheet1!H26)),TRUE,FALSE),"PerfectMsg",IF(NOT(ISERROR('#_Sheet1'!H26)),IF(ISERROR(Sheet1!H26),TRUE,FALSE),FALSE),"StuErrorMsg",IF(TYPE('#_Sheet1'!H26)&lt;&gt;TYPE(Sheet1!H26),TRUE,FALSE),"WrongTypeMsg",IF(ISNUMBER('#_Sheet1'!H26),IF(ABS('#_Sheet1'!H26-Sheet1!H26)&gt;0.00001,TRUE,FALSE),IF('#_Sheet1'!H26&lt;&gt;Sheet1!H26,TRUE,FALSE)),IF(ISNUMBER('#_Sheet1'!H26),IF('#_Sheet1'!H26&gt;Sheet1!H26,"TooLow","TooHigh"),"WrongAnswer"),NOT(_xlfn.ISFORMULA('#_Sheet1'!H26)),IF(_xlfn.IFS(ISTEXT('#_Sheet1'!H26),FALSE,ISLOGICAL('#_Sheet1'!H26),FALSE,SUBSTITUTE(CELL("format",'#_Sheet1'!H26),"-","")=SUBSTITUTE(CELL("format",Sheet1!H26),"-",""),FALSE,CELL("format",'#_Sheet1'!H26)="G",FALSE,AND(CELL("format",'#_Sheet1'!H26)="F0",CELL("format",Sheet1!H26)="G"),FALSE,TRUE,IFERROR(IF(MATCH(CELL("format",'#_Sheet1'!H26),FormatCodesSFX!$A$4:$A$53,0)&gt;0,TRUE),FALSE),TRUE,TRUE),"FormatMsg","PerfectMsg"),_xlfn.IFS(ISTEXT('#_Sheet1'!H26),FALSE,ISLOGICAL('#_Sheet1'!H26),FALSE,SUBSTITUTE(CELL("format",'#_Sheet1'!H26),"-","")=SUBSTITUTE(CELL("format",Sheet1!H26),"-",""),FALSE,CELL("format",'#_Sheet1'!H26)="G",FALSE,AND(CELL("format",'#_Sheet1'!H26)="F0",CELL("format",Sheet1!H26)="G"),FALSE,TRUE,IFERROR(IF(MATCH(CELL("format",'#_Sheet1'!H26),FormatCodesSFX!$A$4:$A$53,0)&gt;0,TRUE),FALSE),TRUE,TRUE),"FormatMsg",TRUE,"PerfectMsg")</f>
        <v/>
      </c>
    </row>
    <row r="27" spans="1:8" x14ac:dyDescent="0.15">
      <c r="A27" s="36" t="str">
        <f ca="1">_xlfn.IFS(ISBLANK(Sheet1!A27),"",IF(NOT(ISNA('#_Sheet1'!A27)),IF(ISNA(Sheet1!A27),TRUE,FALSE),FALSE),"StuNAMsg",IF(AND(ISNA('#_Sheet1'!A27),ISNA(Sheet1!A27)),TRUE,FALSE),"PerfectMsg",IF(NOT(ISERROR('#_Sheet1'!A27)),IF(ISERROR(Sheet1!A27),TRUE,FALSE),FALSE),"StuErrorMsg",IF(TYPE('#_Sheet1'!A27)&lt;&gt;TYPE(Sheet1!A27),TRUE,FALSE),"WrongTypeMsg",IF(ISNUMBER('#_Sheet1'!A27),IF(ABS('#_Sheet1'!A27-Sheet1!A27)&gt;0.00001,TRUE,FALSE),IF('#_Sheet1'!A27&lt;&gt;Sheet1!A27,TRUE,FALSE)),IF(ISNUMBER('#_Sheet1'!A27),IF('#_Sheet1'!A27&gt;Sheet1!A27,"TooLow","TooHigh"),"WrongAnswer"),NOT(_xlfn.ISFORMULA('#_Sheet1'!A27)),IF(_xlfn.IFS(ISTEXT('#_Sheet1'!A27),FALSE,ISLOGICAL('#_Sheet1'!A27),FALSE,SUBSTITUTE(CELL("format",'#_Sheet1'!A27),"-","")=SUBSTITUTE(CELL("format",Sheet1!A27),"-",""),FALSE,CELL("format",'#_Sheet1'!A27)="G",FALSE,AND(CELL("format",'#_Sheet1'!A27)="F0",CELL("format",Sheet1!A27)="G"),FALSE,TRUE,IFERROR(IF(MATCH(CELL("format",'#_Sheet1'!A27),FormatCodesSFX!$A$4:$A$53,0)&gt;0,TRUE),FALSE),TRUE,TRUE),"FormatMsg","PerfectMsg"),_xlfn.IFS(ISTEXT('#_Sheet1'!A27),FALSE,ISLOGICAL('#_Sheet1'!A27),FALSE,SUBSTITUTE(CELL("format",'#_Sheet1'!A27),"-","")=SUBSTITUTE(CELL("format",Sheet1!A27),"-",""),FALSE,CELL("format",'#_Sheet1'!A27)="G",FALSE,AND(CELL("format",'#_Sheet1'!A27)="F0",CELL("format",Sheet1!A27)="G"),FALSE,TRUE,IFERROR(IF(MATCH(CELL("format",'#_Sheet1'!A27),FormatCodesSFX!$A$4:$A$53,0)&gt;0,TRUE),FALSE),TRUE,TRUE),"FormatMsg",TRUE,"PerfectMsg")</f>
        <v/>
      </c>
      <c r="B27" s="36" t="str">
        <f ca="1">_xlfn.IFS(ISBLANK(Sheet1!B27),"",IF(NOT(ISNA('#_Sheet1'!B27)),IF(ISNA(Sheet1!B27),TRUE,FALSE),FALSE),"StuNAMsg",IF(AND(ISNA('#_Sheet1'!B27),ISNA(Sheet1!B27)),TRUE,FALSE),"PerfectMsg",IF(NOT(ISERROR('#_Sheet1'!B27)),IF(ISERROR(Sheet1!B27),TRUE,FALSE),FALSE),"StuErrorMsg",IF(TYPE('#_Sheet1'!B27)&lt;&gt;TYPE(Sheet1!B27),TRUE,FALSE),"WrongTypeMsg",IF(ISNUMBER('#_Sheet1'!B27),IF(ABS('#_Sheet1'!B27-Sheet1!B27)&gt;0.00001,TRUE,FALSE),IF('#_Sheet1'!B27&lt;&gt;Sheet1!B27,TRUE,FALSE)),IF(ISNUMBER('#_Sheet1'!B27),IF('#_Sheet1'!B27&gt;Sheet1!B27,"TooLow","TooHigh"),"WrongAnswer"),NOT(_xlfn.ISFORMULA('#_Sheet1'!B27)),IF(_xlfn.IFS(ISTEXT('#_Sheet1'!B27),FALSE,ISLOGICAL('#_Sheet1'!B27),FALSE,SUBSTITUTE(CELL("format",'#_Sheet1'!B27),"-","")=SUBSTITUTE(CELL("format",Sheet1!B27),"-",""),FALSE,CELL("format",'#_Sheet1'!B27)="G",FALSE,AND(CELL("format",'#_Sheet1'!B27)="F0",CELL("format",Sheet1!B27)="G"),FALSE,TRUE,IFERROR(IF(MATCH(CELL("format",'#_Sheet1'!B27),FormatCodesSFX!$A$4:$A$53,0)&gt;0,TRUE),FALSE),TRUE,TRUE),"FormatMsg","PerfectMsg"),_xlfn.IFS(ISTEXT('#_Sheet1'!B27),FALSE,ISLOGICAL('#_Sheet1'!B27),FALSE,SUBSTITUTE(CELL("format",'#_Sheet1'!B27),"-","")=SUBSTITUTE(CELL("format",Sheet1!B27),"-",""),FALSE,CELL("format",'#_Sheet1'!B27)="G",FALSE,AND(CELL("format",'#_Sheet1'!B27)="F0",CELL("format",Sheet1!B27)="G"),FALSE,TRUE,IFERROR(IF(MATCH(CELL("format",'#_Sheet1'!B27),FormatCodesSFX!$A$4:$A$53,0)&gt;0,TRUE),FALSE),TRUE,TRUE),"FormatMsg",TRUE,"PerfectMsg")</f>
        <v/>
      </c>
      <c r="C27" s="36" t="str">
        <f ca="1">_xlfn.IFS(ISBLANK(Sheet1!C27),"",IF(NOT(ISNA('#_Sheet1'!C27)),IF(ISNA(Sheet1!C27),TRUE,FALSE),FALSE),"StuNAMsg",IF(AND(ISNA('#_Sheet1'!C27),ISNA(Sheet1!C27)),TRUE,FALSE),"PerfectMsg",IF(NOT(ISERROR('#_Sheet1'!C27)),IF(ISERROR(Sheet1!C27),TRUE,FALSE),FALSE),"StuErrorMsg",IF(TYPE('#_Sheet1'!C27)&lt;&gt;TYPE(Sheet1!C27),TRUE,FALSE),"WrongTypeMsg",IF(ISNUMBER('#_Sheet1'!C27),IF(ABS('#_Sheet1'!C27-Sheet1!C27)&gt;0.00001,TRUE,FALSE),IF('#_Sheet1'!C27&lt;&gt;Sheet1!C27,TRUE,FALSE)),IF(ISNUMBER('#_Sheet1'!C27),IF('#_Sheet1'!C27&gt;Sheet1!C27,"TooLow","TooHigh"),"WrongAnswer"),NOT(_xlfn.ISFORMULA('#_Sheet1'!C27)),IF(_xlfn.IFS(ISTEXT('#_Sheet1'!C27),FALSE,ISLOGICAL('#_Sheet1'!C27),FALSE,SUBSTITUTE(CELL("format",'#_Sheet1'!C27),"-","")=SUBSTITUTE(CELL("format",Sheet1!C27),"-",""),FALSE,CELL("format",'#_Sheet1'!C27)="G",FALSE,AND(CELL("format",'#_Sheet1'!C27)="F0",CELL("format",Sheet1!C27)="G"),FALSE,TRUE,IFERROR(IF(MATCH(CELL("format",'#_Sheet1'!C27),FormatCodesSFX!$A$4:$A$53,0)&gt;0,TRUE),FALSE),TRUE,TRUE),"FormatMsg","PerfectMsg"),_xlfn.IFS(ISTEXT('#_Sheet1'!C27),FALSE,ISLOGICAL('#_Sheet1'!C27),FALSE,SUBSTITUTE(CELL("format",'#_Sheet1'!C27),"-","")=SUBSTITUTE(CELL("format",Sheet1!C27),"-",""),FALSE,CELL("format",'#_Sheet1'!C27)="G",FALSE,AND(CELL("format",'#_Sheet1'!C27)="F0",CELL("format",Sheet1!C27)="G"),FALSE,TRUE,IFERROR(IF(MATCH(CELL("format",'#_Sheet1'!C27),FormatCodesSFX!$A$4:$A$53,0)&gt;0,TRUE),FALSE),TRUE,TRUE),"FormatMsg",TRUE,"PerfectMsg")</f>
        <v/>
      </c>
      <c r="D27" s="36" t="str">
        <f ca="1">_xlfn.IFS(ISBLANK(Sheet1!D27),"",IF(NOT(ISNA('#_Sheet1'!D27)),IF(ISNA(Sheet1!D27),TRUE,FALSE),FALSE),"StuNAMsg",IF(AND(ISNA('#_Sheet1'!D27),ISNA(Sheet1!D27)),TRUE,FALSE),"PerfectMsg",IF(NOT(ISERROR('#_Sheet1'!D27)),IF(ISERROR(Sheet1!D27),TRUE,FALSE),FALSE),"StuErrorMsg",IF(TYPE('#_Sheet1'!D27)&lt;&gt;TYPE(Sheet1!D27),TRUE,FALSE),"WrongTypeMsg",IF(ISNUMBER('#_Sheet1'!D27),IF(ABS('#_Sheet1'!D27-Sheet1!D27)&gt;0.00001,TRUE,FALSE),IF('#_Sheet1'!D27&lt;&gt;Sheet1!D27,TRUE,FALSE)),IF(ISNUMBER('#_Sheet1'!D27),IF('#_Sheet1'!D27&gt;Sheet1!D27,"TooLow","TooHigh"),"WrongAnswer"),NOT(_xlfn.ISFORMULA('#_Sheet1'!D27)),IF(_xlfn.IFS(ISTEXT('#_Sheet1'!D27),FALSE,ISLOGICAL('#_Sheet1'!D27),FALSE,SUBSTITUTE(CELL("format",'#_Sheet1'!D27),"-","")=SUBSTITUTE(CELL("format",Sheet1!D27),"-",""),FALSE,CELL("format",'#_Sheet1'!D27)="G",FALSE,AND(CELL("format",'#_Sheet1'!D27)="F0",CELL("format",Sheet1!D27)="G"),FALSE,TRUE,IFERROR(IF(MATCH(CELL("format",'#_Sheet1'!D27),FormatCodesSFX!$A$4:$A$53,0)&gt;0,TRUE),FALSE),TRUE,TRUE),"FormatMsg","PerfectMsg"),_xlfn.IFS(ISTEXT('#_Sheet1'!D27),FALSE,ISLOGICAL('#_Sheet1'!D27),FALSE,SUBSTITUTE(CELL("format",'#_Sheet1'!D27),"-","")=SUBSTITUTE(CELL("format",Sheet1!D27),"-",""),FALSE,CELL("format",'#_Sheet1'!D27)="G",FALSE,AND(CELL("format",'#_Sheet1'!D27)="F0",CELL("format",Sheet1!D27)="G"),FALSE,TRUE,IFERROR(IF(MATCH(CELL("format",'#_Sheet1'!D27),FormatCodesSFX!$A$4:$A$53,0)&gt;0,TRUE),FALSE),TRUE,TRUE),"FormatMsg",TRUE,"PerfectMsg")</f>
        <v/>
      </c>
      <c r="E27" s="36" t="str">
        <f ca="1">_xlfn.IFS(ISBLANK(Sheet1!E27),"",IF(NOT(ISNA('#_Sheet1'!E27)),IF(ISNA(Sheet1!E27),TRUE,FALSE),FALSE),"StuNAMsg",IF(AND(ISNA('#_Sheet1'!E27),ISNA(Sheet1!E27)),TRUE,FALSE),"PerfectMsg",IF(NOT(ISERROR('#_Sheet1'!E27)),IF(ISERROR(Sheet1!E27),TRUE,FALSE),FALSE),"StuErrorMsg",IF(TYPE('#_Sheet1'!E27)&lt;&gt;TYPE(Sheet1!E27),TRUE,FALSE),"WrongTypeMsg",IF(ISNUMBER('#_Sheet1'!E27),IF(ABS('#_Sheet1'!E27-Sheet1!E27)&gt;0.00001,TRUE,FALSE),IF('#_Sheet1'!E27&lt;&gt;Sheet1!E27,TRUE,FALSE)),IF(ISNUMBER('#_Sheet1'!E27),IF('#_Sheet1'!E27&gt;Sheet1!E27,"TooLow","TooHigh"),"WrongAnswer"),NOT(_xlfn.ISFORMULA('#_Sheet1'!E27)),IF(_xlfn.IFS(ISTEXT('#_Sheet1'!E27),FALSE,ISLOGICAL('#_Sheet1'!E27),FALSE,SUBSTITUTE(CELL("format",'#_Sheet1'!E27),"-","")=SUBSTITUTE(CELL("format",Sheet1!E27),"-",""),FALSE,CELL("format",'#_Sheet1'!E27)="G",FALSE,AND(CELL("format",'#_Sheet1'!E27)="F0",CELL("format",Sheet1!E27)="G"),FALSE,TRUE,IFERROR(IF(MATCH(CELL("format",'#_Sheet1'!E27),FormatCodesSFX!$A$4:$A$53,0)&gt;0,TRUE),FALSE),TRUE,TRUE),"FormatMsg","PerfectMsg"),_xlfn.IFS(ISTEXT('#_Sheet1'!E27),FALSE,ISLOGICAL('#_Sheet1'!E27),FALSE,SUBSTITUTE(CELL("format",'#_Sheet1'!E27),"-","")=SUBSTITUTE(CELL("format",Sheet1!E27),"-",""),FALSE,CELL("format",'#_Sheet1'!E27)="G",FALSE,AND(CELL("format",'#_Sheet1'!E27)="F0",CELL("format",Sheet1!E27)="G"),FALSE,TRUE,IFERROR(IF(MATCH(CELL("format",'#_Sheet1'!E27),FormatCodesSFX!$A$4:$A$53,0)&gt;0,TRUE),FALSE),TRUE,TRUE),"FormatMsg",TRUE,"PerfectMsg")</f>
        <v/>
      </c>
      <c r="F27" s="36" t="str">
        <f ca="1">_xlfn.IFS(ISBLANK(Sheet1!F27),"",IF(NOT(ISNA('#_Sheet1'!F27)),IF(ISNA(Sheet1!F27),TRUE,FALSE),FALSE),"StuNAMsg",IF(AND(ISNA('#_Sheet1'!F27),ISNA(Sheet1!F27)),TRUE,FALSE),"PerfectMsg",IF(NOT(ISERROR('#_Sheet1'!F27)),IF(ISERROR(Sheet1!F27),TRUE,FALSE),FALSE),"StuErrorMsg",IF(TYPE('#_Sheet1'!F27)&lt;&gt;TYPE(Sheet1!F27),TRUE,FALSE),"WrongTypeMsg",IF(ISNUMBER('#_Sheet1'!F27),IF(ABS('#_Sheet1'!F27-Sheet1!F27)&gt;0.00001,TRUE,FALSE),IF('#_Sheet1'!F27&lt;&gt;Sheet1!F27,TRUE,FALSE)),IF(ISNUMBER('#_Sheet1'!F27),IF('#_Sheet1'!F27&gt;Sheet1!F27,"TooLow","TooHigh"),"WrongAnswer"),NOT(_xlfn.ISFORMULA('#_Sheet1'!F27)),IF(_xlfn.IFS(ISTEXT('#_Sheet1'!F27),FALSE,ISLOGICAL('#_Sheet1'!F27),FALSE,SUBSTITUTE(CELL("format",'#_Sheet1'!F27),"-","")=SUBSTITUTE(CELL("format",Sheet1!F27),"-",""),FALSE,CELL("format",'#_Sheet1'!F27)="G",FALSE,AND(CELL("format",'#_Sheet1'!F27)="F0",CELL("format",Sheet1!F27)="G"),FALSE,TRUE,IFERROR(IF(MATCH(CELL("format",'#_Sheet1'!F27),FormatCodesSFX!$A$4:$A$53,0)&gt;0,TRUE),FALSE),TRUE,TRUE),"FormatMsg","PerfectMsg"),_xlfn.IFS(ISTEXT('#_Sheet1'!F27),FALSE,ISLOGICAL('#_Sheet1'!F27),FALSE,SUBSTITUTE(CELL("format",'#_Sheet1'!F27),"-","")=SUBSTITUTE(CELL("format",Sheet1!F27),"-",""),FALSE,CELL("format",'#_Sheet1'!F27)="G",FALSE,AND(CELL("format",'#_Sheet1'!F27)="F0",CELL("format",Sheet1!F27)="G"),FALSE,TRUE,IFERROR(IF(MATCH(CELL("format",'#_Sheet1'!F27),FormatCodesSFX!$A$4:$A$53,0)&gt;0,TRUE),FALSE),TRUE,TRUE),"FormatMsg",TRUE,"PerfectMsg")</f>
        <v/>
      </c>
      <c r="G27" s="44" t="str">
        <f ca="1">_xlfn.IFS(ISBLANK(Sheet1!G27),"",IF(NOT(ISNA('#_Sheet1'!G27)),IF(ISNA(Sheet1!G27),TRUE,FALSE),FALSE),"StuNAMsg",IF(AND(ISNA('#_Sheet1'!G27),ISNA(Sheet1!G27)),TRUE,FALSE),"PerfectMsg",IF(NOT(ISERROR('#_Sheet1'!G27)),IF(ISERROR(Sheet1!G27),TRUE,FALSE),FALSE),"StuErrorMsg",IF(TYPE('#_Sheet1'!G27)&lt;&gt;TYPE(Sheet1!G27),TRUE,FALSE),"WrongTypeMsg",IF(ISNUMBER('#_Sheet1'!G27),IF(ABS('#_Sheet1'!G27-Sheet1!G27)&gt;0.00001,TRUE,FALSE),IF('#_Sheet1'!G27&lt;&gt;Sheet1!G27,TRUE,FALSE)),IF(ISNUMBER('#_Sheet1'!G27),IF('#_Sheet1'!G27&gt;Sheet1!G27,"TooLow","TooHigh"),"WrongAnswer"),NOT(_xlfn.ISFORMULA('#_Sheet1'!G27)),IF(_xlfn.IFS(ISTEXT('#_Sheet1'!G27),FALSE,ISLOGICAL('#_Sheet1'!G27),FALSE,SUBSTITUTE(CELL("format",'#_Sheet1'!G27),"-","")=SUBSTITUTE(CELL("format",Sheet1!G27),"-",""),FALSE,CELL("format",'#_Sheet1'!G27)="G",FALSE,AND(CELL("format",'#_Sheet1'!G27)="F0",CELL("format",Sheet1!G27)="G"),FALSE,TRUE,IFERROR(IF(MATCH(CELL("format",'#_Sheet1'!G27),FormatCodesSFX!$A$4:$A$53,0)&gt;0,TRUE),FALSE),TRUE,TRUE),"FormatMsg","PerfectMsg"),_xlfn.IFS(ISTEXT('#_Sheet1'!G27),FALSE,ISLOGICAL('#_Sheet1'!G27),FALSE,SUBSTITUTE(CELL("format",'#_Sheet1'!G27),"-","")=SUBSTITUTE(CELL("format",Sheet1!G27),"-",""),FALSE,CELL("format",'#_Sheet1'!G27)="G",FALSE,AND(CELL("format",'#_Sheet1'!G27)="F0",CELL("format",Sheet1!G27)="G"),FALSE,TRUE,IFERROR(IF(MATCH(CELL("format",'#_Sheet1'!G27),FormatCodesSFX!$A$4:$A$53,0)&gt;0,TRUE),FALSE),TRUE,TRUE),"FormatMsg",TRUE,"PerfectMsg")</f>
        <v/>
      </c>
      <c r="H27" s="45" t="str">
        <f ca="1">_xlfn.IFS(ISBLANK(Sheet1!H27),"",IF(NOT(ISNA('#_Sheet1'!H27)),IF(ISNA(Sheet1!H27),TRUE,FALSE),FALSE),"StuNAMsg",IF(AND(ISNA('#_Sheet1'!H27),ISNA(Sheet1!H27)),TRUE,FALSE),"PerfectMsg",IF(NOT(ISERROR('#_Sheet1'!H27)),IF(ISERROR(Sheet1!H27),TRUE,FALSE),FALSE),"StuErrorMsg",IF(TYPE('#_Sheet1'!H27)&lt;&gt;TYPE(Sheet1!H27),TRUE,FALSE),"WrongTypeMsg",IF(ISNUMBER('#_Sheet1'!H27),IF(ABS('#_Sheet1'!H27-Sheet1!H27)&gt;0.00001,TRUE,FALSE),IF('#_Sheet1'!H27&lt;&gt;Sheet1!H27,TRUE,FALSE)),IF(ISNUMBER('#_Sheet1'!H27),IF('#_Sheet1'!H27&gt;Sheet1!H27,"TooLow","TooHigh"),"WrongAnswer"),NOT(_xlfn.ISFORMULA('#_Sheet1'!H27)),IF(_xlfn.IFS(ISTEXT('#_Sheet1'!H27),FALSE,ISLOGICAL('#_Sheet1'!H27),FALSE,SUBSTITUTE(CELL("format",'#_Sheet1'!H27),"-","")=SUBSTITUTE(CELL("format",Sheet1!H27),"-",""),FALSE,CELL("format",'#_Sheet1'!H27)="G",FALSE,AND(CELL("format",'#_Sheet1'!H27)="F0",CELL("format",Sheet1!H27)="G"),FALSE,TRUE,IFERROR(IF(MATCH(CELL("format",'#_Sheet1'!H27),FormatCodesSFX!$A$4:$A$53,0)&gt;0,TRUE),FALSE),TRUE,TRUE),"FormatMsg","PerfectMsg"),_xlfn.IFS(ISTEXT('#_Sheet1'!H27),FALSE,ISLOGICAL('#_Sheet1'!H27),FALSE,SUBSTITUTE(CELL("format",'#_Sheet1'!H27),"-","")=SUBSTITUTE(CELL("format",Sheet1!H27),"-",""),FALSE,CELL("format",'#_Sheet1'!H27)="G",FALSE,AND(CELL("format",'#_Sheet1'!H27)="F0",CELL("format",Sheet1!H27)="G"),FALSE,TRUE,IFERROR(IF(MATCH(CELL("format",'#_Sheet1'!H27),FormatCodesSFX!$A$4:$A$53,0)&gt;0,TRUE),FALSE),TRUE,TRUE),"FormatMsg",TRUE,"PerfectMsg")</f>
        <v/>
      </c>
    </row>
    <row r="28" spans="1:8" x14ac:dyDescent="0.15">
      <c r="G28" s="44"/>
      <c r="H28" s="45"/>
    </row>
    <row r="29" spans="1:8" x14ac:dyDescent="0.15">
      <c r="F29" s="3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BF68-392C-40D3-9CDE-1AA537C5E54F}">
  <dimension ref="A1:AO29"/>
  <sheetViews>
    <sheetView showGridLines="0" zoomScale="120" zoomScaleNormal="120" workbookViewId="0">
      <pane ySplit="2" topLeftCell="A3" activePane="bottomLeft" state="frozen"/>
      <selection pane="bottomLeft" activeCell="A3" sqref="A3"/>
    </sheetView>
  </sheetViews>
  <sheetFormatPr defaultColWidth="11" defaultRowHeight="15.75" x14ac:dyDescent="0.25"/>
  <cols>
    <col min="1" max="1" width="8.625" customWidth="1"/>
    <col min="2" max="2" width="32.375" bestFit="1" customWidth="1"/>
    <col min="3" max="3" width="8.625" customWidth="1"/>
    <col min="4" max="4" width="16.625" bestFit="1" customWidth="1"/>
    <col min="5" max="5" width="17.875" bestFit="1" customWidth="1"/>
    <col min="6" max="6" width="6.625" bestFit="1" customWidth="1"/>
    <col min="7" max="7" width="19.5" bestFit="1" customWidth="1"/>
    <col min="8" max="8" width="25.375" bestFit="1" customWidth="1"/>
  </cols>
  <sheetData>
    <row r="1" spans="1:41" ht="21.95" customHeight="1" x14ac:dyDescent="0.25">
      <c r="A1" s="19" t="s">
        <v>230</v>
      </c>
      <c r="B1" s="19" t="s">
        <v>231</v>
      </c>
      <c r="C1" s="19" t="s">
        <v>232</v>
      </c>
      <c r="D1" s="20" t="str" cm="1">
        <f t="array" aca="1" ref="D1" ca="1">IFERROR(
    _xlfn.LET(
        _xlpm.FileName, MID(CELL("filename", A1), FIND("]", CELL("filename", A1)) + 1, 255),
        _xlpm.DynamicRef, INDIRECT("'#_" &amp; _xlpm.FileName &amp; "'!" &amp; C2),
        IF(
            TYPE(_xlpm.DynamicRef) = 1,
            VLOOKUP(
                CELL("format", _xlpm.DynamicRef),
                FormatCodesSFX!$A$4:$B$53,
                2,
                FALSE
            ),
            _xlfn.SWITCH(
                TYPE(_xlpm.DynamicRef),
                2, "short text",
                4, "logical",
                16, "error",
                64, "long text",
                "Other"
            )
        )
    ),
    "Error in formula"
)</f>
        <v>error</v>
      </c>
      <c r="E1" s="19"/>
      <c r="F1" s="19"/>
      <c r="G1" s="19"/>
      <c r="H1" s="19"/>
      <c r="I1" s="20" t="str" cm="1">
        <f t="array" ref="I1">_xlfn.IFS(ROW(A100)&lt;100,"Undo deleted row or quit without saving",COLUMN(AZ1)&lt;52,"Undo deleted column or quit without saving",ROW(A100)&gt;100,"Undo inserted row or quit without saving",COLUMN(AZ1)&gt;52,"Undo inserted column or quit without saving",Scoreboard!$F$21&lt;&gt;"","Security compromised: Undo last action or quit without saving",TRUE=TRUE," ")</f>
        <v xml:space="preserve"> </v>
      </c>
      <c r="J1" s="20"/>
      <c r="K1" s="20"/>
      <c r="L1" s="20" t="s">
        <v>233</v>
      </c>
      <c r="M1" s="20"/>
      <c r="N1" s="20"/>
      <c r="O1" s="20"/>
      <c r="P1" s="21" t="s">
        <v>234</v>
      </c>
      <c r="Q1" s="20"/>
      <c r="R1" s="20"/>
      <c r="S1" s="46" t="s">
        <v>237</v>
      </c>
      <c r="T1" s="23"/>
      <c r="U1" s="22"/>
      <c r="V1" s="23"/>
      <c r="W1" s="22"/>
      <c r="X1" s="19" t="str">
        <f t="shared" ref="X1:AA2" si="0">A1</f>
        <v>earned</v>
      </c>
      <c r="Y1" s="19" t="str">
        <f t="shared" si="0"/>
        <v>possible</v>
      </c>
      <c r="Z1" s="19" t="str">
        <f t="shared" si="0"/>
        <v>cell</v>
      </c>
      <c r="AA1" s="20" t="str">
        <f t="shared" ca="1" si="0"/>
        <v>error</v>
      </c>
      <c r="AB1" s="19"/>
      <c r="AC1" s="19"/>
      <c r="AD1" s="24"/>
      <c r="AE1" s="24"/>
      <c r="AF1" s="20" t="str">
        <f>I1</f>
        <v xml:space="preserve"> </v>
      </c>
      <c r="AG1" s="20"/>
      <c r="AH1" s="24"/>
      <c r="AI1" s="24"/>
      <c r="AJ1" s="24"/>
      <c r="AK1" s="24"/>
      <c r="AL1" s="20" t="s">
        <v>233</v>
      </c>
      <c r="AM1" s="24"/>
      <c r="AN1" s="24"/>
      <c r="AO1" s="24"/>
    </row>
    <row r="2" spans="1:41" ht="23.1" customHeight="1" thickBot="1" x14ac:dyDescent="0.55000000000000004">
      <c r="A2" s="25">
        <f ca="1">Sheet1SC!$A$2</f>
        <v>0</v>
      </c>
      <c r="B2" s="26">
        <f>Sheet1SC!$B$2</f>
        <v>176</v>
      </c>
      <c r="C2" s="25" t="str" cm="1">
        <f t="array" aca="1" ref="C2" ca="1">SUBSTITUTE(IF(LEN(CELL("address"))&lt;15,CELL("address"),""),"$","")</f>
        <v/>
      </c>
      <c r="D2" s="27" t="str" cm="1">
        <f t="array" aca="1" ref="D2" ca="1">IF(ISNUMBER(SEARCH("#REF!",_xlfn.SINGLE(_xlfn.FORMULATEXT(INDIRECT("'Sheet1SC'!" &amp; C2))))), "DRAGGING CELLS IS NOT PERMITTED. PLEASE UNDO LAST ACTION!!",IF(IF(Sheet1SC!B2=0,1,Sheet1SC!C2/Sheet1SC!B2)&gt;=Scoreboard!$F$19,IF(ISNUMBER(SEARCH("#REF!",_xlfn.SINGLE(_xlfn.FORMULATEXT(INDIRECT("'Sheet1SC'!"&amp;C2))))),"DRAGGING CELLS IS NOT PERMITTED. PLEASE UNDO LAST ACTION!!",IF($P$1&lt;&gt;"Feedback OFF",IFERROR(HLOOKUP(INDIRECT("'Sheet1SC'!"&amp;C2),FeedbackSFX!$B$2:$N$10,IF($P$1="Feedback ON", 2, FeedbackSFX!B1), FALSE), ""),"")),IF(IF(Sheet1SC!B2=0,1,Sheet1SC!C2/Sheet1SC!B2)&gt;=Scoreboard!$F$19/2,"Earn "&amp;TEXT(Scoreboard!$F$19,"0%")&amp;" to unlock score and feedback. ---&gt; Halfway There!!!","Earn "&amp;TEXT(Scoreboard!$F$19,"0%")&amp;" to unlock score and feedback.")))</f>
        <v/>
      </c>
      <c r="E2" s="28"/>
      <c r="F2" s="28"/>
      <c r="G2" s="28"/>
      <c r="H2" s="28"/>
      <c r="I2" s="29"/>
      <c r="J2" s="28"/>
      <c r="K2" s="28"/>
      <c r="L2" s="28"/>
      <c r="M2" s="28"/>
      <c r="N2" s="28"/>
      <c r="O2" s="28"/>
      <c r="P2" s="35" t="str">
        <f ca="1">IF(Scoreboard!$E$4="Excel version: Invalid","****ERROR: Scoreboard requires Excel 365 or 2021 to run****", "")</f>
        <v/>
      </c>
      <c r="Q2" s="28"/>
      <c r="R2" s="28"/>
      <c r="S2" s="30"/>
      <c r="T2" s="31"/>
      <c r="U2" s="32"/>
      <c r="V2" s="31"/>
      <c r="W2" s="32"/>
      <c r="X2" s="33">
        <f t="shared" ca="1" si="0"/>
        <v>0</v>
      </c>
      <c r="Y2" s="33">
        <f t="shared" si="0"/>
        <v>176</v>
      </c>
      <c r="Z2" s="33" t="str">
        <f t="shared" ca="1" si="0"/>
        <v/>
      </c>
      <c r="AA2" s="27" t="str">
        <f t="shared" ca="1" si="0"/>
        <v/>
      </c>
      <c r="AB2" s="28"/>
      <c r="AC2" s="28"/>
      <c r="AD2" s="34"/>
      <c r="AE2" s="34"/>
      <c r="AF2" s="34"/>
      <c r="AG2" s="34"/>
      <c r="AH2" s="34"/>
      <c r="AI2" s="34"/>
      <c r="AJ2" s="34"/>
      <c r="AK2" s="34"/>
      <c r="AL2" s="34"/>
      <c r="AM2" s="34"/>
      <c r="AN2" s="34"/>
      <c r="AO2" s="34"/>
    </row>
    <row r="3" spans="1:41" x14ac:dyDescent="0.25">
      <c r="A3" s="17"/>
      <c r="B3" s="17"/>
      <c r="C3" s="17"/>
      <c r="D3" s="17"/>
      <c r="E3" s="17"/>
      <c r="F3" s="17"/>
      <c r="G3" s="17"/>
      <c r="H3" s="17"/>
    </row>
    <row r="4" spans="1:41" x14ac:dyDescent="0.25">
      <c r="A4" s="18"/>
      <c r="B4" s="18"/>
      <c r="C4" s="18"/>
      <c r="D4" s="18"/>
      <c r="E4" s="18"/>
      <c r="F4" s="18"/>
      <c r="G4" s="18"/>
      <c r="H4" s="18"/>
    </row>
    <row r="5" spans="1:41" x14ac:dyDescent="0.25">
      <c r="A5" s="18"/>
      <c r="B5" s="18"/>
      <c r="C5" s="18"/>
      <c r="D5" s="18"/>
      <c r="E5" s="18"/>
      <c r="F5" s="18"/>
      <c r="G5" s="18"/>
      <c r="H5" s="18"/>
    </row>
    <row r="6" spans="1:41" x14ac:dyDescent="0.25">
      <c r="A6" s="18"/>
      <c r="B6" s="18"/>
      <c r="C6" s="18"/>
      <c r="D6" s="18"/>
      <c r="E6" s="18"/>
      <c r="F6" s="18"/>
      <c r="G6" s="18"/>
      <c r="H6" s="18"/>
    </row>
    <row r="7" spans="1:41" x14ac:dyDescent="0.25">
      <c r="A7" s="18"/>
      <c r="B7" s="18"/>
      <c r="C7" s="18"/>
      <c r="D7" s="18"/>
      <c r="E7" s="18"/>
      <c r="F7" s="18"/>
      <c r="G7" s="18"/>
      <c r="H7" s="18"/>
    </row>
    <row r="8" spans="1:41" x14ac:dyDescent="0.25">
      <c r="A8" s="18"/>
      <c r="B8" s="18"/>
      <c r="C8" s="18"/>
      <c r="D8" s="18"/>
      <c r="E8" s="18"/>
      <c r="F8" s="18"/>
      <c r="G8" s="18"/>
      <c r="H8" s="18"/>
    </row>
    <row r="9" spans="1:41" x14ac:dyDescent="0.25">
      <c r="A9" s="18"/>
      <c r="B9" s="18"/>
      <c r="C9" s="18"/>
      <c r="D9" s="18"/>
      <c r="E9" s="18"/>
      <c r="F9" s="18"/>
      <c r="G9" s="18"/>
      <c r="H9" s="18"/>
    </row>
    <row r="10" spans="1:41" x14ac:dyDescent="0.25">
      <c r="A10" s="18"/>
      <c r="B10" s="18"/>
      <c r="C10" s="18"/>
      <c r="D10" s="18"/>
      <c r="E10" s="18"/>
      <c r="F10" s="18"/>
      <c r="G10" s="18"/>
      <c r="H10" s="18"/>
    </row>
    <row r="11" spans="1:41" x14ac:dyDescent="0.25">
      <c r="A11" s="18"/>
      <c r="B11" s="18"/>
      <c r="C11" s="18"/>
      <c r="D11" s="18"/>
      <c r="E11" s="18"/>
      <c r="F11" s="18"/>
      <c r="G11" s="18"/>
      <c r="H11" s="18"/>
    </row>
    <row r="12" spans="1:41" x14ac:dyDescent="0.25">
      <c r="A12" s="18"/>
      <c r="B12" s="18"/>
      <c r="C12" s="18"/>
      <c r="D12" s="18"/>
      <c r="E12" s="18"/>
      <c r="F12" s="18"/>
      <c r="G12" s="18"/>
      <c r="H12" s="18"/>
    </row>
    <row r="13" spans="1:41" x14ac:dyDescent="0.25">
      <c r="A13" s="18"/>
      <c r="B13" s="18"/>
      <c r="C13" s="18"/>
      <c r="D13" s="18"/>
      <c r="E13" s="18"/>
      <c r="F13" s="18"/>
      <c r="G13" s="18"/>
      <c r="H13" s="18"/>
    </row>
    <row r="14" spans="1:41" x14ac:dyDescent="0.25">
      <c r="A14" s="18"/>
      <c r="B14" s="18"/>
      <c r="C14" s="18"/>
      <c r="D14" s="18"/>
      <c r="E14" s="18"/>
      <c r="F14" s="18"/>
      <c r="G14" s="18"/>
      <c r="H14" s="18"/>
    </row>
    <row r="15" spans="1:41" x14ac:dyDescent="0.25">
      <c r="A15" s="18"/>
      <c r="B15" s="18"/>
      <c r="C15" s="18"/>
      <c r="D15" s="18"/>
      <c r="E15" s="18"/>
      <c r="F15" s="18"/>
      <c r="G15" s="18"/>
      <c r="H15" s="18"/>
    </row>
    <row r="16" spans="1:41" x14ac:dyDescent="0.25">
      <c r="A16" s="18"/>
      <c r="B16" s="18"/>
      <c r="C16" s="18"/>
      <c r="D16" s="18"/>
      <c r="E16" s="18"/>
      <c r="F16" s="18"/>
      <c r="G16" s="18"/>
      <c r="H16" s="18"/>
    </row>
    <row r="17" spans="1:8" x14ac:dyDescent="0.25">
      <c r="A17" s="18"/>
      <c r="B17" s="18"/>
      <c r="C17" s="18"/>
      <c r="D17" s="18"/>
      <c r="E17" s="18"/>
      <c r="F17" s="18"/>
      <c r="G17" s="18"/>
      <c r="H17" s="18"/>
    </row>
    <row r="18" spans="1:8" x14ac:dyDescent="0.25">
      <c r="A18" s="18"/>
      <c r="B18" s="18"/>
      <c r="C18" s="18"/>
      <c r="D18" s="18"/>
      <c r="E18" s="18"/>
      <c r="F18" s="18"/>
      <c r="G18" s="18"/>
      <c r="H18" s="18"/>
    </row>
    <row r="19" spans="1:8" x14ac:dyDescent="0.25">
      <c r="A19" s="18"/>
      <c r="B19" s="18"/>
      <c r="C19" s="18"/>
      <c r="D19" s="18"/>
      <c r="E19" s="18"/>
      <c r="F19" s="18"/>
      <c r="G19" s="18"/>
      <c r="H19" s="18"/>
    </row>
    <row r="20" spans="1:8" x14ac:dyDescent="0.25">
      <c r="A20" s="18"/>
      <c r="B20" s="18"/>
      <c r="C20" s="18"/>
      <c r="D20" s="18"/>
      <c r="E20" s="18"/>
      <c r="F20" s="18"/>
      <c r="G20" s="18"/>
      <c r="H20" s="18"/>
    </row>
    <row r="21" spans="1:8" x14ac:dyDescent="0.25">
      <c r="A21" s="18"/>
      <c r="B21" s="18"/>
      <c r="C21" s="18"/>
      <c r="D21" s="18"/>
      <c r="E21" s="18"/>
      <c r="F21" s="18"/>
      <c r="G21" s="18"/>
      <c r="H21" s="18"/>
    </row>
    <row r="22" spans="1:8" x14ac:dyDescent="0.25">
      <c r="A22" s="18"/>
      <c r="B22" s="18"/>
      <c r="C22" s="18"/>
      <c r="D22" s="18"/>
      <c r="E22" s="18"/>
      <c r="F22" s="18"/>
      <c r="G22" s="18"/>
      <c r="H22" s="18"/>
    </row>
    <row r="23" spans="1:8" x14ac:dyDescent="0.25">
      <c r="A23" s="18"/>
      <c r="B23" s="18"/>
      <c r="C23" s="18"/>
      <c r="D23" s="18"/>
      <c r="E23" s="18"/>
      <c r="F23" s="18"/>
      <c r="G23" s="18"/>
      <c r="H23" s="18"/>
    </row>
    <row r="24" spans="1:8" x14ac:dyDescent="0.25">
      <c r="A24" s="18"/>
      <c r="B24" s="18"/>
      <c r="C24" s="18"/>
      <c r="D24" s="18"/>
      <c r="E24" s="18"/>
      <c r="F24" s="18"/>
      <c r="G24" s="18"/>
      <c r="H24" s="18"/>
    </row>
    <row r="25" spans="1:8" x14ac:dyDescent="0.25">
      <c r="A25" s="18"/>
      <c r="B25" s="18"/>
      <c r="C25" s="18"/>
      <c r="D25" s="18"/>
      <c r="E25" s="18"/>
      <c r="F25" s="18"/>
      <c r="G25" s="18"/>
      <c r="H25" s="18"/>
    </row>
    <row r="26" spans="1:8" x14ac:dyDescent="0.25">
      <c r="A26" s="18"/>
      <c r="B26" s="18"/>
      <c r="C26" s="18"/>
      <c r="D26" s="18"/>
      <c r="E26" s="18"/>
      <c r="F26" s="18"/>
      <c r="G26" s="18"/>
      <c r="H26" s="18"/>
    </row>
    <row r="27" spans="1:8" x14ac:dyDescent="0.25">
      <c r="A27" s="18"/>
      <c r="B27" s="18"/>
      <c r="C27" s="18"/>
      <c r="D27" s="18"/>
      <c r="E27" s="18"/>
      <c r="F27" s="18"/>
      <c r="G27" s="18"/>
      <c r="H27" s="18"/>
    </row>
    <row r="28" spans="1:8" x14ac:dyDescent="0.25">
      <c r="A28" s="1"/>
      <c r="B28" s="1"/>
      <c r="C28" s="1"/>
      <c r="D28" s="1"/>
      <c r="E28" s="1"/>
      <c r="F28" s="1"/>
      <c r="G28" s="2"/>
      <c r="H28" s="3"/>
    </row>
    <row r="29" spans="1:8" x14ac:dyDescent="0.25">
      <c r="F29" s="4"/>
    </row>
  </sheetData>
  <conditionalFormatting sqref="A1:A2 X1:X2">
    <cfRule type="expression" dxfId="46" priority="7">
      <formula>$A$2/$B$2&gt;=0.05</formula>
    </cfRule>
  </conditionalFormatting>
  <conditionalFormatting sqref="A1:O2 Q1:R1 X1:AO2 P2:R2">
    <cfRule type="expression" dxfId="45" priority="5" stopIfTrue="1">
      <formula>$P$1="Feedback OFF"</formula>
    </cfRule>
  </conditionalFormatting>
  <conditionalFormatting sqref="A3:AA100">
    <cfRule type="expression" dxfId="43" priority="2" stopIfTrue="1">
      <formula>$D$2="DRAGGING CELLS IS NOT PERMITTED. PLEASE UNDO LAST ACTION!!"</formula>
    </cfRule>
  </conditionalFormatting>
  <conditionalFormatting sqref="B1:B2 Y1:Y2">
    <cfRule type="expression" dxfId="38" priority="8">
      <formula>$A$2/$B$2&gt;=0.1</formula>
    </cfRule>
  </conditionalFormatting>
  <conditionalFormatting sqref="C1:C2 Z1:Z2">
    <cfRule type="expression" dxfId="37" priority="9">
      <formula>$A$2/$B$2&gt;=0.15</formula>
    </cfRule>
  </conditionalFormatting>
  <conditionalFormatting sqref="D1:D2 AA1:AA2">
    <cfRule type="expression" dxfId="36" priority="10">
      <formula>$A$2/$B$2&gt;=0.2</formula>
    </cfRule>
  </conditionalFormatting>
  <conditionalFormatting sqref="E1:E2 AB1:AB2">
    <cfRule type="expression" dxfId="35" priority="11">
      <formula>$A$2/$B$2&gt;=0.25</formula>
    </cfRule>
  </conditionalFormatting>
  <conditionalFormatting sqref="F1:F2 AC1:AC2">
    <cfRule type="expression" dxfId="34" priority="12">
      <formula>$A$2/$B$2&gt;=0.3</formula>
    </cfRule>
  </conditionalFormatting>
  <conditionalFormatting sqref="G1:G2 AD1:AD2">
    <cfRule type="expression" dxfId="33" priority="13">
      <formula>$A$2/$B$2&gt;=0.35</formula>
    </cfRule>
  </conditionalFormatting>
  <conditionalFormatting sqref="H1:H2 AE1:AE2">
    <cfRule type="expression" dxfId="32" priority="14">
      <formula>$A$2/$B$2&gt;=0.4</formula>
    </cfRule>
  </conditionalFormatting>
  <conditionalFormatting sqref="I1:I2 AF1:AF2">
    <cfRule type="expression" dxfId="31" priority="15">
      <formula>$A$2/$B$2&gt;=0.45</formula>
    </cfRule>
  </conditionalFormatting>
  <conditionalFormatting sqref="J1:J2 AG1:AG2">
    <cfRule type="expression" dxfId="29" priority="16">
      <formula>$A$2/$B$2&gt;=0.5</formula>
    </cfRule>
  </conditionalFormatting>
  <conditionalFormatting sqref="K1:K2 AH1:AH2">
    <cfRule type="expression" dxfId="28" priority="17">
      <formula>$A$2/$B$2&gt;=0.55</formula>
    </cfRule>
  </conditionalFormatting>
  <conditionalFormatting sqref="L1:L2 AI1:AI2">
    <cfRule type="expression" dxfId="27" priority="18">
      <formula>$A$2/$B$2&gt;=0.6</formula>
    </cfRule>
  </conditionalFormatting>
  <conditionalFormatting sqref="M1:M2 AJ1:AJ2">
    <cfRule type="expression" dxfId="26" priority="19">
      <formula>$A$2/$B$2&gt;=0.65</formula>
    </cfRule>
  </conditionalFormatting>
  <conditionalFormatting sqref="N1:N2 AK1:AK2">
    <cfRule type="expression" dxfId="25" priority="20">
      <formula>$A$2/$B$2&gt;=0.7</formula>
    </cfRule>
  </conditionalFormatting>
  <conditionalFormatting sqref="O1:O2 AL1:AL2">
    <cfRule type="expression" dxfId="24" priority="21">
      <formula>$A$2/$B$2&gt;=0.75</formula>
    </cfRule>
  </conditionalFormatting>
  <conditionalFormatting sqref="P1">
    <cfRule type="expression" dxfId="23" priority="6">
      <formula>$P$1&lt;&gt;""</formula>
    </cfRule>
  </conditionalFormatting>
  <conditionalFormatting sqref="P1:P2 AM1:AM2">
    <cfRule type="expression" dxfId="22" priority="22">
      <formula>$A$2/$B$2&gt;=0.8</formula>
    </cfRule>
  </conditionalFormatting>
  <conditionalFormatting sqref="Q1:Q2 AN1:AN2">
    <cfRule type="expression" dxfId="21" priority="23">
      <formula>$A$2/$B$2&gt;=0.85</formula>
    </cfRule>
  </conditionalFormatting>
  <conditionalFormatting sqref="R1:R2 AO1:AO2">
    <cfRule type="expression" dxfId="20" priority="24">
      <formula>$A$2/$B$2&gt;=1</formula>
    </cfRule>
  </conditionalFormatting>
  <dataValidations count="1">
    <dataValidation type="list" allowBlank="1" showInputMessage="1" showErrorMessage="1" sqref="P1" xr:uid="{7439D293-692B-4E6C-B2E2-C8A3BEB9B05B}">
      <formula1>"Feedback ON, Taunting ON, Feedback OFF"</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stopIfTrue="1" id="{92D4157E-736C-4008-BE0B-5257BFE931FE}">
            <xm:f>Scoreboard!$E$4="Excel version: Invalid"</xm:f>
            <x14:dxf>
              <font>
                <color rgb="FF9C0006"/>
              </font>
              <fill>
                <patternFill>
                  <fgColor indexed="64"/>
                  <bgColor rgb="FFFFC7CE"/>
                </patternFill>
              </fill>
            </x14:dxf>
          </x14:cfRule>
          <x14:cfRule type="expression" priority="3" stopIfTrue="1" id="{5AED1F7B-A985-43B5-A6E0-22782FC43023}">
            <xm:f>Scoreboard!$F$21&lt;&gt;""</xm:f>
            <x14:dxf>
              <font>
                <color rgb="FF9C0006"/>
              </font>
              <fill>
                <patternFill>
                  <fgColor indexed="64"/>
                  <bgColor rgb="FFFFC7CE"/>
                </patternFill>
              </fill>
            </x14:dxf>
          </x14:cfRule>
          <xm:sqref>A3:AA100</xm:sqref>
        </x14:conditionalFormatting>
        <x14:conditionalFormatting xmlns:xm="http://schemas.microsoft.com/office/excel/2006/main">
          <x14:cfRule type="expression" priority="25" stopIfTrue="1" id="{10BFF979-C15D-4B62-BC0E-E1747B6E4BF5}">
            <xm:f>AND((Sheet1SC!$A$2/Sheet1SC!$B$2&gt;=Scoreboard!$F$19),$P$1&lt;&gt;"Feedback OFF",IF(Sheet1SC!A3=FeedbackSFX!$C$2, TRUE, FALSE))</xm:f>
            <x14:dxf>
              <fill>
                <patternFill>
                  <bgColor rgb="FFCEEED0"/>
                </patternFill>
              </fill>
            </x14:dxf>
          </x14:cfRule>
          <x14:cfRule type="expression" priority="26" stopIfTrue="1" id="{9BF798B9-AEF2-4914-A212-72B57376E087}">
            <xm:f>AND((Sheet1SC!$A$2/Sheet1SC!$B$2&gt;=Scoreboard!$F$19),$P$1&lt;&gt;"Feedback OFF",IF(Sheet1SC!A3=FeedbackSFX!$K$2, TRUE, FALSE))</xm:f>
            <x14:dxf>
              <fill>
                <patternFill>
                  <bgColor rgb="FFFFFF64"/>
                </patternFill>
              </fill>
            </x14:dxf>
          </x14:cfRule>
          <x14:cfRule type="expression" priority="27" stopIfTrue="1" id="{D8408914-4A33-42C8-8BAE-1B9CD3056AFD}">
            <xm:f>AND((Sheet1SC!$A$2/Sheet1SC!$B$2&gt;=Scoreboard!$F$19),$P$1&lt;&gt;"Feedback OFF",AND(IF(Sheet1SC!A3&lt;&gt;FeedbackSFX!$C$2, TRUE, FALSE),Sheet1SC!A3&lt;&gt;"",_xlfn.ISFORMULA(Sheet1SC!A3)))</xm:f>
            <x14:dxf>
              <fill>
                <patternFill>
                  <bgColor rgb="FFFF99CC"/>
                </patternFill>
              </fill>
            </x14:dxf>
          </x14:cfRule>
          <xm:sqref>A3:AL27</xm:sqref>
        </x14:conditionalFormatting>
        <x14:conditionalFormatting xmlns:xm="http://schemas.microsoft.com/office/excel/2006/main">
          <x14:cfRule type="expression" priority="4" stopIfTrue="1" id="{EE1CD8AD-73C3-4B9A-BEE5-9733D601D298}">
            <xm:f>Scoreboard!$F$21&lt;&gt;""</xm:f>
            <x14:dxf>
              <font>
                <color rgb="FF9C0006"/>
              </font>
              <fill>
                <patternFill>
                  <fgColor indexed="64"/>
                  <bgColor rgb="FFFFC7CE"/>
                </patternFill>
              </fill>
            </x14:dxf>
          </x14:cfRule>
          <xm:sqref>I1:N1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014C0-96B5-4372-AC24-F1F968D0479D}">
  <sheetPr>
    <tabColor rgb="FF4FADEA"/>
  </sheetPr>
  <dimension ref="A1:AL29"/>
  <sheetViews>
    <sheetView workbookViewId="0">
      <pane ySplit="2" topLeftCell="A3" activePane="bottomLeft" state="frozen"/>
      <selection pane="bottomLeft" activeCell="A3" sqref="A3:XFD3"/>
    </sheetView>
  </sheetViews>
  <sheetFormatPr defaultColWidth="11" defaultRowHeight="8.25" x14ac:dyDescent="0.15"/>
  <cols>
    <col min="1" max="1" width="17" style="36" bestFit="1" customWidth="1"/>
    <col min="2" max="2" width="32.5" style="36" bestFit="1" customWidth="1"/>
    <col min="3" max="3" width="17" style="36" bestFit="1" customWidth="1"/>
    <col min="4" max="4" width="16.625" style="36" bestFit="1" customWidth="1"/>
    <col min="5" max="5" width="17.875" style="36" bestFit="1" customWidth="1"/>
    <col min="6" max="6" width="14.625" style="36" bestFit="1" customWidth="1"/>
    <col min="7" max="7" width="38.125" style="36" bestFit="1" customWidth="1"/>
    <col min="8" max="8" width="53.625" style="36" bestFit="1" customWidth="1"/>
    <col min="9" max="31" width="11" style="36"/>
    <col min="32" max="32" width="11.125" style="36" bestFit="1" customWidth="1"/>
    <col min="33" max="16384" width="11" style="36"/>
  </cols>
  <sheetData>
    <row r="1" spans="1:38" ht="21.95" customHeight="1" x14ac:dyDescent="0.15">
      <c r="A1" s="38" t="s">
        <v>230</v>
      </c>
      <c r="B1" s="38" t="s">
        <v>231</v>
      </c>
      <c r="C1" s="38" t="s">
        <v>232</v>
      </c>
      <c r="D1" s="39" t="str" cm="1">
        <f t="array" aca="1" ref="D1" ca="1">IFERROR(
    _xlfn.LET(
        _xlpm.FileName, MID(CELL("filename", A1), FIND("]", CELL("filename", A1)) + 1, 255),
        _xlpm.DynamicRef, INDIRECT("'#_" &amp; _xlpm.FileName &amp; "'!" &amp; C2),
        IF(
            TYPE(_xlpm.DynamicRef) = 1,
            VLOOKUP(
                CELL("format", _xlpm.DynamicRef),
                FormatCodesSFX!$A$4:$B$53,
                2,
                FALSE
            ),
            _xlfn.SWITCH(
                TYPE(_xlpm.DynamicRef),
                2, "short text",
                4, "logical",
                16, "error",
                64, "long text",
                "Other"
            )
        )
    ),
    "Error in formula"
)</f>
        <v>error</v>
      </c>
      <c r="E1" s="38"/>
      <c r="F1" s="38"/>
      <c r="G1" s="38"/>
      <c r="H1" s="38"/>
      <c r="I1" s="39" t="str">
        <f>Sheet1SC!$I$1</f>
        <v xml:space="preserve"> </v>
      </c>
      <c r="J1" s="39"/>
      <c r="K1" s="39"/>
      <c r="L1" s="39" t="s">
        <v>233</v>
      </c>
      <c r="M1" s="39"/>
      <c r="N1" s="39"/>
      <c r="O1" s="39"/>
      <c r="P1" s="39" t="s">
        <v>234</v>
      </c>
      <c r="Q1" s="39"/>
      <c r="R1" s="39"/>
      <c r="X1" s="38" t="str">
        <f t="shared" ref="X1:AA2" si="0">A1</f>
        <v>earned</v>
      </c>
      <c r="Y1" s="38" t="str">
        <f t="shared" si="0"/>
        <v>possible</v>
      </c>
      <c r="Z1" s="38" t="str">
        <f t="shared" si="0"/>
        <v>cell</v>
      </c>
      <c r="AA1" s="39" t="str">
        <f t="shared" ca="1" si="0"/>
        <v>error</v>
      </c>
      <c r="AB1" s="38"/>
      <c r="AC1" s="38"/>
      <c r="AF1" s="39" t="str">
        <f>I1</f>
        <v xml:space="preserve"> </v>
      </c>
      <c r="AG1" s="39"/>
      <c r="AL1" s="39" t="s">
        <v>233</v>
      </c>
    </row>
    <row r="2" spans="1:38" ht="23.1" customHeight="1" x14ac:dyDescent="0.15">
      <c r="A2" s="38">
        <f ca="1">Sheet1SC!$A$2</f>
        <v>0</v>
      </c>
      <c r="B2" s="40">
        <f>Sheet1SC!$B$2</f>
        <v>176</v>
      </c>
      <c r="C2" s="38" t="str" cm="1">
        <f t="array" aca="1" ref="C2" ca="1">SUBSTITUTE(IF(LEN(CELL("address"))&lt;15,CELL("address"),""),"$","")</f>
        <v/>
      </c>
      <c r="D2" s="39" t="str" cm="1">
        <f t="array" aca="1" ref="D2" ca="1">IF(ISNUMBER(SEARCH("#REF!",_xlfn.SINGLE(_xlfn.FORMULATEXT(INDIRECT("'Sheet1SC'!" &amp; C2))))), "DRAGGING CELLS IS NOT PERMITTED. PLEASE UNDO LAST ACTION!!",IF(IF(Sheet1SC!B2=0,1,Sheet1SC!C2/Sheet1SC!B2)&gt;=Scoreboard!$F$19,IF(ISNUMBER(SEARCH("#REF!",_xlfn.SINGLE(_xlfn.FORMULATEXT(INDIRECT("'Sheet1SC'!"&amp;C2))))),"DRAGGING CELLS IS NOT PERMITTED. PLEASE UNDO LAST ACTION!!",IF($P$1&lt;&gt;"Feedback OFF",IFERROR(HLOOKUP(INDIRECT("'Sheet1SC'!"&amp;C2),FeedbackSFX!$B$2:$N$10,IF($P$1="Feedback ON", 2, FeedbackSFX!B1), FALSE), ""),"")),IF(IF(Sheet1SC!B2=0,1,Sheet1SC!C2/Sheet1SC!B2)&gt;=Scoreboard!$F$19/2,"Earn "&amp;TEXT(Scoreboard!$F$19,"0%")&amp;" to unlock score and feedback. ---&gt; Halfway There!!!","Earn "&amp;TEXT(Scoreboard!$F$19,"0%")&amp;" to unlock score and feedback.")))</f>
        <v/>
      </c>
      <c r="E2" s="38"/>
      <c r="F2" s="38"/>
      <c r="G2" s="38"/>
      <c r="H2" s="38"/>
      <c r="I2" s="41"/>
      <c r="J2" s="38"/>
      <c r="K2" s="38"/>
      <c r="L2" s="38"/>
      <c r="M2" s="38"/>
      <c r="N2" s="38"/>
      <c r="O2" s="38"/>
      <c r="P2" s="38"/>
      <c r="Q2" s="38"/>
      <c r="R2" s="38"/>
      <c r="X2" s="42">
        <f t="shared" ca="1" si="0"/>
        <v>0</v>
      </c>
      <c r="Y2" s="42">
        <f t="shared" si="0"/>
        <v>176</v>
      </c>
      <c r="Z2" s="42" t="str">
        <f t="shared" ca="1" si="0"/>
        <v/>
      </c>
      <c r="AA2" s="39" t="str">
        <f t="shared" ca="1" si="0"/>
        <v/>
      </c>
      <c r="AB2" s="38"/>
      <c r="AC2" s="38"/>
    </row>
    <row r="3" spans="1:38" x14ac:dyDescent="0.15">
      <c r="A3" s="43">
        <f>2015</f>
        <v>2015</v>
      </c>
      <c r="B3" s="43" t="str">
        <f>"Restaurant Name"</f>
        <v>Restaurant Name</v>
      </c>
      <c r="C3" s="43">
        <f>2014</f>
        <v>2014</v>
      </c>
      <c r="D3" s="43" t="str">
        <f>"Principle Executive"</f>
        <v>Principle Executive</v>
      </c>
      <c r="E3" s="43" t="str">
        <f>"City &amp; State"</f>
        <v>City &amp; State</v>
      </c>
      <c r="F3" s="43" t="str">
        <f>"#Units"</f>
        <v>#Units</v>
      </c>
      <c r="G3" s="43" t="str">
        <f>"2015 Gross Sales"</f>
        <v>2015 Gross Sales</v>
      </c>
      <c r="H3" s="43" t="str">
        <f>"Date"</f>
        <v>Date</v>
      </c>
    </row>
    <row r="4" spans="1:38" x14ac:dyDescent="0.15">
      <c r="A4" s="36">
        <f>1</f>
        <v>1</v>
      </c>
      <c r="B4" s="36" t="str">
        <f>"Pizza Hut*"</f>
        <v>Pizza Hut*</v>
      </c>
      <c r="C4" s="36">
        <f>1</f>
        <v>1</v>
      </c>
      <c r="D4" s="36" t="str">
        <f>"David W. Gibbs"</f>
        <v>David W. Gibbs</v>
      </c>
      <c r="E4" s="36" t="str">
        <f>"Plano, TX"</f>
        <v>Plano, TX</v>
      </c>
      <c r="F4" s="37">
        <f>15605</f>
        <v>15605</v>
      </c>
      <c r="G4" s="44">
        <f>13400000000</f>
        <v>13400000000</v>
      </c>
      <c r="H4" s="45">
        <f t="shared" ref="H4:H28" si="1">12/31/2015</f>
        <v>1.9210758024493715E-4</v>
      </c>
    </row>
    <row r="5" spans="1:38" x14ac:dyDescent="0.15">
      <c r="A5" s="36">
        <f>2</f>
        <v>2</v>
      </c>
      <c r="B5" s="36" t="str">
        <f>"Domino's*"</f>
        <v>Domino's*</v>
      </c>
      <c r="C5" s="36">
        <f>2</f>
        <v>2</v>
      </c>
      <c r="D5" s="36" t="str">
        <f>"J. Patrick Doyle"</f>
        <v>J. Patrick Doyle</v>
      </c>
      <c r="E5" s="36" t="str">
        <f>"Ann Arbor, MI"</f>
        <v>Ann Arbor, MI</v>
      </c>
      <c r="F5" s="37">
        <f>11629</f>
        <v>11629</v>
      </c>
      <c r="G5" s="44">
        <f>8900000000</f>
        <v>8900000000</v>
      </c>
      <c r="H5" s="45">
        <f t="shared" si="1"/>
        <v>1.9210758024493715E-4</v>
      </c>
    </row>
    <row r="6" spans="1:38" x14ac:dyDescent="0.15">
      <c r="A6" s="36">
        <f>3</f>
        <v>3</v>
      </c>
      <c r="B6" s="36" t="str">
        <f>"Little Caesars Pizza"</f>
        <v>Little Caesars Pizza</v>
      </c>
      <c r="C6" s="36">
        <f>3</f>
        <v>3</v>
      </c>
      <c r="D6" s="36" t="str">
        <f>"Michael Ilitch"</f>
        <v>Michael Ilitch</v>
      </c>
      <c r="E6" s="36" t="str">
        <f>"Detroit, MI"</f>
        <v>Detroit, MI</v>
      </c>
      <c r="F6" s="37">
        <f>4059</f>
        <v>4059</v>
      </c>
      <c r="G6" s="44">
        <f>3400000000</f>
        <v>3400000000</v>
      </c>
      <c r="H6" s="45">
        <f t="shared" si="1"/>
        <v>1.9210758024493715E-4</v>
      </c>
    </row>
    <row r="7" spans="1:38" x14ac:dyDescent="0.15">
      <c r="A7" s="36">
        <f>4</f>
        <v>4</v>
      </c>
      <c r="B7" s="36" t="str">
        <f>"Papa Johns' International"</f>
        <v>Papa Johns' International</v>
      </c>
      <c r="C7" s="36">
        <f>4</f>
        <v>4</v>
      </c>
      <c r="D7" s="36" t="str">
        <f>"John Schnatter"</f>
        <v>John Schnatter</v>
      </c>
      <c r="E7" s="36" t="str">
        <f>"Louisville,KY"</f>
        <v>Louisville,KY</v>
      </c>
      <c r="F7" s="36">
        <f>4708</f>
        <v>4708</v>
      </c>
      <c r="G7" s="44">
        <f>3332000000</f>
        <v>3332000000</v>
      </c>
      <c r="H7" s="45">
        <f t="shared" si="1"/>
        <v>1.9210758024493715E-4</v>
      </c>
    </row>
    <row r="8" spans="1:38" x14ac:dyDescent="0.15">
      <c r="A8" s="36">
        <f>5</f>
        <v>5</v>
      </c>
      <c r="B8" s="36" t="str">
        <f>"Papa Murphy’s International*"</f>
        <v>Papa Murphy’s International*</v>
      </c>
      <c r="C8" s="36">
        <f>5</f>
        <v>5</v>
      </c>
      <c r="D8" s="36" t="str">
        <f>"Ken Calwell"</f>
        <v>Ken Calwell</v>
      </c>
      <c r="E8" s="36" t="str">
        <f>"Vancouver, WA"</f>
        <v>Vancouver, WA</v>
      </c>
      <c r="F8" s="36">
        <f>1425</f>
        <v>1425</v>
      </c>
      <c r="G8" s="44">
        <f>785360000</f>
        <v>785360000</v>
      </c>
      <c r="H8" s="45">
        <f t="shared" si="1"/>
        <v>1.9210758024493715E-4</v>
      </c>
    </row>
    <row r="9" spans="1:38" x14ac:dyDescent="0.15">
      <c r="A9" s="36">
        <f>6</f>
        <v>6</v>
      </c>
      <c r="B9" s="36" t="str">
        <f>"California Pizza Kitchen*"</f>
        <v>California Pizza Kitchen*</v>
      </c>
      <c r="C9" s="36">
        <f>6</f>
        <v>6</v>
      </c>
      <c r="D9" s="36" t="str">
        <f>"G. J. Hart"</f>
        <v>G. J. Hart</v>
      </c>
      <c r="E9" s="36" t="str">
        <f>"Playa Vista, CA"</f>
        <v>Playa Vista, CA</v>
      </c>
      <c r="F9" s="36">
        <f>290</f>
        <v>290</v>
      </c>
      <c r="G9" s="44">
        <f>745000000</f>
        <v>745000000</v>
      </c>
      <c r="H9" s="45">
        <f t="shared" si="1"/>
        <v>1.9210758024493715E-4</v>
      </c>
    </row>
    <row r="10" spans="1:38" x14ac:dyDescent="0.15">
      <c r="A10" s="36">
        <f>7</f>
        <v>7</v>
      </c>
      <c r="B10" s="36" t="str">
        <f>"Sbarro*"</f>
        <v>Sbarro*</v>
      </c>
      <c r="C10" s="36">
        <f>7</f>
        <v>7</v>
      </c>
      <c r="D10" s="36" t="str">
        <f>"J. David Karam"</f>
        <v>J. David Karam</v>
      </c>
      <c r="E10" s="36" t="str">
        <f>"Columbus, OH"</f>
        <v>Columbus, OH</v>
      </c>
      <c r="F10" s="36">
        <f>820</f>
        <v>820</v>
      </c>
      <c r="G10" s="44">
        <f>602000000</f>
        <v>602000000</v>
      </c>
      <c r="H10" s="45">
        <f t="shared" si="1"/>
        <v>1.9210758024493715E-4</v>
      </c>
    </row>
    <row r="11" spans="1:38" x14ac:dyDescent="0.15">
      <c r="A11" s="36">
        <f>8</f>
        <v>8</v>
      </c>
      <c r="B11" s="36" t="str">
        <f>"CiCi’s Pizza*"</f>
        <v>CiCi’s Pizza*</v>
      </c>
      <c r="C11" s="36">
        <f>8</f>
        <v>8</v>
      </c>
      <c r="D11" s="36" t="str">
        <f>"Darin Harris"</f>
        <v>Darin Harris</v>
      </c>
      <c r="E11" s="36" t="str">
        <f>"Coppell, TX"</f>
        <v>Coppell, TX</v>
      </c>
      <c r="F11" s="36">
        <f>519</f>
        <v>519</v>
      </c>
      <c r="G11" s="44">
        <f>475000000</f>
        <v>475000000</v>
      </c>
      <c r="H11" s="45">
        <f t="shared" si="1"/>
        <v>1.9210758024493715E-4</v>
      </c>
    </row>
    <row r="12" spans="1:38" x14ac:dyDescent="0.15">
      <c r="A12" s="36">
        <f>9</f>
        <v>9</v>
      </c>
      <c r="B12" s="36" t="str">
        <f>"Chuck E. Cheese’s*"</f>
        <v>Chuck E. Cheese’s*</v>
      </c>
      <c r="C12" s="36">
        <f>9</f>
        <v>9</v>
      </c>
      <c r="D12" s="36" t="str">
        <f>"Thomas Leverton"</f>
        <v>Thomas Leverton</v>
      </c>
      <c r="E12" s="36" t="str">
        <f>"Irving, TX"</f>
        <v>Irving, TX</v>
      </c>
      <c r="F12" s="36">
        <f>577</f>
        <v>577</v>
      </c>
      <c r="G12" s="44">
        <f>405000000</f>
        <v>405000000</v>
      </c>
      <c r="H12" s="45">
        <f t="shared" si="1"/>
        <v>1.9210758024493715E-4</v>
      </c>
    </row>
    <row r="13" spans="1:38" x14ac:dyDescent="0.15">
      <c r="A13" s="36">
        <f>10</f>
        <v>10</v>
      </c>
      <c r="B13" s="36" t="str">
        <f>"Marco’s Pizza"</f>
        <v>Marco’s Pizza</v>
      </c>
      <c r="C13" s="36">
        <f>12</f>
        <v>12</v>
      </c>
      <c r="D13" s="36" t="str">
        <f>"John Butorac"</f>
        <v>John Butorac</v>
      </c>
      <c r="E13" s="36" t="str">
        <f>"Toledo, OH"</f>
        <v>Toledo, OH</v>
      </c>
      <c r="F13" s="36">
        <f>640</f>
        <v>640</v>
      </c>
      <c r="G13" s="44">
        <f>380000000</f>
        <v>380000000</v>
      </c>
      <c r="H13" s="45">
        <f t="shared" si="1"/>
        <v>1.9210758024493715E-4</v>
      </c>
    </row>
    <row r="14" spans="1:38" x14ac:dyDescent="0.15">
      <c r="A14" s="36">
        <f>11</f>
        <v>11</v>
      </c>
      <c r="B14" s="36" t="str">
        <f>"Round Table Pizza*"</f>
        <v>Round Table Pizza*</v>
      </c>
      <c r="C14" s="36">
        <f>10</f>
        <v>10</v>
      </c>
      <c r="D14" s="36" t="str">
        <f>"Rob McCourt"</f>
        <v>Rob McCourt</v>
      </c>
      <c r="E14" s="36" t="str">
        <f>"Concord, CA"</f>
        <v>Concord, CA</v>
      </c>
      <c r="F14" s="36">
        <f>439</f>
        <v>439</v>
      </c>
      <c r="G14" s="44">
        <f>378000000</f>
        <v>378000000</v>
      </c>
      <c r="H14" s="45">
        <f t="shared" si="1"/>
        <v>1.9210758024493715E-4</v>
      </c>
    </row>
    <row r="15" spans="1:38" x14ac:dyDescent="0.15">
      <c r="A15" s="36">
        <f>12</f>
        <v>12</v>
      </c>
      <c r="B15" s="36" t="str">
        <f>"Jet’s Pizza"</f>
        <v>Jet’s Pizza</v>
      </c>
      <c r="C15" s="36">
        <f>14</f>
        <v>14</v>
      </c>
      <c r="D15" s="36" t="str">
        <f>"John Jetts"</f>
        <v>John Jetts</v>
      </c>
      <c r="E15" s="36" t="str">
        <f>"Sterling Heights, MI"</f>
        <v>Sterling Heights, MI</v>
      </c>
      <c r="F15" s="36">
        <f>375</f>
        <v>375</v>
      </c>
      <c r="G15" s="44">
        <f>350000000</f>
        <v>350000000</v>
      </c>
      <c r="H15" s="45">
        <f t="shared" si="1"/>
        <v>1.9210758024493715E-4</v>
      </c>
    </row>
    <row r="16" spans="1:38" x14ac:dyDescent="0.15">
      <c r="A16" s="36">
        <f>13</f>
        <v>13</v>
      </c>
      <c r="B16" s="36" t="str">
        <f>"Hungry Howie’s Pizza"</f>
        <v>Hungry Howie’s Pizza</v>
      </c>
      <c r="C16" s="36">
        <f>13</f>
        <v>13</v>
      </c>
      <c r="D16" s="36" t="str">
        <f>"Steven E. Jackson"</f>
        <v>Steven E. Jackson</v>
      </c>
      <c r="E16" s="36" t="str">
        <f>"Madison Heights, MI"</f>
        <v>Madison Heights, MI</v>
      </c>
      <c r="F16" s="36">
        <f>551</f>
        <v>551</v>
      </c>
      <c r="G16" s="44">
        <f>337069011</f>
        <v>337069011</v>
      </c>
      <c r="H16" s="45">
        <f t="shared" si="1"/>
        <v>1.9210758024493715E-4</v>
      </c>
    </row>
    <row r="17" spans="1:8" x14ac:dyDescent="0.15">
      <c r="A17" s="36">
        <f>14</f>
        <v>14</v>
      </c>
      <c r="B17" s="36" t="str">
        <f>"Godfather’s Pizza*"</f>
        <v>Godfather’s Pizza*</v>
      </c>
      <c r="C17" s="36">
        <f>11</f>
        <v>11</v>
      </c>
      <c r="D17" s="36" t="str">
        <f>"Robert Gartlan"</f>
        <v>Robert Gartlan</v>
      </c>
      <c r="E17" s="36" t="str">
        <f>"Omaha, NE"</f>
        <v>Omaha, NE</v>
      </c>
      <c r="F17" s="36">
        <f>620</f>
        <v>620</v>
      </c>
      <c r="G17" s="44">
        <f>325600000</f>
        <v>325600000</v>
      </c>
      <c r="H17" s="45">
        <f t="shared" si="1"/>
        <v>1.9210758024493715E-4</v>
      </c>
    </row>
    <row r="18" spans="1:8" x14ac:dyDescent="0.15">
      <c r="A18" s="36">
        <f>15</f>
        <v>15</v>
      </c>
      <c r="B18" s="36" t="str">
        <f>"Old Chicago/Rock Bottom Restaurant*"</f>
        <v>Old Chicago/Rock Bottom Restaurant*</v>
      </c>
      <c r="C18" s="36">
        <f>15</f>
        <v>15</v>
      </c>
      <c r="D18" s="36" t="str">
        <f>"Mike Mrlik"</f>
        <v>Mike Mrlik</v>
      </c>
      <c r="E18" s="36" t="str">
        <f>"Louisville, CO"</f>
        <v>Louisville, CO</v>
      </c>
      <c r="F18" s="36">
        <f>96</f>
        <v>96</v>
      </c>
      <c r="G18" s="44">
        <f>320000000</f>
        <v>320000000</v>
      </c>
      <c r="H18" s="45">
        <f t="shared" si="1"/>
        <v>1.9210758024493715E-4</v>
      </c>
    </row>
    <row r="19" spans="1:8" x14ac:dyDescent="0.15">
      <c r="A19" s="36">
        <f>16</f>
        <v>16</v>
      </c>
      <c r="B19" s="36" t="str">
        <f>"Pizza Ranch"</f>
        <v>Pizza Ranch</v>
      </c>
      <c r="C19" s="36">
        <f>17</f>
        <v>17</v>
      </c>
      <c r="D19" s="36" t="str">
        <f>"Adrie Groeneweg"</f>
        <v>Adrie Groeneweg</v>
      </c>
      <c r="E19" s="36" t="str">
        <f>"Orange City, IA"</f>
        <v>Orange City, IA</v>
      </c>
      <c r="F19" s="36">
        <f>190</f>
        <v>190</v>
      </c>
      <c r="G19" s="44">
        <f>222274500</f>
        <v>222274500</v>
      </c>
      <c r="H19" s="45">
        <f t="shared" si="1"/>
        <v>1.9210758024493715E-4</v>
      </c>
    </row>
    <row r="20" spans="1:8" x14ac:dyDescent="0.15">
      <c r="A20" s="36">
        <f>17</f>
        <v>17</v>
      </c>
      <c r="B20" s="36" t="str">
        <f>"Uno Chicago Grill*"</f>
        <v>Uno Chicago Grill*</v>
      </c>
      <c r="C20" s="36">
        <f>16</f>
        <v>16</v>
      </c>
      <c r="D20" s="36" t="str">
        <f>"Aaron D. Spencer"</f>
        <v>Aaron D. Spencer</v>
      </c>
      <c r="E20" s="36" t="str">
        <f>"West Roxbury, MA"</f>
        <v>West Roxbury, MA</v>
      </c>
      <c r="F20" s="36">
        <f>149</f>
        <v>149</v>
      </c>
      <c r="G20" s="44">
        <f>210500000</f>
        <v>210500000</v>
      </c>
      <c r="H20" s="45">
        <f t="shared" si="1"/>
        <v>1.9210758024493715E-4</v>
      </c>
    </row>
    <row r="21" spans="1:8" x14ac:dyDescent="0.15">
      <c r="A21" s="36">
        <f>18</f>
        <v>18</v>
      </c>
      <c r="B21" s="36" t="str">
        <f>"Peter Piper Pizza*"</f>
        <v>Peter Piper Pizza*</v>
      </c>
      <c r="C21" s="36">
        <f>18</f>
        <v>18</v>
      </c>
      <c r="D21" s="36" t="str">
        <f>"Charles Bruce"</f>
        <v>Charles Bruce</v>
      </c>
      <c r="E21" s="36" t="str">
        <f>"Phoenix, AZ"</f>
        <v>Phoenix, AZ</v>
      </c>
      <c r="F21" s="36">
        <f>142</f>
        <v>142</v>
      </c>
      <c r="G21" s="44">
        <f>198000000</f>
        <v>198000000</v>
      </c>
      <c r="H21" s="45">
        <f t="shared" si="1"/>
        <v>1.9210758024493715E-4</v>
      </c>
    </row>
    <row r="22" spans="1:8" x14ac:dyDescent="0.15">
      <c r="A22" s="36">
        <f>19</f>
        <v>19</v>
      </c>
      <c r="B22" s="36" t="str">
        <f>"Mellow Mushroom*"</f>
        <v>Mellow Mushroom*</v>
      </c>
      <c r="C22" s="36">
        <f>20</f>
        <v>20</v>
      </c>
      <c r="D22" s="36" t="str">
        <f>"Richard Brasch"</f>
        <v>Richard Brasch</v>
      </c>
      <c r="E22" s="36" t="str">
        <f>"Atlanta, GA"</f>
        <v>Atlanta, GA</v>
      </c>
      <c r="F22" s="36">
        <f>175</f>
        <v>175</v>
      </c>
      <c r="G22" s="44">
        <f>191000000</f>
        <v>191000000</v>
      </c>
      <c r="H22" s="45">
        <f t="shared" si="1"/>
        <v>1.9210758024493715E-4</v>
      </c>
    </row>
    <row r="23" spans="1:8" x14ac:dyDescent="0.15">
      <c r="A23" s="36">
        <f>20</f>
        <v>20</v>
      </c>
      <c r="B23" s="36" t="str">
        <f>"Bertucci’s Italian"</f>
        <v>Bertucci’s Italian</v>
      </c>
      <c r="C23" s="36">
        <f>19</f>
        <v>19</v>
      </c>
      <c r="D23" s="36" t="str">
        <f>"Stuart Davies"</f>
        <v>Stuart Davies</v>
      </c>
      <c r="E23" s="36" t="str">
        <f>"Northborough, MA"</f>
        <v>Northborough, MA</v>
      </c>
      <c r="F23" s="36">
        <f>88</f>
        <v>88</v>
      </c>
      <c r="G23" s="44">
        <f>188000000</f>
        <v>188000000</v>
      </c>
      <c r="H23" s="45">
        <f t="shared" si="1"/>
        <v>1.9210758024493715E-4</v>
      </c>
    </row>
    <row r="24" spans="1:8" x14ac:dyDescent="0.15">
      <c r="A24" s="36">
        <f>21</f>
        <v>21</v>
      </c>
      <c r="B24" s="36" t="str">
        <f>"Rosati's Pizza"</f>
        <v>Rosati's Pizza</v>
      </c>
      <c r="C24" s="36">
        <f>21</f>
        <v>21</v>
      </c>
      <c r="D24" s="36" t="str">
        <f>"Marla Topliff"</f>
        <v>Marla Topliff</v>
      </c>
      <c r="E24" s="36" t="str">
        <f>"Elgin, IL"</f>
        <v>Elgin, IL</v>
      </c>
      <c r="F24" s="36">
        <f>126</f>
        <v>126</v>
      </c>
      <c r="G24" s="44">
        <f>188000000</f>
        <v>188000000</v>
      </c>
      <c r="H24" s="45">
        <f t="shared" si="1"/>
        <v>1.9210758024493715E-4</v>
      </c>
    </row>
    <row r="25" spans="1:8" x14ac:dyDescent="0.15">
      <c r="A25" s="36">
        <f>22</f>
        <v>22</v>
      </c>
      <c r="B25" s="36" t="str">
        <f>"Donatos Pizza"</f>
        <v>Donatos Pizza</v>
      </c>
      <c r="C25" s="36">
        <f>22</f>
        <v>22</v>
      </c>
      <c r="D25" s="36" t="str">
        <f>"Tom Krouse"</f>
        <v>Tom Krouse</v>
      </c>
      <c r="E25" s="36" t="str">
        <f>"Columbus, OH"</f>
        <v>Columbus, OH</v>
      </c>
      <c r="F25" s="36">
        <f>153</f>
        <v>153</v>
      </c>
      <c r="G25" s="44">
        <f>175000000</f>
        <v>175000000</v>
      </c>
      <c r="H25" s="45">
        <f t="shared" si="1"/>
        <v>1.9210758024493715E-4</v>
      </c>
    </row>
    <row r="26" spans="1:8" x14ac:dyDescent="0.15">
      <c r="A26" s="36">
        <f>23</f>
        <v>23</v>
      </c>
      <c r="B26" s="36" t="str">
        <f>"Gatti’s Pizza*"</f>
        <v>Gatti’s Pizza*</v>
      </c>
      <c r="C26" s="36">
        <f>23</f>
        <v>23</v>
      </c>
      <c r="D26" s="36" t="str">
        <f>"Steve Burt"</f>
        <v>Steve Burt</v>
      </c>
      <c r="E26" s="36" t="str">
        <f>"Austin, TX"</f>
        <v>Austin, TX</v>
      </c>
      <c r="F26" s="36">
        <f>110</f>
        <v>110</v>
      </c>
      <c r="G26" s="44">
        <f>145000000</f>
        <v>145000000</v>
      </c>
      <c r="H26" s="45">
        <f t="shared" si="1"/>
        <v>1.9210758024493715E-4</v>
      </c>
    </row>
    <row r="27" spans="1:8" x14ac:dyDescent="0.15">
      <c r="A27" s="36">
        <f>24</f>
        <v>24</v>
      </c>
      <c r="B27" s="36" t="str">
        <f>"LaRosa’s Pizzeria"</f>
        <v>LaRosa’s Pizzeria</v>
      </c>
      <c r="C27" s="36">
        <f>24</f>
        <v>24</v>
      </c>
      <c r="D27" s="36" t="str">
        <f>"Michael LaRosa"</f>
        <v>Michael LaRosa</v>
      </c>
      <c r="E27" s="36" t="str">
        <f>"Cincinnati, OH"</f>
        <v>Cincinnati, OH</v>
      </c>
      <c r="F27" s="36">
        <f>66</f>
        <v>66</v>
      </c>
      <c r="G27" s="44">
        <f>143599000</f>
        <v>143599000</v>
      </c>
      <c r="H27" s="45">
        <f t="shared" si="1"/>
        <v>1.9210758024493715E-4</v>
      </c>
    </row>
    <row r="28" spans="1:8" x14ac:dyDescent="0.15">
      <c r="A28" s="36">
        <f>25</f>
        <v>25</v>
      </c>
      <c r="B28" s="36" t="str">
        <f>"Fox's Pizza Den"</f>
        <v>Fox's Pizza Den</v>
      </c>
      <c r="C28" s="36">
        <f>25</f>
        <v>25</v>
      </c>
      <c r="D28" s="36" t="str">
        <f>"James R. Fox"</f>
        <v>James R. Fox</v>
      </c>
      <c r="E28" s="36" t="str">
        <f>"Murrysville, PA"</f>
        <v>Murrysville, PA</v>
      </c>
      <c r="F28" s="36">
        <f>250</f>
        <v>250</v>
      </c>
      <c r="G28" s="44">
        <f>131250000</f>
        <v>131250000</v>
      </c>
      <c r="H28" s="45">
        <f t="shared" si="1"/>
        <v>1.9210758024493715E-4</v>
      </c>
    </row>
    <row r="29" spans="1:8" x14ac:dyDescent="0.15">
      <c r="F29" s="37"/>
    </row>
  </sheetData>
  <conditionalFormatting sqref="A1:A2 X1:X2">
    <cfRule type="expression" dxfId="19" priority="3">
      <formula>$A$2/$B$2&gt;=0.05</formula>
    </cfRule>
  </conditionalFormatting>
  <conditionalFormatting sqref="B1:B2 Y1:Y2">
    <cfRule type="expression" dxfId="18" priority="4">
      <formula>$A$2/$B$2&gt;=0.1</formula>
    </cfRule>
  </conditionalFormatting>
  <conditionalFormatting sqref="C1:C2 Z1:Z2">
    <cfRule type="expression" dxfId="17" priority="5">
      <formula>$A$2/$B$2&gt;=0.15</formula>
    </cfRule>
  </conditionalFormatting>
  <conditionalFormatting sqref="D1:D2 AA1:AA2">
    <cfRule type="expression" dxfId="16" priority="6">
      <formula>$A$2/$B$2&gt;=0.2</formula>
    </cfRule>
  </conditionalFormatting>
  <conditionalFormatting sqref="E1:E2 AB1:AB2">
    <cfRule type="expression" dxfId="15" priority="7">
      <formula>$A$2/$B$2&gt;=0.25</formula>
    </cfRule>
  </conditionalFormatting>
  <conditionalFormatting sqref="F1:F2 AC1:AC2">
    <cfRule type="expression" dxfId="14" priority="8">
      <formula>$A$2/$B$2&gt;=0.3</formula>
    </cfRule>
  </conditionalFormatting>
  <conditionalFormatting sqref="G1:G2 AD1:AD2">
    <cfRule type="expression" dxfId="13" priority="9">
      <formula>$A$2/$B$2&gt;=0.35</formula>
    </cfRule>
  </conditionalFormatting>
  <conditionalFormatting sqref="H1:H2 AE1:AE2">
    <cfRule type="expression" dxfId="12" priority="10">
      <formula>$A$2/$B$2&gt;=0.4</formula>
    </cfRule>
  </conditionalFormatting>
  <conditionalFormatting sqref="I1:I2 AF1:AF2">
    <cfRule type="expression" dxfId="11" priority="11">
      <formula>$A$2/$B$2&gt;=0.45</formula>
    </cfRule>
  </conditionalFormatting>
  <conditionalFormatting sqref="J1:J2 AG1:AG2">
    <cfRule type="expression" dxfId="10" priority="12">
      <formula>$A$2/$B$2&gt;=0.5</formula>
    </cfRule>
  </conditionalFormatting>
  <conditionalFormatting sqref="K1:K2 AH1:AH2">
    <cfRule type="expression" dxfId="9" priority="13">
      <formula>$A$2/$B$2&gt;=0.55</formula>
    </cfRule>
  </conditionalFormatting>
  <conditionalFormatting sqref="L1:L2 AI1:AI2">
    <cfRule type="expression" dxfId="8" priority="14">
      <formula>$A$2/$B$2&gt;=0.6</formula>
    </cfRule>
  </conditionalFormatting>
  <conditionalFormatting sqref="M1:M2 AJ1:AJ2">
    <cfRule type="expression" dxfId="7" priority="15">
      <formula>$A$2/$B$2&gt;=0.65</formula>
    </cfRule>
  </conditionalFormatting>
  <conditionalFormatting sqref="N1:N2 AK1:AK2">
    <cfRule type="expression" dxfId="6" priority="16">
      <formula>$A$2/$B$2&gt;=0.7</formula>
    </cfRule>
  </conditionalFormatting>
  <conditionalFormatting sqref="O1:O2 AL1:AL2">
    <cfRule type="expression" dxfId="5" priority="17">
      <formula>$A$2/$B$2&gt;=0.75</formula>
    </cfRule>
  </conditionalFormatting>
  <conditionalFormatting sqref="P1">
    <cfRule type="expression" dxfId="4" priority="2">
      <formula>$P$1&lt;&gt;""</formula>
    </cfRule>
  </conditionalFormatting>
  <conditionalFormatting sqref="P1:P2 AM1:AM2">
    <cfRule type="expression" dxfId="3" priority="18">
      <formula>$A$2/$B$2&gt;=0.8</formula>
    </cfRule>
  </conditionalFormatting>
  <conditionalFormatting sqref="Q1:Q2 AN1:AN2">
    <cfRule type="expression" dxfId="2" priority="19">
      <formula>$A$2/$B$2&gt;=0.85</formula>
    </cfRule>
  </conditionalFormatting>
  <conditionalFormatting sqref="Q1:R1 A1:O2 X1:AO2 P2:R2">
    <cfRule type="expression" dxfId="1" priority="1" stopIfTrue="1">
      <formula>$P$1="Feedback OFF"</formula>
    </cfRule>
  </conditionalFormatting>
  <conditionalFormatting sqref="R1:R2 AO1:AO2">
    <cfRule type="expression" dxfId="0" priority="20">
      <formula>$A$2/$B$2&gt;=1</formula>
    </cfRule>
  </conditionalFormatting>
  <dataValidations count="1">
    <dataValidation type="list" allowBlank="1" showInputMessage="1" showErrorMessage="1" sqref="P1" xr:uid="{85E3FD3D-29A5-4C36-B594-E77BFF8E7D41}">
      <formula1>"Feedback ON, Taunting ON, Feedback OFF"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FeedbackSFX</vt:lpstr>
      <vt:lpstr>Scoreboard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Marcin Bartosiak</dc:creator>
  <cp:lastModifiedBy>Marcin Bartosiak</cp:lastModifiedBy>
  <dcterms:created xsi:type="dcterms:W3CDTF">2025-11-25T18:17:09Z</dcterms:created>
  <dcterms:modified xsi:type="dcterms:W3CDTF">2025-11-25T18:17:45Z</dcterms:modified>
</cp:coreProperties>
</file>