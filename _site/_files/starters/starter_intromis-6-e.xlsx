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palese/Desktop/"/>
    </mc:Choice>
  </mc:AlternateContent>
  <xr:revisionPtr revIDLastSave="0" documentId="13_ncr:1_{035B4C48-AB24-B948-9D84-ED1CCEF63167}" xr6:coauthVersionLast="45" xr6:coauthVersionMax="45" xr10:uidLastSave="{00000000-0000-0000-0000-000000000000}"/>
  <workbookProtection lockStructure="1"/>
  <bookViews>
    <workbookView xWindow="0" yWindow="460" windowWidth="28800" windowHeight="16420" tabRatio="500" xr2:uid="{00000000-000D-0000-FFFF-FFFF00000000}"/>
  </bookViews>
  <sheets>
    <sheet name="Parameters" sheetId="18" r:id="rId1"/>
    <sheet name="Sales and Units Analysis" sheetId="20" r:id="rId2"/>
    <sheet name="Results" sheetId="23" r:id="rId3"/>
  </sheets>
  <definedNames>
    <definedName name="_xlnm.Print_Area" localSheetId="2">Results!$E$3</definedName>
  </definedNames>
  <calcPr calcId="191029" iterate="1" iterateDelta="9.9999999999999995E-7"/>
  <pivotCaches>
    <pivotCache cacheId="4" r:id="rId4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2" i="23" l="1"/>
  <c r="C8" i="23"/>
  <c r="C9" i="23" s="1"/>
  <c r="C16" i="23" l="1"/>
  <c r="C15" i="23"/>
  <c r="C17" i="23" s="1"/>
  <c r="C10" i="23"/>
  <c r="C11" i="23" l="1"/>
  <c r="B39" i="18"/>
  <c r="B36" i="18"/>
  <c r="B38" i="18" s="1"/>
  <c r="B14" i="18"/>
  <c r="B17" i="18" s="1"/>
  <c r="B40" i="18" l="1"/>
  <c r="C18" i="23"/>
  <c r="C19" i="23" s="1"/>
  <c r="C13" i="23"/>
  <c r="C14" i="23" s="1"/>
  <c r="B29" i="18"/>
  <c r="B30" i="18" s="1"/>
</calcChain>
</file>

<file path=xl/sharedStrings.xml><?xml version="1.0" encoding="utf-8"?>
<sst xmlns="http://schemas.openxmlformats.org/spreadsheetml/2006/main" count="565" uniqueCount="563">
  <si>
    <t>Small</t>
  </si>
  <si>
    <t>Medium</t>
  </si>
  <si>
    <t>Avg Price</t>
  </si>
  <si>
    <t>Avg Weight (lbs)</t>
  </si>
  <si>
    <t>Price</t>
  </si>
  <si>
    <t>Payload capacity (pounds)</t>
  </si>
  <si>
    <t>Max speed (mph)</t>
  </si>
  <si>
    <t>Operating range (miles)</t>
  </si>
  <si>
    <t>Pizza size</t>
  </si>
  <si>
    <t>Hourly wage (considering SS, Medicare)</t>
  </si>
  <si>
    <t>Non-Owned auto insurance and meals / h</t>
  </si>
  <si>
    <t>Flight time autonomy (min)</t>
  </si>
  <si>
    <t xml:space="preserve">Drone Characteristics </t>
  </si>
  <si>
    <t>(http://drones.specout.com/l/1125/DJI-Matrice-600-Pro-M600-Pro)</t>
  </si>
  <si>
    <t xml:space="preserve">Traditional delivery economics </t>
  </si>
  <si>
    <t>(http://www.pizzatoday.com/departments/back-office/cost-of-delivery/)</t>
  </si>
  <si>
    <t>Average time to deliver drone / h</t>
  </si>
  <si>
    <t>Alternative (http://drones.specout.com/l/111/Yuneec-Flying-Eyes-HX3)</t>
  </si>
  <si>
    <t>Pizza drone</t>
  </si>
  <si>
    <t>Hourly wage drone operator</t>
  </si>
  <si>
    <t>Number of drones per operator</t>
  </si>
  <si>
    <t>Maintenance per year</t>
  </si>
  <si>
    <t>Delivery cost charged to customer</t>
  </si>
  <si>
    <t>Years drone depreciation</t>
  </si>
  <si>
    <t>Maximum drone deliveries per hour</t>
  </si>
  <si>
    <t>Avg speed (mph)</t>
  </si>
  <si>
    <t>Cost per minute</t>
  </si>
  <si>
    <t>Working hours per day</t>
  </si>
  <si>
    <t>Electricity per minute</t>
  </si>
  <si>
    <t>Drone elegible number of deliveries</t>
  </si>
  <si>
    <t>Avg distance delivery for drone elegible deliveries</t>
  </si>
  <si>
    <t>Cost per minute operator + electricity</t>
  </si>
  <si>
    <t>Cost drone per minute</t>
  </si>
  <si>
    <t>Total cost drone per minute</t>
  </si>
  <si>
    <t>Large</t>
  </si>
  <si>
    <t>Average orders per day</t>
  </si>
  <si>
    <t>% Total order elegible for drone delivery</t>
  </si>
  <si>
    <t>Avg cost drone delivery</t>
  </si>
  <si>
    <t>Segment</t>
  </si>
  <si>
    <t>Menu Category</t>
  </si>
  <si>
    <t>McDonald's</t>
  </si>
  <si>
    <t>Starbucks</t>
  </si>
  <si>
    <t>Subway</t>
  </si>
  <si>
    <t>Taco Bell</t>
  </si>
  <si>
    <t>Burger King</t>
  </si>
  <si>
    <t>Wendy's</t>
  </si>
  <si>
    <t>Dunkin' Donuts</t>
  </si>
  <si>
    <t>Chick-fil-A</t>
  </si>
  <si>
    <t>Pizza Hut</t>
  </si>
  <si>
    <t>Panera Bread/Saint Louis Bread Co.</t>
  </si>
  <si>
    <t>Applebee's</t>
  </si>
  <si>
    <t>Domino's</t>
  </si>
  <si>
    <t>Chipotle Mexican Grill</t>
  </si>
  <si>
    <t>SONIC Drive-In</t>
  </si>
  <si>
    <t>KFC</t>
  </si>
  <si>
    <t>Olive Garden</t>
  </si>
  <si>
    <t>Buffalo Wild Wings</t>
  </si>
  <si>
    <t>Dairy Queen/Orange Julius</t>
  </si>
  <si>
    <t>Little Caesars</t>
  </si>
  <si>
    <t>Arby's</t>
  </si>
  <si>
    <t>Chili's Grill &amp; Bar</t>
  </si>
  <si>
    <t>Jack in the Box</t>
  </si>
  <si>
    <t>IHOP</t>
  </si>
  <si>
    <t>Papa John's</t>
  </si>
  <si>
    <t>Popeyes Louisiana Kitchen</t>
  </si>
  <si>
    <t>Outback Steakhouse</t>
  </si>
  <si>
    <t>Panda Express</t>
  </si>
  <si>
    <t>Denny's</t>
  </si>
  <si>
    <t>Red Lobster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</si>
  <si>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</si>
  <si>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</si>
  <si>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</si>
  <si>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</si>
  <si>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</si>
  <si>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</si>
  <si>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</si>
  <si>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</si>
  <si>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</si>
  <si>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</si>
  <si>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</si>
  <si>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</si>
  <si>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</si>
  <si>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</si>
  <si>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</si>
  <si>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</si>
  <si>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</si>
  <si>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</si>
  <si>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</si>
  <si>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</si>
  <si>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</si>
  <si>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</si>
  <si>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</si>
  <si>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</si>
  <si>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</si>
  <si>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</si>
  <si>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</si>
  <si>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</si>
  <si>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</si>
  <si>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</si>
  <si>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</si>
  <si>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</si>
  <si>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</si>
  <si>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</si>
  <si>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</si>
  <si>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</si>
  <si>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</si>
  <si>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</si>
  <si>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</si>
  <si>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</si>
  <si>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</si>
  <si>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</si>
  <si>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</si>
  <si>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</si>
  <si>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</si>
  <si>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</si>
  <si>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</si>
  <si>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</si>
  <si>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</si>
  <si>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</si>
  <si>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</si>
  <si>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</si>
  <si>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</si>
  <si>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</si>
  <si>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</si>
  <si>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</si>
  <si>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</si>
  <si>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</si>
  <si>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</si>
  <si>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</si>
  <si>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</si>
  <si>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</si>
  <si>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</si>
  <si>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</si>
  <si>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</si>
  <si>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</si>
  <si>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</si>
  <si>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</si>
  <si>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</si>
  <si>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</si>
  <si>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</si>
  <si>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Chuck E. Cheese's</t>
  </si>
  <si>
    <t>Au Bon Pain</t>
  </si>
  <si>
    <t>On The Border Mexican Grill &amp; Cantina</t>
  </si>
  <si>
    <t>Village Inn</t>
  </si>
  <si>
    <t>Taco John's</t>
  </si>
  <si>
    <t>Pei Wei Asian Diner</t>
  </si>
  <si>
    <t>Hungry Howie's Pizza</t>
  </si>
  <si>
    <t>Jet's Pizza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</si>
  <si>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</si>
  <si>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</si>
  <si>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</si>
  <si>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</si>
  <si>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</si>
  <si>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</si>
  <si>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</si>
  <si>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</si>
  <si>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</si>
  <si>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</si>
  <si>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</si>
  <si>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</si>
  <si>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</si>
  <si>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Godfather's Pizza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</si>
  <si>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</si>
  <si>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</si>
  <si>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</si>
  <si>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</si>
  <si>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</si>
  <si>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</si>
  <si>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</si>
  <si>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</si>
  <si>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</si>
  <si>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</si>
  <si>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</si>
  <si>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</si>
  <si>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</si>
  <si>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</si>
  <si>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</si>
  <si>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</si>
  <si>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</si>
  <si>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Sbarro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</si>
  <si>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</si>
  <si>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</si>
  <si>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</si>
  <si>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</si>
  <si>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</si>
  <si>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</si>
  <si>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</si>
  <si>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</si>
  <si>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</si>
  <si>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</si>
  <si>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</si>
  <si>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</si>
  <si>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</si>
  <si>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</si>
  <si>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</si>
  <si>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Pizza Ranch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</si>
  <si>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</si>
  <si>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</si>
  <si>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</si>
  <si>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</si>
  <si>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</si>
  <si>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</si>
  <si>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</si>
  <si>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</si>
  <si>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</si>
  <si>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</si>
  <si>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</si>
  <si>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</si>
  <si>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</si>
  <si>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</si>
  <si>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</si>
  <si>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</si>
  <si>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</si>
  <si>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</si>
  <si>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</si>
  <si>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</si>
  <si>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</si>
  <si>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</si>
  <si>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Peter Piper Pizza</t>
  </si>
  <si>
    <t>Tilted Kilt Pub &amp; Eatery</t>
  </si>
  <si>
    <t>Lucille's Smokehouse Bar-B-Que</t>
  </si>
  <si>
    <t>Taco Bueno</t>
  </si>
  <si>
    <t>Donatos Pizza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</si>
  <si>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</si>
  <si>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</si>
  <si>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</si>
  <si>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</si>
  <si>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</si>
  <si>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</si>
  <si>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</si>
  <si>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</si>
  <si>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</si>
  <si>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</si>
  <si>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</si>
  <si>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</si>
  <si>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</si>
  <si>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</si>
  <si>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</si>
  <si>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</si>
  <si>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</si>
  <si>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</si>
  <si>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</si>
  <si>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</si>
  <si>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</si>
  <si>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</si>
  <si>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</si>
  <si>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</si>
  <si>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</si>
  <si>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</si>
  <si>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</si>
  <si>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Villa Fresh Italian Kitchen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</si>
  <si>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</si>
  <si>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</si>
  <si>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</si>
  <si>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</si>
  <si>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</si>
  <si>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Papa Gino's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</si>
  <si>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</si>
  <si>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</si>
  <si>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</si>
  <si>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</si>
  <si>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</si>
  <si>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</si>
  <si>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</si>
  <si>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</si>
  <si>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</si>
  <si>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</si>
  <si>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</si>
  <si>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</si>
  <si>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</si>
  <si>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</si>
  <si>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</si>
  <si>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</si>
  <si>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</si>
  <si>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</si>
  <si>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</si>
  <si>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Mazzio's Italian Eatery</t>
  </si>
  <si>
    <t>Fox's Pizza Den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</si>
  <si>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</si>
  <si>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</si>
  <si>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</si>
  <si>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</si>
  <si>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</si>
  <si>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</si>
  <si>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</si>
  <si>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Mountain Mike's Pizza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</si>
  <si>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</si>
  <si>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</si>
  <si>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</si>
  <si>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</si>
  <si>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</si>
  <si>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</si>
  <si>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</si>
  <si>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</si>
  <si>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</si>
  <si>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</si>
  <si>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</si>
  <si>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</si>
  <si>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Aesthetic Bug</t>
  </si>
  <si>
    <t>Affecté</t>
  </si>
  <si>
    <t>Affluential</t>
  </si>
  <si>
    <t>After Giggle</t>
  </si>
  <si>
    <t>Aftertizer</t>
  </si>
  <si>
    <t>Aglaya</t>
  </si>
  <si>
    <t>Ahui</t>
  </si>
  <si>
    <t>Al Fresco</t>
  </si>
  <si>
    <t>Alcohol &amp; Archery</t>
  </si>
  <si>
    <t>Alephant</t>
  </si>
  <si>
    <t>Alluvia</t>
  </si>
  <si>
    <t>American Whey</t>
  </si>
  <si>
    <t>Amygdala Lounge</t>
  </si>
  <si>
    <t>Anacho</t>
  </si>
  <si>
    <t>Anavenetro</t>
  </si>
  <si>
    <t>Angel Walk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</si>
  <si>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</si>
  <si>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</si>
  <si>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</si>
  <si>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</si>
  <si>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</si>
  <si>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</si>
  <si>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</si>
  <si>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</si>
  <si>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</si>
  <si>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</si>
  <si>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</si>
  <si>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</si>
  <si>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</si>
  <si>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</si>
  <si>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</si>
  <si>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</si>
  <si>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</si>
  <si>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</si>
  <si>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</si>
  <si>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</si>
  <si>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</si>
  <si>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</si>
  <si>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</si>
  <si>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</si>
  <si>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</si>
  <si>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</si>
  <si>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Bandit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</si>
  <si>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</si>
  <si>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</si>
  <si>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</si>
  <si>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</si>
  <si>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</si>
  <si>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</si>
  <si>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</si>
  <si>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</si>
  <si>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</si>
  <si>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</si>
  <si>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</si>
  <si>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</si>
  <si>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</si>
  <si>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</si>
  <si>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</si>
  <si>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</si>
  <si>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</si>
  <si>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</si>
  <si>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</si>
  <si>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</si>
  <si>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</si>
  <si>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</si>
  <si>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</si>
  <si>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</si>
  <si>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</si>
  <si>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</si>
  <si>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</si>
  <si>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</si>
  <si>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</si>
  <si>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</si>
  <si>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</si>
  <si>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</si>
  <si>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</si>
  <si>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</si>
  <si>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</si>
  <si>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</si>
  <si>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</si>
  <si>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Beluga Banjo</t>
  </si>
  <si>
    <t>Beluga Joe’s</t>
  </si>
  <si>
    <t>Benephisto</t>
  </si>
  <si>
    <t>Bengal Bagel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</si>
  <si>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</si>
  <si>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</si>
  <si>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</si>
  <si>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</si>
  <si>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</si>
  <si>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</si>
  <si>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</si>
  <si>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</si>
  <si>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Bingo Bingo</t>
  </si>
  <si>
    <t>Birmingham Sandwiches</t>
  </si>
  <si>
    <t>Bitter Plaid</t>
  </si>
  <si>
    <t>Black Velvet Mauve</t>
  </si>
  <si>
    <t>Blan-Diego’s</t>
  </si>
  <si>
    <t>Bleached Peach</t>
  </si>
  <si>
    <t>Bleeko</t>
  </si>
  <si>
    <t>Blind Carbos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</si>
  <si>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</si>
  <si>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</si>
  <si>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</si>
  <si>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</si>
  <si>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</si>
  <si>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</si>
  <si>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</si>
  <si>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</si>
  <si>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</si>
  <si>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</si>
  <si>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</si>
  <si>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</si>
  <si>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</si>
  <si>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Bourbon Bliss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</si>
  <si>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</si>
  <si>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</si>
  <si>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</si>
  <si>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</si>
  <si>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</si>
  <si>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</si>
  <si>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</si>
  <si>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</si>
  <si>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</si>
  <si>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</si>
  <si>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</si>
  <si>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</si>
  <si>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</si>
  <si>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</si>
  <si>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</si>
  <si>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</si>
  <si>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</si>
  <si>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 Gloss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</si>
  <si>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</si>
  <si>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</si>
  <si>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</si>
  <si>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</si>
  <si>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</si>
  <si>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</si>
  <si>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</si>
  <si>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</si>
  <si>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</si>
  <si>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</si>
  <si>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</si>
  <si>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</si>
  <si>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</si>
  <si>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</si>
  <si>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</si>
  <si>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Brood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</si>
  <si>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</si>
  <si>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</si>
  <si>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</si>
  <si>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</si>
  <si>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</si>
  <si>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</si>
  <si>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</si>
  <si>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</si>
  <si>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</si>
  <si>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</si>
  <si>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</si>
  <si>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</si>
  <si>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</si>
  <si>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</si>
  <si>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</si>
  <si>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</si>
  <si>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</si>
  <si>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</si>
  <si>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</si>
  <si>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</si>
  <si>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</si>
  <si>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</si>
  <si>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Serene</t>
  </si>
  <si>
    <t>Caffeine Wall</t>
  </si>
  <si>
    <t>Caffeinspiration</t>
  </si>
  <si>
    <t>Cajun Trapper</t>
  </si>
  <si>
    <t>Cajun-Sation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</si>
  <si>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</si>
  <si>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</si>
  <si>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</si>
  <si>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</si>
  <si>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</si>
  <si>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</si>
  <si>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</si>
  <si>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</si>
  <si>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</si>
  <si>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</si>
  <si>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</si>
  <si>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</si>
  <si>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</si>
  <si>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</si>
  <si>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</si>
  <si>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</si>
  <si>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</si>
  <si>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</si>
  <si>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</si>
  <si>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</si>
  <si>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</si>
  <si>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</si>
  <si>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</si>
  <si>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</si>
  <si>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</si>
  <si>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</si>
  <si>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</si>
  <si>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Central Pork</t>
  </si>
  <si>
    <t>Chalk and Stars</t>
  </si>
  <si>
    <t>Chap and Spur</t>
  </si>
  <si>
    <t>Chateau Low-blow</t>
  </si>
  <si>
    <t>Chaucer’s Choice</t>
  </si>
  <si>
    <t>Cheeky</t>
  </si>
  <si>
    <t>Cheese Picnic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</si>
  <si>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</si>
  <si>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</si>
  <si>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</si>
  <si>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</si>
  <si>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</si>
  <si>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</si>
  <si>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</si>
  <si>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</si>
  <si>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</si>
  <si>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</si>
  <si>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</si>
  <si>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</si>
  <si>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</si>
  <si>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</si>
  <si>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</si>
  <si>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</si>
  <si>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</si>
  <si>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</si>
  <si>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</si>
  <si>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Chorus</t>
  </si>
  <si>
    <t>Christian Cuisine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</si>
  <si>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</si>
  <si>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</si>
  <si>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</si>
  <si>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</si>
  <si>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</si>
  <si>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</si>
  <si>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</si>
  <si>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Cinesanct</t>
  </si>
  <si>
    <t>Circula</t>
  </si>
  <si>
    <t>City of Fish</t>
  </si>
  <si>
    <t>Civil Libation</t>
  </si>
  <si>
    <t>Row Labels</t>
  </si>
  <si>
    <t>Grand Total</t>
  </si>
  <si>
    <t>Pizza chains</t>
  </si>
  <si>
    <t xml:space="preserve">Sum of  2015 US Sales ($000) </t>
  </si>
  <si>
    <t>Sum of 2015 US Units</t>
  </si>
  <si>
    <t>(All)</t>
  </si>
  <si>
    <t>Avg cost traditional delivery (drone eligible)</t>
  </si>
  <si>
    <t>Result page</t>
  </si>
  <si>
    <t>Target Delivery  Price</t>
  </si>
  <si>
    <t>Target Market Share Units</t>
  </si>
  <si>
    <t>Target Number of Units</t>
  </si>
  <si>
    <t>Value Added Analysis</t>
  </si>
  <si>
    <t>Total daily number of  orders</t>
  </si>
  <si>
    <t>Total daily number of orders eligible for drone delivery</t>
  </si>
  <si>
    <t>Total daily number of orders per unit</t>
  </si>
  <si>
    <t>Total daily number of orders per unit order eligible for drone delivery</t>
  </si>
  <si>
    <t>Saving cost per order using drones</t>
  </si>
  <si>
    <t>Daily saving using drones</t>
  </si>
  <si>
    <t>Yearly saving using drones</t>
  </si>
  <si>
    <t xml:space="preserve">Total cost of drone delivery per day </t>
  </si>
  <si>
    <t>Total cost traditional delivery per day</t>
  </si>
  <si>
    <t>Total cost savings on delivery per day</t>
  </si>
  <si>
    <t>Projected daily revenue</t>
  </si>
  <si>
    <t>Projected yearly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</si>
</sst>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"/>
    <numFmt numFmtId="166" formatCode="_(&quot;$&quot;* #,##0.0000_);_(&quot;$&quot;* \(#,##0.0000\);_(&quot;$&quot;* &quot;-&quot;??_);_(@_)"/>
    <numFmt numFmtId="167" formatCode="&quot;$&quot;#,##0.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Tahoma"/>
    </font>
    <font>
      <b/>
      <sz val="14"/>
      <color rgb="FF7030A0"/>
      <name val="Calibri"/>
      <family val="2"/>
      <scheme val="minor"/>
    </font>
    <font>
      <b/>
      <sz val="16"/>
      <color rgb="FF7030A0"/>
      <name val="Tahoma"/>
    </font>
    <font>
      <sz val="14"/>
      <color theme="1"/>
      <name val="Century Gothic"/>
    </font>
    <font>
      <i/>
      <sz val="14"/>
      <color theme="1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1" fontId="0" fillId="0" borderId="0" xfId="0" applyNumberFormat="1"/>
    <xf numFmtId="4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4" fontId="0" fillId="0" borderId="0" xfId="2" applyNumberFormat="1" applyFont="1"/>
    <xf numFmtId="0" fontId="0" fillId="0" borderId="0" xfId="0" applyAlignment="1">
      <alignment horizontal="left"/>
    </xf>
    <xf numFmtId="44" fontId="0" fillId="0" borderId="0" xfId="2" applyFont="1"/>
    <xf numFmtId="166" fontId="0" fillId="0" borderId="0" xfId="2" applyNumberFormat="1" applyFont="1"/>
    <xf numFmtId="9" fontId="0" fillId="2" borderId="0" xfId="1" applyFont="1" applyFill="1"/>
    <xf numFmtId="44" fontId="0" fillId="2" borderId="0" xfId="2" applyFont="1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3" fillId="4" borderId="0" xfId="0" applyFont="1" applyFill="1"/>
    <xf numFmtId="0" fontId="4" fillId="4" borderId="0" xfId="0" applyFont="1" applyFill="1"/>
    <xf numFmtId="44" fontId="0" fillId="4" borderId="0" xfId="0" applyNumberFormat="1" applyFill="1" applyProtection="1"/>
    <xf numFmtId="9" fontId="0" fillId="4" borderId="0" xfId="1" applyFont="1" applyFill="1" applyProtection="1">
      <protection locked="0"/>
    </xf>
    <xf numFmtId="1" fontId="0" fillId="4" borderId="0" xfId="0" applyNumberFormat="1" applyFill="1"/>
    <xf numFmtId="44" fontId="0" fillId="4" borderId="0" xfId="0" applyNumberFormat="1" applyFill="1"/>
    <xf numFmtId="9" fontId="0" fillId="4" borderId="0" xfId="1" applyFont="1" applyFill="1"/>
    <xf numFmtId="0" fontId="5" fillId="4" borderId="1" xfId="0" applyFont="1" applyFill="1" applyBorder="1"/>
    <xf numFmtId="0" fontId="5" fillId="4" borderId="2" xfId="0" applyFont="1" applyFill="1" applyBorder="1"/>
    <xf numFmtId="1" fontId="0" fillId="4" borderId="3" xfId="0" applyNumberFormat="1" applyFill="1" applyBorder="1"/>
    <xf numFmtId="1" fontId="0" fillId="4" borderId="4" xfId="0" applyNumberFormat="1" applyFill="1" applyBorder="1"/>
    <xf numFmtId="44" fontId="0" fillId="4" borderId="4" xfId="0" applyNumberFormat="1" applyFill="1" applyBorder="1"/>
    <xf numFmtId="164" fontId="0" fillId="4" borderId="4" xfId="0" applyNumberFormat="1" applyFill="1" applyBorder="1"/>
    <xf numFmtId="1" fontId="0" fillId="4" borderId="5" xfId="0" applyNumberFormat="1" applyFill="1" applyBorder="1"/>
    <xf numFmtId="164" fontId="0" fillId="4" borderId="6" xfId="0" applyNumberFormat="1" applyFill="1" applyBorder="1"/>
    <xf numFmtId="0" fontId="7" fillId="4" borderId="0" xfId="0" applyFont="1" applyFill="1"/>
    <xf numFmtId="1" fontId="6" fillId="4" borderId="0" xfId="0" applyNumberFormat="1" applyFont="1" applyFill="1" applyProtection="1">
      <protection locked="0"/>
    </xf>
    <xf numFmtId="167" fontId="6" fillId="4" borderId="0" xfId="0" applyNumberFormat="1" applyFont="1" applyFill="1" applyAlignment="1">
      <alignment horizontal="right"/>
    </xf>
    <xf numFmtId="1" fontId="6" fillId="4" borderId="0" xfId="0" applyNumberFormat="1" applyFont="1" applyFill="1"/>
  </cellXfs>
  <cellStyles count="3">
    <cellStyle name="Currency 2" xfId="2" xr:uid="{61FD3EA9-104E-FB4E-94A6-F67253F59D4E}"/>
    <cellStyle name="Normal" xfId="0" builtinId="0"/>
    <cellStyle name="Percent 2" xfId="1" xr:uid="{00000000-0005-0000-0000-000003000000}"/>
  </cellStyles>
  <dxfs count="6">
    <dxf>
      <numFmt numFmtId="1" formatCode="0"/>
    </dxf>
    <dxf>
      <numFmt numFmtId="168" formatCode="0.0"/>
    </dxf>
    <dxf>
      <numFmt numFmtId="2" formatCode="0.00"/>
    </dxf>
    <dxf>
      <numFmt numFmtId="169" formatCode="0.000"/>
    </dxf>
    <dxf>
      <numFmt numFmtId="2" formatCode="0.00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delivery costs and savings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Results!$B$15:$B$17</c:f>
              <c:strCache>
                <c:ptCount val="3"/>
                <c:pt idx="0">
                  <c:v>Total cost of drone delivery per day </c:v>
                </c:pt>
                <c:pt idx="1">
                  <c:v>Total cost traditional delivery per day</c:v>
                </c:pt>
                <c:pt idx="2">
                  <c:v>Total cost savings on delivery per day</c:v>
                </c:pt>
              </c:strCache>
            </c:strRef>
          </c:cat>
          <c:val>
            <c:numRef>
              <c:f>Results!$C$15:$C$17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A-884A-9669-CED3DEEFC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48706448"/>
        <c:axId val="-748703696"/>
      </c:barChart>
      <c:catAx>
        <c:axId val="-74870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48703696"/>
        <c:crosses val="autoZero"/>
        <c:auto val="1"/>
        <c:lblAlgn val="ctr"/>
        <c:lblOffset val="100"/>
        <c:noMultiLvlLbl val="0"/>
      </c:catAx>
      <c:valAx>
        <c:axId val="-7487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4870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6</xdr:row>
      <xdr:rowOff>160866</xdr:rowOff>
    </xdr:from>
    <xdr:to>
      <xdr:col>6</xdr:col>
      <xdr:colOff>177800</xdr:colOff>
      <xdr:row>16</xdr:row>
      <xdr:rowOff>160866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97E5D5-5DEC-1543-922A-62530D230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iagio/Desktop/isds1001website/views/media/datafiles/excel/excel62018/key_e6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agio Palese" refreshedDate="43130.607835069444" createdVersion="6" refreshedVersion="6" minRefreshableVersion="3" recordCount="499" xr:uid="{91BB75D9-03E4-0144-9A69-AD5EE3898659}">
  <cacheSource type="worksheet">
    <worksheetSource ref="A1:G500" sheet="Market Calculations" r:id="rId2"/>
  </cacheSource>
  <cacheFields count="7">
    <cacheField name="Ranksort descending" numFmtId="0">
      <sharedItems containsSemiMixedTypes="0" containsString="0" containsNumber="1" containsInteger="1" minValue="1" maxValue="500"/>
    </cacheField>
    <cacheField name="Chain" numFmtId="0">
      <sharedItems count="499">
        <s v="McDonald's"/>
        <s v="Starbucks"/>
        <s v="Subway"/>
        <s v="Taco Bell"/>
        <s v="Burger King"/>
        <s v="Wendy's"/>
        <s v="Dunkin' Donuts"/>
        <s v="Chick-fil-A"/>
        <s v="Pizza Hut"/>
        <s v="Panera Bread/Saint Louis Bread Co."/>
        <s v="Applebee's"/>
        <s v="Domino's"/>
        <s v="Chipotle Mexican Grill"/>
        <s v="SONIC Drive-In"/>
        <s v="KFC"/>
        <s v="Olive Garden"/>
        <s v="Buffalo Wild Wings"/>
        <s v="Dairy Queen/Orange Julius"/>
        <s v="Little Caesars"/>
        <s v="Arby's"/>
        <s v="Chili's Grill &amp; Bar"/>
        <s v="Jack in the Box"/>
        <s v="IHOP"/>
        <s v="Papa John's"/>
        <s v="Popeyes Louisiana Kitchen"/>
        <s v="Outback Steakhouse"/>
        <s v="Panda Express"/>
        <s v="Denny's"/>
        <s v="Red Lobster"/>
        <s v="Cracker Barrel Old Country Store"/>
        <s v="Hardee's"/>
        <s v="Texas Roadhouse"/>
        <s v="Jimmy John's Gourmet Sandwiches"/>
        <s v="Whataburger"/>
        <s v="The Cheesecake Factory"/>
        <s v="Golden Corral"/>
        <s v="LongHorn Steakhouse"/>
        <s v="TGI Fridays"/>
        <s v="Red Robin Gourmet Burgers &amp; Brews"/>
        <s v="Carl's Jr."/>
        <s v="Zaxby's"/>
        <s v="Five Guys Burgers and Fries"/>
        <s v="Culver's"/>
        <s v="Ruby Tuesday"/>
        <s v="Bojangles' Famous Chicken 'N Biscuits"/>
        <s v="Steak n Shake"/>
        <s v="Waffle House"/>
        <s v="Bob Evans"/>
        <s v="BJ's Restaurant &amp; Brewhouse"/>
        <s v="P.F. Chang's China Bistro"/>
        <s v="Papa Murphy's Pizza"/>
        <s v="Church's Chicken"/>
        <s v="Hooters"/>
        <s v="Wingstop"/>
        <s v="El Pollo Loco"/>
        <s v="Qdoba Mexican Eats"/>
        <s v="California Pizza Kitchen"/>
        <s v="Carrabba's Italian Grill"/>
        <s v="Krispy Kreme"/>
        <s v="Logan's Roadhouse"/>
        <s v="Cheddar's Scratch Kitchen"/>
        <s v="Del Taco"/>
        <s v="Jersey Mike's Subs"/>
        <s v="Tim Hortons"/>
        <s v="Jason's Deli"/>
        <s v="Firehouse Subs"/>
        <s v="Perkins Restaurant &amp; Bakery"/>
        <s v="Moe's Southwest Grill"/>
        <s v="Bonefish Grill"/>
        <s v="In-N-Out Burger"/>
        <s v="Boston Market"/>
        <s v="Ruth's Chris Steak House"/>
        <s v="Baskin-Robbins"/>
        <s v="Raising Cane's Chicken Fingers"/>
        <s v="Long John Silver's"/>
        <s v="White Castle"/>
        <s v="McAlister's Deli"/>
        <s v="Jamba Juice"/>
        <s v="Captain D's Seafood Kitchen"/>
        <s v="O'Charley's"/>
        <s v="Auntie Anne's"/>
        <s v="Dickey's Barbecue Pit"/>
        <s v="Noodles &amp; Company"/>
        <s v="Einstein Bros. Bagels"/>
        <s v="Checkers Drive-In Restaurants"/>
        <s v="Old Country Buffet/HomeTown Buffet"/>
        <s v="Yard House"/>
        <s v="Famous Dave's"/>
        <s v="Cicis Pizza"/>
        <s v="Round Table Pizza"/>
        <s v="Krystal Company"/>
        <s v="Marco's Pizza"/>
        <s v="Joe's Crab Shack"/>
        <s v="Maggiano's Little Italy"/>
        <s v="Dave &amp; Buster's"/>
        <s v="The Capital Grille"/>
        <s v="Corner Bakery Cafe"/>
        <s v="Potbelly Sandwich Shop"/>
        <s v="Pollo Tropical"/>
        <s v="Cold Stone Creamery"/>
        <s v="Chuck E. Cheese's"/>
        <s v="Au Bon Pain"/>
        <s v="On The Border Mexican Grill &amp; Cantina"/>
        <s v="Village Inn"/>
        <s v="Taco John's"/>
        <s v="Pei Wei Asian Diner"/>
        <s v="Hungry Howie's Pizza"/>
        <s v="Jet's Pizza"/>
        <s v="Quiznos"/>
        <s v="Miller's Ale House"/>
        <s v="Charleys Philly Steaks"/>
        <s v="Taco Cabana"/>
        <s v="Big Boy"/>
        <s v="Schlotzsky's"/>
        <s v="Braum's Ice Cream &amp; Dairy Stores"/>
        <s v="Benihana"/>
        <s v="Friendly's"/>
        <s v="Pappadeaux Seafood Kitchen"/>
        <s v="Smashburger"/>
        <s v="Souplantation &amp; Sweet Tomatoes"/>
        <s v="Hard Rock Cafe"/>
        <s v="Godfather's Pizza"/>
        <s v="Romano's Macaroni Grill"/>
        <s v="Ninety Nine Restaurants"/>
        <s v="Twin Peaks"/>
        <s v="Chuy's"/>
        <s v="UNO Pizzeria &amp; Grill"/>
        <s v="Fleming's Prime Steakhouse &amp; Wine Bar"/>
        <s v="Portillo's"/>
        <s v="Morton's The Steakhouse"/>
        <s v="Rally's Hamburgers"/>
        <s v="Freddy's Frozen Custard &amp; Steakburgers"/>
        <s v="Peet's Coffee &amp; Tea"/>
        <s v="Brio Tuscan Grille"/>
        <s v="Tropical Smoothie Cafe"/>
        <s v="Caribou Coffee"/>
        <s v="Fuddruckers"/>
        <s v="Texas de Brazil Churrascaria"/>
        <s v="The Habit Burger Grill"/>
        <s v="Sbarro"/>
        <s v="Old Chicago Pizza &amp; Taproom"/>
        <s v="Sonny's BBQ"/>
        <s v="McCormick &amp; Schmick's"/>
        <s v="Smoothie King"/>
        <s v="Seasons 52"/>
        <s v="Wienerschnitzel"/>
        <s v="Bar Louie"/>
        <s v="Sizzler"/>
        <s v="Mimi's Cafe"/>
        <s v="Huddle House"/>
        <s v="Ryan's"/>
        <s v="Buca di Beppo"/>
        <s v="Saltgrass Steak House"/>
        <s v="Luby's"/>
        <s v="Zoes Kitchen"/>
        <s v="Pizza Ranch"/>
        <s v="Fazoli's"/>
        <s v="Sarku Japan"/>
        <s v="Fogo de Chao"/>
        <s v="Rubio's"/>
        <s v="Rainforest Cafe"/>
        <s v="Shoney's"/>
        <s v="Claim Jumper"/>
        <s v="Which Wich Superior Sandwiches"/>
        <s v="Beef 'O' Brady's"/>
        <s v="Legal Sea Foods"/>
        <s v="Houlihan's"/>
        <s v="Bruegger's Bagels"/>
        <s v="Bubba Gump Shrimp Co. Restaurant &amp; Market"/>
        <s v="Baja Fresh Mexican Grill"/>
        <s v="Johnny Rockets"/>
        <s v="Bahama Breeze Island Grille"/>
        <s v="The Coffee Bean &amp; Tea Leaf"/>
        <s v="Shake Shack"/>
        <s v="The Melting Pot"/>
        <s v="Black Bear Diner"/>
        <s v="Cafe Rio Mexican Grill"/>
        <s v="Bertucci's"/>
        <s v="Peter Piper Pizza"/>
        <s v="Tilted Kilt Pub &amp; Eatery"/>
        <s v="Lucille's Smokehouse Bar-B-Que"/>
        <s v="Taco Bueno"/>
        <s v="Donatos Pizza"/>
        <s v="Newk's Eatery"/>
        <s v="Mastro's Restaurants"/>
        <s v="Smokey Bones Bar &amp; Fire Grill"/>
        <s v="Le Pain Quotidien"/>
        <s v="Jimmy Buffett's Margaritaville"/>
        <s v="Dutch Bros. Coffee"/>
        <s v="A&amp;W All-American Food"/>
        <s v="Yogurtland"/>
        <s v="Penn Station East Coast Subs"/>
        <s v="Menchie's Frozen Yogurt"/>
        <s v="FREEBIRDS World Burrito"/>
        <s v="Eat'n Park"/>
        <s v="Islands Fine Burgers &amp; Drinks"/>
        <s v="la Madeleine Country French Cafe"/>
        <s v="Johnny Carino's"/>
        <s v="Mellow Mushroom"/>
        <s v="Del Frisco's Double Eagle Steak House"/>
        <s v="Bravo! Cucina Italiana"/>
        <s v="Shari's Cafe and Pies"/>
        <s v="First Watch"/>
        <s v="Quaker Steak &amp; Lube"/>
        <s v="Pappasito's Cantina"/>
        <s v="J. Alexander's"/>
        <s v="Ponderosa/Bonanza"/>
        <s v="Black Angus Steakhouse"/>
        <s v="Togo's Sandwiches"/>
        <s v="Uncle Julio's"/>
        <s v="Villa Fresh Italian Kitchen"/>
        <s v="The Original Pancake House"/>
        <s v="Marie Callender's Restaurant &amp; Bakery"/>
        <s v="Cooper's Hawk Winery &amp; Restaurants"/>
        <s v="Pret a Manger"/>
        <s v="LaRosa's Pizzeria"/>
        <s v="Papa Gino's Pizzeria"/>
        <s v="Country Pride Restaurant"/>
        <s v="El Torito"/>
        <s v="Cinnabon"/>
        <s v="Kona Grill"/>
        <s v="sweetFrog"/>
        <s v="Rita's Ice"/>
        <s v="Pinkberry"/>
        <s v="Coco's Bakery Restaurant"/>
        <s v="Red Mango"/>
        <s v="Houston's"/>
        <s v="Firebirds Wood Fired Grill"/>
        <s v="Lone Star Steakhouse"/>
        <s v="Rock Bottom Restaurant &amp; Brewery"/>
        <s v="Jack's"/>
        <s v="Golden Chick"/>
        <s v="Gordon Biersch Brewery Restaurant"/>
        <s v="Cosi"/>
        <s v="Granite City Food &amp; Brewery"/>
        <s v="Chart House"/>
        <s v="Mazzio's Italian Eatery"/>
        <s v="Fox's Pizza Den"/>
        <s v="Grand Lux Cafe"/>
        <s v="Genghis Grill"/>
        <s v="Fox &amp; Hound"/>
        <s v="Max &amp; Erma's"/>
        <s v="Farmer Boys"/>
        <s v="Great American Cookies"/>
        <s v="Abuelo's"/>
        <s v="Mountain Mike's Pizza"/>
        <s v="Roosters"/>
        <s v="Iron Skillet"/>
        <s v="Western Sizzlin"/>
        <s v="Tijuana Flats"/>
        <s v="A Brisket a Tasket"/>
        <s v="A Day Latte"/>
        <s v="Above Bored"/>
        <s v="Absalom"/>
        <s v="Acacia Saint"/>
        <s v="Acapulco Gold"/>
        <s v="Achilles"/>
        <s v="Acorn Palace"/>
        <s v="Aesthetic Bug"/>
        <s v="Affecté"/>
        <s v="Affluential"/>
        <s v="After Giggle"/>
        <s v="Aftertizer"/>
        <s v="Aglaya"/>
        <s v="Ahui"/>
        <s v="Al Fresco"/>
        <s v="Alcohol &amp; Archery"/>
        <s v="Alephant"/>
        <s v="Alluvia"/>
        <s v="American Whey"/>
        <s v="Amygdala Lounge"/>
        <s v="Anacho"/>
        <s v="Anavenetro"/>
        <s v="Angel Walk"/>
        <s v="Anivet"/>
        <s v="Anixang"/>
        <s v="Anocha"/>
        <s v="Antimatter"/>
        <s v="Aquacine"/>
        <s v="Aquafire"/>
        <s v="Aquasseur"/>
        <s v="Aquazure"/>
        <s v="Aquoavo"/>
        <s v="Arctica"/>
        <s v="Armadillo Debutante"/>
        <s v="Armadillo Plates"/>
        <s v="Aroma Borealis"/>
        <s v="Aromastotle"/>
        <s v="Arotiaka"/>
        <s v="Artvark"/>
        <s v="AstroCoffee"/>
        <s v="Atomic Coffee"/>
        <s v="Atomic Donut"/>
        <s v="Attila Taco"/>
        <s v="Attila the Honey Bee"/>
        <s v="Augrés"/>
        <s v="Aura Imploring Alice"/>
        <s v="Avalunch"/>
        <s v="Baba Rum"/>
        <s v="Bacon Dump"/>
        <s v="Bagel Bandit"/>
        <s v="Bagel Brain"/>
        <s v="Bagel Palace"/>
        <s v="Balkan Beef"/>
        <s v="Ball Lightning"/>
        <s v="Bambi Planet"/>
        <s v="Bamboolong"/>
        <s v="Banana Cabana"/>
        <s v="Bandits"/>
        <s v="Bandwidth and Bagels"/>
        <s v="Banjo Pancake"/>
        <s v="Bapoon"/>
        <s v="Bar Flight"/>
        <s v="Bard Breath"/>
        <s v="Bard’s Bench"/>
        <s v="Barn Baby Burn"/>
        <s v="BBQ Force"/>
        <s v="Bear Claws and Bagels"/>
        <s v="bEarth"/>
        <s v="Bee Salt"/>
        <s v="Beef Blackout"/>
        <s v="Beef Bowl Buddha"/>
        <s v="Beef Bowl Knoll"/>
        <s v="Beef Burden"/>
        <s v="Beef Easy"/>
        <s v="Beef Storm"/>
        <s v="Beefbelly"/>
        <s v="BeefShock"/>
        <s v="Beer Bunker"/>
        <s v="Beer in Mind"/>
        <s v="Before Coffee"/>
        <s v="Bela Bite"/>
        <s v="Belagossi"/>
        <s v="Bella Figala"/>
        <s v="Bella’s"/>
        <s v="Belle’ Pepper"/>
        <s v="Belly-flop Buffet"/>
        <s v="Beluga Bandit"/>
        <s v="Beluga Banjo"/>
        <s v="Beluga Joe’s"/>
        <s v="Benephisto"/>
        <s v="Bengal Bagel"/>
        <s v="Bennie’s Fishery"/>
        <s v="Bid and Ask"/>
        <s v="Big Bottom Beefworks"/>
        <s v="Big Juicy"/>
        <s v="BigWay"/>
        <s v="Bindewald’s Kitchen"/>
        <s v="Bing Bang’s"/>
        <s v="Bingo Binge"/>
        <s v="Bingo Bingo"/>
        <s v="Birmingham Sandwiches"/>
        <s v="Bitter Plaid"/>
        <s v="Black Velvet Mauve"/>
        <s v="Blan-Diego’s"/>
        <s v="Bleached Peach"/>
        <s v="Bleeko"/>
        <s v="Blind Carbos"/>
        <s v="Blink Tank"/>
        <s v="Bloat"/>
        <s v="Blooming Maguey"/>
        <s v="Bloomsbury Pie"/>
        <s v="Blue Ball"/>
        <s v="Blue Horizon"/>
        <s v="Bluez"/>
        <s v="Bob Cratchett"/>
        <s v="Bob Mutton"/>
        <s v="Boil Head"/>
        <s v="Boo"/>
        <s v="BoozeBelly"/>
        <s v="Boozo"/>
        <s v="Bourbon Bliss"/>
        <s v="Bovine Oligarchy"/>
        <s v="Bowl and Bladder"/>
        <s v="Boy"/>
        <s v="Bravo"/>
        <s v="Brewed Attitude"/>
        <s v="Brewsome Tuscon"/>
        <s v="Bring it!"/>
        <s v="Broadway Imperative"/>
        <s v="Broadway Wellborne"/>
        <s v="Brood Coffee"/>
        <s v="Brunchilli"/>
        <s v="Buddha Bait"/>
        <s v="Buddha Bite"/>
        <s v="Buddha Bowl"/>
        <s v="Buddha Bread"/>
        <s v="Buddha My"/>
        <s v="Buffalo Roman"/>
        <s v="Bug Gloss"/>
        <s v="Bugdance"/>
        <s v="Bulldog and Crotch"/>
        <s v="Bulljuice"/>
        <s v="Burger Glory"/>
        <s v="Burnt Offerings"/>
        <s v="Butter"/>
        <s v="Butter and Grace"/>
        <s v="Butter Butt"/>
        <s v="Butter, Grace and Gamble"/>
        <s v="Buttercut"/>
        <s v="ButterFish"/>
        <s v="Buzz Factory"/>
        <s v="Cabooze"/>
        <s v="CactiCoffee"/>
        <s v="Cafe Biz"/>
        <s v="Cafe Brood"/>
        <s v="Cafe Constant"/>
        <s v="Cafe Conundrum"/>
        <s v="Cafe de Vivre"/>
        <s v="Cafe Debutant"/>
        <s v="Cafe Elmo"/>
        <s v="Cafe Fin"/>
        <s v="Cafe Foam"/>
        <s v="Cafe Happenstance"/>
        <s v="Cafe Inc."/>
        <s v="Cafe Kundalini"/>
        <s v="Cafe Lectern"/>
        <s v="Cafe Lunch"/>
        <s v="Cafe Nate"/>
        <s v="Cafe Neitsche"/>
        <s v="Cafe Niche"/>
        <s v="Cafe Plutarch"/>
        <s v="Cafe Response"/>
        <s v="Cafe Stuff’t"/>
        <s v="Cafe TM"/>
        <s v="Cafe Visual"/>
        <s v="Caffeine Conscience"/>
        <s v="Caffeine Conscious"/>
        <s v="Caffeine Serene"/>
        <s v="Caffeine Wall"/>
        <s v="Caffeinspiration"/>
        <s v="Cajun Trapper"/>
        <s v="Cajun-Sation"/>
        <s v="Call it Green"/>
        <s v="Caloria"/>
        <s v="Campers"/>
        <s v="Candy Ask"/>
        <s v="Candy Candy!"/>
        <s v="Candy Palanquin"/>
        <s v="Canton Silk"/>
        <s v="Capers"/>
        <s v="Capricorn"/>
        <s v="Captain Fennel"/>
        <s v="Captain Sincerity"/>
        <s v="Carbo Lode"/>
        <s v="Carnal Cafe"/>
        <s v="Carnal Sanders"/>
        <s v="Carnivore Heaven"/>
        <s v="Carnivortex"/>
        <s v="Carrot Smiles"/>
        <s v="Caruso"/>
        <s v="Carver’s Cut"/>
        <s v="Cash"/>
        <s v="Cash Cow"/>
        <s v="Cattle on Fire"/>
        <s v="Cattle Prod"/>
        <s v="Celery Dreams"/>
        <s v="Celeste"/>
        <s v="Celestial Pudding"/>
        <s v="Cellular Cafe"/>
        <s v="Central Pork"/>
        <s v="Chalk and Stars"/>
        <s v="Chap and Spur"/>
        <s v="Chateau Low-blow"/>
        <s v="Chaucer’s Choice"/>
        <s v="Cheeky"/>
        <s v="Cheese Picnic"/>
        <s v="CheeseQuest"/>
        <s v="Cheeze Panic"/>
        <s v="Chen On Soso"/>
        <s v="Chernobyl"/>
        <s v="Chevre"/>
        <s v="Chew"/>
        <s v="Chez Castaway"/>
        <s v="Chez Kicks"/>
        <s v="Chez Maggie"/>
        <s v="Chez Moi"/>
        <s v="Chez Naïveté"/>
        <s v="Chez Too"/>
        <s v="Chiggers"/>
        <s v="Chin Chin"/>
        <s v="Chipotle Power"/>
        <s v="Chocolate Bondage"/>
        <s v="Chocolate Mussolini"/>
        <s v="Chomsky"/>
        <s v="Choo Choo"/>
        <s v="Chorus"/>
        <s v="Christian Cuisine"/>
        <s v="Chrysalida"/>
        <s v="Chung King Chow Down"/>
        <s v="Chunk City"/>
        <s v="Churros Welcome"/>
        <s v="Ciao Beefeater"/>
        <s v="Ciao Buddha"/>
        <s v="Ciàobama"/>
        <s v="Cinesanct"/>
        <s v="Circula"/>
        <s v="City of Fish"/>
        <s v="Civil Libation"/>
      </sharedItems>
    </cacheField>
    <cacheField name=" 2015 US Sales ($000) " numFmtId="44">
      <sharedItems containsSemiMixedTypes="0" containsString="0" containsNumber="1" minValue="10100.711499609184" maxValue="35837200" count="496">
        <n v="35837200"/>
        <n v="13936114"/>
        <n v="11500000"/>
        <n v="9100000"/>
        <n v="9000000"/>
        <n v="8777400"/>
        <n v="7624140"/>
        <n v="6291000"/>
        <n v="5510000"/>
        <n v="4795900"/>
        <n v="4739442"/>
        <n v="4708587"/>
        <n v="4419590"/>
        <n v="4413661"/>
        <n v="4001490"/>
        <n v="3743000"/>
        <n v="3567155"/>
        <n v="3531186"/>
        <n v="3500000"/>
        <n v="3450855"/>
        <n v="3405547"/>
        <n v="3338150"/>
        <n v="3255000"/>
        <n v="2816017"/>
        <n v="2720250"/>
        <n v="2566000"/>
        <n v="2550184"/>
        <n v="2548000"/>
        <n v="2410900"/>
        <n v="2288542"/>
        <n v="2164807"/>
        <n v="2145385"/>
        <n v="2018700"/>
        <n v="2001306"/>
        <n v="1913758"/>
        <n v="1740189"/>
        <n v="1570000"/>
        <n v="1567000"/>
        <n v="1501080"/>
        <n v="1496489"/>
        <n v="1478400"/>
        <n v="1319491"/>
        <n v="1196038"/>
        <n v="1179029"/>
        <n v="1150651"/>
        <n v="1035637"/>
        <n v="1030700"/>
        <n v="946205"/>
        <n v="919597"/>
        <n v="892300"/>
        <n v="880429"/>
        <n v="855800"/>
        <n v="829300"/>
        <n v="768622"/>
        <n v="753340"/>
        <n v="744943"/>
        <n v="742500"/>
        <n v="729000"/>
        <n v="708143"/>
        <n v="707000"/>
        <n v="706900"/>
        <n v="700166"/>
        <n v="675000"/>
        <n v="668960"/>
        <n v="654300"/>
        <n v="648528"/>
        <n v="644152"/>
        <n v="638120"/>
        <n v="635000"/>
        <n v="614500"/>
        <n v="610000"/>
        <n v="592000"/>
        <n v="587518"/>
        <n v="567269"/>
        <n v="559700"/>
        <n v="547787"/>
        <n v="547701"/>
        <n v="539000"/>
        <n v="531668"/>
        <n v="525800"/>
        <n v="522441"/>
        <n v="519600"/>
        <n v="517943"/>
        <n v="511900"/>
        <n v="508632"/>
        <n v="476600"/>
        <n v="473300"/>
        <n v="457330"/>
        <n v="430000"/>
        <n v="424107"/>
        <n v="421203"/>
        <n v="417632"/>
        <n v="414335"/>
        <n v="401100"/>
        <n v="401000"/>
        <n v="397000"/>
        <n v="380969"/>
        <n v="379835"/>
        <n v="368175"/>
        <n v="365000"/>
        <n v="364294"/>
        <n v="363300"/>
        <n v="361100"/>
        <n v="359000"/>
        <n v="358860"/>
        <n v="350343"/>
        <n v="342478"/>
        <n v="339500"/>
        <n v="338900"/>
        <n v="338315"/>
        <n v="334128"/>
        <n v="331431"/>
        <n v="330400"/>
        <n v="319638"/>
        <n v="317800"/>
        <n v="312989"/>
        <n v="310700"/>
        <n v="309700"/>
        <n v="306517"/>
        <n v="304000"/>
        <n v="300500"/>
        <n v="299200"/>
        <n v="298400"/>
        <n v="293300"/>
        <n v="291100"/>
        <n v="287062"/>
        <n v="280400"/>
        <n v="280000"/>
        <n v="275300"/>
        <n v="268300"/>
        <n v="267465"/>
        <n v="267077"/>
        <n v="267000"/>
        <n v="261700"/>
        <n v="261000"/>
        <n v="256700"/>
        <n v="253000"/>
        <n v="252800"/>
        <n v="251366"/>
        <n v="250900"/>
        <n v="249276"/>
        <n v="249000"/>
        <n v="246900"/>
        <n v="244900"/>
        <n v="243900"/>
        <n v="241334"/>
        <n v="239900"/>
        <n v="238320"/>
        <n v="237300"/>
        <n v="237114"/>
        <n v="234300"/>
        <n v="233800"/>
        <n v="232700"/>
        <n v="231300"/>
        <n v="230835"/>
        <n v="228618"/>
        <n v="228600"/>
        <n v="226500"/>
        <n v="223243"/>
        <n v="221973"/>
        <n v="219700"/>
        <n v="219200"/>
        <n v="219000"/>
        <n v="214400"/>
        <n v="211900"/>
        <n v="211800"/>
        <n v="209174"/>
        <n v="209000"/>
        <n v="208000"/>
        <n v="206700"/>
        <n v="205900"/>
        <n v="203800"/>
        <n v="200900"/>
        <n v="199377"/>
        <n v="198700"/>
        <n v="197676"/>
        <n v="196200"/>
        <n v="191800"/>
        <n v="190500"/>
        <n v="187600"/>
        <n v="185300"/>
        <n v="185000"/>
        <n v="183600"/>
        <n v="183200"/>
        <n v="183100"/>
        <n v="182800"/>
        <n v="182700"/>
        <n v="182000"/>
        <n v="181300"/>
        <n v="180100"/>
        <n v="180000"/>
        <n v="176700"/>
        <n v="174200"/>
        <n v="168700"/>
        <n v="167593"/>
        <n v="166500"/>
        <n v="165400"/>
        <n v="164000"/>
        <n v="162900"/>
        <n v="161809"/>
        <n v="160500"/>
        <n v="158300"/>
        <n v="154000"/>
        <n v="153000"/>
        <n v="151600"/>
        <n v="150693"/>
        <n v="150200"/>
        <n v="149980"/>
        <n v="149600"/>
        <n v="148612"/>
        <n v="148500"/>
        <n v="148231"/>
        <n v="147856"/>
        <n v="147600"/>
        <n v="145505"/>
        <n v="144680"/>
        <n v="143300"/>
        <n v="143200"/>
        <n v="143105"/>
        <n v="143023"/>
        <n v="143000"/>
        <n v="142500"/>
        <n v="137800"/>
        <n v="137700"/>
        <n v="137000"/>
        <n v="136400"/>
        <n v="135586"/>
        <n v="133700"/>
        <n v="132998"/>
        <n v="132500"/>
        <n v="132400"/>
        <n v="131633"/>
        <n v="129717"/>
        <n v="127641"/>
        <n v="125400"/>
        <n v="124600"/>
        <n v="124200"/>
        <n v="124000"/>
        <n v="123200"/>
        <n v="123100"/>
        <n v="122800"/>
        <n v="122200"/>
        <n v="122100"/>
        <n v="122054"/>
        <n v="122015"/>
        <n v="122000"/>
        <n v="120000"/>
        <n v="118803"/>
        <n v="117617.97"/>
        <n v="116444.79029999999"/>
        <n v="115283.34239699999"/>
        <n v="114133.50897302998"/>
        <n v="112995.17388329968"/>
        <n v="111868.22214446668"/>
        <n v="110752.53992302201"/>
        <n v="109648.01452379179"/>
        <n v="108554.53437855387"/>
        <n v="107471.98903476832"/>
        <n v="106400.26914442064"/>
        <n v="105339.26645297643"/>
        <n v="104288.87378844667"/>
        <n v="103248.9850505622"/>
        <n v="102219.49520005658"/>
        <n v="101200.30024805601"/>
        <n v="100191.29724557545"/>
        <n v="99192.384273119693"/>
        <n v="98203.460430388499"/>
        <n v="97224.425826084611"/>
        <n v="96255.181567823762"/>
        <n v="95295.629752145527"/>
        <n v="94345.673454624077"/>
        <n v="93405.216720077835"/>
        <n v="92474.16455287706"/>
        <n v="91552.422907348286"/>
        <n v="90639.898678274796"/>
        <n v="89736.499691492048"/>
        <n v="88842.134694577122"/>
        <n v="87956.713347631347"/>
        <n v="87080.146214155029"/>
        <n v="86212.34475201348"/>
        <n v="85353.221304493345"/>
        <n v="84502.68909144841"/>
        <n v="83660.66220053393"/>
        <n v="82827.055578528583"/>
        <n v="82001.785022743294"/>
        <n v="81184.767172515858"/>
        <n v="80375.919500790696"/>
        <n v="79575.160305782789"/>
        <n v="78782.408702724962"/>
        <n v="77997.584615697706"/>
        <n v="77220.608769540733"/>
        <n v="76451.402681845328"/>
        <n v="75689.88865502688"/>
        <n v="74935.989768476604"/>
        <n v="74189.629870791832"/>
        <n v="73450.733572083918"/>
        <n v="72719.226236363073"/>
        <n v="71995.033973999438"/>
        <n v="71278.083634259441"/>
        <n v="70568.30279791684"/>
        <n v="69865.619769937664"/>
        <n v="69169.963572238281"/>
        <n v="68481.263936515898"/>
        <n v="67799.451297150736"/>
        <n v="67124.45678417923"/>
        <n v="66456.212216337444"/>
        <n v="65794.650094174067"/>
        <n v="65139.703593232327"/>
        <n v="64491.306557300006"/>
        <n v="63849.393491727002"/>
        <n v="63213.899556809731"/>
        <n v="62584.76056124163"/>
        <n v="61961.91295562921"/>
        <n v="61345.293826072921"/>
        <n v="60734.840887812192"/>
        <n v="60130.492478934066"/>
        <n v="59532.187554144723"/>
        <n v="58939.865678603273"/>
        <n v="58353.46702181724"/>
        <n v="57772.932351599069"/>
        <n v="57198.20302808308"/>
        <n v="56629.220997802251"/>
        <n v="56065.928787824225"/>
        <n v="55508.269499945985"/>
        <n v="54956.186804946527"/>
        <n v="54409.62493689706"/>
        <n v="53868.528687528087"/>
        <n v="53332.843400652804"/>
        <n v="52802.514966646275"/>
        <n v="52277.489816979811"/>
        <n v="51757.714918810016"/>
        <n v="51243.137769621913"/>
        <n v="50733.706391925691"/>
        <n v="50229.369328006433"/>
        <n v="49730.075634726367"/>
        <n v="49235.774878379103"/>
        <n v="48746.417129595313"/>
        <n v="48261.952958299356"/>
        <n v="47782.33342871636"/>
        <n v="47307.510094429199"/>
        <n v="46837.434993484909"/>
        <n v="46372.060643550059"/>
        <n v="45911.340037114562"/>
        <n v="45455.226636743413"/>
        <n v="45003.674370375978"/>
        <n v="44556.637626672222"/>
        <n v="44114.071250405497"/>
        <n v="43675.93053790144"/>
        <n v="43242.171232522429"/>
        <n v="42812.749520197205"/>
        <n v="42387.622024995231"/>
        <n v="41966.745804745282"/>
        <n v="41550.078346697832"/>
        <n v="41137.577563230851"/>
        <n v="40729.20178759854"/>
        <n v="40324.909769722552"/>
        <n v="39924.660672025326"/>
        <n v="39528.414065305071"/>
        <n v="39136.129924652021"/>
        <n v="38747.768625405501"/>
        <n v="38363.290939151448"/>
        <n v="37982.658029759936"/>
        <n v="37605.831449462334"/>
        <n v="37232.773134967712"/>
        <n v="36863.445403618032"/>
        <n v="36497.81094958185"/>
        <n v="36135.832840086034"/>
        <n v="35777.47451168517"/>
        <n v="35422.699766568316"/>
        <n v="35071.472768902633"/>
        <n v="34723.758041213609"/>
        <n v="34379.520460801476"/>
        <n v="34038.725256193458"/>
        <n v="33701.338003631521"/>
        <n v="33367.324623595203"/>
        <n v="33036.651377359252"/>
        <n v="32709.284863585661"/>
        <n v="32385.192014949804"/>
        <n v="32064.340094800304"/>
        <n v="31746.6966938523"/>
        <n v="31432.229726913778"/>
        <n v="31120.907429644642"/>
        <n v="30812.698355348195"/>
        <n v="30507.571371794711"/>
        <n v="30205.495658076765"/>
        <n v="29906.440701495998"/>
        <n v="29610.376294481037"/>
        <n v="29317.272531536226"/>
        <n v="29027.099806220864"/>
        <n v="28739.828808158654"/>
        <n v="28455.430520077069"/>
        <n v="28173.876214876298"/>
        <n v="27895.137452727537"/>
        <n v="27619.186078200262"/>
        <n v="27345.994217418258"/>
        <n v="27075.534275244074"/>
        <n v="26807.778932491634"/>
        <n v="26542.701143166716"/>
        <n v="26280.274131735048"/>
        <n v="26020.471390417697"/>
        <n v="25763.266676513518"/>
        <n v="25508.634009748384"/>
        <n v="25256.547669650899"/>
        <n v="25006.98219295439"/>
        <n v="24759.912371024846"/>
        <n v="24515.313247314596"/>
        <n v="24273.160114841448"/>
        <n v="24033.428513693034"/>
        <n v="23796.094228556103"/>
        <n v="23561.133286270542"/>
        <n v="23328.521953407835"/>
        <n v="23098.236733873757"/>
        <n v="22870.25436653502"/>
        <n v="22644.551822869671"/>
        <n v="22421.106304640973"/>
        <n v="22199.895241594564"/>
        <n v="21980.896289178618"/>
        <n v="21764.08732628683"/>
        <n v="21549.44645302396"/>
        <n v="21336.951988493722"/>
        <n v="21126.582468608784"/>
        <n v="20918.316643922695"/>
        <n v="20712.133477483469"/>
        <n v="20508.012142708634"/>
        <n v="20305.932021281547"/>
        <n v="20105.872701068733"/>
        <n v="19907.813974058045"/>
        <n v="19711.735834317464"/>
        <n v="19517.61847597429"/>
        <n v="19325.442291214546"/>
        <n v="19135.187868302401"/>
        <n v="18946.835989619376"/>
        <n v="18760.367629723183"/>
        <n v="18575.763953425951"/>
        <n v="18393.006313891692"/>
        <n v="18212.076250752776"/>
        <n v="18032.955488245247"/>
        <n v="17855.625933362793"/>
        <n v="17680.069674029164"/>
        <n v="17506.268977288873"/>
        <n v="17334.206287515986"/>
        <n v="17163.864224640827"/>
        <n v="16995.225582394418"/>
        <n v="16828.273326570474"/>
        <n v="16662.99059330477"/>
        <n v="16499.360687371722"/>
        <n v="16337.367080498005"/>
        <n v="16176.993409693025"/>
        <n v="16018.223475596094"/>
        <n v="15861.041240840133"/>
        <n v="15705.430828431732"/>
        <n v="15551.376520147414"/>
        <n v="15398.86275494594"/>
        <n v="15247.874127396481"/>
        <n v="15098.395386122516"/>
        <n v="14950.411432261291"/>
        <n v="14803.907317938678"/>
        <n v="14658.868244759291"/>
        <n v="14515.279562311698"/>
        <n v="14373.126766688581"/>
        <n v="14232.395499021695"/>
        <n v="14093.071544031478"/>
        <n v="13955.140828591164"/>
        <n v="13818.589420305252"/>
        <n v="13683.4035261022"/>
        <n v="13549.569490841177"/>
        <n v="13417.073795932765"/>
        <n v="13285.903057973437"/>
        <n v="13156.044027393702"/>
        <n v="13027.483587119765"/>
        <n v="12900.208751248567"/>
        <n v="12774.20666373608"/>
        <n v="12649.46459709872"/>
        <n v="12525.969951127732"/>
        <n v="12403.710251616454"/>
        <n v="12282.67314910029"/>
        <n v="12162.846417609288"/>
        <n v="12044.217953433195"/>
        <n v="11926.775773898864"/>
        <n v="11810.508016159874"/>
        <n v="11695.402935998276"/>
        <n v="11581.448906638294"/>
        <n v="11468.634417571911"/>
        <n v="11356.948073396192"/>
        <n v="11246.378592662229"/>
        <n v="11136.914806735607"/>
        <n v="11028.54565866825"/>
        <n v="10921.260202081568"/>
        <n v="10815.047600060752"/>
        <n v="10709.897124060144"/>
        <n v="10605.798152819543"/>
        <n v="10502.740171291347"/>
        <n v="10400.712769578433"/>
        <n v="10299.705641882649"/>
        <n v="10199.708585463823"/>
        <n v="10100.711499609184"/>
      </sharedItems>
    </cacheField>
    <cacheField name="2015 US Units" numFmtId="0">
      <sharedItems containsSemiMixedTypes="0" containsString="0" containsNumber="1" minValue="12" maxValue="27103" count="381">
        <n v="14259"/>
        <n v="13066"/>
        <n v="27103"/>
        <n v="6121"/>
        <n v="7086"/>
        <n v="5722"/>
        <n v="8431"/>
        <n v="1950"/>
        <n v="7799"/>
        <n v="1955"/>
        <n v="1878"/>
        <n v="5200"/>
        <n v="1987"/>
        <n v="3529"/>
        <n v="4270"/>
        <n v="841"/>
        <n v="1145"/>
        <n v="4506"/>
        <n v="4250"/>
        <n v="3214"/>
        <n v="1261"/>
        <n v="2252"/>
        <n v="1604"/>
        <n v="3290"/>
        <n v="1970"/>
        <n v="755"/>
        <n v="1790"/>
        <n v="1599"/>
        <n v="662"/>
        <n v="635"/>
        <n v="1805"/>
        <n v="473"/>
        <n v="2450"/>
        <n v="791"/>
        <n v="187"/>
        <n v="484"/>
        <n v="487"/>
        <n v="485"/>
        <n v="510"/>
        <n v="1153"/>
        <n v="748"/>
        <n v="1215"/>
        <n v="559"/>
        <n v="684"/>
        <n v="659"/>
        <n v="557"/>
        <n v="548"/>
        <n v="171"/>
        <n v="214"/>
        <n v="1496"/>
        <n v="344"/>
        <n v="786"/>
        <n v="433"/>
        <n v="670"/>
        <n v="228"/>
        <n v="247"/>
        <n v="294"/>
        <n v="256"/>
        <n v="168"/>
        <n v="543"/>
        <n v="1046"/>
        <n v="650"/>
        <n v="262"/>
        <n v="943"/>
        <n v="386"/>
        <n v="637"/>
        <n v="215"/>
        <n v="313"/>
        <n v="452"/>
        <n v="127"/>
        <n v="2503"/>
        <n v="249"/>
        <n v="1060"/>
        <n v="390"/>
        <n v="361"/>
        <n v="818"/>
        <n v="212"/>
        <n v="1248"/>
        <n v="530"/>
        <n v="491"/>
        <n v="742"/>
        <n v="531"/>
        <n v="160"/>
        <n v="61"/>
        <n v="176"/>
        <n v="445"/>
        <n v="437"/>
        <n v="354"/>
        <n v="667"/>
        <n v="130"/>
        <n v="51"/>
        <n v="80"/>
        <n v="54"/>
        <n v="197"/>
        <n v="396"/>
        <n v="926"/>
        <n v="553"/>
        <n v="207"/>
        <n v="143"/>
        <n v="213"/>
        <n v="384"/>
        <n v="820"/>
        <n v="72"/>
        <n v="471"/>
        <n v="166"/>
        <n v="220"/>
        <n v="350"/>
        <n v="280"/>
        <n v="73"/>
        <n v="265"/>
        <n v="35"/>
        <n v="328"/>
        <n v="125"/>
        <n v="47"/>
        <n v="550"/>
        <n v="145"/>
        <n v="105"/>
        <n v="70"/>
        <n v="66"/>
        <n v="41"/>
        <n v="67"/>
        <n v="299"/>
        <n v="177"/>
        <n v="236"/>
        <n v="63"/>
        <n v="466"/>
        <n v="415"/>
        <n v="173"/>
        <n v="142"/>
        <n v="305"/>
        <n v="103"/>
        <n v="122"/>
        <n v="60"/>
        <n v="42"/>
        <n v="321"/>
        <n v="108"/>
        <n v="102"/>
        <n v="368"/>
        <n v="90"/>
        <n v="93"/>
        <n v="192"/>
        <n v="235"/>
        <n v="29"/>
        <n v="23"/>
        <n v="144"/>
        <n v="43"/>
        <n v="375"/>
        <n v="198"/>
        <n v="28"/>
        <n v="190"/>
        <n v="37"/>
        <n v="312"/>
        <n v="49"/>
        <n v="126"/>
        <n v="75"/>
        <n v="89"/>
        <n v="86"/>
        <n v="94"/>
        <n v="92"/>
        <n v="22"/>
        <n v="175"/>
        <n v="153"/>
        <n v="95"/>
        <n v="13"/>
        <n v="88"/>
        <n v="17"/>
        <n v="257"/>
        <n v="638"/>
        <n v="275"/>
        <n v="295"/>
        <n v="69"/>
        <n v="55"/>
        <n v="76"/>
        <n v="78"/>
        <n v="164"/>
        <n v="12"/>
        <n v="52"/>
        <n v="96"/>
        <n v="137"/>
        <n v="31"/>
        <n v="46"/>
        <n v="250"/>
        <n v="24"/>
        <n v="245"/>
        <n v="68"/>
        <n v="20"/>
        <n v="64"/>
        <n v="163"/>
        <n v="148"/>
        <n v="747"/>
        <n v="325"/>
        <n v="155"/>
        <n v="71"/>
        <n v="18"/>
        <n v="38"/>
        <n v="33"/>
        <n v="132"/>
        <n v="152"/>
        <n v="104"/>
        <n v="34"/>
        <n v="133"/>
        <n v="242"/>
        <n v="39"/>
        <n v="115"/>
        <n v="576.20000000000005"/>
        <n v="249.5"/>
        <n v="267.5"/>
        <n v="87.5"/>
        <n v="64.099999999999994"/>
        <n v="51.5"/>
        <n v="70.400000000000006"/>
        <n v="72.2"/>
        <n v="149.6"/>
        <n v="12.8"/>
        <n v="48.800000000000004"/>
        <n v="88.4"/>
        <n v="125.3"/>
        <n v="50.6"/>
        <n v="22.7"/>
        <n v="29.900000000000002"/>
        <n v="85.7"/>
        <n v="43.4"/>
        <n v="227"/>
        <n v="23.6"/>
        <n v="222.5"/>
        <n v="63.2"/>
        <n v="59.6"/>
        <n v="61.4"/>
        <n v="148.70000000000002"/>
        <n v="674.30000000000007"/>
        <n v="35.300000000000004"/>
        <n v="294.5"/>
        <n v="65.900000000000006"/>
        <n v="18.2"/>
        <n v="36.200000000000003"/>
        <n v="65"/>
        <n v="31.7"/>
        <n v="120.8"/>
        <n v="138.80000000000001"/>
        <n v="38.9"/>
        <n v="95.600000000000009"/>
        <n v="32.6"/>
        <n v="28.1"/>
        <n v="219.8"/>
        <n v="297.2"/>
        <n v="37.1"/>
        <n v="105.5"/>
        <n v="520.58000000000004"/>
        <n v="226.55"/>
        <n v="242.75"/>
        <n v="80.75"/>
        <n v="59.69"/>
        <n v="48.35"/>
        <n v="65.360000000000014"/>
        <n v="66.98"/>
        <n v="136.63999999999999"/>
        <n v="13.520000000000001"/>
        <n v="45.92"/>
        <n v="81.56"/>
        <n v="114.77"/>
        <n v="47.54"/>
        <n v="22.43"/>
        <n v="28.910000000000004"/>
        <n v="79.13000000000001"/>
        <n v="41.06"/>
        <n v="206.3"/>
        <n v="23.240000000000002"/>
        <n v="202.25"/>
        <n v="58.88"/>
        <n v="55.64"/>
        <n v="57.26"/>
        <n v="135.83000000000001"/>
        <n v="608.87000000000012"/>
        <n v="33.770000000000003"/>
        <n v="267.05"/>
        <n v="61.310000000000009"/>
        <n v="18.38"/>
        <n v="34.580000000000005"/>
        <n v="60.5"/>
        <n v="30.53"/>
        <n v="110.72"/>
        <n v="126.92000000000002"/>
        <n v="37.01"/>
        <n v="88.04"/>
        <n v="31.340000000000003"/>
        <n v="27.290000000000003"/>
        <n v="199.82000000000002"/>
        <n v="269.48"/>
        <n v="35.39"/>
        <n v="96.95"/>
        <n v="470.52200000000005"/>
        <n v="205.89500000000001"/>
        <n v="220.47499999999999"/>
        <n v="74.674999999999997"/>
        <n v="55.720999999999997"/>
        <n v="45.515000000000001"/>
        <n v="60.824000000000012"/>
        <n v="62.282000000000004"/>
        <n v="124.97599999999998"/>
        <n v="14.168000000000001"/>
        <n v="43.328000000000003"/>
        <n v="75.404000000000011"/>
        <n v="105.29299999999999"/>
        <n v="44.786000000000001"/>
        <n v="22.187000000000001"/>
        <n v="28.019000000000005"/>
        <n v="73.217000000000013"/>
        <n v="38.954000000000001"/>
        <n v="187.67000000000002"/>
        <n v="22.916000000000004"/>
        <n v="184.02500000000001"/>
        <n v="54.992000000000004"/>
        <n v="52.076000000000001"/>
        <n v="53.533999999999999"/>
        <n v="124.24700000000001"/>
        <n v="549.98300000000017"/>
        <n v="32.393000000000001"/>
        <n v="242.34500000000003"/>
        <n v="57.179000000000009"/>
        <n v="18.541999999999998"/>
        <n v="33.122000000000007"/>
        <n v="56.45"/>
        <n v="29.477"/>
        <n v="101.648"/>
        <n v="116.22800000000002"/>
        <n v="35.308999999999997"/>
        <n v="81.236000000000004"/>
        <n v="30.206000000000003"/>
        <n v="26.561000000000003"/>
        <n v="181.83800000000002"/>
        <n v="244.53200000000001"/>
        <n v="33.850999999999999"/>
        <n v="89.25500000000001"/>
        <n v="425.46980000000008"/>
        <n v="187.30550000000002"/>
        <n v="200.42750000000001"/>
        <n v="69.207499999999996"/>
        <n v="52.148899999999998"/>
        <n v="42.963500000000003"/>
        <n v="56.741600000000012"/>
        <n v="58.053800000000003"/>
        <n v="114.47839999999999"/>
        <n v="14.751200000000001"/>
        <n v="40.995200000000004"/>
        <n v="69.863600000000005"/>
        <n v="96.7637"/>
        <n v="42.307400000000001"/>
        <n v="21.968300000000003"/>
        <n v="27.217100000000006"/>
        <n v="67.89530000000002"/>
        <n v="37.058599999999998"/>
        <n v="170.90300000000002"/>
        <n v="22.624400000000005"/>
        <n v="167.6225"/>
        <n v="51.492800000000003"/>
        <n v="48.868400000000001"/>
        <n v="113.82230000000001"/>
        <n v="50.180599999999998"/>
        <n v="496.98470000000015"/>
        <n v="31.153700000000001"/>
        <n v="220.11050000000003"/>
        <n v="53.461100000000009"/>
        <n v="18.687799999999999"/>
        <n v="31.809800000000006"/>
        <n v="52.805000000000007"/>
        <n v="28.529299999999999"/>
        <n v="93.483199999999997"/>
        <n v="106.60520000000002"/>
        <n v="33.778099999999995"/>
        <n v="75.112400000000008"/>
        <n v="29.185400000000005"/>
        <n v="25.904900000000005"/>
        <n v="165.65420000000003"/>
        <n v="222.0788"/>
        <n v="32.465900000000005"/>
        <n v="82.32950000000001"/>
        <n v="384.92282000000006"/>
        <n v="170.57495000000003"/>
        <n v="182.38475000000003"/>
        <n v="64.286749999999998"/>
        <n v="48.934010000000001"/>
      </sharedItems>
    </cacheField>
    <cacheField name="Segment" numFmtId="0">
      <sharedItems count="5">
        <s v="Quick Service"/>
        <s v="Fast Casual"/>
        <s v="Casual Dining"/>
        <s v="Family Dining"/>
        <s v="Fine Dining"/>
      </sharedItems>
    </cacheField>
    <cacheField name="Menu Category" numFmtId="0">
      <sharedItems count="18">
        <s v="Burger"/>
        <s v="Coffee Cafe"/>
        <s v="Sandwich"/>
        <s v="Mexican"/>
        <s v="Chicken"/>
        <s v="Pizza"/>
        <s v="Bakery Cafe"/>
        <s v="Varied Menu"/>
        <s v="Italian/Pizza"/>
        <s v="Sports Bar"/>
        <s v="Frozen Desserts"/>
        <s v="Family Style"/>
        <s v="Steak"/>
        <s v="Asian/Noodle"/>
        <s v="Seafood"/>
        <s v="Family Casual"/>
        <s v="Asian"/>
        <s v="Specialty"/>
      </sharedItems>
    </cacheField>
    <cacheField name="Pizza chains" numFmtId="0">
      <sharedItems count="2">
        <s v="Other"/>
        <s v="Pizz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x v="0"/>
    <x v="0"/>
    <x v="0"/>
    <x v="0"/>
    <x v="0"/>
    <x v="0"/>
  </r>
  <r>
    <n v="2"/>
    <x v="1"/>
    <x v="1"/>
    <x v="1"/>
    <x v="0"/>
    <x v="1"/>
    <x v="0"/>
  </r>
  <r>
    <n v="3"/>
    <x v="2"/>
    <x v="2"/>
    <x v="2"/>
    <x v="0"/>
    <x v="2"/>
    <x v="0"/>
  </r>
  <r>
    <n v="4"/>
    <x v="3"/>
    <x v="3"/>
    <x v="3"/>
    <x v="0"/>
    <x v="3"/>
    <x v="0"/>
  </r>
  <r>
    <n v="5"/>
    <x v="4"/>
    <x v="4"/>
    <x v="4"/>
    <x v="0"/>
    <x v="0"/>
    <x v="0"/>
  </r>
  <r>
    <n v="6"/>
    <x v="5"/>
    <x v="5"/>
    <x v="5"/>
    <x v="0"/>
    <x v="0"/>
    <x v="0"/>
  </r>
  <r>
    <n v="7"/>
    <x v="6"/>
    <x v="6"/>
    <x v="6"/>
    <x v="0"/>
    <x v="1"/>
    <x v="0"/>
  </r>
  <r>
    <n v="8"/>
    <x v="7"/>
    <x v="7"/>
    <x v="7"/>
    <x v="0"/>
    <x v="4"/>
    <x v="0"/>
  </r>
  <r>
    <n v="9"/>
    <x v="8"/>
    <x v="8"/>
    <x v="8"/>
    <x v="0"/>
    <x v="5"/>
    <x v="1"/>
  </r>
  <r>
    <n v="10"/>
    <x v="9"/>
    <x v="9"/>
    <x v="9"/>
    <x v="1"/>
    <x v="6"/>
    <x v="0"/>
  </r>
  <r>
    <n v="11"/>
    <x v="10"/>
    <x v="10"/>
    <x v="10"/>
    <x v="2"/>
    <x v="7"/>
    <x v="0"/>
  </r>
  <r>
    <n v="12"/>
    <x v="11"/>
    <x v="11"/>
    <x v="11"/>
    <x v="0"/>
    <x v="5"/>
    <x v="1"/>
  </r>
  <r>
    <n v="13"/>
    <x v="12"/>
    <x v="12"/>
    <x v="12"/>
    <x v="1"/>
    <x v="3"/>
    <x v="0"/>
  </r>
  <r>
    <n v="14"/>
    <x v="13"/>
    <x v="13"/>
    <x v="13"/>
    <x v="0"/>
    <x v="0"/>
    <x v="0"/>
  </r>
  <r>
    <n v="15"/>
    <x v="14"/>
    <x v="14"/>
    <x v="14"/>
    <x v="0"/>
    <x v="4"/>
    <x v="0"/>
  </r>
  <r>
    <n v="16"/>
    <x v="15"/>
    <x v="15"/>
    <x v="15"/>
    <x v="2"/>
    <x v="8"/>
    <x v="1"/>
  </r>
  <r>
    <n v="17"/>
    <x v="16"/>
    <x v="16"/>
    <x v="16"/>
    <x v="2"/>
    <x v="9"/>
    <x v="0"/>
  </r>
  <r>
    <n v="18"/>
    <x v="17"/>
    <x v="17"/>
    <x v="17"/>
    <x v="0"/>
    <x v="10"/>
    <x v="0"/>
  </r>
  <r>
    <n v="19"/>
    <x v="18"/>
    <x v="18"/>
    <x v="18"/>
    <x v="0"/>
    <x v="5"/>
    <x v="1"/>
  </r>
  <r>
    <n v="20"/>
    <x v="19"/>
    <x v="19"/>
    <x v="19"/>
    <x v="0"/>
    <x v="2"/>
    <x v="0"/>
  </r>
  <r>
    <n v="21"/>
    <x v="20"/>
    <x v="20"/>
    <x v="20"/>
    <x v="2"/>
    <x v="7"/>
    <x v="0"/>
  </r>
  <r>
    <n v="22"/>
    <x v="21"/>
    <x v="21"/>
    <x v="21"/>
    <x v="0"/>
    <x v="0"/>
    <x v="0"/>
  </r>
  <r>
    <n v="23"/>
    <x v="22"/>
    <x v="22"/>
    <x v="22"/>
    <x v="3"/>
    <x v="11"/>
    <x v="0"/>
  </r>
  <r>
    <n v="24"/>
    <x v="23"/>
    <x v="23"/>
    <x v="23"/>
    <x v="0"/>
    <x v="5"/>
    <x v="1"/>
  </r>
  <r>
    <n v="25"/>
    <x v="24"/>
    <x v="24"/>
    <x v="24"/>
    <x v="0"/>
    <x v="4"/>
    <x v="0"/>
  </r>
  <r>
    <n v="26"/>
    <x v="25"/>
    <x v="25"/>
    <x v="25"/>
    <x v="2"/>
    <x v="12"/>
    <x v="0"/>
  </r>
  <r>
    <n v="27"/>
    <x v="26"/>
    <x v="26"/>
    <x v="26"/>
    <x v="1"/>
    <x v="13"/>
    <x v="0"/>
  </r>
  <r>
    <n v="28"/>
    <x v="27"/>
    <x v="27"/>
    <x v="27"/>
    <x v="3"/>
    <x v="11"/>
    <x v="0"/>
  </r>
  <r>
    <n v="29"/>
    <x v="28"/>
    <x v="28"/>
    <x v="28"/>
    <x v="2"/>
    <x v="14"/>
    <x v="0"/>
  </r>
  <r>
    <n v="30"/>
    <x v="29"/>
    <x v="29"/>
    <x v="29"/>
    <x v="3"/>
    <x v="11"/>
    <x v="0"/>
  </r>
  <r>
    <n v="31"/>
    <x v="30"/>
    <x v="30"/>
    <x v="30"/>
    <x v="0"/>
    <x v="0"/>
    <x v="0"/>
  </r>
  <r>
    <n v="32"/>
    <x v="31"/>
    <x v="31"/>
    <x v="31"/>
    <x v="2"/>
    <x v="12"/>
    <x v="0"/>
  </r>
  <r>
    <n v="33"/>
    <x v="32"/>
    <x v="32"/>
    <x v="32"/>
    <x v="1"/>
    <x v="2"/>
    <x v="0"/>
  </r>
  <r>
    <n v="34"/>
    <x v="33"/>
    <x v="33"/>
    <x v="33"/>
    <x v="0"/>
    <x v="0"/>
    <x v="0"/>
  </r>
  <r>
    <n v="35"/>
    <x v="34"/>
    <x v="34"/>
    <x v="34"/>
    <x v="2"/>
    <x v="7"/>
    <x v="0"/>
  </r>
  <r>
    <n v="36"/>
    <x v="35"/>
    <x v="35"/>
    <x v="35"/>
    <x v="0"/>
    <x v="15"/>
    <x v="0"/>
  </r>
  <r>
    <n v="37"/>
    <x v="36"/>
    <x v="36"/>
    <x v="36"/>
    <x v="2"/>
    <x v="12"/>
    <x v="0"/>
  </r>
  <r>
    <n v="38"/>
    <x v="37"/>
    <x v="37"/>
    <x v="37"/>
    <x v="2"/>
    <x v="7"/>
    <x v="0"/>
  </r>
  <r>
    <n v="39"/>
    <x v="38"/>
    <x v="38"/>
    <x v="38"/>
    <x v="2"/>
    <x v="7"/>
    <x v="0"/>
  </r>
  <r>
    <n v="40"/>
    <x v="39"/>
    <x v="39"/>
    <x v="39"/>
    <x v="0"/>
    <x v="0"/>
    <x v="0"/>
  </r>
  <r>
    <n v="41"/>
    <x v="40"/>
    <x v="40"/>
    <x v="40"/>
    <x v="1"/>
    <x v="4"/>
    <x v="0"/>
  </r>
  <r>
    <n v="42"/>
    <x v="41"/>
    <x v="41"/>
    <x v="41"/>
    <x v="1"/>
    <x v="0"/>
    <x v="0"/>
  </r>
  <r>
    <n v="43"/>
    <x v="42"/>
    <x v="42"/>
    <x v="42"/>
    <x v="0"/>
    <x v="0"/>
    <x v="0"/>
  </r>
  <r>
    <n v="44"/>
    <x v="43"/>
    <x v="43"/>
    <x v="43"/>
    <x v="2"/>
    <x v="7"/>
    <x v="0"/>
  </r>
  <r>
    <n v="45"/>
    <x v="44"/>
    <x v="44"/>
    <x v="44"/>
    <x v="0"/>
    <x v="4"/>
    <x v="0"/>
  </r>
  <r>
    <n v="46"/>
    <x v="45"/>
    <x v="45"/>
    <x v="45"/>
    <x v="0"/>
    <x v="0"/>
    <x v="0"/>
  </r>
  <r>
    <n v="47"/>
    <x v="46"/>
    <x v="46"/>
    <x v="30"/>
    <x v="3"/>
    <x v="11"/>
    <x v="0"/>
  </r>
  <r>
    <n v="48"/>
    <x v="47"/>
    <x v="47"/>
    <x v="46"/>
    <x v="3"/>
    <x v="11"/>
    <x v="0"/>
  </r>
  <r>
    <n v="49"/>
    <x v="48"/>
    <x v="48"/>
    <x v="47"/>
    <x v="2"/>
    <x v="7"/>
    <x v="0"/>
  </r>
  <r>
    <n v="50"/>
    <x v="49"/>
    <x v="49"/>
    <x v="48"/>
    <x v="2"/>
    <x v="16"/>
    <x v="0"/>
  </r>
  <r>
    <n v="51"/>
    <x v="50"/>
    <x v="50"/>
    <x v="49"/>
    <x v="0"/>
    <x v="5"/>
    <x v="1"/>
  </r>
  <r>
    <n v="52"/>
    <x v="51"/>
    <x v="51"/>
    <x v="16"/>
    <x v="0"/>
    <x v="4"/>
    <x v="0"/>
  </r>
  <r>
    <n v="53"/>
    <x v="52"/>
    <x v="52"/>
    <x v="50"/>
    <x v="2"/>
    <x v="9"/>
    <x v="0"/>
  </r>
  <r>
    <n v="54"/>
    <x v="53"/>
    <x v="53"/>
    <x v="51"/>
    <x v="1"/>
    <x v="4"/>
    <x v="0"/>
  </r>
  <r>
    <n v="55"/>
    <x v="54"/>
    <x v="54"/>
    <x v="52"/>
    <x v="0"/>
    <x v="4"/>
    <x v="0"/>
  </r>
  <r>
    <n v="56"/>
    <x v="55"/>
    <x v="55"/>
    <x v="53"/>
    <x v="1"/>
    <x v="3"/>
    <x v="0"/>
  </r>
  <r>
    <n v="57"/>
    <x v="56"/>
    <x v="56"/>
    <x v="54"/>
    <x v="2"/>
    <x v="8"/>
    <x v="1"/>
  </r>
  <r>
    <n v="58"/>
    <x v="57"/>
    <x v="57"/>
    <x v="55"/>
    <x v="2"/>
    <x v="8"/>
    <x v="1"/>
  </r>
  <r>
    <n v="59"/>
    <x v="58"/>
    <x v="58"/>
    <x v="56"/>
    <x v="0"/>
    <x v="17"/>
    <x v="0"/>
  </r>
  <r>
    <n v="60"/>
    <x v="59"/>
    <x v="59"/>
    <x v="57"/>
    <x v="2"/>
    <x v="12"/>
    <x v="0"/>
  </r>
  <r>
    <n v="61"/>
    <x v="60"/>
    <x v="60"/>
    <x v="58"/>
    <x v="2"/>
    <x v="7"/>
    <x v="0"/>
  </r>
  <r>
    <n v="62"/>
    <x v="61"/>
    <x v="61"/>
    <x v="59"/>
    <x v="0"/>
    <x v="3"/>
    <x v="0"/>
  </r>
  <r>
    <n v="63"/>
    <x v="62"/>
    <x v="62"/>
    <x v="60"/>
    <x v="1"/>
    <x v="2"/>
    <x v="0"/>
  </r>
  <r>
    <n v="64"/>
    <x v="63"/>
    <x v="63"/>
    <x v="61"/>
    <x v="0"/>
    <x v="1"/>
    <x v="0"/>
  </r>
  <r>
    <n v="65"/>
    <x v="64"/>
    <x v="64"/>
    <x v="62"/>
    <x v="1"/>
    <x v="2"/>
    <x v="0"/>
  </r>
  <r>
    <n v="66"/>
    <x v="65"/>
    <x v="65"/>
    <x v="63"/>
    <x v="1"/>
    <x v="2"/>
    <x v="0"/>
  </r>
  <r>
    <n v="67"/>
    <x v="66"/>
    <x v="66"/>
    <x v="64"/>
    <x v="3"/>
    <x v="11"/>
    <x v="0"/>
  </r>
  <r>
    <n v="68"/>
    <x v="67"/>
    <x v="67"/>
    <x v="65"/>
    <x v="1"/>
    <x v="3"/>
    <x v="0"/>
  </r>
  <r>
    <n v="69"/>
    <x v="68"/>
    <x v="68"/>
    <x v="66"/>
    <x v="2"/>
    <x v="14"/>
    <x v="0"/>
  </r>
  <r>
    <n v="70"/>
    <x v="69"/>
    <x v="69"/>
    <x v="67"/>
    <x v="0"/>
    <x v="0"/>
    <x v="0"/>
  </r>
  <r>
    <n v="71"/>
    <x v="70"/>
    <x v="70"/>
    <x v="68"/>
    <x v="1"/>
    <x v="4"/>
    <x v="0"/>
  </r>
  <r>
    <n v="72"/>
    <x v="71"/>
    <x v="71"/>
    <x v="69"/>
    <x v="4"/>
    <x v="12"/>
    <x v="0"/>
  </r>
  <r>
    <n v="73"/>
    <x v="72"/>
    <x v="72"/>
    <x v="70"/>
    <x v="0"/>
    <x v="10"/>
    <x v="0"/>
  </r>
  <r>
    <n v="74"/>
    <x v="73"/>
    <x v="73"/>
    <x v="71"/>
    <x v="1"/>
    <x v="4"/>
    <x v="0"/>
  </r>
  <r>
    <n v="75"/>
    <x v="74"/>
    <x v="74"/>
    <x v="72"/>
    <x v="0"/>
    <x v="17"/>
    <x v="0"/>
  </r>
  <r>
    <n v="76"/>
    <x v="75"/>
    <x v="75"/>
    <x v="73"/>
    <x v="0"/>
    <x v="0"/>
    <x v="0"/>
  </r>
  <r>
    <n v="77"/>
    <x v="76"/>
    <x v="76"/>
    <x v="74"/>
    <x v="1"/>
    <x v="2"/>
    <x v="0"/>
  </r>
  <r>
    <n v="78"/>
    <x v="77"/>
    <x v="77"/>
    <x v="75"/>
    <x v="0"/>
    <x v="17"/>
    <x v="0"/>
  </r>
  <r>
    <n v="79"/>
    <x v="78"/>
    <x v="78"/>
    <x v="38"/>
    <x v="0"/>
    <x v="17"/>
    <x v="0"/>
  </r>
  <r>
    <n v="80"/>
    <x v="79"/>
    <x v="79"/>
    <x v="76"/>
    <x v="2"/>
    <x v="7"/>
    <x v="0"/>
  </r>
  <r>
    <n v="81"/>
    <x v="80"/>
    <x v="80"/>
    <x v="77"/>
    <x v="0"/>
    <x v="17"/>
    <x v="0"/>
  </r>
  <r>
    <n v="82"/>
    <x v="81"/>
    <x v="81"/>
    <x v="78"/>
    <x v="1"/>
    <x v="17"/>
    <x v="0"/>
  </r>
  <r>
    <n v="83"/>
    <x v="82"/>
    <x v="82"/>
    <x v="79"/>
    <x v="1"/>
    <x v="13"/>
    <x v="0"/>
  </r>
  <r>
    <n v="84"/>
    <x v="83"/>
    <x v="83"/>
    <x v="80"/>
    <x v="1"/>
    <x v="6"/>
    <x v="0"/>
  </r>
  <r>
    <n v="85"/>
    <x v="84"/>
    <x v="84"/>
    <x v="81"/>
    <x v="0"/>
    <x v="0"/>
    <x v="0"/>
  </r>
  <r>
    <n v="86"/>
    <x v="85"/>
    <x v="85"/>
    <x v="82"/>
    <x v="0"/>
    <x v="15"/>
    <x v="0"/>
  </r>
  <r>
    <n v="87"/>
    <x v="86"/>
    <x v="86"/>
    <x v="83"/>
    <x v="2"/>
    <x v="7"/>
    <x v="0"/>
  </r>
  <r>
    <n v="88"/>
    <x v="87"/>
    <x v="87"/>
    <x v="84"/>
    <x v="2"/>
    <x v="17"/>
    <x v="0"/>
  </r>
  <r>
    <n v="89"/>
    <x v="88"/>
    <x v="88"/>
    <x v="85"/>
    <x v="0"/>
    <x v="5"/>
    <x v="1"/>
  </r>
  <r>
    <n v="90"/>
    <x v="89"/>
    <x v="89"/>
    <x v="86"/>
    <x v="0"/>
    <x v="5"/>
    <x v="1"/>
  </r>
  <r>
    <n v="91"/>
    <x v="90"/>
    <x v="90"/>
    <x v="87"/>
    <x v="0"/>
    <x v="0"/>
    <x v="0"/>
  </r>
  <r>
    <n v="92"/>
    <x v="91"/>
    <x v="91"/>
    <x v="88"/>
    <x v="0"/>
    <x v="5"/>
    <x v="1"/>
  </r>
  <r>
    <n v="93"/>
    <x v="92"/>
    <x v="92"/>
    <x v="89"/>
    <x v="2"/>
    <x v="14"/>
    <x v="0"/>
  </r>
  <r>
    <n v="94"/>
    <x v="93"/>
    <x v="93"/>
    <x v="90"/>
    <x v="2"/>
    <x v="8"/>
    <x v="1"/>
  </r>
  <r>
    <n v="95"/>
    <x v="94"/>
    <x v="94"/>
    <x v="91"/>
    <x v="2"/>
    <x v="9"/>
    <x v="0"/>
  </r>
  <r>
    <n v="96"/>
    <x v="95"/>
    <x v="95"/>
    <x v="92"/>
    <x v="4"/>
    <x v="12"/>
    <x v="0"/>
  </r>
  <r>
    <n v="97"/>
    <x v="96"/>
    <x v="96"/>
    <x v="93"/>
    <x v="1"/>
    <x v="6"/>
    <x v="0"/>
  </r>
  <r>
    <n v="98"/>
    <x v="97"/>
    <x v="97"/>
    <x v="94"/>
    <x v="0"/>
    <x v="2"/>
    <x v="0"/>
  </r>
  <r>
    <n v="99"/>
    <x v="98"/>
    <x v="98"/>
    <x v="82"/>
    <x v="1"/>
    <x v="4"/>
    <x v="0"/>
  </r>
  <r>
    <n v="100"/>
    <x v="99"/>
    <x v="99"/>
    <x v="95"/>
    <x v="0"/>
    <x v="10"/>
    <x v="0"/>
  </r>
  <r>
    <n v="101"/>
    <x v="100"/>
    <x v="100"/>
    <x v="96"/>
    <x v="0"/>
    <x v="5"/>
    <x v="1"/>
  </r>
  <r>
    <n v="102"/>
    <x v="101"/>
    <x v="101"/>
    <x v="97"/>
    <x v="1"/>
    <x v="6"/>
    <x v="0"/>
  </r>
  <r>
    <n v="103"/>
    <x v="102"/>
    <x v="102"/>
    <x v="98"/>
    <x v="2"/>
    <x v="3"/>
    <x v="0"/>
  </r>
  <r>
    <n v="104"/>
    <x v="103"/>
    <x v="103"/>
    <x v="99"/>
    <x v="3"/>
    <x v="11"/>
    <x v="0"/>
  </r>
  <r>
    <n v="105"/>
    <x v="104"/>
    <x v="104"/>
    <x v="64"/>
    <x v="0"/>
    <x v="3"/>
    <x v="0"/>
  </r>
  <r>
    <n v="106"/>
    <x v="105"/>
    <x v="105"/>
    <x v="99"/>
    <x v="1"/>
    <x v="13"/>
    <x v="0"/>
  </r>
  <r>
    <n v="107"/>
    <x v="106"/>
    <x v="106"/>
    <x v="46"/>
    <x v="0"/>
    <x v="5"/>
    <x v="1"/>
  </r>
  <r>
    <n v="108"/>
    <x v="107"/>
    <x v="107"/>
    <x v="100"/>
    <x v="0"/>
    <x v="5"/>
    <x v="1"/>
  </r>
  <r>
    <n v="109"/>
    <x v="108"/>
    <x v="108"/>
    <x v="101"/>
    <x v="0"/>
    <x v="2"/>
    <x v="0"/>
  </r>
  <r>
    <n v="110"/>
    <x v="109"/>
    <x v="109"/>
    <x v="102"/>
    <x v="2"/>
    <x v="9"/>
    <x v="0"/>
  </r>
  <r>
    <n v="111"/>
    <x v="110"/>
    <x v="110"/>
    <x v="103"/>
    <x v="0"/>
    <x v="2"/>
    <x v="0"/>
  </r>
  <r>
    <n v="112"/>
    <x v="111"/>
    <x v="111"/>
    <x v="104"/>
    <x v="1"/>
    <x v="3"/>
    <x v="0"/>
  </r>
  <r>
    <n v="113"/>
    <x v="112"/>
    <x v="112"/>
    <x v="105"/>
    <x v="3"/>
    <x v="11"/>
    <x v="0"/>
  </r>
  <r>
    <n v="114"/>
    <x v="113"/>
    <x v="113"/>
    <x v="106"/>
    <x v="1"/>
    <x v="2"/>
    <x v="0"/>
  </r>
  <r>
    <n v="115"/>
    <x v="114"/>
    <x v="114"/>
    <x v="107"/>
    <x v="0"/>
    <x v="10"/>
    <x v="0"/>
  </r>
  <r>
    <n v="116"/>
    <x v="115"/>
    <x v="115"/>
    <x v="108"/>
    <x v="2"/>
    <x v="16"/>
    <x v="0"/>
  </r>
  <r>
    <n v="117"/>
    <x v="116"/>
    <x v="116"/>
    <x v="109"/>
    <x v="3"/>
    <x v="11"/>
    <x v="0"/>
  </r>
  <r>
    <n v="118"/>
    <x v="117"/>
    <x v="117"/>
    <x v="110"/>
    <x v="2"/>
    <x v="14"/>
    <x v="0"/>
  </r>
  <r>
    <n v="119"/>
    <x v="118"/>
    <x v="118"/>
    <x v="111"/>
    <x v="1"/>
    <x v="0"/>
    <x v="0"/>
  </r>
  <r>
    <n v="120"/>
    <x v="119"/>
    <x v="119"/>
    <x v="112"/>
    <x v="0"/>
    <x v="15"/>
    <x v="0"/>
  </r>
  <r>
    <n v="121"/>
    <x v="120"/>
    <x v="120"/>
    <x v="113"/>
    <x v="2"/>
    <x v="7"/>
    <x v="0"/>
  </r>
  <r>
    <n v="122"/>
    <x v="121"/>
    <x v="121"/>
    <x v="114"/>
    <x v="0"/>
    <x v="5"/>
    <x v="1"/>
  </r>
  <r>
    <n v="123"/>
    <x v="122"/>
    <x v="122"/>
    <x v="115"/>
    <x v="2"/>
    <x v="8"/>
    <x v="1"/>
  </r>
  <r>
    <n v="124"/>
    <x v="123"/>
    <x v="123"/>
    <x v="116"/>
    <x v="2"/>
    <x v="7"/>
    <x v="0"/>
  </r>
  <r>
    <n v="125"/>
    <x v="124"/>
    <x v="124"/>
    <x v="108"/>
    <x v="2"/>
    <x v="9"/>
    <x v="0"/>
  </r>
  <r>
    <n v="126"/>
    <x v="125"/>
    <x v="125"/>
    <x v="117"/>
    <x v="2"/>
    <x v="3"/>
    <x v="0"/>
  </r>
  <r>
    <n v="127"/>
    <x v="126"/>
    <x v="126"/>
    <x v="69"/>
    <x v="2"/>
    <x v="7"/>
    <x v="0"/>
  </r>
  <r>
    <n v="128"/>
    <x v="127"/>
    <x v="127"/>
    <x v="118"/>
    <x v="4"/>
    <x v="12"/>
    <x v="0"/>
  </r>
  <r>
    <n v="129"/>
    <x v="128"/>
    <x v="128"/>
    <x v="119"/>
    <x v="1"/>
    <x v="2"/>
    <x v="0"/>
  </r>
  <r>
    <n v="130"/>
    <x v="129"/>
    <x v="129"/>
    <x v="120"/>
    <x v="4"/>
    <x v="12"/>
    <x v="0"/>
  </r>
  <r>
    <n v="131"/>
    <x v="130"/>
    <x v="130"/>
    <x v="121"/>
    <x v="0"/>
    <x v="0"/>
    <x v="0"/>
  </r>
  <r>
    <n v="132"/>
    <x v="131"/>
    <x v="131"/>
    <x v="122"/>
    <x v="0"/>
    <x v="0"/>
    <x v="0"/>
  </r>
  <r>
    <n v="133"/>
    <x v="132"/>
    <x v="132"/>
    <x v="123"/>
    <x v="0"/>
    <x v="1"/>
    <x v="0"/>
  </r>
  <r>
    <n v="134"/>
    <x v="133"/>
    <x v="133"/>
    <x v="124"/>
    <x v="2"/>
    <x v="8"/>
    <x v="1"/>
  </r>
  <r>
    <n v="135"/>
    <x v="134"/>
    <x v="134"/>
    <x v="125"/>
    <x v="0"/>
    <x v="17"/>
    <x v="0"/>
  </r>
  <r>
    <n v="136"/>
    <x v="135"/>
    <x v="135"/>
    <x v="126"/>
    <x v="0"/>
    <x v="1"/>
    <x v="0"/>
  </r>
  <r>
    <n v="137"/>
    <x v="136"/>
    <x v="136"/>
    <x v="127"/>
    <x v="1"/>
    <x v="0"/>
    <x v="0"/>
  </r>
  <r>
    <n v="138"/>
    <x v="137"/>
    <x v="137"/>
    <x v="110"/>
    <x v="4"/>
    <x v="12"/>
    <x v="0"/>
  </r>
  <r>
    <n v="139"/>
    <x v="138"/>
    <x v="138"/>
    <x v="128"/>
    <x v="1"/>
    <x v="0"/>
    <x v="0"/>
  </r>
  <r>
    <n v="140"/>
    <x v="139"/>
    <x v="139"/>
    <x v="129"/>
    <x v="0"/>
    <x v="5"/>
    <x v="1"/>
  </r>
  <r>
    <n v="141"/>
    <x v="140"/>
    <x v="140"/>
    <x v="130"/>
    <x v="2"/>
    <x v="7"/>
    <x v="0"/>
  </r>
  <r>
    <n v="142"/>
    <x v="141"/>
    <x v="141"/>
    <x v="131"/>
    <x v="3"/>
    <x v="17"/>
    <x v="0"/>
  </r>
  <r>
    <n v="143"/>
    <x v="142"/>
    <x v="142"/>
    <x v="132"/>
    <x v="2"/>
    <x v="14"/>
    <x v="0"/>
  </r>
  <r>
    <n v="144"/>
    <x v="143"/>
    <x v="143"/>
    <x v="61"/>
    <x v="0"/>
    <x v="17"/>
    <x v="0"/>
  </r>
  <r>
    <n v="145"/>
    <x v="144"/>
    <x v="144"/>
    <x v="133"/>
    <x v="2"/>
    <x v="7"/>
    <x v="0"/>
  </r>
  <r>
    <n v="146"/>
    <x v="145"/>
    <x v="145"/>
    <x v="134"/>
    <x v="0"/>
    <x v="2"/>
    <x v="0"/>
  </r>
  <r>
    <n v="147"/>
    <x v="146"/>
    <x v="146"/>
    <x v="135"/>
    <x v="2"/>
    <x v="7"/>
    <x v="0"/>
  </r>
  <r>
    <n v="148"/>
    <x v="147"/>
    <x v="147"/>
    <x v="112"/>
    <x v="0"/>
    <x v="15"/>
    <x v="0"/>
  </r>
  <r>
    <n v="149"/>
    <x v="148"/>
    <x v="148"/>
    <x v="136"/>
    <x v="2"/>
    <x v="7"/>
    <x v="0"/>
  </r>
  <r>
    <n v="150"/>
    <x v="149"/>
    <x v="149"/>
    <x v="137"/>
    <x v="3"/>
    <x v="11"/>
    <x v="0"/>
  </r>
  <r>
    <n v="151"/>
    <x v="150"/>
    <x v="150"/>
    <x v="138"/>
    <x v="0"/>
    <x v="15"/>
    <x v="0"/>
  </r>
  <r>
    <n v="152"/>
    <x v="151"/>
    <x v="151"/>
    <x v="130"/>
    <x v="2"/>
    <x v="8"/>
    <x v="1"/>
  </r>
  <r>
    <n v="153"/>
    <x v="152"/>
    <x v="152"/>
    <x v="92"/>
    <x v="2"/>
    <x v="12"/>
    <x v="0"/>
  </r>
  <r>
    <n v="154"/>
    <x v="153"/>
    <x v="153"/>
    <x v="139"/>
    <x v="0"/>
    <x v="15"/>
    <x v="0"/>
  </r>
  <r>
    <n v="155"/>
    <x v="154"/>
    <x v="154"/>
    <x v="104"/>
    <x v="1"/>
    <x v="17"/>
    <x v="0"/>
  </r>
  <r>
    <n v="156"/>
    <x v="155"/>
    <x v="155"/>
    <x v="140"/>
    <x v="0"/>
    <x v="5"/>
    <x v="1"/>
  </r>
  <r>
    <n v="157"/>
    <x v="156"/>
    <x v="156"/>
    <x v="48"/>
    <x v="1"/>
    <x v="17"/>
    <x v="0"/>
  </r>
  <r>
    <n v="158"/>
    <x v="157"/>
    <x v="157"/>
    <x v="141"/>
    <x v="0"/>
    <x v="13"/>
    <x v="0"/>
  </r>
  <r>
    <n v="159"/>
    <x v="158"/>
    <x v="158"/>
    <x v="142"/>
    <x v="4"/>
    <x v="12"/>
    <x v="0"/>
  </r>
  <r>
    <n v="160"/>
    <x v="159"/>
    <x v="159"/>
    <x v="140"/>
    <x v="1"/>
    <x v="3"/>
    <x v="0"/>
  </r>
  <r>
    <n v="161"/>
    <x v="160"/>
    <x v="160"/>
    <x v="143"/>
    <x v="2"/>
    <x v="7"/>
    <x v="0"/>
  </r>
  <r>
    <n v="162"/>
    <x v="161"/>
    <x v="161"/>
    <x v="144"/>
    <x v="3"/>
    <x v="11"/>
    <x v="0"/>
  </r>
  <r>
    <n v="163"/>
    <x v="162"/>
    <x v="162"/>
    <x v="145"/>
    <x v="2"/>
    <x v="7"/>
    <x v="0"/>
  </r>
  <r>
    <n v="164"/>
    <x v="163"/>
    <x v="163"/>
    <x v="146"/>
    <x v="1"/>
    <x v="2"/>
    <x v="0"/>
  </r>
  <r>
    <n v="165"/>
    <x v="164"/>
    <x v="164"/>
    <x v="147"/>
    <x v="2"/>
    <x v="9"/>
    <x v="0"/>
  </r>
  <r>
    <n v="166"/>
    <x v="165"/>
    <x v="165"/>
    <x v="110"/>
    <x v="2"/>
    <x v="14"/>
    <x v="0"/>
  </r>
  <r>
    <n v="167"/>
    <x v="166"/>
    <x v="166"/>
    <x v="108"/>
    <x v="2"/>
    <x v="7"/>
    <x v="0"/>
  </r>
  <r>
    <n v="168"/>
    <x v="167"/>
    <x v="167"/>
    <x v="107"/>
    <x v="1"/>
    <x v="6"/>
    <x v="0"/>
  </r>
  <r>
    <n v="169"/>
    <x v="168"/>
    <x v="168"/>
    <x v="148"/>
    <x v="2"/>
    <x v="14"/>
    <x v="0"/>
  </r>
  <r>
    <n v="170"/>
    <x v="169"/>
    <x v="169"/>
    <x v="104"/>
    <x v="1"/>
    <x v="3"/>
    <x v="0"/>
  </r>
  <r>
    <n v="171"/>
    <x v="170"/>
    <x v="170"/>
    <x v="149"/>
    <x v="2"/>
    <x v="7"/>
    <x v="0"/>
  </r>
  <r>
    <n v="172"/>
    <x v="171"/>
    <x v="171"/>
    <x v="150"/>
    <x v="2"/>
    <x v="17"/>
    <x v="0"/>
  </r>
  <r>
    <n v="173"/>
    <x v="172"/>
    <x v="172"/>
    <x v="151"/>
    <x v="0"/>
    <x v="1"/>
    <x v="0"/>
  </r>
  <r>
    <n v="174"/>
    <x v="173"/>
    <x v="173"/>
    <x v="152"/>
    <x v="1"/>
    <x v="0"/>
    <x v="0"/>
  </r>
  <r>
    <n v="175"/>
    <x v="174"/>
    <x v="174"/>
    <x v="153"/>
    <x v="2"/>
    <x v="17"/>
    <x v="0"/>
  </r>
  <r>
    <n v="176"/>
    <x v="175"/>
    <x v="175"/>
    <x v="154"/>
    <x v="3"/>
    <x v="11"/>
    <x v="0"/>
  </r>
  <r>
    <n v="177"/>
    <x v="176"/>
    <x v="176"/>
    <x v="155"/>
    <x v="1"/>
    <x v="3"/>
    <x v="0"/>
  </r>
  <r>
    <n v="178"/>
    <x v="177"/>
    <x v="177"/>
    <x v="156"/>
    <x v="2"/>
    <x v="8"/>
    <x v="1"/>
  </r>
  <r>
    <n v="179"/>
    <x v="178"/>
    <x v="178"/>
    <x v="157"/>
    <x v="0"/>
    <x v="5"/>
    <x v="1"/>
  </r>
  <r>
    <n v="180"/>
    <x v="179"/>
    <x v="179"/>
    <x v="158"/>
    <x v="2"/>
    <x v="9"/>
    <x v="0"/>
  </r>
  <r>
    <n v="181"/>
    <x v="180"/>
    <x v="180"/>
    <x v="159"/>
    <x v="2"/>
    <x v="17"/>
    <x v="0"/>
  </r>
  <r>
    <n v="182"/>
    <x v="181"/>
    <x v="181"/>
    <x v="160"/>
    <x v="1"/>
    <x v="3"/>
    <x v="0"/>
  </r>
  <r>
    <n v="183"/>
    <x v="182"/>
    <x v="182"/>
    <x v="161"/>
    <x v="1"/>
    <x v="5"/>
    <x v="1"/>
  </r>
  <r>
    <n v="184"/>
    <x v="183"/>
    <x v="183"/>
    <x v="162"/>
    <x v="1"/>
    <x v="2"/>
    <x v="0"/>
  </r>
  <r>
    <n v="185"/>
    <x v="184"/>
    <x v="184"/>
    <x v="163"/>
    <x v="4"/>
    <x v="12"/>
    <x v="0"/>
  </r>
  <r>
    <n v="186"/>
    <x v="185"/>
    <x v="185"/>
    <x v="118"/>
    <x v="2"/>
    <x v="17"/>
    <x v="0"/>
  </r>
  <r>
    <n v="187"/>
    <x v="186"/>
    <x v="186"/>
    <x v="164"/>
    <x v="1"/>
    <x v="6"/>
    <x v="0"/>
  </r>
  <r>
    <n v="188"/>
    <x v="187"/>
    <x v="187"/>
    <x v="165"/>
    <x v="2"/>
    <x v="7"/>
    <x v="0"/>
  </r>
  <r>
    <n v="189"/>
    <x v="188"/>
    <x v="188"/>
    <x v="166"/>
    <x v="0"/>
    <x v="1"/>
    <x v="0"/>
  </r>
  <r>
    <n v="190"/>
    <x v="189"/>
    <x v="189"/>
    <x v="167"/>
    <x v="0"/>
    <x v="0"/>
    <x v="0"/>
  </r>
  <r>
    <n v="191"/>
    <x v="190"/>
    <x v="190"/>
    <x v="168"/>
    <x v="0"/>
    <x v="10"/>
    <x v="0"/>
  </r>
  <r>
    <n v="192"/>
    <x v="191"/>
    <x v="191"/>
    <x v="169"/>
    <x v="1"/>
    <x v="2"/>
    <x v="0"/>
  </r>
  <r>
    <n v="193"/>
    <x v="192"/>
    <x v="192"/>
    <x v="73"/>
    <x v="0"/>
    <x v="10"/>
    <x v="0"/>
  </r>
  <r>
    <n v="194"/>
    <x v="193"/>
    <x v="193"/>
    <x v="162"/>
    <x v="1"/>
    <x v="3"/>
    <x v="0"/>
  </r>
  <r>
    <n v="195"/>
    <x v="194"/>
    <x v="194"/>
    <x v="170"/>
    <x v="3"/>
    <x v="11"/>
    <x v="0"/>
  </r>
  <r>
    <n v="196"/>
    <x v="195"/>
    <x v="195"/>
    <x v="171"/>
    <x v="2"/>
    <x v="7"/>
    <x v="0"/>
  </r>
  <r>
    <n v="197"/>
    <x v="196"/>
    <x v="196"/>
    <x v="172"/>
    <x v="1"/>
    <x v="6"/>
    <x v="0"/>
  </r>
  <r>
    <n v="198"/>
    <x v="197"/>
    <x v="197"/>
    <x v="173"/>
    <x v="2"/>
    <x v="8"/>
    <x v="1"/>
  </r>
  <r>
    <n v="199"/>
    <x v="198"/>
    <x v="198"/>
    <x v="174"/>
    <x v="2"/>
    <x v="8"/>
    <x v="1"/>
  </r>
  <r>
    <n v="200"/>
    <x v="199"/>
    <x v="199"/>
    <x v="175"/>
    <x v="4"/>
    <x v="12"/>
    <x v="0"/>
  </r>
  <r>
    <n v="201"/>
    <x v="200"/>
    <x v="200"/>
    <x v="176"/>
    <x v="2"/>
    <x v="8"/>
    <x v="1"/>
  </r>
  <r>
    <n v="202"/>
    <x v="201"/>
    <x v="200"/>
    <x v="177"/>
    <x v="3"/>
    <x v="11"/>
    <x v="0"/>
  </r>
  <r>
    <n v="203"/>
    <x v="202"/>
    <x v="201"/>
    <x v="178"/>
    <x v="3"/>
    <x v="11"/>
    <x v="0"/>
  </r>
  <r>
    <n v="204"/>
    <x v="203"/>
    <x v="202"/>
    <x v="92"/>
    <x v="2"/>
    <x v="9"/>
    <x v="0"/>
  </r>
  <r>
    <n v="205"/>
    <x v="204"/>
    <x v="203"/>
    <x v="143"/>
    <x v="2"/>
    <x v="3"/>
    <x v="0"/>
  </r>
  <r>
    <n v="206"/>
    <x v="205"/>
    <x v="204"/>
    <x v="179"/>
    <x v="2"/>
    <x v="7"/>
    <x v="0"/>
  </r>
  <r>
    <n v="207"/>
    <x v="206"/>
    <x v="205"/>
    <x v="139"/>
    <x v="0"/>
    <x v="15"/>
    <x v="0"/>
  </r>
  <r>
    <n v="208"/>
    <x v="207"/>
    <x v="206"/>
    <x v="180"/>
    <x v="2"/>
    <x v="12"/>
    <x v="0"/>
  </r>
  <r>
    <n v="209"/>
    <x v="208"/>
    <x v="207"/>
    <x v="181"/>
    <x v="0"/>
    <x v="2"/>
    <x v="0"/>
  </r>
  <r>
    <n v="210"/>
    <x v="209"/>
    <x v="208"/>
    <x v="182"/>
    <x v="2"/>
    <x v="3"/>
    <x v="0"/>
  </r>
  <r>
    <n v="211"/>
    <x v="210"/>
    <x v="209"/>
    <x v="183"/>
    <x v="0"/>
    <x v="5"/>
    <x v="1"/>
  </r>
  <r>
    <n v="212"/>
    <x v="211"/>
    <x v="210"/>
    <x v="89"/>
    <x v="3"/>
    <x v="11"/>
    <x v="0"/>
  </r>
  <r>
    <n v="213"/>
    <x v="212"/>
    <x v="211"/>
    <x v="184"/>
    <x v="3"/>
    <x v="11"/>
    <x v="0"/>
  </r>
  <r>
    <n v="214"/>
    <x v="213"/>
    <x v="212"/>
    <x v="185"/>
    <x v="2"/>
    <x v="7"/>
    <x v="0"/>
  </r>
  <r>
    <n v="215"/>
    <x v="214"/>
    <x v="213"/>
    <x v="186"/>
    <x v="1"/>
    <x v="2"/>
    <x v="0"/>
  </r>
  <r>
    <n v="216"/>
    <x v="215"/>
    <x v="214"/>
    <x v="118"/>
    <x v="3"/>
    <x v="8"/>
    <x v="1"/>
  </r>
  <r>
    <n v="217"/>
    <x v="216"/>
    <x v="215"/>
    <x v="187"/>
    <x v="0"/>
    <x v="5"/>
    <x v="1"/>
  </r>
  <r>
    <n v="218"/>
    <x v="217"/>
    <x v="216"/>
    <x v="188"/>
    <x v="3"/>
    <x v="11"/>
    <x v="0"/>
  </r>
  <r>
    <n v="219"/>
    <x v="218"/>
    <x v="217"/>
    <x v="92"/>
    <x v="2"/>
    <x v="3"/>
    <x v="0"/>
  </r>
  <r>
    <n v="220"/>
    <x v="219"/>
    <x v="218"/>
    <x v="189"/>
    <x v="0"/>
    <x v="17"/>
    <x v="0"/>
  </r>
  <r>
    <n v="221"/>
    <x v="220"/>
    <x v="219"/>
    <x v="150"/>
    <x v="2"/>
    <x v="7"/>
    <x v="0"/>
  </r>
  <r>
    <n v="222"/>
    <x v="221"/>
    <x v="220"/>
    <x v="190"/>
    <x v="0"/>
    <x v="10"/>
    <x v="0"/>
  </r>
  <r>
    <n v="223"/>
    <x v="222"/>
    <x v="221"/>
    <x v="61"/>
    <x v="0"/>
    <x v="10"/>
    <x v="0"/>
  </r>
  <r>
    <n v="224"/>
    <x v="223"/>
    <x v="222"/>
    <x v="191"/>
    <x v="0"/>
    <x v="10"/>
    <x v="0"/>
  </r>
  <r>
    <n v="225"/>
    <x v="224"/>
    <x v="223"/>
    <x v="192"/>
    <x v="3"/>
    <x v="11"/>
    <x v="0"/>
  </r>
  <r>
    <n v="226"/>
    <x v="225"/>
    <x v="224"/>
    <x v="181"/>
    <x v="0"/>
    <x v="10"/>
    <x v="0"/>
  </r>
  <r>
    <n v="227"/>
    <x v="226"/>
    <x v="225"/>
    <x v="193"/>
    <x v="2"/>
    <x v="7"/>
    <x v="0"/>
  </r>
  <r>
    <n v="228"/>
    <x v="227"/>
    <x v="226"/>
    <x v="194"/>
    <x v="2"/>
    <x v="7"/>
    <x v="0"/>
  </r>
  <r>
    <n v="229"/>
    <x v="228"/>
    <x v="227"/>
    <x v="117"/>
    <x v="2"/>
    <x v="12"/>
    <x v="0"/>
  </r>
  <r>
    <n v="230"/>
    <x v="229"/>
    <x v="228"/>
    <x v="195"/>
    <x v="2"/>
    <x v="7"/>
    <x v="0"/>
  </r>
  <r>
    <n v="231"/>
    <x v="230"/>
    <x v="229"/>
    <x v="196"/>
    <x v="0"/>
    <x v="0"/>
    <x v="0"/>
  </r>
  <r>
    <n v="232"/>
    <x v="231"/>
    <x v="230"/>
    <x v="197"/>
    <x v="0"/>
    <x v="4"/>
    <x v="0"/>
  </r>
  <r>
    <n v="233"/>
    <x v="232"/>
    <x v="231"/>
    <x v="119"/>
    <x v="2"/>
    <x v="7"/>
    <x v="0"/>
  </r>
  <r>
    <n v="234"/>
    <x v="233"/>
    <x v="232"/>
    <x v="198"/>
    <x v="1"/>
    <x v="2"/>
    <x v="0"/>
  </r>
  <r>
    <n v="235"/>
    <x v="234"/>
    <x v="233"/>
    <x v="199"/>
    <x v="2"/>
    <x v="7"/>
    <x v="0"/>
  </r>
  <r>
    <n v="236"/>
    <x v="235"/>
    <x v="234"/>
    <x v="142"/>
    <x v="2"/>
    <x v="14"/>
    <x v="0"/>
  </r>
  <r>
    <n v="237"/>
    <x v="236"/>
    <x v="235"/>
    <x v="200"/>
    <x v="0"/>
    <x v="5"/>
    <x v="1"/>
  </r>
  <r>
    <n v="238"/>
    <x v="237"/>
    <x v="236"/>
    <x v="201"/>
    <x v="0"/>
    <x v="5"/>
    <x v="1"/>
  </r>
  <r>
    <n v="239"/>
    <x v="238"/>
    <x v="236"/>
    <x v="175"/>
    <x v="2"/>
    <x v="7"/>
    <x v="0"/>
  </r>
  <r>
    <n v="240"/>
    <x v="239"/>
    <x v="237"/>
    <x v="156"/>
    <x v="2"/>
    <x v="16"/>
    <x v="0"/>
  </r>
  <r>
    <n v="241"/>
    <x v="240"/>
    <x v="238"/>
    <x v="176"/>
    <x v="2"/>
    <x v="9"/>
    <x v="0"/>
  </r>
  <r>
    <n v="242"/>
    <x v="241"/>
    <x v="239"/>
    <x v="186"/>
    <x v="2"/>
    <x v="7"/>
    <x v="0"/>
  </r>
  <r>
    <n v="243"/>
    <x v="242"/>
    <x v="240"/>
    <x v="173"/>
    <x v="1"/>
    <x v="0"/>
    <x v="0"/>
  </r>
  <r>
    <n v="244"/>
    <x v="243"/>
    <x v="241"/>
    <x v="111"/>
    <x v="0"/>
    <x v="17"/>
    <x v="0"/>
  </r>
  <r>
    <n v="245"/>
    <x v="244"/>
    <x v="242"/>
    <x v="202"/>
    <x v="2"/>
    <x v="3"/>
    <x v="0"/>
  </r>
  <r>
    <n v="246"/>
    <x v="245"/>
    <x v="243"/>
    <x v="174"/>
    <x v="0"/>
    <x v="5"/>
    <x v="1"/>
  </r>
  <r>
    <n v="247"/>
    <x v="246"/>
    <x v="244"/>
    <x v="199"/>
    <x v="2"/>
    <x v="7"/>
    <x v="0"/>
  </r>
  <r>
    <n v="248"/>
    <x v="247"/>
    <x v="245"/>
    <x v="117"/>
    <x v="3"/>
    <x v="11"/>
    <x v="0"/>
  </r>
  <r>
    <n v="249"/>
    <x v="248"/>
    <x v="245"/>
    <x v="117"/>
    <x v="0"/>
    <x v="15"/>
    <x v="0"/>
  </r>
  <r>
    <n v="250"/>
    <x v="249"/>
    <x v="246"/>
    <x v="203"/>
    <x v="1"/>
    <x v="3"/>
    <x v="0"/>
  </r>
  <r>
    <n v="251"/>
    <x v="250"/>
    <x v="247"/>
    <x v="204"/>
    <x v="0"/>
    <x v="0"/>
    <x v="0"/>
  </r>
  <r>
    <n v="252"/>
    <x v="251"/>
    <x v="248"/>
    <x v="205"/>
    <x v="0"/>
    <x v="1"/>
    <x v="0"/>
  </r>
  <r>
    <n v="253"/>
    <x v="252"/>
    <x v="249"/>
    <x v="206"/>
    <x v="0"/>
    <x v="2"/>
    <x v="0"/>
  </r>
  <r>
    <n v="254"/>
    <x v="253"/>
    <x v="250"/>
    <x v="206"/>
    <x v="0"/>
    <x v="3"/>
    <x v="0"/>
  </r>
  <r>
    <n v="255"/>
    <x v="254"/>
    <x v="251"/>
    <x v="207"/>
    <x v="0"/>
    <x v="0"/>
    <x v="0"/>
  </r>
  <r>
    <n v="256"/>
    <x v="255"/>
    <x v="252"/>
    <x v="208"/>
    <x v="0"/>
    <x v="0"/>
    <x v="0"/>
  </r>
  <r>
    <n v="257"/>
    <x v="256"/>
    <x v="253"/>
    <x v="209"/>
    <x v="0"/>
    <x v="1"/>
    <x v="0"/>
  </r>
  <r>
    <n v="258"/>
    <x v="257"/>
    <x v="254"/>
    <x v="210"/>
    <x v="0"/>
    <x v="4"/>
    <x v="0"/>
  </r>
  <r>
    <n v="259"/>
    <x v="258"/>
    <x v="255"/>
    <x v="211"/>
    <x v="0"/>
    <x v="5"/>
    <x v="1"/>
  </r>
  <r>
    <n v="260"/>
    <x v="259"/>
    <x v="256"/>
    <x v="212"/>
    <x v="1"/>
    <x v="6"/>
    <x v="0"/>
  </r>
  <r>
    <n v="261"/>
    <x v="260"/>
    <x v="257"/>
    <x v="213"/>
    <x v="2"/>
    <x v="7"/>
    <x v="0"/>
  </r>
  <r>
    <n v="262"/>
    <x v="261"/>
    <x v="258"/>
    <x v="214"/>
    <x v="0"/>
    <x v="5"/>
    <x v="1"/>
  </r>
  <r>
    <n v="263"/>
    <x v="262"/>
    <x v="259"/>
    <x v="215"/>
    <x v="1"/>
    <x v="3"/>
    <x v="0"/>
  </r>
  <r>
    <n v="264"/>
    <x v="263"/>
    <x v="260"/>
    <x v="216"/>
    <x v="0"/>
    <x v="0"/>
    <x v="0"/>
  </r>
  <r>
    <n v="265"/>
    <x v="264"/>
    <x v="261"/>
    <x v="217"/>
    <x v="0"/>
    <x v="4"/>
    <x v="0"/>
  </r>
  <r>
    <n v="266"/>
    <x v="265"/>
    <x v="262"/>
    <x v="218"/>
    <x v="2"/>
    <x v="8"/>
    <x v="1"/>
  </r>
  <r>
    <n v="267"/>
    <x v="266"/>
    <x v="263"/>
    <x v="219"/>
    <x v="2"/>
    <x v="9"/>
    <x v="0"/>
  </r>
  <r>
    <n v="268"/>
    <x v="267"/>
    <x v="264"/>
    <x v="220"/>
    <x v="0"/>
    <x v="10"/>
    <x v="0"/>
  </r>
  <r>
    <n v="269"/>
    <x v="268"/>
    <x v="265"/>
    <x v="221"/>
    <x v="0"/>
    <x v="5"/>
    <x v="1"/>
  </r>
  <r>
    <n v="270"/>
    <x v="269"/>
    <x v="266"/>
    <x v="222"/>
    <x v="0"/>
    <x v="2"/>
    <x v="0"/>
  </r>
  <r>
    <n v="271"/>
    <x v="270"/>
    <x v="267"/>
    <x v="223"/>
    <x v="2"/>
    <x v="7"/>
    <x v="0"/>
  </r>
  <r>
    <n v="272"/>
    <x v="271"/>
    <x v="268"/>
    <x v="224"/>
    <x v="0"/>
    <x v="0"/>
    <x v="0"/>
  </r>
  <r>
    <n v="273"/>
    <x v="272"/>
    <x v="269"/>
    <x v="224"/>
    <x v="3"/>
    <x v="11"/>
    <x v="0"/>
  </r>
  <r>
    <n v="274"/>
    <x v="273"/>
    <x v="270"/>
    <x v="225"/>
    <x v="0"/>
    <x v="5"/>
    <x v="1"/>
  </r>
  <r>
    <n v="275"/>
    <x v="274"/>
    <x v="271"/>
    <x v="185"/>
    <x v="0"/>
    <x v="4"/>
    <x v="0"/>
  </r>
  <r>
    <n v="276"/>
    <x v="275"/>
    <x v="272"/>
    <x v="226"/>
    <x v="2"/>
    <x v="12"/>
    <x v="0"/>
  </r>
  <r>
    <n v="277"/>
    <x v="276"/>
    <x v="273"/>
    <x v="227"/>
    <x v="1"/>
    <x v="13"/>
    <x v="0"/>
  </r>
  <r>
    <n v="278"/>
    <x v="277"/>
    <x v="274"/>
    <x v="228"/>
    <x v="3"/>
    <x v="11"/>
    <x v="0"/>
  </r>
  <r>
    <n v="279"/>
    <x v="278"/>
    <x v="275"/>
    <x v="227"/>
    <x v="2"/>
    <x v="14"/>
    <x v="0"/>
  </r>
  <r>
    <n v="280"/>
    <x v="279"/>
    <x v="276"/>
    <x v="217"/>
    <x v="3"/>
    <x v="11"/>
    <x v="0"/>
  </r>
  <r>
    <n v="281"/>
    <x v="280"/>
    <x v="277"/>
    <x v="229"/>
    <x v="0"/>
    <x v="0"/>
    <x v="0"/>
  </r>
  <r>
    <n v="282"/>
    <x v="281"/>
    <x v="278"/>
    <x v="230"/>
    <x v="2"/>
    <x v="12"/>
    <x v="0"/>
  </r>
  <r>
    <n v="283"/>
    <x v="282"/>
    <x v="279"/>
    <x v="231"/>
    <x v="1"/>
    <x v="2"/>
    <x v="0"/>
  </r>
  <r>
    <n v="284"/>
    <x v="283"/>
    <x v="280"/>
    <x v="225"/>
    <x v="0"/>
    <x v="0"/>
    <x v="0"/>
  </r>
  <r>
    <n v="285"/>
    <x v="284"/>
    <x v="281"/>
    <x v="185"/>
    <x v="2"/>
    <x v="7"/>
    <x v="0"/>
  </r>
  <r>
    <n v="286"/>
    <x v="285"/>
    <x v="282"/>
    <x v="232"/>
    <x v="0"/>
    <x v="15"/>
    <x v="0"/>
  </r>
  <r>
    <n v="287"/>
    <x v="286"/>
    <x v="283"/>
    <x v="227"/>
    <x v="2"/>
    <x v="12"/>
    <x v="0"/>
  </r>
  <r>
    <n v="288"/>
    <x v="287"/>
    <x v="284"/>
    <x v="233"/>
    <x v="2"/>
    <x v="7"/>
    <x v="0"/>
  </r>
  <r>
    <n v="289"/>
    <x v="288"/>
    <x v="285"/>
    <x v="234"/>
    <x v="2"/>
    <x v="7"/>
    <x v="0"/>
  </r>
  <r>
    <n v="290"/>
    <x v="289"/>
    <x v="286"/>
    <x v="235"/>
    <x v="0"/>
    <x v="0"/>
    <x v="0"/>
  </r>
  <r>
    <n v="291"/>
    <x v="290"/>
    <x v="287"/>
    <x v="236"/>
    <x v="1"/>
    <x v="4"/>
    <x v="0"/>
  </r>
  <r>
    <n v="292"/>
    <x v="291"/>
    <x v="288"/>
    <x v="237"/>
    <x v="1"/>
    <x v="0"/>
    <x v="0"/>
  </r>
  <r>
    <n v="293"/>
    <x v="292"/>
    <x v="289"/>
    <x v="238"/>
    <x v="0"/>
    <x v="0"/>
    <x v="0"/>
  </r>
  <r>
    <n v="294"/>
    <x v="293"/>
    <x v="290"/>
    <x v="239"/>
    <x v="2"/>
    <x v="7"/>
    <x v="0"/>
  </r>
  <r>
    <n v="295"/>
    <x v="294"/>
    <x v="291"/>
    <x v="240"/>
    <x v="0"/>
    <x v="4"/>
    <x v="0"/>
  </r>
  <r>
    <n v="296"/>
    <x v="295"/>
    <x v="292"/>
    <x v="241"/>
    <x v="0"/>
    <x v="0"/>
    <x v="0"/>
  </r>
  <r>
    <n v="297"/>
    <x v="296"/>
    <x v="293"/>
    <x v="242"/>
    <x v="3"/>
    <x v="11"/>
    <x v="0"/>
  </r>
  <r>
    <n v="298"/>
    <x v="297"/>
    <x v="294"/>
    <x v="233"/>
    <x v="3"/>
    <x v="11"/>
    <x v="0"/>
  </r>
  <r>
    <n v="299"/>
    <x v="298"/>
    <x v="295"/>
    <x v="243"/>
    <x v="2"/>
    <x v="7"/>
    <x v="0"/>
  </r>
  <r>
    <n v="300"/>
    <x v="299"/>
    <x v="296"/>
    <x v="213"/>
    <x v="2"/>
    <x v="16"/>
    <x v="0"/>
  </r>
  <r>
    <n v="301"/>
    <x v="300"/>
    <x v="297"/>
    <x v="236"/>
    <x v="0"/>
    <x v="5"/>
    <x v="1"/>
  </r>
  <r>
    <n v="302"/>
    <x v="301"/>
    <x v="298"/>
    <x v="214"/>
    <x v="0"/>
    <x v="4"/>
    <x v="0"/>
  </r>
  <r>
    <n v="303"/>
    <x v="302"/>
    <x v="299"/>
    <x v="226"/>
    <x v="2"/>
    <x v="9"/>
    <x v="0"/>
  </r>
  <r>
    <n v="304"/>
    <x v="303"/>
    <x v="300"/>
    <x v="211"/>
    <x v="1"/>
    <x v="4"/>
    <x v="0"/>
  </r>
  <r>
    <n v="305"/>
    <x v="304"/>
    <x v="301"/>
    <x v="244"/>
    <x v="0"/>
    <x v="4"/>
    <x v="0"/>
  </r>
  <r>
    <n v="306"/>
    <x v="305"/>
    <x v="302"/>
    <x v="245"/>
    <x v="1"/>
    <x v="3"/>
    <x v="0"/>
  </r>
  <r>
    <n v="307"/>
    <x v="306"/>
    <x v="303"/>
    <x v="212"/>
    <x v="2"/>
    <x v="8"/>
    <x v="1"/>
  </r>
  <r>
    <n v="308"/>
    <x v="307"/>
    <x v="304"/>
    <x v="241"/>
    <x v="2"/>
    <x v="8"/>
    <x v="1"/>
  </r>
  <r>
    <n v="309"/>
    <x v="308"/>
    <x v="305"/>
    <x v="243"/>
    <x v="0"/>
    <x v="17"/>
    <x v="0"/>
  </r>
  <r>
    <n v="310"/>
    <x v="309"/>
    <x v="306"/>
    <x v="235"/>
    <x v="2"/>
    <x v="12"/>
    <x v="0"/>
  </r>
  <r>
    <n v="311"/>
    <x v="310"/>
    <x v="307"/>
    <x v="246"/>
    <x v="2"/>
    <x v="7"/>
    <x v="0"/>
  </r>
  <r>
    <n v="312"/>
    <x v="311"/>
    <x v="308"/>
    <x v="247"/>
    <x v="0"/>
    <x v="3"/>
    <x v="0"/>
  </r>
  <r>
    <n v="313"/>
    <x v="312"/>
    <x v="309"/>
    <x v="248"/>
    <x v="1"/>
    <x v="2"/>
    <x v="0"/>
  </r>
  <r>
    <n v="314"/>
    <x v="313"/>
    <x v="310"/>
    <x v="249"/>
    <x v="0"/>
    <x v="1"/>
    <x v="0"/>
  </r>
  <r>
    <n v="315"/>
    <x v="314"/>
    <x v="311"/>
    <x v="249"/>
    <x v="1"/>
    <x v="2"/>
    <x v="0"/>
  </r>
  <r>
    <n v="316"/>
    <x v="315"/>
    <x v="312"/>
    <x v="250"/>
    <x v="1"/>
    <x v="2"/>
    <x v="0"/>
  </r>
  <r>
    <n v="317"/>
    <x v="316"/>
    <x v="313"/>
    <x v="251"/>
    <x v="3"/>
    <x v="11"/>
    <x v="0"/>
  </r>
  <r>
    <n v="318"/>
    <x v="317"/>
    <x v="314"/>
    <x v="252"/>
    <x v="1"/>
    <x v="3"/>
    <x v="0"/>
  </r>
  <r>
    <n v="319"/>
    <x v="318"/>
    <x v="315"/>
    <x v="253"/>
    <x v="2"/>
    <x v="14"/>
    <x v="0"/>
  </r>
  <r>
    <n v="320"/>
    <x v="319"/>
    <x v="316"/>
    <x v="254"/>
    <x v="0"/>
    <x v="0"/>
    <x v="0"/>
  </r>
  <r>
    <n v="321"/>
    <x v="320"/>
    <x v="317"/>
    <x v="255"/>
    <x v="1"/>
    <x v="4"/>
    <x v="0"/>
  </r>
  <r>
    <n v="322"/>
    <x v="321"/>
    <x v="318"/>
    <x v="256"/>
    <x v="4"/>
    <x v="12"/>
    <x v="0"/>
  </r>
  <r>
    <n v="323"/>
    <x v="322"/>
    <x v="319"/>
    <x v="257"/>
    <x v="0"/>
    <x v="10"/>
    <x v="0"/>
  </r>
  <r>
    <n v="324"/>
    <x v="323"/>
    <x v="320"/>
    <x v="258"/>
    <x v="1"/>
    <x v="4"/>
    <x v="0"/>
  </r>
  <r>
    <n v="325"/>
    <x v="324"/>
    <x v="321"/>
    <x v="259"/>
    <x v="0"/>
    <x v="17"/>
    <x v="0"/>
  </r>
  <r>
    <n v="326"/>
    <x v="325"/>
    <x v="322"/>
    <x v="260"/>
    <x v="0"/>
    <x v="0"/>
    <x v="0"/>
  </r>
  <r>
    <n v="327"/>
    <x v="326"/>
    <x v="323"/>
    <x v="261"/>
    <x v="1"/>
    <x v="2"/>
    <x v="0"/>
  </r>
  <r>
    <n v="328"/>
    <x v="327"/>
    <x v="324"/>
    <x v="262"/>
    <x v="0"/>
    <x v="17"/>
    <x v="0"/>
  </r>
  <r>
    <n v="329"/>
    <x v="328"/>
    <x v="325"/>
    <x v="263"/>
    <x v="0"/>
    <x v="17"/>
    <x v="0"/>
  </r>
  <r>
    <n v="330"/>
    <x v="329"/>
    <x v="326"/>
    <x v="264"/>
    <x v="2"/>
    <x v="7"/>
    <x v="0"/>
  </r>
  <r>
    <n v="331"/>
    <x v="330"/>
    <x v="327"/>
    <x v="265"/>
    <x v="0"/>
    <x v="17"/>
    <x v="0"/>
  </r>
  <r>
    <n v="332"/>
    <x v="331"/>
    <x v="328"/>
    <x v="266"/>
    <x v="1"/>
    <x v="17"/>
    <x v="0"/>
  </r>
  <r>
    <n v="333"/>
    <x v="332"/>
    <x v="329"/>
    <x v="267"/>
    <x v="1"/>
    <x v="13"/>
    <x v="0"/>
  </r>
  <r>
    <n v="334"/>
    <x v="333"/>
    <x v="330"/>
    <x v="267"/>
    <x v="1"/>
    <x v="6"/>
    <x v="0"/>
  </r>
  <r>
    <n v="335"/>
    <x v="334"/>
    <x v="331"/>
    <x v="268"/>
    <x v="0"/>
    <x v="0"/>
    <x v="0"/>
  </r>
  <r>
    <n v="336"/>
    <x v="335"/>
    <x v="332"/>
    <x v="185"/>
    <x v="0"/>
    <x v="15"/>
    <x v="0"/>
  </r>
  <r>
    <n v="337"/>
    <x v="336"/>
    <x v="333"/>
    <x v="269"/>
    <x v="2"/>
    <x v="7"/>
    <x v="0"/>
  </r>
  <r>
    <n v="338"/>
    <x v="337"/>
    <x v="334"/>
    <x v="270"/>
    <x v="2"/>
    <x v="17"/>
    <x v="0"/>
  </r>
  <r>
    <n v="339"/>
    <x v="338"/>
    <x v="335"/>
    <x v="271"/>
    <x v="0"/>
    <x v="5"/>
    <x v="1"/>
  </r>
  <r>
    <n v="340"/>
    <x v="339"/>
    <x v="336"/>
    <x v="270"/>
    <x v="0"/>
    <x v="5"/>
    <x v="1"/>
  </r>
  <r>
    <n v="341"/>
    <x v="340"/>
    <x v="337"/>
    <x v="260"/>
    <x v="0"/>
    <x v="0"/>
    <x v="0"/>
  </r>
  <r>
    <n v="342"/>
    <x v="341"/>
    <x v="338"/>
    <x v="272"/>
    <x v="0"/>
    <x v="5"/>
    <x v="1"/>
  </r>
  <r>
    <n v="343"/>
    <x v="342"/>
    <x v="339"/>
    <x v="273"/>
    <x v="2"/>
    <x v="14"/>
    <x v="0"/>
  </r>
  <r>
    <n v="344"/>
    <x v="343"/>
    <x v="340"/>
    <x v="274"/>
    <x v="2"/>
    <x v="8"/>
    <x v="1"/>
  </r>
  <r>
    <n v="345"/>
    <x v="344"/>
    <x v="341"/>
    <x v="268"/>
    <x v="2"/>
    <x v="9"/>
    <x v="0"/>
  </r>
  <r>
    <n v="346"/>
    <x v="345"/>
    <x v="342"/>
    <x v="185"/>
    <x v="4"/>
    <x v="12"/>
    <x v="0"/>
  </r>
  <r>
    <n v="347"/>
    <x v="346"/>
    <x v="343"/>
    <x v="275"/>
    <x v="1"/>
    <x v="6"/>
    <x v="0"/>
  </r>
  <r>
    <n v="348"/>
    <x v="347"/>
    <x v="344"/>
    <x v="270"/>
    <x v="0"/>
    <x v="2"/>
    <x v="0"/>
  </r>
  <r>
    <n v="349"/>
    <x v="348"/>
    <x v="345"/>
    <x v="276"/>
    <x v="1"/>
    <x v="4"/>
    <x v="0"/>
  </r>
  <r>
    <n v="350"/>
    <x v="349"/>
    <x v="346"/>
    <x v="277"/>
    <x v="0"/>
    <x v="10"/>
    <x v="0"/>
  </r>
  <r>
    <n v="351"/>
    <x v="350"/>
    <x v="347"/>
    <x v="278"/>
    <x v="0"/>
    <x v="5"/>
    <x v="1"/>
  </r>
  <r>
    <n v="352"/>
    <x v="351"/>
    <x v="348"/>
    <x v="279"/>
    <x v="1"/>
    <x v="6"/>
    <x v="0"/>
  </r>
  <r>
    <n v="353"/>
    <x v="352"/>
    <x v="349"/>
    <x v="280"/>
    <x v="2"/>
    <x v="3"/>
    <x v="0"/>
  </r>
  <r>
    <n v="354"/>
    <x v="353"/>
    <x v="350"/>
    <x v="281"/>
    <x v="3"/>
    <x v="11"/>
    <x v="0"/>
  </r>
  <r>
    <n v="355"/>
    <x v="354"/>
    <x v="351"/>
    <x v="282"/>
    <x v="0"/>
    <x v="3"/>
    <x v="0"/>
  </r>
  <r>
    <n v="356"/>
    <x v="355"/>
    <x v="352"/>
    <x v="283"/>
    <x v="1"/>
    <x v="13"/>
    <x v="0"/>
  </r>
  <r>
    <n v="357"/>
    <x v="356"/>
    <x v="353"/>
    <x v="284"/>
    <x v="0"/>
    <x v="5"/>
    <x v="1"/>
  </r>
  <r>
    <n v="358"/>
    <x v="357"/>
    <x v="354"/>
    <x v="285"/>
    <x v="0"/>
    <x v="5"/>
    <x v="1"/>
  </r>
  <r>
    <n v="359"/>
    <x v="358"/>
    <x v="355"/>
    <x v="276"/>
    <x v="0"/>
    <x v="2"/>
    <x v="0"/>
  </r>
  <r>
    <n v="360"/>
    <x v="359"/>
    <x v="356"/>
    <x v="286"/>
    <x v="2"/>
    <x v="9"/>
    <x v="0"/>
  </r>
  <r>
    <n v="361"/>
    <x v="360"/>
    <x v="357"/>
    <x v="256"/>
    <x v="0"/>
    <x v="2"/>
    <x v="0"/>
  </r>
  <r>
    <n v="362"/>
    <x v="361"/>
    <x v="358"/>
    <x v="279"/>
    <x v="1"/>
    <x v="3"/>
    <x v="0"/>
  </r>
  <r>
    <n v="363"/>
    <x v="362"/>
    <x v="359"/>
    <x v="257"/>
    <x v="3"/>
    <x v="11"/>
    <x v="0"/>
  </r>
  <r>
    <n v="364"/>
    <x v="363"/>
    <x v="360"/>
    <x v="269"/>
    <x v="1"/>
    <x v="2"/>
    <x v="0"/>
  </r>
  <r>
    <n v="365"/>
    <x v="364"/>
    <x v="361"/>
    <x v="254"/>
    <x v="0"/>
    <x v="10"/>
    <x v="0"/>
  </r>
  <r>
    <n v="366"/>
    <x v="365"/>
    <x v="362"/>
    <x v="287"/>
    <x v="2"/>
    <x v="16"/>
    <x v="0"/>
  </r>
  <r>
    <n v="367"/>
    <x v="366"/>
    <x v="363"/>
    <x v="288"/>
    <x v="3"/>
    <x v="11"/>
    <x v="0"/>
  </r>
  <r>
    <n v="368"/>
    <x v="367"/>
    <x v="364"/>
    <x v="255"/>
    <x v="2"/>
    <x v="14"/>
    <x v="0"/>
  </r>
  <r>
    <n v="369"/>
    <x v="368"/>
    <x v="365"/>
    <x v="284"/>
    <x v="1"/>
    <x v="0"/>
    <x v="0"/>
  </r>
  <r>
    <n v="370"/>
    <x v="369"/>
    <x v="366"/>
    <x v="286"/>
    <x v="0"/>
    <x v="15"/>
    <x v="0"/>
  </r>
  <r>
    <n v="371"/>
    <x v="370"/>
    <x v="367"/>
    <x v="278"/>
    <x v="2"/>
    <x v="7"/>
    <x v="0"/>
  </r>
  <r>
    <n v="372"/>
    <x v="371"/>
    <x v="368"/>
    <x v="289"/>
    <x v="0"/>
    <x v="5"/>
    <x v="1"/>
  </r>
  <r>
    <n v="373"/>
    <x v="372"/>
    <x v="369"/>
    <x v="290"/>
    <x v="2"/>
    <x v="8"/>
    <x v="1"/>
  </r>
  <r>
    <n v="374"/>
    <x v="373"/>
    <x v="370"/>
    <x v="291"/>
    <x v="2"/>
    <x v="7"/>
    <x v="0"/>
  </r>
  <r>
    <n v="375"/>
    <x v="374"/>
    <x v="371"/>
    <x v="292"/>
    <x v="2"/>
    <x v="9"/>
    <x v="0"/>
  </r>
  <r>
    <n v="376"/>
    <x v="375"/>
    <x v="372"/>
    <x v="292"/>
    <x v="2"/>
    <x v="3"/>
    <x v="0"/>
  </r>
  <r>
    <n v="377"/>
    <x v="376"/>
    <x v="373"/>
    <x v="293"/>
    <x v="2"/>
    <x v="7"/>
    <x v="0"/>
  </r>
  <r>
    <n v="378"/>
    <x v="377"/>
    <x v="374"/>
    <x v="294"/>
    <x v="4"/>
    <x v="12"/>
    <x v="0"/>
  </r>
  <r>
    <n v="379"/>
    <x v="378"/>
    <x v="375"/>
    <x v="295"/>
    <x v="1"/>
    <x v="2"/>
    <x v="0"/>
  </r>
  <r>
    <n v="380"/>
    <x v="379"/>
    <x v="376"/>
    <x v="296"/>
    <x v="4"/>
    <x v="12"/>
    <x v="0"/>
  </r>
  <r>
    <n v="381"/>
    <x v="380"/>
    <x v="377"/>
    <x v="297"/>
    <x v="0"/>
    <x v="0"/>
    <x v="0"/>
  </r>
  <r>
    <n v="382"/>
    <x v="381"/>
    <x v="378"/>
    <x v="298"/>
    <x v="0"/>
    <x v="0"/>
    <x v="0"/>
  </r>
  <r>
    <n v="383"/>
    <x v="382"/>
    <x v="379"/>
    <x v="299"/>
    <x v="0"/>
    <x v="1"/>
    <x v="0"/>
  </r>
  <r>
    <n v="384"/>
    <x v="383"/>
    <x v="380"/>
    <x v="300"/>
    <x v="2"/>
    <x v="8"/>
    <x v="1"/>
  </r>
  <r>
    <n v="385"/>
    <x v="384"/>
    <x v="381"/>
    <x v="301"/>
    <x v="0"/>
    <x v="17"/>
    <x v="0"/>
  </r>
  <r>
    <n v="386"/>
    <x v="385"/>
    <x v="382"/>
    <x v="302"/>
    <x v="0"/>
    <x v="1"/>
    <x v="0"/>
  </r>
  <r>
    <n v="387"/>
    <x v="386"/>
    <x v="383"/>
    <x v="303"/>
    <x v="1"/>
    <x v="0"/>
    <x v="0"/>
  </r>
  <r>
    <n v="388"/>
    <x v="387"/>
    <x v="384"/>
    <x v="304"/>
    <x v="4"/>
    <x v="12"/>
    <x v="0"/>
  </r>
  <r>
    <n v="389"/>
    <x v="388"/>
    <x v="385"/>
    <x v="305"/>
    <x v="1"/>
    <x v="0"/>
    <x v="0"/>
  </r>
  <r>
    <n v="390"/>
    <x v="389"/>
    <x v="386"/>
    <x v="306"/>
    <x v="0"/>
    <x v="5"/>
    <x v="1"/>
  </r>
  <r>
    <n v="391"/>
    <x v="390"/>
    <x v="387"/>
    <x v="307"/>
    <x v="2"/>
    <x v="7"/>
    <x v="0"/>
  </r>
  <r>
    <n v="392"/>
    <x v="391"/>
    <x v="388"/>
    <x v="308"/>
    <x v="3"/>
    <x v="17"/>
    <x v="0"/>
  </r>
  <r>
    <n v="393"/>
    <x v="392"/>
    <x v="389"/>
    <x v="309"/>
    <x v="2"/>
    <x v="14"/>
    <x v="0"/>
  </r>
  <r>
    <n v="394"/>
    <x v="393"/>
    <x v="390"/>
    <x v="310"/>
    <x v="0"/>
    <x v="17"/>
    <x v="0"/>
  </r>
  <r>
    <n v="395"/>
    <x v="394"/>
    <x v="391"/>
    <x v="310"/>
    <x v="2"/>
    <x v="7"/>
    <x v="0"/>
  </r>
  <r>
    <n v="396"/>
    <x v="395"/>
    <x v="392"/>
    <x v="311"/>
    <x v="0"/>
    <x v="2"/>
    <x v="0"/>
  </r>
  <r>
    <n v="397"/>
    <x v="396"/>
    <x v="393"/>
    <x v="185"/>
    <x v="2"/>
    <x v="7"/>
    <x v="0"/>
  </r>
  <r>
    <n v="398"/>
    <x v="397"/>
    <x v="394"/>
    <x v="312"/>
    <x v="0"/>
    <x v="15"/>
    <x v="0"/>
  </r>
  <r>
    <n v="399"/>
    <x v="398"/>
    <x v="395"/>
    <x v="313"/>
    <x v="2"/>
    <x v="7"/>
    <x v="0"/>
  </r>
  <r>
    <n v="400"/>
    <x v="399"/>
    <x v="396"/>
    <x v="314"/>
    <x v="3"/>
    <x v="11"/>
    <x v="0"/>
  </r>
  <r>
    <n v="401"/>
    <x v="400"/>
    <x v="397"/>
    <x v="313"/>
    <x v="0"/>
    <x v="15"/>
    <x v="0"/>
  </r>
  <r>
    <n v="402"/>
    <x v="401"/>
    <x v="398"/>
    <x v="303"/>
    <x v="2"/>
    <x v="8"/>
    <x v="1"/>
  </r>
  <r>
    <n v="403"/>
    <x v="402"/>
    <x v="399"/>
    <x v="315"/>
    <x v="2"/>
    <x v="12"/>
    <x v="0"/>
  </r>
  <r>
    <n v="404"/>
    <x v="403"/>
    <x v="400"/>
    <x v="316"/>
    <x v="0"/>
    <x v="15"/>
    <x v="0"/>
  </r>
  <r>
    <n v="405"/>
    <x v="404"/>
    <x v="401"/>
    <x v="317"/>
    <x v="1"/>
    <x v="17"/>
    <x v="0"/>
  </r>
  <r>
    <n v="406"/>
    <x v="405"/>
    <x v="402"/>
    <x v="311"/>
    <x v="0"/>
    <x v="5"/>
    <x v="1"/>
  </r>
  <r>
    <n v="407"/>
    <x v="406"/>
    <x v="403"/>
    <x v="185"/>
    <x v="1"/>
    <x v="17"/>
    <x v="0"/>
  </r>
  <r>
    <n v="408"/>
    <x v="407"/>
    <x v="404"/>
    <x v="318"/>
    <x v="0"/>
    <x v="13"/>
    <x v="0"/>
  </r>
  <r>
    <n v="409"/>
    <x v="408"/>
    <x v="405"/>
    <x v="313"/>
    <x v="4"/>
    <x v="12"/>
    <x v="0"/>
  </r>
  <r>
    <n v="410"/>
    <x v="409"/>
    <x v="406"/>
    <x v="319"/>
    <x v="1"/>
    <x v="3"/>
    <x v="0"/>
  </r>
  <r>
    <n v="411"/>
    <x v="410"/>
    <x v="407"/>
    <x v="320"/>
    <x v="2"/>
    <x v="7"/>
    <x v="0"/>
  </r>
  <r>
    <n v="412"/>
    <x v="411"/>
    <x v="408"/>
    <x v="321"/>
    <x v="3"/>
    <x v="11"/>
    <x v="0"/>
  </r>
  <r>
    <n v="413"/>
    <x v="412"/>
    <x v="409"/>
    <x v="322"/>
    <x v="2"/>
    <x v="7"/>
    <x v="0"/>
  </r>
  <r>
    <n v="414"/>
    <x v="413"/>
    <x v="410"/>
    <x v="323"/>
    <x v="1"/>
    <x v="2"/>
    <x v="0"/>
  </r>
  <r>
    <n v="415"/>
    <x v="414"/>
    <x v="411"/>
    <x v="324"/>
    <x v="2"/>
    <x v="9"/>
    <x v="0"/>
  </r>
  <r>
    <n v="416"/>
    <x v="415"/>
    <x v="412"/>
    <x v="325"/>
    <x v="2"/>
    <x v="14"/>
    <x v="0"/>
  </r>
  <r>
    <n v="417"/>
    <x v="416"/>
    <x v="413"/>
    <x v="326"/>
    <x v="2"/>
    <x v="7"/>
    <x v="0"/>
  </r>
  <r>
    <n v="418"/>
    <x v="417"/>
    <x v="414"/>
    <x v="327"/>
    <x v="1"/>
    <x v="6"/>
    <x v="0"/>
  </r>
  <r>
    <n v="419"/>
    <x v="418"/>
    <x v="415"/>
    <x v="328"/>
    <x v="2"/>
    <x v="14"/>
    <x v="0"/>
  </r>
  <r>
    <n v="420"/>
    <x v="419"/>
    <x v="416"/>
    <x v="319"/>
    <x v="1"/>
    <x v="3"/>
    <x v="0"/>
  </r>
  <r>
    <n v="421"/>
    <x v="420"/>
    <x v="417"/>
    <x v="329"/>
    <x v="2"/>
    <x v="7"/>
    <x v="0"/>
  </r>
  <r>
    <n v="422"/>
    <x v="421"/>
    <x v="418"/>
    <x v="299"/>
    <x v="2"/>
    <x v="17"/>
    <x v="0"/>
  </r>
  <r>
    <n v="423"/>
    <x v="422"/>
    <x v="419"/>
    <x v="322"/>
    <x v="0"/>
    <x v="1"/>
    <x v="0"/>
  </r>
  <r>
    <n v="424"/>
    <x v="423"/>
    <x v="420"/>
    <x v="300"/>
    <x v="1"/>
    <x v="0"/>
    <x v="0"/>
  </r>
  <r>
    <n v="425"/>
    <x v="424"/>
    <x v="421"/>
    <x v="312"/>
    <x v="2"/>
    <x v="17"/>
    <x v="0"/>
  </r>
  <r>
    <n v="426"/>
    <x v="425"/>
    <x v="422"/>
    <x v="297"/>
    <x v="3"/>
    <x v="11"/>
    <x v="0"/>
  </r>
  <r>
    <n v="427"/>
    <x v="426"/>
    <x v="423"/>
    <x v="330"/>
    <x v="1"/>
    <x v="3"/>
    <x v="0"/>
  </r>
  <r>
    <n v="428"/>
    <x v="427"/>
    <x v="424"/>
    <x v="331"/>
    <x v="2"/>
    <x v="8"/>
    <x v="1"/>
  </r>
  <r>
    <n v="429"/>
    <x v="428"/>
    <x v="425"/>
    <x v="298"/>
    <x v="0"/>
    <x v="5"/>
    <x v="1"/>
  </r>
  <r>
    <n v="430"/>
    <x v="429"/>
    <x v="426"/>
    <x v="327"/>
    <x v="2"/>
    <x v="9"/>
    <x v="0"/>
  </r>
  <r>
    <n v="431"/>
    <x v="430"/>
    <x v="427"/>
    <x v="329"/>
    <x v="2"/>
    <x v="17"/>
    <x v="0"/>
  </r>
  <r>
    <n v="432"/>
    <x v="431"/>
    <x v="428"/>
    <x v="321"/>
    <x v="1"/>
    <x v="3"/>
    <x v="0"/>
  </r>
  <r>
    <n v="433"/>
    <x v="432"/>
    <x v="429"/>
    <x v="332"/>
    <x v="1"/>
    <x v="5"/>
    <x v="1"/>
  </r>
  <r>
    <n v="434"/>
    <x v="433"/>
    <x v="430"/>
    <x v="333"/>
    <x v="1"/>
    <x v="2"/>
    <x v="0"/>
  </r>
  <r>
    <n v="435"/>
    <x v="434"/>
    <x v="431"/>
    <x v="334"/>
    <x v="4"/>
    <x v="12"/>
    <x v="0"/>
  </r>
  <r>
    <n v="436"/>
    <x v="435"/>
    <x v="432"/>
    <x v="335"/>
    <x v="2"/>
    <x v="17"/>
    <x v="0"/>
  </r>
  <r>
    <n v="437"/>
    <x v="436"/>
    <x v="433"/>
    <x v="335"/>
    <x v="1"/>
    <x v="6"/>
    <x v="0"/>
  </r>
  <r>
    <n v="438"/>
    <x v="437"/>
    <x v="434"/>
    <x v="336"/>
    <x v="2"/>
    <x v="7"/>
    <x v="0"/>
  </r>
  <r>
    <n v="439"/>
    <x v="438"/>
    <x v="435"/>
    <x v="337"/>
    <x v="0"/>
    <x v="1"/>
    <x v="0"/>
  </r>
  <r>
    <n v="440"/>
    <x v="439"/>
    <x v="436"/>
    <x v="338"/>
    <x v="0"/>
    <x v="0"/>
    <x v="0"/>
  </r>
  <r>
    <n v="441"/>
    <x v="440"/>
    <x v="437"/>
    <x v="339"/>
    <x v="0"/>
    <x v="10"/>
    <x v="0"/>
  </r>
  <r>
    <n v="442"/>
    <x v="441"/>
    <x v="438"/>
    <x v="340"/>
    <x v="1"/>
    <x v="2"/>
    <x v="0"/>
  </r>
  <r>
    <n v="443"/>
    <x v="442"/>
    <x v="439"/>
    <x v="341"/>
    <x v="0"/>
    <x v="10"/>
    <x v="0"/>
  </r>
  <r>
    <n v="444"/>
    <x v="443"/>
    <x v="440"/>
    <x v="342"/>
    <x v="1"/>
    <x v="3"/>
    <x v="0"/>
  </r>
  <r>
    <n v="445"/>
    <x v="444"/>
    <x v="441"/>
    <x v="343"/>
    <x v="3"/>
    <x v="11"/>
    <x v="0"/>
  </r>
  <r>
    <n v="446"/>
    <x v="445"/>
    <x v="442"/>
    <x v="344"/>
    <x v="2"/>
    <x v="7"/>
    <x v="0"/>
  </r>
  <r>
    <n v="447"/>
    <x v="446"/>
    <x v="443"/>
    <x v="345"/>
    <x v="1"/>
    <x v="6"/>
    <x v="0"/>
  </r>
  <r>
    <n v="448"/>
    <x v="447"/>
    <x v="444"/>
    <x v="346"/>
    <x v="2"/>
    <x v="8"/>
    <x v="1"/>
  </r>
  <r>
    <n v="449"/>
    <x v="448"/>
    <x v="445"/>
    <x v="347"/>
    <x v="2"/>
    <x v="8"/>
    <x v="1"/>
  </r>
  <r>
    <n v="450"/>
    <x v="449"/>
    <x v="446"/>
    <x v="348"/>
    <x v="4"/>
    <x v="12"/>
    <x v="0"/>
  </r>
  <r>
    <n v="451"/>
    <x v="450"/>
    <x v="447"/>
    <x v="349"/>
    <x v="2"/>
    <x v="8"/>
    <x v="1"/>
  </r>
  <r>
    <n v="452"/>
    <x v="451"/>
    <x v="448"/>
    <x v="350"/>
    <x v="3"/>
    <x v="11"/>
    <x v="0"/>
  </r>
  <r>
    <n v="453"/>
    <x v="452"/>
    <x v="449"/>
    <x v="351"/>
    <x v="3"/>
    <x v="11"/>
    <x v="0"/>
  </r>
  <r>
    <n v="454"/>
    <x v="453"/>
    <x v="450"/>
    <x v="352"/>
    <x v="2"/>
    <x v="9"/>
    <x v="0"/>
  </r>
  <r>
    <n v="455"/>
    <x v="454"/>
    <x v="451"/>
    <x v="353"/>
    <x v="2"/>
    <x v="3"/>
    <x v="0"/>
  </r>
  <r>
    <n v="456"/>
    <x v="455"/>
    <x v="452"/>
    <x v="353"/>
    <x v="2"/>
    <x v="7"/>
    <x v="0"/>
  </r>
  <r>
    <n v="457"/>
    <x v="456"/>
    <x v="453"/>
    <x v="354"/>
    <x v="0"/>
    <x v="15"/>
    <x v="0"/>
  </r>
  <r>
    <n v="458"/>
    <x v="457"/>
    <x v="454"/>
    <x v="185"/>
    <x v="2"/>
    <x v="12"/>
    <x v="0"/>
  </r>
  <r>
    <n v="459"/>
    <x v="458"/>
    <x v="455"/>
    <x v="355"/>
    <x v="0"/>
    <x v="2"/>
    <x v="0"/>
  </r>
  <r>
    <n v="461"/>
    <x v="459"/>
    <x v="456"/>
    <x v="356"/>
    <x v="0"/>
    <x v="5"/>
    <x v="1"/>
  </r>
  <r>
    <n v="462"/>
    <x v="460"/>
    <x v="457"/>
    <x v="357"/>
    <x v="3"/>
    <x v="11"/>
    <x v="0"/>
  </r>
  <r>
    <n v="463"/>
    <x v="461"/>
    <x v="458"/>
    <x v="346"/>
    <x v="3"/>
    <x v="11"/>
    <x v="0"/>
  </r>
  <r>
    <n v="464"/>
    <x v="462"/>
    <x v="459"/>
    <x v="358"/>
    <x v="2"/>
    <x v="7"/>
    <x v="0"/>
  </r>
  <r>
    <n v="465"/>
    <x v="463"/>
    <x v="460"/>
    <x v="359"/>
    <x v="1"/>
    <x v="2"/>
    <x v="0"/>
  </r>
  <r>
    <n v="466"/>
    <x v="464"/>
    <x v="461"/>
    <x v="360"/>
    <x v="3"/>
    <x v="8"/>
    <x v="1"/>
  </r>
  <r>
    <n v="467"/>
    <x v="465"/>
    <x v="462"/>
    <x v="354"/>
    <x v="0"/>
    <x v="5"/>
    <x v="1"/>
  </r>
  <r>
    <n v="468"/>
    <x v="466"/>
    <x v="463"/>
    <x v="185"/>
    <x v="3"/>
    <x v="11"/>
    <x v="0"/>
  </r>
  <r>
    <n v="469"/>
    <x v="467"/>
    <x v="464"/>
    <x v="361"/>
    <x v="2"/>
    <x v="3"/>
    <x v="0"/>
  </r>
  <r>
    <n v="470"/>
    <x v="468"/>
    <x v="465"/>
    <x v="357"/>
    <x v="0"/>
    <x v="17"/>
    <x v="0"/>
  </r>
  <r>
    <n v="471"/>
    <x v="469"/>
    <x v="466"/>
    <x v="362"/>
    <x v="2"/>
    <x v="7"/>
    <x v="0"/>
  </r>
  <r>
    <n v="472"/>
    <x v="470"/>
    <x v="467"/>
    <x v="363"/>
    <x v="0"/>
    <x v="10"/>
    <x v="0"/>
  </r>
  <r>
    <n v="473"/>
    <x v="471"/>
    <x v="468"/>
    <x v="364"/>
    <x v="0"/>
    <x v="10"/>
    <x v="0"/>
  </r>
  <r>
    <n v="474"/>
    <x v="472"/>
    <x v="469"/>
    <x v="365"/>
    <x v="0"/>
    <x v="10"/>
    <x v="0"/>
  </r>
  <r>
    <n v="475"/>
    <x v="473"/>
    <x v="470"/>
    <x v="366"/>
    <x v="3"/>
    <x v="11"/>
    <x v="0"/>
  </r>
  <r>
    <n v="476"/>
    <x v="474"/>
    <x v="471"/>
    <x v="367"/>
    <x v="0"/>
    <x v="10"/>
    <x v="0"/>
  </r>
  <r>
    <n v="477"/>
    <x v="475"/>
    <x v="472"/>
    <x v="368"/>
    <x v="2"/>
    <x v="7"/>
    <x v="0"/>
  </r>
  <r>
    <n v="478"/>
    <x v="476"/>
    <x v="473"/>
    <x v="369"/>
    <x v="2"/>
    <x v="7"/>
    <x v="0"/>
  </r>
  <r>
    <n v="479"/>
    <x v="477"/>
    <x v="474"/>
    <x v="370"/>
    <x v="2"/>
    <x v="12"/>
    <x v="0"/>
  </r>
  <r>
    <n v="480"/>
    <x v="478"/>
    <x v="475"/>
    <x v="371"/>
    <x v="2"/>
    <x v="7"/>
    <x v="0"/>
  </r>
  <r>
    <n v="481"/>
    <x v="479"/>
    <x v="476"/>
    <x v="362"/>
    <x v="0"/>
    <x v="0"/>
    <x v="0"/>
  </r>
  <r>
    <n v="482"/>
    <x v="480"/>
    <x v="477"/>
    <x v="372"/>
    <x v="0"/>
    <x v="4"/>
    <x v="0"/>
  </r>
  <r>
    <n v="483"/>
    <x v="481"/>
    <x v="478"/>
    <x v="342"/>
    <x v="2"/>
    <x v="7"/>
    <x v="0"/>
  </r>
  <r>
    <n v="484"/>
    <x v="482"/>
    <x v="479"/>
    <x v="365"/>
    <x v="1"/>
    <x v="2"/>
    <x v="0"/>
  </r>
  <r>
    <n v="485"/>
    <x v="483"/>
    <x v="480"/>
    <x v="343"/>
    <x v="2"/>
    <x v="7"/>
    <x v="0"/>
  </r>
  <r>
    <n v="486"/>
    <x v="484"/>
    <x v="481"/>
    <x v="355"/>
    <x v="2"/>
    <x v="14"/>
    <x v="0"/>
  </r>
  <r>
    <n v="487"/>
    <x v="485"/>
    <x v="482"/>
    <x v="340"/>
    <x v="0"/>
    <x v="5"/>
    <x v="1"/>
  </r>
  <r>
    <n v="488"/>
    <x v="486"/>
    <x v="483"/>
    <x v="373"/>
    <x v="0"/>
    <x v="5"/>
    <x v="1"/>
  </r>
  <r>
    <n v="489"/>
    <x v="487"/>
    <x v="484"/>
    <x v="374"/>
    <x v="2"/>
    <x v="7"/>
    <x v="0"/>
  </r>
  <r>
    <n v="490"/>
    <x v="488"/>
    <x v="485"/>
    <x v="341"/>
    <x v="2"/>
    <x v="16"/>
    <x v="0"/>
  </r>
  <r>
    <n v="491"/>
    <x v="489"/>
    <x v="486"/>
    <x v="370"/>
    <x v="2"/>
    <x v="9"/>
    <x v="0"/>
  </r>
  <r>
    <n v="492"/>
    <x v="490"/>
    <x v="487"/>
    <x v="372"/>
    <x v="2"/>
    <x v="7"/>
    <x v="0"/>
  </r>
  <r>
    <n v="493"/>
    <x v="491"/>
    <x v="488"/>
    <x v="364"/>
    <x v="1"/>
    <x v="0"/>
    <x v="0"/>
  </r>
  <r>
    <n v="494"/>
    <x v="492"/>
    <x v="489"/>
    <x v="375"/>
    <x v="0"/>
    <x v="17"/>
    <x v="0"/>
  </r>
  <r>
    <n v="495"/>
    <x v="493"/>
    <x v="490"/>
    <x v="376"/>
    <x v="2"/>
    <x v="3"/>
    <x v="0"/>
  </r>
  <r>
    <n v="496"/>
    <x v="494"/>
    <x v="491"/>
    <x v="377"/>
    <x v="0"/>
    <x v="5"/>
    <x v="1"/>
  </r>
  <r>
    <n v="497"/>
    <x v="495"/>
    <x v="492"/>
    <x v="378"/>
    <x v="2"/>
    <x v="7"/>
    <x v="0"/>
  </r>
  <r>
    <n v="498"/>
    <x v="496"/>
    <x v="493"/>
    <x v="378"/>
    <x v="3"/>
    <x v="11"/>
    <x v="0"/>
  </r>
  <r>
    <n v="499"/>
    <x v="497"/>
    <x v="494"/>
    <x v="379"/>
    <x v="0"/>
    <x v="15"/>
    <x v="0"/>
  </r>
  <r>
    <n v="500"/>
    <x v="498"/>
    <x v="495"/>
    <x v="380"/>
    <x v="1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D9D87-0E81-F345-9C2F-C81784F968BD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C505" firstHeaderRow="0" firstDataRow="1" firstDataCol="1" rowPageCount="3" colPageCount="1"/>
  <pivotFields count="7">
    <pivotField showAll="0"/>
    <pivotField axis="axisRow" showAll="0">
      <items count="500">
        <item x="250"/>
        <item x="251"/>
        <item x="189"/>
        <item x="252"/>
        <item x="25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10"/>
        <item x="278"/>
        <item x="279"/>
        <item x="280"/>
        <item x="281"/>
        <item x="282"/>
        <item x="19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01"/>
        <item x="295"/>
        <item x="80"/>
        <item x="296"/>
        <item x="297"/>
        <item x="298"/>
        <item x="299"/>
        <item x="300"/>
        <item x="301"/>
        <item x="302"/>
        <item x="171"/>
        <item x="169"/>
        <item x="303"/>
        <item x="304"/>
        <item x="305"/>
        <item x="306"/>
        <item x="307"/>
        <item x="308"/>
        <item x="309"/>
        <item x="310"/>
        <item x="311"/>
        <item x="312"/>
        <item x="146"/>
        <item x="313"/>
        <item x="314"/>
        <item x="315"/>
        <item x="72"/>
        <item x="316"/>
        <item x="317"/>
        <item x="318"/>
        <item x="319"/>
        <item x="164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115"/>
        <item x="342"/>
        <item x="177"/>
        <item x="343"/>
        <item x="344"/>
        <item x="112"/>
        <item x="345"/>
        <item x="346"/>
        <item x="347"/>
        <item x="348"/>
        <item x="349"/>
        <item x="350"/>
        <item x="351"/>
        <item x="352"/>
        <item x="48"/>
        <item x="207"/>
        <item x="175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47"/>
        <item x="366"/>
        <item x="367"/>
        <item x="44"/>
        <item x="68"/>
        <item x="368"/>
        <item x="369"/>
        <item x="370"/>
        <item x="70"/>
        <item x="371"/>
        <item x="372"/>
        <item x="373"/>
        <item x="374"/>
        <item x="114"/>
        <item x="375"/>
        <item x="200"/>
        <item x="376"/>
        <item x="377"/>
        <item x="378"/>
        <item x="133"/>
        <item x="379"/>
        <item x="380"/>
        <item x="381"/>
        <item x="167"/>
        <item x="382"/>
        <item x="168"/>
        <item x="151"/>
        <item x="383"/>
        <item x="384"/>
        <item x="385"/>
        <item x="386"/>
        <item x="387"/>
        <item x="388"/>
        <item x="16"/>
        <item x="389"/>
        <item x="390"/>
        <item x="391"/>
        <item x="392"/>
        <item x="393"/>
        <item x="4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6"/>
        <item x="423"/>
        <item x="424"/>
        <item x="425"/>
        <item x="426"/>
        <item x="427"/>
        <item x="428"/>
        <item x="429"/>
        <item x="430"/>
        <item x="431"/>
        <item x="432"/>
        <item x="56"/>
        <item x="433"/>
        <item x="434"/>
        <item x="435"/>
        <item x="436"/>
        <item x="437"/>
        <item x="438"/>
        <item x="439"/>
        <item x="440"/>
        <item x="441"/>
        <item x="78"/>
        <item x="442"/>
        <item x="443"/>
        <item x="444"/>
        <item x="135"/>
        <item x="39"/>
        <item x="445"/>
        <item x="446"/>
        <item x="447"/>
        <item x="448"/>
        <item x="57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10"/>
        <item x="235"/>
        <item x="463"/>
        <item x="464"/>
        <item x="84"/>
        <item x="60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7"/>
        <item x="479"/>
        <item x="20"/>
        <item x="480"/>
        <item x="12"/>
        <item x="481"/>
        <item x="482"/>
        <item x="483"/>
        <item x="484"/>
        <item x="485"/>
        <item x="486"/>
        <item x="487"/>
        <item x="488"/>
        <item x="100"/>
        <item x="489"/>
        <item x="490"/>
        <item x="51"/>
        <item x="491"/>
        <item x="125"/>
        <item x="492"/>
        <item x="493"/>
        <item x="494"/>
        <item x="88"/>
        <item x="495"/>
        <item x="219"/>
        <item x="496"/>
        <item x="497"/>
        <item x="498"/>
        <item x="162"/>
        <item x="224"/>
        <item x="99"/>
        <item x="213"/>
        <item x="96"/>
        <item x="233"/>
        <item x="217"/>
        <item x="29"/>
        <item x="42"/>
        <item x="17"/>
        <item x="94"/>
        <item x="199"/>
        <item x="61"/>
        <item x="27"/>
        <item x="81"/>
        <item x="11"/>
        <item x="182"/>
        <item x="6"/>
        <item x="188"/>
        <item x="194"/>
        <item x="83"/>
        <item x="54"/>
        <item x="218"/>
        <item x="87"/>
        <item x="242"/>
        <item x="156"/>
        <item x="227"/>
        <item x="65"/>
        <item x="202"/>
        <item x="41"/>
        <item x="127"/>
        <item x="158"/>
        <item x="240"/>
        <item x="237"/>
        <item x="131"/>
        <item x="193"/>
        <item x="116"/>
        <item x="136"/>
        <item x="239"/>
        <item x="121"/>
        <item x="231"/>
        <item x="35"/>
        <item x="232"/>
        <item x="238"/>
        <item x="234"/>
        <item x="243"/>
        <item x="120"/>
        <item x="30"/>
        <item x="52"/>
        <item x="166"/>
        <item x="226"/>
        <item x="149"/>
        <item x="106"/>
        <item x="22"/>
        <item x="69"/>
        <item x="247"/>
        <item x="195"/>
        <item x="205"/>
        <item x="21"/>
        <item x="230"/>
        <item x="77"/>
        <item x="64"/>
        <item x="62"/>
        <item x="107"/>
        <item x="187"/>
        <item x="32"/>
        <item x="92"/>
        <item x="197"/>
        <item x="170"/>
        <item x="14"/>
        <item x="220"/>
        <item x="58"/>
        <item x="90"/>
        <item x="196"/>
        <item x="215"/>
        <item x="186"/>
        <item x="165"/>
        <item x="18"/>
        <item x="59"/>
        <item x="228"/>
        <item x="74"/>
        <item x="36"/>
        <item x="153"/>
        <item x="180"/>
        <item x="93"/>
        <item x="91"/>
        <item x="212"/>
        <item x="184"/>
        <item x="241"/>
        <item x="236"/>
        <item x="76"/>
        <item x="142"/>
        <item x="0"/>
        <item x="198"/>
        <item x="192"/>
        <item x="109"/>
        <item x="148"/>
        <item x="67"/>
        <item x="129"/>
        <item x="245"/>
        <item x="183"/>
        <item x="123"/>
        <item x="82"/>
        <item x="79"/>
        <item x="140"/>
        <item x="85"/>
        <item x="15"/>
        <item x="102"/>
        <item x="25"/>
        <item x="49"/>
        <item x="26"/>
        <item x="9"/>
        <item x="216"/>
        <item x="23"/>
        <item x="50"/>
        <item x="117"/>
        <item x="204"/>
        <item x="132"/>
        <item x="105"/>
        <item x="191"/>
        <item x="66"/>
        <item x="178"/>
        <item x="223"/>
        <item x="8"/>
        <item x="155"/>
        <item x="98"/>
        <item x="206"/>
        <item x="24"/>
        <item x="128"/>
        <item x="97"/>
        <item x="214"/>
        <item x="55"/>
        <item x="203"/>
        <item x="108"/>
        <item x="160"/>
        <item x="73"/>
        <item x="130"/>
        <item x="28"/>
        <item x="225"/>
        <item x="38"/>
        <item x="222"/>
        <item x="229"/>
        <item x="122"/>
        <item x="246"/>
        <item x="89"/>
        <item x="159"/>
        <item x="43"/>
        <item x="71"/>
        <item x="150"/>
        <item x="152"/>
        <item x="157"/>
        <item x="139"/>
        <item x="113"/>
        <item x="144"/>
        <item x="173"/>
        <item x="201"/>
        <item x="161"/>
        <item x="147"/>
        <item x="118"/>
        <item x="185"/>
        <item x="143"/>
        <item x="13"/>
        <item x="141"/>
        <item x="119"/>
        <item x="1"/>
        <item x="45"/>
        <item x="2"/>
        <item x="221"/>
        <item x="3"/>
        <item x="181"/>
        <item x="111"/>
        <item x="104"/>
        <item x="137"/>
        <item x="31"/>
        <item x="37"/>
        <item x="95"/>
        <item x="34"/>
        <item x="172"/>
        <item x="138"/>
        <item x="174"/>
        <item x="211"/>
        <item x="249"/>
        <item x="179"/>
        <item x="63"/>
        <item x="208"/>
        <item x="134"/>
        <item x="124"/>
        <item x="209"/>
        <item x="126"/>
        <item x="210"/>
        <item x="103"/>
        <item x="46"/>
        <item x="5"/>
        <item x="248"/>
        <item x="33"/>
        <item x="163"/>
        <item x="75"/>
        <item x="145"/>
        <item x="53"/>
        <item x="86"/>
        <item x="190"/>
        <item x="40"/>
        <item x="154"/>
        <item t="default"/>
      </items>
    </pivotField>
    <pivotField dataField="1" numFmtId="44" showAll="0">
      <items count="497"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>
      <items count="382">
        <item x="175"/>
        <item x="213"/>
        <item x="163"/>
        <item x="256"/>
        <item x="299"/>
        <item x="342"/>
        <item x="165"/>
        <item x="193"/>
        <item x="233"/>
        <item x="276"/>
        <item x="319"/>
        <item x="362"/>
        <item x="185"/>
        <item x="347"/>
        <item x="159"/>
        <item x="304"/>
        <item x="261"/>
        <item x="352"/>
        <item x="218"/>
        <item x="309"/>
        <item x="143"/>
        <item x="266"/>
        <item x="223"/>
        <item x="182"/>
        <item x="371"/>
        <item x="328"/>
        <item x="348"/>
        <item x="285"/>
        <item x="148"/>
        <item x="305"/>
        <item x="242"/>
        <item x="365"/>
        <item x="262"/>
        <item x="142"/>
        <item x="370"/>
        <item x="322"/>
        <item x="219"/>
        <item x="327"/>
        <item x="279"/>
        <item x="179"/>
        <item x="359"/>
        <item x="284"/>
        <item x="236"/>
        <item x="363"/>
        <item x="316"/>
        <item x="374"/>
        <item x="241"/>
        <item x="195"/>
        <item x="320"/>
        <item x="273"/>
        <item x="368"/>
        <item x="331"/>
        <item x="199"/>
        <item x="277"/>
        <item x="110"/>
        <item x="230"/>
        <item x="325"/>
        <item x="288"/>
        <item x="234"/>
        <item x="150"/>
        <item x="282"/>
        <item x="350"/>
        <item x="245"/>
        <item x="194"/>
        <item x="239"/>
        <item x="307"/>
        <item x="202"/>
        <item x="343"/>
        <item x="119"/>
        <item x="264"/>
        <item x="133"/>
        <item x="346"/>
        <item x="338"/>
        <item x="145"/>
        <item x="300"/>
        <item x="221"/>
        <item x="303"/>
        <item x="295"/>
        <item x="257"/>
        <item x="180"/>
        <item x="113"/>
        <item x="260"/>
        <item x="252"/>
        <item x="214"/>
        <item x="355"/>
        <item x="380"/>
        <item x="152"/>
        <item x="357"/>
        <item x="217"/>
        <item x="90"/>
        <item x="354"/>
        <item x="209"/>
        <item x="176"/>
        <item x="312"/>
        <item x="337"/>
        <item x="364"/>
        <item x="361"/>
        <item x="313"/>
        <item x="92"/>
        <item x="311"/>
        <item x="171"/>
        <item x="269"/>
        <item x="294"/>
        <item x="321"/>
        <item x="339"/>
        <item x="318"/>
        <item x="270"/>
        <item x="340"/>
        <item x="268"/>
        <item x="226"/>
        <item x="251"/>
        <item x="132"/>
        <item x="278"/>
        <item x="296"/>
        <item x="83"/>
        <item x="275"/>
        <item x="227"/>
        <item x="297"/>
        <item x="124"/>
        <item x="225"/>
        <item x="186"/>
        <item x="208"/>
        <item x="379"/>
        <item x="235"/>
        <item x="253"/>
        <item x="232"/>
        <item x="118"/>
        <item x="254"/>
        <item x="120"/>
        <item x="349"/>
        <item x="184"/>
        <item x="170"/>
        <item x="336"/>
        <item x="344"/>
        <item x="117"/>
        <item x="210"/>
        <item x="192"/>
        <item x="102"/>
        <item x="211"/>
        <item x="108"/>
        <item x="306"/>
        <item x="293"/>
        <item x="154"/>
        <item x="369"/>
        <item x="301"/>
        <item x="172"/>
        <item x="173"/>
        <item x="263"/>
        <item x="91"/>
        <item x="250"/>
        <item x="326"/>
        <item x="258"/>
        <item x="375"/>
        <item x="220"/>
        <item x="156"/>
        <item x="207"/>
        <item x="164"/>
        <item x="283"/>
        <item x="215"/>
        <item x="155"/>
        <item x="332"/>
        <item x="138"/>
        <item x="158"/>
        <item x="139"/>
        <item x="366"/>
        <item x="157"/>
        <item x="162"/>
        <item x="240"/>
        <item x="177"/>
        <item x="345"/>
        <item x="289"/>
        <item x="323"/>
        <item x="136"/>
        <item x="130"/>
        <item x="198"/>
        <item x="116"/>
        <item x="302"/>
        <item x="246"/>
        <item x="367"/>
        <item x="135"/>
        <item x="280"/>
        <item x="356"/>
        <item x="341"/>
        <item x="259"/>
        <item x="203"/>
        <item x="324"/>
        <item x="237"/>
        <item x="131"/>
        <item x="314"/>
        <item x="298"/>
        <item x="112"/>
        <item x="216"/>
        <item x="153"/>
        <item x="281"/>
        <item x="69"/>
        <item x="89"/>
        <item x="196"/>
        <item x="200"/>
        <item x="271"/>
        <item x="255"/>
        <item x="178"/>
        <item x="238"/>
        <item x="128"/>
        <item x="98"/>
        <item x="144"/>
        <item x="115"/>
        <item x="188"/>
        <item x="228"/>
        <item x="212"/>
        <item x="197"/>
        <item x="161"/>
        <item x="191"/>
        <item x="82"/>
        <item x="187"/>
        <item x="174"/>
        <item x="372"/>
        <item x="104"/>
        <item x="353"/>
        <item x="58"/>
        <item x="377"/>
        <item x="351"/>
        <item x="47"/>
        <item x="127"/>
        <item x="160"/>
        <item x="84"/>
        <item x="122"/>
        <item x="329"/>
        <item x="378"/>
        <item x="310"/>
        <item x="34"/>
        <item x="334"/>
        <item x="308"/>
        <item x="149"/>
        <item x="140"/>
        <item x="93"/>
        <item x="147"/>
        <item x="286"/>
        <item x="335"/>
        <item x="267"/>
        <item x="291"/>
        <item x="265"/>
        <item x="97"/>
        <item x="76"/>
        <item x="99"/>
        <item x="48"/>
        <item x="66"/>
        <item x="243"/>
        <item x="105"/>
        <item x="360"/>
        <item x="292"/>
        <item x="373"/>
        <item x="224"/>
        <item x="248"/>
        <item x="222"/>
        <item x="54"/>
        <item x="141"/>
        <item x="123"/>
        <item x="201"/>
        <item x="317"/>
        <item x="249"/>
        <item x="330"/>
        <item x="183"/>
        <item x="55"/>
        <item x="71"/>
        <item x="205"/>
        <item x="181"/>
        <item x="57"/>
        <item x="166"/>
        <item x="62"/>
        <item x="109"/>
        <item x="274"/>
        <item x="206"/>
        <item x="287"/>
        <item x="168"/>
        <item x="107"/>
        <item x="56"/>
        <item x="231"/>
        <item x="169"/>
        <item x="244"/>
        <item x="121"/>
        <item x="129"/>
        <item x="151"/>
        <item x="67"/>
        <item x="134"/>
        <item x="190"/>
        <item x="111"/>
        <item x="50"/>
        <item x="106"/>
        <item x="87"/>
        <item x="74"/>
        <item x="137"/>
        <item x="146"/>
        <item x="100"/>
        <item x="376"/>
        <item x="64"/>
        <item x="73"/>
        <item x="94"/>
        <item x="126"/>
        <item x="333"/>
        <item x="52"/>
        <item x="86"/>
        <item x="85"/>
        <item x="68"/>
        <item x="125"/>
        <item x="290"/>
        <item x="103"/>
        <item x="31"/>
        <item x="35"/>
        <item x="37"/>
        <item x="36"/>
        <item x="79"/>
        <item x="358"/>
        <item x="38"/>
        <item x="247"/>
        <item x="78"/>
        <item x="81"/>
        <item x="59"/>
        <item x="46"/>
        <item x="315"/>
        <item x="114"/>
        <item x="96"/>
        <item x="45"/>
        <item x="42"/>
        <item x="204"/>
        <item x="272"/>
        <item x="29"/>
        <item x="65"/>
        <item x="167"/>
        <item x="61"/>
        <item x="44"/>
        <item x="28"/>
        <item x="88"/>
        <item x="53"/>
        <item x="229"/>
        <item x="43"/>
        <item x="80"/>
        <item x="189"/>
        <item x="40"/>
        <item x="25"/>
        <item x="51"/>
        <item x="33"/>
        <item x="75"/>
        <item x="101"/>
        <item x="15"/>
        <item x="95"/>
        <item x="63"/>
        <item x="60"/>
        <item x="72"/>
        <item x="16"/>
        <item x="39"/>
        <item x="41"/>
        <item x="77"/>
        <item x="20"/>
        <item x="49"/>
        <item x="27"/>
        <item x="22"/>
        <item x="26"/>
        <item x="30"/>
        <item x="10"/>
        <item x="7"/>
        <item x="9"/>
        <item x="24"/>
        <item x="12"/>
        <item x="21"/>
        <item x="32"/>
        <item x="70"/>
        <item x="19"/>
        <item x="23"/>
        <item x="13"/>
        <item x="18"/>
        <item x="14"/>
        <item x="17"/>
        <item x="11"/>
        <item x="5"/>
        <item x="3"/>
        <item x="4"/>
        <item x="8"/>
        <item x="6"/>
        <item x="1"/>
        <item x="0"/>
        <item x="2"/>
        <item t="default"/>
      </items>
    </pivotField>
    <pivotField axis="axisPage" showAll="0">
      <items count="6">
        <item x="2"/>
        <item x="3"/>
        <item x="1"/>
        <item x="4"/>
        <item x="0"/>
        <item t="default"/>
      </items>
    </pivotField>
    <pivotField axis="axisPage" showAll="0">
      <items count="19">
        <item x="16"/>
        <item x="13"/>
        <item x="6"/>
        <item x="0"/>
        <item x="4"/>
        <item x="1"/>
        <item x="15"/>
        <item x="11"/>
        <item x="10"/>
        <item x="8"/>
        <item x="3"/>
        <item x="5"/>
        <item x="2"/>
        <item x="14"/>
        <item x="17"/>
        <item x="9"/>
        <item x="12"/>
        <item x="7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1"/>
  </rowFields>
  <rowItems count="5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 t="grand">
      <x/>
    </i>
  </rowItems>
  <colFields count="1">
    <field x="-2"/>
  </colFields>
  <colItems count="2">
    <i>
      <x/>
    </i>
    <i i="1">
      <x v="1"/>
    </i>
  </colItems>
  <pageFields count="3">
    <pageField fld="5" hier="-1"/>
    <pageField fld="4" hier="-1"/>
    <pageField fld="6" hier="-1"/>
  </pageFields>
  <dataFields count="2">
    <dataField name="Sum of  2015 US Sales ($000) " fld="2" baseField="0" baseItem="0" numFmtId="44"/>
    <dataField name="Sum of 2015 US Units" fld="3" baseField="0" baseItem="0" numFmtId="1"/>
  </dataFields>
  <formats count="6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657F-FD3E-DE48-ADCA-F15D7857693B}">
  <dimension ref="A2:H45"/>
  <sheetViews>
    <sheetView tabSelected="1" topLeftCell="A7" zoomScale="99" workbookViewId="0">
      <selection activeCell="A7" sqref="A7"/>
    </sheetView>
  </sheetViews>
  <sheetFormatPr baseColWidth="10" defaultRowHeight="16" x14ac:dyDescent="0.2"/>
  <cols>
    <col min="1" max="1" width="42" bestFit="1" customWidth="1"/>
  </cols>
  <sheetData>
    <row r="2" spans="1:3" x14ac:dyDescent="0.2">
      <c r="A2" s="1" t="s">
        <v>8</v>
      </c>
      <c r="B2" s="2" t="s">
        <v>2</v>
      </c>
      <c r="C2" t="s">
        <v>3</v>
      </c>
    </row>
    <row r="3" spans="1:3" x14ac:dyDescent="0.2">
      <c r="A3" t="s">
        <v>0</v>
      </c>
      <c r="B3">
        <v>7</v>
      </c>
      <c r="C3">
        <v>1</v>
      </c>
    </row>
    <row r="4" spans="1:3" x14ac:dyDescent="0.2">
      <c r="A4" t="s">
        <v>1</v>
      </c>
      <c r="B4">
        <v>10</v>
      </c>
      <c r="C4">
        <v>1.7</v>
      </c>
    </row>
    <row r="5" spans="1:3" x14ac:dyDescent="0.2">
      <c r="A5" t="s">
        <v>34</v>
      </c>
      <c r="B5">
        <v>14</v>
      </c>
      <c r="C5">
        <v>2.2999999999999998</v>
      </c>
    </row>
    <row r="7" spans="1:3" x14ac:dyDescent="0.2">
      <c r="A7" t="s">
        <v>27</v>
      </c>
      <c r="B7">
        <v>6</v>
      </c>
    </row>
    <row r="8" spans="1:3" x14ac:dyDescent="0.2">
      <c r="A8" t="s">
        <v>30</v>
      </c>
      <c r="B8" s="8">
        <v>2.2451994212736395</v>
      </c>
    </row>
    <row r="9" spans="1:3" x14ac:dyDescent="0.2">
      <c r="A9" t="s">
        <v>29</v>
      </c>
      <c r="B9" s="8">
        <v>1432</v>
      </c>
    </row>
    <row r="10" spans="1:3" x14ac:dyDescent="0.2">
      <c r="A10" t="s">
        <v>23</v>
      </c>
      <c r="B10">
        <v>3</v>
      </c>
    </row>
    <row r="13" spans="1:3" x14ac:dyDescent="0.2">
      <c r="A13" s="1" t="s">
        <v>14</v>
      </c>
      <c r="B13" t="s">
        <v>15</v>
      </c>
    </row>
    <row r="14" spans="1:3" x14ac:dyDescent="0.2">
      <c r="A14" t="s">
        <v>9</v>
      </c>
      <c r="B14" s="11">
        <f>7+1</f>
        <v>8</v>
      </c>
    </row>
    <row r="15" spans="1:3" x14ac:dyDescent="0.2">
      <c r="A15" t="s">
        <v>10</v>
      </c>
      <c r="B15" s="11">
        <v>0.5</v>
      </c>
    </row>
    <row r="16" spans="1:3" x14ac:dyDescent="0.2">
      <c r="A16" t="s">
        <v>22</v>
      </c>
      <c r="B16" s="11">
        <v>2</v>
      </c>
    </row>
    <row r="17" spans="1:8" x14ac:dyDescent="0.2">
      <c r="A17" t="s">
        <v>26</v>
      </c>
      <c r="B17" s="11">
        <f>(B14+B15)/60</f>
        <v>0.14166666666666666</v>
      </c>
    </row>
    <row r="18" spans="1:8" x14ac:dyDescent="0.2">
      <c r="B18" s="11"/>
    </row>
    <row r="20" spans="1:8" x14ac:dyDescent="0.2">
      <c r="A20" s="1" t="s">
        <v>12</v>
      </c>
      <c r="B20" t="s">
        <v>13</v>
      </c>
      <c r="H20" t="s">
        <v>17</v>
      </c>
    </row>
    <row r="21" spans="1:8" x14ac:dyDescent="0.2">
      <c r="A21" t="s">
        <v>7</v>
      </c>
      <c r="B21">
        <v>3.2</v>
      </c>
    </row>
    <row r="22" spans="1:8" x14ac:dyDescent="0.2">
      <c r="A22" t="s">
        <v>11</v>
      </c>
      <c r="B22">
        <v>32</v>
      </c>
    </row>
    <row r="23" spans="1:8" x14ac:dyDescent="0.2">
      <c r="A23" t="s">
        <v>5</v>
      </c>
      <c r="B23">
        <v>13.23</v>
      </c>
    </row>
    <row r="24" spans="1:8" x14ac:dyDescent="0.2">
      <c r="A24" t="s">
        <v>6</v>
      </c>
      <c r="B24">
        <v>38</v>
      </c>
    </row>
    <row r="25" spans="1:8" x14ac:dyDescent="0.2">
      <c r="A25" t="s">
        <v>25</v>
      </c>
      <c r="B25">
        <v>30</v>
      </c>
    </row>
    <row r="26" spans="1:8" x14ac:dyDescent="0.2">
      <c r="A26" t="s">
        <v>4</v>
      </c>
      <c r="B26" s="9">
        <v>5000</v>
      </c>
    </row>
    <row r="27" spans="1:8" x14ac:dyDescent="0.2">
      <c r="A27" t="s">
        <v>21</v>
      </c>
      <c r="B27" s="9">
        <v>500</v>
      </c>
    </row>
    <row r="28" spans="1:8" x14ac:dyDescent="0.2">
      <c r="B28" s="9"/>
    </row>
    <row r="29" spans="1:8" x14ac:dyDescent="0.2">
      <c r="A29" t="s">
        <v>16</v>
      </c>
      <c r="B29" s="3">
        <f>(B8*2)/B25</f>
        <v>0.14967996141824264</v>
      </c>
    </row>
    <row r="30" spans="1:8" x14ac:dyDescent="0.2">
      <c r="A30" t="s">
        <v>24</v>
      </c>
      <c r="B30" s="4">
        <f>1/B29</f>
        <v>6.6809210165798616</v>
      </c>
    </row>
    <row r="33" spans="1:2" x14ac:dyDescent="0.2">
      <c r="A33" s="1" t="s">
        <v>18</v>
      </c>
    </row>
    <row r="34" spans="1:2" x14ac:dyDescent="0.2">
      <c r="A34" t="s">
        <v>19</v>
      </c>
      <c r="B34" s="11">
        <v>10</v>
      </c>
    </row>
    <row r="35" spans="1:2" x14ac:dyDescent="0.2">
      <c r="A35" t="s">
        <v>20</v>
      </c>
      <c r="B35">
        <v>12</v>
      </c>
    </row>
    <row r="36" spans="1:2" x14ac:dyDescent="0.2">
      <c r="A36" t="s">
        <v>28</v>
      </c>
      <c r="B36" s="6">
        <f>0.05/60</f>
        <v>8.3333333333333339E-4</v>
      </c>
    </row>
    <row r="38" spans="1:2" x14ac:dyDescent="0.2">
      <c r="A38" t="s">
        <v>31</v>
      </c>
      <c r="B38" s="12">
        <f>((B34/B35)/60)+B36</f>
        <v>1.4722222222222223E-2</v>
      </c>
    </row>
    <row r="39" spans="1:2" x14ac:dyDescent="0.2">
      <c r="A39" t="s">
        <v>32</v>
      </c>
      <c r="B39" s="7">
        <f>((B26/3)+B27)/365/B7/60</f>
        <v>1.6489091831557588E-2</v>
      </c>
    </row>
    <row r="40" spans="1:2" x14ac:dyDescent="0.2">
      <c r="A40" t="s">
        <v>33</v>
      </c>
      <c r="B40" s="7">
        <f>B38+B39</f>
        <v>3.1211314053779811E-2</v>
      </c>
    </row>
    <row r="42" spans="1:2" x14ac:dyDescent="0.2">
      <c r="A42" s="5" t="s">
        <v>35</v>
      </c>
      <c r="B42">
        <v>100</v>
      </c>
    </row>
    <row r="43" spans="1:2" x14ac:dyDescent="0.2">
      <c r="A43" t="s">
        <v>36</v>
      </c>
      <c r="B43" s="13">
        <v>0.36539933656545037</v>
      </c>
    </row>
    <row r="44" spans="1:2" x14ac:dyDescent="0.2">
      <c r="A44" t="s">
        <v>545</v>
      </c>
      <c r="B44" s="14">
        <v>3.1782764975335103</v>
      </c>
    </row>
    <row r="45" spans="1:2" x14ac:dyDescent="0.2">
      <c r="A45" t="s">
        <v>37</v>
      </c>
      <c r="B45" s="14">
        <v>0.14015124850147243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7AEC-C74A-7848-8BA4-8F144523DBE3}">
  <dimension ref="A1:C505"/>
  <sheetViews>
    <sheetView workbookViewId="0"/>
  </sheetViews>
  <sheetFormatPr baseColWidth="10" defaultRowHeight="16" x14ac:dyDescent="0.2"/>
  <cols>
    <col min="1" max="1" width="39.6640625" bestFit="1" customWidth="1"/>
    <col min="2" max="2" width="26.33203125" bestFit="1" customWidth="1"/>
    <col min="3" max="3" width="19.33203125" bestFit="1" customWidth="1"/>
  </cols>
  <sheetData>
    <row r="1" spans="1:3" x14ac:dyDescent="0.2">
      <c r="A1" t="s">
        <v>39</v>
      </c>
      <c r="B1" t="s">
        <v>544</v>
      </c>
    </row>
    <row r="2" spans="1:3" x14ac:dyDescent="0.2">
      <c r="A2" t="s">
        <v>38</v>
      </c>
      <c r="B2" t="s">
        <v>544</v>
      </c>
    </row>
    <row r="3" spans="1:3" x14ac:dyDescent="0.2">
      <c r="A3" t="s">
        <v>541</v>
      </c>
      <c r="B3" t="s">
        <v>544</v>
      </c>
    </row>
    <row r="5" spans="1:3" x14ac:dyDescent="0.2">
      <c r="A5" t="s">
        <v>539</v>
      </c>
      <c r="B5" t="s">
        <v>542</v>
      </c>
      <c r="C5" t="s">
        <v>543</v>
      </c>
    </row>
    <row r="6" spans="1:3" x14ac:dyDescent="0.2">
      <c r="A6" s="10" t="s">
        <v>290</v>
      </c>
      <c r="B6" s="5">
        <v>118803</v>
      </c>
      <c r="C6" s="4">
        <v>576.20000000000005</v>
      </c>
    </row>
    <row r="7" spans="1:3" x14ac:dyDescent="0.2">
      <c r="A7" s="10" t="s">
        <v>291</v>
      </c>
      <c r="B7" s="5">
        <v>117617.97</v>
      </c>
      <c r="C7" s="4">
        <v>249.5</v>
      </c>
    </row>
    <row r="8" spans="1:3" x14ac:dyDescent="0.2">
      <c r="A8" s="10" t="s">
        <v>229</v>
      </c>
      <c r="B8" s="5">
        <v>180100</v>
      </c>
      <c r="C8" s="4">
        <v>638</v>
      </c>
    </row>
    <row r="9" spans="1:3" x14ac:dyDescent="0.2">
      <c r="A9" s="10" t="s">
        <v>292</v>
      </c>
      <c r="B9" s="5">
        <v>116444.79029999999</v>
      </c>
      <c r="C9" s="4">
        <v>267.5</v>
      </c>
    </row>
    <row r="10" spans="1:3" x14ac:dyDescent="0.2">
      <c r="A10" s="10" t="s">
        <v>293</v>
      </c>
      <c r="B10" s="5">
        <v>115283.34239699999</v>
      </c>
      <c r="C10" s="4">
        <v>267.5</v>
      </c>
    </row>
    <row r="11" spans="1:3" x14ac:dyDescent="0.2">
      <c r="A11" s="10" t="s">
        <v>284</v>
      </c>
      <c r="B11" s="5">
        <v>122100</v>
      </c>
      <c r="C11" s="4">
        <v>39</v>
      </c>
    </row>
    <row r="12" spans="1:3" x14ac:dyDescent="0.2">
      <c r="A12" s="10" t="s">
        <v>294</v>
      </c>
      <c r="B12" s="5">
        <v>114133.50897302998</v>
      </c>
      <c r="C12" s="4">
        <v>87.5</v>
      </c>
    </row>
    <row r="13" spans="1:3" x14ac:dyDescent="0.2">
      <c r="A13" s="10" t="s">
        <v>295</v>
      </c>
      <c r="B13" s="5">
        <v>112995.17388329968</v>
      </c>
      <c r="C13" s="4">
        <v>64.099999999999994</v>
      </c>
    </row>
    <row r="14" spans="1:3" x14ac:dyDescent="0.2">
      <c r="A14" s="10" t="s">
        <v>296</v>
      </c>
      <c r="B14" s="5">
        <v>111868.22214446668</v>
      </c>
      <c r="C14" s="4">
        <v>51.5</v>
      </c>
    </row>
    <row r="15" spans="1:3" x14ac:dyDescent="0.2">
      <c r="A15" s="10" t="s">
        <v>297</v>
      </c>
      <c r="B15" s="5">
        <v>110752.53992302201</v>
      </c>
      <c r="C15" s="4">
        <v>70.400000000000006</v>
      </c>
    </row>
    <row r="16" spans="1:3" x14ac:dyDescent="0.2">
      <c r="A16" s="10" t="s">
        <v>298</v>
      </c>
      <c r="B16" s="5">
        <v>109648.01452379179</v>
      </c>
      <c r="C16" s="4">
        <v>72.2</v>
      </c>
    </row>
    <row r="17" spans="1:3" x14ac:dyDescent="0.2">
      <c r="A17" s="10" t="s">
        <v>299</v>
      </c>
      <c r="B17" s="5">
        <v>108554.53437855387</v>
      </c>
      <c r="C17" s="4">
        <v>149.6</v>
      </c>
    </row>
    <row r="18" spans="1:3" x14ac:dyDescent="0.2">
      <c r="A18" s="10" t="s">
        <v>300</v>
      </c>
      <c r="B18" s="5">
        <v>107471.98903476832</v>
      </c>
      <c r="C18" s="4">
        <v>12.8</v>
      </c>
    </row>
    <row r="19" spans="1:3" x14ac:dyDescent="0.2">
      <c r="A19" s="10" t="s">
        <v>301</v>
      </c>
      <c r="B19" s="5">
        <v>106400.26914442064</v>
      </c>
      <c r="C19" s="4">
        <v>48.800000000000004</v>
      </c>
    </row>
    <row r="20" spans="1:3" x14ac:dyDescent="0.2">
      <c r="A20" s="10" t="s">
        <v>302</v>
      </c>
      <c r="B20" s="5">
        <v>105339.26645297643</v>
      </c>
      <c r="C20" s="4">
        <v>88.4</v>
      </c>
    </row>
    <row r="21" spans="1:3" x14ac:dyDescent="0.2">
      <c r="A21" s="10" t="s">
        <v>303</v>
      </c>
      <c r="B21" s="5">
        <v>104288.87378844667</v>
      </c>
      <c r="C21" s="4">
        <v>125.3</v>
      </c>
    </row>
    <row r="22" spans="1:3" x14ac:dyDescent="0.2">
      <c r="A22" s="10" t="s">
        <v>304</v>
      </c>
      <c r="B22" s="5">
        <v>103248.9850505622</v>
      </c>
      <c r="C22" s="4">
        <v>50.6</v>
      </c>
    </row>
    <row r="23" spans="1:3" x14ac:dyDescent="0.2">
      <c r="A23" s="10" t="s">
        <v>305</v>
      </c>
      <c r="B23" s="5">
        <v>102219.49520005658</v>
      </c>
      <c r="C23" s="4">
        <v>22.7</v>
      </c>
    </row>
    <row r="24" spans="1:3" x14ac:dyDescent="0.2">
      <c r="A24" s="10" t="s">
        <v>306</v>
      </c>
      <c r="B24" s="5">
        <v>101200.30024805601</v>
      </c>
      <c r="C24" s="4">
        <v>29.900000000000002</v>
      </c>
    </row>
    <row r="25" spans="1:3" x14ac:dyDescent="0.2">
      <c r="A25" s="10" t="s">
        <v>307</v>
      </c>
      <c r="B25" s="5">
        <v>100191.29724557545</v>
      </c>
      <c r="C25" s="4">
        <v>85.7</v>
      </c>
    </row>
    <row r="26" spans="1:3" x14ac:dyDescent="0.2">
      <c r="A26" s="10" t="s">
        <v>308</v>
      </c>
      <c r="B26" s="5">
        <v>99192.384273119693</v>
      </c>
      <c r="C26" s="4">
        <v>43.4</v>
      </c>
    </row>
    <row r="27" spans="1:3" x14ac:dyDescent="0.2">
      <c r="A27" s="10" t="s">
        <v>309</v>
      </c>
      <c r="B27" s="5">
        <v>98203.460430388499</v>
      </c>
      <c r="C27" s="4">
        <v>227</v>
      </c>
    </row>
    <row r="28" spans="1:3" x14ac:dyDescent="0.2">
      <c r="A28" s="10" t="s">
        <v>310</v>
      </c>
      <c r="B28" s="5">
        <v>97224.425826084611</v>
      </c>
      <c r="C28" s="4">
        <v>23.6</v>
      </c>
    </row>
    <row r="29" spans="1:3" x14ac:dyDescent="0.2">
      <c r="A29" s="10" t="s">
        <v>311</v>
      </c>
      <c r="B29" s="5">
        <v>96255.181567823762</v>
      </c>
      <c r="C29" s="4">
        <v>222.5</v>
      </c>
    </row>
    <row r="30" spans="1:3" x14ac:dyDescent="0.2">
      <c r="A30" s="10" t="s">
        <v>312</v>
      </c>
      <c r="B30" s="5">
        <v>95295.629752145527</v>
      </c>
      <c r="C30" s="4">
        <v>222.5</v>
      </c>
    </row>
    <row r="31" spans="1:3" x14ac:dyDescent="0.2">
      <c r="A31" s="10" t="s">
        <v>313</v>
      </c>
      <c r="B31" s="5">
        <v>94345.673454624077</v>
      </c>
      <c r="C31" s="4">
        <v>63.2</v>
      </c>
    </row>
    <row r="32" spans="1:3" x14ac:dyDescent="0.2">
      <c r="A32" s="10" t="s">
        <v>314</v>
      </c>
      <c r="B32" s="5">
        <v>93405.216720077835</v>
      </c>
      <c r="C32" s="4">
        <v>20</v>
      </c>
    </row>
    <row r="33" spans="1:3" x14ac:dyDescent="0.2">
      <c r="A33" s="10" t="s">
        <v>315</v>
      </c>
      <c r="B33" s="5">
        <v>92474.16455287706</v>
      </c>
      <c r="C33" s="4">
        <v>59.6</v>
      </c>
    </row>
    <row r="34" spans="1:3" x14ac:dyDescent="0.2">
      <c r="A34" s="10" t="s">
        <v>316</v>
      </c>
      <c r="B34" s="5">
        <v>91552.422907348286</v>
      </c>
      <c r="C34" s="4">
        <v>61.4</v>
      </c>
    </row>
    <row r="35" spans="1:3" x14ac:dyDescent="0.2">
      <c r="A35" s="10" t="s">
        <v>317</v>
      </c>
      <c r="B35" s="5">
        <v>90639.898678274796</v>
      </c>
      <c r="C35" s="4">
        <v>148.70000000000002</v>
      </c>
    </row>
    <row r="36" spans="1:3" x14ac:dyDescent="0.2">
      <c r="A36" s="10" t="s">
        <v>50</v>
      </c>
      <c r="B36" s="5">
        <v>4739442</v>
      </c>
      <c r="C36" s="4">
        <v>1878</v>
      </c>
    </row>
    <row r="37" spans="1:3" x14ac:dyDescent="0.2">
      <c r="A37" s="10" t="s">
        <v>318</v>
      </c>
      <c r="B37" s="5">
        <v>89736.499691492048</v>
      </c>
      <c r="C37" s="4">
        <v>61.4</v>
      </c>
    </row>
    <row r="38" spans="1:3" x14ac:dyDescent="0.2">
      <c r="A38" s="10" t="s">
        <v>319</v>
      </c>
      <c r="B38" s="5">
        <v>88842.134694577122</v>
      </c>
      <c r="C38" s="4">
        <v>50.6</v>
      </c>
    </row>
    <row r="39" spans="1:3" x14ac:dyDescent="0.2">
      <c r="A39" s="10" t="s">
        <v>320</v>
      </c>
      <c r="B39" s="5">
        <v>87956.713347631347</v>
      </c>
      <c r="C39" s="4">
        <v>674.30000000000007</v>
      </c>
    </row>
    <row r="40" spans="1:3" x14ac:dyDescent="0.2">
      <c r="A40" s="10" t="s">
        <v>321</v>
      </c>
      <c r="B40" s="5">
        <v>87080.146214155029</v>
      </c>
      <c r="C40" s="4">
        <v>35.300000000000004</v>
      </c>
    </row>
    <row r="41" spans="1:3" x14ac:dyDescent="0.2">
      <c r="A41" s="10" t="s">
        <v>322</v>
      </c>
      <c r="B41" s="5">
        <v>86212.34475201348</v>
      </c>
      <c r="C41" s="4">
        <v>294.5</v>
      </c>
    </row>
    <row r="42" spans="1:3" x14ac:dyDescent="0.2">
      <c r="A42" s="10" t="s">
        <v>59</v>
      </c>
      <c r="B42" s="5">
        <v>3450855</v>
      </c>
      <c r="C42" s="4">
        <v>3214</v>
      </c>
    </row>
    <row r="43" spans="1:3" x14ac:dyDescent="0.2">
      <c r="A43" s="10" t="s">
        <v>323</v>
      </c>
      <c r="B43" s="5">
        <v>85353.221304493345</v>
      </c>
      <c r="C43" s="4">
        <v>63.2</v>
      </c>
    </row>
    <row r="44" spans="1:3" x14ac:dyDescent="0.2">
      <c r="A44" s="10" t="s">
        <v>324</v>
      </c>
      <c r="B44" s="5">
        <v>84502.68909144841</v>
      </c>
      <c r="C44" s="4">
        <v>20</v>
      </c>
    </row>
    <row r="45" spans="1:3" x14ac:dyDescent="0.2">
      <c r="A45" s="10" t="s">
        <v>325</v>
      </c>
      <c r="B45" s="5">
        <v>83660.66220053393</v>
      </c>
      <c r="C45" s="4">
        <v>65.900000000000006</v>
      </c>
    </row>
    <row r="46" spans="1:3" x14ac:dyDescent="0.2">
      <c r="A46" s="10" t="s">
        <v>326</v>
      </c>
      <c r="B46" s="5">
        <v>82827.055578528583</v>
      </c>
      <c r="C46" s="4">
        <v>61.4</v>
      </c>
    </row>
    <row r="47" spans="1:3" x14ac:dyDescent="0.2">
      <c r="A47" s="10" t="s">
        <v>327</v>
      </c>
      <c r="B47" s="5">
        <v>82001.785022743294</v>
      </c>
      <c r="C47" s="4">
        <v>18.2</v>
      </c>
    </row>
    <row r="48" spans="1:3" x14ac:dyDescent="0.2">
      <c r="A48" s="10" t="s">
        <v>328</v>
      </c>
      <c r="B48" s="5">
        <v>81184.767172515858</v>
      </c>
      <c r="C48" s="4">
        <v>36.200000000000003</v>
      </c>
    </row>
    <row r="49" spans="1:3" x14ac:dyDescent="0.2">
      <c r="A49" s="10" t="s">
        <v>329</v>
      </c>
      <c r="B49" s="5">
        <v>80375.919500790696</v>
      </c>
      <c r="C49" s="4">
        <v>65</v>
      </c>
    </row>
    <row r="50" spans="1:3" x14ac:dyDescent="0.2">
      <c r="A50" s="10" t="s">
        <v>330</v>
      </c>
      <c r="B50" s="5">
        <v>79575.160305782789</v>
      </c>
      <c r="C50" s="4">
        <v>31.7</v>
      </c>
    </row>
    <row r="51" spans="1:3" x14ac:dyDescent="0.2">
      <c r="A51" s="10" t="s">
        <v>331</v>
      </c>
      <c r="B51" s="5">
        <v>78782.408702724962</v>
      </c>
      <c r="C51" s="4">
        <v>120.8</v>
      </c>
    </row>
    <row r="52" spans="1:3" x14ac:dyDescent="0.2">
      <c r="A52" s="10" t="s">
        <v>332</v>
      </c>
      <c r="B52" s="5">
        <v>77997.584615697706</v>
      </c>
      <c r="C52" s="4">
        <v>138.80000000000001</v>
      </c>
    </row>
    <row r="53" spans="1:3" x14ac:dyDescent="0.2">
      <c r="A53" s="10" t="s">
        <v>333</v>
      </c>
      <c r="B53" s="5">
        <v>77220.608769540733</v>
      </c>
      <c r="C53" s="4">
        <v>38.9</v>
      </c>
    </row>
    <row r="54" spans="1:3" x14ac:dyDescent="0.2">
      <c r="A54" s="10" t="s">
        <v>334</v>
      </c>
      <c r="B54" s="5">
        <v>76451.402681845328</v>
      </c>
      <c r="C54" s="4">
        <v>95.600000000000009</v>
      </c>
    </row>
    <row r="55" spans="1:3" x14ac:dyDescent="0.2">
      <c r="A55" s="10" t="s">
        <v>141</v>
      </c>
      <c r="B55" s="5">
        <v>363300</v>
      </c>
      <c r="C55" s="4">
        <v>207</v>
      </c>
    </row>
    <row r="56" spans="1:3" x14ac:dyDescent="0.2">
      <c r="A56" s="10" t="s">
        <v>335</v>
      </c>
      <c r="B56" s="5">
        <v>75689.88865502688</v>
      </c>
      <c r="C56" s="4">
        <v>32.6</v>
      </c>
    </row>
    <row r="57" spans="1:3" x14ac:dyDescent="0.2">
      <c r="A57" s="10" t="s">
        <v>120</v>
      </c>
      <c r="B57" s="5">
        <v>522441</v>
      </c>
      <c r="C57" s="4">
        <v>1248</v>
      </c>
    </row>
    <row r="58" spans="1:3" x14ac:dyDescent="0.2">
      <c r="A58" s="10" t="s">
        <v>336</v>
      </c>
      <c r="B58" s="5">
        <v>74935.989768476604</v>
      </c>
      <c r="C58" s="4">
        <v>28.1</v>
      </c>
    </row>
    <row r="59" spans="1:3" x14ac:dyDescent="0.2">
      <c r="A59" s="10" t="s">
        <v>337</v>
      </c>
      <c r="B59" s="5">
        <v>74189.629870791832</v>
      </c>
      <c r="C59" s="4">
        <v>18.2</v>
      </c>
    </row>
    <row r="60" spans="1:3" x14ac:dyDescent="0.2">
      <c r="A60" s="10" t="s">
        <v>338</v>
      </c>
      <c r="B60" s="5">
        <v>73450.733572083918</v>
      </c>
      <c r="C60" s="4">
        <v>219.8</v>
      </c>
    </row>
    <row r="61" spans="1:3" x14ac:dyDescent="0.2">
      <c r="A61" s="10" t="s">
        <v>339</v>
      </c>
      <c r="B61" s="5">
        <v>72719.226236363073</v>
      </c>
      <c r="C61" s="4">
        <v>12.8</v>
      </c>
    </row>
    <row r="62" spans="1:3" x14ac:dyDescent="0.2">
      <c r="A62" s="10" t="s">
        <v>340</v>
      </c>
      <c r="B62" s="5">
        <v>71995.033973999438</v>
      </c>
      <c r="C62" s="4">
        <v>31.7</v>
      </c>
    </row>
    <row r="63" spans="1:3" x14ac:dyDescent="0.2">
      <c r="A63" s="10" t="s">
        <v>341</v>
      </c>
      <c r="B63" s="5">
        <v>71278.083634259441</v>
      </c>
      <c r="C63" s="4">
        <v>48.800000000000004</v>
      </c>
    </row>
    <row r="64" spans="1:3" x14ac:dyDescent="0.2">
      <c r="A64" s="10" t="s">
        <v>342</v>
      </c>
      <c r="B64" s="5">
        <v>70568.30279791684</v>
      </c>
      <c r="C64" s="4">
        <v>59.6</v>
      </c>
    </row>
    <row r="65" spans="1:3" x14ac:dyDescent="0.2">
      <c r="A65" s="10" t="s">
        <v>211</v>
      </c>
      <c r="B65" s="5">
        <v>203800</v>
      </c>
      <c r="C65" s="4">
        <v>37</v>
      </c>
    </row>
    <row r="66" spans="1:3" x14ac:dyDescent="0.2">
      <c r="A66" s="10" t="s">
        <v>209</v>
      </c>
      <c r="B66" s="5">
        <v>206700</v>
      </c>
      <c r="C66" s="4">
        <v>166</v>
      </c>
    </row>
    <row r="67" spans="1:3" x14ac:dyDescent="0.2">
      <c r="A67" s="10" t="s">
        <v>343</v>
      </c>
      <c r="B67" s="5">
        <v>69865.619769937664</v>
      </c>
      <c r="C67" s="4">
        <v>72.2</v>
      </c>
    </row>
    <row r="68" spans="1:3" x14ac:dyDescent="0.2">
      <c r="A68" s="10" t="s">
        <v>344</v>
      </c>
      <c r="B68" s="5">
        <v>69169.963572238281</v>
      </c>
      <c r="C68" s="4">
        <v>297.2</v>
      </c>
    </row>
    <row r="69" spans="1:3" x14ac:dyDescent="0.2">
      <c r="A69" s="10" t="s">
        <v>345</v>
      </c>
      <c r="B69" s="5">
        <v>68481.263936515898</v>
      </c>
      <c r="C69" s="4">
        <v>37.1</v>
      </c>
    </row>
    <row r="70" spans="1:3" x14ac:dyDescent="0.2">
      <c r="A70" s="10" t="s">
        <v>346</v>
      </c>
      <c r="B70" s="5">
        <v>67799.451297150736</v>
      </c>
      <c r="C70" s="4">
        <v>149.6</v>
      </c>
    </row>
    <row r="71" spans="1:3" x14ac:dyDescent="0.2">
      <c r="A71" s="10" t="s">
        <v>347</v>
      </c>
      <c r="B71" s="5">
        <v>67124.45678417923</v>
      </c>
      <c r="C71" s="4">
        <v>32.6</v>
      </c>
    </row>
    <row r="72" spans="1:3" x14ac:dyDescent="0.2">
      <c r="A72" s="10" t="s">
        <v>348</v>
      </c>
      <c r="B72" s="5">
        <v>66456.212216337444</v>
      </c>
      <c r="C72" s="4">
        <v>219.8</v>
      </c>
    </row>
    <row r="73" spans="1:3" x14ac:dyDescent="0.2">
      <c r="A73" s="10" t="s">
        <v>349</v>
      </c>
      <c r="B73" s="5">
        <v>65794.650094174067</v>
      </c>
      <c r="C73" s="4">
        <v>65</v>
      </c>
    </row>
    <row r="74" spans="1:3" x14ac:dyDescent="0.2">
      <c r="A74" s="10" t="s">
        <v>350</v>
      </c>
      <c r="B74" s="5">
        <v>65139.703593232327</v>
      </c>
      <c r="C74" s="4">
        <v>105.5</v>
      </c>
    </row>
    <row r="75" spans="1:3" x14ac:dyDescent="0.2">
      <c r="A75" s="10" t="s">
        <v>351</v>
      </c>
      <c r="B75" s="5">
        <v>64491.306557300006</v>
      </c>
      <c r="C75" s="4">
        <v>520.58000000000004</v>
      </c>
    </row>
    <row r="76" spans="1:3" x14ac:dyDescent="0.2">
      <c r="A76" s="10" t="s">
        <v>352</v>
      </c>
      <c r="B76" s="5">
        <v>63849.393491727002</v>
      </c>
      <c r="C76" s="4">
        <v>226.55</v>
      </c>
    </row>
    <row r="77" spans="1:3" x14ac:dyDescent="0.2">
      <c r="A77" s="10" t="s">
        <v>186</v>
      </c>
      <c r="B77" s="5">
        <v>239900</v>
      </c>
      <c r="C77" s="4">
        <v>108</v>
      </c>
    </row>
    <row r="78" spans="1:3" x14ac:dyDescent="0.2">
      <c r="A78" s="10" t="s">
        <v>353</v>
      </c>
      <c r="B78" s="5">
        <v>63213.899556809731</v>
      </c>
      <c r="C78" s="4">
        <v>242.75</v>
      </c>
    </row>
    <row r="79" spans="1:3" x14ac:dyDescent="0.2">
      <c r="A79" s="10" t="s">
        <v>354</v>
      </c>
      <c r="B79" s="5">
        <v>62584.76056124163</v>
      </c>
      <c r="C79" s="4">
        <v>242.75</v>
      </c>
    </row>
    <row r="80" spans="1:3" x14ac:dyDescent="0.2">
      <c r="A80" s="10" t="s">
        <v>355</v>
      </c>
      <c r="B80" s="5">
        <v>61961.91295562921</v>
      </c>
      <c r="C80" s="4">
        <v>80.75</v>
      </c>
    </row>
    <row r="81" spans="1:3" x14ac:dyDescent="0.2">
      <c r="A81" s="10" t="s">
        <v>112</v>
      </c>
      <c r="B81" s="5">
        <v>587518</v>
      </c>
      <c r="C81" s="4">
        <v>2503</v>
      </c>
    </row>
    <row r="82" spans="1:3" x14ac:dyDescent="0.2">
      <c r="A82" s="10" t="s">
        <v>356</v>
      </c>
      <c r="B82" s="5">
        <v>61345.293826072921</v>
      </c>
      <c r="C82" s="4">
        <v>59.69</v>
      </c>
    </row>
    <row r="83" spans="1:3" x14ac:dyDescent="0.2">
      <c r="A83" s="10" t="s">
        <v>357</v>
      </c>
      <c r="B83" s="5">
        <v>60734.840887812192</v>
      </c>
      <c r="C83" s="4">
        <v>48.35</v>
      </c>
    </row>
    <row r="84" spans="1:3" x14ac:dyDescent="0.2">
      <c r="A84" s="10" t="s">
        <v>358</v>
      </c>
      <c r="B84" s="5">
        <v>60130.492478934066</v>
      </c>
      <c r="C84" s="4">
        <v>65.360000000000014</v>
      </c>
    </row>
    <row r="85" spans="1:3" x14ac:dyDescent="0.2">
      <c r="A85" s="10" t="s">
        <v>359</v>
      </c>
      <c r="B85" s="5">
        <v>59532.187554144723</v>
      </c>
      <c r="C85" s="4">
        <v>66.98</v>
      </c>
    </row>
    <row r="86" spans="1:3" x14ac:dyDescent="0.2">
      <c r="A86" s="10" t="s">
        <v>204</v>
      </c>
      <c r="B86" s="5">
        <v>211900</v>
      </c>
      <c r="C86" s="4">
        <v>198</v>
      </c>
    </row>
    <row r="87" spans="1:3" x14ac:dyDescent="0.2">
      <c r="A87" s="10" t="s">
        <v>360</v>
      </c>
      <c r="B87" s="5">
        <v>58939.865678603273</v>
      </c>
      <c r="C87" s="4">
        <v>136.63999999999999</v>
      </c>
    </row>
    <row r="88" spans="1:3" x14ac:dyDescent="0.2">
      <c r="A88" s="10" t="s">
        <v>361</v>
      </c>
      <c r="B88" s="5">
        <v>58353.46702181724</v>
      </c>
      <c r="C88" s="4">
        <v>13.520000000000001</v>
      </c>
    </row>
    <row r="89" spans="1:3" x14ac:dyDescent="0.2">
      <c r="A89" s="10" t="s">
        <v>362</v>
      </c>
      <c r="B89" s="5">
        <v>57772.932351599069</v>
      </c>
      <c r="C89" s="4">
        <v>45.92</v>
      </c>
    </row>
    <row r="90" spans="1:3" x14ac:dyDescent="0.2">
      <c r="A90" s="10" t="s">
        <v>363</v>
      </c>
      <c r="B90" s="5">
        <v>57198.20302808308</v>
      </c>
      <c r="C90" s="4">
        <v>81.56</v>
      </c>
    </row>
    <row r="91" spans="1:3" x14ac:dyDescent="0.2">
      <c r="A91" s="10" t="s">
        <v>364</v>
      </c>
      <c r="B91" s="5">
        <v>56629.220997802251</v>
      </c>
      <c r="C91" s="4">
        <v>114.77</v>
      </c>
    </row>
    <row r="92" spans="1:3" x14ac:dyDescent="0.2">
      <c r="A92" s="10" t="s">
        <v>365</v>
      </c>
      <c r="B92" s="5">
        <v>56065.928787824225</v>
      </c>
      <c r="C92" s="4">
        <v>47.54</v>
      </c>
    </row>
    <row r="93" spans="1:3" x14ac:dyDescent="0.2">
      <c r="A93" s="10" t="s">
        <v>366</v>
      </c>
      <c r="B93" s="5">
        <v>55508.269499945985</v>
      </c>
      <c r="C93" s="4">
        <v>22.43</v>
      </c>
    </row>
    <row r="94" spans="1:3" x14ac:dyDescent="0.2">
      <c r="A94" s="10" t="s">
        <v>367</v>
      </c>
      <c r="B94" s="5">
        <v>54956.186804946527</v>
      </c>
      <c r="C94" s="4">
        <v>28.910000000000004</v>
      </c>
    </row>
    <row r="95" spans="1:3" x14ac:dyDescent="0.2">
      <c r="A95" s="10" t="s">
        <v>368</v>
      </c>
      <c r="B95" s="5">
        <v>54409.62493689706</v>
      </c>
      <c r="C95" s="4">
        <v>79.13000000000001</v>
      </c>
    </row>
    <row r="96" spans="1:3" x14ac:dyDescent="0.2">
      <c r="A96" s="10" t="s">
        <v>369</v>
      </c>
      <c r="B96" s="5">
        <v>53868.528687528087</v>
      </c>
      <c r="C96" s="4">
        <v>41.06</v>
      </c>
    </row>
    <row r="97" spans="1:3" x14ac:dyDescent="0.2">
      <c r="A97" s="10" t="s">
        <v>370</v>
      </c>
      <c r="B97" s="5">
        <v>53332.843400652804</v>
      </c>
      <c r="C97" s="4">
        <v>206.3</v>
      </c>
    </row>
    <row r="98" spans="1:3" x14ac:dyDescent="0.2">
      <c r="A98" s="10" t="s">
        <v>371</v>
      </c>
      <c r="B98" s="5">
        <v>52802.514966646275</v>
      </c>
      <c r="C98" s="4">
        <v>23.240000000000002</v>
      </c>
    </row>
    <row r="99" spans="1:3" x14ac:dyDescent="0.2">
      <c r="A99" s="10" t="s">
        <v>372</v>
      </c>
      <c r="B99" s="5">
        <v>52277.489816979811</v>
      </c>
      <c r="C99" s="4">
        <v>202.25</v>
      </c>
    </row>
    <row r="100" spans="1:3" x14ac:dyDescent="0.2">
      <c r="A100" s="10" t="s">
        <v>373</v>
      </c>
      <c r="B100" s="5">
        <v>51757.714918810016</v>
      </c>
      <c r="C100" s="4">
        <v>202.25</v>
      </c>
    </row>
    <row r="101" spans="1:3" x14ac:dyDescent="0.2">
      <c r="A101" s="10" t="s">
        <v>374</v>
      </c>
      <c r="B101" s="5">
        <v>51243.137769621913</v>
      </c>
      <c r="C101" s="4">
        <v>58.88</v>
      </c>
    </row>
    <row r="102" spans="1:3" x14ac:dyDescent="0.2">
      <c r="A102" s="10" t="s">
        <v>375</v>
      </c>
      <c r="B102" s="5">
        <v>50733.706391925691</v>
      </c>
      <c r="C102" s="4">
        <v>20</v>
      </c>
    </row>
    <row r="103" spans="1:3" x14ac:dyDescent="0.2">
      <c r="A103" s="10" t="s">
        <v>376</v>
      </c>
      <c r="B103" s="5">
        <v>50229.369328006433</v>
      </c>
      <c r="C103" s="4">
        <v>55.64</v>
      </c>
    </row>
    <row r="104" spans="1:3" x14ac:dyDescent="0.2">
      <c r="A104" s="10" t="s">
        <v>377</v>
      </c>
      <c r="B104" s="5">
        <v>49730.075634726367</v>
      </c>
      <c r="C104" s="4">
        <v>57.26</v>
      </c>
    </row>
    <row r="105" spans="1:3" x14ac:dyDescent="0.2">
      <c r="A105" s="10" t="s">
        <v>378</v>
      </c>
      <c r="B105" s="5">
        <v>49235.774878379103</v>
      </c>
      <c r="C105" s="4">
        <v>135.83000000000001</v>
      </c>
    </row>
    <row r="106" spans="1:3" x14ac:dyDescent="0.2">
      <c r="A106" s="10" t="s">
        <v>379</v>
      </c>
      <c r="B106" s="5">
        <v>48746.417129595313</v>
      </c>
      <c r="C106" s="4">
        <v>57.26</v>
      </c>
    </row>
    <row r="107" spans="1:3" x14ac:dyDescent="0.2">
      <c r="A107" s="10" t="s">
        <v>380</v>
      </c>
      <c r="B107" s="5">
        <v>48261.952958299356</v>
      </c>
      <c r="C107" s="4">
        <v>47.54</v>
      </c>
    </row>
    <row r="108" spans="1:3" x14ac:dyDescent="0.2">
      <c r="A108" s="10" t="s">
        <v>381</v>
      </c>
      <c r="B108" s="5">
        <v>47782.33342871636</v>
      </c>
      <c r="C108" s="4">
        <v>608.87000000000012</v>
      </c>
    </row>
    <row r="109" spans="1:3" x14ac:dyDescent="0.2">
      <c r="A109" s="10" t="s">
        <v>155</v>
      </c>
      <c r="B109" s="5">
        <v>312989</v>
      </c>
      <c r="C109" s="4">
        <v>73</v>
      </c>
    </row>
    <row r="110" spans="1:3" x14ac:dyDescent="0.2">
      <c r="A110" s="10" t="s">
        <v>382</v>
      </c>
      <c r="B110" s="5">
        <v>47307.510094429199</v>
      </c>
      <c r="C110" s="4">
        <v>33.770000000000003</v>
      </c>
    </row>
    <row r="111" spans="1:3" x14ac:dyDescent="0.2">
      <c r="A111" s="10" t="s">
        <v>217</v>
      </c>
      <c r="B111" s="5">
        <v>191800</v>
      </c>
      <c r="C111" s="4">
        <v>86</v>
      </c>
    </row>
    <row r="112" spans="1:3" x14ac:dyDescent="0.2">
      <c r="A112" s="10" t="s">
        <v>383</v>
      </c>
      <c r="B112" s="5">
        <v>46837.434993484909</v>
      </c>
      <c r="C112" s="4">
        <v>267.05</v>
      </c>
    </row>
    <row r="113" spans="1:3" x14ac:dyDescent="0.2">
      <c r="A113" s="10" t="s">
        <v>384</v>
      </c>
      <c r="B113" s="5">
        <v>46372.060643550059</v>
      </c>
      <c r="C113" s="4">
        <v>58.88</v>
      </c>
    </row>
    <row r="114" spans="1:3" x14ac:dyDescent="0.2">
      <c r="A114" s="10" t="s">
        <v>152</v>
      </c>
      <c r="B114" s="5">
        <v>330400</v>
      </c>
      <c r="C114" s="4">
        <v>220</v>
      </c>
    </row>
    <row r="115" spans="1:3" x14ac:dyDescent="0.2">
      <c r="A115" s="10" t="s">
        <v>385</v>
      </c>
      <c r="B115" s="5">
        <v>45911.340037114562</v>
      </c>
      <c r="C115" s="4">
        <v>20</v>
      </c>
    </row>
    <row r="116" spans="1:3" x14ac:dyDescent="0.2">
      <c r="A116" s="10" t="s">
        <v>386</v>
      </c>
      <c r="B116" s="5">
        <v>45455.226636743413</v>
      </c>
      <c r="C116" s="4">
        <v>61.310000000000009</v>
      </c>
    </row>
    <row r="117" spans="1:3" x14ac:dyDescent="0.2">
      <c r="A117" s="10" t="s">
        <v>387</v>
      </c>
      <c r="B117" s="5">
        <v>45003.674370375978</v>
      </c>
      <c r="C117" s="4">
        <v>57.26</v>
      </c>
    </row>
    <row r="118" spans="1:3" x14ac:dyDescent="0.2">
      <c r="A118" s="10" t="s">
        <v>388</v>
      </c>
      <c r="B118" s="5">
        <v>44556.637626672222</v>
      </c>
      <c r="C118" s="4">
        <v>18.38</v>
      </c>
    </row>
    <row r="119" spans="1:3" x14ac:dyDescent="0.2">
      <c r="A119" s="10" t="s">
        <v>389</v>
      </c>
      <c r="B119" s="5">
        <v>44114.071250405497</v>
      </c>
      <c r="C119" s="4">
        <v>34.580000000000005</v>
      </c>
    </row>
    <row r="120" spans="1:3" x14ac:dyDescent="0.2">
      <c r="A120" s="10" t="s">
        <v>390</v>
      </c>
      <c r="B120" s="5">
        <v>43675.93053790144</v>
      </c>
      <c r="C120" s="4">
        <v>60.5</v>
      </c>
    </row>
    <row r="121" spans="1:3" x14ac:dyDescent="0.2">
      <c r="A121" s="10" t="s">
        <v>391</v>
      </c>
      <c r="B121" s="5">
        <v>43242.171232522429</v>
      </c>
      <c r="C121" s="4">
        <v>30.53</v>
      </c>
    </row>
    <row r="122" spans="1:3" x14ac:dyDescent="0.2">
      <c r="A122" s="10" t="s">
        <v>392</v>
      </c>
      <c r="B122" s="5">
        <v>42812.749520197205</v>
      </c>
      <c r="C122" s="4">
        <v>110.72</v>
      </c>
    </row>
    <row r="123" spans="1:3" x14ac:dyDescent="0.2">
      <c r="A123" s="10" t="s">
        <v>88</v>
      </c>
      <c r="B123" s="5">
        <v>919597</v>
      </c>
      <c r="C123" s="4">
        <v>171</v>
      </c>
    </row>
    <row r="124" spans="1:3" x14ac:dyDescent="0.2">
      <c r="A124" s="10" t="s">
        <v>247</v>
      </c>
      <c r="B124" s="5">
        <v>150200</v>
      </c>
      <c r="C124" s="4">
        <v>46</v>
      </c>
    </row>
    <row r="125" spans="1:3" x14ac:dyDescent="0.2">
      <c r="A125" s="10" t="s">
        <v>215</v>
      </c>
      <c r="B125" s="5">
        <v>197676</v>
      </c>
      <c r="C125" s="4">
        <v>75</v>
      </c>
    </row>
    <row r="126" spans="1:3" x14ac:dyDescent="0.2">
      <c r="A126" s="10" t="s">
        <v>393</v>
      </c>
      <c r="B126" s="5">
        <v>42387.622024995231</v>
      </c>
      <c r="C126" s="4">
        <v>126.92000000000002</v>
      </c>
    </row>
    <row r="127" spans="1:3" x14ac:dyDescent="0.2">
      <c r="A127" s="10" t="s">
        <v>394</v>
      </c>
      <c r="B127" s="5">
        <v>41966.745804745282</v>
      </c>
      <c r="C127" s="4">
        <v>37.01</v>
      </c>
    </row>
    <row r="128" spans="1:3" x14ac:dyDescent="0.2">
      <c r="A128" s="10" t="s">
        <v>395</v>
      </c>
      <c r="B128" s="5">
        <v>41550.078346697832</v>
      </c>
      <c r="C128" s="4">
        <v>88.04</v>
      </c>
    </row>
    <row r="129" spans="1:3" x14ac:dyDescent="0.2">
      <c r="A129" s="10" t="s">
        <v>396</v>
      </c>
      <c r="B129" s="5">
        <v>41137.577563230851</v>
      </c>
      <c r="C129" s="4">
        <v>31.340000000000003</v>
      </c>
    </row>
    <row r="130" spans="1:3" x14ac:dyDescent="0.2">
      <c r="A130" s="10" t="s">
        <v>397</v>
      </c>
      <c r="B130" s="5">
        <v>40729.20178759854</v>
      </c>
      <c r="C130" s="4">
        <v>27.290000000000003</v>
      </c>
    </row>
    <row r="131" spans="1:3" x14ac:dyDescent="0.2">
      <c r="A131" s="10" t="s">
        <v>398</v>
      </c>
      <c r="B131" s="5">
        <v>40324.909769722552</v>
      </c>
      <c r="C131" s="4">
        <v>18.38</v>
      </c>
    </row>
    <row r="132" spans="1:3" x14ac:dyDescent="0.2">
      <c r="A132" s="10" t="s">
        <v>399</v>
      </c>
      <c r="B132" s="5">
        <v>39924.660672025326</v>
      </c>
      <c r="C132" s="4">
        <v>199.82000000000002</v>
      </c>
    </row>
    <row r="133" spans="1:3" x14ac:dyDescent="0.2">
      <c r="A133" s="10" t="s">
        <v>400</v>
      </c>
      <c r="B133" s="5">
        <v>39528.414065305071</v>
      </c>
      <c r="C133" s="4">
        <v>13.520000000000001</v>
      </c>
    </row>
    <row r="134" spans="1:3" x14ac:dyDescent="0.2">
      <c r="A134" s="10" t="s">
        <v>401</v>
      </c>
      <c r="B134" s="5">
        <v>39136.129924652021</v>
      </c>
      <c r="C134" s="4">
        <v>30.53</v>
      </c>
    </row>
    <row r="135" spans="1:3" x14ac:dyDescent="0.2">
      <c r="A135" s="10" t="s">
        <v>402</v>
      </c>
      <c r="B135" s="5">
        <v>38747.768625405501</v>
      </c>
      <c r="C135" s="4">
        <v>45.92</v>
      </c>
    </row>
    <row r="136" spans="1:3" x14ac:dyDescent="0.2">
      <c r="A136" s="10" t="s">
        <v>403</v>
      </c>
      <c r="B136" s="5">
        <v>38363.290939151448</v>
      </c>
      <c r="C136" s="4">
        <v>55.64</v>
      </c>
    </row>
    <row r="137" spans="1:3" x14ac:dyDescent="0.2">
      <c r="A137" s="10" t="s">
        <v>404</v>
      </c>
      <c r="B137" s="5">
        <v>37982.658029759936</v>
      </c>
      <c r="C137" s="4">
        <v>66.98</v>
      </c>
    </row>
    <row r="138" spans="1:3" x14ac:dyDescent="0.2">
      <c r="A138" s="10" t="s">
        <v>405</v>
      </c>
      <c r="B138" s="5">
        <v>37605.831449462334</v>
      </c>
      <c r="C138" s="4">
        <v>269.48</v>
      </c>
    </row>
    <row r="139" spans="1:3" x14ac:dyDescent="0.2">
      <c r="A139" s="10" t="s">
        <v>87</v>
      </c>
      <c r="B139" s="5">
        <v>946205</v>
      </c>
      <c r="C139" s="4">
        <v>548</v>
      </c>
    </row>
    <row r="140" spans="1:3" x14ac:dyDescent="0.2">
      <c r="A140" s="10" t="s">
        <v>406</v>
      </c>
      <c r="B140" s="5">
        <v>37232.773134967712</v>
      </c>
      <c r="C140" s="4">
        <v>35.39</v>
      </c>
    </row>
    <row r="141" spans="1:3" x14ac:dyDescent="0.2">
      <c r="A141" s="10" t="s">
        <v>407</v>
      </c>
      <c r="B141" s="5">
        <v>36863.445403618032</v>
      </c>
      <c r="C141" s="4">
        <v>136.63999999999999</v>
      </c>
    </row>
    <row r="142" spans="1:3" x14ac:dyDescent="0.2">
      <c r="A142" s="10" t="s">
        <v>84</v>
      </c>
      <c r="B142" s="5">
        <v>1150651</v>
      </c>
      <c r="C142" s="4">
        <v>659</v>
      </c>
    </row>
    <row r="143" spans="1:3" x14ac:dyDescent="0.2">
      <c r="A143" s="10" t="s">
        <v>108</v>
      </c>
      <c r="B143" s="5">
        <v>635000</v>
      </c>
      <c r="C143" s="4">
        <v>215</v>
      </c>
    </row>
    <row r="144" spans="1:3" x14ac:dyDescent="0.2">
      <c r="A144" s="10" t="s">
        <v>408</v>
      </c>
      <c r="B144" s="5">
        <v>36497.81094958185</v>
      </c>
      <c r="C144" s="4">
        <v>31.340000000000003</v>
      </c>
    </row>
    <row r="145" spans="1:3" x14ac:dyDescent="0.2">
      <c r="A145" s="10" t="s">
        <v>409</v>
      </c>
      <c r="B145" s="5">
        <v>36135.832840086034</v>
      </c>
      <c r="C145" s="4">
        <v>199.82000000000002</v>
      </c>
    </row>
    <row r="146" spans="1:3" x14ac:dyDescent="0.2">
      <c r="A146" s="10" t="s">
        <v>410</v>
      </c>
      <c r="B146" s="5">
        <v>35777.47451168517</v>
      </c>
      <c r="C146" s="4">
        <v>60.5</v>
      </c>
    </row>
    <row r="147" spans="1:3" x14ac:dyDescent="0.2">
      <c r="A147" s="10" t="s">
        <v>110</v>
      </c>
      <c r="B147" s="5">
        <v>610000</v>
      </c>
      <c r="C147" s="4">
        <v>452</v>
      </c>
    </row>
    <row r="148" spans="1:3" x14ac:dyDescent="0.2">
      <c r="A148" s="10" t="s">
        <v>411</v>
      </c>
      <c r="B148" s="5">
        <v>35422.699766568316</v>
      </c>
      <c r="C148" s="4">
        <v>96.95</v>
      </c>
    </row>
    <row r="149" spans="1:3" x14ac:dyDescent="0.2">
      <c r="A149" s="10" t="s">
        <v>412</v>
      </c>
      <c r="B149" s="5">
        <v>35071.472768902633</v>
      </c>
      <c r="C149" s="4">
        <v>470.52200000000005</v>
      </c>
    </row>
    <row r="150" spans="1:3" x14ac:dyDescent="0.2">
      <c r="A150" s="10" t="s">
        <v>413</v>
      </c>
      <c r="B150" s="5">
        <v>34723.758041213609</v>
      </c>
      <c r="C150" s="4">
        <v>205.89500000000001</v>
      </c>
    </row>
    <row r="151" spans="1:3" x14ac:dyDescent="0.2">
      <c r="A151" s="10" t="s">
        <v>414</v>
      </c>
      <c r="B151" s="5">
        <v>34379.520460801476</v>
      </c>
      <c r="C151" s="4">
        <v>220.47499999999999</v>
      </c>
    </row>
    <row r="152" spans="1:3" x14ac:dyDescent="0.2">
      <c r="A152" s="10" t="s">
        <v>154</v>
      </c>
      <c r="B152" s="5">
        <v>317800</v>
      </c>
      <c r="C152" s="4">
        <v>280</v>
      </c>
    </row>
    <row r="153" spans="1:3" x14ac:dyDescent="0.2">
      <c r="A153" s="10" t="s">
        <v>415</v>
      </c>
      <c r="B153" s="5">
        <v>34038.725256193458</v>
      </c>
      <c r="C153" s="4">
        <v>220.47499999999999</v>
      </c>
    </row>
    <row r="154" spans="1:3" x14ac:dyDescent="0.2">
      <c r="A154" s="10" t="s">
        <v>240</v>
      </c>
      <c r="B154" s="5">
        <v>160500</v>
      </c>
      <c r="C154" s="4">
        <v>52</v>
      </c>
    </row>
    <row r="155" spans="1:3" x14ac:dyDescent="0.2">
      <c r="A155" s="10" t="s">
        <v>416</v>
      </c>
      <c r="B155" s="5">
        <v>33701.338003631521</v>
      </c>
      <c r="C155" s="4">
        <v>74.674999999999997</v>
      </c>
    </row>
    <row r="156" spans="1:3" x14ac:dyDescent="0.2">
      <c r="A156" s="10" t="s">
        <v>417</v>
      </c>
      <c r="B156" s="5">
        <v>33367.324623595203</v>
      </c>
      <c r="C156" s="4">
        <v>55.720999999999997</v>
      </c>
    </row>
    <row r="157" spans="1:3" x14ac:dyDescent="0.2">
      <c r="A157" s="10" t="s">
        <v>418</v>
      </c>
      <c r="B157" s="5">
        <v>33036.651377359252</v>
      </c>
      <c r="C157" s="4">
        <v>45.515000000000001</v>
      </c>
    </row>
    <row r="158" spans="1:3" x14ac:dyDescent="0.2">
      <c r="A158" s="10" t="s">
        <v>173</v>
      </c>
      <c r="B158" s="5">
        <v>261700</v>
      </c>
      <c r="C158" s="4">
        <v>63</v>
      </c>
    </row>
    <row r="159" spans="1:3" x14ac:dyDescent="0.2">
      <c r="A159" s="10" t="s">
        <v>419</v>
      </c>
      <c r="B159" s="5">
        <v>32709.284863585661</v>
      </c>
      <c r="C159" s="4">
        <v>60.824000000000012</v>
      </c>
    </row>
    <row r="160" spans="1:3" x14ac:dyDescent="0.2">
      <c r="A160" s="10" t="s">
        <v>420</v>
      </c>
      <c r="B160" s="5">
        <v>32385.192014949804</v>
      </c>
      <c r="C160" s="4">
        <v>62.282000000000004</v>
      </c>
    </row>
    <row r="161" spans="1:3" x14ac:dyDescent="0.2">
      <c r="A161" s="10" t="s">
        <v>421</v>
      </c>
      <c r="B161" s="5">
        <v>32064.340094800304</v>
      </c>
      <c r="C161" s="4">
        <v>124.97599999999998</v>
      </c>
    </row>
    <row r="162" spans="1:3" x14ac:dyDescent="0.2">
      <c r="A162" s="10" t="s">
        <v>207</v>
      </c>
      <c r="B162" s="5">
        <v>209000</v>
      </c>
      <c r="C162" s="4">
        <v>280</v>
      </c>
    </row>
    <row r="163" spans="1:3" x14ac:dyDescent="0.2">
      <c r="A163" s="10" t="s">
        <v>422</v>
      </c>
      <c r="B163" s="5">
        <v>31746.6966938523</v>
      </c>
      <c r="C163" s="4">
        <v>14.168000000000001</v>
      </c>
    </row>
    <row r="164" spans="1:3" x14ac:dyDescent="0.2">
      <c r="A164" s="10" t="s">
        <v>208</v>
      </c>
      <c r="B164" s="5">
        <v>208000</v>
      </c>
      <c r="C164" s="4">
        <v>28</v>
      </c>
    </row>
    <row r="165" spans="1:3" x14ac:dyDescent="0.2">
      <c r="A165" s="10" t="s">
        <v>191</v>
      </c>
      <c r="B165" s="5">
        <v>233800</v>
      </c>
      <c r="C165" s="4">
        <v>103</v>
      </c>
    </row>
    <row r="166" spans="1:3" x14ac:dyDescent="0.2">
      <c r="A166" s="10" t="s">
        <v>423</v>
      </c>
      <c r="B166" s="5">
        <v>31432.229726913778</v>
      </c>
      <c r="C166" s="4">
        <v>43.328000000000003</v>
      </c>
    </row>
    <row r="167" spans="1:3" x14ac:dyDescent="0.2">
      <c r="A167" s="10" t="s">
        <v>424</v>
      </c>
      <c r="B167" s="5">
        <v>31120.907429644642</v>
      </c>
      <c r="C167" s="4">
        <v>75.404000000000011</v>
      </c>
    </row>
    <row r="168" spans="1:3" x14ac:dyDescent="0.2">
      <c r="A168" s="10" t="s">
        <v>425</v>
      </c>
      <c r="B168" s="5">
        <v>30812.698355348195</v>
      </c>
      <c r="C168" s="4">
        <v>105.29299999999999</v>
      </c>
    </row>
    <row r="169" spans="1:3" x14ac:dyDescent="0.2">
      <c r="A169" s="10" t="s">
        <v>426</v>
      </c>
      <c r="B169" s="5">
        <v>30507.571371794711</v>
      </c>
      <c r="C169" s="4">
        <v>44.786000000000001</v>
      </c>
    </row>
    <row r="170" spans="1:3" x14ac:dyDescent="0.2">
      <c r="A170" s="10" t="s">
        <v>427</v>
      </c>
      <c r="B170" s="5">
        <v>30205.495658076765</v>
      </c>
      <c r="C170" s="4">
        <v>22.187000000000001</v>
      </c>
    </row>
    <row r="171" spans="1:3" x14ac:dyDescent="0.2">
      <c r="A171" s="10" t="s">
        <v>428</v>
      </c>
      <c r="B171" s="5">
        <v>29906.440701495998</v>
      </c>
      <c r="C171" s="4">
        <v>28.019000000000005</v>
      </c>
    </row>
    <row r="172" spans="1:3" x14ac:dyDescent="0.2">
      <c r="A172" s="10" t="s">
        <v>56</v>
      </c>
      <c r="B172" s="5">
        <v>3567155</v>
      </c>
      <c r="C172" s="4">
        <v>1145</v>
      </c>
    </row>
    <row r="173" spans="1:3" x14ac:dyDescent="0.2">
      <c r="A173" s="10" t="s">
        <v>429</v>
      </c>
      <c r="B173" s="5">
        <v>29610.376294481037</v>
      </c>
      <c r="C173" s="4">
        <v>73.217000000000013</v>
      </c>
    </row>
    <row r="174" spans="1:3" x14ac:dyDescent="0.2">
      <c r="A174" s="10" t="s">
        <v>430</v>
      </c>
      <c r="B174" s="5">
        <v>29317.272531536226</v>
      </c>
      <c r="C174" s="4">
        <v>38.954000000000001</v>
      </c>
    </row>
    <row r="175" spans="1:3" x14ac:dyDescent="0.2">
      <c r="A175" s="10" t="s">
        <v>431</v>
      </c>
      <c r="B175" s="5">
        <v>29027.099806220864</v>
      </c>
      <c r="C175" s="4">
        <v>187.67000000000002</v>
      </c>
    </row>
    <row r="176" spans="1:3" x14ac:dyDescent="0.2">
      <c r="A176" s="10" t="s">
        <v>432</v>
      </c>
      <c r="B176" s="5">
        <v>28739.828808158654</v>
      </c>
      <c r="C176" s="4">
        <v>22.916000000000004</v>
      </c>
    </row>
    <row r="177" spans="1:3" x14ac:dyDescent="0.2">
      <c r="A177" s="10" t="s">
        <v>433</v>
      </c>
      <c r="B177" s="5">
        <v>28455.430520077069</v>
      </c>
      <c r="C177" s="4">
        <v>184.02500000000001</v>
      </c>
    </row>
    <row r="178" spans="1:3" x14ac:dyDescent="0.2">
      <c r="A178" s="10" t="s">
        <v>44</v>
      </c>
      <c r="B178" s="5">
        <v>9000000</v>
      </c>
      <c r="C178" s="4">
        <v>7086</v>
      </c>
    </row>
    <row r="179" spans="1:3" x14ac:dyDescent="0.2">
      <c r="A179" s="10" t="s">
        <v>434</v>
      </c>
      <c r="B179" s="5">
        <v>28173.876214876298</v>
      </c>
      <c r="C179" s="4">
        <v>184.02500000000001</v>
      </c>
    </row>
    <row r="180" spans="1:3" x14ac:dyDescent="0.2">
      <c r="A180" s="10" t="s">
        <v>435</v>
      </c>
      <c r="B180" s="5">
        <v>27895.137452727537</v>
      </c>
      <c r="C180" s="4">
        <v>54.992000000000004</v>
      </c>
    </row>
    <row r="181" spans="1:3" x14ac:dyDescent="0.2">
      <c r="A181" s="10" t="s">
        <v>436</v>
      </c>
      <c r="B181" s="5">
        <v>27619.186078200262</v>
      </c>
      <c r="C181" s="4">
        <v>20</v>
      </c>
    </row>
    <row r="182" spans="1:3" x14ac:dyDescent="0.2">
      <c r="A182" s="10" t="s">
        <v>437</v>
      </c>
      <c r="B182" s="5">
        <v>27345.994217418258</v>
      </c>
      <c r="C182" s="4">
        <v>52.076000000000001</v>
      </c>
    </row>
    <row r="183" spans="1:3" x14ac:dyDescent="0.2">
      <c r="A183" s="10" t="s">
        <v>438</v>
      </c>
      <c r="B183" s="5">
        <v>27075.534275244074</v>
      </c>
      <c r="C183" s="4">
        <v>53.533999999999999</v>
      </c>
    </row>
    <row r="184" spans="1:3" x14ac:dyDescent="0.2">
      <c r="A184" s="10" t="s">
        <v>439</v>
      </c>
      <c r="B184" s="5">
        <v>26807.778932491634</v>
      </c>
      <c r="C184" s="4">
        <v>124.24700000000001</v>
      </c>
    </row>
    <row r="185" spans="1:3" x14ac:dyDescent="0.2">
      <c r="A185" s="10" t="s">
        <v>440</v>
      </c>
      <c r="B185" s="5">
        <v>26542.701143166716</v>
      </c>
      <c r="C185" s="4">
        <v>53.533999999999999</v>
      </c>
    </row>
    <row r="186" spans="1:3" x14ac:dyDescent="0.2">
      <c r="A186" s="10" t="s">
        <v>441</v>
      </c>
      <c r="B186" s="5">
        <v>26280.274131735048</v>
      </c>
      <c r="C186" s="4">
        <v>44.786000000000001</v>
      </c>
    </row>
    <row r="187" spans="1:3" x14ac:dyDescent="0.2">
      <c r="A187" s="10" t="s">
        <v>442</v>
      </c>
      <c r="B187" s="5">
        <v>26020.471390417697</v>
      </c>
      <c r="C187" s="4">
        <v>549.98300000000017</v>
      </c>
    </row>
    <row r="188" spans="1:3" x14ac:dyDescent="0.2">
      <c r="A188" s="10" t="s">
        <v>443</v>
      </c>
      <c r="B188" s="5">
        <v>25763.266676513518</v>
      </c>
      <c r="C188" s="4">
        <v>32.393000000000001</v>
      </c>
    </row>
    <row r="189" spans="1:3" x14ac:dyDescent="0.2">
      <c r="A189" s="10" t="s">
        <v>444</v>
      </c>
      <c r="B189" s="5">
        <v>25508.634009748384</v>
      </c>
      <c r="C189" s="4">
        <v>242.34500000000003</v>
      </c>
    </row>
    <row r="190" spans="1:3" x14ac:dyDescent="0.2">
      <c r="A190" s="10" t="s">
        <v>445</v>
      </c>
      <c r="B190" s="5">
        <v>25256.547669650899</v>
      </c>
      <c r="C190" s="4">
        <v>54.992000000000004</v>
      </c>
    </row>
    <row r="191" spans="1:3" x14ac:dyDescent="0.2">
      <c r="A191" s="10" t="s">
        <v>446</v>
      </c>
      <c r="B191" s="5">
        <v>25006.98219295439</v>
      </c>
      <c r="C191" s="4">
        <v>20</v>
      </c>
    </row>
    <row r="192" spans="1:3" x14ac:dyDescent="0.2">
      <c r="A192" s="10" t="s">
        <v>447</v>
      </c>
      <c r="B192" s="5">
        <v>24759.912371024846</v>
      </c>
      <c r="C192" s="4">
        <v>57.179000000000009</v>
      </c>
    </row>
    <row r="193" spans="1:3" x14ac:dyDescent="0.2">
      <c r="A193" s="10" t="s">
        <v>448</v>
      </c>
      <c r="B193" s="5">
        <v>24515.313247314596</v>
      </c>
      <c r="C193" s="4">
        <v>53.533999999999999</v>
      </c>
    </row>
    <row r="194" spans="1:3" x14ac:dyDescent="0.2">
      <c r="A194" s="10" t="s">
        <v>449</v>
      </c>
      <c r="B194" s="5">
        <v>24273.160114841448</v>
      </c>
      <c r="C194" s="4">
        <v>18.541999999999998</v>
      </c>
    </row>
    <row r="195" spans="1:3" x14ac:dyDescent="0.2">
      <c r="A195" s="10" t="s">
        <v>450</v>
      </c>
      <c r="B195" s="5">
        <v>24033.428513693034</v>
      </c>
      <c r="C195" s="4">
        <v>33.122000000000007</v>
      </c>
    </row>
    <row r="196" spans="1:3" x14ac:dyDescent="0.2">
      <c r="A196" s="10" t="s">
        <v>451</v>
      </c>
      <c r="B196" s="5">
        <v>23796.094228556103</v>
      </c>
      <c r="C196" s="4">
        <v>56.45</v>
      </c>
    </row>
    <row r="197" spans="1:3" x14ac:dyDescent="0.2">
      <c r="A197" s="10" t="s">
        <v>452</v>
      </c>
      <c r="B197" s="5">
        <v>23561.133286270542</v>
      </c>
      <c r="C197" s="4">
        <v>29.477</v>
      </c>
    </row>
    <row r="198" spans="1:3" x14ac:dyDescent="0.2">
      <c r="A198" s="10" t="s">
        <v>453</v>
      </c>
      <c r="B198" s="5">
        <v>23328.521953407835</v>
      </c>
      <c r="C198" s="4">
        <v>101.648</v>
      </c>
    </row>
    <row r="199" spans="1:3" x14ac:dyDescent="0.2">
      <c r="A199" s="10" t="s">
        <v>454</v>
      </c>
      <c r="B199" s="5">
        <v>23098.236733873757</v>
      </c>
      <c r="C199" s="4">
        <v>116.22800000000002</v>
      </c>
    </row>
    <row r="200" spans="1:3" x14ac:dyDescent="0.2">
      <c r="A200" s="10" t="s">
        <v>455</v>
      </c>
      <c r="B200" s="5">
        <v>22870.25436653502</v>
      </c>
      <c r="C200" s="4">
        <v>35.308999999999997</v>
      </c>
    </row>
    <row r="201" spans="1:3" x14ac:dyDescent="0.2">
      <c r="A201" s="10" t="s">
        <v>456</v>
      </c>
      <c r="B201" s="5">
        <v>22644.551822869671</v>
      </c>
      <c r="C201" s="4">
        <v>81.236000000000004</v>
      </c>
    </row>
    <row r="202" spans="1:3" x14ac:dyDescent="0.2">
      <c r="A202" s="10" t="s">
        <v>457</v>
      </c>
      <c r="B202" s="5">
        <v>22421.106304640973</v>
      </c>
      <c r="C202" s="4">
        <v>30.206000000000003</v>
      </c>
    </row>
    <row r="203" spans="1:3" x14ac:dyDescent="0.2">
      <c r="A203" s="10" t="s">
        <v>458</v>
      </c>
      <c r="B203" s="5">
        <v>22199.895241594564</v>
      </c>
      <c r="C203" s="4">
        <v>26.561000000000003</v>
      </c>
    </row>
    <row r="204" spans="1:3" x14ac:dyDescent="0.2">
      <c r="A204" s="10" t="s">
        <v>459</v>
      </c>
      <c r="B204" s="5">
        <v>21980.896289178618</v>
      </c>
      <c r="C204" s="4">
        <v>18.541999999999998</v>
      </c>
    </row>
    <row r="205" spans="1:3" x14ac:dyDescent="0.2">
      <c r="A205" s="10" t="s">
        <v>460</v>
      </c>
      <c r="B205" s="5">
        <v>21764.08732628683</v>
      </c>
      <c r="C205" s="4">
        <v>181.83800000000002</v>
      </c>
    </row>
    <row r="206" spans="1:3" x14ac:dyDescent="0.2">
      <c r="A206" s="10" t="s">
        <v>461</v>
      </c>
      <c r="B206" s="5">
        <v>21549.44645302396</v>
      </c>
      <c r="C206" s="4">
        <v>14.168000000000001</v>
      </c>
    </row>
    <row r="207" spans="1:3" x14ac:dyDescent="0.2">
      <c r="A207" s="10" t="s">
        <v>462</v>
      </c>
      <c r="B207" s="5">
        <v>21336.951988493722</v>
      </c>
      <c r="C207" s="4">
        <v>29.477</v>
      </c>
    </row>
    <row r="208" spans="1:3" x14ac:dyDescent="0.2">
      <c r="A208" s="10" t="s">
        <v>216</v>
      </c>
      <c r="B208" s="5">
        <v>196200</v>
      </c>
      <c r="C208" s="4">
        <v>89</v>
      </c>
    </row>
    <row r="209" spans="1:3" x14ac:dyDescent="0.2">
      <c r="A209" s="10" t="s">
        <v>463</v>
      </c>
      <c r="B209" s="5">
        <v>21126.582468608784</v>
      </c>
      <c r="C209" s="4">
        <v>43.328000000000003</v>
      </c>
    </row>
    <row r="210" spans="1:3" x14ac:dyDescent="0.2">
      <c r="A210" s="10" t="s">
        <v>464</v>
      </c>
      <c r="B210" s="5">
        <v>20918.316643922695</v>
      </c>
      <c r="C210" s="4">
        <v>52.076000000000001</v>
      </c>
    </row>
    <row r="211" spans="1:3" x14ac:dyDescent="0.2">
      <c r="A211" s="10" t="s">
        <v>465</v>
      </c>
      <c r="B211" s="5">
        <v>20712.133477483469</v>
      </c>
      <c r="C211" s="4">
        <v>62.282000000000004</v>
      </c>
    </row>
    <row r="212" spans="1:3" x14ac:dyDescent="0.2">
      <c r="A212" s="10" t="s">
        <v>466</v>
      </c>
      <c r="B212" s="5">
        <v>20508.012142708634</v>
      </c>
      <c r="C212" s="4">
        <v>244.53200000000001</v>
      </c>
    </row>
    <row r="213" spans="1:3" x14ac:dyDescent="0.2">
      <c r="A213" s="10" t="s">
        <v>467</v>
      </c>
      <c r="B213" s="5">
        <v>20305.932021281547</v>
      </c>
      <c r="C213" s="4">
        <v>33.850999999999999</v>
      </c>
    </row>
    <row r="214" spans="1:3" x14ac:dyDescent="0.2">
      <c r="A214" s="10" t="s">
        <v>468</v>
      </c>
      <c r="B214" s="5">
        <v>20105.872701068733</v>
      </c>
      <c r="C214" s="4">
        <v>124.97599999999998</v>
      </c>
    </row>
    <row r="215" spans="1:3" x14ac:dyDescent="0.2">
      <c r="A215" s="10" t="s">
        <v>469</v>
      </c>
      <c r="B215" s="5">
        <v>19907.813974058045</v>
      </c>
      <c r="C215" s="4">
        <v>30.206000000000003</v>
      </c>
    </row>
    <row r="216" spans="1:3" x14ac:dyDescent="0.2">
      <c r="A216" s="10" t="s">
        <v>470</v>
      </c>
      <c r="B216" s="5">
        <v>19711.735834317464</v>
      </c>
      <c r="C216" s="4">
        <v>181.83800000000002</v>
      </c>
    </row>
    <row r="217" spans="1:3" x14ac:dyDescent="0.2">
      <c r="A217" s="10" t="s">
        <v>471</v>
      </c>
      <c r="B217" s="5">
        <v>19517.61847597429</v>
      </c>
      <c r="C217" s="4">
        <v>56.45</v>
      </c>
    </row>
    <row r="218" spans="1:3" x14ac:dyDescent="0.2">
      <c r="A218" s="10" t="s">
        <v>472</v>
      </c>
      <c r="B218" s="5">
        <v>19325.442291214546</v>
      </c>
      <c r="C218" s="4">
        <v>89.25500000000001</v>
      </c>
    </row>
    <row r="219" spans="1:3" x14ac:dyDescent="0.2">
      <c r="A219" s="10" t="s">
        <v>96</v>
      </c>
      <c r="B219" s="5">
        <v>742500</v>
      </c>
      <c r="C219" s="4">
        <v>228</v>
      </c>
    </row>
    <row r="220" spans="1:3" x14ac:dyDescent="0.2">
      <c r="A220" s="10" t="s">
        <v>473</v>
      </c>
      <c r="B220" s="5">
        <v>19135.187868302401</v>
      </c>
      <c r="C220" s="4">
        <v>425.46980000000008</v>
      </c>
    </row>
    <row r="221" spans="1:3" x14ac:dyDescent="0.2">
      <c r="A221" s="10" t="s">
        <v>474</v>
      </c>
      <c r="B221" s="5">
        <v>18946.835989619376</v>
      </c>
      <c r="C221" s="4">
        <v>187.30550000000002</v>
      </c>
    </row>
    <row r="222" spans="1:3" x14ac:dyDescent="0.2">
      <c r="A222" s="10" t="s">
        <v>475</v>
      </c>
      <c r="B222" s="5">
        <v>18760.367629723183</v>
      </c>
      <c r="C222" s="4">
        <v>200.42750000000001</v>
      </c>
    </row>
    <row r="223" spans="1:3" x14ac:dyDescent="0.2">
      <c r="A223" s="10" t="s">
        <v>476</v>
      </c>
      <c r="B223" s="5">
        <v>18575.763953425951</v>
      </c>
      <c r="C223" s="4">
        <v>200.42750000000001</v>
      </c>
    </row>
    <row r="224" spans="1:3" x14ac:dyDescent="0.2">
      <c r="A224" s="10" t="s">
        <v>477</v>
      </c>
      <c r="B224" s="5">
        <v>18393.006313891692</v>
      </c>
      <c r="C224" s="4">
        <v>69.207499999999996</v>
      </c>
    </row>
    <row r="225" spans="1:3" x14ac:dyDescent="0.2">
      <c r="A225" s="10" t="s">
        <v>478</v>
      </c>
      <c r="B225" s="5">
        <v>18212.076250752776</v>
      </c>
      <c r="C225" s="4">
        <v>52.148899999999998</v>
      </c>
    </row>
    <row r="226" spans="1:3" x14ac:dyDescent="0.2">
      <c r="A226" s="10" t="s">
        <v>479</v>
      </c>
      <c r="B226" s="5">
        <v>18032.955488245247</v>
      </c>
      <c r="C226" s="4">
        <v>42.963500000000003</v>
      </c>
    </row>
    <row r="227" spans="1:3" x14ac:dyDescent="0.2">
      <c r="A227" s="10" t="s">
        <v>480</v>
      </c>
      <c r="B227" s="5">
        <v>17855.625933362793</v>
      </c>
      <c r="C227" s="4">
        <v>56.741600000000012</v>
      </c>
    </row>
    <row r="228" spans="1:3" x14ac:dyDescent="0.2">
      <c r="A228" s="10" t="s">
        <v>481</v>
      </c>
      <c r="B228" s="5">
        <v>17680.069674029164</v>
      </c>
      <c r="C228" s="4">
        <v>58.053800000000003</v>
      </c>
    </row>
    <row r="229" spans="1:3" x14ac:dyDescent="0.2">
      <c r="A229" s="10" t="s">
        <v>118</v>
      </c>
      <c r="B229" s="5">
        <v>531668</v>
      </c>
      <c r="C229" s="4">
        <v>510</v>
      </c>
    </row>
    <row r="230" spans="1:3" x14ac:dyDescent="0.2">
      <c r="A230" s="10" t="s">
        <v>482</v>
      </c>
      <c r="B230" s="5">
        <v>17506.268977288873</v>
      </c>
      <c r="C230" s="4">
        <v>114.47839999999999</v>
      </c>
    </row>
    <row r="231" spans="1:3" x14ac:dyDescent="0.2">
      <c r="A231" s="10" t="s">
        <v>483</v>
      </c>
      <c r="B231" s="5">
        <v>17334.206287515986</v>
      </c>
      <c r="C231" s="4">
        <v>14.751200000000001</v>
      </c>
    </row>
    <row r="232" spans="1:3" x14ac:dyDescent="0.2">
      <c r="A232" s="10" t="s">
        <v>484</v>
      </c>
      <c r="B232" s="5">
        <v>17163.864224640827</v>
      </c>
      <c r="C232" s="4">
        <v>40.995200000000004</v>
      </c>
    </row>
    <row r="233" spans="1:3" x14ac:dyDescent="0.2">
      <c r="A233" s="10" t="s">
        <v>175</v>
      </c>
      <c r="B233" s="5">
        <v>256700</v>
      </c>
      <c r="C233" s="4">
        <v>415</v>
      </c>
    </row>
    <row r="234" spans="1:3" x14ac:dyDescent="0.2">
      <c r="A234" s="10" t="s">
        <v>79</v>
      </c>
      <c r="B234" s="5">
        <v>1496489</v>
      </c>
      <c r="C234" s="4">
        <v>1153</v>
      </c>
    </row>
    <row r="235" spans="1:3" x14ac:dyDescent="0.2">
      <c r="A235" s="10" t="s">
        <v>485</v>
      </c>
      <c r="B235" s="5">
        <v>16995.225582394418</v>
      </c>
      <c r="C235" s="4">
        <v>69.863600000000005</v>
      </c>
    </row>
    <row r="236" spans="1:3" x14ac:dyDescent="0.2">
      <c r="A236" s="10" t="s">
        <v>486</v>
      </c>
      <c r="B236" s="5">
        <v>16828.273326570474</v>
      </c>
      <c r="C236" s="4">
        <v>96.7637</v>
      </c>
    </row>
    <row r="237" spans="1:3" x14ac:dyDescent="0.2">
      <c r="A237" s="10" t="s">
        <v>487</v>
      </c>
      <c r="B237" s="5">
        <v>16662.99059330477</v>
      </c>
      <c r="C237" s="4">
        <v>42.307400000000001</v>
      </c>
    </row>
    <row r="238" spans="1:3" x14ac:dyDescent="0.2">
      <c r="A238" s="10" t="s">
        <v>488</v>
      </c>
      <c r="B238" s="5">
        <v>16499.360687371722</v>
      </c>
      <c r="C238" s="4">
        <v>21.968300000000003</v>
      </c>
    </row>
    <row r="239" spans="1:3" x14ac:dyDescent="0.2">
      <c r="A239" s="10" t="s">
        <v>97</v>
      </c>
      <c r="B239" s="5">
        <v>729000</v>
      </c>
      <c r="C239" s="4">
        <v>247</v>
      </c>
    </row>
    <row r="240" spans="1:3" x14ac:dyDescent="0.2">
      <c r="A240" s="10" t="s">
        <v>489</v>
      </c>
      <c r="B240" s="5">
        <v>16337.367080498005</v>
      </c>
      <c r="C240" s="4">
        <v>27.217100000000006</v>
      </c>
    </row>
    <row r="241" spans="1:3" x14ac:dyDescent="0.2">
      <c r="A241" s="10" t="s">
        <v>490</v>
      </c>
      <c r="B241" s="5">
        <v>16176.993409693025</v>
      </c>
      <c r="C241" s="4">
        <v>67.89530000000002</v>
      </c>
    </row>
    <row r="242" spans="1:3" x14ac:dyDescent="0.2">
      <c r="A242" s="10" t="s">
        <v>491</v>
      </c>
      <c r="B242" s="5">
        <v>16018.223475596094</v>
      </c>
      <c r="C242" s="4">
        <v>37.058599999999998</v>
      </c>
    </row>
    <row r="243" spans="1:3" x14ac:dyDescent="0.2">
      <c r="A243" s="10" t="s">
        <v>492</v>
      </c>
      <c r="B243" s="5">
        <v>15861.041240840133</v>
      </c>
      <c r="C243" s="4">
        <v>170.90300000000002</v>
      </c>
    </row>
    <row r="244" spans="1:3" x14ac:dyDescent="0.2">
      <c r="A244" s="10" t="s">
        <v>493</v>
      </c>
      <c r="B244" s="5">
        <v>15705.430828431732</v>
      </c>
      <c r="C244" s="4">
        <v>22.624400000000005</v>
      </c>
    </row>
    <row r="245" spans="1:3" x14ac:dyDescent="0.2">
      <c r="A245" s="10" t="s">
        <v>494</v>
      </c>
      <c r="B245" s="5">
        <v>15551.376520147414</v>
      </c>
      <c r="C245" s="4">
        <v>167.6225</v>
      </c>
    </row>
    <row r="246" spans="1:3" x14ac:dyDescent="0.2">
      <c r="A246" s="10" t="s">
        <v>495</v>
      </c>
      <c r="B246" s="5">
        <v>15398.86275494594</v>
      </c>
      <c r="C246" s="4">
        <v>167.6225</v>
      </c>
    </row>
    <row r="247" spans="1:3" x14ac:dyDescent="0.2">
      <c r="A247" s="10" t="s">
        <v>496</v>
      </c>
      <c r="B247" s="5">
        <v>15247.874127396481</v>
      </c>
      <c r="C247" s="4">
        <v>51.492800000000003</v>
      </c>
    </row>
    <row r="248" spans="1:3" x14ac:dyDescent="0.2">
      <c r="A248" s="10" t="s">
        <v>497</v>
      </c>
      <c r="B248" s="5">
        <v>15098.395386122516</v>
      </c>
      <c r="C248" s="4">
        <v>20</v>
      </c>
    </row>
    <row r="249" spans="1:3" x14ac:dyDescent="0.2">
      <c r="A249" s="10" t="s">
        <v>498</v>
      </c>
      <c r="B249" s="5">
        <v>14950.411432261291</v>
      </c>
      <c r="C249" s="4">
        <v>48.868400000000001</v>
      </c>
    </row>
    <row r="250" spans="1:3" x14ac:dyDescent="0.2">
      <c r="A250" s="10" t="s">
        <v>499</v>
      </c>
      <c r="B250" s="5">
        <v>14803.907317938678</v>
      </c>
      <c r="C250" s="4">
        <v>113.82230000000001</v>
      </c>
    </row>
    <row r="251" spans="1:3" x14ac:dyDescent="0.2">
      <c r="A251" s="10" t="s">
        <v>500</v>
      </c>
      <c r="B251" s="5">
        <v>14658.868244759291</v>
      </c>
      <c r="C251" s="4">
        <v>50.180599999999998</v>
      </c>
    </row>
    <row r="252" spans="1:3" x14ac:dyDescent="0.2">
      <c r="A252" s="10" t="s">
        <v>501</v>
      </c>
      <c r="B252" s="5">
        <v>14515.279562311698</v>
      </c>
      <c r="C252" s="4">
        <v>42.307400000000001</v>
      </c>
    </row>
    <row r="253" spans="1:3" x14ac:dyDescent="0.2">
      <c r="A253" s="10" t="s">
        <v>502</v>
      </c>
      <c r="B253" s="5">
        <v>14373.126766688581</v>
      </c>
      <c r="C253" s="4">
        <v>496.98470000000015</v>
      </c>
    </row>
    <row r="254" spans="1:3" x14ac:dyDescent="0.2">
      <c r="A254" s="10" t="s">
        <v>150</v>
      </c>
      <c r="B254" s="5">
        <v>334128</v>
      </c>
      <c r="C254" s="4">
        <v>471</v>
      </c>
    </row>
    <row r="255" spans="1:3" x14ac:dyDescent="0.2">
      <c r="A255" s="10" t="s">
        <v>275</v>
      </c>
      <c r="B255" s="5">
        <v>125400</v>
      </c>
      <c r="C255" s="4">
        <v>29</v>
      </c>
    </row>
    <row r="256" spans="1:3" x14ac:dyDescent="0.2">
      <c r="A256" s="10" t="s">
        <v>503</v>
      </c>
      <c r="B256" s="5">
        <v>14232.395499021695</v>
      </c>
      <c r="C256" s="4">
        <v>31.153700000000001</v>
      </c>
    </row>
    <row r="257" spans="1:3" x14ac:dyDescent="0.2">
      <c r="A257" s="10" t="s">
        <v>504</v>
      </c>
      <c r="B257" s="5">
        <v>14093.071544031478</v>
      </c>
      <c r="C257" s="4">
        <v>220.11050000000003</v>
      </c>
    </row>
    <row r="258" spans="1:3" x14ac:dyDescent="0.2">
      <c r="A258" s="10" t="s">
        <v>124</v>
      </c>
      <c r="B258" s="5">
        <v>508632</v>
      </c>
      <c r="C258" s="4">
        <v>531</v>
      </c>
    </row>
    <row r="259" spans="1:3" x14ac:dyDescent="0.2">
      <c r="A259" s="10" t="s">
        <v>100</v>
      </c>
      <c r="B259" s="5">
        <v>706900</v>
      </c>
      <c r="C259" s="4">
        <v>168</v>
      </c>
    </row>
    <row r="260" spans="1:3" x14ac:dyDescent="0.2">
      <c r="A260" s="10" t="s">
        <v>505</v>
      </c>
      <c r="B260" s="5">
        <v>13955.140828591164</v>
      </c>
      <c r="C260" s="4">
        <v>51.492800000000003</v>
      </c>
    </row>
    <row r="261" spans="1:3" x14ac:dyDescent="0.2">
      <c r="A261" s="10" t="s">
        <v>506</v>
      </c>
      <c r="B261" s="5">
        <v>13818.589420305252</v>
      </c>
      <c r="C261" s="4">
        <v>20</v>
      </c>
    </row>
    <row r="262" spans="1:3" x14ac:dyDescent="0.2">
      <c r="A262" s="10" t="s">
        <v>507</v>
      </c>
      <c r="B262" s="5">
        <v>13683.4035261022</v>
      </c>
      <c r="C262" s="4">
        <v>53.461100000000009</v>
      </c>
    </row>
    <row r="263" spans="1:3" x14ac:dyDescent="0.2">
      <c r="A263" s="10" t="s">
        <v>508</v>
      </c>
      <c r="B263" s="5">
        <v>13549.569490841177</v>
      </c>
      <c r="C263" s="4">
        <v>50.180599999999998</v>
      </c>
    </row>
    <row r="264" spans="1:3" x14ac:dyDescent="0.2">
      <c r="A264" s="10" t="s">
        <v>509</v>
      </c>
      <c r="B264" s="5">
        <v>13417.073795932765</v>
      </c>
      <c r="C264" s="4">
        <v>18.687799999999999</v>
      </c>
    </row>
    <row r="265" spans="1:3" x14ac:dyDescent="0.2">
      <c r="A265" s="10" t="s">
        <v>510</v>
      </c>
      <c r="B265" s="5">
        <v>13285.903057973437</v>
      </c>
      <c r="C265" s="4">
        <v>31.809800000000006</v>
      </c>
    </row>
    <row r="266" spans="1:3" x14ac:dyDescent="0.2">
      <c r="A266" s="10" t="s">
        <v>511</v>
      </c>
      <c r="B266" s="5">
        <v>13156.044027393702</v>
      </c>
      <c r="C266" s="4">
        <v>52.805000000000007</v>
      </c>
    </row>
    <row r="267" spans="1:3" x14ac:dyDescent="0.2">
      <c r="A267" s="10" t="s">
        <v>512</v>
      </c>
      <c r="B267" s="5">
        <v>13027.483587119765</v>
      </c>
      <c r="C267" s="4">
        <v>28.529299999999999</v>
      </c>
    </row>
    <row r="268" spans="1:3" x14ac:dyDescent="0.2">
      <c r="A268" s="10" t="s">
        <v>513</v>
      </c>
      <c r="B268" s="5">
        <v>12900.208751248567</v>
      </c>
      <c r="C268" s="4">
        <v>93.483199999999997</v>
      </c>
    </row>
    <row r="269" spans="1:3" x14ac:dyDescent="0.2">
      <c r="A269" s="10" t="s">
        <v>514</v>
      </c>
      <c r="B269" s="5">
        <v>12774.20666373608</v>
      </c>
      <c r="C269" s="4">
        <v>106.60520000000002</v>
      </c>
    </row>
    <row r="270" spans="1:3" x14ac:dyDescent="0.2">
      <c r="A270" s="10" t="s">
        <v>515</v>
      </c>
      <c r="B270" s="5">
        <v>12649.46459709872</v>
      </c>
      <c r="C270" s="4">
        <v>33.778099999999995</v>
      </c>
    </row>
    <row r="271" spans="1:3" x14ac:dyDescent="0.2">
      <c r="A271" s="10" t="s">
        <v>516</v>
      </c>
      <c r="B271" s="5">
        <v>12525.969951127732</v>
      </c>
      <c r="C271" s="4">
        <v>75.112400000000008</v>
      </c>
    </row>
    <row r="272" spans="1:3" x14ac:dyDescent="0.2">
      <c r="A272" s="10" t="s">
        <v>517</v>
      </c>
      <c r="B272" s="5">
        <v>12403.710251616454</v>
      </c>
      <c r="C272" s="4">
        <v>29.185400000000005</v>
      </c>
    </row>
    <row r="273" spans="1:3" x14ac:dyDescent="0.2">
      <c r="A273" s="10" t="s">
        <v>518</v>
      </c>
      <c r="B273" s="5">
        <v>12282.67314910029</v>
      </c>
      <c r="C273" s="4">
        <v>25.904900000000005</v>
      </c>
    </row>
    <row r="274" spans="1:3" x14ac:dyDescent="0.2">
      <c r="A274" s="10" t="s">
        <v>47</v>
      </c>
      <c r="B274" s="5">
        <v>6291000</v>
      </c>
      <c r="C274" s="4">
        <v>1950</v>
      </c>
    </row>
    <row r="275" spans="1:3" x14ac:dyDescent="0.2">
      <c r="A275" s="10" t="s">
        <v>519</v>
      </c>
      <c r="B275" s="5">
        <v>12162.846417609288</v>
      </c>
      <c r="C275" s="4">
        <v>18.687799999999999</v>
      </c>
    </row>
    <row r="276" spans="1:3" x14ac:dyDescent="0.2">
      <c r="A276" s="10" t="s">
        <v>60</v>
      </c>
      <c r="B276" s="5">
        <v>3405547</v>
      </c>
      <c r="C276" s="4">
        <v>1261</v>
      </c>
    </row>
    <row r="277" spans="1:3" x14ac:dyDescent="0.2">
      <c r="A277" s="10" t="s">
        <v>520</v>
      </c>
      <c r="B277" s="5">
        <v>12044.217953433195</v>
      </c>
      <c r="C277" s="4">
        <v>165.65420000000003</v>
      </c>
    </row>
    <row r="278" spans="1:3" x14ac:dyDescent="0.2">
      <c r="A278" s="10" t="s">
        <v>52</v>
      </c>
      <c r="B278" s="5">
        <v>4419590</v>
      </c>
      <c r="C278" s="4">
        <v>1987</v>
      </c>
    </row>
    <row r="279" spans="1:3" x14ac:dyDescent="0.2">
      <c r="A279" s="10" t="s">
        <v>521</v>
      </c>
      <c r="B279" s="5">
        <v>11926.775773898864</v>
      </c>
      <c r="C279" s="4">
        <v>14.751200000000001</v>
      </c>
    </row>
    <row r="280" spans="1:3" x14ac:dyDescent="0.2">
      <c r="A280" s="10" t="s">
        <v>522</v>
      </c>
      <c r="B280" s="5">
        <v>11810.508016159874</v>
      </c>
      <c r="C280" s="4">
        <v>28.529299999999999</v>
      </c>
    </row>
    <row r="281" spans="1:3" x14ac:dyDescent="0.2">
      <c r="A281" s="10" t="s">
        <v>523</v>
      </c>
      <c r="B281" s="5">
        <v>11695.402935998276</v>
      </c>
      <c r="C281" s="4">
        <v>40.995200000000004</v>
      </c>
    </row>
    <row r="282" spans="1:3" x14ac:dyDescent="0.2">
      <c r="A282" s="10" t="s">
        <v>524</v>
      </c>
      <c r="B282" s="5">
        <v>11581.448906638294</v>
      </c>
      <c r="C282" s="4">
        <v>48.868400000000001</v>
      </c>
    </row>
    <row r="283" spans="1:3" x14ac:dyDescent="0.2">
      <c r="A283" s="10" t="s">
        <v>525</v>
      </c>
      <c r="B283" s="5">
        <v>11468.634417571911</v>
      </c>
      <c r="C283" s="4">
        <v>58.053800000000003</v>
      </c>
    </row>
    <row r="284" spans="1:3" x14ac:dyDescent="0.2">
      <c r="A284" s="10" t="s">
        <v>526</v>
      </c>
      <c r="B284" s="5">
        <v>11356.948073396192</v>
      </c>
      <c r="C284" s="4">
        <v>222.0788</v>
      </c>
    </row>
    <row r="285" spans="1:3" x14ac:dyDescent="0.2">
      <c r="A285" s="10" t="s">
        <v>527</v>
      </c>
      <c r="B285" s="5">
        <v>11246.378592662229</v>
      </c>
      <c r="C285" s="4">
        <v>32.465900000000005</v>
      </c>
    </row>
    <row r="286" spans="1:3" x14ac:dyDescent="0.2">
      <c r="A286" s="10" t="s">
        <v>528</v>
      </c>
      <c r="B286" s="5">
        <v>11136.914806735607</v>
      </c>
      <c r="C286" s="4">
        <v>114.47839999999999</v>
      </c>
    </row>
    <row r="287" spans="1:3" x14ac:dyDescent="0.2">
      <c r="A287" s="10" t="s">
        <v>140</v>
      </c>
      <c r="B287" s="5">
        <v>364294</v>
      </c>
      <c r="C287" s="4">
        <v>553</v>
      </c>
    </row>
    <row r="288" spans="1:3" x14ac:dyDescent="0.2">
      <c r="A288" s="10" t="s">
        <v>529</v>
      </c>
      <c r="B288" s="5">
        <v>11028.54565866825</v>
      </c>
      <c r="C288" s="4">
        <v>29.185400000000005</v>
      </c>
    </row>
    <row r="289" spans="1:3" x14ac:dyDescent="0.2">
      <c r="A289" s="10" t="s">
        <v>530</v>
      </c>
      <c r="B289" s="5">
        <v>10921.260202081568</v>
      </c>
      <c r="C289" s="4">
        <v>165.65420000000003</v>
      </c>
    </row>
    <row r="290" spans="1:3" x14ac:dyDescent="0.2">
      <c r="A290" s="10" t="s">
        <v>91</v>
      </c>
      <c r="B290" s="5">
        <v>855800</v>
      </c>
      <c r="C290" s="4">
        <v>1145</v>
      </c>
    </row>
    <row r="291" spans="1:3" x14ac:dyDescent="0.2">
      <c r="A291" s="10" t="s">
        <v>531</v>
      </c>
      <c r="B291" s="5">
        <v>10815.047600060752</v>
      </c>
      <c r="C291" s="4">
        <v>52.805000000000007</v>
      </c>
    </row>
    <row r="292" spans="1:3" x14ac:dyDescent="0.2">
      <c r="A292" s="10" t="s">
        <v>165</v>
      </c>
      <c r="B292" s="5">
        <v>287062</v>
      </c>
      <c r="C292" s="4">
        <v>70</v>
      </c>
    </row>
    <row r="293" spans="1:3" x14ac:dyDescent="0.2">
      <c r="A293" s="10" t="s">
        <v>532</v>
      </c>
      <c r="B293" s="5">
        <v>10709.897124060144</v>
      </c>
      <c r="C293" s="4">
        <v>82.32950000000001</v>
      </c>
    </row>
    <row r="294" spans="1:3" x14ac:dyDescent="0.2">
      <c r="A294" s="10" t="s">
        <v>533</v>
      </c>
      <c r="B294" s="5">
        <v>10605.798152819543</v>
      </c>
      <c r="C294" s="4">
        <v>384.92282000000006</v>
      </c>
    </row>
    <row r="295" spans="1:3" x14ac:dyDescent="0.2">
      <c r="A295" s="10" t="s">
        <v>534</v>
      </c>
      <c r="B295" s="5">
        <v>10502.740171291347</v>
      </c>
      <c r="C295" s="4">
        <v>170.57495000000003</v>
      </c>
    </row>
    <row r="296" spans="1:3" x14ac:dyDescent="0.2">
      <c r="A296" s="10" t="s">
        <v>128</v>
      </c>
      <c r="B296" s="5">
        <v>430000</v>
      </c>
      <c r="C296" s="4">
        <v>445</v>
      </c>
    </row>
    <row r="297" spans="1:3" x14ac:dyDescent="0.2">
      <c r="A297" s="10" t="s">
        <v>535</v>
      </c>
      <c r="B297" s="5">
        <v>10400.712769578433</v>
      </c>
      <c r="C297" s="4">
        <v>182.38475000000003</v>
      </c>
    </row>
    <row r="298" spans="1:3" x14ac:dyDescent="0.2">
      <c r="A298" s="10" t="s">
        <v>259</v>
      </c>
      <c r="B298" s="5">
        <v>143105</v>
      </c>
      <c r="C298" s="4">
        <v>747</v>
      </c>
    </row>
    <row r="299" spans="1:3" x14ac:dyDescent="0.2">
      <c r="A299" s="10" t="s">
        <v>536</v>
      </c>
      <c r="B299" s="5">
        <v>10299.705641882649</v>
      </c>
      <c r="C299" s="4">
        <v>182.38475000000003</v>
      </c>
    </row>
    <row r="300" spans="1:3" x14ac:dyDescent="0.2">
      <c r="A300" s="10" t="s">
        <v>537</v>
      </c>
      <c r="B300" s="5">
        <v>10199.708585463823</v>
      </c>
      <c r="C300" s="4">
        <v>64.286749999999998</v>
      </c>
    </row>
    <row r="301" spans="1:3" x14ac:dyDescent="0.2">
      <c r="A301" s="10" t="s">
        <v>538</v>
      </c>
      <c r="B301" s="5">
        <v>10100.711499609184</v>
      </c>
      <c r="C301" s="4">
        <v>48.934010000000001</v>
      </c>
    </row>
    <row r="302" spans="1:3" x14ac:dyDescent="0.2">
      <c r="A302" s="10" t="s">
        <v>202</v>
      </c>
      <c r="B302" s="5">
        <v>219000</v>
      </c>
      <c r="C302" s="4">
        <v>43</v>
      </c>
    </row>
    <row r="303" spans="1:3" x14ac:dyDescent="0.2">
      <c r="A303" s="10" t="s">
        <v>264</v>
      </c>
      <c r="B303" s="5">
        <v>137700</v>
      </c>
      <c r="C303" s="4">
        <v>71</v>
      </c>
    </row>
    <row r="304" spans="1:3" x14ac:dyDescent="0.2">
      <c r="A304" s="10" t="s">
        <v>139</v>
      </c>
      <c r="B304" s="5">
        <v>365000</v>
      </c>
      <c r="C304" s="4">
        <v>926</v>
      </c>
    </row>
    <row r="305" spans="1:3" x14ac:dyDescent="0.2">
      <c r="A305" s="10" t="s">
        <v>253</v>
      </c>
      <c r="B305" s="5">
        <v>147856</v>
      </c>
      <c r="C305" s="4">
        <v>20</v>
      </c>
    </row>
    <row r="306" spans="1:3" x14ac:dyDescent="0.2">
      <c r="A306" s="10" t="s">
        <v>136</v>
      </c>
      <c r="B306" s="5">
        <v>380969</v>
      </c>
      <c r="C306" s="4">
        <v>197</v>
      </c>
    </row>
    <row r="307" spans="1:3" x14ac:dyDescent="0.2">
      <c r="A307" s="10" t="s">
        <v>273</v>
      </c>
      <c r="B307" s="5">
        <v>129717</v>
      </c>
      <c r="C307" s="4">
        <v>104</v>
      </c>
    </row>
    <row r="308" spans="1:3" x14ac:dyDescent="0.2">
      <c r="A308" s="10" t="s">
        <v>257</v>
      </c>
      <c r="B308" s="5">
        <v>143300</v>
      </c>
      <c r="C308" s="4">
        <v>148</v>
      </c>
    </row>
    <row r="309" spans="1:3" x14ac:dyDescent="0.2">
      <c r="A309" s="10" t="s">
        <v>69</v>
      </c>
      <c r="B309" s="5">
        <v>2288542</v>
      </c>
      <c r="C309" s="4">
        <v>635</v>
      </c>
    </row>
    <row r="310" spans="1:3" x14ac:dyDescent="0.2">
      <c r="A310" s="10" t="s">
        <v>82</v>
      </c>
      <c r="B310" s="5">
        <v>1196038</v>
      </c>
      <c r="C310" s="4">
        <v>559</v>
      </c>
    </row>
    <row r="311" spans="1:3" x14ac:dyDescent="0.2">
      <c r="A311" s="10" t="s">
        <v>57</v>
      </c>
      <c r="B311" s="5">
        <v>3531186</v>
      </c>
      <c r="C311" s="4">
        <v>4506</v>
      </c>
    </row>
    <row r="312" spans="1:3" x14ac:dyDescent="0.2">
      <c r="A312" s="10" t="s">
        <v>134</v>
      </c>
      <c r="B312" s="5">
        <v>401000</v>
      </c>
      <c r="C312" s="4">
        <v>80</v>
      </c>
    </row>
    <row r="313" spans="1:3" x14ac:dyDescent="0.2">
      <c r="A313" s="10" t="s">
        <v>239</v>
      </c>
      <c r="B313" s="5">
        <v>161809</v>
      </c>
      <c r="C313" s="4">
        <v>12</v>
      </c>
    </row>
    <row r="314" spans="1:3" x14ac:dyDescent="0.2">
      <c r="A314" s="10" t="s">
        <v>101</v>
      </c>
      <c r="B314" s="5">
        <v>700166</v>
      </c>
      <c r="C314" s="4">
        <v>543</v>
      </c>
    </row>
    <row r="315" spans="1:3" x14ac:dyDescent="0.2">
      <c r="A315" s="10" t="s">
        <v>67</v>
      </c>
      <c r="B315" s="5">
        <v>2548000</v>
      </c>
      <c r="C315" s="4">
        <v>1599</v>
      </c>
    </row>
    <row r="316" spans="1:3" x14ac:dyDescent="0.2">
      <c r="A316" s="10" t="s">
        <v>121</v>
      </c>
      <c r="B316" s="5">
        <v>519600</v>
      </c>
      <c r="C316" s="4">
        <v>530</v>
      </c>
    </row>
    <row r="317" spans="1:3" x14ac:dyDescent="0.2">
      <c r="A317" s="10" t="s">
        <v>51</v>
      </c>
      <c r="B317" s="5">
        <v>4708587</v>
      </c>
      <c r="C317" s="4">
        <v>5200</v>
      </c>
    </row>
    <row r="318" spans="1:3" x14ac:dyDescent="0.2">
      <c r="A318" s="10" t="s">
        <v>222</v>
      </c>
      <c r="B318" s="5">
        <v>183600</v>
      </c>
      <c r="C318" s="4">
        <v>153</v>
      </c>
    </row>
    <row r="319" spans="1:3" x14ac:dyDescent="0.2">
      <c r="A319" s="10" t="s">
        <v>46</v>
      </c>
      <c r="B319" s="5">
        <v>7624140</v>
      </c>
      <c r="C319" s="4">
        <v>8431</v>
      </c>
    </row>
    <row r="320" spans="1:3" x14ac:dyDescent="0.2">
      <c r="A320" s="10" t="s">
        <v>228</v>
      </c>
      <c r="B320" s="5">
        <v>181300</v>
      </c>
      <c r="C320" s="4">
        <v>257</v>
      </c>
    </row>
    <row r="321" spans="1:3" x14ac:dyDescent="0.2">
      <c r="A321" s="10" t="s">
        <v>234</v>
      </c>
      <c r="B321" s="5">
        <v>167593</v>
      </c>
      <c r="C321" s="4">
        <v>69</v>
      </c>
    </row>
    <row r="322" spans="1:3" x14ac:dyDescent="0.2">
      <c r="A322" s="10" t="s">
        <v>123</v>
      </c>
      <c r="B322" s="5">
        <v>511900</v>
      </c>
      <c r="C322" s="4">
        <v>742</v>
      </c>
    </row>
    <row r="323" spans="1:3" x14ac:dyDescent="0.2">
      <c r="A323" s="10" t="s">
        <v>94</v>
      </c>
      <c r="B323" s="5">
        <v>753340</v>
      </c>
      <c r="C323" s="4">
        <v>433</v>
      </c>
    </row>
    <row r="324" spans="1:3" x14ac:dyDescent="0.2">
      <c r="A324" s="10" t="s">
        <v>258</v>
      </c>
      <c r="B324" s="5">
        <v>143200</v>
      </c>
      <c r="C324" s="4">
        <v>54</v>
      </c>
    </row>
    <row r="325" spans="1:3" x14ac:dyDescent="0.2">
      <c r="A325" s="10" t="s">
        <v>127</v>
      </c>
      <c r="B325" s="5">
        <v>457330</v>
      </c>
      <c r="C325" s="4">
        <v>176</v>
      </c>
    </row>
    <row r="326" spans="1:3" x14ac:dyDescent="0.2">
      <c r="A326" s="10" t="s">
        <v>282</v>
      </c>
      <c r="B326" s="5">
        <v>122800</v>
      </c>
      <c r="C326" s="4">
        <v>78</v>
      </c>
    </row>
    <row r="327" spans="1:3" x14ac:dyDescent="0.2">
      <c r="A327" s="10" t="s">
        <v>196</v>
      </c>
      <c r="B327" s="5">
        <v>228600</v>
      </c>
      <c r="C327" s="4">
        <v>214</v>
      </c>
    </row>
    <row r="328" spans="1:3" x14ac:dyDescent="0.2">
      <c r="A328" s="10" t="s">
        <v>267</v>
      </c>
      <c r="B328" s="5">
        <v>135586</v>
      </c>
      <c r="C328" s="4">
        <v>38</v>
      </c>
    </row>
    <row r="329" spans="1:3" x14ac:dyDescent="0.2">
      <c r="A329" s="10" t="s">
        <v>105</v>
      </c>
      <c r="B329" s="5">
        <v>648528</v>
      </c>
      <c r="C329" s="4">
        <v>943</v>
      </c>
    </row>
    <row r="330" spans="1:3" x14ac:dyDescent="0.2">
      <c r="A330" s="10" t="s">
        <v>242</v>
      </c>
      <c r="B330" s="5">
        <v>158300</v>
      </c>
      <c r="C330" s="4">
        <v>137</v>
      </c>
    </row>
    <row r="331" spans="1:3" x14ac:dyDescent="0.2">
      <c r="A331" s="10" t="s">
        <v>81</v>
      </c>
      <c r="B331" s="5">
        <v>1319491</v>
      </c>
      <c r="C331" s="4">
        <v>1215</v>
      </c>
    </row>
    <row r="332" spans="1:3" x14ac:dyDescent="0.2">
      <c r="A332" s="10" t="s">
        <v>167</v>
      </c>
      <c r="B332" s="5">
        <v>280000</v>
      </c>
      <c r="C332" s="4">
        <v>66</v>
      </c>
    </row>
    <row r="333" spans="1:3" x14ac:dyDescent="0.2">
      <c r="A333" s="10" t="s">
        <v>198</v>
      </c>
      <c r="B333" s="5">
        <v>223243</v>
      </c>
      <c r="C333" s="4">
        <v>29</v>
      </c>
    </row>
    <row r="334" spans="1:3" x14ac:dyDescent="0.2">
      <c r="A334" s="10" t="s">
        <v>280</v>
      </c>
      <c r="B334" s="5">
        <v>123200</v>
      </c>
      <c r="C334" s="4">
        <v>52</v>
      </c>
    </row>
    <row r="335" spans="1:3" x14ac:dyDescent="0.2">
      <c r="A335" s="10" t="s">
        <v>277</v>
      </c>
      <c r="B335" s="5">
        <v>124200</v>
      </c>
      <c r="C335" s="4">
        <v>242</v>
      </c>
    </row>
    <row r="336" spans="1:3" x14ac:dyDescent="0.2">
      <c r="A336" s="10" t="s">
        <v>171</v>
      </c>
      <c r="B336" s="5">
        <v>267077</v>
      </c>
      <c r="C336" s="4">
        <v>177</v>
      </c>
    </row>
    <row r="337" spans="1:3" x14ac:dyDescent="0.2">
      <c r="A337" s="10" t="s">
        <v>233</v>
      </c>
      <c r="B337" s="5">
        <v>168700</v>
      </c>
      <c r="C337" s="4">
        <v>95</v>
      </c>
    </row>
    <row r="338" spans="1:3" x14ac:dyDescent="0.2">
      <c r="A338" s="10" t="s">
        <v>156</v>
      </c>
      <c r="B338" s="5">
        <v>310700</v>
      </c>
      <c r="C338" s="4">
        <v>265</v>
      </c>
    </row>
    <row r="339" spans="1:3" x14ac:dyDescent="0.2">
      <c r="A339" s="10" t="s">
        <v>176</v>
      </c>
      <c r="B339" s="5">
        <v>253000</v>
      </c>
      <c r="C339" s="4">
        <v>173</v>
      </c>
    </row>
    <row r="340" spans="1:3" x14ac:dyDescent="0.2">
      <c r="A340" s="10" t="s">
        <v>279</v>
      </c>
      <c r="B340" s="5">
        <v>124000</v>
      </c>
      <c r="C340" s="4">
        <v>86</v>
      </c>
    </row>
    <row r="341" spans="1:3" x14ac:dyDescent="0.2">
      <c r="A341" s="10" t="s">
        <v>161</v>
      </c>
      <c r="B341" s="5">
        <v>299200</v>
      </c>
      <c r="C341" s="4">
        <v>550</v>
      </c>
    </row>
    <row r="342" spans="1:3" x14ac:dyDescent="0.2">
      <c r="A342" s="10" t="s">
        <v>271</v>
      </c>
      <c r="B342" s="5">
        <v>132400</v>
      </c>
      <c r="C342" s="4">
        <v>152</v>
      </c>
    </row>
    <row r="343" spans="1:3" x14ac:dyDescent="0.2">
      <c r="A343" s="10" t="s">
        <v>75</v>
      </c>
      <c r="B343" s="5">
        <v>1740189</v>
      </c>
      <c r="C343" s="4">
        <v>484</v>
      </c>
    </row>
    <row r="344" spans="1:3" x14ac:dyDescent="0.2">
      <c r="A344" s="10" t="s">
        <v>272</v>
      </c>
      <c r="B344" s="5">
        <v>131633</v>
      </c>
      <c r="C344" s="4">
        <v>41</v>
      </c>
    </row>
    <row r="345" spans="1:3" x14ac:dyDescent="0.2">
      <c r="A345" s="10" t="s">
        <v>278</v>
      </c>
      <c r="B345" s="5">
        <v>124200</v>
      </c>
      <c r="C345" s="4">
        <v>12</v>
      </c>
    </row>
    <row r="346" spans="1:3" x14ac:dyDescent="0.2">
      <c r="A346" s="10" t="s">
        <v>274</v>
      </c>
      <c r="B346" s="5">
        <v>127641</v>
      </c>
      <c r="C346" s="4">
        <v>34</v>
      </c>
    </row>
    <row r="347" spans="1:3" x14ac:dyDescent="0.2">
      <c r="A347" s="10" t="s">
        <v>283</v>
      </c>
      <c r="B347" s="5">
        <v>122200</v>
      </c>
      <c r="C347" s="4">
        <v>328</v>
      </c>
    </row>
    <row r="348" spans="1:3" x14ac:dyDescent="0.2">
      <c r="A348" s="10" t="s">
        <v>160</v>
      </c>
      <c r="B348" s="5">
        <v>300500</v>
      </c>
      <c r="C348" s="4">
        <v>47</v>
      </c>
    </row>
    <row r="349" spans="1:3" x14ac:dyDescent="0.2">
      <c r="A349" s="10" t="s">
        <v>70</v>
      </c>
      <c r="B349" s="5">
        <v>2164807</v>
      </c>
      <c r="C349" s="4">
        <v>1805</v>
      </c>
    </row>
    <row r="350" spans="1:3" x14ac:dyDescent="0.2">
      <c r="A350" s="10" t="s">
        <v>92</v>
      </c>
      <c r="B350" s="5">
        <v>829300</v>
      </c>
      <c r="C350" s="4">
        <v>344</v>
      </c>
    </row>
    <row r="351" spans="1:3" x14ac:dyDescent="0.2">
      <c r="A351" s="10" t="s">
        <v>206</v>
      </c>
      <c r="B351" s="5">
        <v>209174</v>
      </c>
      <c r="C351" s="4">
        <v>73</v>
      </c>
    </row>
    <row r="352" spans="1:3" x14ac:dyDescent="0.2">
      <c r="A352" s="10" t="s">
        <v>266</v>
      </c>
      <c r="B352" s="5">
        <v>136400</v>
      </c>
      <c r="C352" s="4">
        <v>18</v>
      </c>
    </row>
    <row r="353" spans="1:3" x14ac:dyDescent="0.2">
      <c r="A353" s="10" t="s">
        <v>189</v>
      </c>
      <c r="B353" s="5">
        <v>237114</v>
      </c>
      <c r="C353" s="4">
        <v>368</v>
      </c>
    </row>
    <row r="354" spans="1:3" x14ac:dyDescent="0.2">
      <c r="A354" s="10" t="s">
        <v>146</v>
      </c>
      <c r="B354" s="5">
        <v>342478</v>
      </c>
      <c r="C354" s="4">
        <v>548</v>
      </c>
    </row>
    <row r="355" spans="1:3" x14ac:dyDescent="0.2">
      <c r="A355" s="10" t="s">
        <v>62</v>
      </c>
      <c r="B355" s="5">
        <v>3255000</v>
      </c>
      <c r="C355" s="4">
        <v>1604</v>
      </c>
    </row>
    <row r="356" spans="1:3" x14ac:dyDescent="0.2">
      <c r="A356" s="10" t="s">
        <v>109</v>
      </c>
      <c r="B356" s="5">
        <v>614500</v>
      </c>
      <c r="C356" s="4">
        <v>313</v>
      </c>
    </row>
    <row r="357" spans="1:3" x14ac:dyDescent="0.2">
      <c r="A357" s="10" t="s">
        <v>287</v>
      </c>
      <c r="B357" s="5">
        <v>122000</v>
      </c>
      <c r="C357" s="4">
        <v>70</v>
      </c>
    </row>
    <row r="358" spans="1:3" x14ac:dyDescent="0.2">
      <c r="A358" s="10" t="s">
        <v>235</v>
      </c>
      <c r="B358" s="5">
        <v>166500</v>
      </c>
      <c r="C358" s="4">
        <v>55</v>
      </c>
    </row>
    <row r="359" spans="1:3" x14ac:dyDescent="0.2">
      <c r="A359" s="10" t="s">
        <v>245</v>
      </c>
      <c r="B359" s="5">
        <v>151600</v>
      </c>
      <c r="C359" s="4">
        <v>31</v>
      </c>
    </row>
    <row r="360" spans="1:3" x14ac:dyDescent="0.2">
      <c r="A360" s="10" t="s">
        <v>61</v>
      </c>
      <c r="B360" s="5">
        <v>3338150</v>
      </c>
      <c r="C360" s="4">
        <v>2252</v>
      </c>
    </row>
    <row r="361" spans="1:3" x14ac:dyDescent="0.2">
      <c r="A361" s="10" t="s">
        <v>270</v>
      </c>
      <c r="B361" s="5">
        <v>132500</v>
      </c>
      <c r="C361" s="4">
        <v>132</v>
      </c>
    </row>
    <row r="362" spans="1:3" x14ac:dyDescent="0.2">
      <c r="A362" s="10" t="s">
        <v>117</v>
      </c>
      <c r="B362" s="5">
        <v>539000</v>
      </c>
      <c r="C362" s="4">
        <v>818</v>
      </c>
    </row>
    <row r="363" spans="1:3" x14ac:dyDescent="0.2">
      <c r="A363" s="10" t="s">
        <v>104</v>
      </c>
      <c r="B363" s="5">
        <v>654300</v>
      </c>
      <c r="C363" s="4">
        <v>262</v>
      </c>
    </row>
    <row r="364" spans="1:3" x14ac:dyDescent="0.2">
      <c r="A364" s="10" t="s">
        <v>102</v>
      </c>
      <c r="B364" s="5">
        <v>675000</v>
      </c>
      <c r="C364" s="4">
        <v>1046</v>
      </c>
    </row>
    <row r="365" spans="1:3" x14ac:dyDescent="0.2">
      <c r="A365" s="10" t="s">
        <v>147</v>
      </c>
      <c r="B365" s="5">
        <v>339500</v>
      </c>
      <c r="C365" s="4">
        <v>384</v>
      </c>
    </row>
    <row r="366" spans="1:3" x14ac:dyDescent="0.2">
      <c r="A366" s="10" t="s">
        <v>227</v>
      </c>
      <c r="B366" s="5">
        <v>182000</v>
      </c>
      <c r="C366" s="4">
        <v>17</v>
      </c>
    </row>
    <row r="367" spans="1:3" x14ac:dyDescent="0.2">
      <c r="A367" s="10" t="s">
        <v>72</v>
      </c>
      <c r="B367" s="5">
        <v>2018700</v>
      </c>
      <c r="C367" s="4">
        <v>2450</v>
      </c>
    </row>
    <row r="368" spans="1:3" x14ac:dyDescent="0.2">
      <c r="A368" s="10" t="s">
        <v>132</v>
      </c>
      <c r="B368" s="5">
        <v>414335</v>
      </c>
      <c r="C368" s="4">
        <v>130</v>
      </c>
    </row>
    <row r="369" spans="1:3" x14ac:dyDescent="0.2">
      <c r="A369" s="10" t="s">
        <v>237</v>
      </c>
      <c r="B369" s="5">
        <v>164000</v>
      </c>
      <c r="C369" s="4">
        <v>78</v>
      </c>
    </row>
    <row r="370" spans="1:3" x14ac:dyDescent="0.2">
      <c r="A370" s="10" t="s">
        <v>210</v>
      </c>
      <c r="B370" s="5">
        <v>205900</v>
      </c>
      <c r="C370" s="4">
        <v>190</v>
      </c>
    </row>
    <row r="371" spans="1:3" x14ac:dyDescent="0.2">
      <c r="A371" s="10" t="s">
        <v>54</v>
      </c>
      <c r="B371" s="5">
        <v>4001490</v>
      </c>
      <c r="C371" s="4">
        <v>4270</v>
      </c>
    </row>
    <row r="372" spans="1:3" x14ac:dyDescent="0.2">
      <c r="A372" s="10" t="s">
        <v>260</v>
      </c>
      <c r="B372" s="5">
        <v>143023</v>
      </c>
      <c r="C372" s="4">
        <v>37</v>
      </c>
    </row>
    <row r="373" spans="1:3" x14ac:dyDescent="0.2">
      <c r="A373" s="10" t="s">
        <v>98</v>
      </c>
      <c r="B373" s="5">
        <v>708143</v>
      </c>
      <c r="C373" s="4">
        <v>294</v>
      </c>
    </row>
    <row r="374" spans="1:3" x14ac:dyDescent="0.2">
      <c r="A374" s="10" t="s">
        <v>130</v>
      </c>
      <c r="B374" s="5">
        <v>421203</v>
      </c>
      <c r="C374" s="4">
        <v>354</v>
      </c>
    </row>
    <row r="375" spans="1:3" x14ac:dyDescent="0.2">
      <c r="A375" s="10" t="s">
        <v>236</v>
      </c>
      <c r="B375" s="5">
        <v>165400</v>
      </c>
      <c r="C375" s="4">
        <v>76</v>
      </c>
    </row>
    <row r="376" spans="1:3" x14ac:dyDescent="0.2">
      <c r="A376" s="10" t="s">
        <v>255</v>
      </c>
      <c r="B376" s="5">
        <v>145505</v>
      </c>
      <c r="C376" s="4">
        <v>66</v>
      </c>
    </row>
    <row r="377" spans="1:3" x14ac:dyDescent="0.2">
      <c r="A377" s="10" t="s">
        <v>226</v>
      </c>
      <c r="B377" s="5">
        <v>182700</v>
      </c>
      <c r="C377" s="4">
        <v>88</v>
      </c>
    </row>
    <row r="378" spans="1:3" x14ac:dyDescent="0.2">
      <c r="A378" s="10" t="s">
        <v>205</v>
      </c>
      <c r="B378" s="5">
        <v>211800</v>
      </c>
      <c r="C378" s="4">
        <v>35</v>
      </c>
    </row>
    <row r="379" spans="1:3" x14ac:dyDescent="0.2">
      <c r="A379" s="10" t="s">
        <v>58</v>
      </c>
      <c r="B379" s="5">
        <v>3500000</v>
      </c>
      <c r="C379" s="4">
        <v>4250</v>
      </c>
    </row>
    <row r="380" spans="1:3" x14ac:dyDescent="0.2">
      <c r="A380" s="10" t="s">
        <v>99</v>
      </c>
      <c r="B380" s="5">
        <v>707000</v>
      </c>
      <c r="C380" s="4">
        <v>256</v>
      </c>
    </row>
    <row r="381" spans="1:3" x14ac:dyDescent="0.2">
      <c r="A381" s="10" t="s">
        <v>268</v>
      </c>
      <c r="B381" s="5">
        <v>133700</v>
      </c>
      <c r="C381" s="4">
        <v>70</v>
      </c>
    </row>
    <row r="382" spans="1:3" x14ac:dyDescent="0.2">
      <c r="A382" s="10" t="s">
        <v>114</v>
      </c>
      <c r="B382" s="5">
        <v>559700</v>
      </c>
      <c r="C382" s="4">
        <v>1060</v>
      </c>
    </row>
    <row r="383" spans="1:3" x14ac:dyDescent="0.2">
      <c r="A383" s="10" t="s">
        <v>76</v>
      </c>
      <c r="B383" s="5">
        <v>1570000</v>
      </c>
      <c r="C383" s="4">
        <v>487</v>
      </c>
    </row>
    <row r="384" spans="1:3" x14ac:dyDescent="0.2">
      <c r="A384" s="10" t="s">
        <v>193</v>
      </c>
      <c r="B384" s="5">
        <v>231300</v>
      </c>
      <c r="C384" s="4">
        <v>93</v>
      </c>
    </row>
    <row r="385" spans="1:3" x14ac:dyDescent="0.2">
      <c r="A385" s="10" t="s">
        <v>220</v>
      </c>
      <c r="B385" s="5">
        <v>185300</v>
      </c>
      <c r="C385" s="4">
        <v>22</v>
      </c>
    </row>
    <row r="386" spans="1:3" x14ac:dyDescent="0.2">
      <c r="A386" s="10" t="s">
        <v>133</v>
      </c>
      <c r="B386" s="5">
        <v>401100</v>
      </c>
      <c r="C386" s="4">
        <v>51</v>
      </c>
    </row>
    <row r="387" spans="1:3" x14ac:dyDescent="0.2">
      <c r="A387" s="10" t="s">
        <v>131</v>
      </c>
      <c r="B387" s="5">
        <v>417632</v>
      </c>
      <c r="C387" s="4">
        <v>667</v>
      </c>
    </row>
    <row r="388" spans="1:3" x14ac:dyDescent="0.2">
      <c r="A388" s="10" t="s">
        <v>252</v>
      </c>
      <c r="B388" s="5">
        <v>148231</v>
      </c>
      <c r="C388" s="4">
        <v>68</v>
      </c>
    </row>
    <row r="389" spans="1:3" x14ac:dyDescent="0.2">
      <c r="A389" s="10" t="s">
        <v>224</v>
      </c>
      <c r="B389" s="5">
        <v>183100</v>
      </c>
      <c r="C389" s="4">
        <v>13</v>
      </c>
    </row>
    <row r="390" spans="1:3" x14ac:dyDescent="0.2">
      <c r="A390" s="10" t="s">
        <v>281</v>
      </c>
      <c r="B390" s="5">
        <v>123100</v>
      </c>
      <c r="C390" s="4">
        <v>64</v>
      </c>
    </row>
    <row r="391" spans="1:3" x14ac:dyDescent="0.2">
      <c r="A391" s="10" t="s">
        <v>276</v>
      </c>
      <c r="B391" s="5">
        <v>124600</v>
      </c>
      <c r="C391" s="4">
        <v>133</v>
      </c>
    </row>
    <row r="392" spans="1:3" x14ac:dyDescent="0.2">
      <c r="A392" s="10" t="s">
        <v>116</v>
      </c>
      <c r="B392" s="5">
        <v>547701</v>
      </c>
      <c r="C392" s="4">
        <v>361</v>
      </c>
    </row>
    <row r="393" spans="1:3" x14ac:dyDescent="0.2">
      <c r="A393" s="10" t="s">
        <v>182</v>
      </c>
      <c r="B393" s="5">
        <v>246900</v>
      </c>
      <c r="C393" s="4">
        <v>60</v>
      </c>
    </row>
    <row r="394" spans="1:3" x14ac:dyDescent="0.2">
      <c r="A394" s="10" t="s">
        <v>40</v>
      </c>
      <c r="B394" s="5">
        <v>35837200</v>
      </c>
      <c r="C394" s="4">
        <v>14259</v>
      </c>
    </row>
    <row r="395" spans="1:3" x14ac:dyDescent="0.2">
      <c r="A395" s="10" t="s">
        <v>238</v>
      </c>
      <c r="B395" s="5">
        <v>162900</v>
      </c>
      <c r="C395" s="4">
        <v>164</v>
      </c>
    </row>
    <row r="396" spans="1:3" x14ac:dyDescent="0.2">
      <c r="A396" s="10" t="s">
        <v>232</v>
      </c>
      <c r="B396" s="5">
        <v>174200</v>
      </c>
      <c r="C396" s="4">
        <v>390</v>
      </c>
    </row>
    <row r="397" spans="1:3" x14ac:dyDescent="0.2">
      <c r="A397" s="10" t="s">
        <v>149</v>
      </c>
      <c r="B397" s="5">
        <v>338315</v>
      </c>
      <c r="C397" s="4">
        <v>72</v>
      </c>
    </row>
    <row r="398" spans="1:3" x14ac:dyDescent="0.2">
      <c r="A398" s="10" t="s">
        <v>188</v>
      </c>
      <c r="B398" s="5">
        <v>237300</v>
      </c>
      <c r="C398" s="4">
        <v>102</v>
      </c>
    </row>
    <row r="399" spans="1:3" x14ac:dyDescent="0.2">
      <c r="A399" s="10" t="s">
        <v>107</v>
      </c>
      <c r="B399" s="5">
        <v>638120</v>
      </c>
      <c r="C399" s="4">
        <v>637</v>
      </c>
    </row>
    <row r="400" spans="1:3" x14ac:dyDescent="0.2">
      <c r="A400" s="10" t="s">
        <v>169</v>
      </c>
      <c r="B400" s="5">
        <v>268300</v>
      </c>
      <c r="C400" s="4">
        <v>67</v>
      </c>
    </row>
    <row r="401" spans="1:3" x14ac:dyDescent="0.2">
      <c r="A401" s="10" t="s">
        <v>285</v>
      </c>
      <c r="B401" s="5">
        <v>122054</v>
      </c>
      <c r="C401" s="4">
        <v>164</v>
      </c>
    </row>
    <row r="402" spans="1:3" x14ac:dyDescent="0.2">
      <c r="A402" s="10" t="s">
        <v>223</v>
      </c>
      <c r="B402" s="5">
        <v>183200</v>
      </c>
      <c r="C402" s="4">
        <v>95</v>
      </c>
    </row>
    <row r="403" spans="1:3" x14ac:dyDescent="0.2">
      <c r="A403" s="10" t="s">
        <v>163</v>
      </c>
      <c r="B403" s="5">
        <v>293300</v>
      </c>
      <c r="C403" s="4">
        <v>105</v>
      </c>
    </row>
    <row r="404" spans="1:3" x14ac:dyDescent="0.2">
      <c r="A404" s="10" t="s">
        <v>122</v>
      </c>
      <c r="B404" s="5">
        <v>517943</v>
      </c>
      <c r="C404" s="4">
        <v>491</v>
      </c>
    </row>
    <row r="405" spans="1:3" x14ac:dyDescent="0.2">
      <c r="A405" s="10" t="s">
        <v>119</v>
      </c>
      <c r="B405" s="5">
        <v>525800</v>
      </c>
      <c r="C405" s="4">
        <v>212</v>
      </c>
    </row>
    <row r="406" spans="1:3" x14ac:dyDescent="0.2">
      <c r="A406" s="10" t="s">
        <v>180</v>
      </c>
      <c r="B406" s="5">
        <v>249276</v>
      </c>
      <c r="C406" s="4">
        <v>103</v>
      </c>
    </row>
    <row r="407" spans="1:3" x14ac:dyDescent="0.2">
      <c r="A407" s="10" t="s">
        <v>125</v>
      </c>
      <c r="B407" s="5">
        <v>476600</v>
      </c>
      <c r="C407" s="4">
        <v>160</v>
      </c>
    </row>
    <row r="408" spans="1:3" x14ac:dyDescent="0.2">
      <c r="A408" s="10" t="s">
        <v>55</v>
      </c>
      <c r="B408" s="5">
        <v>3743000</v>
      </c>
      <c r="C408" s="4">
        <v>841</v>
      </c>
    </row>
    <row r="409" spans="1:3" x14ac:dyDescent="0.2">
      <c r="A409" s="10" t="s">
        <v>142</v>
      </c>
      <c r="B409" s="5">
        <v>361100</v>
      </c>
      <c r="C409" s="4">
        <v>143</v>
      </c>
    </row>
    <row r="410" spans="1:3" x14ac:dyDescent="0.2">
      <c r="A410" s="10" t="s">
        <v>65</v>
      </c>
      <c r="B410" s="5">
        <v>2566000</v>
      </c>
      <c r="C410" s="4">
        <v>755</v>
      </c>
    </row>
    <row r="411" spans="1:3" x14ac:dyDescent="0.2">
      <c r="A411" s="10" t="s">
        <v>89</v>
      </c>
      <c r="B411" s="5">
        <v>892300</v>
      </c>
      <c r="C411" s="4">
        <v>214</v>
      </c>
    </row>
    <row r="412" spans="1:3" x14ac:dyDescent="0.2">
      <c r="A412" s="10" t="s">
        <v>66</v>
      </c>
      <c r="B412" s="5">
        <v>2550184</v>
      </c>
      <c r="C412" s="4">
        <v>1790</v>
      </c>
    </row>
    <row r="413" spans="1:3" x14ac:dyDescent="0.2">
      <c r="A413" s="10" t="s">
        <v>49</v>
      </c>
      <c r="B413" s="5">
        <v>4795900</v>
      </c>
      <c r="C413" s="4">
        <v>1955</v>
      </c>
    </row>
    <row r="414" spans="1:3" x14ac:dyDescent="0.2">
      <c r="A414" s="10" t="s">
        <v>256</v>
      </c>
      <c r="B414" s="5">
        <v>144680</v>
      </c>
      <c r="C414" s="4">
        <v>163</v>
      </c>
    </row>
    <row r="415" spans="1:3" x14ac:dyDescent="0.2">
      <c r="A415" s="10" t="s">
        <v>63</v>
      </c>
      <c r="B415" s="5">
        <v>2816017</v>
      </c>
      <c r="C415" s="4">
        <v>3290</v>
      </c>
    </row>
    <row r="416" spans="1:3" x14ac:dyDescent="0.2">
      <c r="A416" s="10" t="s">
        <v>90</v>
      </c>
      <c r="B416" s="5">
        <v>880429</v>
      </c>
      <c r="C416" s="4">
        <v>1496</v>
      </c>
    </row>
    <row r="417" spans="1:3" x14ac:dyDescent="0.2">
      <c r="A417" s="10" t="s">
        <v>157</v>
      </c>
      <c r="B417" s="5">
        <v>309700</v>
      </c>
      <c r="C417" s="4">
        <v>35</v>
      </c>
    </row>
    <row r="418" spans="1:3" x14ac:dyDescent="0.2">
      <c r="A418" s="10" t="s">
        <v>244</v>
      </c>
      <c r="B418" s="5">
        <v>153000</v>
      </c>
      <c r="C418" s="4">
        <v>23</v>
      </c>
    </row>
    <row r="419" spans="1:3" x14ac:dyDescent="0.2">
      <c r="A419" s="10" t="s">
        <v>172</v>
      </c>
      <c r="B419" s="5">
        <v>267000</v>
      </c>
      <c r="C419" s="4">
        <v>236</v>
      </c>
    </row>
    <row r="420" spans="1:3" x14ac:dyDescent="0.2">
      <c r="A420" s="10" t="s">
        <v>145</v>
      </c>
      <c r="B420" s="5">
        <v>350343</v>
      </c>
      <c r="C420" s="4">
        <v>213</v>
      </c>
    </row>
    <row r="421" spans="1:3" x14ac:dyDescent="0.2">
      <c r="A421" s="10" t="s">
        <v>231</v>
      </c>
      <c r="B421" s="5">
        <v>176700</v>
      </c>
      <c r="C421" s="4">
        <v>295</v>
      </c>
    </row>
    <row r="422" spans="1:3" x14ac:dyDescent="0.2">
      <c r="A422" s="10" t="s">
        <v>106</v>
      </c>
      <c r="B422" s="5">
        <v>644152</v>
      </c>
      <c r="C422" s="4">
        <v>386</v>
      </c>
    </row>
    <row r="423" spans="1:3" x14ac:dyDescent="0.2">
      <c r="A423" s="10" t="s">
        <v>218</v>
      </c>
      <c r="B423" s="5">
        <v>190500</v>
      </c>
      <c r="C423" s="4">
        <v>94</v>
      </c>
    </row>
    <row r="424" spans="1:3" x14ac:dyDescent="0.2">
      <c r="A424" s="10" t="s">
        <v>263</v>
      </c>
      <c r="B424" s="5">
        <v>137800</v>
      </c>
      <c r="C424" s="4">
        <v>155</v>
      </c>
    </row>
    <row r="425" spans="1:3" x14ac:dyDescent="0.2">
      <c r="A425" s="10" t="s">
        <v>48</v>
      </c>
      <c r="B425" s="5">
        <v>5510000</v>
      </c>
      <c r="C425" s="4">
        <v>7799</v>
      </c>
    </row>
    <row r="426" spans="1:3" x14ac:dyDescent="0.2">
      <c r="A426" s="10" t="s">
        <v>195</v>
      </c>
      <c r="B426" s="5">
        <v>228618</v>
      </c>
      <c r="C426" s="4">
        <v>192</v>
      </c>
    </row>
    <row r="427" spans="1:3" x14ac:dyDescent="0.2">
      <c r="A427" s="10" t="s">
        <v>138</v>
      </c>
      <c r="B427" s="5">
        <v>368175</v>
      </c>
      <c r="C427" s="4">
        <v>160</v>
      </c>
    </row>
    <row r="428" spans="1:3" x14ac:dyDescent="0.2">
      <c r="A428" s="10" t="s">
        <v>246</v>
      </c>
      <c r="B428" s="5">
        <v>150693</v>
      </c>
      <c r="C428" s="4">
        <v>93</v>
      </c>
    </row>
    <row r="429" spans="1:3" x14ac:dyDescent="0.2">
      <c r="A429" s="10" t="s">
        <v>64</v>
      </c>
      <c r="B429" s="5">
        <v>2720250</v>
      </c>
      <c r="C429" s="4">
        <v>1970</v>
      </c>
    </row>
    <row r="430" spans="1:3" x14ac:dyDescent="0.2">
      <c r="A430" s="10" t="s">
        <v>168</v>
      </c>
      <c r="B430" s="5">
        <v>275300</v>
      </c>
      <c r="C430" s="4">
        <v>41</v>
      </c>
    </row>
    <row r="431" spans="1:3" x14ac:dyDescent="0.2">
      <c r="A431" s="10" t="s">
        <v>137</v>
      </c>
      <c r="B431" s="5">
        <v>379835</v>
      </c>
      <c r="C431" s="4">
        <v>396</v>
      </c>
    </row>
    <row r="432" spans="1:3" x14ac:dyDescent="0.2">
      <c r="A432" s="10" t="s">
        <v>254</v>
      </c>
      <c r="B432" s="5">
        <v>147600</v>
      </c>
      <c r="C432" s="4">
        <v>64</v>
      </c>
    </row>
    <row r="433" spans="1:3" x14ac:dyDescent="0.2">
      <c r="A433" s="10" t="s">
        <v>95</v>
      </c>
      <c r="B433" s="5">
        <v>744943</v>
      </c>
      <c r="C433" s="4">
        <v>670</v>
      </c>
    </row>
    <row r="434" spans="1:3" x14ac:dyDescent="0.2">
      <c r="A434" s="10" t="s">
        <v>243</v>
      </c>
      <c r="B434" s="5">
        <v>154000</v>
      </c>
      <c r="C434" s="4">
        <v>54</v>
      </c>
    </row>
    <row r="435" spans="1:3" x14ac:dyDescent="0.2">
      <c r="A435" s="10" t="s">
        <v>148</v>
      </c>
      <c r="B435" s="5">
        <v>338900</v>
      </c>
      <c r="C435" s="4">
        <v>820</v>
      </c>
    </row>
    <row r="436" spans="1:3" x14ac:dyDescent="0.2">
      <c r="A436" s="10" t="s">
        <v>200</v>
      </c>
      <c r="B436" s="5">
        <v>219700</v>
      </c>
      <c r="C436" s="4">
        <v>23</v>
      </c>
    </row>
    <row r="437" spans="1:3" x14ac:dyDescent="0.2">
      <c r="A437" s="10" t="s">
        <v>113</v>
      </c>
      <c r="B437" s="5">
        <v>567269</v>
      </c>
      <c r="C437" s="4">
        <v>249</v>
      </c>
    </row>
    <row r="438" spans="1:3" x14ac:dyDescent="0.2">
      <c r="A438" s="10" t="s">
        <v>170</v>
      </c>
      <c r="B438" s="5">
        <v>267465</v>
      </c>
      <c r="C438" s="4">
        <v>299</v>
      </c>
    </row>
    <row r="439" spans="1:3" x14ac:dyDescent="0.2">
      <c r="A439" s="10" t="s">
        <v>68</v>
      </c>
      <c r="B439" s="5">
        <v>2410900</v>
      </c>
      <c r="C439" s="4">
        <v>662</v>
      </c>
    </row>
    <row r="440" spans="1:3" x14ac:dyDescent="0.2">
      <c r="A440" s="10" t="s">
        <v>265</v>
      </c>
      <c r="B440" s="5">
        <v>137000</v>
      </c>
      <c r="C440" s="4">
        <v>250</v>
      </c>
    </row>
    <row r="441" spans="1:3" x14ac:dyDescent="0.2">
      <c r="A441" s="10" t="s">
        <v>78</v>
      </c>
      <c r="B441" s="5">
        <v>1501080</v>
      </c>
      <c r="C441" s="4">
        <v>510</v>
      </c>
    </row>
    <row r="442" spans="1:3" x14ac:dyDescent="0.2">
      <c r="A442" s="10" t="s">
        <v>262</v>
      </c>
      <c r="B442" s="5">
        <v>142500</v>
      </c>
      <c r="C442" s="4">
        <v>650</v>
      </c>
    </row>
    <row r="443" spans="1:3" x14ac:dyDescent="0.2">
      <c r="A443" s="10" t="s">
        <v>269</v>
      </c>
      <c r="B443" s="5">
        <v>132998</v>
      </c>
      <c r="C443" s="4">
        <v>33</v>
      </c>
    </row>
    <row r="444" spans="1:3" x14ac:dyDescent="0.2">
      <c r="A444" s="10" t="s">
        <v>162</v>
      </c>
      <c r="B444" s="5">
        <v>298400</v>
      </c>
      <c r="C444" s="4">
        <v>145</v>
      </c>
    </row>
    <row r="445" spans="1:3" x14ac:dyDescent="0.2">
      <c r="A445" s="10" t="s">
        <v>286</v>
      </c>
      <c r="B445" s="5">
        <v>122015</v>
      </c>
      <c r="C445" s="4">
        <v>34</v>
      </c>
    </row>
    <row r="446" spans="1:3" x14ac:dyDescent="0.2">
      <c r="A446" s="10" t="s">
        <v>129</v>
      </c>
      <c r="B446" s="5">
        <v>424107</v>
      </c>
      <c r="C446" s="4">
        <v>437</v>
      </c>
    </row>
    <row r="447" spans="1:3" x14ac:dyDescent="0.2">
      <c r="A447" s="10" t="s">
        <v>199</v>
      </c>
      <c r="B447" s="5">
        <v>221973</v>
      </c>
      <c r="C447" s="4">
        <v>192</v>
      </c>
    </row>
    <row r="448" spans="1:3" x14ac:dyDescent="0.2">
      <c r="A448" s="10" t="s">
        <v>83</v>
      </c>
      <c r="B448" s="5">
        <v>1179029</v>
      </c>
      <c r="C448" s="4">
        <v>684</v>
      </c>
    </row>
    <row r="449" spans="1:3" x14ac:dyDescent="0.2">
      <c r="A449" s="10" t="s">
        <v>111</v>
      </c>
      <c r="B449" s="5">
        <v>592000</v>
      </c>
      <c r="C449" s="4">
        <v>127</v>
      </c>
    </row>
    <row r="450" spans="1:3" x14ac:dyDescent="0.2">
      <c r="A450" s="10" t="s">
        <v>190</v>
      </c>
      <c r="B450" s="5">
        <v>234300</v>
      </c>
      <c r="C450" s="4">
        <v>90</v>
      </c>
    </row>
    <row r="451" spans="1:3" x14ac:dyDescent="0.2">
      <c r="A451" s="10" t="s">
        <v>192</v>
      </c>
      <c r="B451" s="5">
        <v>232700</v>
      </c>
      <c r="C451" s="4">
        <v>54</v>
      </c>
    </row>
    <row r="452" spans="1:3" x14ac:dyDescent="0.2">
      <c r="A452" s="10" t="s">
        <v>197</v>
      </c>
      <c r="B452" s="5">
        <v>226500</v>
      </c>
      <c r="C452" s="4">
        <v>235</v>
      </c>
    </row>
    <row r="453" spans="1:3" x14ac:dyDescent="0.2">
      <c r="A453" s="10" t="s">
        <v>179</v>
      </c>
      <c r="B453" s="5">
        <v>250900</v>
      </c>
      <c r="C453" s="4">
        <v>305</v>
      </c>
    </row>
    <row r="454" spans="1:3" x14ac:dyDescent="0.2">
      <c r="A454" s="10" t="s">
        <v>153</v>
      </c>
      <c r="B454" s="5">
        <v>319638</v>
      </c>
      <c r="C454" s="4">
        <v>350</v>
      </c>
    </row>
    <row r="455" spans="1:3" x14ac:dyDescent="0.2">
      <c r="A455" s="10" t="s">
        <v>184</v>
      </c>
      <c r="B455" s="5">
        <v>243900</v>
      </c>
      <c r="C455" s="4">
        <v>42</v>
      </c>
    </row>
    <row r="456" spans="1:3" x14ac:dyDescent="0.2">
      <c r="A456" s="10" t="s">
        <v>213</v>
      </c>
      <c r="B456" s="5">
        <v>199377</v>
      </c>
      <c r="C456" s="4">
        <v>49</v>
      </c>
    </row>
    <row r="457" spans="1:3" x14ac:dyDescent="0.2">
      <c r="A457" s="10" t="s">
        <v>241</v>
      </c>
      <c r="B457" s="5">
        <v>160500</v>
      </c>
      <c r="C457" s="4">
        <v>96</v>
      </c>
    </row>
    <row r="458" spans="1:3" x14ac:dyDescent="0.2">
      <c r="A458" s="10" t="s">
        <v>201</v>
      </c>
      <c r="B458" s="5">
        <v>219200</v>
      </c>
      <c r="C458" s="4">
        <v>144</v>
      </c>
    </row>
    <row r="459" spans="1:3" x14ac:dyDescent="0.2">
      <c r="A459" s="10" t="s">
        <v>187</v>
      </c>
      <c r="B459" s="5">
        <v>238320</v>
      </c>
      <c r="C459" s="4">
        <v>125</v>
      </c>
    </row>
    <row r="460" spans="1:3" x14ac:dyDescent="0.2">
      <c r="A460" s="10" t="s">
        <v>158</v>
      </c>
      <c r="B460" s="5">
        <v>306517</v>
      </c>
      <c r="C460" s="4">
        <v>328</v>
      </c>
    </row>
    <row r="461" spans="1:3" x14ac:dyDescent="0.2">
      <c r="A461" s="10" t="s">
        <v>225</v>
      </c>
      <c r="B461" s="5">
        <v>182800</v>
      </c>
      <c r="C461" s="4">
        <v>66</v>
      </c>
    </row>
    <row r="462" spans="1:3" x14ac:dyDescent="0.2">
      <c r="A462" s="10" t="s">
        <v>183</v>
      </c>
      <c r="B462" s="5">
        <v>244900</v>
      </c>
      <c r="C462" s="4">
        <v>650</v>
      </c>
    </row>
    <row r="463" spans="1:3" x14ac:dyDescent="0.2">
      <c r="A463" s="10" t="s">
        <v>53</v>
      </c>
      <c r="B463" s="5">
        <v>4413661</v>
      </c>
      <c r="C463" s="4">
        <v>3529</v>
      </c>
    </row>
    <row r="464" spans="1:3" x14ac:dyDescent="0.2">
      <c r="A464" s="10" t="s">
        <v>181</v>
      </c>
      <c r="B464" s="5">
        <v>249000</v>
      </c>
      <c r="C464" s="4">
        <v>122</v>
      </c>
    </row>
    <row r="465" spans="1:3" x14ac:dyDescent="0.2">
      <c r="A465" s="10" t="s">
        <v>159</v>
      </c>
      <c r="B465" s="5">
        <v>304000</v>
      </c>
      <c r="C465" s="4">
        <v>125</v>
      </c>
    </row>
    <row r="466" spans="1:3" x14ac:dyDescent="0.2">
      <c r="A466" s="10" t="s">
        <v>41</v>
      </c>
      <c r="B466" s="5">
        <v>13936114</v>
      </c>
      <c r="C466" s="4">
        <v>13066</v>
      </c>
    </row>
    <row r="467" spans="1:3" x14ac:dyDescent="0.2">
      <c r="A467" s="10" t="s">
        <v>85</v>
      </c>
      <c r="B467" s="5">
        <v>1035637</v>
      </c>
      <c r="C467" s="4">
        <v>557</v>
      </c>
    </row>
    <row r="468" spans="1:3" x14ac:dyDescent="0.2">
      <c r="A468" s="10" t="s">
        <v>42</v>
      </c>
      <c r="B468" s="5">
        <v>11500000</v>
      </c>
      <c r="C468" s="4">
        <v>27103</v>
      </c>
    </row>
    <row r="469" spans="1:3" x14ac:dyDescent="0.2">
      <c r="A469" s="10" t="s">
        <v>261</v>
      </c>
      <c r="B469" s="5">
        <v>143000</v>
      </c>
      <c r="C469" s="4">
        <v>325</v>
      </c>
    </row>
    <row r="470" spans="1:3" x14ac:dyDescent="0.2">
      <c r="A470" s="10" t="s">
        <v>43</v>
      </c>
      <c r="B470" s="5">
        <v>9100000</v>
      </c>
      <c r="C470" s="4">
        <v>6121</v>
      </c>
    </row>
    <row r="471" spans="1:3" x14ac:dyDescent="0.2">
      <c r="A471" s="10" t="s">
        <v>221</v>
      </c>
      <c r="B471" s="5">
        <v>185000</v>
      </c>
      <c r="C471" s="4">
        <v>175</v>
      </c>
    </row>
    <row r="472" spans="1:3" x14ac:dyDescent="0.2">
      <c r="A472" s="10" t="s">
        <v>151</v>
      </c>
      <c r="B472" s="5">
        <v>331431</v>
      </c>
      <c r="C472" s="4">
        <v>166</v>
      </c>
    </row>
    <row r="473" spans="1:3" x14ac:dyDescent="0.2">
      <c r="A473" s="10" t="s">
        <v>144</v>
      </c>
      <c r="B473" s="5">
        <v>358860</v>
      </c>
      <c r="C473" s="4">
        <v>386</v>
      </c>
    </row>
    <row r="474" spans="1:3" x14ac:dyDescent="0.2">
      <c r="A474" s="10" t="s">
        <v>177</v>
      </c>
      <c r="B474" s="5">
        <v>252800</v>
      </c>
      <c r="C474" s="4">
        <v>35</v>
      </c>
    </row>
    <row r="475" spans="1:3" x14ac:dyDescent="0.2">
      <c r="A475" s="10" t="s">
        <v>71</v>
      </c>
      <c r="B475" s="5">
        <v>2145385</v>
      </c>
      <c r="C475" s="4">
        <v>473</v>
      </c>
    </row>
    <row r="476" spans="1:3" x14ac:dyDescent="0.2">
      <c r="A476" s="10" t="s">
        <v>77</v>
      </c>
      <c r="B476" s="5">
        <v>1567000</v>
      </c>
      <c r="C476" s="4">
        <v>485</v>
      </c>
    </row>
    <row r="477" spans="1:3" x14ac:dyDescent="0.2">
      <c r="A477" s="10" t="s">
        <v>135</v>
      </c>
      <c r="B477" s="5">
        <v>397000</v>
      </c>
      <c r="C477" s="4">
        <v>54</v>
      </c>
    </row>
    <row r="478" spans="1:3" x14ac:dyDescent="0.2">
      <c r="A478" s="10" t="s">
        <v>74</v>
      </c>
      <c r="B478" s="5">
        <v>1913758</v>
      </c>
      <c r="C478" s="4">
        <v>187</v>
      </c>
    </row>
    <row r="479" spans="1:3" x14ac:dyDescent="0.2">
      <c r="A479" s="10" t="s">
        <v>212</v>
      </c>
      <c r="B479" s="5">
        <v>200900</v>
      </c>
      <c r="C479" s="4">
        <v>312</v>
      </c>
    </row>
    <row r="480" spans="1:3" x14ac:dyDescent="0.2">
      <c r="A480" s="10" t="s">
        <v>178</v>
      </c>
      <c r="B480" s="5">
        <v>251366</v>
      </c>
      <c r="C480" s="4">
        <v>142</v>
      </c>
    </row>
    <row r="481" spans="1:3" x14ac:dyDescent="0.2">
      <c r="A481" s="10" t="s">
        <v>214</v>
      </c>
      <c r="B481" s="5">
        <v>198700</v>
      </c>
      <c r="C481" s="4">
        <v>126</v>
      </c>
    </row>
    <row r="482" spans="1:3" x14ac:dyDescent="0.2">
      <c r="A482" s="10" t="s">
        <v>251</v>
      </c>
      <c r="B482" s="5">
        <v>148500</v>
      </c>
      <c r="C482" s="4">
        <v>130</v>
      </c>
    </row>
    <row r="483" spans="1:3" x14ac:dyDescent="0.2">
      <c r="A483" s="10" t="s">
        <v>289</v>
      </c>
      <c r="B483" s="5">
        <v>120000</v>
      </c>
      <c r="C483" s="4">
        <v>115</v>
      </c>
    </row>
    <row r="484" spans="1:3" x14ac:dyDescent="0.2">
      <c r="A484" s="10" t="s">
        <v>219</v>
      </c>
      <c r="B484" s="5">
        <v>187600</v>
      </c>
      <c r="C484" s="4">
        <v>92</v>
      </c>
    </row>
    <row r="485" spans="1:3" x14ac:dyDescent="0.2">
      <c r="A485" s="10" t="s">
        <v>103</v>
      </c>
      <c r="B485" s="5">
        <v>668960</v>
      </c>
      <c r="C485" s="4">
        <v>650</v>
      </c>
    </row>
    <row r="486" spans="1:3" x14ac:dyDescent="0.2">
      <c r="A486" s="10" t="s">
        <v>248</v>
      </c>
      <c r="B486" s="5">
        <v>149980</v>
      </c>
      <c r="C486" s="4">
        <v>250</v>
      </c>
    </row>
    <row r="487" spans="1:3" x14ac:dyDescent="0.2">
      <c r="A487" s="10" t="s">
        <v>174</v>
      </c>
      <c r="B487" s="5">
        <v>261000</v>
      </c>
      <c r="C487" s="4">
        <v>466</v>
      </c>
    </row>
    <row r="488" spans="1:3" x14ac:dyDescent="0.2">
      <c r="A488" s="10" t="s">
        <v>164</v>
      </c>
      <c r="B488" s="5">
        <v>291100</v>
      </c>
      <c r="C488" s="4">
        <v>73</v>
      </c>
    </row>
    <row r="489" spans="1:3" x14ac:dyDescent="0.2">
      <c r="A489" s="10" t="s">
        <v>249</v>
      </c>
      <c r="B489" s="5">
        <v>149600</v>
      </c>
      <c r="C489" s="4">
        <v>24</v>
      </c>
    </row>
    <row r="490" spans="1:3" x14ac:dyDescent="0.2">
      <c r="A490" s="10" t="s">
        <v>166</v>
      </c>
      <c r="B490" s="5">
        <v>280400</v>
      </c>
      <c r="C490" s="4">
        <v>127</v>
      </c>
    </row>
    <row r="491" spans="1:3" x14ac:dyDescent="0.2">
      <c r="A491" s="10" t="s">
        <v>250</v>
      </c>
      <c r="B491" s="5">
        <v>148612</v>
      </c>
      <c r="C491" s="4">
        <v>245</v>
      </c>
    </row>
    <row r="492" spans="1:3" x14ac:dyDescent="0.2">
      <c r="A492" s="10" t="s">
        <v>143</v>
      </c>
      <c r="B492" s="5">
        <v>359000</v>
      </c>
      <c r="C492" s="4">
        <v>213</v>
      </c>
    </row>
    <row r="493" spans="1:3" x14ac:dyDescent="0.2">
      <c r="A493" s="10" t="s">
        <v>86</v>
      </c>
      <c r="B493" s="5">
        <v>1030700</v>
      </c>
      <c r="C493" s="4">
        <v>1805</v>
      </c>
    </row>
    <row r="494" spans="1:3" x14ac:dyDescent="0.2">
      <c r="A494" s="10" t="s">
        <v>45</v>
      </c>
      <c r="B494" s="5">
        <v>8777400</v>
      </c>
      <c r="C494" s="4">
        <v>5722</v>
      </c>
    </row>
    <row r="495" spans="1:3" x14ac:dyDescent="0.2">
      <c r="A495" s="10" t="s">
        <v>288</v>
      </c>
      <c r="B495" s="5">
        <v>122000</v>
      </c>
      <c r="C495" s="4">
        <v>70</v>
      </c>
    </row>
    <row r="496" spans="1:3" x14ac:dyDescent="0.2">
      <c r="A496" s="10" t="s">
        <v>73</v>
      </c>
      <c r="B496" s="5">
        <v>2001306</v>
      </c>
      <c r="C496" s="4">
        <v>791</v>
      </c>
    </row>
    <row r="497" spans="1:3" x14ac:dyDescent="0.2">
      <c r="A497" s="10" t="s">
        <v>203</v>
      </c>
      <c r="B497" s="5">
        <v>214400</v>
      </c>
      <c r="C497" s="4">
        <v>375</v>
      </c>
    </row>
    <row r="498" spans="1:3" x14ac:dyDescent="0.2">
      <c r="A498" s="10" t="s">
        <v>115</v>
      </c>
      <c r="B498" s="5">
        <v>547787</v>
      </c>
      <c r="C498" s="4">
        <v>390</v>
      </c>
    </row>
    <row r="499" spans="1:3" x14ac:dyDescent="0.2">
      <c r="A499" s="10" t="s">
        <v>185</v>
      </c>
      <c r="B499" s="5">
        <v>241334</v>
      </c>
      <c r="C499" s="4">
        <v>321</v>
      </c>
    </row>
    <row r="500" spans="1:3" x14ac:dyDescent="0.2">
      <c r="A500" s="10" t="s">
        <v>93</v>
      </c>
      <c r="B500" s="5">
        <v>768622</v>
      </c>
      <c r="C500" s="4">
        <v>786</v>
      </c>
    </row>
    <row r="501" spans="1:3" x14ac:dyDescent="0.2">
      <c r="A501" s="10" t="s">
        <v>126</v>
      </c>
      <c r="B501" s="5">
        <v>473300</v>
      </c>
      <c r="C501" s="4">
        <v>61</v>
      </c>
    </row>
    <row r="502" spans="1:3" x14ac:dyDescent="0.2">
      <c r="A502" s="10" t="s">
        <v>230</v>
      </c>
      <c r="B502" s="5">
        <v>180000</v>
      </c>
      <c r="C502" s="4">
        <v>275</v>
      </c>
    </row>
    <row r="503" spans="1:3" x14ac:dyDescent="0.2">
      <c r="A503" s="10" t="s">
        <v>80</v>
      </c>
      <c r="B503" s="5">
        <v>1478400</v>
      </c>
      <c r="C503" s="4">
        <v>748</v>
      </c>
    </row>
    <row r="504" spans="1:3" x14ac:dyDescent="0.2">
      <c r="A504" s="10" t="s">
        <v>194</v>
      </c>
      <c r="B504" s="5">
        <v>230835</v>
      </c>
      <c r="C504" s="4">
        <v>166</v>
      </c>
    </row>
    <row r="505" spans="1:3" x14ac:dyDescent="0.2">
      <c r="A505" s="10" t="s">
        <v>540</v>
      </c>
      <c r="B505" s="5">
        <v>280638483.5615387</v>
      </c>
      <c r="C505" s="4">
        <v>230961.89293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FC50-DF0C-D349-BD68-3ED3106A1231}">
  <sheetPr>
    <pageSetUpPr fitToPage="1"/>
  </sheetPr>
  <dimension ref="A1:K27"/>
  <sheetViews>
    <sheetView topLeftCell="A2" zoomScale="150" zoomScaleNormal="150" zoomScalePageLayoutView="150" workbookViewId="0">
      <selection activeCell="A2" sqref="A2"/>
    </sheetView>
  </sheetViews>
  <sheetFormatPr baseColWidth="10" defaultRowHeight="16" x14ac:dyDescent="0.2"/>
  <cols>
    <col min="1" max="1" width="4.33203125" style="16" customWidth="1"/>
    <col min="2" max="2" width="57.33203125" style="16" bestFit="1" customWidth="1"/>
    <col min="3" max="3" width="17.5" style="16" bestFit="1" customWidth="1"/>
    <col min="4" max="4" width="28.83203125" style="16" bestFit="1" customWidth="1"/>
    <col min="5" max="5" width="10.83203125" style="16"/>
    <col min="6" max="6" width="23.83203125" style="16" bestFit="1" customWidth="1"/>
    <col min="7" max="16384" width="10.83203125" style="16"/>
  </cols>
  <sheetData>
    <row r="1" spans="1:11" ht="4" customHeight="1" x14ac:dyDescent="0.2">
      <c r="A1" s="15"/>
      <c r="B1" s="15"/>
      <c r="C1" s="15"/>
      <c r="D1" s="15"/>
      <c r="E1" s="15"/>
      <c r="F1" s="15"/>
      <c r="G1" s="15"/>
    </row>
    <row r="2" spans="1:11" ht="32" customHeight="1" x14ac:dyDescent="0.35">
      <c r="A2" s="17" t="s">
        <v>546</v>
      </c>
      <c r="B2" s="17"/>
      <c r="C2" s="17"/>
      <c r="D2" s="17"/>
      <c r="E2" s="17"/>
      <c r="F2" s="17"/>
      <c r="G2" s="17"/>
      <c r="I2" s="18"/>
      <c r="J2" s="18"/>
      <c r="K2" s="18"/>
    </row>
    <row r="3" spans="1:11" ht="19" x14ac:dyDescent="0.25">
      <c r="B3" s="19" t="s">
        <v>547</v>
      </c>
      <c r="C3" s="20">
        <v>1.8</v>
      </c>
      <c r="D3" s="19" t="s">
        <v>548</v>
      </c>
      <c r="E3" s="21">
        <v>0.02</v>
      </c>
      <c r="F3" s="19" t="s">
        <v>549</v>
      </c>
      <c r="G3" s="22"/>
    </row>
    <row r="4" spans="1:11" x14ac:dyDescent="0.2">
      <c r="C4" s="23"/>
      <c r="D4" s="22"/>
      <c r="E4" s="24"/>
      <c r="G4" s="22"/>
    </row>
    <row r="5" spans="1:11" x14ac:dyDescent="0.2">
      <c r="C5" s="23"/>
      <c r="D5" s="22"/>
      <c r="E5" s="24"/>
      <c r="G5" s="22"/>
    </row>
    <row r="7" spans="1:11" ht="20" customHeight="1" thickBot="1" x14ac:dyDescent="0.25">
      <c r="B7" s="25" t="s">
        <v>550</v>
      </c>
      <c r="C7" s="26"/>
    </row>
    <row r="8" spans="1:11" ht="22" customHeight="1" thickTop="1" x14ac:dyDescent="0.2">
      <c r="B8" s="27" t="s">
        <v>551</v>
      </c>
      <c r="C8" s="28">
        <f>G3*Parameters!B42</f>
        <v>0</v>
      </c>
    </row>
    <row r="9" spans="1:11" ht="20" customHeight="1" x14ac:dyDescent="0.2">
      <c r="B9" s="27" t="s">
        <v>552</v>
      </c>
      <c r="C9" s="28">
        <f>C8*Parameters!B43</f>
        <v>0</v>
      </c>
    </row>
    <row r="10" spans="1:11" ht="22" customHeight="1" x14ac:dyDescent="0.2">
      <c r="B10" s="27" t="s">
        <v>553</v>
      </c>
      <c r="C10" s="28" t="e">
        <f>C8/G3</f>
        <v>#DIV/0!</v>
      </c>
    </row>
    <row r="11" spans="1:11" ht="22" customHeight="1" x14ac:dyDescent="0.2">
      <c r="B11" s="27" t="s">
        <v>554</v>
      </c>
      <c r="C11" s="28" t="e">
        <f>C9/G3</f>
        <v>#DIV/0!</v>
      </c>
    </row>
    <row r="12" spans="1:11" ht="22" customHeight="1" x14ac:dyDescent="0.2">
      <c r="B12" s="27" t="s">
        <v>555</v>
      </c>
      <c r="C12" s="29">
        <f>Parameters!B44-Parameters!B45</f>
        <v>3.0381252490320376</v>
      </c>
    </row>
    <row r="13" spans="1:11" ht="22" customHeight="1" x14ac:dyDescent="0.2">
      <c r="B13" s="27" t="s">
        <v>556</v>
      </c>
      <c r="C13" s="29" t="e">
        <f>C12*C11</f>
        <v>#DIV/0!</v>
      </c>
    </row>
    <row r="14" spans="1:11" ht="22" customHeight="1" x14ac:dyDescent="0.2">
      <c r="B14" s="27" t="s">
        <v>557</v>
      </c>
      <c r="C14" s="30" t="e">
        <f>C13*365</f>
        <v>#DIV/0!</v>
      </c>
    </row>
    <row r="15" spans="1:11" ht="22" customHeight="1" x14ac:dyDescent="0.2">
      <c r="B15" s="27" t="s">
        <v>558</v>
      </c>
      <c r="C15" s="30">
        <f>Parameters!B45*C9</f>
        <v>0</v>
      </c>
    </row>
    <row r="16" spans="1:11" ht="22" customHeight="1" x14ac:dyDescent="0.2">
      <c r="B16" s="27" t="s">
        <v>559</v>
      </c>
      <c r="C16" s="30">
        <f>Parameters!B44*C9</f>
        <v>0</v>
      </c>
    </row>
    <row r="17" spans="2:3" ht="22" customHeight="1" x14ac:dyDescent="0.2">
      <c r="B17" s="27" t="s">
        <v>560</v>
      </c>
      <c r="C17" s="30">
        <f>C16-C15</f>
        <v>0</v>
      </c>
    </row>
    <row r="18" spans="2:3" ht="20" customHeight="1" x14ac:dyDescent="0.2">
      <c r="B18" s="27" t="s">
        <v>561</v>
      </c>
      <c r="C18" s="30" t="e">
        <f>C3*C11*G3</f>
        <v>#DIV/0!</v>
      </c>
    </row>
    <row r="19" spans="2:3" ht="20" customHeight="1" x14ac:dyDescent="0.2">
      <c r="B19" s="31" t="s">
        <v>562</v>
      </c>
      <c r="C19" s="32" t="e">
        <f>C18*365</f>
        <v>#DIV/0!</v>
      </c>
    </row>
    <row r="21" spans="2:3" x14ac:dyDescent="0.2">
      <c r="C21" s="23"/>
    </row>
    <row r="22" spans="2:3" ht="22" customHeight="1" x14ac:dyDescent="0.2"/>
    <row r="23" spans="2:3" ht="20" customHeight="1" x14ac:dyDescent="0.2">
      <c r="B23" s="35"/>
      <c r="C23" s="35"/>
    </row>
    <row r="24" spans="2:3" ht="22" customHeight="1" x14ac:dyDescent="0.2">
      <c r="B24" s="33"/>
    </row>
    <row r="25" spans="2:3" ht="20" customHeight="1" x14ac:dyDescent="0.2">
      <c r="B25" s="35"/>
      <c r="C25" s="35"/>
    </row>
    <row r="26" spans="2:3" ht="22" customHeight="1" x14ac:dyDescent="0.2">
      <c r="B26" s="33"/>
      <c r="C26" s="34"/>
    </row>
    <row r="27" spans="2:3" ht="20" customHeight="1" x14ac:dyDescent="0.2">
      <c r="B27" s="36"/>
      <c r="C27" s="36"/>
    </row>
  </sheetData>
  <sheetProtection selectLockedCells="1"/>
  <mergeCells count="3">
    <mergeCell ref="B23:C23"/>
    <mergeCell ref="B25:C25"/>
    <mergeCell ref="B27:C27"/>
  </mergeCells>
  <dataValidations count="1">
    <dataValidation type="whole" allowBlank="1" showInputMessage="1" showErrorMessage="1" sqref="E4:E5" xr:uid="{2A4429CA-1B51-0D4B-96ED-C34A7C4825BC}">
      <formula1>1</formula1>
      <formula2>20</formula2>
    </dataValidation>
  </dataValidations>
  <pageMargins left="0.7" right="0.7" top="0.75" bottom="0.75" header="0.3" footer="0.3"/>
  <pageSetup orientation="landscape" horizontalDpi="0" verticalDpi="0"/>
  <headerFooter>
    <oddFooter>&amp;LBiagio Palese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Parameters</vt:lpstr>
      <vt:lpstr>Sales and Units Analysis</vt:lpstr>
      <vt:lpstr>Results</vt:lpstr>
      <vt:lpstr>Results!Print_Area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2017-03-24T14:42:09Z</dcterms:created>
  <dcterms:modified xsi:type="dcterms:W3CDTF">2019-11-17T23:08:49Z</dcterms:modified>
</cp:coreProperties>
</file>